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CC6D" lockStructure="1"/>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vo_PlanAcción" sheetId="1" state="visible" r:id="rId1"/>
    <sheet xmlns:r="http://schemas.openxmlformats.org/officeDocument/2006/relationships" name="Instructivo_PlanNecesidades" sheetId="2" state="visible" r:id="rId2"/>
    <sheet xmlns:r="http://schemas.openxmlformats.org/officeDocument/2006/relationships" name="Plan_Acción_2027" sheetId="3" state="visible" r:id="rId3"/>
    <sheet xmlns:r="http://schemas.openxmlformats.org/officeDocument/2006/relationships" name="Acciones_2027" sheetId="4" state="visible" r:id="rId4"/>
    <sheet xmlns:r="http://schemas.openxmlformats.org/officeDocument/2006/relationships" name="Formulación_Ejes_2027" sheetId="5" state="visible" r:id="rId5"/>
    <sheet xmlns:r="http://schemas.openxmlformats.org/officeDocument/2006/relationships" name="Buscador_Formulación PAA 2027" sheetId="6" state="visible" r:id="rId6"/>
    <sheet xmlns:r="http://schemas.openxmlformats.org/officeDocument/2006/relationships" name="Importación_FormulaciónPAA2027" sheetId="7" state="visible" r:id="rId7"/>
    <sheet xmlns:r="http://schemas.openxmlformats.org/officeDocument/2006/relationships" name="PlandeNecesidades" sheetId="8" state="visible" r:id="rId8"/>
    <sheet xmlns:r="http://schemas.openxmlformats.org/officeDocument/2006/relationships" name="Compromisos_2026" sheetId="9" state="hidden" r:id="rId9"/>
    <sheet xmlns:r="http://schemas.openxmlformats.org/officeDocument/2006/relationships" name="Base_OAPDI" sheetId="10" state="hidden" r:id="rId10"/>
    <sheet xmlns:r="http://schemas.openxmlformats.org/officeDocument/2006/relationships" name="Catalogos" sheetId="11" state="hidden" r:id="rId11"/>
    <sheet xmlns:r="http://schemas.openxmlformats.org/officeDocument/2006/relationships" name="Dependencias" sheetId="12" state="hidden" r:id="rId12"/>
    <sheet xmlns:r="http://schemas.openxmlformats.org/officeDocument/2006/relationships" name="Catalogos_SUIE" sheetId="13" state="hidden" r:id="rId13"/>
    <sheet xmlns:r="http://schemas.openxmlformats.org/officeDocument/2006/relationships" name="Catalogos_PDN" sheetId="14" state="hidden" r:id="rId14"/>
    <sheet xmlns:r="http://schemas.openxmlformats.org/officeDocument/2006/relationships" name="Necesidades_2026" sheetId="15" state="hidden" r:id="rId15"/>
  </sheets>
  <definedNames>
    <definedName name="L_AREAS" hidden="0" function="0" vbProcedure="0">Dependencias!$L$5:$L$51</definedName>
    <definedName name="L_DECISION" hidden="0" function="0" vbProcedure="0">Compromisos_2026!$U$4:$U$7</definedName>
    <definedName name="L_DIM" hidden="0" function="0" vbProcedure="0">Catalogos!$AG$5:$AG$8</definedName>
    <definedName name="L_IMP" hidden="0" function="0" vbProcedure="0">Catalogos!$W$5:$W$25</definedName>
    <definedName name="L_METAS" hidden="0" function="0" vbProcedure="0">Catalogos!$L$5:$L$49</definedName>
    <definedName name="L_ORIGEN" hidden="0" function="0" vbProcedure="0">Catalogos!$AK$5:$AK$9</definedName>
    <definedName name="L_SINO" hidden="0" function="0" vbProcedure="0">Catalogos!$AI$5:$AI$6</definedName>
    <definedName name="L_VALID">'Acciones_2027'!$X$2:$X$5</definedName>
    <definedName name="PN_AREAS">'Catalogos_PDN'!$Q$5:$Q$51</definedName>
    <definedName name="PN_ESTVF">'Catalogos_PDN'!$AF$5:$AF$8</definedName>
    <definedName name="PN_FUENTE">'Catalogos_PDN'!$AC$5:$AC$12</definedName>
    <definedName name="PN_GASTO">'Catalogos_PDN'!$AD$5:$AD$6</definedName>
    <definedName name="PN_MESES">'Catalogos_PDN'!$Z$5:$Z$16</definedName>
    <definedName name="PN_METAS">'Catalogos_PDN'!$I$5:$I$49</definedName>
    <definedName name="PN_MOD">'Catalogos_PDN'!$AB$5:$AB$11</definedName>
    <definedName name="PN_PRIOR">'Catalogos_PDN'!$AH$5:$AH$7</definedName>
    <definedName name="PN_REG2026">'Necesidades_2026'!$A$5:$A$428</definedName>
    <definedName name="PN_SINO">'Catalogos_PDN'!$AE$5:$AE$6</definedName>
    <definedName name="PN_TIPO">'Catalogos_PDN'!$AG$5:$AG$15</definedName>
    <definedName name="PN_UNIDAD">'Catalogos_PDN'!$AA$5:$AA$7</definedName>
    <definedName name="PN_FECHA">'Catalogos_PDN'!$AN$8</definedName>
    <definedName name="PN_SMMLV">'Catalogos_PDN'!$AN$7</definedName>
    <definedName name="PN_TOPE_MENOR">'Catalogos_PDN'!$AN$5</definedName>
    <definedName name="PN_TOPE_MINIMA">'Catalogos_PDN'!$AN$6</definedName>
    <definedName name="_xlnm._FilterDatabase" localSheetId="7" hidden="1">'PlandeNecesidades'!$A$6:$AJ$506</definedName>
    <definedName name="_xlnm._FilterDatabase" localSheetId="8" hidden="1">'Compromisos_2026'!$A$3:$R$77</definedName>
    <definedName name="_xlnm._FilterDatabase" localSheetId="14" hidden="1">'Necesidades_2026'!$A$4:$O$428</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dd/mm/yyyy"/>
    <numFmt numFmtId="165" formatCode="\$#,##0"/>
  </numFmts>
  <fonts count="42">
    <font>
      <name val="Calibri"/>
      <charset val="1"/>
      <family val="2"/>
      <color theme="1"/>
      <sz val="11"/>
    </font>
    <font>
      <name val="Arial"/>
      <family val="0"/>
      <sz val="10"/>
    </font>
    <font>
      <name val="Arial"/>
      <family val="0"/>
      <sz val="10"/>
    </font>
    <font>
      <name val="Arial"/>
      <family val="0"/>
      <sz val="10"/>
    </font>
    <font>
      <name val="Arial"/>
      <charset val="1"/>
      <family val="2"/>
      <b val="1"/>
      <color rgb="FF1E5631"/>
      <sz val="14"/>
    </font>
    <font>
      <name val="Arial"/>
      <charset val="1"/>
      <family val="2"/>
      <i val="1"/>
      <color rgb="FF595959"/>
      <sz val="10"/>
    </font>
    <font>
      <name val="Arial"/>
      <charset val="1"/>
      <family val="2"/>
      <b val="1"/>
      <color rgb="FF1E5631"/>
      <sz val="11"/>
    </font>
    <font>
      <name val="Arial"/>
      <charset val="1"/>
      <family val="2"/>
      <sz val="10"/>
    </font>
    <font>
      <name val="Arial"/>
      <charset val="1"/>
      <family val="2"/>
      <b val="1"/>
      <color rgb="FF000000"/>
      <sz val="10"/>
    </font>
    <font>
      <name val="Arial"/>
      <charset val="1"/>
      <family val="2"/>
      <color rgb="FF000000"/>
      <sz val="10"/>
    </font>
    <font>
      <name val="Arial"/>
      <charset val="1"/>
      <family val="2"/>
      <b val="1"/>
      <color rgb="FFFFFFFF"/>
      <sz val="10"/>
    </font>
    <font>
      <name val="Arial"/>
      <charset val="1"/>
      <family val="2"/>
      <b val="1"/>
      <sz val="10"/>
    </font>
    <font>
      <name val="Arial"/>
      <charset val="1"/>
      <family val="2"/>
      <b val="1"/>
      <sz val="11"/>
    </font>
    <font>
      <name val="Arial"/>
      <charset val="1"/>
      <family val="2"/>
      <i val="1"/>
      <sz val="9"/>
    </font>
    <font>
      <name val="Arial"/>
      <charset val="1"/>
      <family val="2"/>
      <b val="1"/>
      <color rgb="FF1E5631"/>
      <sz val="12"/>
    </font>
    <font>
      <name val="Calibri"/>
      <b val="1"/>
      <color rgb="00FFFFFF"/>
      <sz val="16"/>
    </font>
    <font>
      <name val="Calibri"/>
      <color rgb="001F2D27"/>
      <sz val="11"/>
    </font>
    <font>
      <name val="Calibri"/>
      <i val="1"/>
      <color rgb="003D5950"/>
      <sz val="10.5"/>
    </font>
    <font>
      <name val="Calibri"/>
      <b val="1"/>
      <color rgb="000B4D3B"/>
      <sz val="12.5"/>
    </font>
    <font>
      <name val="Calibri"/>
      <b val="1"/>
      <color rgb="00FFFFFF"/>
      <sz val="10.5"/>
    </font>
    <font>
      <name val="Calibri"/>
      <color rgb="001F2D27"/>
      <sz val="10.5"/>
    </font>
    <font>
      <name val="Calibri"/>
      <b val="1"/>
      <color rgb="000563C1"/>
      <sz val="11"/>
      <u val="single"/>
    </font>
    <font>
      <name val="Calibri"/>
      <i val="1"/>
      <color rgb="000F6B4B"/>
      <sz val="10.5"/>
    </font>
    <font>
      <name val="Arial"/>
      <family val="2"/>
      <b val="1"/>
      <sz val="11"/>
    </font>
    <font>
      <name val="Arial"/>
      <family val="2"/>
      <b val="1"/>
      <color rgb="FFFFFFFF"/>
      <sz val="11"/>
    </font>
    <font>
      <name val="Arial"/>
      <family val="2"/>
      <color rgb="FF000000"/>
      <sz val="11"/>
    </font>
    <font>
      <name val="Calibri"/>
      <b val="1"/>
      <color rgb="001F2D27"/>
      <sz val="10"/>
    </font>
    <font>
      <name val="Calibri"/>
      <color rgb="001F2D27"/>
      <sz val="10"/>
    </font>
    <font>
      <name val="Arial"/>
      <family val="2"/>
      <b val="1"/>
      <color rgb="FF1E5631"/>
      <sz val="14"/>
    </font>
    <font>
      <name val="Arial"/>
      <family val="2"/>
      <b val="1"/>
      <color rgb="FFFFFFFF"/>
      <sz val="10"/>
    </font>
    <font>
      <name val="Arial"/>
      <family val="2"/>
      <b val="1"/>
      <sz val="10"/>
    </font>
    <font>
      <name val="Arial"/>
      <family val="2"/>
      <color rgb="FF000000"/>
      <sz val="10"/>
    </font>
    <font>
      <name val="Calibri"/>
      <b val="1"/>
      <color rgb="000B4D3B"/>
      <sz val="10"/>
    </font>
    <font>
      <name val="Calibri"/>
      <b val="1"/>
      <color rgb="00FFFFFF"/>
      <sz val="11"/>
    </font>
    <font>
      <name val="Calibri"/>
      <b val="1"/>
      <strike val="0"/>
      <color rgb="FF000000"/>
      <sz val="11"/>
    </font>
    <font>
      <name val="Calibri"/>
      <b val="1"/>
      <strike val="0"/>
      <color rgb="FFFFFFFF"/>
      <sz val="11"/>
    </font>
    <font>
      <name val="Calibri"/>
      <i val="1"/>
      <color rgb="007F7F7F"/>
      <sz val="10"/>
    </font>
    <font>
      <name val="Arial"/>
      <family val="2"/>
      <color rgb="FF595959"/>
      <sz val="10"/>
    </font>
    <font>
      <name val="Arial"/>
      <family val="2"/>
      <color rgb="FF000000"/>
      <sz val="9"/>
    </font>
    <font>
      <name val="Arial"/>
      <family val="2"/>
      <i val="1"/>
      <color rgb="FF000000"/>
      <sz val="9"/>
    </font>
    <font>
      <name val="Arial"/>
      <family val="2"/>
      <b val="1"/>
      <color rgb="FF000000"/>
      <sz val="10"/>
    </font>
    <font>
      <name val="Calibri"/>
      <b val="1"/>
      <color rgb="000563C1"/>
      <sz val="10"/>
      <u val="single"/>
    </font>
  </fonts>
  <fills count="31">
    <fill>
      <patternFill/>
    </fill>
    <fill>
      <patternFill patternType="gray125"/>
    </fill>
    <fill>
      <patternFill patternType="solid">
        <fgColor rgb="FFEDEDED"/>
        <bgColor rgb="FFFFF2CC"/>
      </patternFill>
    </fill>
    <fill>
      <patternFill patternType="solid">
        <fgColor rgb="FF1E5631"/>
        <bgColor rgb="FF333300"/>
      </patternFill>
    </fill>
    <fill>
      <patternFill patternType="solid">
        <fgColor rgb="FFFFF2CC"/>
        <bgColor rgb="FFEDEDED"/>
      </patternFill>
    </fill>
    <fill>
      <patternFill patternType="solid">
        <fgColor rgb="FFFFD966"/>
        <bgColor rgb="FFF8CBAD"/>
      </patternFill>
    </fill>
    <fill>
      <patternFill patternType="solid">
        <fgColor rgb="FF595959"/>
        <bgColor rgb="FF1E5631"/>
      </patternFill>
    </fill>
    <fill>
      <patternFill patternType="solid">
        <fgColor rgb="000B4D3B"/>
      </patternFill>
    </fill>
    <fill>
      <patternFill patternType="solid">
        <fgColor rgb="00E2EFE6"/>
      </patternFill>
    </fill>
    <fill>
      <patternFill patternType="solid">
        <fgColor rgb="000F6B4B"/>
      </patternFill>
    </fill>
    <fill>
      <patternFill patternType="solid">
        <fgColor rgb="00F5F9F6"/>
      </patternFill>
    </fill>
    <fill>
      <patternFill patternType="solid">
        <fgColor rgb="00F2F8F4"/>
      </patternFill>
    </fill>
    <fill>
      <patternFill patternType="solid">
        <fgColor theme="9" tint="0.5999938962981048"/>
        <bgColor rgb="FF1F4E78"/>
      </patternFill>
    </fill>
    <fill>
      <patternFill patternType="solid">
        <fgColor theme="4" tint="0.3999755851924192"/>
        <bgColor rgb="FF0066CC"/>
      </patternFill>
    </fill>
    <fill>
      <patternFill patternType="solid">
        <fgColor theme="4" tint="0.3999755851924192"/>
        <bgColor rgb="FF1F4E78"/>
      </patternFill>
    </fill>
    <fill>
      <patternFill patternType="solid">
        <fgColor rgb="FF7030A0"/>
        <bgColor rgb="FF993366"/>
      </patternFill>
    </fill>
    <fill>
      <patternFill patternType="solid">
        <fgColor rgb="FF7030A0"/>
        <bgColor rgb="FF1F4E78"/>
      </patternFill>
    </fill>
    <fill>
      <patternFill patternType="solid">
        <fgColor theme="7" tint="0.5999938962981048"/>
        <bgColor rgb="FF1F4E78"/>
      </patternFill>
    </fill>
    <fill>
      <patternFill patternType="solid">
        <fgColor rgb="FFC6EFCE"/>
        <bgColor rgb="FFE2EFDA"/>
      </patternFill>
    </fill>
    <fill>
      <patternFill patternType="solid">
        <fgColor rgb="00E8F3EC"/>
      </patternFill>
    </fill>
    <fill>
      <patternFill patternType="solid">
        <fgColor rgb="00F3EEF9"/>
      </patternFill>
    </fill>
    <fill>
      <patternFill patternType="solid">
        <fgColor rgb="FFFFF2CC"/>
        <bgColor rgb="FFFCE4D6"/>
      </patternFill>
    </fill>
    <fill>
      <patternFill patternType="solid">
        <fgColor rgb="FFBDD7EE"/>
        <bgColor rgb="FFC6EFCE"/>
      </patternFill>
    </fill>
    <fill>
      <patternFill patternType="solid">
        <fgColor rgb="FFE4DFEC"/>
        <bgColor rgb="FFDDEBF7"/>
      </patternFill>
    </fill>
    <fill>
      <patternFill patternType="solid">
        <fgColor rgb="FFF8CBAD"/>
        <bgColor rgb="FFFCE4D6"/>
      </patternFill>
    </fill>
    <fill>
      <patternFill patternType="solid">
        <fgColor rgb="FF1E5631"/>
        <bgColor rgb="FF1F4E78"/>
      </patternFill>
    </fill>
    <fill>
      <patternFill patternType="solid">
        <fgColor rgb="FFEDEDED"/>
        <bgColor rgb="FFE2EFDA"/>
      </patternFill>
    </fill>
    <fill>
      <patternFill patternType="solid">
        <fgColor rgb="FF1F6F3E"/>
        <bgColor rgb="FF000000"/>
      </patternFill>
    </fill>
    <fill>
      <patternFill patternType="solid">
        <fgColor rgb="FF1E5631"/>
        <bgColor rgb="FF006100"/>
      </patternFill>
    </fill>
    <fill>
      <patternFill patternType="solid">
        <fgColor rgb="FFE2EFDA"/>
        <bgColor rgb="FFEDEDED"/>
      </patternFill>
    </fill>
    <fill>
      <patternFill patternType="solid">
        <fgColor rgb="FFFFD966"/>
        <bgColor rgb="FFFFCC00"/>
      </patternFill>
    </fill>
  </fills>
  <borders count="20">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top style="thin">
        <color rgb="FFBFBFBF"/>
      </top>
      <bottom style="thin">
        <color rgb="FFBFBFBF"/>
      </bottom>
      <diagonal/>
    </border>
    <border>
      <bottom style="medium">
        <color rgb="00188B58"/>
      </bottom>
    </border>
    <border>
      <left style="thin">
        <color rgb="00BFC9C3"/>
      </left>
      <right style="thin">
        <color rgb="00BFC9C3"/>
      </right>
      <top style="thin">
        <color rgb="00BFC9C3"/>
      </top>
      <bottom style="thin">
        <color rgb="00BFC9C3"/>
      </bottom>
    </border>
    <border>
      <left style="medium">
        <color indexed="64"/>
      </left>
      <right/>
      <top style="medium">
        <color indexed="64"/>
      </top>
      <bottom/>
      <diagonal/>
    </border>
    <border>
      <left style="medium">
        <color indexed="64"/>
      </left>
      <right style="thin">
        <color rgb="FFBFBFBF"/>
      </right>
      <top style="thin">
        <color rgb="FFBFBFBF"/>
      </top>
      <bottom style="thin">
        <color rgb="FFBFBFBF"/>
      </bottom>
      <diagonal/>
    </border>
    <border>
      <left/>
      <right/>
      <top style="medium">
        <color indexed="64"/>
      </top>
      <bottom/>
      <diagonal/>
    </border>
    <border>
      <left/>
      <right style="medium">
        <color indexed="64"/>
      </right>
      <top style="medium">
        <color indexed="64"/>
      </top>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medium">
        <color indexed="64"/>
      </left>
      <right style="thin">
        <color rgb="FFBFBFBF"/>
      </right>
      <top/>
      <bottom style="thin">
        <color rgb="FFBFBFBF"/>
      </bottom>
      <diagonal/>
    </border>
    <border>
      <left style="thin">
        <color rgb="FFBFBFBF"/>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medium">
        <color indexed="64"/>
      </left>
      <right/>
      <top/>
      <bottom/>
      <diagonal/>
    </border>
    <border>
      <left style="thin">
        <color rgb="FFBFBFBF"/>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1" applyAlignment="1" pivotButton="0" quotePrefix="0" xfId="0">
      <alignment horizontal="general" vertical="top" wrapText="1"/>
    </xf>
    <xf numFmtId="0" fontId="9" fillId="0" borderId="2" applyAlignment="1" pivotButton="0" quotePrefix="0" xfId="0">
      <alignment horizontal="general" vertical="top" wrapText="1"/>
    </xf>
    <xf numFmtId="0" fontId="4" fillId="0" borderId="0" applyAlignment="1" pivotButton="0" quotePrefix="0" xfId="0">
      <alignment horizontal="general" vertical="bottom"/>
    </xf>
    <xf numFmtId="0" fontId="10" fillId="3" borderId="1" applyAlignment="1" pivotButton="0" quotePrefix="0" xfId="0">
      <alignment horizontal="center" vertical="center" wrapText="1"/>
    </xf>
    <xf numFmtId="0" fontId="11" fillId="0" borderId="0" applyAlignment="1" pivotButton="0" quotePrefix="0" xfId="0">
      <alignment horizontal="general" vertical="bottom"/>
    </xf>
    <xf numFmtId="0" fontId="9" fillId="0" borderId="1" applyAlignment="1" pivotButton="0" quotePrefix="0" xfId="0">
      <alignment horizontal="general" vertical="top" wrapText="1"/>
    </xf>
    <xf numFmtId="0" fontId="9" fillId="4" borderId="1" applyAlignment="1" applyProtection="1" pivotButton="0" quotePrefix="0" xfId="0">
      <alignment horizontal="general" vertical="top" wrapText="1"/>
      <protection locked="0" hidden="0"/>
    </xf>
    <xf numFmtId="0" fontId="9" fillId="2" borderId="1" applyAlignment="1" pivotButton="0" quotePrefix="0" xfId="0">
      <alignment horizontal="general" vertical="top" wrapText="1"/>
    </xf>
    <xf numFmtId="0" fontId="0" fillId="0" borderId="0" applyAlignment="1" pivotButton="0" quotePrefix="0" xfId="0">
      <alignment horizontal="general" vertical="bottom"/>
    </xf>
    <xf numFmtId="0" fontId="12" fillId="4" borderId="2" applyAlignment="1" applyProtection="1" pivotButton="0" quotePrefix="0" xfId="0">
      <alignment horizontal="general" vertical="bottom"/>
      <protection locked="0" hidden="0"/>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8" fillId="5" borderId="1" applyAlignment="1" pivotButton="0" quotePrefix="0" xfId="0">
      <alignment horizontal="center" vertical="center" wrapText="1"/>
    </xf>
    <xf numFmtId="164" fontId="9" fillId="4" borderId="1" applyAlignment="1" applyProtection="1" pivotButton="0" quotePrefix="0" xfId="0">
      <alignment horizontal="general" vertical="top" wrapText="1"/>
      <protection locked="0" hidden="0"/>
    </xf>
    <xf numFmtId="0" fontId="10" fillId="6" borderId="0" applyAlignment="1" pivotButton="0" quotePrefix="0" xfId="0">
      <alignment horizontal="center" vertical="center" wrapText="1"/>
    </xf>
    <xf numFmtId="0" fontId="11" fillId="5" borderId="0" applyAlignment="1" pivotButton="0" quotePrefix="0" xfId="0">
      <alignment horizontal="center" vertical="center" wrapText="1"/>
    </xf>
    <xf numFmtId="0" fontId="10" fillId="3" borderId="0" applyAlignment="1" pivotButton="0" quotePrefix="0" xfId="0">
      <alignment horizontal="center" vertical="center" wrapText="1"/>
    </xf>
    <xf numFmtId="0" fontId="10" fillId="6" borderId="1" applyAlignment="1" pivotButton="0" quotePrefix="0" xfId="0">
      <alignment horizontal="center" vertical="center" wrapText="1"/>
    </xf>
    <xf numFmtId="0" fontId="0" fillId="0" borderId="0" pivotButton="0" quotePrefix="0" xfId="0"/>
    <xf numFmtId="0" fontId="15" fillId="7" borderId="0" applyAlignment="1" pivotButton="0" quotePrefix="0" xfId="0">
      <alignment vertical="center" wrapText="1" indent="1"/>
    </xf>
    <xf numFmtId="0" fontId="17" fillId="0" borderId="0" applyAlignment="1" pivotButton="0" quotePrefix="0" xfId="0">
      <alignment vertical="top" wrapText="1" indent="1"/>
    </xf>
    <xf numFmtId="0" fontId="18" fillId="8" borderId="5" applyAlignment="1" pivotButton="0" quotePrefix="0" xfId="0">
      <alignment vertical="center" indent="1"/>
    </xf>
    <xf numFmtId="0" fontId="16" fillId="0" borderId="0" applyAlignment="1" pivotButton="0" quotePrefix="0" xfId="0">
      <alignment vertical="top" wrapText="1" indent="1"/>
    </xf>
    <xf numFmtId="0" fontId="19" fillId="9" borderId="6" applyAlignment="1" pivotButton="0" quotePrefix="0" xfId="0">
      <alignment horizontal="center" vertical="center" wrapText="1"/>
    </xf>
    <xf numFmtId="0" fontId="20" fillId="0" borderId="6" applyAlignment="1" pivotButton="0" quotePrefix="0" xfId="0">
      <alignment vertical="top" wrapText="1"/>
    </xf>
    <xf numFmtId="0" fontId="20" fillId="10" borderId="6" applyAlignment="1" pivotButton="0" quotePrefix="0" xfId="0">
      <alignment vertical="top" wrapText="1"/>
    </xf>
    <xf numFmtId="0" fontId="21" fillId="0" borderId="0" applyAlignment="1" pivotButton="0" quotePrefix="0" xfId="0">
      <alignment vertical="center" indent="1"/>
    </xf>
    <xf numFmtId="0" fontId="22" fillId="11" borderId="0" applyAlignment="1" pivotButton="0" quotePrefix="0" xfId="0">
      <alignment vertical="top" wrapText="1" indent="1"/>
    </xf>
    <xf numFmtId="0" fontId="23" fillId="12" borderId="7" applyAlignment="1" pivotButton="0" quotePrefix="0" xfId="0">
      <alignment horizontal="center" vertical="center" wrapText="1"/>
    </xf>
    <xf numFmtId="0" fontId="0" fillId="0" borderId="9" pivotButton="0" quotePrefix="0" xfId="0"/>
    <xf numFmtId="0" fontId="23" fillId="13" borderId="9" applyAlignment="1" pivotButton="0" quotePrefix="0" xfId="0">
      <alignment horizontal="center" vertical="center" wrapText="1"/>
    </xf>
    <xf numFmtId="0" fontId="24" fillId="15" borderId="9" applyAlignment="1" pivotButton="0" quotePrefix="0" xfId="0">
      <alignment horizontal="center" vertical="center" wrapText="1"/>
    </xf>
    <xf numFmtId="0" fontId="23" fillId="17" borderId="10" applyAlignment="1" pivotButton="0" quotePrefix="0" xfId="0">
      <alignment horizontal="center" vertical="center" wrapText="1"/>
    </xf>
    <xf numFmtId="0" fontId="23" fillId="12" borderId="8" applyAlignment="1" pivotButton="0" quotePrefix="0" xfId="0">
      <alignment horizontal="center" vertical="center" wrapText="1"/>
    </xf>
    <xf numFmtId="0" fontId="23" fillId="12" borderId="1" applyAlignment="1" pivotButton="0" quotePrefix="0" xfId="0">
      <alignment horizontal="center" vertical="center" wrapText="1"/>
    </xf>
    <xf numFmtId="0" fontId="23" fillId="14" borderId="1" applyAlignment="1" pivotButton="0" quotePrefix="0" xfId="0">
      <alignment horizontal="center" vertical="center" wrapText="1"/>
    </xf>
    <xf numFmtId="0" fontId="24" fillId="16" borderId="1" applyAlignment="1" pivotButton="0" quotePrefix="0" xfId="0">
      <alignment horizontal="center" vertical="center" wrapText="1"/>
    </xf>
    <xf numFmtId="0" fontId="23" fillId="17" borderId="1" applyAlignment="1" pivotButton="0" quotePrefix="0" xfId="0">
      <alignment horizontal="center" vertical="center" wrapText="1"/>
    </xf>
    <xf numFmtId="0" fontId="25" fillId="0" borderId="8" applyAlignment="1" pivotButton="0" quotePrefix="0" xfId="0">
      <alignment horizontal="left" vertical="top" wrapText="1"/>
    </xf>
    <xf numFmtId="0" fontId="25" fillId="0" borderId="1" applyAlignment="1" pivotButton="0" quotePrefix="0" xfId="0">
      <alignment horizontal="left" vertical="top" wrapText="1"/>
    </xf>
    <xf numFmtId="0" fontId="25" fillId="18" borderId="1" applyAlignment="1" pivotButton="0" quotePrefix="0" xfId="0">
      <alignment horizontal="left" vertical="top" wrapText="1"/>
    </xf>
    <xf numFmtId="0" fontId="23" fillId="0" borderId="1" applyAlignment="1" pivotButton="0" quotePrefix="0" xfId="0">
      <alignment horizontal="left" vertical="top" wrapText="1"/>
    </xf>
    <xf numFmtId="0" fontId="26" fillId="19" borderId="6" applyAlignment="1" pivotButton="0" quotePrefix="0" xfId="0">
      <alignment vertical="top" wrapText="1"/>
    </xf>
    <xf numFmtId="0" fontId="27" fillId="0" borderId="6" applyAlignment="1" pivotButton="0" quotePrefix="0" xfId="0">
      <alignment vertical="top" wrapText="1"/>
    </xf>
    <xf numFmtId="0" fontId="27" fillId="20" borderId="6" applyAlignment="1" pivotButton="0" quotePrefix="0" xfId="0">
      <alignment vertical="top" wrapText="1"/>
    </xf>
    <xf numFmtId="0" fontId="27" fillId="0" borderId="6" applyAlignment="1" pivotButton="0" quotePrefix="0" xfId="0">
      <alignment horizontal="center" vertical="top"/>
    </xf>
    <xf numFmtId="0" fontId="0" fillId="0" borderId="12" pivotButton="0" quotePrefix="0" xfId="0"/>
    <xf numFmtId="0" fontId="0" fillId="0" borderId="13" pivotButton="0" quotePrefix="0" xfId="0"/>
    <xf numFmtId="0" fontId="0" fillId="0" borderId="14" pivotButton="0" quotePrefix="0" xfId="0"/>
    <xf numFmtId="0" fontId="25" fillId="21" borderId="1" applyAlignment="1" pivotButton="0" quotePrefix="0" xfId="0">
      <alignment horizontal="left" vertical="top" wrapText="1"/>
    </xf>
    <xf numFmtId="0" fontId="25" fillId="22" borderId="1" applyAlignment="1" pivotButton="0" quotePrefix="0" xfId="0">
      <alignment horizontal="left" vertical="top" wrapText="1"/>
    </xf>
    <xf numFmtId="0" fontId="0" fillId="0" borderId="15" pivotButton="0" quotePrefix="0" xfId="0"/>
    <xf numFmtId="0" fontId="25" fillId="23" borderId="1" applyAlignment="1" pivotButton="0" quotePrefix="0" xfId="0">
      <alignment horizontal="left" vertical="top" wrapText="1"/>
    </xf>
    <xf numFmtId="0" fontId="25" fillId="24" borderId="1" applyAlignment="1" pivotButton="0" quotePrefix="0" xfId="0">
      <alignment horizontal="left" vertical="top" wrapText="1"/>
    </xf>
    <xf numFmtId="0" fontId="25" fillId="0" borderId="16" applyAlignment="1" pivotButton="0" quotePrefix="0" xfId="0">
      <alignment horizontal="left" vertical="top" wrapText="1"/>
    </xf>
    <xf numFmtId="0" fontId="25" fillId="21" borderId="16" applyAlignment="1" pivotButton="0" quotePrefix="0" xfId="0">
      <alignment horizontal="left" vertical="top" wrapText="1"/>
    </xf>
    <xf numFmtId="0" fontId="23" fillId="0" borderId="16" applyAlignment="1" pivotButton="0" quotePrefix="0" xfId="0">
      <alignment horizontal="left" vertical="top" wrapText="1"/>
    </xf>
    <xf numFmtId="0" fontId="28" fillId="0" borderId="0" pivotButton="0" quotePrefix="0" xfId="0"/>
    <xf numFmtId="0" fontId="29" fillId="25" borderId="1" applyAlignment="1" pivotButton="0" quotePrefix="0" xfId="0">
      <alignment horizontal="center" vertical="center" wrapText="1"/>
    </xf>
    <xf numFmtId="0" fontId="30" fillId="5" borderId="1" applyAlignment="1" pivotButton="0" quotePrefix="0" xfId="0">
      <alignment horizontal="center" vertical="center" wrapText="1"/>
    </xf>
    <xf numFmtId="0" fontId="31" fillId="0" borderId="1" applyAlignment="1" pivotButton="0" quotePrefix="0" xfId="0">
      <alignment vertical="top" wrapText="1"/>
    </xf>
    <xf numFmtId="0" fontId="32" fillId="0" borderId="1" applyAlignment="1" pivotButton="0" quotePrefix="0" xfId="0">
      <alignment horizontal="center" vertical="top"/>
    </xf>
    <xf numFmtId="0" fontId="31" fillId="26" borderId="1" applyAlignment="1" pivotButton="0" quotePrefix="0" xfId="0">
      <alignment vertical="top" wrapText="1"/>
    </xf>
    <xf numFmtId="0" fontId="31" fillId="21" borderId="1" applyAlignment="1" applyProtection="1" pivotButton="0" quotePrefix="0" xfId="0">
      <alignment vertical="top" wrapText="1"/>
      <protection locked="0" hidden="0"/>
    </xf>
    <xf numFmtId="164" fontId="31" fillId="21" borderId="1" applyAlignment="1" applyProtection="1" pivotButton="0" quotePrefix="0" xfId="0">
      <alignment vertical="top" wrapText="1"/>
      <protection locked="0" hidden="0"/>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13" fillId="0" borderId="0" applyAlignment="1" pivotButton="0" quotePrefix="0" xfId="0">
      <alignment horizontal="general" vertical="bottom"/>
    </xf>
    <xf numFmtId="0" fontId="10" fillId="6" borderId="0" applyAlignment="1" pivotButton="0" quotePrefix="0" xfId="0">
      <alignment horizontal="center" vertical="center" wrapText="1"/>
    </xf>
    <xf numFmtId="0" fontId="11" fillId="5" borderId="0" applyAlignment="1" pivotButton="0" quotePrefix="0" xfId="0">
      <alignment horizontal="center" vertical="center" wrapText="1"/>
    </xf>
    <xf numFmtId="0" fontId="10" fillId="3" borderId="0" applyAlignment="1" pivotButton="0" quotePrefix="0" xfId="0">
      <alignment horizontal="center" vertical="center" wrapText="1"/>
    </xf>
    <xf numFmtId="0" fontId="10" fillId="6" borderId="1" applyAlignment="1" pivotButton="0" quotePrefix="0" xfId="0">
      <alignment horizontal="center" vertical="center" wrapText="1"/>
    </xf>
    <xf numFmtId="0" fontId="8" fillId="5" borderId="1" applyAlignment="1" pivotButton="0" quotePrefix="0" xfId="0">
      <alignment horizontal="center" vertical="center" wrapText="1"/>
    </xf>
    <xf numFmtId="0" fontId="10" fillId="3" borderId="1" applyAlignment="1" pivotButton="0" quotePrefix="0" xfId="0">
      <alignment horizontal="center" vertical="center" wrapText="1"/>
    </xf>
    <xf numFmtId="0" fontId="33" fillId="7" borderId="0" applyAlignment="1" pivotButton="0" quotePrefix="0" xfId="0">
      <alignment vertical="center" wrapText="1" indent="1"/>
    </xf>
    <xf numFmtId="0" fontId="9" fillId="2" borderId="1" applyAlignment="1" pivotButton="0" quotePrefix="0" xfId="0">
      <alignment horizontal="general" vertical="top" wrapText="1"/>
    </xf>
    <xf numFmtId="0" fontId="9" fillId="4" borderId="1" applyAlignment="1" applyProtection="1" pivotButton="0" quotePrefix="0" xfId="0">
      <alignment horizontal="general" vertical="top" wrapText="1"/>
      <protection locked="0" hidden="0"/>
    </xf>
    <xf numFmtId="164" fontId="9" fillId="4" borderId="1" applyAlignment="1" applyProtection="1" pivotButton="0" quotePrefix="0" xfId="0">
      <alignment horizontal="general" vertical="top" wrapText="1"/>
      <protection locked="0" hidden="0"/>
    </xf>
    <xf numFmtId="0" fontId="9" fillId="0" borderId="1" applyAlignment="1" pivotButton="0" quotePrefix="0" xfId="0">
      <alignment horizontal="general" vertical="top" wrapText="1"/>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11" fillId="0" borderId="0" applyAlignment="1" pivotButton="0" quotePrefix="0" xfId="0">
      <alignment horizontal="general" vertical="bottom"/>
    </xf>
    <xf numFmtId="0" fontId="12" fillId="4" borderId="2" applyAlignment="1" applyProtection="1" pivotButton="0" quotePrefix="0" xfId="0">
      <alignment horizontal="general" vertical="bottom"/>
      <protection locked="0" hidden="0"/>
    </xf>
    <xf numFmtId="0" fontId="0" fillId="0" borderId="4" applyProtection="1" pivotButton="0" quotePrefix="0" xfId="0">
      <protection locked="0" hidden="0"/>
    </xf>
    <xf numFmtId="0" fontId="10" fillId="3" borderId="1" applyAlignment="1" pivotButton="0" quotePrefix="0" xfId="0">
      <alignment horizontal="center" vertical="center" wrapText="1"/>
    </xf>
    <xf numFmtId="0" fontId="9" fillId="0" borderId="1" applyAlignment="1" pivotButton="0" quotePrefix="0" xfId="0">
      <alignment horizontal="general" vertical="top" wrapText="1"/>
    </xf>
    <xf numFmtId="0" fontId="9" fillId="2" borderId="1" applyAlignment="1" pivotButton="0" quotePrefix="0" xfId="0">
      <alignment horizontal="general" vertical="top" wrapText="1"/>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8" fillId="5" borderId="1" applyAlignment="1" pivotButton="0" quotePrefix="0" xfId="0">
      <alignment horizontal="center" vertical="center" wrapText="1"/>
    </xf>
    <xf numFmtId="0" fontId="9" fillId="4" borderId="1" applyAlignment="1" applyProtection="1" pivotButton="0" quotePrefix="0" xfId="0">
      <alignment horizontal="general" vertical="top" wrapText="1"/>
      <protection locked="0" hidden="0"/>
    </xf>
    <xf numFmtId="164" fontId="9" fillId="4" borderId="1" applyAlignment="1" applyProtection="1" pivotButton="0" quotePrefix="0" xfId="0">
      <alignment horizontal="general" vertical="top" wrapText="1"/>
      <protection locked="0" hidden="0"/>
    </xf>
    <xf numFmtId="0" fontId="35" fillId="27" borderId="0" applyAlignment="1" pivotButton="0" quotePrefix="0" xfId="0">
      <alignment horizontal="center" vertical="center" wrapText="1"/>
    </xf>
    <xf numFmtId="0" fontId="36" fillId="0" borderId="0" applyAlignment="1" applyProtection="1" pivotButton="0" quotePrefix="0" xfId="0">
      <alignment vertical="top" wrapText="1"/>
      <protection locked="0" hidden="0"/>
    </xf>
    <xf numFmtId="0" fontId="0" fillId="0" borderId="0" applyAlignment="1" applyProtection="1" pivotButton="0" quotePrefix="0" xfId="0">
      <alignment vertical="top" wrapText="1"/>
      <protection locked="0" hidden="0"/>
    </xf>
    <xf numFmtId="0" fontId="37" fillId="0" borderId="0" applyAlignment="1" pivotButton="0" quotePrefix="0" xfId="0">
      <alignment vertical="top"/>
    </xf>
    <xf numFmtId="0" fontId="39" fillId="0" borderId="0" pivotButton="0" quotePrefix="0" xfId="0"/>
    <xf numFmtId="0" fontId="41" fillId="0" borderId="0" pivotButton="0" quotePrefix="0" xfId="0"/>
    <xf numFmtId="0" fontId="29" fillId="6" borderId="0" applyAlignment="1" pivotButton="0" quotePrefix="0" xfId="0">
      <alignment horizontal="center" vertical="center" wrapText="1"/>
    </xf>
    <xf numFmtId="0" fontId="40" fillId="30" borderId="0" applyAlignment="1" pivotButton="0" quotePrefix="0" xfId="0">
      <alignment horizontal="center" vertical="center" wrapText="1"/>
    </xf>
    <xf numFmtId="0" fontId="29" fillId="28" borderId="0" applyAlignment="1" pivotButton="0" quotePrefix="0" xfId="0">
      <alignment horizontal="center" vertical="center" wrapText="1"/>
    </xf>
    <xf numFmtId="0" fontId="29" fillId="6" borderId="1" applyAlignment="1" pivotButton="0" quotePrefix="0" xfId="0">
      <alignment horizontal="center" vertical="center" wrapText="1"/>
    </xf>
    <xf numFmtId="0" fontId="40" fillId="30" borderId="1" applyAlignment="1" pivotButton="0" quotePrefix="0" xfId="0">
      <alignment horizontal="center" vertical="center" wrapText="1"/>
    </xf>
    <xf numFmtId="0" fontId="29" fillId="28" borderId="1" applyAlignment="1" pivotButton="0" quotePrefix="0" xfId="0">
      <alignment horizontal="center" vertical="center" wrapText="1"/>
    </xf>
    <xf numFmtId="0" fontId="38" fillId="26" borderId="1" applyAlignment="1" pivotButton="0" quotePrefix="0" xfId="0">
      <alignment vertical="top" wrapText="1"/>
    </xf>
    <xf numFmtId="0" fontId="38" fillId="4" borderId="1" applyAlignment="1" applyProtection="1" pivotButton="0" quotePrefix="0" xfId="0">
      <alignment vertical="top" wrapText="1"/>
      <protection locked="0" hidden="0"/>
    </xf>
    <xf numFmtId="1" fontId="38" fillId="4" borderId="1" applyAlignment="1" applyProtection="1" pivotButton="0" quotePrefix="0" xfId="0">
      <alignment vertical="top" wrapText="1"/>
      <protection locked="0" hidden="0"/>
    </xf>
    <xf numFmtId="165" fontId="38" fillId="4" borderId="1" applyAlignment="1" applyProtection="1" pivotButton="0" quotePrefix="0" xfId="0">
      <alignment vertical="top" wrapText="1"/>
      <protection locked="0" hidden="0"/>
    </xf>
    <xf numFmtId="0" fontId="38" fillId="0" borderId="1" applyAlignment="1" pivotButton="0" quotePrefix="0" xfId="0">
      <alignment vertical="top" wrapText="1"/>
    </xf>
    <xf numFmtId="0" fontId="0" fillId="0" borderId="0" applyAlignment="1" pivotButton="0" quotePrefix="0" xfId="0">
      <alignment horizontal="general" vertical="bottom"/>
    </xf>
    <xf numFmtId="0" fontId="34" fillId="0" borderId="0" pivotButton="0" quotePrefix="0" xfId="0"/>
    <xf numFmtId="0" fontId="38" fillId="0" borderId="0" applyAlignment="1" pivotButton="0" quotePrefix="0" xfId="0">
      <alignment vertical="top"/>
    </xf>
    <xf numFmtId="3" fontId="38" fillId="0" borderId="1" applyAlignment="1" pivotButton="0" quotePrefix="0" xfId="0">
      <alignment vertical="top" wrapText="1"/>
    </xf>
    <xf numFmtId="0" fontId="38" fillId="29" borderId="1" applyAlignment="1" pivotButton="0" quotePrefix="0" xfId="0">
      <alignment vertical="top" wrapText="1"/>
    </xf>
    <xf numFmtId="165" fontId="38" fillId="29" borderId="1"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patternType="solid">
          <fgColor rgb="FF1E5631"/>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2CC"/>
          <bgColor rgb="FF000000"/>
        </patternFill>
      </fill>
    </dxf>
    <dxf>
      <fill>
        <patternFill>
          <bgColor rgb="FFC6EFCE"/>
        </patternFill>
      </fill>
    </dxf>
    <dxf>
      <fill>
        <patternFill>
          <bgColor rgb="FFEDEDED"/>
        </patternFill>
      </fill>
    </dxf>
    <dxf>
      <fill>
        <patternFill>
          <bgColor rgb="FFF8CBAD"/>
        </patternFill>
      </fill>
    </dxf>
    <dxf>
      <fill>
        <patternFill patternType="solid">
          <fgColor rgb="FF595959"/>
          <bgColor rgb="FF000000"/>
        </patternFill>
      </fill>
    </dxf>
    <dxf>
      <fill>
        <patternFill patternType="solid">
          <fgColor rgb="FFEDEDED"/>
          <bgColor rgb="FF000000"/>
        </patternFill>
      </fill>
    </dxf>
    <dxf>
      <fill>
        <patternFill patternType="solid">
          <fgColor rgb="FFFFD966"/>
          <bgColor rgb="FF000000"/>
        </patternFill>
      </fill>
    </dxf>
    <dxf>
      <fill>
        <patternFill>
          <bgColor rgb="FFFFF2CC"/>
        </patternFill>
      </fill>
    </dxf>
    <dxf>
      <font>
        <name val="Arial"/>
        <charset val="1"/>
        <b val="1"/>
        <color rgb="FF006100"/>
        <sz val="9"/>
      </font>
      <fill>
        <patternFill>
          <bgColor rgb="FFC6EFCE"/>
        </patternFill>
      </fill>
    </dxf>
    <dxf>
      <font>
        <name val="Arial"/>
        <charset val="1"/>
        <color rgb="FF9C0006"/>
        <sz val="9"/>
      </font>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D966"/>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E563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Buscador_Formulaci&#243;n PAA 2027'!A1" TargetMode="External" Id="rId1"/><Relationship Type="http://schemas.openxmlformats.org/officeDocument/2006/relationships/hyperlink" Target="#'Plan_Acci&#243;n_2027'!A1" TargetMode="External" Id="rId2"/><Relationship Type="http://schemas.openxmlformats.org/officeDocument/2006/relationships/hyperlink" Target="#'Acciones_2027'!A1" TargetMode="External" Id="rId3"/><Relationship Type="http://schemas.openxmlformats.org/officeDocument/2006/relationships/hyperlink" Target="#'Formulaci&#243;n_Ejes_2027'!A1" TargetMode="External" Id="rId4"/><Relationship Type="http://schemas.openxmlformats.org/officeDocument/2006/relationships/hyperlink" Target="#'Importaci&#243;n_Formulaci&#243;nPAA2027'!A1" TargetMode="External" Id="rId5"/><Relationship Type="http://schemas.openxmlformats.org/officeDocument/2006/relationships/hyperlink" Target="#'PlandeNecesidades'!A1" TargetMode="External" Id="rId6"/></Relationships>
</file>

<file path=xl/worksheets/_rels/sheet2.xml.rels><Relationships xmlns="http://schemas.openxmlformats.org/package/2006/relationships"><Relationship Type="http://schemas.openxmlformats.org/officeDocument/2006/relationships/hyperlink" Target="#'PlandeNecesidades'!A1" TargetMode="External" Id="rId1"/><Relationship Type="http://schemas.openxmlformats.org/officeDocument/2006/relationships/hyperlink" Target="https://operaciones.colombiacompra.gov.co/clasificador-de-bienes-y-servicios" TargetMode="External" Id="rId2"/><Relationship Type="http://schemas.openxmlformats.org/officeDocument/2006/relationships/hyperlink" Target="#'PlandeNecesidades'!A1" TargetMode="External" Id="rId3"/></Relationships>
</file>

<file path=xl/worksheets/_rels/sheet8.xml.rels><Relationships xmlns="http://schemas.openxmlformats.org/package/2006/relationships"><Relationship Type="http://schemas.openxmlformats.org/officeDocument/2006/relationships/hyperlink" Target="#'Instructivo_PlanNecesidades'!A1" TargetMode="External" Id="rId1"/><Relationship Type="http://schemas.openxmlformats.org/officeDocument/2006/relationships/hyperlink" Target="https://operaciones.colombiacompra.gov.co/clasificador-de-bienes-y-servicios" TargetMode="External" Id="rId2"/></Relationships>
</file>

<file path=xl/worksheets/sheet1.xml><?xml version="1.0" encoding="utf-8"?>
<worksheet xmlns="http://schemas.openxmlformats.org/spreadsheetml/2006/main">
  <sheetPr>
    <tabColor rgb="00188B58"/>
    <outlinePr summaryBelow="1" summaryRight="1"/>
    <pageSetUpPr/>
  </sheetPr>
  <dimension ref="A1:D122"/>
  <sheetViews>
    <sheetView showGridLines="0" tabSelected="1" zoomScale="100" workbookViewId="0">
      <selection activeCell="A1" sqref="A1"/>
    </sheetView>
  </sheetViews>
  <sheetFormatPr baseColWidth="8" defaultRowHeight="15"/>
  <cols>
    <col width="26" customWidth="1" style="23" min="1" max="1"/>
    <col width="30" customWidth="1" style="23" min="2" max="2"/>
    <col width="30" customWidth="1" style="23" min="3" max="3"/>
    <col width="30" customWidth="1" style="23" min="4" max="4"/>
  </cols>
  <sheetData>
    <row r="1" ht="34" customHeight="1" s="23">
      <c r="A1" s="24" t="inlineStr">
        <is>
          <t>Plantilla Plan de Acción 2027, instructivo unificado</t>
        </is>
      </c>
    </row>
    <row r="2" ht="35" customHeight="1" s="23">
      <c r="A2" s="25" t="inlineStr">
        <is>
          <t>Escuela Tecnológica Instituto Técnico Central, Oficina Asesora de Planeación. Libro único de consulta y formulación del Plan de Acción y del Plan de Necesidades 2027. Las celdas amarillas son las únicas que se diligencian; el resto del libro está protegido.</t>
        </is>
      </c>
    </row>
    <row r="3"/>
    <row r="4" ht="22" customHeight="1" s="23">
      <c r="A4" s="26" t="inlineStr">
        <is>
          <t>1. Para qué sirve este libro</t>
        </is>
      </c>
    </row>
    <row r="5" ht="66" customHeight="1" s="23">
      <c r="A5" s="27" t="inlineStr">
        <is>
          <t>Este libro reúne en un solo archivo todo lo que una dependencia o un área funcional necesita para formular su aporte a la vigencia 2027. Aquí encuentra la propuesta del Plan de Acción que preparó la Oficina Asesora de Planeación, las acciones y actividades sugeridas para cada meta del Plan de Desarrollo Institucional (PDI) 2025 a 2032, el espacio para formular sus propias acciones, la hoja de importación que luego se carga en el SUIE y el formato del Plan de Necesidades.</t>
        </is>
      </c>
    </row>
    <row r="6" ht="51" customHeight="1" s="23">
      <c r="A6" s="27" t="inlineStr">
        <is>
          <t>El libro se descarga desde el aplicativo de la Jornada de Planeación. Una vez diligenciado, el área carga su formulación en el SUIE, porque ese cargue es el insumo con el que cada área trabajará durante la jornada del 18, 19 y 20 de noviembre de 2026. Sin ese insumo el área no podrá avanzar en los talleres.</t>
        </is>
      </c>
    </row>
    <row r="7"/>
    <row r="8" ht="22" customHeight="1" s="23">
      <c r="A8" s="26" t="inlineStr">
        <is>
          <t>2. La ruta en cinco pasos</t>
        </is>
      </c>
    </row>
    <row r="9" ht="30" customHeight="1" s="23">
      <c r="A9" s="28" t="inlineStr">
        <is>
          <t>Paso</t>
        </is>
      </c>
      <c r="B9" s="28" t="inlineStr">
        <is>
          <t>Qué hace el área</t>
        </is>
      </c>
      <c r="C9" s="28" t="n"/>
      <c r="D9" s="28" t="inlineStr">
        <is>
          <t>Dónde</t>
        </is>
      </c>
    </row>
    <row r="10" ht="35" customHeight="1" s="23">
      <c r="A10" s="29" t="inlineStr">
        <is>
          <t>1</t>
        </is>
      </c>
      <c r="B10" s="29" t="inlineStr">
        <is>
          <t>Ubica su área y revisa las metas que le corresponden, lo que se espera de ella en 2027 y sus compromisos pendientes de 2026.</t>
        </is>
      </c>
      <c r="C10" s="29" t="n"/>
      <c r="D10" s="29" t="inlineStr">
        <is>
          <t>Buscador_Formulación PAA 2027</t>
        </is>
      </c>
    </row>
    <row r="11" ht="49.5" customHeight="1" s="23">
      <c r="A11" s="30" t="inlineStr">
        <is>
          <t>2</t>
        </is>
      </c>
      <c r="B11" s="30" t="inlineStr">
        <is>
          <t>Lee cada meta en el Plan de Acción propuesto: qué cambia frente a 2026, las acciones sugeridas, las actividades que las componen y cómo se genera el impacto.</t>
        </is>
      </c>
      <c r="C11" s="30" t="n"/>
      <c r="D11" s="30" t="inlineStr">
        <is>
          <t>Plan_Acción_2027 y Acciones_2027</t>
        </is>
      </c>
    </row>
    <row r="12" ht="35" customHeight="1" s="23">
      <c r="A12" s="29" t="inlineStr">
        <is>
          <t>3</t>
        </is>
      </c>
      <c r="B12" s="29" t="inlineStr">
        <is>
          <t>Formula sus acciones, una por fila, en las columnas amarillas de la meta que le fue asignada.</t>
        </is>
      </c>
      <c r="C12" s="29" t="n"/>
      <c r="D12" s="29" t="inlineStr">
        <is>
          <t>Formulación_Ejes_2027</t>
        </is>
      </c>
    </row>
    <row r="13" ht="35" customHeight="1" s="23">
      <c r="A13" s="30" t="inlineStr">
        <is>
          <t>4</t>
        </is>
      </c>
      <c r="B13" s="30" t="inlineStr">
        <is>
          <t>Copia cada acción formulada en la hoja de importación, que es la que se carga en el SUIE.</t>
        </is>
      </c>
      <c r="C13" s="30" t="n"/>
      <c r="D13" s="30" t="inlineStr">
        <is>
          <t>Importación_FormulaciónPAA2027</t>
        </is>
      </c>
    </row>
    <row r="14" ht="35" customHeight="1" s="23">
      <c r="A14" s="29" t="inlineStr">
        <is>
          <t>5</t>
        </is>
      </c>
      <c r="B14" s="29" t="inlineStr">
        <is>
          <t>Registra los bienes, obras y servicios que cada acción requiere contratar.</t>
        </is>
      </c>
      <c r="C14" s="29" t="n"/>
      <c r="D14" s="29" t="inlineStr">
        <is>
          <t>PlandeNecesidades</t>
        </is>
      </c>
    </row>
    <row r="15"/>
    <row r="16" ht="20" customHeight="1" s="23">
      <c r="A16" s="31" t="inlineStr">
        <is>
          <t>Ir al Buscador para empezar</t>
        </is>
      </c>
    </row>
    <row r="17"/>
    <row r="18" ht="22" customHeight="1" s="23">
      <c r="A18" s="26" t="inlineStr">
        <is>
          <t>3. Cómo está organizado el Plan de Acción</t>
        </is>
      </c>
    </row>
    <row r="19" ht="66" customHeight="1" s="23">
      <c r="A19" s="27" t="inlineStr">
        <is>
          <t>El PDI 2025 a 2032 se organiza en seis ejes estratégicos, veinticuatro líneas de acción y cuarenta y cinco metas estratégicas con horizonte 2032. Cada meta tiene un código de cuatro niveles que se lee de izquierda a derecha: eje, línea, objetivo estratégico y meta. Así, la meta 1.1.1.1 es la primera meta del primer objetivo de la línea 1.1 (Ampliación de cobertura) del eje 1 (Formación y pedagogía de calidad).</t>
        </is>
      </c>
    </row>
    <row r="20" ht="51" customHeight="1" s="23">
      <c r="A20" s="27" t="inlineStr">
        <is>
          <t>El Plan de Acción es la forma como la Escuela convierte el PDI en trabajo de un año. Para cada meta se fija una meta institucional 2027, se definen las acciones que la harán posible y se nombran las áreas responsables. En 2027 la estructura conserva los seis ejes del PDI y se organiza así:</t>
        </is>
      </c>
    </row>
    <row r="21" ht="30" customHeight="1" s="23">
      <c r="A21" s="28" t="inlineStr">
        <is>
          <t>Eje estratégico</t>
        </is>
      </c>
      <c r="B21" s="28" t="inlineStr">
        <is>
          <t>Metas</t>
        </is>
      </c>
      <c r="C21" s="28" t="inlineStr">
        <is>
          <t>Acciones propuestas</t>
        </is>
      </c>
      <c r="D21" s="28" t="inlineStr">
        <is>
          <t>Actividades propuestas</t>
        </is>
      </c>
    </row>
    <row r="22" ht="35" customHeight="1" s="23">
      <c r="A22" s="29" t="inlineStr">
        <is>
          <t>1. Formación y pedagogía de calidad</t>
        </is>
      </c>
      <c r="B22" s="29" t="inlineStr">
        <is>
          <t>8</t>
        </is>
      </c>
      <c r="C22" s="29" t="inlineStr">
        <is>
          <t>13</t>
        </is>
      </c>
      <c r="D22" s="29" t="inlineStr">
        <is>
          <t>32</t>
        </is>
      </c>
    </row>
    <row r="23" ht="35" customHeight="1" s="23">
      <c r="A23" s="30" t="inlineStr">
        <is>
          <t>2. Investigación y producción técnico científica</t>
        </is>
      </c>
      <c r="B23" s="30" t="inlineStr">
        <is>
          <t>7</t>
        </is>
      </c>
      <c r="C23" s="30" t="inlineStr">
        <is>
          <t>8</t>
        </is>
      </c>
      <c r="D23" s="30" t="inlineStr">
        <is>
          <t>18</t>
        </is>
      </c>
    </row>
    <row r="24" ht="35" customHeight="1" s="23">
      <c r="A24" s="29" t="inlineStr">
        <is>
          <t>3. Extensión y proyección institucional</t>
        </is>
      </c>
      <c r="B24" s="29" t="inlineStr">
        <is>
          <t>8</t>
        </is>
      </c>
      <c r="C24" s="29" t="inlineStr">
        <is>
          <t>9</t>
        </is>
      </c>
      <c r="D24" s="29" t="inlineStr">
        <is>
          <t>25</t>
        </is>
      </c>
    </row>
    <row r="25" ht="35" customHeight="1" s="23">
      <c r="A25" s="30" t="inlineStr">
        <is>
          <t>4. Transformación institucional</t>
        </is>
      </c>
      <c r="B25" s="30" t="inlineStr">
        <is>
          <t>12</t>
        </is>
      </c>
      <c r="C25" s="30" t="inlineStr">
        <is>
          <t>16</t>
        </is>
      </c>
      <c r="D25" s="30" t="inlineStr">
        <is>
          <t>38</t>
        </is>
      </c>
    </row>
    <row r="26" ht="35" customHeight="1" s="23">
      <c r="A26" s="29" t="inlineStr">
        <is>
          <t>5. Ampliación y modernización de la infraestructura</t>
        </is>
      </c>
      <c r="B26" s="29" t="inlineStr">
        <is>
          <t>6</t>
        </is>
      </c>
      <c r="C26" s="29" t="inlineStr">
        <is>
          <t>8</t>
        </is>
      </c>
      <c r="D26" s="29" t="inlineStr">
        <is>
          <t>21</t>
        </is>
      </c>
    </row>
    <row r="27" ht="35" customHeight="1" s="23">
      <c r="A27" s="30" t="inlineStr">
        <is>
          <t>6. Cuidado por el bienestar y la vida</t>
        </is>
      </c>
      <c r="B27" s="30" t="inlineStr">
        <is>
          <t>4</t>
        </is>
      </c>
      <c r="C27" s="30" t="inlineStr">
        <is>
          <t>8</t>
        </is>
      </c>
      <c r="D27" s="30" t="inlineStr">
        <is>
          <t>24</t>
        </is>
      </c>
    </row>
    <row r="28" ht="20.5" customHeight="1" s="23">
      <c r="A28" s="29" t="inlineStr">
        <is>
          <t>Total</t>
        </is>
      </c>
      <c r="B28" s="29" t="inlineStr">
        <is>
          <t>45</t>
        </is>
      </c>
      <c r="C28" s="29" t="inlineStr">
        <is>
          <t>62</t>
        </is>
      </c>
      <c r="D28" s="29" t="inlineStr">
        <is>
          <t>158</t>
        </is>
      </c>
    </row>
    <row r="29"/>
    <row r="30"/>
    <row r="31" ht="22" customHeight="1" s="23">
      <c r="A31" s="26" t="inlineStr">
        <is>
          <t>4. Qué cambió de 2026 a 2027</t>
        </is>
      </c>
    </row>
    <row r="32" ht="51" customHeight="1" s="23">
      <c r="A32" s="27" t="inlineStr">
        <is>
          <t>La propuesta 2027 revisó una por una las metas del aplicativo 2026 contra el texto del PDI, la Matriz Plurianual de Inversiones y los informes de gestión. El resultado de esa revisión se resume en la columna «Ajuste 2027» de la hoja Plan_Acción_2027, con la explicación en la columna «Qué cambia frente a 2026».</t>
        </is>
      </c>
    </row>
    <row r="33" ht="30" customHeight="1" s="23">
      <c r="A33" s="28" t="inlineStr">
        <is>
          <t>Tipo de ajuste</t>
        </is>
      </c>
      <c r="B33" s="28" t="inlineStr">
        <is>
          <t>Metas</t>
        </is>
      </c>
      <c r="C33" s="28" t="n"/>
      <c r="D33" s="28" t="inlineStr">
        <is>
          <t>Qué significa</t>
        </is>
      </c>
    </row>
    <row r="34" ht="49.5" customHeight="1" s="23">
      <c r="A34" s="29" t="inlineStr">
        <is>
          <t>Se mantiene</t>
        </is>
      </c>
      <c r="B34" s="29" t="inlineStr">
        <is>
          <t>19</t>
        </is>
      </c>
      <c r="C34" s="29" t="n"/>
      <c r="D34" s="29" t="inlineStr">
        <is>
          <t>El enunciado y el sentido de la meta no cambian; puede ajustarse su indicador o su meta anual.</t>
        </is>
      </c>
    </row>
    <row r="35" ht="64" customHeight="1" s="23">
      <c r="A35" s="30" t="inlineStr">
        <is>
          <t>Se corrige</t>
        </is>
      </c>
      <c r="B35" s="30" t="inlineStr">
        <is>
          <t>15</t>
        </is>
      </c>
      <c r="C35" s="30" t="n"/>
      <c r="D35" s="30" t="inlineStr">
        <is>
          <t>Se corrige un error del aplicativo 2026: un código mal formado, un enunciado distinto al del PDI o una meta duplicada.</t>
        </is>
      </c>
    </row>
    <row r="36" ht="49.5" customHeight="1" s="23">
      <c r="A36" s="29" t="inlineStr">
        <is>
          <t>Se reincorpora</t>
        </is>
      </c>
      <c r="B36" s="29" t="inlineStr">
        <is>
          <t>6</t>
        </is>
      </c>
      <c r="C36" s="29" t="n"/>
      <c r="D36" s="29" t="inlineStr">
        <is>
          <t>La meta existe en el PDI pero no estaba en el aplicativo 2026 o no tuvo productos; vuelve al plan.</t>
        </is>
      </c>
    </row>
    <row r="37" ht="49.5" customHeight="1" s="23">
      <c r="A37" s="30" t="inlineStr">
        <is>
          <t>Se reformula</t>
        </is>
      </c>
      <c r="B37" s="30" t="inlineStr">
        <is>
          <t>3</t>
        </is>
      </c>
      <c r="C37" s="30" t="n"/>
      <c r="D37" s="30" t="inlineStr">
        <is>
          <t>La meta se cumplió como hito y en 2027 pasa a mantener o consolidar lo logrado.</t>
        </is>
      </c>
    </row>
    <row r="38" ht="49.5" customHeight="1" s="23">
      <c r="A38" s="29" t="inlineStr">
        <is>
          <t>Se reorienta</t>
        </is>
      </c>
      <c r="B38" s="29" t="inlineStr">
        <is>
          <t>2</t>
        </is>
      </c>
      <c r="C38" s="29" t="n"/>
      <c r="D38" s="29" t="inlineStr">
        <is>
          <t>La meta se cumple por un camino distinto al previsto, sin cambiar el texto del PDI hasta su revisión.</t>
        </is>
      </c>
    </row>
    <row r="39"/>
    <row r="40" ht="96" customHeight="1" s="23">
      <c r="A40" s="27" t="inlineStr">
        <is>
          <t>Además de esos ajustes, la versión 2027 introduce tres cambios de fondo. Primero, las 158 tareas que antes se presentaban como acciones se agruparon en 62 acciones, cada una con varias actividades que la componen, porque una acción es un resultado que se logra con un conjunto de actividades y no una tarea suelta. Segundo, cada meta explica de forma explícita cómo se genera su impacto, siguiendo la Guía Metodológica para la Evaluación de Impacto Institucional. Tercero, se reincorporaron líneas que en 2026 no tuvieron productos, como la 5.3 de sedes de terceros y la 6.1 de condiciones para el bienestar, esta última con los componentes de cultura ambiental y gestión energética que decidió el Comité Institucional de Gestión y Desempeño.</t>
        </is>
      </c>
    </row>
    <row r="41"/>
    <row r="42" ht="22" customHeight="1" s="23">
      <c r="A42" s="26" t="inlineStr">
        <is>
          <t>5. Acción, actividad y producto: la diferencia que más importa</t>
        </is>
      </c>
    </row>
    <row r="43" ht="51" customHeight="1" s="23">
      <c r="A43" s="27" t="inlineStr">
        <is>
          <t>La confusión más frecuente en la formulación es presentar una tarea como si fuera una acción. La regla es sencilla: la acción dice qué resultado va a lograr el área; las actividades dicen cómo lo va a lograr; los productos son la evidencia que queda de cada actividad.</t>
        </is>
      </c>
    </row>
    <row r="44" ht="30" customHeight="1" s="23">
      <c r="A44" s="28" t="inlineStr">
        <is>
          <t>Concepto</t>
        </is>
      </c>
      <c r="B44" s="28" t="inlineStr">
        <is>
          <t>Qué es</t>
        </is>
      </c>
      <c r="C44" s="28" t="inlineStr">
        <is>
          <t>Cómo se redacta</t>
        </is>
      </c>
      <c r="D44" s="28" t="inlineStr">
        <is>
          <t>Ejemplo</t>
        </is>
      </c>
    </row>
    <row r="45" ht="78.5" customHeight="1" s="23">
      <c r="A45" s="29" t="inlineStr">
        <is>
          <t>Acción</t>
        </is>
      </c>
      <c r="B45" s="29" t="inlineStr">
        <is>
          <t>Un resultado de mediano alcance que aporta directamente a la meta del PDI y que se logra con varias actividades a lo largo del año.</t>
        </is>
      </c>
      <c r="C45" s="29" t="inlineStr">
        <is>
          <t>Verbo en infinitivo, objeto y propósito. Debe poder responder a la pregunta: ¿qué cambia en la Escuela cuando esto se cumple?</t>
        </is>
      </c>
      <c r="D45" s="29" t="inlineStr">
        <is>
          <t>Mejorar los resultados de las pruebas Saber PRO y TyT a partir del análisis por programa y competencia, con estrategias de preparación cuyo efecto se evalúa.</t>
        </is>
      </c>
    </row>
    <row r="46" ht="49.5" customHeight="1" s="23">
      <c r="A46" s="30" t="inlineStr">
        <is>
          <t>Actividad</t>
        </is>
      </c>
      <c r="B46" s="30" t="inlineStr">
        <is>
          <t>Cada uno de los pasos que, sumados, producen la acción. Por sí sola no transforma nada.</t>
        </is>
      </c>
      <c r="C46" s="30" t="inlineStr">
        <is>
          <t>Verbo en infinitivo y objeto concreto, con un producto verificable.</t>
        </is>
      </c>
      <c r="D46" s="30" t="inlineStr">
        <is>
          <t>Aplicar simulacros de las pruebas Saber PRO en los programas tecnológicos.</t>
        </is>
      </c>
    </row>
    <row r="47" ht="35" customHeight="1" s="23">
      <c r="A47" s="29" t="inlineStr">
        <is>
          <t>Producto</t>
        </is>
      </c>
      <c r="B47" s="29" t="inlineStr">
        <is>
          <t>El bien o servicio que queda como evidencia de la actividad.</t>
        </is>
      </c>
      <c r="C47" s="29" t="inlineStr">
        <is>
          <t>Sustantivo verificable.</t>
        </is>
      </c>
      <c r="D47" s="29" t="inlineStr">
        <is>
          <t>Plan de preparación y simulacros aplicados.</t>
        </is>
      </c>
    </row>
    <row r="48" ht="49.5" customHeight="1" s="23">
      <c r="A48" s="30" t="inlineStr">
        <is>
          <t>Tarea operativa</t>
        </is>
      </c>
      <c r="B48" s="30" t="inlineStr">
        <is>
          <t>Algo que el área hace de manera rutinaria. No se formula como acción.</t>
        </is>
      </c>
      <c r="C48" s="30" t="inlineStr">
        <is>
          <t>No se formula.</t>
        </is>
      </c>
      <c r="D48" s="30" t="inlineStr">
        <is>
          <t>Enviar correos, asistir a reuniones, elaborar un acta.</t>
        </is>
      </c>
    </row>
    <row r="49"/>
    <row r="50" ht="51" customHeight="1" s="23">
      <c r="A50" s="27" t="inlineStr">
        <is>
          <t>Antes de escribir una acción, hágase cuatro preguntas. ¿Aporta de manera directa a una meta del PDI? ¿Necesita varias actividades para lograrse? ¿Deja productos que otra persona puede verificar? ¿Se puede decir qué cambia cuando termina? Si alguna respuesta es no, probablemente está frente a una actividad o una tarea.</t>
        </is>
      </c>
    </row>
    <row r="51"/>
    <row r="52" ht="22" customHeight="1" s="23">
      <c r="A52" s="26" t="inlineStr">
        <is>
          <t>6. Cómo se genera el impacto, explicado paso a paso</t>
        </is>
      </c>
    </row>
    <row r="53" ht="66" customHeight="1" s="23">
      <c r="A53" s="27" t="inlineStr">
        <is>
          <t>La Guía Metodológica para la Evaluación de Impacto Institucional de la ETITC (versión 2 de 2026) explica que el impacto no es lo que la Escuela hace ni lo que entrega, sino la transformación que esas entregas producen en las personas, en la Institución o en el territorio. Para entenderlo, la guía usa la cadena de valor, que funciona como una escalera de cinco peldaños: cada peldaño se apoya en el anterior.</t>
        </is>
      </c>
    </row>
    <row r="54" ht="30" customHeight="1" s="23">
      <c r="A54" s="28" t="inlineStr">
        <is>
          <t>Peldaño de la cadena de valor</t>
        </is>
      </c>
      <c r="B54" s="28" t="inlineStr">
        <is>
          <t>Pregunta que responde</t>
        </is>
      </c>
      <c r="C54" s="28" t="n"/>
      <c r="D54" s="28" t="inlineStr">
        <is>
          <t>Ejemplo con la meta de bienestar 6.2.1.1</t>
        </is>
      </c>
    </row>
    <row r="55" ht="49.5" customHeight="1" s="23">
      <c r="A55" s="29" t="inlineStr">
        <is>
          <t>1. Insumos o capacidades</t>
        </is>
      </c>
      <c r="B55" s="29" t="inlineStr">
        <is>
          <t>¿Con qué contamos?</t>
        </is>
      </c>
      <c r="C55" s="29" t="n"/>
      <c r="D55" s="29" t="inlineStr">
        <is>
          <t>Profesionales de bienestar, presupuesto, sistema de alertas académicas.</t>
        </is>
      </c>
    </row>
    <row r="56" ht="49.5" customHeight="1" s="23">
      <c r="A56" s="30" t="inlineStr">
        <is>
          <t>2. Procesos o actividades</t>
        </is>
      </c>
      <c r="B56" s="30" t="inlineStr">
        <is>
          <t>¿Qué hacemos?</t>
        </is>
      </c>
      <c r="C56" s="30" t="n"/>
      <c r="D56" s="30" t="inlineStr">
        <is>
          <t>Identificar las causas de cancelación y acompañar a los estudiantes en riesgo.</t>
        </is>
      </c>
    </row>
    <row r="57" ht="35" customHeight="1" s="23">
      <c r="A57" s="29" t="inlineStr">
        <is>
          <t>3. Productos</t>
        </is>
      </c>
      <c r="B57" s="29" t="inlineStr">
        <is>
          <t>¿Qué entregamos?</t>
        </is>
      </c>
      <c r="C57" s="29" t="n"/>
      <c r="D57" s="29" t="inlineStr">
        <is>
          <t>Programa de permanencia adoptado y estudiantes atendidos.</t>
        </is>
      </c>
    </row>
    <row r="58" ht="35" customHeight="1" s="23">
      <c r="A58" s="30" t="inlineStr">
        <is>
          <t>4. Resultados</t>
        </is>
      </c>
      <c r="B58" s="30" t="inlineStr">
        <is>
          <t>¿Qué cambia pronto, en el corto y mediano plazo?</t>
        </is>
      </c>
      <c r="C58" s="30" t="n"/>
      <c r="D58" s="30" t="inlineStr">
        <is>
          <t>Menos estudiantes cancelan su semestre.</t>
        </is>
      </c>
    </row>
    <row r="59" ht="49.5" customHeight="1" s="23">
      <c r="A59" s="29" t="inlineStr">
        <is>
          <t>5. Impactos</t>
        </is>
      </c>
      <c r="B59" s="29" t="inlineStr">
        <is>
          <t>¿Qué se transforma de manera sostenible y se le puede atribuir a la Escuela?</t>
        </is>
      </c>
      <c r="C59" s="29" t="n"/>
      <c r="D59" s="29" t="inlineStr">
        <is>
          <t>La deserción baja y más estudiantes terminan su carrera, lo que mejora sus condiciones de vida.</t>
        </is>
      </c>
    </row>
    <row r="60"/>
    <row r="61" ht="51" customHeight="1" s="23">
      <c r="A61" s="27" t="inlineStr">
        <is>
          <t>Dicho de manera sencilla: si la Escuela hace bien sus actividades, entrega productos; si esos productos sirven, producen resultados; y si esos resultados se sostienen en el tiempo y se pueden atribuir a la Escuela, hay impacto. Los tres primeros peldaños se controlan con el seguimiento del Plan de Acción; los dos últimos se demuestran con la evaluación de impacto.</t>
        </is>
      </c>
    </row>
    <row r="62" ht="66" customHeight="1" s="23">
      <c r="A62" s="27" t="inlineStr">
        <is>
          <t>Para saber si hubo impacto, la guía pide tres cosas: una línea base, que es la situación antes de la intervención; una medición posterior con el mismo indicador; y un análisis que permita atribuir razonablemente el cambio a la acción institucional y no a factores externos como el mercado laboral o la economía. Si no se puede explicar cómo se estimó el cambio atribuible, no hay evaluación de impacto sino seguimiento.</t>
        </is>
      </c>
    </row>
    <row r="63" ht="36" customHeight="1" s="23">
      <c r="A63" s="27" t="inlineStr">
        <is>
          <t>La Escuela clasifica sus impactos en diez categorías, cada una de tipo interno, externo o ambos, y los agrupa en cuatro dimensiones: académica, egresados, sector productivo y valor público.</t>
        </is>
      </c>
    </row>
    <row r="64" ht="30" customHeight="1" s="23">
      <c r="A64" s="28" t="inlineStr">
        <is>
          <t>Categoría de impacto de la Guía</t>
        </is>
      </c>
      <c r="B64" s="28" t="inlineStr">
        <is>
          <t>Tipo de impacto</t>
        </is>
      </c>
      <c r="C64" s="28" t="n"/>
      <c r="D64" s="28" t="n"/>
    </row>
    <row r="65" ht="107.5" customHeight="1" s="23">
      <c r="A65" s="29" t="inlineStr">
        <is>
          <t>Contribución al desarrollo social y comunitario, económico, sostenibilidad ambiental, sector educativo, sector productivo e industrial, desarrollo tecnológico, nacional e internacional</t>
        </is>
      </c>
      <c r="B65" s="29" t="inlineStr">
        <is>
          <t>Externo</t>
        </is>
      </c>
      <c r="C65" s="29" t="n"/>
      <c r="D65" s="29" t="n"/>
    </row>
    <row r="66" ht="35" customHeight="1" s="23">
      <c r="A66" s="30" t="inlineStr">
        <is>
          <t>Cambios curriculares y en los programas académicos</t>
        </is>
      </c>
      <c r="B66" s="30" t="inlineStr">
        <is>
          <t>Interno</t>
        </is>
      </c>
      <c r="C66" s="30" t="n"/>
      <c r="D66" s="30" t="n"/>
    </row>
    <row r="67" ht="78.5" customHeight="1" s="23">
      <c r="A67" s="29" t="inlineStr">
        <is>
          <t>Aporte al mejoramiento de los programas académicos, la construcción de comunidad académica, los resultados académicos y las prácticas docentes</t>
        </is>
      </c>
      <c r="B67" s="29" t="inlineStr">
        <is>
          <t>Interno</t>
        </is>
      </c>
      <c r="C67" s="29" t="n"/>
      <c r="D67" s="29" t="n"/>
    </row>
    <row r="68" ht="64" customHeight="1" s="23">
      <c r="A68" s="30" t="inlineStr">
        <is>
          <t>Transformaciones de vidas (condiciones de vida y movilidad social) de las personas con las que se interactúa</t>
        </is>
      </c>
      <c r="B68" s="30" t="inlineStr">
        <is>
          <t>Interno y externo</t>
        </is>
      </c>
      <c r="C68" s="30" t="n"/>
      <c r="D68" s="30" t="n"/>
    </row>
    <row r="69" ht="78.5" customHeight="1" s="23">
      <c r="A69" s="29" t="inlineStr">
        <is>
          <t>Transformaciones del territorio (condiciones del desarrollo, especialmente de cobertura y pertinencia en la oferta educativa)</t>
        </is>
      </c>
      <c r="B69" s="29" t="inlineStr">
        <is>
          <t>Externo</t>
        </is>
      </c>
      <c r="C69" s="29" t="n"/>
      <c r="D69" s="29" t="n"/>
    </row>
    <row r="70" ht="49.5" customHeight="1" s="23">
      <c r="A70" s="30" t="inlineStr">
        <is>
          <t>Cambios en la cultura institucional, incluida la cultura de la calidad</t>
        </is>
      </c>
      <c r="B70" s="30" t="inlineStr">
        <is>
          <t>Interno</t>
        </is>
      </c>
      <c r="C70" s="30" t="n"/>
      <c r="D70" s="30" t="n"/>
    </row>
    <row r="71" ht="78.5" customHeight="1" s="23">
      <c r="A71" s="29" t="inlineStr">
        <is>
          <t>Impacto a actores (estudiantes, docentes, administrativos, egresados) y organizaciones (sector externo y sociedad en general) en valores</t>
        </is>
      </c>
      <c r="B71" s="29" t="inlineStr">
        <is>
          <t>Externo</t>
        </is>
      </c>
      <c r="C71" s="29" t="n"/>
      <c r="D71" s="29" t="n"/>
    </row>
    <row r="72" ht="64" customHeight="1" s="23">
      <c r="A72" s="30" t="inlineStr">
        <is>
          <t>Impacto en las labores sustantivas: docencia y formación, investigación e innovación, extensión y proyección social</t>
        </is>
      </c>
      <c r="B72" s="30" t="inlineStr">
        <is>
          <t>Interno</t>
        </is>
      </c>
      <c r="C72" s="30" t="n"/>
      <c r="D72" s="30" t="n"/>
    </row>
    <row r="73" ht="49.5" customHeight="1" s="23">
      <c r="A73" s="29" t="inlineStr">
        <is>
          <t>Cambios en la formación integral y los aprendizajes del estudiantado</t>
        </is>
      </c>
      <c r="B73" s="29" t="inlineStr">
        <is>
          <t>Interno</t>
        </is>
      </c>
      <c r="C73" s="29" t="n"/>
      <c r="D73" s="29" t="n"/>
    </row>
    <row r="74" ht="64" customHeight="1" s="23">
      <c r="A74" s="30" t="inlineStr">
        <is>
          <t>Contribución a la solución de problemas del contexto y la creación de nuevo conocimiento</t>
        </is>
      </c>
      <c r="B74" s="30" t="inlineStr">
        <is>
          <t>Externo</t>
        </is>
      </c>
      <c r="C74" s="30" t="n"/>
      <c r="D74" s="30" t="n"/>
    </row>
    <row r="75"/>
    <row r="76" ht="51" customHeight="1" s="23">
      <c r="A76" s="27" t="inlineStr">
        <is>
          <t>En la hoja Plan_Acción_2027, cada meta trae este razonamiento ya resuelto. La columna «Cómo se genera el impacto» recorre la cadena para esa meta: lo que hacemos, lo que entregamos, lo que cambia pronto y la transformación que buscamos. La columna «Cómo sabremos que hubo impacto» dice qué señal concreta lo demostraría y con qué indicador de la guía se mide.</t>
        </is>
      </c>
    </row>
    <row r="77" ht="49.5" customHeight="1" s="23">
      <c r="A77" s="32" t="inlineStr">
        <is>
          <t>Contenido de valor agregado elaborado por Fabián Ospina, profesional de Plan de Acción de la Oficina Asesora de Planeación, a partir de la Guía Metodológica para la Evaluación de Impacto Institucional y de lo tratado en el comité institucional con la doctora María Claudia Aponte González, a quien se remite para su revisión.</t>
        </is>
      </c>
    </row>
    <row r="78"/>
    <row r="79" ht="22" customHeight="1" s="23">
      <c r="A79" s="26" t="inlineStr">
        <is>
          <t>7. Las hojas del libro</t>
        </is>
      </c>
    </row>
    <row r="80" ht="30" customHeight="1" s="23">
      <c r="A80" s="28" t="inlineStr">
        <is>
          <t>Hoja</t>
        </is>
      </c>
      <c r="B80" s="28" t="inlineStr">
        <is>
          <t>Para qué sirve</t>
        </is>
      </c>
      <c r="C80" s="28" t="n"/>
      <c r="D80" s="28" t="inlineStr">
        <is>
          <t>Quién la diligencia</t>
        </is>
      </c>
    </row>
    <row r="81" ht="20.5" customHeight="1" s="23">
      <c r="A81" s="29" t="inlineStr">
        <is>
          <t>Instructivo_PlanAcción</t>
        </is>
      </c>
      <c r="B81" s="29" t="inlineStr">
        <is>
          <t>Esta hoja. Explica la ruta, los conceptos y el seguimiento.</t>
        </is>
      </c>
      <c r="C81" s="29" t="n"/>
      <c r="D81" s="29" t="inlineStr">
        <is>
          <t>Nadie: es de consulta.</t>
        </is>
      </c>
    </row>
    <row r="82" ht="35" customHeight="1" s="23">
      <c r="A82" s="30" t="inlineStr">
        <is>
          <t>Instructivo_PlanNecesidades</t>
        </is>
      </c>
      <c r="B82" s="30" t="inlineStr">
        <is>
          <t>Explica cómo formular el Plan de Necesidades y cómo buscar el código UNSPSC.</t>
        </is>
      </c>
      <c r="C82" s="30" t="n"/>
      <c r="D82" s="30" t="inlineStr">
        <is>
          <t>Nadie: es de consulta.</t>
        </is>
      </c>
    </row>
    <row r="83" ht="35" customHeight="1" s="23">
      <c r="A83" s="29" t="inlineStr">
        <is>
          <t>Plan_Acción_2027</t>
        </is>
      </c>
      <c r="B83" s="29" t="inlineStr">
        <is>
          <t>La propuesta meta por meta: estructura del PDI, ajuste 2027, metas, acciones, actividades, impacto y ruta de seguimiento.</t>
        </is>
      </c>
      <c r="C83" s="29" t="n"/>
      <c r="D83" s="29" t="inlineStr">
        <is>
          <t>Nadie: es de consulta.</t>
        </is>
      </c>
    </row>
    <row r="84" ht="49.5" customHeight="1" s="23">
      <c r="A84" s="30" t="inlineStr">
        <is>
          <t>Acciones_2027</t>
        </is>
      </c>
      <c r="B84" s="30" t="inlineStr">
        <is>
          <t>El detalle de las 158 actividades propuestas, con la acción a la que pertenecen, el área y el producto esperado. Las columnas amarillas permiten que el área valide cada actividad.</t>
        </is>
      </c>
      <c r="C84" s="30" t="n"/>
      <c r="D84" s="30" t="inlineStr">
        <is>
          <t>El área, en las columnas amarillas.</t>
        </is>
      </c>
    </row>
    <row r="85" ht="35" customHeight="1" s="23">
      <c r="A85" s="29" t="inlineStr">
        <is>
          <t>Formulación_Ejes_2027</t>
        </is>
      </c>
      <c r="B85" s="29" t="inlineStr">
        <is>
          <t>Las metas asignadas a cada área en los seis ejes. Aquí el área formula sus acciones con producto, fechas, responsable e indicadores.</t>
        </is>
      </c>
      <c r="C85" s="29" t="n"/>
      <c r="D85" s="29" t="inlineStr">
        <is>
          <t>El área, en las columnas amarillas de sus filas.</t>
        </is>
      </c>
    </row>
    <row r="86" ht="35" customHeight="1" s="23">
      <c r="A86" s="30" t="inlineStr">
        <is>
          <t>Buscador_Formulación PAA 2027</t>
        </is>
      </c>
      <c r="B86" s="30" t="inlineStr">
        <is>
          <t>Al elegir el área muestra sus metas, su aporte esperado, sus compromisos 2026 y permite formular acciones adicionales.</t>
        </is>
      </c>
      <c r="C86" s="30" t="n"/>
      <c r="D86" s="30" t="inlineStr">
        <is>
          <t>El área, en la celda C4 y en las filas de acciones adicionales.</t>
        </is>
      </c>
    </row>
    <row r="87" ht="35" customHeight="1" s="23">
      <c r="A87" s="29" t="inlineStr">
        <is>
          <t>Importación_FormulaciónPAA2027</t>
        </is>
      </c>
      <c r="B87" s="29" t="inlineStr">
        <is>
          <t>El formato que se carga en el SUIE. Una fila por acción.</t>
        </is>
      </c>
      <c r="C87" s="29" t="n"/>
      <c r="D87" s="29" t="inlineStr">
        <is>
          <t>El área.</t>
        </is>
      </c>
    </row>
    <row r="88" ht="35" customHeight="1" s="23">
      <c r="A88" s="30" t="inlineStr">
        <is>
          <t>PlandeNecesidades</t>
        </is>
      </c>
      <c r="B88" s="30" t="inlineStr">
        <is>
          <t>Los bienes, obras y servicios que cada acción requiere contratar, con su código UNSPSC.</t>
        </is>
      </c>
      <c r="C88" s="30" t="n"/>
      <c r="D88" s="30" t="inlineStr">
        <is>
          <t>El área, en las columnas amarillas.</t>
        </is>
      </c>
    </row>
    <row r="89"/>
    <row r="90" ht="20" customHeight="1" s="23">
      <c r="A90" s="31" t="inlineStr">
        <is>
          <t>Ver el Plan de Acción propuesto</t>
        </is>
      </c>
    </row>
    <row r="91" ht="20" customHeight="1" s="23">
      <c r="A91" s="31" t="inlineStr">
        <is>
          <t>Ver las actividades por acción</t>
        </is>
      </c>
    </row>
    <row r="92" ht="20" customHeight="1" s="23">
      <c r="A92" s="31" t="inlineStr">
        <is>
          <t>Ir a la formulación por ejes</t>
        </is>
      </c>
    </row>
    <row r="93" ht="20" customHeight="1" s="23">
      <c r="A93" s="31" t="inlineStr">
        <is>
          <t>Ir a la hoja de importación al SUIE</t>
        </is>
      </c>
    </row>
    <row r="94" ht="20" customHeight="1" s="23">
      <c r="A94" s="31" t="inlineStr">
        <is>
          <t>Ir al Plan de Necesidades</t>
        </is>
      </c>
    </row>
    <row r="95"/>
    <row r="96" ht="22" customHeight="1" s="23">
      <c r="A96" s="26" t="inlineStr">
        <is>
          <t>8. Cómo diligenciar la formulación por ejes</t>
        </is>
      </c>
    </row>
    <row r="97" ht="81" customHeight="1" s="23">
      <c r="A97" s="27" t="inlineStr">
        <is>
          <t>En la hoja Formulación_Ejes_2027 cada bloque de color corresponde a un eje y cada fila a una meta asignada a un área. Busque las filas de su área (columna J) y diligencie las columnas amarillas en este orden: nombre de la acción, descripción de la acción y actividades que la componen, producto esperado, fechas de inicio y fin dentro de 2027, correo institucional del responsable, indicador de seguimiento, meta 2027 de la acción, unidad de medida, dimensión e indicador de impacto, si retoma un compromiso de 2026 y la evidencia verificable. La columna «Alerta de consistencia» revisa la fila y debe decir OK.</t>
        </is>
      </c>
    </row>
    <row r="98" ht="36" customHeight="1" s="23">
      <c r="A98" s="27" t="inlineStr">
        <is>
          <t>Si el área necesita formular más de una acción para la misma meta, use las filas de acciones adicionales del Buscador. Escriba el nombre de la acción como un resultado y relacione las actividades en la descripción, tal como aparece en la hoja Plan_Acción_2027.</t>
        </is>
      </c>
    </row>
    <row r="99"/>
    <row r="100" ht="22" customHeight="1" s="23">
      <c r="A100" s="26" t="inlineStr">
        <is>
          <t>9. La hoja de importación al SUIE</t>
        </is>
      </c>
    </row>
    <row r="101" ht="36" customHeight="1" s="23">
      <c r="A101" s="27" t="inlineStr">
        <is>
          <t>Esta es la hoja más importante del proceso, porque es la que el SUIE recibe. Cada fila es una acción. No se cambian los encabezados ni el nombre de las columnas. Antes del cargue, borre la fila de ejemplo.</t>
        </is>
      </c>
    </row>
    <row r="102" ht="30" customHeight="1" s="23">
      <c r="A102" s="28" t="inlineStr">
        <is>
          <t>Columna</t>
        </is>
      </c>
      <c r="B102" s="28" t="inlineStr">
        <is>
          <t>Qué se escribe</t>
        </is>
      </c>
      <c r="C102" s="28" t="n"/>
      <c r="D102" s="28" t="inlineStr">
        <is>
          <t>Ejemplo</t>
        </is>
      </c>
    </row>
    <row r="103" ht="49.5" customHeight="1" s="23">
      <c r="A103" s="29" t="inlineStr">
        <is>
          <t>Código de meta</t>
        </is>
      </c>
      <c r="B103" s="29" t="inlineStr">
        <is>
          <t>El código exacto de la meta del PDI, con sus cuatro niveles. Si la acción no pertenece a una meta, se deja vacío y el SUIE la crea como acción independiente.</t>
        </is>
      </c>
      <c r="C103" s="29" t="n"/>
      <c r="D103" s="29" t="inlineStr">
        <is>
          <t>6.2.1.1</t>
        </is>
      </c>
    </row>
    <row r="104" ht="49.5" customHeight="1" s="23">
      <c r="A104" s="30" t="inlineStr">
        <is>
          <t>Nombre de la acción</t>
        </is>
      </c>
      <c r="B104" s="30" t="inlineStr">
        <is>
          <t>La acción formulada como resultado, igual a como quedó en la hoja de formulación. Es obligatorio.</t>
        </is>
      </c>
      <c r="C104" s="30" t="n"/>
      <c r="D104" s="30" t="inlineStr">
        <is>
          <t>Proteger la permanencia estudiantil con un programa basado en las causas de cancelación</t>
        </is>
      </c>
    </row>
    <row r="105" ht="64" customHeight="1" s="23">
      <c r="A105" s="29" t="inlineStr">
        <is>
          <t>Descripción</t>
        </is>
      </c>
      <c r="B105" s="29" t="inlineStr">
        <is>
          <t>Qué se hará y cuáles actividades componen la acción.</t>
        </is>
      </c>
      <c r="C105" s="29" t="n"/>
      <c r="D105" s="29" t="inlineStr">
        <is>
          <t>Incluye el análisis de causas de cancelación, la adopción del programa y el seguimiento a los estudiantes atendidos.</t>
        </is>
      </c>
    </row>
    <row r="106" ht="35" customHeight="1" s="23">
      <c r="A106" s="30" t="inlineStr">
        <is>
          <t>Origen</t>
        </is>
      </c>
      <c r="B106" s="30" t="inlineStr">
        <is>
          <t>PDI si la acción tiene meta. Mejora u Otra si no la tiene. Es obligatorio.</t>
        </is>
      </c>
      <c r="C106" s="30" t="n"/>
      <c r="D106" s="30" t="inlineStr">
        <is>
          <t>PDI</t>
        </is>
      </c>
    </row>
    <row r="107" ht="20.5" customHeight="1" s="23">
      <c r="A107" s="29" t="inlineStr">
        <is>
          <t>Área</t>
        </is>
      </c>
      <c r="B107" s="29" t="inlineStr">
        <is>
          <t>El área responsable, elegida de la lista.</t>
        </is>
      </c>
      <c r="C107" s="29" t="n"/>
      <c r="D107" s="29" t="inlineStr">
        <is>
          <t>Despacho de bienestar</t>
        </is>
      </c>
    </row>
    <row r="108" ht="20.5" customHeight="1" s="23">
      <c r="A108" s="30" t="inlineStr">
        <is>
          <t>Responsable</t>
        </is>
      </c>
      <c r="B108" s="30" t="inlineStr">
        <is>
          <t>El correo institucional del responsable, elegido de la lista.</t>
        </is>
      </c>
      <c r="C108" s="30" t="n"/>
      <c r="D108" s="30" t="inlineStr">
        <is>
          <t>planeacion@itc.edu.co</t>
        </is>
      </c>
    </row>
    <row r="109" ht="20.5" customHeight="1" s="23">
      <c r="A109" s="29" t="inlineStr">
        <is>
          <t>Vigencia</t>
        </is>
      </c>
      <c r="B109" s="29" t="inlineStr">
        <is>
          <t>El año de la acción. Es obligatorio.</t>
        </is>
      </c>
      <c r="C109" s="29" t="n"/>
      <c r="D109" s="29" t="inlineStr">
        <is>
          <t>2027</t>
        </is>
      </c>
    </row>
    <row r="110" ht="35" customHeight="1" s="23">
      <c r="A110" s="30" t="inlineStr">
        <is>
          <t>Código de la acción</t>
        </is>
      </c>
      <c r="B110" s="30" t="inlineStr">
        <is>
          <t>Opcional. Sirve para volver a cargar el archivo sin duplicar. Se recomienda usar el código de la acción propuesta.</t>
        </is>
      </c>
      <c r="C110" s="30" t="n"/>
      <c r="D110" s="30" t="inlineStr">
        <is>
          <t>AC27.61</t>
        </is>
      </c>
    </row>
    <row r="111"/>
    <row r="112" ht="51" customHeight="1" s="23">
      <c r="A112" s="27" t="inlineStr">
        <is>
          <t>Para cargar: guarde una copia del libro, deje en ella solo la hoja de importación con el nombre que exige el SUIE (IMPORTACIÓN) y súbala por la opción de importación de acciones del SUIE. Esta importación crea únicamente acciones; los productos y el Plan de Necesidades se gestionan en sus propias pantallas.</t>
        </is>
      </c>
    </row>
    <row r="113" ht="35" customHeight="1" s="23">
      <c r="A113" s="32" t="inlineStr">
        <is>
          <t>El SUIE debe tener habilitada la vigencia 2027 y el catálogo de metas 2027 antes del cargue. Las listas de la hoja de importación son las que entrega el SUIE.</t>
        </is>
      </c>
    </row>
    <row r="114"/>
    <row r="115" ht="22" customHeight="1" s="23">
      <c r="A115" s="26" t="inlineStr">
        <is>
          <t>10. Reglas de calidad y convenciones</t>
        </is>
      </c>
    </row>
    <row r="116" ht="81" customHeight="1" s="23">
      <c r="A116" s="27" t="inlineStr">
        <is>
          <t>Las fechas van dentro de 2027 y la de fin no puede ser anterior a la de inicio. El responsable se identifica con su correo institucional terminado en @itc.edu.co, sin tildes ni espacios. Cada acción tiene al menos un producto verificable y un indicador de seguimiento con su meta. Gris significa información de la Oficina Asesora de Planeación o calculada; amarillo, celdas para diligenciar; verde claro, ajustes de la propuesta 2027. La expresión «Sugerida por la OAP» señala una meta 2027 que ningún documento fijaba y que la Oficina propone con su lógica de cálculo.</t>
        </is>
      </c>
    </row>
    <row r="117"/>
    <row r="118" ht="22" customHeight="1" s="23">
      <c r="A118" s="26" t="inlineStr">
        <is>
          <t>11. Cómo se hará el seguimiento</t>
        </is>
      </c>
    </row>
    <row r="119" ht="81" customHeight="1" s="23">
      <c r="A119" s="27" t="inlineStr">
        <is>
          <t>Cada trimestre el área reporta en el SUIE el avance de sus actividades y productos con su evidencia. La Oficina Asesora de Planeación verifica que los productos sean pertinentes, consolida el avance de cada acción y de cada meta en el informe trimestral del Plan de Acción y lo presenta al Comité Institucional de Gestión y Desempeño. Al cierre de la vigencia se compara el indicador de cada meta con su línea base. Para las metas con estudio de impacto se aplica la ruta de la guía: pregunta de evaluación, línea base, medición posterior y análisis de atribución.</t>
        </is>
      </c>
    </row>
    <row r="120"/>
    <row r="121" ht="22" customHeight="1" s="23">
      <c r="A121" s="26" t="inlineStr">
        <is>
          <t>12. Créditos y fuentes</t>
        </is>
      </c>
    </row>
    <row r="122" ht="81" customHeight="1" s="23">
      <c r="A122" s="27" t="inlineStr">
        <is>
          <t>Propuesta y estructura: Oficina Asesora de Planeación. Desarrollo de la plantilla unificada, redacción de las acciones y del contenido de impacto: Fabián Ospina, profesional de Plan de Acción. Fuentes: Plan de Desarrollo Institucional 2025 a 2032, Matriz Plurianual de Inversiones, informes de rendición de cuentas 2025, Guía Metodológica para la Evaluación de Impacto Institucional versión 2 de 2026 (elaboró Yaneth Jimena Pimiento Cortés y Nelcy Stefany Parra Mora; revisó María Claudia Aponte González; aprobó el Comité de Autoevaluación y Autorregulación) y plantilla de importación de acciones del SUIE.</t>
        </is>
      </c>
    </row>
  </sheetData>
  <sheetProtection selectLockedCells="0" selectUnlockedCells="0" sheet="1" objects="0" insertRows="1" insertHyperlinks="1" autoFilter="0" scenarios="0" formatColumns="0" deleteColumns="1" insertColumns="1" pivotTables="1" deleteRows="1" formatCells="1" formatRows="0" sort="1" password="cc6d"/>
  <mergeCells count="89">
    <mergeCell ref="A5:D5"/>
    <mergeCell ref="A122:D122"/>
    <mergeCell ref="A97:D97"/>
    <mergeCell ref="A20:D20"/>
    <mergeCell ref="A112:D112"/>
    <mergeCell ref="B102:C102"/>
    <mergeCell ref="A121:D121"/>
    <mergeCell ref="B12:C12"/>
    <mergeCell ref="B86:C86"/>
    <mergeCell ref="A31:D31"/>
    <mergeCell ref="B14:C14"/>
    <mergeCell ref="B13:C13"/>
    <mergeCell ref="B38:C38"/>
    <mergeCell ref="A16:D16"/>
    <mergeCell ref="B55:C55"/>
    <mergeCell ref="B72:D72"/>
    <mergeCell ref="B33:C33"/>
    <mergeCell ref="B104:C104"/>
    <mergeCell ref="A101:D101"/>
    <mergeCell ref="B70:D70"/>
    <mergeCell ref="A2:D2"/>
    <mergeCell ref="A42:D42"/>
    <mergeCell ref="B35:C35"/>
    <mergeCell ref="B106:C106"/>
    <mergeCell ref="A53:D53"/>
    <mergeCell ref="A62:D62"/>
    <mergeCell ref="B73:D73"/>
    <mergeCell ref="A19:D19"/>
    <mergeCell ref="B11:C11"/>
    <mergeCell ref="B74:D74"/>
    <mergeCell ref="B68:D68"/>
    <mergeCell ref="A98:D98"/>
    <mergeCell ref="A79:D79"/>
    <mergeCell ref="A61:D61"/>
    <mergeCell ref="B103:C103"/>
    <mergeCell ref="B37:C37"/>
    <mergeCell ref="B84:C84"/>
    <mergeCell ref="A90:D90"/>
    <mergeCell ref="B80:C80"/>
    <mergeCell ref="A76:D76"/>
    <mergeCell ref="A116:D116"/>
    <mergeCell ref="B54:C54"/>
    <mergeCell ref="A8:D8"/>
    <mergeCell ref="A91:D91"/>
    <mergeCell ref="B81:C81"/>
    <mergeCell ref="A100:D100"/>
    <mergeCell ref="A52:D52"/>
    <mergeCell ref="A63:D63"/>
    <mergeCell ref="B56:C56"/>
    <mergeCell ref="A115:D115"/>
    <mergeCell ref="A93:D93"/>
    <mergeCell ref="B105:C105"/>
    <mergeCell ref="B58:C58"/>
    <mergeCell ref="A77:D77"/>
    <mergeCell ref="A92:D92"/>
    <mergeCell ref="B107:C107"/>
    <mergeCell ref="B65:D65"/>
    <mergeCell ref="B57:C57"/>
    <mergeCell ref="B88:C88"/>
    <mergeCell ref="B82:C82"/>
    <mergeCell ref="A1:D1"/>
    <mergeCell ref="A94:D94"/>
    <mergeCell ref="B34:C34"/>
    <mergeCell ref="B108:C108"/>
    <mergeCell ref="B9:C9"/>
    <mergeCell ref="B83:C83"/>
    <mergeCell ref="B66:D66"/>
    <mergeCell ref="B85:C85"/>
    <mergeCell ref="A113:D113"/>
    <mergeCell ref="A32:D32"/>
    <mergeCell ref="B109:C109"/>
    <mergeCell ref="B67:D67"/>
    <mergeCell ref="B59:C59"/>
    <mergeCell ref="A4:D4"/>
    <mergeCell ref="A96:D96"/>
    <mergeCell ref="A43:D43"/>
    <mergeCell ref="B69:D69"/>
    <mergeCell ref="A40:D40"/>
    <mergeCell ref="B64:D64"/>
    <mergeCell ref="B87:C87"/>
    <mergeCell ref="A6:D6"/>
    <mergeCell ref="A119:D119"/>
    <mergeCell ref="B10:C10"/>
    <mergeCell ref="A118:D118"/>
    <mergeCell ref="A18:D18"/>
    <mergeCell ref="A50:D50"/>
    <mergeCell ref="B71:D71"/>
    <mergeCell ref="B36:C36"/>
    <mergeCell ref="B110:C110"/>
  </mergeCells>
  <hyperlinks>
    <hyperlink xmlns:r="http://schemas.openxmlformats.org/officeDocument/2006/relationships" ref="A16" r:id="rId1"/>
    <hyperlink xmlns:r="http://schemas.openxmlformats.org/officeDocument/2006/relationships" ref="A90" r:id="rId2"/>
    <hyperlink xmlns:r="http://schemas.openxmlformats.org/officeDocument/2006/relationships" ref="A91" r:id="rId3"/>
    <hyperlink xmlns:r="http://schemas.openxmlformats.org/officeDocument/2006/relationships" ref="A92" r:id="rId4"/>
    <hyperlink xmlns:r="http://schemas.openxmlformats.org/officeDocument/2006/relationships" ref="A93" r:id="rId5"/>
    <hyperlink xmlns:r="http://schemas.openxmlformats.org/officeDocument/2006/relationships" ref="A94" r:id="rId6"/>
  </hyperlinks>
  <pageMargins left="0.75" right="0.75" top="1" bottom="1" header="0.5" footer="0.5"/>
</worksheet>
</file>

<file path=xl/worksheets/sheet2.xml><?xml version="1.0" encoding="utf-8"?>
<worksheet xmlns="http://schemas.openxmlformats.org/spreadsheetml/2006/main">
  <sheetPr>
    <tabColor rgb="00188B58"/>
    <outlinePr summaryBelow="1" summaryRight="1"/>
    <pageSetUpPr/>
  </sheetPr>
  <dimension ref="A1:D108"/>
  <sheetViews>
    <sheetView showGridLines="0" tabSelected="0" zoomScale="100" workbookViewId="0">
      <selection activeCell="A1" sqref="A1"/>
    </sheetView>
  </sheetViews>
  <sheetFormatPr baseColWidth="8" defaultRowHeight="15"/>
  <cols>
    <col width="26" customWidth="1" style="23" min="1" max="1"/>
    <col width="30" customWidth="1" style="23" min="2" max="2"/>
    <col width="30" customWidth="1" style="23" min="3" max="3"/>
    <col width="30" customWidth="1" style="23" min="4" max="4"/>
  </cols>
  <sheetData>
    <row r="1" ht="34" customHeight="1" s="23">
      <c r="A1" s="24" t="inlineStr">
        <is>
          <t>Instructivo de formulación del Plan de Necesidades 2027</t>
        </is>
      </c>
    </row>
    <row r="2" ht="35" customHeight="1" s="23">
      <c r="A2" s="25" t="inlineStr">
        <is>
          <t>Escuela Tecnológica Instituto Técnico Central, Oficina Asesora de Planeación. Complemento del Plan de Acción 2027: aquí el área dice qué necesita contratar para cumplir las acciones que formuló.</t>
        </is>
      </c>
    </row>
    <row r="3" ht="20" customHeight="1" s="23">
      <c r="A3" s="31" t="inlineStr">
        <is>
          <t>Ir a la hoja PlandeNecesidades para formular</t>
        </is>
      </c>
    </row>
    <row r="4"/>
    <row r="5" ht="22" customHeight="1" s="23">
      <c r="A5" s="26" t="inlineStr">
        <is>
          <t>1. Propósito</t>
        </is>
      </c>
    </row>
    <row r="6" ht="81" customHeight="1" s="23">
      <c r="A6" s="27" t="inlineStr">
        <is>
          <t>Con este formato cada dependencia y área funcional registra los bienes, obras y servicios que necesita contratar en 2027 para ejecutar las acciones de su Plan de Acción. En el Plan de Acción el área dice qué va a hacer; en el Plan de Necesidades dice qué necesita adquirir para hacerlo. Cada necesidad se vincula a una acción del Plan de Acción 2027 y, por medio de ella, a una meta del PDI, de modo que ningún recurso se programe sin una meta que lo justifique. La Oficina Asesora de Planeación consolida las necesidades y las entrega como insumo del Plan Anual de Adquisiciones que la Escuela publica en SECOP II.</t>
        </is>
      </c>
    </row>
    <row r="7" ht="36" customHeight="1" s="23">
      <c r="A7" s="27" t="inlineStr">
        <is>
          <t>Para no confundir siglas, en este libro PAA significa Plan de Acción Anual. El Plan Anual de Adquisiciones se escribe siempre completo.</t>
        </is>
      </c>
    </row>
    <row r="8"/>
    <row r="9" ht="22" customHeight="1" s="23">
      <c r="A9" s="26" t="inlineStr">
        <is>
          <t>2. Marco normativo</t>
        </is>
      </c>
    </row>
    <row r="10" ht="96" customHeight="1" s="23">
      <c r="A10" s="27" t="inlineStr">
        <is>
          <t>Ley 80 de 1993 y Ley 1150 de 2007, que regulan la contratación pública y sus modalidades de selección. Ley 1474 de 2011, artículo 74, que obliga a publicar a más tardar el 31 de enero de cada año el plan de acción, el presupuesto y el plan general de compras. Decreto 1082 de 2015, artículos 2.2.1.1.1.4.1 a 2.2.1.1.1.4.4, que establece que el Plan Anual de Adquisiciones lista los bienes, obras y servicios identificados con el Clasificador de Bienes y Servicios de las Naciones Unidas (UNSPSC), con su valor estimado, fuente de recursos, modalidad de selección y fecha aproximada de inicio, y que se publica en la página web y en SECOP. Decreto 111 de 1996, según el cual ninguna necesidad se contrata sin certificado de disponibilidad presupuestal.</t>
        </is>
      </c>
    </row>
    <row r="11"/>
    <row r="12" ht="22" customHeight="1" s="23">
      <c r="A12" s="26" t="inlineStr">
        <is>
          <t>3. Lo que dice Colombia Compra Eficiente</t>
        </is>
      </c>
    </row>
    <row r="13" ht="126" customHeight="1" s="23">
      <c r="A13" s="27" t="inlineStr">
        <is>
          <t>Colombia Compra Eficiente es la agencia nacional que define las reglas y herramientas de la compra pública. Su guía para elaborar el Plan Anual de Adquisiciones y su guía de codificación de bienes y servicios coinciden en cuatro mensajes para las entidades. Primero, el Plan Anual de Adquisiciones es un instrumento de planeación que permite a la entidad identificar, registrar, programar y divulgar sus necesidades, y a los proveedores conocer con anticipación lo que la entidad va a comprar. Segundo, cada necesidad debe identificarse con el código del Clasificador de Bienes y Servicios, porque ese código es el mismo que usan el SECOP, los estudios previos, los pliegos y el Registro Único de Proponentes. Tercero, el plan no obliga a la entidad a adquirir lo que registra, pero sí debe actualizarse por lo menos una vez al año y cada vez que cambien las necesidades. Cuarto, la entidad debe codificar con el mayor nivel de detalle posible, de preferencia en el nivel de producto.</t>
        </is>
      </c>
    </row>
    <row r="14" ht="51" customHeight="1" s="23">
      <c r="A14" s="27" t="inlineStr">
        <is>
          <t>La versión del clasificador que Colombia Compra Eficiente tiene implementada es la UNSPSC UNv260801, traducida al español. Cuando un bien o servicio no tiene código en el clasificador, Colombia Compra Eficiente puede definir códigos adicionales a solicitud de la entidad y los publica de manera periódica. Antes de cada vigencia conviene verificar en el sitio oficial cuál es la versión vigente.</t>
        </is>
      </c>
    </row>
    <row r="15"/>
    <row r="16" ht="22" customHeight="1" s="23">
      <c r="A16" s="26" t="inlineStr">
        <is>
          <t>4. Qué es el código UNSPSC</t>
        </is>
      </c>
    </row>
    <row r="17" ht="51" customHeight="1" s="23">
      <c r="A17" s="27" t="inlineStr">
        <is>
          <t>El UNSPSC (Código Estándar de Productos y Servicios de las Naciones Unidas) es un catálogo que asigna a cada bien o servicio un número de ocho dígitos. El número se lee por pares: los dos primeros indican el segmento, los dos siguientes la familia, los dos siguientes la clase y los dos últimos el producto. Mientras más dígitos distintos de cero tenga el código, más preciso es.</t>
        </is>
      </c>
    </row>
    <row r="18" ht="30" customHeight="1" s="23">
      <c r="A18" s="28" t="inlineStr">
        <is>
          <t>Nivel</t>
        </is>
      </c>
      <c r="B18" s="28" t="inlineStr">
        <is>
          <t>Dígitos que lo identifican</t>
        </is>
      </c>
      <c r="C18" s="28" t="inlineStr">
        <is>
          <t>Ejemplo</t>
        </is>
      </c>
      <c r="D18" s="28" t="inlineStr">
        <is>
          <t>¿Sirve para el Plan de Necesidades?</t>
        </is>
      </c>
    </row>
    <row r="19" ht="49.5" customHeight="1" s="23">
      <c r="A19" s="29" t="inlineStr">
        <is>
          <t>Segmento</t>
        </is>
      </c>
      <c r="B19" s="29" t="inlineStr">
        <is>
          <t>Los dos primeros</t>
        </is>
      </c>
      <c r="C19" s="29" t="inlineStr">
        <is>
          <t>80000000, servicios de gestión, servicios profesionales de empresa y servicios administrativos</t>
        </is>
      </c>
      <c r="D19" s="29" t="inlineStr">
        <is>
          <t>No: es demasiado general.</t>
        </is>
      </c>
    </row>
    <row r="20" ht="35" customHeight="1" s="23">
      <c r="A20" s="30" t="inlineStr">
        <is>
          <t>Familia</t>
        </is>
      </c>
      <c r="B20" s="30" t="inlineStr">
        <is>
          <t>Los cuatro primeros</t>
        </is>
      </c>
      <c r="C20" s="30" t="inlineStr">
        <is>
          <t>80110000, servicios de recursos humanos</t>
        </is>
      </c>
      <c r="D20" s="30" t="inlineStr">
        <is>
          <t>No: sigue siendo general.</t>
        </is>
      </c>
    </row>
    <row r="21" ht="35" customHeight="1" s="23">
      <c r="A21" s="29" t="inlineStr">
        <is>
          <t>Clase</t>
        </is>
      </c>
      <c r="B21" s="29" t="inlineStr">
        <is>
          <t>Los seis primeros; termina en 00</t>
        </is>
      </c>
      <c r="C21" s="29" t="inlineStr">
        <is>
          <t>80111600, servicios de personal temporal</t>
        </is>
      </c>
      <c r="D21" s="29" t="inlineStr">
        <is>
          <t>Sí, cuando no existe un producto exacto.</t>
        </is>
      </c>
    </row>
    <row r="22" ht="35" customHeight="1" s="23">
      <c r="A22" s="30" t="inlineStr">
        <is>
          <t>Producto</t>
        </is>
      </c>
      <c r="B22" s="30" t="inlineStr">
        <is>
          <t>Los ocho dígitos</t>
        </is>
      </c>
      <c r="C22" s="30" t="inlineStr">
        <is>
          <t>80111601, asistencia de oficina o administrativa temporal</t>
        </is>
      </c>
      <c r="D22" s="30" t="inlineStr">
        <is>
          <t>Sí, y es el nivel preferido.</t>
        </is>
      </c>
    </row>
    <row r="23"/>
    <row r="24"/>
    <row r="25" ht="22" customHeight="1" s="23">
      <c r="A25" s="26" t="inlineStr">
        <is>
          <t>5. Paso a paso para encontrar el código en el clasificador de Colombia Compra Eficiente</t>
        </is>
      </c>
    </row>
    <row r="26" ht="20" customHeight="1" s="23">
      <c r="A26" s="31" t="inlineStr">
        <is>
          <t>Abrir el clasificador de bienes y servicios de Colombia Compra Eficiente</t>
        </is>
      </c>
    </row>
    <row r="27" ht="30" customHeight="1" s="23">
      <c r="A27" s="28" t="inlineStr">
        <is>
          <t>Paso</t>
        </is>
      </c>
      <c r="B27" s="28" t="inlineStr">
        <is>
          <t>Qué hacer</t>
        </is>
      </c>
      <c r="C27" s="28" t="n"/>
      <c r="D27" s="28" t="n"/>
    </row>
    <row r="28" ht="35" customHeight="1" s="23">
      <c r="A28" s="29" t="inlineStr">
        <is>
          <t>1</t>
        </is>
      </c>
      <c r="B28" s="29" t="inlineStr">
        <is>
          <t>Abra el clasificador en el enlace anterior: https://operaciones.colombiacompra.gov.co/clasificador-de-bienes-y-servicios</t>
        </is>
      </c>
      <c r="C28" s="29" t="n"/>
      <c r="D28" s="29" t="n"/>
    </row>
    <row r="29" ht="49.5" customHeight="1" s="23">
      <c r="A29" s="30" t="inlineStr">
        <is>
          <t>2</t>
        </is>
      </c>
      <c r="B29" s="30" t="inlineStr">
        <is>
          <t>Escriba en pocas palabras qué necesita, sin artículos ni adjetivos. Por ejemplo: computador portátil, servicios de aseo, mantenimiento de ascensores. Piense en el bien o servicio, no en la acción del Plan de Acción.</t>
        </is>
      </c>
      <c r="C29" s="30" t="n"/>
      <c r="D29" s="30" t="n"/>
    </row>
    <row r="30" ht="35" customHeight="1" s="23">
      <c r="A30" s="29" t="inlineStr">
        <is>
          <t>3</t>
        </is>
      </c>
      <c r="B30" s="29" t="inlineStr">
        <is>
          <t>Use el buscador por palabra clave. Si conoce un código parecido, por ejemplo uno que la Escuela usó en 2026, búsquelo por código.</t>
        </is>
      </c>
      <c r="C30" s="29" t="n"/>
      <c r="D30" s="29" t="n"/>
    </row>
    <row r="31" ht="35" customHeight="1" s="23">
      <c r="A31" s="30" t="inlineStr">
        <is>
          <t>4</t>
        </is>
      </c>
      <c r="B31" s="30" t="inlineStr">
        <is>
          <t>Si prefiere navegar, baje por los niveles en orden: grupo, segmento, familia, clase y producto. Cada nivel abre las opciones del siguiente.</t>
        </is>
      </c>
      <c r="C31" s="30" t="n"/>
      <c r="D31" s="30" t="n"/>
    </row>
    <row r="32" ht="35" customHeight="1" s="23">
      <c r="A32" s="29" t="inlineStr">
        <is>
          <t>5</t>
        </is>
      </c>
      <c r="B32" s="29" t="inlineStr">
        <is>
          <t>Elija el resultado cuya denominación describa mejor el objeto. Al seleccionarlo, el clasificador muestra su segmento, familia, clase y producto con el código y el nombre.</t>
        </is>
      </c>
      <c r="C32" s="29" t="n"/>
      <c r="D32" s="29" t="n"/>
    </row>
    <row r="33" ht="35" customHeight="1" s="23">
      <c r="A33" s="30" t="inlineStr">
        <is>
          <t>6</t>
        </is>
      </c>
      <c r="B33" s="30" t="inlineStr">
        <is>
          <t>Prefiera el nivel de producto (ocho dígitos sin ceros al final). Si el objeto agrupa varios productos de la misma clase, use la clase (termina en 00).</t>
        </is>
      </c>
      <c r="C33" s="30" t="n"/>
      <c r="D33" s="30" t="n"/>
    </row>
    <row r="34" ht="35" customHeight="1" s="23">
      <c r="A34" s="29" t="inlineStr">
        <is>
          <t>7</t>
        </is>
      </c>
      <c r="B34" s="29" t="inlineStr">
        <is>
          <t>Copie el código y péguelo en la columna M de la hoja PlandeNecesidades como número, sin espacios ni puntos. Si el objeto requiere otros códigos, regístrelos en la columna N separados por punto y coma.</t>
        </is>
      </c>
      <c r="C34" s="29" t="n"/>
      <c r="D34" s="29" t="n"/>
    </row>
    <row r="35" ht="35" customHeight="1" s="23">
      <c r="A35" s="30" t="inlineStr">
        <is>
          <t>8</t>
        </is>
      </c>
      <c r="B35" s="30" t="inlineStr">
        <is>
          <t>Revise que la alerta de consistencia de la fila no indique «Código UNSPSC inválido» ni «UNSPSC a nivel de segmento o familia».</t>
        </is>
      </c>
      <c r="C35" s="30" t="n"/>
      <c r="D35" s="30" t="n"/>
    </row>
    <row r="36"/>
    <row r="37" ht="36" customHeight="1" s="23">
      <c r="A37" s="27" t="inlineStr">
        <is>
          <t>En la parte final de la página del clasificador se descargan la guía de codificación y la traducción al español del clasificador completo, útiles cuando se necesita buscar sin conexión.</t>
        </is>
      </c>
    </row>
    <row r="38" ht="30" customHeight="1" s="23">
      <c r="A38" s="28" t="inlineStr">
        <is>
          <t>Error frecuente de 2026</t>
        </is>
      </c>
      <c r="B38" s="28" t="inlineStr">
        <is>
          <t>Cómo evitarlo</t>
        </is>
      </c>
      <c r="C38" s="28" t="n"/>
      <c r="D38" s="28" t="n"/>
    </row>
    <row r="39" ht="35" customHeight="1" s="23">
      <c r="A39" s="29" t="inlineStr">
        <is>
          <t>Código vacío o escrito como texto</t>
        </is>
      </c>
      <c r="B39" s="29" t="inlineStr">
        <is>
          <t>Registre siempre ocho dígitos, como número.</t>
        </is>
      </c>
      <c r="C39" s="29" t="n"/>
      <c r="D39" s="29" t="n"/>
    </row>
    <row r="40" ht="35" customHeight="1" s="23">
      <c r="A40" s="30" t="inlineStr">
        <is>
          <t>Varios códigos en una misma celda</t>
        </is>
      </c>
      <c r="B40" s="30" t="inlineStr">
        <is>
          <t>Un código principal en la columna M y los demás en la columna N.</t>
        </is>
      </c>
      <c r="C40" s="30" t="n"/>
      <c r="D40" s="30" t="n"/>
    </row>
    <row r="41" ht="35" customHeight="1" s="23">
      <c r="A41" s="29" t="inlineStr">
        <is>
          <t>Código a nivel de segmento o familia</t>
        </is>
      </c>
      <c r="B41" s="29" t="inlineStr">
        <is>
          <t>Baje al menos hasta la clase.</t>
        </is>
      </c>
      <c r="C41" s="29" t="n"/>
      <c r="D41" s="29" t="n"/>
    </row>
    <row r="42" ht="35" customHeight="1" s="23">
      <c r="A42" s="30" t="inlineStr">
        <is>
          <t>Código copiado de otra necesidad sin verificar</t>
        </is>
      </c>
      <c r="B42" s="30" t="inlineStr">
        <is>
          <t>Confirme que la denominación del código describa su objeto.</t>
        </is>
      </c>
      <c r="C42" s="30" t="n"/>
      <c r="D42" s="30" t="n"/>
    </row>
    <row r="43"/>
    <row r="44"/>
    <row r="45" ht="22" customHeight="1" s="23">
      <c r="A45" s="26" t="inlineStr">
        <is>
          <t>6. Cómo se relaciona una necesidad con el Plan de Acción</t>
        </is>
      </c>
    </row>
    <row r="46" ht="51" customHeight="1" s="23">
      <c r="A46" s="27" t="inlineStr">
        <is>
          <t>Toda necesidad sirve a una acción. Primero se formula la acción y después se registra lo que ella requiere contratar. La lista de la columna H muestra solo las acciones de la meta elegida en la columna E. Si la necesidad sirve a una acción que el área formuló por su cuenta, elija PROPIA y escriba en la columna I el nombre de la acción tal como quedó en la formulación.</t>
        </is>
      </c>
    </row>
    <row r="47" ht="30" customHeight="1" s="23">
      <c r="A47" s="28" t="inlineStr">
        <is>
          <t>Acción del Plan de Acción</t>
        </is>
      </c>
      <c r="B47" s="28" t="inlineStr">
        <is>
          <t>Necesidad bien relacionada</t>
        </is>
      </c>
      <c r="C47" s="28" t="n"/>
      <c r="D47" s="28" t="inlineStr">
        <is>
          <t>Por qué está bien</t>
        </is>
      </c>
    </row>
    <row r="48" ht="49.5" customHeight="1" s="23">
      <c r="A48" s="29" t="inlineStr">
        <is>
          <t>AC27.19 Convertir los desarrollos de la Escuela en propiedad intelectual protegida</t>
        </is>
      </c>
      <c r="B48" s="29" t="inlineStr">
        <is>
          <t>Prestar servicios profesionales de asesoría en propiedad industrial para la redacción y radicación de dos solicitudes de patente ante la SIC</t>
        </is>
      </c>
      <c r="C48" s="29" t="n"/>
      <c r="D48" s="29" t="inlineStr">
        <is>
          <t>Sin esa asesoría no se obtiene el producto de la acción: las solicitudes radicadas.</t>
        </is>
      </c>
    </row>
    <row r="49" ht="49.5" customHeight="1" s="23">
      <c r="A49" s="30" t="inlineStr">
        <is>
          <t>AC27.51 Renovar el parque de computadores de apoyo académico</t>
        </is>
      </c>
      <c r="B49" s="30" t="inlineStr">
        <is>
          <t>Adquirir 240 computadores de escritorio para las salas de sistemas</t>
        </is>
      </c>
      <c r="C49" s="30" t="n"/>
      <c r="D49" s="30" t="inlineStr">
        <is>
          <t>El bien es el producto mismo de la actividad de reposición.</t>
        </is>
      </c>
    </row>
    <row r="50" ht="49.5" customHeight="1" s="23">
      <c r="A50" s="29" t="inlineStr">
        <is>
          <t>AC27.59 Reducir el consumo de energía y agua con medidas de bajo costo</t>
        </is>
      </c>
      <c r="B50" s="29" t="inlineStr">
        <is>
          <t>Adquirir e instalar sensores de ocupación e iluminación LED en los bloques F, G y H</t>
        </is>
      </c>
      <c r="C50" s="29" t="n"/>
      <c r="D50" s="29" t="inlineStr">
        <is>
          <t>La compra permite la medida de ahorro que la acción promete.</t>
        </is>
      </c>
    </row>
    <row r="51"/>
    <row r="52"/>
    <row r="53" ht="22" customHeight="1" s="23">
      <c r="A53" s="26" t="inlineStr">
        <is>
          <t>7. Cómo diligenciar la hoja PlandeNecesidades</t>
        </is>
      </c>
    </row>
    <row r="54" ht="30" customHeight="1" s="23">
      <c r="A54" s="28" t="inlineStr">
        <is>
          <t>Paso</t>
        </is>
      </c>
      <c r="B54" s="28" t="inlineStr">
        <is>
          <t>Qué hacer</t>
        </is>
      </c>
      <c r="C54" s="28" t="n"/>
      <c r="D54" s="28" t="n"/>
    </row>
    <row r="55" ht="20.5" customHeight="1" s="23">
      <c r="A55" s="29" t="inlineStr">
        <is>
          <t>1</t>
        </is>
      </c>
      <c r="B55" s="29" t="inlineStr">
        <is>
          <t>Tenga a mano su formulación del Plan de Acción: cada necesidad debe servir a una acción que ya formuló.</t>
        </is>
      </c>
      <c r="C55" s="29" t="n"/>
      <c r="D55" s="29" t="n"/>
    </row>
    <row r="56" ht="20.5" customHeight="1" s="23">
      <c r="A56" s="30" t="inlineStr">
        <is>
          <t>2</t>
        </is>
      </c>
      <c r="B56" s="30" t="inlineStr">
        <is>
          <t>En una fila libre seleccione su área (columna B). La dependencia y el proceso aparecen solos.</t>
        </is>
      </c>
      <c r="C56" s="30" t="n"/>
      <c r="D56" s="30" t="n"/>
    </row>
    <row r="57" ht="20.5" customHeight="1" s="23">
      <c r="A57" s="29" t="inlineStr">
        <is>
          <t>3</t>
        </is>
      </c>
      <c r="B57" s="29" t="inlineStr">
        <is>
          <t>Seleccione la meta del PDI (columna E). El eje y la línea aparecen solos.</t>
        </is>
      </c>
      <c r="C57" s="29" t="n"/>
      <c r="D57" s="29" t="n"/>
    </row>
    <row r="58" ht="35" customHeight="1" s="23">
      <c r="A58" s="30" t="inlineStr">
        <is>
          <t>4</t>
        </is>
      </c>
      <c r="B58" s="30" t="inlineStr">
        <is>
          <t>Seleccione la acción del Plan de Acción 2027 (columna H) o PROPIA, y en ese caso escriba su nombre en la columna I.</t>
        </is>
      </c>
      <c r="C58" s="30" t="n"/>
      <c r="D58" s="30" t="n"/>
    </row>
    <row r="59" ht="20.5" customHeight="1" s="23">
      <c r="A59" s="29" t="inlineStr">
        <is>
          <t>5</t>
        </is>
      </c>
      <c r="B59" s="29" t="inlineStr">
        <is>
          <t>Describa la necesidad: tipo (J), justificación (K) y objeto contractual (L). Un objeto por fila.</t>
        </is>
      </c>
      <c r="C59" s="29" t="n"/>
      <c r="D59" s="29" t="n"/>
    </row>
    <row r="60" ht="20.5" customHeight="1" s="23">
      <c r="A60" s="30" t="inlineStr">
        <is>
          <t>6</t>
        </is>
      </c>
      <c r="B60" s="30" t="inlineStr">
        <is>
          <t>Registre el código UNSPSC (M y, si aplica, N) siguiendo el paso a paso del numeral 5.</t>
        </is>
      </c>
      <c r="C60" s="30" t="n"/>
      <c r="D60" s="30" t="n"/>
    </row>
    <row r="61" ht="35" customHeight="1" s="23">
      <c r="A61" s="29" t="inlineStr">
        <is>
          <t>7</t>
        </is>
      </c>
      <c r="B61" s="29" t="inlineStr">
        <is>
          <t>Diligencie los datos para el Plan Anual de Adquisiciones (O a AA): meses estimados, duración, modalidad, fuente, tipo de gasto, valores y vigencias futuras.</t>
        </is>
      </c>
      <c r="C61" s="29" t="n"/>
      <c r="D61" s="29" t="n"/>
    </row>
    <row r="62" ht="20.5" customHeight="1" s="23">
      <c r="A62" s="30" t="inlineStr">
        <is>
          <t>8</t>
        </is>
      </c>
      <c r="B62" s="30" t="inlineStr">
        <is>
          <t>Registre el responsable (AB a AE) y la continuidad de 2026 y la prioridad (AF a AI).</t>
        </is>
      </c>
      <c r="C62" s="30" t="n"/>
      <c r="D62" s="30" t="n"/>
    </row>
    <row r="63" ht="20.5" customHeight="1" s="23">
      <c r="A63" s="29" t="inlineStr">
        <is>
          <t>9</t>
        </is>
      </c>
      <c r="B63" s="29" t="inlineStr">
        <is>
          <t>Verifique que la columna AJ, «Alerta de consistencia», diga OK en todas sus filas.</t>
        </is>
      </c>
      <c r="C63" s="29" t="n"/>
      <c r="D63" s="29" t="n"/>
    </row>
    <row r="64"/>
    <row r="65"/>
    <row r="66" ht="22" customHeight="1" s="23">
      <c r="A66" s="26" t="inlineStr">
        <is>
          <t>8. Diccionario de campos</t>
        </is>
      </c>
    </row>
    <row r="67" ht="30" customHeight="1" s="23">
      <c r="A67" s="28" t="inlineStr">
        <is>
          <t>Columna</t>
        </is>
      </c>
      <c r="B67" s="28" t="inlineStr">
        <is>
          <t>Campo</t>
        </is>
      </c>
      <c r="C67" s="28" t="inlineStr">
        <is>
          <t>Qué registrar</t>
        </is>
      </c>
      <c r="D67" s="28" t="inlineStr">
        <is>
          <t>Obligatorio</t>
        </is>
      </c>
    </row>
    <row r="68" ht="35" customHeight="1" s="23">
      <c r="A68" s="29" t="inlineStr">
        <is>
          <t>A</t>
        </is>
      </c>
      <c r="B68" s="29" t="inlineStr">
        <is>
          <t>N.° de necesidad</t>
        </is>
      </c>
      <c r="C68" s="29" t="inlineStr">
        <is>
          <t>Automático. Identifica la necesidad en toda la cadena.</t>
        </is>
      </c>
      <c r="D68" s="29" t="inlineStr">
        <is>
          <t>Automático</t>
        </is>
      </c>
    </row>
    <row r="69" ht="20.5" customHeight="1" s="23">
      <c r="A69" s="30" t="inlineStr">
        <is>
          <t>B</t>
        </is>
      </c>
      <c r="B69" s="30" t="inlineStr">
        <is>
          <t>Área funcional que formula</t>
        </is>
      </c>
      <c r="C69" s="30" t="inlineStr">
        <is>
          <t>Una de las 47 áreas de la lista.</t>
        </is>
      </c>
      <c r="D69" s="30" t="inlineStr">
        <is>
          <t>Sí</t>
        </is>
      </c>
    </row>
    <row r="70" ht="20.5" customHeight="1" s="23">
      <c r="A70" s="29" t="inlineStr">
        <is>
          <t>C y D</t>
        </is>
      </c>
      <c r="B70" s="29" t="inlineStr">
        <is>
          <t>Dependencia y proceso</t>
        </is>
      </c>
      <c r="C70" s="29" t="inlineStr">
        <is>
          <t>Automáticos.</t>
        </is>
      </c>
      <c r="D70" s="29" t="inlineStr">
        <is>
          <t>Automático</t>
        </is>
      </c>
    </row>
    <row r="71" ht="35" customHeight="1" s="23">
      <c r="A71" s="30" t="inlineStr">
        <is>
          <t>E</t>
        </is>
      </c>
      <c r="B71" s="30" t="inlineStr">
        <is>
          <t>Meta estratégica del PDI</t>
        </is>
      </c>
      <c r="C71" s="30" t="inlineStr">
        <is>
          <t>La meta a la que aporta la acción que requiere la necesidad.</t>
        </is>
      </c>
      <c r="D71" s="30" t="inlineStr">
        <is>
          <t>Sí</t>
        </is>
      </c>
    </row>
    <row r="72" ht="20.5" customHeight="1" s="23">
      <c r="A72" s="29" t="inlineStr">
        <is>
          <t>F y G</t>
        </is>
      </c>
      <c r="B72" s="29" t="inlineStr">
        <is>
          <t>Eje y línea</t>
        </is>
      </c>
      <c r="C72" s="29" t="inlineStr">
        <is>
          <t>Automáticos a partir de la meta.</t>
        </is>
      </c>
      <c r="D72" s="29" t="inlineStr">
        <is>
          <t>Automático</t>
        </is>
      </c>
    </row>
    <row r="73" ht="35" customHeight="1" s="23">
      <c r="A73" s="30" t="inlineStr">
        <is>
          <t>H</t>
        </is>
      </c>
      <c r="B73" s="30" t="inlineStr">
        <is>
          <t>Acción del Plan de Acción 2027</t>
        </is>
      </c>
      <c r="C73" s="30" t="inlineStr">
        <is>
          <t>La acción de la lista, filtrada por la meta, o PROPIA.</t>
        </is>
      </c>
      <c r="D73" s="30" t="inlineStr">
        <is>
          <t>Sí</t>
        </is>
      </c>
    </row>
    <row r="74" ht="20.5" customHeight="1" s="23">
      <c r="A74" s="29" t="inlineStr">
        <is>
          <t>I</t>
        </is>
      </c>
      <c r="B74" s="29" t="inlineStr">
        <is>
          <t>Nombre de la acción propia</t>
        </is>
      </c>
      <c r="C74" s="29" t="inlineStr">
        <is>
          <t>Solo si eligió PROPIA.</t>
        </is>
      </c>
      <c r="D74" s="29" t="inlineStr">
        <is>
          <t>Condicional</t>
        </is>
      </c>
    </row>
    <row r="75" ht="78.5" customHeight="1" s="23">
      <c r="A75" s="30" t="inlineStr">
        <is>
          <t>J</t>
        </is>
      </c>
      <c r="B75" s="30" t="inlineStr">
        <is>
          <t>Tipo de necesidad</t>
        </is>
      </c>
      <c r="C75" s="30" t="inlineStr">
        <is>
          <t>Servicios profesionales, apoyo a la gestión, bienes, suministro, mantenimiento, obra, consultoría, interventoría, licencias, arrendamiento u otro.</t>
        </is>
      </c>
      <c r="D75" s="30" t="inlineStr">
        <is>
          <t>Sí</t>
        </is>
      </c>
    </row>
    <row r="76" ht="64" customHeight="1" s="23">
      <c r="A76" s="29" t="inlineStr">
        <is>
          <t>K</t>
        </is>
      </c>
      <c r="B76" s="29" t="inlineStr">
        <is>
          <t>Justificación</t>
        </is>
      </c>
      <c r="C76" s="29" t="inlineStr">
        <is>
          <t>Qué problema resuelve y qué producto de la acción no podría lograrse sin ella. Es la base de los estudios previos.</t>
        </is>
      </c>
      <c r="D76" s="29" t="inlineStr">
        <is>
          <t>Sí</t>
        </is>
      </c>
    </row>
    <row r="77" ht="35" customHeight="1" s="23">
      <c r="A77" s="30" t="inlineStr">
        <is>
          <t>L</t>
        </is>
      </c>
      <c r="B77" s="30" t="inlineStr">
        <is>
          <t>Objeto contractual</t>
        </is>
      </c>
      <c r="C77" s="30" t="inlineStr">
        <is>
          <t>Qué se va a adquirir o contratar y para qué.</t>
        </is>
      </c>
      <c r="D77" s="30" t="inlineStr">
        <is>
          <t>Sí</t>
        </is>
      </c>
    </row>
    <row r="78" ht="35" customHeight="1" s="23">
      <c r="A78" s="29" t="inlineStr">
        <is>
          <t>M</t>
        </is>
      </c>
      <c r="B78" s="29" t="inlineStr">
        <is>
          <t>Código UNSPSC principal</t>
        </is>
      </c>
      <c r="C78" s="29" t="inlineStr">
        <is>
          <t>Ocho dígitos, como número, en nivel de clase o de producto.</t>
        </is>
      </c>
      <c r="D78" s="29" t="inlineStr">
        <is>
          <t>Sí</t>
        </is>
      </c>
    </row>
    <row r="79" ht="20.5" customHeight="1" s="23">
      <c r="A79" s="30" t="inlineStr">
        <is>
          <t>N</t>
        </is>
      </c>
      <c r="B79" s="30" t="inlineStr">
        <is>
          <t>Códigos UNSPSC adicionales</t>
        </is>
      </c>
      <c r="C79" s="30" t="inlineStr">
        <is>
          <t>Separados por punto y coma.</t>
        </is>
      </c>
      <c r="D79" s="30" t="inlineStr">
        <is>
          <t>No</t>
        </is>
      </c>
    </row>
    <row r="80" ht="35" customHeight="1" s="23">
      <c r="A80" s="29" t="inlineStr">
        <is>
          <t>O y P</t>
        </is>
      </c>
      <c r="B80" s="29" t="inlineStr">
        <is>
          <t>Meses de inicio y de ofertas</t>
        </is>
      </c>
      <c r="C80" s="29" t="inlineStr">
        <is>
          <t>El mes de ofertas no puede ser anterior al de inicio.</t>
        </is>
      </c>
      <c r="D80" s="29" t="inlineStr">
        <is>
          <t>Sí</t>
        </is>
      </c>
    </row>
    <row r="81" ht="35" customHeight="1" s="23">
      <c r="A81" s="30" t="inlineStr">
        <is>
          <t>Q y R</t>
        </is>
      </c>
      <c r="B81" s="30" t="inlineStr">
        <is>
          <t>Duración y unidad</t>
        </is>
      </c>
      <c r="C81" s="30" t="inlineStr">
        <is>
          <t>Número y unidad: días, meses o años.</t>
        </is>
      </c>
      <c r="D81" s="30" t="inlineStr">
        <is>
          <t>Sí</t>
        </is>
      </c>
    </row>
    <row r="82" ht="35" customHeight="1" s="23">
      <c r="A82" s="29" t="inlineStr">
        <is>
          <t>S</t>
        </is>
      </c>
      <c r="B82" s="29" t="inlineStr">
        <is>
          <t>Modalidad de selección</t>
        </is>
      </c>
      <c r="C82" s="29" t="inlineStr">
        <is>
          <t>Estimada por el área; Contratación la confirma con los topes 2027.</t>
        </is>
      </c>
      <c r="D82" s="29" t="inlineStr">
        <is>
          <t>Sí</t>
        </is>
      </c>
    </row>
    <row r="83" ht="35" customHeight="1" s="23">
      <c r="A83" s="30" t="inlineStr">
        <is>
          <t>T y U</t>
        </is>
      </c>
      <c r="B83" s="30" t="inlineStr">
        <is>
          <t>Fuente y tipo de gasto</t>
        </is>
      </c>
      <c r="C83" s="30" t="inlineStr">
        <is>
          <t>Fuente de los recursos y si es funcionamiento o inversión.</t>
        </is>
      </c>
      <c r="D83" s="30" t="inlineStr">
        <is>
          <t>Sí</t>
        </is>
      </c>
    </row>
    <row r="84" ht="20.5" customHeight="1" s="23">
      <c r="A84" s="29" t="inlineStr">
        <is>
          <t>V</t>
        </is>
      </c>
      <c r="B84" s="29" t="inlineStr">
        <is>
          <t>Rubro o proyecto de inversión</t>
        </is>
      </c>
      <c r="C84" s="29" t="inlineStr">
        <is>
          <t>Si lo conoce.</t>
        </is>
      </c>
      <c r="D84" s="29" t="inlineStr">
        <is>
          <t>No</t>
        </is>
      </c>
    </row>
    <row r="85" ht="35" customHeight="1" s="23">
      <c r="A85" s="30" t="inlineStr">
        <is>
          <t>W y X</t>
        </is>
      </c>
      <c r="B85" s="30" t="inlineStr">
        <is>
          <t>Valor total y valor 2027</t>
        </is>
      </c>
      <c r="C85" s="30" t="inlineStr">
        <is>
          <t>En pesos, solo números. El valor 2027 no supera el total.</t>
        </is>
      </c>
      <c r="D85" s="30" t="inlineStr">
        <is>
          <t>Sí</t>
        </is>
      </c>
    </row>
    <row r="86" ht="35" customHeight="1" s="23">
      <c r="A86" s="29" t="inlineStr">
        <is>
          <t>Y y Z</t>
        </is>
      </c>
      <c r="B86" s="29" t="inlineStr">
        <is>
          <t>Vigencias futuras</t>
        </is>
      </c>
      <c r="C86" s="29" t="inlineStr">
        <is>
          <t>Si se requieren y en qué estado está la solicitud.</t>
        </is>
      </c>
      <c r="D86" s="29" t="inlineStr">
        <is>
          <t>Sí</t>
        </is>
      </c>
    </row>
    <row r="87" ht="35" customHeight="1" s="23">
      <c r="A87" s="30" t="inlineStr">
        <is>
          <t>AA</t>
        </is>
      </c>
      <c r="B87" s="30" t="inlineStr">
        <is>
          <t>Sede o lugar de ejecución</t>
        </is>
      </c>
      <c r="C87" s="30" t="inlineStr">
        <is>
          <t>Sede de la Escuela o lugar de desarrollo.</t>
        </is>
      </c>
      <c r="D87" s="30" t="inlineStr">
        <is>
          <t>No</t>
        </is>
      </c>
    </row>
    <row r="88" ht="49.5" customHeight="1" s="23">
      <c r="A88" s="29" t="inlineStr">
        <is>
          <t>AB a AE</t>
        </is>
      </c>
      <c r="B88" s="29" t="inlineStr">
        <is>
          <t>Responsable</t>
        </is>
      </c>
      <c r="C88" s="29" t="inlineStr">
        <is>
          <t>Nombre, cargo, teléfono y correo institucional del supervisor previsto.</t>
        </is>
      </c>
      <c r="D88" s="29" t="inlineStr">
        <is>
          <t>Sí, salvo el teléfono</t>
        </is>
      </c>
    </row>
    <row r="89" ht="35" customHeight="1" s="23">
      <c r="A89" s="30" t="inlineStr">
        <is>
          <t>AF y AG</t>
        </is>
      </c>
      <c r="B89" s="30" t="inlineStr">
        <is>
          <t>Continuidad 2026</t>
        </is>
      </c>
      <c r="C89" s="30" t="inlineStr">
        <is>
          <t>Si continúa una necesidad de 2026, su número PN26.</t>
        </is>
      </c>
      <c r="D89" s="30" t="inlineStr">
        <is>
          <t>Sí y condicional</t>
        </is>
      </c>
    </row>
    <row r="90" ht="35" customHeight="1" s="23">
      <c r="A90" s="29" t="inlineStr">
        <is>
          <t>AH e AI</t>
        </is>
      </c>
      <c r="B90" s="29" t="inlineStr">
        <is>
          <t>Prioridad y observaciones</t>
        </is>
      </c>
      <c r="C90" s="29" t="inlineStr">
        <is>
          <t>Alta, media o baja; observaciones libres.</t>
        </is>
      </c>
      <c r="D90" s="29" t="inlineStr">
        <is>
          <t>No</t>
        </is>
      </c>
    </row>
    <row r="91" ht="20.5" customHeight="1" s="23">
      <c r="A91" s="30" t="inlineStr">
        <is>
          <t>AJ</t>
        </is>
      </c>
      <c r="B91" s="30" t="inlineStr">
        <is>
          <t>Alerta de consistencia</t>
        </is>
      </c>
      <c r="C91" s="30" t="inlineStr">
        <is>
          <t>Automática. Debe decir OK.</t>
        </is>
      </c>
      <c r="D91" s="30" t="inlineStr">
        <is>
          <t>Automático</t>
        </is>
      </c>
    </row>
    <row r="92"/>
    <row r="93"/>
    <row r="94" ht="22" customHeight="1" s="23">
      <c r="A94" s="26" t="inlineStr">
        <is>
          <t>9. Reglas de calidad</t>
        </is>
      </c>
    </row>
    <row r="95" ht="66" customHeight="1" s="23">
      <c r="A95" s="27" t="inlineStr">
        <is>
          <t>Una necesidad por fila y un objeto por necesidad. Toda necesidad sirve a una acción del Plan de Acción 2027. El código UNSPSC se registra como número de ocho dígitos. Los valores se registran en pesos colombianos, sin puntos, signos ni texto. Si el contrato se paga en más de una vigencia, se marcan las vigencias futuras y su estado. El responsable se identifica con correo institucional sin tildes ni espacios. No se registra como necesidad lo que el área ejecuta con su propio personal de planta.</t>
        </is>
      </c>
    </row>
    <row r="96" ht="51" customHeight="1" s="23">
      <c r="A96" s="27" t="inlineStr">
        <is>
          <t>Lo que aprendimos de 2026: hubo 207 valores escritos como texto, 43 códigos UNSPSC vacíos o múltiples en una celda, 23 formas distintas de escribir la modalidad, 41 necesidades marcadas como mínima cuantía por encima del tope y 42 registros sin correo del responsable. Este formato previene cada uno de esos errores con listas desplegables y con la alerta de consistencia.</t>
        </is>
      </c>
    </row>
    <row r="97"/>
    <row r="98" ht="22" customHeight="1" s="23">
      <c r="A98" s="26" t="inlineStr">
        <is>
          <t>10. Del Plan de Necesidades al Plan Anual de Adquisiciones</t>
        </is>
      </c>
    </row>
    <row r="99" ht="30" customHeight="1" s="23">
      <c r="A99" s="28" t="inlineStr">
        <is>
          <t>Etapa</t>
        </is>
      </c>
      <c r="B99" s="28" t="inlineStr">
        <is>
          <t>Qué ocurre</t>
        </is>
      </c>
      <c r="C99" s="28" t="n"/>
      <c r="D99" s="28" t="inlineStr">
        <is>
          <t>Responsable</t>
        </is>
      </c>
    </row>
    <row r="100" ht="20.5" customHeight="1" s="23">
      <c r="A100" s="29" t="inlineStr">
        <is>
          <t>1</t>
        </is>
      </c>
      <c r="B100" s="29" t="inlineStr">
        <is>
          <t>El área formula sus acciones 2027.</t>
        </is>
      </c>
      <c r="C100" s="29" t="n"/>
      <c r="D100" s="29" t="inlineStr">
        <is>
          <t>Área funcional</t>
        </is>
      </c>
    </row>
    <row r="101" ht="35" customHeight="1" s="23">
      <c r="A101" s="30" t="inlineStr">
        <is>
          <t>2</t>
        </is>
      </c>
      <c r="B101" s="30" t="inlineStr">
        <is>
          <t>El área registra cada bien, obra o servicio que requieren esas acciones.</t>
        </is>
      </c>
      <c r="C101" s="30" t="n"/>
      <c r="D101" s="30" t="inlineStr">
        <is>
          <t>Área funcional</t>
        </is>
      </c>
    </row>
    <row r="102" ht="35" customHeight="1" s="23">
      <c r="A102" s="29" t="inlineStr">
        <is>
          <t>3</t>
        </is>
      </c>
      <c r="B102" s="29" t="inlineStr">
        <is>
          <t>Se revisa la consistencia: alineación con la meta y la acción, alertas y comparación con 2026.</t>
        </is>
      </c>
      <c r="C102" s="29" t="n"/>
      <c r="D102" s="29" t="inlineStr">
        <is>
          <t>Oficina Asesora de Planeación</t>
        </is>
      </c>
    </row>
    <row r="103" ht="35" customHeight="1" s="23">
      <c r="A103" s="30" t="inlineStr">
        <is>
          <t>4</t>
        </is>
      </c>
      <c r="B103" s="30" t="inlineStr">
        <is>
          <t>Se confirman la fuente, el rubro y la viabilidad de las vigencias futuras.</t>
        </is>
      </c>
      <c r="C103" s="30" t="n"/>
      <c r="D103" s="30" t="inlineStr">
        <is>
          <t>Vicerrectoría Administrativa y Financiera</t>
        </is>
      </c>
    </row>
    <row r="104" ht="35" customHeight="1" s="23">
      <c r="A104" s="29" t="inlineStr">
        <is>
          <t>5</t>
        </is>
      </c>
      <c r="B104" s="29" t="inlineStr">
        <is>
          <t>Se agrupan necesidades iguales, se confirma la modalidad y se convierte el consolidado al formato de cargue de SECOP II.</t>
        </is>
      </c>
      <c r="C104" s="29" t="n"/>
      <c r="D104" s="29" t="inlineStr">
        <is>
          <t>GIT de Contratación y Adquisiciones</t>
        </is>
      </c>
    </row>
    <row r="105" ht="35" customHeight="1" s="23">
      <c r="A105" s="30" t="inlineStr">
        <is>
          <t>6</t>
        </is>
      </c>
      <c r="B105" s="30" t="inlineStr">
        <is>
          <t>Se aprueba y se publica el Plan Anual de Adquisiciones a más tardar el 31 de enero de 2027.</t>
        </is>
      </c>
      <c r="C105" s="30" t="n"/>
      <c r="D105" s="30" t="inlineStr">
        <is>
          <t>Instancia de aprobación institucional</t>
        </is>
      </c>
    </row>
    <row r="106" ht="35" customHeight="1" s="23">
      <c r="A106" s="29" t="inlineStr">
        <is>
          <t>7</t>
        </is>
      </c>
      <c r="B106" s="29" t="inlineStr">
        <is>
          <t>Toda necesidad nueva o modificada se tramita como actualización del plan durante 2027.</t>
        </is>
      </c>
      <c r="C106" s="29" t="n"/>
      <c r="D106" s="29" t="inlineStr">
        <is>
          <t>GIT de Contratación y Adquisiciones</t>
        </is>
      </c>
    </row>
    <row r="107"/>
    <row r="108" ht="20" customHeight="1" s="23">
      <c r="A108" s="31" t="inlineStr">
        <is>
          <t>Volver a la hoja PlandeNecesidades</t>
        </is>
      </c>
    </row>
  </sheetData>
  <sheetProtection selectLockedCells="0" selectUnlockedCells="0" sheet="1" objects="0" insertRows="1" insertHyperlinks="1" autoFilter="0" scenarios="0" formatColumns="0" deleteColumns="1" insertColumns="1" pivotTables="1" deleteRows="1" formatCells="1" formatRows="0" sort="1" password="cc6d"/>
  <mergeCells count="61">
    <mergeCell ref="A5:D5"/>
    <mergeCell ref="A17:D17"/>
    <mergeCell ref="B42:D42"/>
    <mergeCell ref="B47:C47"/>
    <mergeCell ref="B60:D60"/>
    <mergeCell ref="B100:C100"/>
    <mergeCell ref="A53:D53"/>
    <mergeCell ref="B61:D61"/>
    <mergeCell ref="B57:D57"/>
    <mergeCell ref="A96:D96"/>
    <mergeCell ref="B29:D29"/>
    <mergeCell ref="A10:D10"/>
    <mergeCell ref="B102:C102"/>
    <mergeCell ref="B38:D38"/>
    <mergeCell ref="A13:D13"/>
    <mergeCell ref="B34:D34"/>
    <mergeCell ref="B105:C105"/>
    <mergeCell ref="B28:D28"/>
    <mergeCell ref="A9:D9"/>
    <mergeCell ref="B48:C48"/>
    <mergeCell ref="B40:D40"/>
    <mergeCell ref="B101:C101"/>
    <mergeCell ref="B30:D30"/>
    <mergeCell ref="B55:D55"/>
    <mergeCell ref="A98:D98"/>
    <mergeCell ref="B33:D33"/>
    <mergeCell ref="A1:D1"/>
    <mergeCell ref="A45:D45"/>
    <mergeCell ref="A94:D94"/>
    <mergeCell ref="A6:D6"/>
    <mergeCell ref="B63:D63"/>
    <mergeCell ref="B41:D41"/>
    <mergeCell ref="B103:C103"/>
    <mergeCell ref="B32:D32"/>
    <mergeCell ref="B35:D35"/>
    <mergeCell ref="B99:C99"/>
    <mergeCell ref="A7:D7"/>
    <mergeCell ref="A25:D25"/>
    <mergeCell ref="A16:D16"/>
    <mergeCell ref="B62:D62"/>
    <mergeCell ref="A46:D46"/>
    <mergeCell ref="B49:C49"/>
    <mergeCell ref="B54:D54"/>
    <mergeCell ref="A66:D66"/>
    <mergeCell ref="A108:D108"/>
    <mergeCell ref="A37:D37"/>
    <mergeCell ref="B59:D59"/>
    <mergeCell ref="B31:D31"/>
    <mergeCell ref="B104:C104"/>
    <mergeCell ref="A12:D12"/>
    <mergeCell ref="A3:D3"/>
    <mergeCell ref="A26:D26"/>
    <mergeCell ref="B27:D27"/>
    <mergeCell ref="B56:D56"/>
    <mergeCell ref="B58:D58"/>
    <mergeCell ref="A95:D95"/>
    <mergeCell ref="B50:C50"/>
    <mergeCell ref="A2:D2"/>
    <mergeCell ref="B39:D39"/>
    <mergeCell ref="B106:C106"/>
    <mergeCell ref="A14:D14"/>
  </mergeCells>
  <hyperlinks>
    <hyperlink xmlns:r="http://schemas.openxmlformats.org/officeDocument/2006/relationships" ref="A3" r:id="rId1"/>
    <hyperlink xmlns:r="http://schemas.openxmlformats.org/officeDocument/2006/relationships" ref="A26" r:id="rId2"/>
    <hyperlink xmlns:r="http://schemas.openxmlformats.org/officeDocument/2006/relationships" ref="A108" r:id="rId3"/>
  </hyperlinks>
  <pageMargins left="0.75" right="0.75" top="1" bottom="1" header="0.5" footer="0.5"/>
</worksheet>
</file>

<file path=xl/worksheets/sheet3.xml><?xml version="1.0" encoding="utf-8"?>
<worksheet xmlns="http://schemas.openxmlformats.org/spreadsheetml/2006/main">
  <sheetPr>
    <tabColor rgb="000B4D3B"/>
    <outlinePr summaryBelow="1" summaryRight="1"/>
    <pageSetUpPr/>
  </sheetPr>
  <dimension ref="A1:Y47"/>
  <sheetViews>
    <sheetView showGridLines="0" tabSelected="0" zoomScale="90" workbookViewId="0">
      <pane xSplit="5" ySplit="2" topLeftCell="F3" activePane="bottomRight" state="frozen"/>
      <selection pane="topRight"/>
      <selection pane="bottomLeft"/>
      <selection pane="bottomRight" activeCell="A1" sqref="A1"/>
    </sheetView>
  </sheetViews>
  <sheetFormatPr baseColWidth="8" defaultRowHeight="15"/>
  <cols>
    <col width="18" customWidth="1" style="23" min="1" max="1"/>
    <col width="30" customWidth="1" style="23" min="2" max="2"/>
    <col width="20" customWidth="1" style="23" min="3" max="3"/>
    <col width="32" customWidth="1" style="23" min="4" max="4"/>
    <col width="40" customWidth="1" style="23" min="5" max="5"/>
    <col width="12" customWidth="1" style="23" min="6" max="6"/>
    <col width="44" customWidth="1" style="23" min="7" max="7"/>
    <col width="28" customWidth="1" style="23" min="8" max="8"/>
    <col width="32" customWidth="1" style="23" min="9" max="9"/>
    <col width="22" customWidth="1" style="23" min="10" max="10"/>
    <col width="34" customWidth="1" style="23" min="11" max="11"/>
    <col width="26" customWidth="1" style="23" min="12" max="12"/>
    <col width="58" customWidth="1" style="23" min="13" max="13"/>
    <col width="70" customWidth="1" style="23" min="14" max="14"/>
    <col width="30" customWidth="1" style="23" min="15" max="15"/>
    <col width="22" customWidth="1" style="23" min="16" max="16"/>
    <col width="14" customWidth="1" style="23" min="17" max="17"/>
    <col width="32" customWidth="1" style="23" min="18" max="18"/>
    <col width="40" customWidth="1" style="23" min="19" max="19"/>
    <col width="62" customWidth="1" style="23" min="20" max="20"/>
    <col width="46" customWidth="1" style="23" min="21" max="21"/>
    <col width="13" customWidth="1" style="23" min="22" max="22"/>
    <col width="13" customWidth="1" style="23" min="23" max="23"/>
    <col width="78" customWidth="1" style="23" min="24" max="24"/>
    <col width="38" customWidth="1" style="23" min="25" max="25"/>
  </cols>
  <sheetData>
    <row r="1" ht="22" customHeight="1" s="23">
      <c r="A1" s="33" t="inlineStr">
        <is>
          <t>ESTRUCTURA DEL PDI 2025 A 2032</t>
        </is>
      </c>
      <c r="B1" s="34" t="n"/>
      <c r="C1" s="34" t="n"/>
      <c r="D1" s="34" t="n"/>
      <c r="E1" s="34" t="n"/>
      <c r="F1" s="35" t="inlineStr">
        <is>
          <t>FORMULACIÓN 2027</t>
        </is>
      </c>
      <c r="G1" s="34" t="n"/>
      <c r="H1" s="34" t="n"/>
      <c r="I1" s="34" t="n"/>
      <c r="J1" s="34" t="n"/>
      <c r="K1" s="34" t="n"/>
      <c r="L1" s="34" t="n"/>
      <c r="M1" s="34" t="n"/>
      <c r="N1" s="34" t="n"/>
      <c r="O1" s="34" t="n"/>
      <c r="P1" s="34" t="n"/>
      <c r="Q1" s="36" t="inlineStr">
        <is>
          <t>IMPACTO SEGÚN LA GUÍA METODOLÓGICA PARA LA EVALUACIÓN DE IMPACTO INSTITUCIONAL</t>
        </is>
      </c>
      <c r="R1" s="36" t="n"/>
      <c r="S1" s="36" t="n"/>
      <c r="T1" s="36" t="n"/>
      <c r="U1" s="36" t="n"/>
      <c r="V1" s="37" t="inlineStr">
        <is>
          <t>SEGUIMIENTO</t>
        </is>
      </c>
      <c r="W1" s="37" t="n"/>
      <c r="X1" s="37" t="n"/>
      <c r="Y1" s="37" t="n"/>
    </row>
    <row r="2" ht="48" customHeight="1" s="23">
      <c r="A2" s="38" t="inlineStr">
        <is>
          <t>EJE ESTRATÉGICO</t>
        </is>
      </c>
      <c r="B2" s="39" t="inlineStr">
        <is>
          <t>OBJETIVO ESTRATÉGICO DEL EJE</t>
        </is>
      </c>
      <c r="C2" s="39" t="inlineStr">
        <is>
          <t>LÍNEA DE ACCIÓN</t>
        </is>
      </c>
      <c r="D2" s="39" t="inlineStr">
        <is>
          <t>OBJETIVO ESTRATÉGICO</t>
        </is>
      </c>
      <c r="E2" s="39" t="inlineStr">
        <is>
          <t>META ESTRATÉGICA (PDI 2032)</t>
        </is>
      </c>
      <c r="F2" s="40" t="inlineStr">
        <is>
          <t>AJUSTE 2027</t>
        </is>
      </c>
      <c r="G2" s="40" t="inlineStr">
        <is>
          <t>QUÉ CAMBIA FRENTE A 2026</t>
        </is>
      </c>
      <c r="H2" s="40" t="inlineStr">
        <is>
          <t>INDICADOR DE LA META</t>
        </is>
      </c>
      <c r="I2" s="40" t="inlineStr">
        <is>
          <t>LÍNEA BASE</t>
        </is>
      </c>
      <c r="J2" s="40" t="inlineStr">
        <is>
          <t>META 2032</t>
        </is>
      </c>
      <c r="K2" s="40" t="inlineStr">
        <is>
          <t>META 2027</t>
        </is>
      </c>
      <c r="L2" s="40" t="inlineStr">
        <is>
          <t>FUENTE DE LA META 2027</t>
        </is>
      </c>
      <c r="M2" s="40" t="inlineStr">
        <is>
          <t>ACCIONES 2027 (RESULTADOS QUE SE BUSCAN)</t>
        </is>
      </c>
      <c r="N2" s="40" t="inlineStr">
        <is>
          <t>ACTIVIDADES QUE COMPONEN CADA ACCIÓN Y SU PRODUCTO</t>
        </is>
      </c>
      <c r="O2" s="40" t="inlineStr">
        <is>
          <t>ÁREAS RESPONSABLES</t>
        </is>
      </c>
      <c r="P2" s="40" t="inlineStr">
        <is>
          <t>PRESUPUESTO 2027 (millones de pesos)</t>
        </is>
      </c>
      <c r="Q2" s="41" t="inlineStr">
        <is>
          <t>DIMENSIÓN DE IMPACTO</t>
        </is>
      </c>
      <c r="R2" s="41" t="inlineStr">
        <is>
          <t>CATEGORÍA DE IMPACTO (GUÍA METODOLÓGICA)</t>
        </is>
      </c>
      <c r="S2" s="41" t="inlineStr">
        <is>
          <t>INDICADOR DE IMPACTO (GUÍA METODOLÓGICA)</t>
        </is>
      </c>
      <c r="T2" s="41" t="inlineStr">
        <is>
          <t>CÓMO SE GENERA EL IMPACTO (CADENA DE VALOR)</t>
        </is>
      </c>
      <c r="U2" s="41" t="inlineStr">
        <is>
          <t>CÓMO SABREMOS QUE HUBO IMPACTO</t>
        </is>
      </c>
      <c r="V2" s="42" t="inlineStr">
        <is>
          <t>N.° DE ACCIONES</t>
        </is>
      </c>
      <c r="W2" s="42" t="inlineStr">
        <is>
          <t>N.° DE ACTIVIDADES</t>
        </is>
      </c>
      <c r="X2" s="42" t="inlineStr">
        <is>
          <t>RUTA DE ALINEACIÓN Y SEGUIMIENTO</t>
        </is>
      </c>
      <c r="Y2" s="42" t="inlineStr">
        <is>
          <t>ALERTAS PARA LA REVISIÓN</t>
        </is>
      </c>
    </row>
    <row r="3" ht="270" customHeight="1" s="23">
      <c r="A3" s="43" t="inlineStr">
        <is>
          <t>1. Formación y pedagogía de calidad</t>
        </is>
      </c>
      <c r="B3" s="44" t="inlineStr">
        <is>
          <t>1. Consolidar a la ETITC como un referente educativo de excelencia, ampliando su oferta académica y garantizando la calidad en todos sus programas mediante una actualización continua y una estrecha vinculación con el entorno.</t>
        </is>
      </c>
      <c r="C3" s="44" t="inlineStr">
        <is>
          <t>1.1 Ampliación de cobertura</t>
        </is>
      </c>
      <c r="D3" s="44" t="inlineStr">
        <is>
          <t>1.1.1. Ampliar la cobertura de estudiantes en los programas de educación superior, asegurando el acceso equitativo y la calidad académica.</t>
        </is>
      </c>
      <c r="E3" s="44" t="inlineStr">
        <is>
          <t>1.1.1.1. Contar con 11.000 estudiantes vinculados a programas de educación superior al 2032.</t>
        </is>
      </c>
      <c r="F3" s="45" t="inlineStr">
        <is>
          <t>Se mantiene</t>
        </is>
      </c>
      <c r="G3" s="44" t="inlineStr">
        <is>
          <t>Se mantiene el enunciado. Se agrega el crecimiento neto de primer curso (método MEN) como indicador de gestión y se suman las cohortes territoriales y la oferta híbrida y virtual (ver 1.4.1.1).</t>
        </is>
      </c>
      <c r="H3" s="44" t="inlineStr">
        <is>
          <t>N.° de estudiantes matriculados en programas de educación superior (SNIES)</t>
        </is>
      </c>
      <c r="I3" s="44" t="inlineStr">
        <is>
          <t>3.925 estudiantes (2024, MPI, columna «Línea base 2024»); 4.219 matriculados en primer semestre de 2026 (Proyecciones de matrícula)</t>
        </is>
      </c>
      <c r="J3" s="44" t="inlineStr">
        <is>
          <t>11.000 estudiantes</t>
        </is>
      </c>
      <c r="K3" s="46" t="inlineStr">
        <is>
          <t>5.400 estudiantes</t>
        </is>
      </c>
      <c r="L3" s="44" t="inlineStr">
        <is>
          <t>MPI (meta 2027) y Proyecciones de matrícula 2020 a 2035 (columna Meta). Los programas nuevos aportan entre 650 (primer semestre de 2027) y 883 (segundo semestre de 2027) estudiantes según la misma proyección.</t>
        </is>
      </c>
      <c r="M3" s="47" t="inlineStr">
        <is>
          <t>AC27.01. Fortalecer la medición de la cobertura y de sus efectos, de modo que la Escuela sepa cuántos estudiantes nuevos gana cada año y qué pasa con ellos al egresar.
AC27.02. Orientar la admisión 2027 hacia los programas con mayor demanda, con un calendario de admisiones armonizado con los recursos que asigna el Ministerio de Educación.
AC27.03. Ampliar la cobertura en los territorios con cohortes nuevas en La Primavera (Vichada) y en Zipaquirá.</t>
        </is>
      </c>
      <c r="N3" s="48" t="inlineStr">
        <is>
          <t>AC27.01, actividades:
1. Adoptar el crecimiento neto de primer curso como indicador de meta, junto con nuevos atendidos (A27-001). Producto: ficha del indicador y serie SNIES por programa.
2. Iniciar el estudio de impacto de Egresados (A27-006). Producto: diseño del estudio aprobado.
AC27.02, actividades:
1. Armonizar el calendario de admisiones con la asignación de recursos del MEN (A27-002). Producto: calendario de admisiones armonizado.
2. Concentrar cupos en programas con demanda creciente y revisar la oferta de programas en descenso (A27-003). Producto: informe de oferta y demanda por programa 2027.
AC27.03, actividades:
1. Ejecutar la cohorte primer semestre de 2027 en La Primavera (Vichada) con 80 cupos adicionales (A27-004). Producto: matrícula de la cohorte en SNIES y acto del Consejo Directivo.
2. Ofertar y matricular en Zipaquirá bajo lugares de desarrollo transitorios (A27-005). Producto: matrícula por lugar de desarrollo en SNIES.</t>
        </is>
      </c>
      <c r="O3" s="48" t="inlineStr">
        <is>
          <t>Planeación y Plan de Acción (101)
Egresados y Bolsa de Empleo (141)
GIT Registro, Control y Admisiones (126)
Despacho de la Vicerrectoría Académica (120)
Sedes Tintal / Soacha-UPK / Viotá (120)</t>
        </is>
      </c>
      <c r="P3" s="48" t="inlineStr">
        <is>
          <t>A27-004: 295,8 (Res. MEN 019862)</t>
        </is>
      </c>
      <c r="Q3" s="48" t="inlineStr">
        <is>
          <t>Valor Público</t>
        </is>
      </c>
      <c r="R3" s="48" t="inlineStr">
        <is>
          <t>Transformaciones del territorio (condiciones del desarrollo, especialmente de cobertura y pertinencia en la oferta educativa).</t>
        </is>
      </c>
      <c r="S3" s="48" t="inlineStr">
        <is>
          <t>Porcentaje de jóvenes de la comunidad beneficiaria que se escolarizaron con la Institución.
Proporción de programas académicos pertinentes (alineados con necesidades y vocación del territorio) ofrecidos por la Institución en el territorio.</t>
        </is>
      </c>
      <c r="T3" s="49" t="inlineStr">
        <is>
          <t>1. Lo que hacemos: 3 acciones con 6 actividades (columnas M y N).
2. Lo que entregamos (productos): ficha del indicador y serie SNIES por programa; diseño del estudio aprobado; calendario de admisiones armonizado; informe de oferta y demanda por programa 2027; matrícula de la cohorte en SNIES y acto del Consejo Directivo; matrícula por lugar de desarrollo en SNIES.
3. Lo que cambia pronto (resultado): crece la matrícula de primer curso en Bogotá y en los territorios, y los cupos se concentran en programas con demanda.
4. La transformación que buscamos (impacto): más jóvenes de Bogotá y de regiones con poca oferta pública acceden y permanecen en educación superior pertinente con la vocación productiva de su territorio.
5. Tipo de impacto según la guía: externo.</t>
        </is>
      </c>
      <c r="U3" s="49" t="inlineStr">
        <is>
          <t>El porcentaje de jóvenes de las comunidades atendidas que se escolarizan con la Escuela sube frente a la línea base de 2024, y la proporción de programas pertinentes ofrecidos en cada territorio aumenta.
Indicador de la guía con que se mide: porcentaje de jóvenes de la comunidad beneficiaria que se escolarizaron con la Institución.
Punto de comparación: la línea base de la meta (3.925 estudiantes (2024, MPI, columna «Línea base 2024»); 4.219 matriculados en primer semestre de 2026 (Proyecciones de matrícula)) y, cuando el estudio lo permita, un grupo de referencia que no recibió la intervención.</t>
        </is>
      </c>
      <c r="V3" s="50" t="n">
        <v>3</v>
      </c>
      <c r="W3" s="50" t="n">
        <v>6</v>
      </c>
      <c r="X3" s="48" t="inlineStr">
        <is>
          <t>Dónde se ubica: eje 1, Formación y pedagogía de calidad, línea 1.1 Ampliación de cobertura, meta 1.1.1.1 del PDI 2025 a 2032.
Qué cambió frente a 2026: se mantiene. Se mantiene el enunciado. Se agrega el crecimiento neto de primer curso (método MEN) como indicador de gestión y se suman las cohortes territoriales y la oferta híbrida y virtual (ver 1.4.1.1).
Cómo se mide la meta: N.° de estudiantes matriculados en programas de educación superior (SNIES). Línea base: 3.925 estudiantes (2024, MPI, columna «Línea base 2024»); 4.219 matriculados en primer semestre de 2026 (Proyecciones de matrícula). Meta 2027: 5.400 estudiantes.
Cómo se mide el impacto: porcentaje de jóvenes de la comunidad beneficiaria que se escolarizaron con la Institución. El indicador sale de la Guía Metodológica para la Evaluación de Impacto Institucional y se lee frente a la línea base.
Qué esperamos obtener: más jóvenes de Bogotá y de regiones con poca oferta pública acceden y permanecen en educación superior pertinente con la vocación productiva de su territorio.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3" s="48" t="inlineStr">
        <is>
          <t>El texto del PDI (pág. 39) habla de 12.000 estudiantes; la tabla de metas y la MPI, de 11.000. La proyección de matrícula llega a 9.675 en segundo semestre de 2032, por debajo de la meta.</t>
        </is>
      </c>
    </row>
    <row r="4" ht="230.4" customHeight="1" s="23">
      <c r="A4" s="51" t="n"/>
      <c r="B4" s="52" t="n"/>
      <c r="C4" s="53" t="n"/>
      <c r="D4" s="53" t="n"/>
      <c r="E4" s="44" t="inlineStr">
        <is>
          <t>1.1.1.2. Lograr que el 30% de los estudiantes del IBTI pasen a la educación superior de la ETITC.</t>
        </is>
      </c>
      <c r="F4" s="45" t="inlineStr">
        <is>
          <t>Se mantiene</t>
        </is>
      </c>
      <c r="G4" s="44" t="inlineStr">
        <is>
          <t>Se unifica el enunciado (el aplicativo tenía dos textos con y sin tilde).</t>
        </is>
      </c>
      <c r="H4" s="44" t="inlineStr">
        <is>
          <t>N.° y % de egresados del IBTI matriculados en programas de la ETITC</t>
        </is>
      </c>
      <c r="I4" s="44" t="inlineStr">
        <is>
          <t>31 estudiantes (2024, MPI, columna «Línea base 2024»)</t>
        </is>
      </c>
      <c r="J4" s="44" t="inlineStr">
        <is>
          <t>30% (MPI: 250 estudiantes en 2032)</t>
        </is>
      </c>
      <c r="K4" s="46" t="inlineStr">
        <is>
          <t>40 estudiantes</t>
        </is>
      </c>
      <c r="L4" s="44" t="inlineStr">
        <is>
          <t>MPI</t>
        </is>
      </c>
      <c r="M4" s="47" t="inlineStr">
        <is>
          <t>AC27.04. Consolidar la ruta de tránsito del IBTI a la educación superior de la ETITC, desde la alineación curricular hasta el acompañamiento de la cohorte que ingresa.</t>
        </is>
      </c>
      <c r="N4" s="48" t="inlineStr">
        <is>
          <t>AC27.04, actividades:
1. Alinear los currículos del IBTI con los programas técnicos profesionales por ciclos propedéuticos (A27-007). Producto: currículos alineados (ver 4.2.1.3).
2. Implementar la ruta de admisión y tránsito del IBTI a la educación superior (A27-008). Producto: procedimiento adoptado y estudiantes admitidos.
3. Hacer seguimiento a la cohorte que transita y a su permanencia en el primer año (A27-009). Producto: informe de seguimiento de la cohorte.</t>
        </is>
      </c>
      <c r="O4" s="48" t="inlineStr">
        <is>
          <t>Despacho de la Vicerrectoría Académica (120)
IBTI (124)
GIT Registro, Control y Admisiones (126)</t>
        </is>
      </c>
      <c r="P4" s="48" t="inlineStr">
        <is>
          <t>Sin presupuesto registrado en la matriz plurianual</t>
        </is>
      </c>
      <c r="Q4" s="48" t="inlineStr">
        <is>
          <t>Valor Público</t>
        </is>
      </c>
      <c r="R4" s="48" t="inlineStr">
        <is>
          <t>Transformaciones del territorio (condiciones del desarrollo, especialmente de cobertura y pertinencia en la oferta educativa).
Cambios curriculares y mejoramiento de programas</t>
        </is>
      </c>
      <c r="S4" s="48" t="inlineStr">
        <is>
          <t>Porcentaje de jóvenes de la comunidad beneficiaria que se escolarizaron con la Institución.
Reducción en la tasa de deserción atribuible a la intervención.</t>
        </is>
      </c>
      <c r="T4" s="49" t="inlineStr">
        <is>
          <t>1. Lo que hacemos: 1 acción con 3 actividades (columnas M y N).
2. Lo que entregamos (productos): currículos alineados (ver 4.2.1.3); procedimiento adoptado y estudiantes admitidos; informe de seguimiento de la cohorte.
3. Lo que cambia pronto (resultado): más bachilleres técnicos del IBTI ingresan a los programas técnicos profesionales de la ETITC y terminan su primer año.
4. La transformación que buscamos (impacto): la ruta IBTI y educación superior se vuelve una trayectoria continua que reduce la deserción y mejora las oportunidades de estos jóvenes.
5. Tipo de impacto según la guía: externo e interno.</t>
        </is>
      </c>
      <c r="U4" s="49" t="inlineStr">
        <is>
          <t>La tasa de tránsito del IBTI a la ETITC supera los 31 estudiantes de la línea base y la deserción de esa cohorte en primer año es menor que la del resto de estudiantes nuevos.
Indicador de la guía con que se mide: porcentaje de jóvenes de la comunidad beneficiaria que se escolarizaron con la Institución.
Punto de comparación: la línea base de la meta (31 estudiantes (2024, MPI, columna «Línea base 2024»)) y, cuando el estudio lo permita, un grupo de referencia que no recibió la intervención.</t>
        </is>
      </c>
      <c r="V4" s="50" t="n">
        <v>1</v>
      </c>
      <c r="W4" s="50" t="n">
        <v>3</v>
      </c>
      <c r="X4" s="48" t="inlineStr">
        <is>
          <t>Dónde se ubica: eje 1, Formación y pedagogía de calidad, línea 1.1 Ampliación de cobertura, meta 1.1.1.2 del PDI 2025 a 2032.
Qué cambió frente a 2026: se mantiene. Se unifica el enunciado (el aplicativo tenía dos textos con y sin tilde).
Cómo se mide la meta: N.° y % de egresados del IBTI matriculados en programas de la ETITC. Línea base: 31 estudiantes (2024, MPI, columna «Línea base 2024»). Meta 2027: 40 estudiantes.
Cómo se mide el impacto: porcentaje de jóvenes de la comunidad beneficiaria que se escolarizaron con la Institución. El indicador sale de la Guía Metodológica para la Evaluación de Impacto Institucional y se lee frente a la línea base.
Qué esperamos obtener: la ruta IBTI y educación superior se vuelve una trayectoria continua que reduce la deserción y mejora las oportunidades de estos jóvenes.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4" s="48" t="inlineStr">
        <is>
          <t>El PDI expresa la meta en porcentaje y la MPI en número de estudiantes: reportar ambos.</t>
        </is>
      </c>
    </row>
    <row r="5" ht="296.4" customHeight="1" s="23">
      <c r="A5" s="51" t="n"/>
      <c r="B5" s="52" t="n"/>
      <c r="C5" s="44" t="inlineStr">
        <is>
          <t>1.2 Oferta educativa</t>
        </is>
      </c>
      <c r="D5" s="44" t="inlineStr">
        <is>
          <t>1.2.1. Fortalecer la oferta educativa mediante la creación y consolidación de programas de pregrado y posgrado, así como la ETDH, con modalidades virtuales que respondan a las demandas del entorno actual.</t>
        </is>
      </c>
      <c r="E5" s="44" t="inlineStr">
        <is>
          <t>1.2.1.1. Ofrecer programas de educación superior: 5 pregrados nuevos, 3 especializaciones y 3 maestrías.</t>
        </is>
      </c>
      <c r="F5" s="54" t="inlineStr">
        <is>
          <t>Se corrige</t>
        </is>
      </c>
      <c r="G5" s="44" t="inlineStr">
        <is>
          <t>Se retira la adición de «2 programas nuevos de doctorado», que no está en el PDI (salvo acto del Consejo Directivo). Se integran los programas de IA comprometidos.</t>
        </is>
      </c>
      <c r="H5" s="44" t="inlineStr">
        <is>
          <t>N.° de programas nuevos con registro calificado y ofertados, por nivel</t>
        </is>
      </c>
      <c r="I5" s="44" t="inlineStr">
        <is>
          <t>15 pregrados y 3 posgrados (2024, MPI, columna «Línea base 2024»); en 2025 se recibieron 4 visitas de verificación para 10 programas nuevos en modalidad distancia (RC 2025)</t>
        </is>
      </c>
      <c r="J5" s="44" t="inlineStr">
        <is>
          <t>5 pregrados, 3 especializaciones, 3 maestrías</t>
        </is>
      </c>
      <c r="K5" s="46" t="inlineStr">
        <is>
          <t>Pregrado: 3 documentos maestros, 2 programas con registro calificado y 2 ofertados desde el II semestre. Posgrado: 2 especializaciones y 2 maestrías ofertadas en el II semestre.</t>
        </is>
      </c>
      <c r="L5" s="44" t="inlineStr">
        <is>
          <t>MPI; Acuerdos 04, 07 y 08 de 2026 y Oficio del 10/03/2026 (programas de IA).</t>
        </is>
      </c>
      <c r="M5" s="47" t="inlineStr">
        <is>
          <t>AC27.05. Completar el diseño y la aprobación de la nueva oferta de pregrado, con énfasis en inteligencia artificial y ciencia de datos.
AC27.06. Poner en marcha la nueva oferta en el segundo semestre de 2027, incluidos los posgrados y los programas que se desarrollarán en Zipaquirá.</t>
        </is>
      </c>
      <c r="N5" s="48" t="inlineStr">
        <is>
          <t>AC27.05, actividades:
1. Reprogramar los productos 2026 vencidos de la meta (38 al 2 de septiembre de 2026) (A27-010). Producto: productos reprogramados.
2. Elaborar los documentos maestros de 3 programas de pregrado (A27-011). Producto: documentos maestros.
3. Diseñar 4 programas nuevos de IA: Tecnología en Análisis y Modelado de Datos con IA, TP en Ciencia de Datos Aplicada a la IA, Especialización en Gestión de Proyectos de IA y Maestría en Ciencia de Datos (A27-012). Producto: planes de estudio y acuerdos.
4. Obtener registro calificado de Ingeniería en IA, Ingeniería Robótica con IA y Especialización en Soluciones de IA (A27-013). Producto: radicados y resoluciones del MEN.
AC27.06, actividades:
1. Tramitar la modificación del lugar de desarrollo de los programas de IA si se ofrecerán en Zipaquirá (A27-014). Producto: solicitud ante el MEN.
2. Ofertar 2 especializaciones y 2 maestrías en el II semestre (A27-015). Producto: programas ofertados y matrícula.</t>
        </is>
      </c>
      <c r="O5" s="48" t="inlineStr">
        <is>
          <t>Despacho de la Vicerrectoría Académica (120)
Facultad de Inteligencia Artificial (Acuerdo 010 de 2025) (123)
Aseguramiento de la Calidad, MIPG y Registros Calificados (101)
Coordinación de Especializaciones (123)</t>
        </is>
      </c>
      <c r="P5" s="48" t="inlineStr">
        <is>
          <t>Sin presupuesto registrado en la matriz plurianual</t>
        </is>
      </c>
      <c r="Q5" s="48" t="inlineStr">
        <is>
          <t>Valor Público</t>
        </is>
      </c>
      <c r="R5" s="48" t="inlineStr">
        <is>
          <t>Transformaciones del territorio (condiciones del desarrollo, especialmente de cobertura y pertinencia en la oferta educativa).
Transformaciones de vidas (condiciones de vida movilidad social) de las personas con las que se interactúa.</t>
        </is>
      </c>
      <c r="S5" s="48" t="inlineStr">
        <is>
          <t>Proporción de programas académicos pertinentes (alineados con necesidades y vocación del territorio) ofrecidos por la Institución en el territorio.
Índice de empleabilidad en el corto plazo tras finalizar el programa formativo.</t>
        </is>
      </c>
      <c r="T5" s="49" t="inlineStr">
        <is>
          <t>1. Lo que hacemos: 2 acciones con 6 actividades (columnas M y N).
2. Lo que entregamos (productos): productos reprogramados; documentos maestros; planes de estudio y acuerdos; radicados y resoluciones del MEN; solicitud ante el MEN; programas ofertados y matrícula.
3. Lo que cambia pronto (resultado): la Escuela cuenta con documentos maestros, registros calificados y programas nuevos ofertados, en especial en inteligencia artificial y datos.
4. La transformación que buscamos (impacto): la oferta responde a lo que el territorio y el sector productivo demandan, y sus egresados se vinculan rápidamente al empleo.
5. Tipo de impacto según la guía: interno y externo.</t>
        </is>
      </c>
      <c r="U5" s="49" t="inlineStr">
        <is>
          <t>Aumenta la proporción de programas pertinentes con la vocación del territorio y, cuando egresen las primeras cohortes, su índice de empleabilidad de corto plazo es igual o superior al promedio institucional.
Indicador de la guía con que se mide: proporción de programas académicos pertinentes (alineados con necesidades y vocación del territorio) ofrecidos por la Institución en el territorio.
Punto de comparación: la línea base de la meta (15 pregrados y 3 posgrados (2024, MPI, columna «Línea base 2024»); en 2025 se recibieron 4 visitas de verificación para 10 programas nuevos en modalidad distancia (RC 2025)) y, cuando el estudio lo permita, un grupo de referencia que no recibió la intervención.</t>
        </is>
      </c>
      <c r="V5" s="50" t="n">
        <v>2</v>
      </c>
      <c r="W5" s="50" t="n">
        <v>6</v>
      </c>
      <c r="X5" s="48" t="inlineStr">
        <is>
          <t>Dónde se ubica: eje 1, Formación y pedagogía de calidad, línea 1.2 Oferta educativa, meta 1.2.1.1 del PDI 2025 a 2032.
Qué cambió frente a 2026: se corrige. Se retira la adición de «2 programas nuevos de doctorado», que no está en el PDI (salvo acto del Consejo Directivo). Se integran los programas de IA comprometidos.
Cómo se mide la meta: N.° de programas nuevos con registro calificado y ofertados, por nivel. Línea base: 15 pregrados y 3 posgrados (2024, MPI, columna «Línea base 2024»); en 2025 se recibieron 4 visitas de verificación para 10 programas nuevos en modalidad distancia (RC 2025). Meta 2027: Pregrado: 3 documentos maestros, 2 programas con registro calificado y 2 ofertados desde el II semestre. Posgrado: 2 especializaciones y 2 maestrías ofertadas en el II semestre.
Cómo se mide el impacto: proporción de programas académicos pertinentes (alineados con necesidades y vocación del territorio) ofrecidos por la Institución en el territorio. El indicador sale de la Guía Metodológica para la Evaluación de Impacto Institucional y se lee frente a la línea base.
Qué esperamos obtener: la oferta responde a lo que el territorio y el sector productivo demandan, y sus egresados se vinculan rápidamente al empleo.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5" s="48" t="inlineStr">
        <is>
          <t>La MPI incluye 2 doctorados que no están en la tabla de metas del PDI.</t>
        </is>
      </c>
    </row>
    <row r="6" ht="309.6" customHeight="1" s="23">
      <c r="A6" s="51" t="n"/>
      <c r="B6" s="52" t="n"/>
      <c r="C6" s="44" t="inlineStr">
        <is>
          <t>1.3 Calidad de los programas académicos</t>
        </is>
      </c>
      <c r="D6" s="44" t="inlineStr">
        <is>
          <t>1.3.1. Garantizar la alta calidad de todos los programas de la ETITC.</t>
        </is>
      </c>
      <c r="E6" s="44" t="inlineStr">
        <is>
          <t>1.3.1.1. Contar con la acreditación del 100% de los programas de la ETITC que sean acreditables.</t>
        </is>
      </c>
      <c r="F6" s="55" t="inlineStr">
        <is>
          <t>Se reformula</t>
        </is>
      </c>
      <c r="G6" s="44" t="inlineStr">
        <is>
          <t>Hito cumplido: la ETITC mantiene el 100% de sus programas acreditables acreditados y obtuvo la acreditación institucional en 2026. Para 2027 la meta pasa de «lograr» a «mantener y ampliar»: sostener las acreditaciones vigentes, renovar las que vencen y preparar los programas que cumplan requisitos.</t>
        </is>
      </c>
      <c r="H6" s="44" t="inlineStr">
        <is>
          <t>% de programas acreditables con acreditación vigente y N.° de programas acreditados</t>
        </is>
      </c>
      <c r="I6" s="44" t="inlineStr">
        <is>
          <t>12 programas acreditados (2024, MPI, columna «Línea base 2024»); 100% de los programas acreditables acreditados y acreditación institucional obtenida en 2026 (RC 2025)</t>
        </is>
      </c>
      <c r="J6" s="44" t="inlineStr">
        <is>
          <t>100% de los acreditables (MPI: 24 programas)</t>
        </is>
      </c>
      <c r="K6" s="46" t="inlineStr">
        <is>
          <t>Sugerida por la OAP: mantener el 100% de los programas acreditables acreditados, 18 programas con acreditación vigente, según la MPI, y radicar a tiempo las renovaciones que vencen en 2027</t>
        </is>
      </c>
      <c r="L6" s="44" t="inlineStr">
        <is>
          <t>Sugerida por la OAP con base en la MPI (18 programas en 2027) y en el logro 2026.</t>
        </is>
      </c>
      <c r="M6" s="47" t="inlineStr">
        <is>
          <t>AC27.07. Asegurar la continuidad de las acreditaciones de programa, con un calendario de vencimientos y la radicación oportuna de las renovaciones de 2027.
AC27.08. Cerrar el ciclo de mejoramiento de los programas acreditados, al día con los planes de mejoramiento y sin productos pendientes de 2026.</t>
        </is>
      </c>
      <c r="N6" s="48" t="inlineStr">
        <is>
          <t>AC27.07, actividades:
1. Construir el calendario de vencimientos de las acreditaciones de programa 2027 a 2029 (A27-016). Producto: calendario de vencimientos.
2. Radicar las renovaciones de acreditación que vencen en 2027 y atender las visitas de pares (A27-017). Producto: informes de autoevaluación radicados.
AC27.08, actividades:
1. Hacer seguimiento a los planes de mejoramiento de los programas acreditados (A27-018). Producto: informe semestral de planes de mejoramiento.
2. Cerrar los 11 productos vencidos de acreditación de programas de 2026 (A27-019). Producto: productos reprogramados.</t>
        </is>
      </c>
      <c r="O6" s="48" t="inlineStr">
        <is>
          <t>Autoevaluación y Acreditación (101)
Aseguramiento de la Calidad, MIPG y Registros Calificados (101)</t>
        </is>
      </c>
      <c r="P6" s="48" t="inlineStr">
        <is>
          <t>Sin presupuesto registrado en la matriz plurianual</t>
        </is>
      </c>
      <c r="Q6" s="48" t="inlineStr">
        <is>
          <t>Académica</t>
        </is>
      </c>
      <c r="R6" s="48" t="inlineStr">
        <is>
          <t>Cambios curriculares y mejoramiento de programas
Impacto en las labores sustantivas: docencia y formación, investigación e innovación, extensión y proyección social.</t>
        </is>
      </c>
      <c r="S6" s="48" t="inlineStr">
        <is>
          <t>Resultados del valor agregado (diferencia entre el desarrollo de competencias antes de ingresar a la Escuela y lo que demuestra al egresar).
Cantidad de procesos académicos y académico administrativos que mejoran.</t>
        </is>
      </c>
      <c r="T6" s="49" t="inlineStr">
        <is>
          <t>1. Lo que hacemos: 2 acciones con 4 actividades (columnas M y N).
2. Lo que entregamos (productos): calendario de vencimientos; informes de autoevaluación radicados; informe semestral de planes de mejoramiento; productos reprogramados.
3. Lo que cambia pronto (resultado): ningún programa pierde su acreditación por vencimiento y los planes de mejoramiento quedan al día.
4. La transformación que buscamos (impacto): la calidad reconocida se traduce en mejores aprendizajes y en procesos académicos que mejoran de manera continua.
5. Tipo de impacto según la guía: interno.</t>
        </is>
      </c>
      <c r="U6" s="49" t="inlineStr">
        <is>
          <t>Los resultados de valor agregado de los programas acreditados mejoran frente a la medición anterior y crece el número de procesos académicos que reportan mejoras verificables.
Indicador de la guía con que se mide: resultados del valor agregado (diferencia entre el desarrollo de competencias antes de ingresar a la Escuela y lo que demuestra al egresar).
Punto de comparación: la línea base de la meta (12 programas acreditados (2024, MPI, columna «Línea base 2024»); 100% de los programas acreditables acreditados y acreditación institucional obtenida en 2026 (RC 2025)) y, cuando el estudio lo permita, un grupo de referencia que no recibió la intervención.</t>
        </is>
      </c>
      <c r="V6" s="50" t="n">
        <v>2</v>
      </c>
      <c r="W6" s="50" t="n">
        <v>4</v>
      </c>
      <c r="X6" s="48" t="inlineStr">
        <is>
          <t>Dónde se ubica: eje 1, Formación y pedagogía de calidad, línea 1.3 Calidad de los programas académicos, meta 1.3.1.1 del PDI 2025 a 2032.
Qué cambió frente a 2026: se reformula. Hito cumplido: la ETITC mantiene el 100% de sus programas acreditables acreditados y obtuvo la acreditación institucional en 2026. Para 2027 la meta pasa de «lograr» a «mantener y ampliar»: sostener las acreditaciones vigentes, renovar las que vencen y preparar los programas que cumplan requisitos.
Cómo se mide la meta: % de programas acreditables con acreditación vigente y N.° de programas acreditados. Línea base: 12 programas acreditados (2024, MPI, columna «Línea base 2024»); 100% de los programas acreditables acreditados y acreditación institucional obtenida en 2026 (RC 2025). Meta 2027: Sugerida por la OAP: mantener el 100% de los programas acreditables acreditados, 18 programas con acreditación vigente, según la MPI, y radicar a tiempo las renovaciones que vencen en 2027.
Cómo se mide el impacto: resultados del valor agregado (diferencia entre el desarrollo de competencias antes de ingresar a la Escuela y lo que demuestra al egresar). El indicador sale de la Guía Metodológica para la Evaluación de Impacto Institucional y se lee frente a la línea base.
Qué esperamos obtener: la calidad reconocida se traduce en mejores aprendizajes y en procesos académicos que mejoran de manera continua.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6" s="48" t="inlineStr">
        <is>
          <t>Sin alertas.</t>
        </is>
      </c>
    </row>
    <row r="7" ht="256.8" customHeight="1" s="23">
      <c r="A7" s="51" t="n"/>
      <c r="B7" s="52" t="n"/>
      <c r="C7" s="53" t="n"/>
      <c r="D7" s="53" t="n"/>
      <c r="E7" s="44" t="inlineStr">
        <is>
          <t>1.3.1.2. Resultados de las Pruebas SABER por encima de la valoración de la media.</t>
        </is>
      </c>
      <c r="F7" s="54" t="inlineStr">
        <is>
          <t>Se corrige</t>
        </is>
      </c>
      <c r="G7" s="44" t="inlineStr">
        <is>
          <t>El 2026 decía «promedio 252 en el 2032»; según la MPI, 252 es la línea base de 2024, no la meta.</t>
        </is>
      </c>
      <c r="H7" s="44" t="inlineStr">
        <is>
          <t>Puntaje promedio institucional Saber PRO y TyT frente a la media nacional</t>
        </is>
      </c>
      <c r="I7" s="44" t="inlineStr">
        <is>
          <t>Promedio 252 (2024, MPI, columna «Línea base 2024»)</t>
        </is>
      </c>
      <c r="J7" s="44" t="inlineStr">
        <is>
          <t>Por encima de la media nacional</t>
        </is>
      </c>
      <c r="K7" s="46" t="inlineStr">
        <is>
          <t>Sugerida por la OAP: promedio institucional de 254 puntos, mejora de 1 punto por año desde 252 en 2024, y por encima de la media nacional del grupo de referencia</t>
        </is>
      </c>
      <c r="L7" s="44" t="inlineStr">
        <is>
          <t>Sugerida por la OAP (trayectoria de mejora anual de 1 punto).</t>
        </is>
      </c>
      <c r="M7" s="47" t="inlineStr">
        <is>
          <t>AC27.09. Mejorar los resultados de las pruebas Saber PRO y TyT a partir del análisis por programa y competencia, con estrategias de preparación cuyo efecto se evalúa.</t>
        </is>
      </c>
      <c r="N7" s="48" t="inlineStr">
        <is>
          <t>AC27.09, actividades:
1. Analizar los resultados 2025 a 2026 por programa y competencia (A27-020). Producto: informe de análisis por programa.
2. Implementar estrategias de preparación para Saber PRO y TyT (talleres de ítems, simulacros) (A27-021). Producto: plan de preparación y simulacros aplicados.
3. Evaluar el efecto de las estrategias en los resultados 2027 (A27-022). Producto: informe de resultados 2027.</t>
        </is>
      </c>
      <c r="O7" s="48" t="inlineStr">
        <is>
          <t>Autoevaluación y Acreditación (101)
Despacho de la Vicerrectoría Académica (120)</t>
        </is>
      </c>
      <c r="P7" s="48" t="inlineStr">
        <is>
          <t>Sin presupuesto registrado en la matriz plurianual</t>
        </is>
      </c>
      <c r="Q7" s="48" t="inlineStr">
        <is>
          <t>Académica</t>
        </is>
      </c>
      <c r="R7" s="48" t="inlineStr">
        <is>
          <t>Cambios curriculares y mejoramiento de programas
Cambios en la formación integral y los aprendizajes del estudiantado.</t>
        </is>
      </c>
      <c r="S7" s="48" t="inlineStr">
        <is>
          <t>Resultados del valor agregado (diferencia entre el desarrollo de competencias antes de ingresar a la Escuela y lo que demuestra al egresar).
Porcentaje de docentes que transforman la didáctica y la evaluación de los aprendizajes.</t>
        </is>
      </c>
      <c r="T7" s="49" t="inlineStr">
        <is>
          <t>1. Lo que hacemos: 1 acción con 3 actividades (columnas M y N).
2. Lo que entregamos (productos): informe de análisis por programa; plan de preparación y simulacros aplicados; informe de resultados 2027.
3. Lo que cambia pronto (resultado): los estudiantes llegan mejor preparados a las pruebas Saber PRO y TyT y el promedio institucional sube.
4. La transformación que buscamos (impacto): los estudiantes egresan con más competencias de las que traían, y los docentes ajustan su didáctica con base en la evidencia.
5. Tipo de impacto según la guía: interno.</t>
        </is>
      </c>
      <c r="U7" s="49" t="inlineStr">
        <is>
          <t>El valor agregado entre el ingreso y la salida crece, el promedio supera los 252 puntos de la línea base y aumenta el porcentaje de docentes que transforma su didáctica y su evaluación.
Indicador de la guía con que se mide: resultados del valor agregado (diferencia entre el desarrollo de competencias antes de ingresar a la Escuela y lo que demuestra al egresar).
Punto de comparación: la línea base de la meta (Promedio 252 (2024, MPI, columna «Línea base 2024»)) y, cuando el estudio lo permita, un grupo de referencia que no recibió la intervención.</t>
        </is>
      </c>
      <c r="V7" s="50" t="n">
        <v>1</v>
      </c>
      <c r="W7" s="50" t="n">
        <v>3</v>
      </c>
      <c r="X7" s="48" t="inlineStr">
        <is>
          <t>Dónde se ubica: eje 1, Formación y pedagogía de calidad, línea 1.3 Calidad de los programas académicos, meta 1.3.1.2 del PDI 2025 a 2032.
Qué cambió frente a 2026: se corrige. El 2026 decía «promedio 252 en el 2032»; según la MPI, 252 es la línea base de 2024, no la meta.
Cómo se mide la meta: Puntaje promedio institucional Saber PRO y TyT frente a la media nacional. Línea base: Promedio 252 (2024, MPI, columna «Línea base 2024»). Meta 2027: Sugerida por la OAP: promedio institucional de 254 puntos, mejora de 1 punto por año desde 252 en 2024, y por encima de la media nacional del grupo de referencia.
Cómo se mide el impacto: resultados del valor agregado (diferencia entre el desarrollo de competencias antes de ingresar a la Escuela y lo que demuestra al egresar). El indicador sale de la Guía Metodológica para la Evaluación de Impacto Institucional y se lee frente a la línea base.
Qué esperamos obtener: los estudiantes egresan con más competencias de las que traían, y los docentes ajustan su didáctica con base en la evidencia.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7" s="48" t="inlineStr">
        <is>
          <t>Sin alertas.</t>
        </is>
      </c>
    </row>
    <row r="8" ht="349.2" customHeight="1" s="23">
      <c r="A8" s="51" t="n"/>
      <c r="B8" s="52" t="n"/>
      <c r="C8" s="44" t="inlineStr">
        <is>
          <t>1.4 Acreditación internacional</t>
        </is>
      </c>
      <c r="D8" s="44" t="inlineStr">
        <is>
          <t>1.4.1. Fortalecer la oferta educativa de la ETITC mediante la acreditación internacional de sus programas de educación superior, alineados con los estándares del Marco Común Europeo de Referencia.</t>
        </is>
      </c>
      <c r="E8" s="44" t="inlineStr">
        <is>
          <t>1.4.1.1. Contar con 2 programas de acreditación internacional.</t>
        </is>
      </c>
      <c r="F8" s="54" t="inlineStr">
        <is>
          <t>Se corrige</t>
        </is>
      </c>
      <c r="G8" s="44" t="inlineStr">
        <is>
          <t>El 2026 la llamó «cualificación internacional MEC». El MEC es el Marco Europeo de Cualificaciones: 8 niveles que describen lo que una persona sabe, sabe hacer y con qué autonomía (técnico y tecnológico ≈ nivel 5; profesional universitario ≈ 6; especialización y maestría ≈ 7; doctorado = 8). Referenciar un programa al MEC hace legibles sus títulos en el exterior. Se aplica primero a los programas virtuales e híbridos, que pueden captar estudiantes fuera de Bogotá y del país y aportar a los 5.400 de 2027.</t>
        </is>
      </c>
      <c r="H8" s="44" t="inlineStr">
        <is>
          <t>N.° de programas con resultados de aprendizaje referenciados al MEC y con acreditación o reconocimiento internacional</t>
        </is>
      </c>
      <c r="I8" s="44" t="inlineStr">
        <is>
          <t>0 programas (2024, MPI, columna «Línea base 2024»); 3 programas nuevos híbridos (presencial y virtual) diseñados en 2025 y 10 programas en modalidad distancia con visita de verificación (RC 2025)</t>
        </is>
      </c>
      <c r="J8" s="44" t="inlineStr">
        <is>
          <t>2 programas</t>
        </is>
      </c>
      <c r="K8" s="46" t="inlineStr">
        <is>
          <t>Sugerida por la OAP: 2 programas, priorizando los híbridos y virtuales de IA, con resultados de aprendizaje referenciados a los 8 niveles del MEC y plan de cualificación internacional aprobado; 1 alianza con una IES o agencia extranjera para su reconocimiento</t>
        </is>
      </c>
      <c r="L8" s="44" t="inlineStr">
        <is>
          <t>Sugerida por la OAP.</t>
        </is>
      </c>
      <c r="M8" s="47" t="inlineStr">
        <is>
          <t>AC27.10. Referenciar dos programas al Marco Europeo de Cualificaciones para que sus títulos sean legibles en el exterior.
AC27.11. Proyectar internacionalmente los programas referenciados mediante oferta virtual y una alianza de reconocimiento mutuo.</t>
        </is>
      </c>
      <c r="N8" s="48" t="inlineStr">
        <is>
          <t>AC27.10, actividades:
1. Elaborar el documento técnico de referenciación al MEC y al Marco Nacional de Cualificaciones (8 niveles) y seleccionar los 2 programas (A27-023). Producto: documento técnico aprobado.
2. Reescribir los resultados de aprendizaje de los 2 programas por nivel del MEC (conocimientos, destrezas, autonomía) (A27-024). Producto: matriz de resultados de aprendizaje referenciada.
AC27.11, actividades:
1. Diseñar la oferta virtual de los programas referenciados para captar estudiantes de otras regiones (A27-025). Producto: plan de oferta virtual 2027 a 2028.
2. Firmar una alianza con una IES o agencia extranjera para reconocimiento mutuo y movilidad virtual (COIL) (A27-026). Producto: convenio suscrito.</t>
        </is>
      </c>
      <c r="O8" s="48" t="inlineStr">
        <is>
          <t>Autoevaluación y Acreditación (101)
Unidad B-Learning (120)
Internacionalización (ORII) (100)</t>
        </is>
      </c>
      <c r="P8" s="48" t="inlineStr">
        <is>
          <t>Sin presupuesto registrado en la matriz plurianual</t>
        </is>
      </c>
      <c r="Q8" s="48" t="inlineStr">
        <is>
          <t>Académica</t>
        </is>
      </c>
      <c r="R8" s="48" t="inlineStr">
        <is>
          <t>Impacto en las labores sustantivas: docencia y formación, investigación e innovación, extensión y proyección social.
Cambios curriculares y mejoramiento de programas</t>
        </is>
      </c>
      <c r="S8" s="48" t="inlineStr">
        <is>
          <t>Cantidad de procesos académicos y académico administrativos que mejoran.
Resultados del valor agregado (diferencia entre el desarrollo de competencias antes de ingresar a la Escuela y lo que demuestra al egresar).</t>
        </is>
      </c>
      <c r="T8" s="49" t="inlineStr">
        <is>
          <t>1. Lo que hacemos: 2 acciones con 4 actividades (columnas M y N).
2. Lo que entregamos (productos): documento técnico aprobado; matriz de resultados de aprendizaje referenciada; plan de oferta virtual 2027 a 2028; convenio suscrito.
3. Lo que cambia pronto (resultado): dos programas tienen resultados de aprendizaje referenciados internacionalmente y una alianza de reconocimiento firmada.
4. La transformación que buscamos (impacto): los títulos de la ETITC son comparables en el exterior y la oferta virtual atrae estudiantes de otras regiones y países con calidad reconocida.
5. Tipo de impacto según la guía: interno.</t>
        </is>
      </c>
      <c r="U8" s="49" t="inlineStr">
        <is>
          <t>Aumentan los procesos académicos mejorados por la referenciación y los estudiantes de esos programas muestran mayor valor agregado en sus competencias.
Indicador de la guía con que se mide: cantidad de procesos académicos y académico administrativos que mejoran.
Punto de comparación: la línea base de la meta (0 programas (2024, MPI, columna «Línea base 2024»); 3 programas nuevos híbridos (presencial y virtual) diseñados en 2025 y 10 programas en modalidad distancia con visita de verificación (RC 2025)) y, cuando el estudio lo permita, un grupo de referencia que no recibió la intervención.</t>
        </is>
      </c>
      <c r="V8" s="50" t="n">
        <v>2</v>
      </c>
      <c r="W8" s="50" t="n">
        <v>4</v>
      </c>
      <c r="X8" s="48" t="inlineStr">
        <is>
          <t>Dónde se ubica: eje 1, Formación y pedagogía de calidad, línea 1.4 Acreditación internacional, meta 1.4.1.1 del PDI 2025 a 2032.
Qué cambió frente a 2026: se corrige. El 2026 la llamó «cualificación internacional MEC». El MEC es el Marco Europeo de Cualificaciones: 8 niveles que describen lo que una persona sabe, sabe hacer y con qué autonomía (técnico y tecnológico ≈ nivel 5; profesional universitario ≈ 6; especialización y maestría ≈ 7; doctorado = 8). Referenciar un programa al MEC hace legibles sus títulos en el exterior. Se aplica primero a los programas virtuales e híbridos, que pueden captar estudiantes fuera de Bogotá y del país y aportar a los 5.400 de 2027.
Cómo se mide la meta: N.° de programas con resultados de aprendizaje referenciados al MEC y con acreditación o reconocimiento internacional. Línea base: 0 programas (2024, MPI, columna «Línea base 2024»); 3 programas nuevos híbridos (presencial y virtual) diseñados en 2025 y 10 programas en modalidad distancia con visita de verificación (RC 2025). Meta 2027: Sugerida por la OAP: 2 programas, priorizando los híbridos y virtuales de IA, con resultados de aprendizaje referenciados a los 8 niveles del MEC y plan de cualificación internacional aprobado; 1 alianza con una IES o agencia extranjera para su reconocimiento.
Cómo se mide el impacto: cantidad de procesos académicos y académico administrativos que mejoran. El indicador sale de la Guía Metodológica para la Evaluación de Impacto Institucional y se lee frente a la línea base.
Qué esperamos obtener: los títulos de la ETITC son comparables en el exterior y la oferta virtual atrae estudiantes de otras regiones y países con calidad reconocida.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8" s="48" t="inlineStr">
        <is>
          <t>El PDI menciona el «Marco Común Europeo de Referencia», que es el de lenguas (MCER), y el 2026 el MEC (cualificaciones): conviene precisarlo en la próxima revisión del PDI.</t>
        </is>
      </c>
    </row>
    <row r="9" ht="256.8" customHeight="1" s="23">
      <c r="A9" s="51" t="n"/>
      <c r="B9" s="52" t="n"/>
      <c r="C9" s="44" t="inlineStr">
        <is>
          <t>1.5 Fortalecimiento del cuerpo docente</t>
        </is>
      </c>
      <c r="D9" s="44" t="inlineStr">
        <is>
          <t>1.5.1. Garantizar que la ETITC cuente con un cuerpo docente de alta calidad mediante la implementación de un plan integral de desarrollo profesoral, orientado a la excelencia académica y al fortalecimiento de sus capacidades.</t>
        </is>
      </c>
      <c r="E9" s="44" t="inlineStr">
        <is>
          <t>1.5.1.1. Se mantienen 12 doctores en formación.</t>
        </is>
      </c>
      <c r="F9" s="54" t="inlineStr">
        <is>
          <t>Se corrige</t>
        </is>
      </c>
      <c r="G9" s="44" t="inlineStr">
        <is>
          <t>Vuelve al concepto de formación docente del PDI. El 2026 la reemplazó por «24 docentes con doctorado» con código mal formado (1.5.1. 4).</t>
        </is>
      </c>
      <c r="H9" s="44" t="inlineStr">
        <is>
          <t>N.° de docentes en formación doctoral</t>
        </is>
      </c>
      <c r="I9" s="44" t="inlineStr">
        <is>
          <t>0 (2024, MPI, columna «Línea base 2024»); 3 docentes iniciaron doctorado en 2026 por la convocatoria posgradual 2025 (RC 2025)</t>
        </is>
      </c>
      <c r="J9" s="44" t="inlineStr">
        <is>
          <t>12 doctores en formación (MPI: 10)</t>
        </is>
      </c>
      <c r="K9" s="46" t="inlineStr">
        <is>
          <t>2 docentes nuevos en formación doctoral (acumulado sugerido: 5)</t>
        </is>
      </c>
      <c r="L9" s="44" t="inlineStr">
        <is>
          <t>MPI (2 nuevos en 2027); acumulado calculado por la OAP.</t>
        </is>
      </c>
      <c r="M9" s="47" t="inlineStr">
        <is>
          <t>AC27.12. Sostener la formación doctoral de los docentes mediante un plan profesoral actualizado, una convocatoria anual y los apoyos de estudio.</t>
        </is>
      </c>
      <c r="N9" s="48" t="inlineStr">
        <is>
          <t>AC27.12, actividades:
1. Actualizar el plan integral de desarrollo profesoral (A27-027). Producto: plan aprobado.
2. Abrir la convocatoria de formación posgradual 2027 (doctorado) (A27-028). Producto: convocatoria y docentes seleccionados.
3. Otorgar los apoyos para formación doctoral disciplinar (A27-029). Producto: comisiones de estudio o apoyos otorgados.</t>
        </is>
      </c>
      <c r="O9" s="48" t="inlineStr">
        <is>
          <t>GIT Talento Humano (133)
Despacho de la Vicerrectoría Académica (120)</t>
        </is>
      </c>
      <c r="P9" s="48" t="inlineStr">
        <is>
          <t>A27-029: 640 (MPI)</t>
        </is>
      </c>
      <c r="Q9" s="48" t="inlineStr">
        <is>
          <t>Académica</t>
        </is>
      </c>
      <c r="R9" s="48" t="inlineStr">
        <is>
          <t>Cambios curriculares y mejoramiento de programas
Cambios en la formación integral y los aprendizajes del estudiantado.</t>
        </is>
      </c>
      <c r="S9" s="48" t="inlineStr">
        <is>
          <t>Porcentaje de docentes que transforman o innovan sus prácticas tras su participación en actividades institucionales y de desarrollo docente.
Porcentaje de docentes que transforman la didáctica y la evaluación de los aprendizajes.</t>
        </is>
      </c>
      <c r="T9" s="49" t="inlineStr">
        <is>
          <t>1. Lo que hacemos: 1 acción con 3 actividades (columnas M y N).
2. Lo que entregamos (productos): plan aprobado; convocatoria y docentes seleccionados; comisiones de estudio o apoyos otorgados.
3. Lo que cambia pronto (resultado): más docentes inician y sostienen su formación doctoral con apoyo institucional.
4. La transformación que buscamos (impacto): los docentes con formación doctoral transforman sus prácticas y fortalecen la investigación y la docencia de sus programas.
5. Tipo de impacto según la guía: interno.</t>
        </is>
      </c>
      <c r="U9" s="49" t="inlineStr">
        <is>
          <t>Crece el porcentaje de docentes que innovan sus prácticas después de su formación, verificable en planes de curso, proyectos y productos de investigación.
Indicador de la guía con que se mide: porcentaje de docentes que transforman o innovan sus prácticas tras su participación en actividades institucionales y de desarrollo docente.
Punto de comparación: la línea base de la meta (0 (2024, MPI, columna «Línea base 2024»); 3 docentes iniciaron doctorado en 2026 por la convocatoria posgradual 2025 (RC 2025)) y, cuando el estudio lo permita, un grupo de referencia que no recibió la intervención.</t>
        </is>
      </c>
      <c r="V9" s="50" t="n">
        <v>1</v>
      </c>
      <c r="W9" s="50" t="n">
        <v>3</v>
      </c>
      <c r="X9" s="48" t="inlineStr">
        <is>
          <t>Dónde se ubica: eje 1, Formación y pedagogía de calidad, línea 1.5 Fortalecimiento del cuerpo docente, meta 1.5.1.1 del PDI 2025 a 2032.
Qué cambió frente a 2026: se corrige. Vuelve al concepto de formación docente del PDI. El 2026 la reemplazó por «24 docentes con doctorado» con código mal formado (1.5.1. 4).
Cómo se mide la meta: N.° de docentes en formación doctoral. Línea base: 0 (2024, MPI, columna «Línea base 2024»); 3 docentes iniciaron doctorado en 2026 por la convocatoria posgradual 2025 (RC 2025). Meta 2027: 2 docentes nuevos en formación doctoral (acumulado sugerido: 5).
Cómo se mide el impacto: porcentaje de docentes que transforman o innovan sus prácticas tras su participación en actividades institucionales y de desarrollo docente. El indicador sale de la Guía Metodológica para la Evaluación de Impacto Institucional y se lee frente a la línea base.
Qué esperamos obtener: los docentes con formación doctoral transforman sus prácticas y fortalecen la investigación y la docencia de sus programas.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9" s="48" t="inlineStr">
        <is>
          <t>La hoja PROY dice 12 doctores; la tabla en imagen del PDI y la MPI dicen 10.</t>
        </is>
      </c>
    </row>
    <row r="10" ht="270" customHeight="1" s="23">
      <c r="A10" s="56" t="n"/>
      <c r="B10" s="53" t="n"/>
      <c r="C10" s="53" t="n"/>
      <c r="D10" s="53" t="n"/>
      <c r="E10" s="44" t="inlineStr">
        <is>
          <t>1.5.1.2. 80% en formación docentes de planta.</t>
        </is>
      </c>
      <c r="F10" s="54" t="inlineStr">
        <is>
          <t>Se corrige</t>
        </is>
      </c>
      <c r="G10" s="44" t="inlineStr">
        <is>
          <t>Se recogen aquí las metas de maestrías (48) y formación continuada (276) que el 2026 registró con códigos mal formados. La formalización laboral sale de esta línea.</t>
        </is>
      </c>
      <c r="H10" s="44" t="inlineStr">
        <is>
          <t>% de docentes de planta en formación avanzada o continuada</t>
        </is>
      </c>
      <c r="I10" s="44" t="inlineStr">
        <is>
          <t>0 (2024, MPI, columna «Línea base 2024»); 4 docentes iniciaron maestría en 2026 por la convocatoria posgradual 2025 (RC 2025)</t>
        </is>
      </c>
      <c r="J10" s="44" t="inlineStr">
        <is>
          <t>80%</t>
        </is>
      </c>
      <c r="K10" s="46" t="inlineStr">
        <is>
          <t>6 docentes de planta en maestría y 40 docentes en formación continuada</t>
        </is>
      </c>
      <c r="L10" s="44" t="inlineStr">
        <is>
          <t>MPI</t>
        </is>
      </c>
      <c r="M10" s="47" t="inlineStr">
        <is>
          <t>AC27.13. Elevar la formación avanzada y continuada de los docentes de planta con base en las necesidades reales de cada facultad.</t>
        </is>
      </c>
      <c r="N10" s="48" t="inlineStr">
        <is>
          <t>AC27.13, actividades:
1. Identificar las necesidades de formación por facultad (A27-030). Producto: diagnóstico de necesidades.
2. Financiar la formación de docentes de planta en maestrías disciplinares (A27-031). Producto: docentes beneficiados.
3. Ofrecer cursos de formación continuada a docentes (A27-032). Producto: docentes certificados.</t>
        </is>
      </c>
      <c r="O10" s="48" t="inlineStr">
        <is>
          <t>Despacho de la Vicerrectoría Académica (120)
GIT Talento Humano (133)</t>
        </is>
      </c>
      <c r="P10" s="48" t="inlineStr">
        <is>
          <t>A27-031: 240 (MPI)
A27-032: 100 (MPI)</t>
        </is>
      </c>
      <c r="Q10" s="48" t="inlineStr">
        <is>
          <t>Académica</t>
        </is>
      </c>
      <c r="R10" s="48" t="inlineStr">
        <is>
          <t>Cambios curriculares y mejoramiento de programas
Cambios en la formación integral y los aprendizajes del estudiantado.</t>
        </is>
      </c>
      <c r="S10" s="48" t="inlineStr">
        <is>
          <t>Porcentaje de docentes que transforman o innovan sus prácticas tras su participación en actividades institucionales y de desarrollo docente.
Porcentaje de docentes que transforman la didáctica y la evaluación de los aprendizajes.</t>
        </is>
      </c>
      <c r="T10" s="49" t="inlineStr">
        <is>
          <t>1. Lo que hacemos: 1 acción con 3 actividades (columnas M y N).
2. Lo que entregamos (productos): diagnóstico de necesidades; docentes beneficiados; docentes certificados.
3. Lo que cambia pronto (resultado): más docentes de planta cursan maestrías y formación continuada pertinente con las necesidades de su facultad.
4. La transformación que buscamos (impacto): la formación docente se refleja en cambios reales en la didáctica y en la evaluación de los aprendizajes.
5. Tipo de impacto según la guía: interno.</t>
        </is>
      </c>
      <c r="U10" s="49" t="inlineStr">
        <is>
          <t>Aumenta el porcentaje de docentes que transforman su didáctica y su evaluación, contrastado con los registros de seguimiento académico antes y después de la formación.
Indicador de la guía con que se mide: porcentaje de docentes que transforman o innovan sus prácticas tras su participación en actividades institucionales y de desarrollo docente.
Punto de comparación: la línea base de la meta (0 (2024, MPI, columna «Línea base 2024»); 4 docentes iniciaron maestría en 2026 por la convocatoria posgradual 2025 (RC 2025)) y, cuando el estudio lo permita, un grupo de referencia que no recibió la intervención.</t>
        </is>
      </c>
      <c r="V10" s="50" t="n">
        <v>1</v>
      </c>
      <c r="W10" s="50" t="n">
        <v>3</v>
      </c>
      <c r="X10" s="48" t="inlineStr">
        <is>
          <t>Dónde se ubica: eje 1, Formación y pedagogía de calidad, línea 1.5 Fortalecimiento del cuerpo docente, meta 1.5.1.2 del PDI 2025 a 2032.
Qué cambió frente a 2026: se corrige. Se recogen aquí las metas de maestrías (48) y formación continuada (276) que el 2026 registró con códigos mal formados. La formalización laboral sale de esta línea.
Cómo se mide la meta: % de docentes de planta en formación avanzada o continuada. Línea base: 0 (2024, MPI, columna «Línea base 2024»); 4 docentes iniciaron maestría en 2026 por la convocatoria posgradual 2025 (RC 2025). Meta 2027: 6 docentes de planta en maestría y 40 docentes en formación continuada.
Cómo se mide el impacto: porcentaje de docentes que transforman o innovan sus prácticas tras su participación en actividades institucionales y de desarrollo docente. El indicador sale de la Guía Metodológica para la Evaluación de Impacto Institucional y se lee frente a la línea base.
Qué esperamos obtener: la formación docente se refleja en cambios reales en la didáctica y en la evaluación de los aprendizajes.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10" s="48" t="inlineStr">
        <is>
          <t>Sin alertas.</t>
        </is>
      </c>
    </row>
    <row r="11" ht="270" customHeight="1" s="23">
      <c r="A11" s="43" t="inlineStr">
        <is>
          <t>2. Investigación y producción técnico científica</t>
        </is>
      </c>
      <c r="B11" s="44" t="inlineStr">
        <is>
          <t>2. Generar y fortalecer las capacidades técnico científica y de innovación de la ETITC mediante la consolidación de la investigación aplicada, la generación de alianzas estratégicas y la integración de la innovación con la formación académica.</t>
        </is>
      </c>
      <c r="C11" s="44" t="inlineStr">
        <is>
          <t>2.1 Capacidades de investigación e innovación</t>
        </is>
      </c>
      <c r="D11" s="44" t="inlineStr">
        <is>
          <t>2.1.1. Contar con una sólida capacidad de investigación.</t>
        </is>
      </c>
      <c r="E11" s="44" t="inlineStr">
        <is>
          <t>2.1.1.1. Contar como mínimo por vigencia con un (1) grupo de investigación en clasificación A (en MinCiencias).</t>
        </is>
      </c>
      <c r="F11" s="45" t="inlineStr">
        <is>
          <t>Se mantiene</t>
        </is>
      </c>
      <c r="G11" s="44" t="inlineStr">
        <is>
          <t>Se mantiene. Se ordena la secuencia: en 2027 se consolidan B y C y se prepara el primer grupo para A.</t>
        </is>
      </c>
      <c r="H11" s="44" t="inlineStr">
        <is>
          <t>N.° de grupos categoría A y A1 en MinCiencias</t>
        </is>
      </c>
      <c r="I11" s="44" t="inlineStr">
        <is>
          <t>9 grupos registrados en MinCiencias, ninguno en A; 2 en categoría C (Virtus y GEA) según la Convocatoria 957 de 2024 (RC 2025)</t>
        </is>
      </c>
      <c r="J11" s="44" t="inlineStr">
        <is>
          <t>1 grupo A (MPI: 8 grupos A)</t>
        </is>
      </c>
      <c r="K11" s="46" t="inlineStr">
        <is>
          <t>Sugerida por la OAP: 1 grupo con ruta de ascenso a categoría A aprobada y con la producción de nuevo conocimiento requerida para la siguiente medición</t>
        </is>
      </c>
      <c r="L11" s="44" t="inlineStr">
        <is>
          <t>Sugerida por la OAP en secuencia: primero la categoría C, luego la B y después la A.</t>
        </is>
      </c>
      <c r="M11" s="47" t="inlineStr">
        <is>
          <t>AC27.14. Preparar el primer grupo de investigación para la categoría A, con diagnóstico de su producción, ruta de ascenso y medición del impacto de la investigación.</t>
        </is>
      </c>
      <c r="N11" s="48" t="inlineStr">
        <is>
          <t>AC27.14, actividades:
1. Diagnosticar la producción de cada grupo frente al modelo de medición de MinCiencias (A27-033). Producto: diagnóstico por grupo.
2. Definir la ruta de ascenso del grupo con mayor producción (metas de nuevo conocimiento y formación) (A27-034). Producto: ruta de ascenso aprobada.
3. Iniciar el estudio de impacto de Investigación (A27-035). Producto: diseño del estudio aprobado.</t>
        </is>
      </c>
      <c r="O11" s="48" t="inlineStr">
        <is>
          <t>Investigación (grupos, semilleros, revista, centro de pensamiento) (140)
Despacho de la VIET (140)</t>
        </is>
      </c>
      <c r="P11" s="48" t="inlineStr">
        <is>
          <t>Sin presupuesto registrado en la matriz plurianual</t>
        </is>
      </c>
      <c r="Q11" s="48" t="inlineStr">
        <is>
          <t>Sector Productivo</t>
        </is>
      </c>
      <c r="R11" s="48" t="inlineStr">
        <is>
          <t>Contribución a la solución de problemas del contexto y la creación de nuevo conocimiento.</t>
        </is>
      </c>
      <c r="S11" s="48" t="inlineStr">
        <is>
          <t>Porcentaje de proyectos de investigación que transformaron un proceso, un producto o una problemática de una organización o sector.
Porcentaje de proyectos de investigación que contribuyeron al desarrollo social y comunitario, económico, sostenibilidad ambiental, sector educativo, sector productivo y industrial, desarrollo tecnológico, nacional e internacional.</t>
        </is>
      </c>
      <c r="T11" s="49" t="inlineStr">
        <is>
          <t>1. Lo que hacemos: 1 acción con 3 actividades (columnas M y N).
2. Lo que entregamos (productos): diagnóstico por grupo; ruta de ascenso aprobada; diseño del estudio aprobado.
3. Lo que cambia pronto (resultado): un grupo cuenta con diagnóstico de su producción y una ruta de ascenso aprobada hacia la categoría A.
4. La transformación que buscamos (impacto): la investigación de la Escuela resuelve problemas reales de organizaciones y sectores, y no solo cumple requisitos de medición.
5. Tipo de impacto según la guía: externo.</t>
        </is>
      </c>
      <c r="U11" s="49" t="inlineStr">
        <is>
          <t>Crece el porcentaje de proyectos de investigación que transformaron un proceso, un producto o una problemática de una organización o sector.
Indicador de la guía con que se mide: porcentaje de proyectos de investigación que transformaron un proceso, un producto o una problemática de una organización o sector.
Punto de comparación: la línea base de la meta (9 grupos registrados en MinCiencias, ninguno en A; 2 en categoría C (Virtus y GEA) según la Convocatoria 957 de 2024 (RC 2025)) y, cuando el estudio lo permita, un grupo de referencia que no recibió la intervención.</t>
        </is>
      </c>
      <c r="V11" s="50" t="n">
        <v>1</v>
      </c>
      <c r="W11" s="50" t="n">
        <v>3</v>
      </c>
      <c r="X11" s="48" t="inlineStr">
        <is>
          <t>Dónde se ubica: eje 2, Investigación y producción técnico científica, línea 2.1 Capacidades de investigación e innovación, meta 2.1.1.1 del PDI 2025 a 2032.
Qué cambió frente a 2026: se mantiene. Se mantiene. Se ordena la secuencia: en 2027 se consolidan B y C y se prepara el primer grupo para A.
Cómo se mide la meta: N.° de grupos categoría A y A1 en MinCiencias. Línea base: 9 grupos registrados en MinCiencias, ninguno en A; 2 en categoría C (Virtus y GEA) según la Convocatoria 957 de 2024 (RC 2025). Meta 2027: Sugerida por la OAP: 1 grupo con ruta de ascenso a categoría A aprobada y con la producción de nuevo conocimiento requerida para la siguiente medición.
Cómo se mide el impacto: porcentaje de proyectos de investigación que transformaron un proceso, un producto o una problemática de una organización o sector. El indicador sale de la Guía Metodológica para la Evaluación de Impacto Institucional y se lee frente a la línea base.
Qué esperamos obtener: la investigación de la Escuela resuelve problemas reales de organizaciones y sectores, y no solo cumple requisitos de medición.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11" s="48" t="inlineStr">
        <is>
          <t>La MPI proyecta 8 grupos A, 16 B y 14 C; el PDI, 1 A, 3 B y 4 C. El informe de rendición de cuentas 2025 dice en un apartado que se mantienen grupos en A, B y C y en otro que solo 2 están en C.</t>
        </is>
      </c>
    </row>
    <row r="12" ht="230.4" customHeight="1" s="23">
      <c r="A12" s="51" t="n"/>
      <c r="B12" s="52" t="n"/>
      <c r="C12" s="52" t="n"/>
      <c r="D12" s="52" t="n"/>
      <c r="E12" s="44" t="inlineStr">
        <is>
          <t>2.1.1.2. Tres (3) grupos en B.</t>
        </is>
      </c>
      <c r="F12" s="45" t="inlineStr">
        <is>
          <t>Se mantiene</t>
        </is>
      </c>
      <c r="G12" s="44" t="inlineStr">
        <is>
          <t>Se mantiene.</t>
        </is>
      </c>
      <c r="H12" s="44" t="inlineStr">
        <is>
          <t>N.° de grupos categoría B en MinCiencias</t>
        </is>
      </c>
      <c r="I12" s="44" t="inlineStr">
        <is>
          <t>0 grupos en B; 9 registrados y 2 en C (RC 2025)</t>
        </is>
      </c>
      <c r="J12" s="44" t="inlineStr">
        <is>
          <t>3 grupos B (MPI: 16)</t>
        </is>
      </c>
      <c r="K12" s="46" t="inlineStr">
        <is>
          <t>Sugerida por la OAP: 1 grupo clasificado en B, ascenso de uno de los 2 grupos en C,</t>
        </is>
      </c>
      <c r="L12" s="44" t="inlineStr">
        <is>
          <t>Sugerida por la OAP.</t>
        </is>
      </c>
      <c r="M12" s="47" t="inlineStr">
        <is>
          <t>AC27.15. Llevar a categoría B los grupos que hoy están en C, mediante asesoría en productos de nuevo conocimiento y su postulación oportuna.</t>
        </is>
      </c>
      <c r="N12" s="48" t="inlineStr">
        <is>
          <t>AC27.15, actividades:
1. Asesorar a los grupos en C (Virtus y GEA) en productos de nuevo conocimiento y apropiación (A27-036). Producto: registro de asesorías y productos validados.
2. Postular los grupos en la convocatoria de medición vigente (A27-037). Producto: postulación radicada.</t>
        </is>
      </c>
      <c r="O12" s="48" t="inlineStr">
        <is>
          <t>Investigación (grupos, semilleros, revista, centro de pensamiento) (140)</t>
        </is>
      </c>
      <c r="P12" s="48" t="inlineStr">
        <is>
          <t>Sin presupuesto registrado en la matriz plurianual</t>
        </is>
      </c>
      <c r="Q12" s="48" t="inlineStr">
        <is>
          <t>Sector Productivo</t>
        </is>
      </c>
      <c r="R12" s="48" t="inlineStr">
        <is>
          <t>Contribución a la solución de problemas del contexto y la creación de nuevo conocimiento.</t>
        </is>
      </c>
      <c r="S12" s="48" t="inlineStr">
        <is>
          <t>Porcentaje de proyectos de investigación que transformaron un proceso, un producto o una problemática de una organización o sector.
Porcentaje de proyectos de investigación que contribuyeron al desarrollo social y comunitario, económico, sostenibilidad ambiental, sector educativo, sector productivo y industrial, desarrollo tecnológico, nacional e internacional.</t>
        </is>
      </c>
      <c r="T12" s="49" t="inlineStr">
        <is>
          <t>1. Lo que hacemos: 1 acción con 2 actividades (columnas M y N).
2. Lo que entregamos (productos): registro de asesorías y productos validados; postulación radicada.
3. Lo que cambia pronto (resultado): al menos un grupo pasa de la categoría C a la B en la siguiente medición de MinCiencias.
4. La transformación que buscamos (impacto): más proyectos de investigación transforman procesos o productos del sector productivo.
5. Tipo de impacto según la guía: externo.</t>
        </is>
      </c>
      <c r="U12" s="49" t="inlineStr">
        <is>
          <t>El grupo ascendido reporta proyectos con efectos verificables en organizaciones externas y aumenta el porcentaje institucional de proyectos transformadores.
Indicador de la guía con que se mide: porcentaje de proyectos de investigación que transformaron un proceso, un producto o una problemática de una organización o sector.
Punto de comparación: la línea base de la meta (0 grupos en B; 9 registrados y 2 en C (RC 2025)) y, cuando el estudio lo permita, un grupo de referencia que no recibió la intervención.</t>
        </is>
      </c>
      <c r="V12" s="50" t="n">
        <v>1</v>
      </c>
      <c r="W12" s="50" t="n">
        <v>2</v>
      </c>
      <c r="X12" s="48" t="inlineStr">
        <is>
          <t>Dónde se ubica: eje 2, Investigación y producción técnico científica, línea 2.1 Capacidades de investigación e innovación, meta 2.1.1.2 del PDI 2025 a 2032.
Qué cambió frente a 2026: se mantiene. Se mantiene.
Cómo se mide la meta: N.° de grupos categoría B en MinCiencias. Línea base: 0 grupos en B; 9 registrados y 2 en C (RC 2025). Meta 2027: Sugerida por la OAP: 1 grupo clasificado en B, ascenso de uno de los 2 grupos en C,.
Cómo se mide el impacto: porcentaje de proyectos de investigación que transformaron un proceso, un producto o una problemática de una organización o sector. El indicador sale de la Guía Metodológica para la Evaluación de Impacto Institucional y se lee frente a la línea base.
Qué esperamos obtener: más proyectos de investigación transforman procesos o productos del sector productivo.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12" s="48" t="inlineStr">
        <is>
          <t>Sin alertas.</t>
        </is>
      </c>
    </row>
    <row r="13" ht="230.4" customHeight="1" s="23">
      <c r="A13" s="51" t="n"/>
      <c r="B13" s="52" t="n"/>
      <c r="C13" s="53" t="n"/>
      <c r="D13" s="53" t="n"/>
      <c r="E13" s="44" t="inlineStr">
        <is>
          <t>2.1.1.3. Cuatro (4) grupos en C.</t>
        </is>
      </c>
      <c r="F13" s="45" t="inlineStr">
        <is>
          <t>Se mantiene</t>
        </is>
      </c>
      <c r="G13" s="44" t="inlineStr">
        <is>
          <t>Se mantiene.</t>
        </is>
      </c>
      <c r="H13" s="44" t="inlineStr">
        <is>
          <t>N.° de grupos categoría C en MinCiencias</t>
        </is>
      </c>
      <c r="I13" s="44" t="inlineStr">
        <is>
          <t>2 grupos en C (Virtus y GEA) de 9 registrados (RC 2025)</t>
        </is>
      </c>
      <c r="J13" s="44" t="inlineStr">
        <is>
          <t>4 grupos C (MPI: 14)</t>
        </is>
      </c>
      <c r="K13" s="46" t="inlineStr">
        <is>
          <t>Sugerida por la OAP: 4 grupos en C: mantener Virtus y GEA y clasificar 2 de los 7 grupos registrados sin categoría</t>
        </is>
      </c>
      <c r="L13" s="44" t="inlineStr">
        <is>
          <t>Sugerida por la OAP.</t>
        </is>
      </c>
      <c r="M13" s="47" t="inlineStr">
        <is>
          <t>AC27.16. Ampliar la base de grupos clasificados, actualizando la información de los grupos sin categoría y acompañando a los de mayor producción.</t>
        </is>
      </c>
      <c r="N13" s="48" t="inlineStr">
        <is>
          <t>AC27.16, actividades:
1. Actualizar GrupLAC y CvLAC de los 7 grupos sin categoría (A27-038). Producto: aplicativos actualizados.
2. Acompañar a los 2 grupos con más producción para su clasificación en C (A27-039). Producto: grupos postulados.</t>
        </is>
      </c>
      <c r="O13" s="48" t="inlineStr">
        <is>
          <t>Investigación (grupos, semilleros, revista, centro de pensamiento) (140)</t>
        </is>
      </c>
      <c r="P13" s="48" t="inlineStr">
        <is>
          <t>Sin presupuesto registrado en la matriz plurianual</t>
        </is>
      </c>
      <c r="Q13" s="48" t="inlineStr">
        <is>
          <t>Sector Productivo</t>
        </is>
      </c>
      <c r="R13" s="48" t="inlineStr">
        <is>
          <t>Contribución a la solución de problemas del contexto y la creación de nuevo conocimiento.</t>
        </is>
      </c>
      <c r="S13" s="48" t="inlineStr">
        <is>
          <t>Porcentaje de proyectos de investigación que transformaron un proceso, un producto o una problemática de una organización o sector.
Porcentaje de proyectos de investigación que contribuyeron al desarrollo social y comunitario, económico, sostenibilidad ambiental, sector educativo, sector productivo y industrial, desarrollo tecnológico, nacional e internacional.</t>
        </is>
      </c>
      <c r="T13" s="49" t="inlineStr">
        <is>
          <t>1. Lo que hacemos: 1 acción con 2 actividades (columnas M y N).
2. Lo que entregamos (productos): aplicativos actualizados; grupos postulados.
3. Lo que cambia pronto (resultado): los grupos sin categoría actualizan su información y dos de ellos logran clasificación.
4. La transformación que buscamos (impacto): la base de investigación se amplía y se integra con la formación de los estudiantes.
5. Tipo de impacto según la guía: externo.</t>
        </is>
      </c>
      <c r="U13" s="49" t="inlineStr">
        <is>
          <t>Aumenta el número de proyectos con participación de estudiantes y con contribución verificable al desarrollo social, productivo o tecnológico.
Indicador de la guía con que se mide: porcentaje de proyectos de investigación que transformaron un proceso, un producto o una problemática de una organización o sector.
Punto de comparación: la línea base de la meta (2 grupos en C (Virtus y GEA) de 9 registrados (RC 2025)) y, cuando el estudio lo permita, un grupo de referencia que no recibió la intervención.</t>
        </is>
      </c>
      <c r="V13" s="50" t="n">
        <v>1</v>
      </c>
      <c r="W13" s="50" t="n">
        <v>2</v>
      </c>
      <c r="X13" s="48" t="inlineStr">
        <is>
          <t>Dónde se ubica: eje 2, Investigación y producción técnico científica, línea 2.1 Capacidades de investigación e innovación, meta 2.1.1.3 del PDI 2025 a 2032.
Qué cambió frente a 2026: se mantiene. Se mantiene.
Cómo se mide la meta: N.° de grupos categoría C en MinCiencias. Línea base: 2 grupos en C (Virtus y GEA) de 9 registrados (RC 2025). Meta 2027: Sugerida por la OAP: 4 grupos en C: mantener Virtus y GEA y clasificar 2 de los 7 grupos registrados sin categoría.
Cómo se mide el impacto: porcentaje de proyectos de investigación que transformaron un proceso, un producto o una problemática de una organización o sector. El indicador sale de la Guía Metodológica para la Evaluación de Impacto Institucional y se lee frente a la línea base.
Qué esperamos obtener: la base de investigación se amplía y se integra con la formación de los estudiantes.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13" s="48" t="inlineStr">
        <is>
          <t>Sin alertas.</t>
        </is>
      </c>
    </row>
    <row r="14" ht="256.8" customHeight="1" s="23">
      <c r="A14" s="51" t="n"/>
      <c r="B14" s="52" t="n"/>
      <c r="C14" s="44" t="inlineStr">
        <is>
          <t>2.2 Producción técnico científica</t>
        </is>
      </c>
      <c r="D14" s="44" t="inlineStr">
        <is>
          <t>2.2.1. Aumentar la producción científico técnica de calidad validable por su publicación en revistas indexadas nacionales e internacionales.</t>
        </is>
      </c>
      <c r="E14" s="44" t="inlineStr">
        <is>
          <t>2.2.1.1. Lograr como mínimo por vigencia la publicación de dos (2) artículos en revistas internacionales indexadas.</t>
        </is>
      </c>
      <c r="F14" s="45" t="inlineStr">
        <is>
          <t>Se mantiene</t>
        </is>
      </c>
      <c r="G14" s="44" t="inlineStr">
        <is>
          <t>Se mantiene. Al 2 de septiembre de 2026 tenía 1 solo producto.</t>
        </is>
      </c>
      <c r="H14" s="44" t="inlineStr">
        <is>
          <t>N.° de artículos publicados en revistas internacionales indexadas</t>
        </is>
      </c>
      <c r="I14" s="44" t="inlineStr">
        <is>
          <t>3 artículos registrados por los grupos en 2025 (GrupLAC, Convocatoria 957) (RC 2025)</t>
        </is>
      </c>
      <c r="J14" s="44" t="inlineStr">
        <is>
          <t>2 por vigencia (16 en el periodo, según MPI)</t>
        </is>
      </c>
      <c r="K14" s="46" t="inlineStr">
        <is>
          <t>2 artículos</t>
        </is>
      </c>
      <c r="L14" s="44" t="inlineStr">
        <is>
          <t>Hoja PROY («como mínimo por vigencia») y MPI.</t>
        </is>
      </c>
      <c r="M14" s="47" t="inlineStr">
        <is>
          <t>AC27.17. Aumentar la publicación en revistas internacionales indexadas con estímulos, traducción y acompañamiento al sometimiento.</t>
        </is>
      </c>
      <c r="N14" s="48" t="inlineStr">
        <is>
          <t>AC27.17, actividades:
1. Abrir la convocatoria de estímulos a la publicación 2027 (A27-040). Producto: convocatoria y artículos sometidos.
2. Acompañar la traducción y el sometimiento a revistas internacionales indexadas (A27-041). Producto: artículos sometidos.</t>
        </is>
      </c>
      <c r="O14" s="48" t="inlineStr">
        <is>
          <t>Investigación (grupos, semilleros, revista, centro de pensamiento) (140)</t>
        </is>
      </c>
      <c r="P14" s="48" t="inlineStr">
        <is>
          <t>Sin presupuesto registrado en la matriz plurianual</t>
        </is>
      </c>
      <c r="Q14" s="48" t="inlineStr">
        <is>
          <t>Sector Productivo</t>
        </is>
      </c>
      <c r="R14" s="48" t="inlineStr">
        <is>
          <t>Contribución a la solución de problemas del contexto y la creación de nuevo conocimiento.</t>
        </is>
      </c>
      <c r="S14" s="48" t="inlineStr">
        <is>
          <t>Porcentaje de proyectos de investigación que contribuyeron al desarrollo social y comunitario, económico, sostenibilidad ambiental, sector educativo, sector productivo y industrial, desarrollo tecnológico, nacional e internacional.
Porcentaje de proyectos de investigación que transformaron un proceso, un producto o una problemática de una organización o sector.</t>
        </is>
      </c>
      <c r="T14" s="49" t="inlineStr">
        <is>
          <t>1. Lo que hacemos: 1 acción con 2 actividades (columnas M y N).
2. Lo que entregamos (productos): convocatoria y artículos sometidos; artículos sometidos.
3. Lo que cambia pronto (resultado): se someten y publican artículos en revistas internacionales indexadas.
4. La transformación que buscamos (impacto): el conocimiento producido por la Escuela es usado por pares y por sectores fuera del país.
5. Tipo de impacto según la guía: externo.</t>
        </is>
      </c>
      <c r="U14" s="49" t="inlineStr">
        <is>
          <t>Los artículos publicados registran citaciones o usos y se asocian a proyectos que contribuyeron al desarrollo social, productivo o tecnológico.
Indicador de la guía con que se mide: porcentaje de proyectos de investigación que contribuyeron al desarrollo social y comunitario, económico, sostenibilidad ambiental, sector educativo, sector productivo y industrial, desarrollo tecnológico, nacional e internacional.
Punto de comparación: la línea base de la meta (3 artículos registrados por los grupos en 2025 (GrupLAC, Convocatoria 957) (RC 2025)) y, cuando el estudio lo permita, un grupo de referencia que no recibió la intervención.</t>
        </is>
      </c>
      <c r="V14" s="50" t="n">
        <v>1</v>
      </c>
      <c r="W14" s="50" t="n">
        <v>2</v>
      </c>
      <c r="X14" s="48" t="inlineStr">
        <is>
          <t>Dónde se ubica: eje 2, Investigación y producción técnico científica, línea 2.2 Producción técnico científica, meta 2.2.1.1 del PDI 2025 a 2032.
Qué cambió frente a 2026: se mantiene. Se mantiene. Al 2 de septiembre de 2026 tenía 1 solo producto.
Cómo se mide la meta: N.° de artículos publicados en revistas internacionales indexadas. Línea base: 3 artículos registrados por los grupos en 2025 (GrupLAC, Convocatoria 957) (RC 2025). Meta 2027: 2 artículos.
Cómo se mide el impacto: porcentaje de proyectos de investigación que contribuyeron al desarrollo social y comunitario, económico, sostenibilidad ambiental, sector educativo, sector productivo y industrial, desarrollo tecnológico, nacional e internacional. El indicador sale de la Guía Metodológica para la Evaluación de Impacto Institucional y se lee frente a la línea base.
Qué esperamos obtener: el conocimiento producido por la Escuela es usado por pares y por sectores fuera del país.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14" s="48" t="inlineStr">
        <is>
          <t>Sin alertas.</t>
        </is>
      </c>
    </row>
    <row r="15" ht="256.8" customHeight="1" s="23">
      <c r="A15" s="51" t="n"/>
      <c r="B15" s="52" t="n"/>
      <c r="C15" s="53" t="n"/>
      <c r="D15" s="53" t="n"/>
      <c r="E15" s="44" t="inlineStr">
        <is>
          <t>2.2.1.2. Lograr la publicación de ocho (8) artículos en revistas nacionales indexadas.</t>
        </is>
      </c>
      <c r="F15" s="54" t="inlineStr">
        <is>
          <t>Se corrige</t>
        </is>
      </c>
      <c r="G15" s="44" t="inlineStr">
        <is>
          <t>Hay que precisar si es anual. La MPI dice 8 por año y 48 en total; con 8 vigencias serían 64.</t>
        </is>
      </c>
      <c r="H15" s="44" t="inlineStr">
        <is>
          <t>N.° de artículos publicados en revistas nacionales indexadas</t>
        </is>
      </c>
      <c r="I15" s="44" t="inlineStr">
        <is>
          <t>3 artículos registrados por los grupos en 2025 (GrupLAC, Convocatoria 957) (RC 2025)</t>
        </is>
      </c>
      <c r="J15" s="44" t="inlineStr">
        <is>
          <t>8 (MPI: 8 por año, 48 en total)</t>
        </is>
      </c>
      <c r="K15" s="46" t="inlineStr">
        <is>
          <t>8 artículos [validar si es anual]</t>
        </is>
      </c>
      <c r="L15" s="44" t="inlineStr">
        <is>
          <t>MPI</t>
        </is>
      </c>
      <c r="M15" s="47" t="inlineStr">
        <is>
          <t>AC27.18. Aumentar la publicación en revistas nacionales indexadas, fortaleciendo las revistas propias y convirtiendo trabajos de grado y semilleros en artículos.</t>
        </is>
      </c>
      <c r="N15" s="48" t="inlineStr">
        <is>
          <t>AC27.18, actividades:
1. Fortalecer la Revista Letras ETITC y Cuadernos ETITC (pares, convocatorias) (A27-042). Producto: números publicados.
2. Vincular trabajos de grado y semilleros a artículos con docentes (A27-043). Producto: artículos sometidos.</t>
        </is>
      </c>
      <c r="O15" s="48" t="inlineStr">
        <is>
          <t>Investigación (grupos, semilleros, revista, centro de pensamiento) (140)</t>
        </is>
      </c>
      <c r="P15" s="48" t="inlineStr">
        <is>
          <t>Sin presupuesto registrado en la matriz plurianual</t>
        </is>
      </c>
      <c r="Q15" s="48" t="inlineStr">
        <is>
          <t>Sector Productivo</t>
        </is>
      </c>
      <c r="R15" s="48" t="inlineStr">
        <is>
          <t>Contribución a la solución de problemas del contexto y la creación de nuevo conocimiento.</t>
        </is>
      </c>
      <c r="S15" s="48" t="inlineStr">
        <is>
          <t>Porcentaje de proyectos de investigación que contribuyeron al desarrollo social y comunitario, económico, sostenibilidad ambiental, sector educativo, sector productivo y industrial, desarrollo tecnológico, nacional e internacional.
Porcentaje de proyectos de investigación que transformaron un proceso, un producto o una problemática de una organización o sector.</t>
        </is>
      </c>
      <c r="T15" s="49" t="inlineStr">
        <is>
          <t>1. Lo que hacemos: 1 acción con 2 actividades (columnas M y N).
2. Lo que entregamos (productos): números publicados; artículos sometidos.
3. Lo que cambia pronto (resultado): las revistas propias publican con regularidad y los trabajos de grado y semilleros se convierten en artículos.
4. La transformación que buscamos (impacto): la producción nacional aporta a la solución de problemas del país y fortalece la formación de los estudiantes.
5. Tipo de impacto según la guía: externo.</t>
        </is>
      </c>
      <c r="U15" s="49" t="inlineStr">
        <is>
          <t>Aumenta el porcentaje de proyectos con publicación que contribuyeron a resolver problemáticas del contexto nacional.
Indicador de la guía con que se mide: porcentaje de proyectos de investigación que contribuyeron al desarrollo social y comunitario, económico, sostenibilidad ambiental, sector educativo, sector productivo y industrial, desarrollo tecnológico, nacional e internacional.
Punto de comparación: la línea base de la meta (3 artículos registrados por los grupos en 2025 (GrupLAC, Convocatoria 957) (RC 2025)) y, cuando el estudio lo permita, un grupo de referencia que no recibió la intervención.</t>
        </is>
      </c>
      <c r="V15" s="50" t="n">
        <v>1</v>
      </c>
      <c r="W15" s="50" t="n">
        <v>2</v>
      </c>
      <c r="X15" s="48" t="inlineStr">
        <is>
          <t>Dónde se ubica: eje 2, Investigación y producción técnico científica, línea 2.2 Producción técnico científica, meta 2.2.1.2 del PDI 2025 a 2032.
Qué cambió frente a 2026: se corrige. Hay que precisar si es anual. La MPI dice 8 por año y 48 en total; con 8 vigencias serían 64.
Cómo se mide la meta: N.° de artículos publicados en revistas nacionales indexadas. Línea base: 3 artículos registrados por los grupos en 2025 (GrupLAC, Convocatoria 957) (RC 2025). Meta 2027: 8 artículos [validar si es anual].
Cómo se mide el impacto: porcentaje de proyectos de investigación que contribuyeron al desarrollo social y comunitario, económico, sostenibilidad ambiental, sector educativo, sector productivo y industrial, desarrollo tecnológico, nacional e internacional. El indicador sale de la Guía Metodológica para la Evaluación de Impacto Institucional y se lee frente a la línea base.
Qué esperamos obtener: la producción nacional aporta a la solución de problemas del país y fortalece la formación de los estudiantes.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15" s="48" t="inlineStr">
        <is>
          <t>Total de la MPI no cuadra con 8 por año.</t>
        </is>
      </c>
    </row>
    <row r="16" ht="283.2" customHeight="1" s="23">
      <c r="A16" s="51" t="n"/>
      <c r="B16" s="52" t="n"/>
      <c r="C16" s="44" t="inlineStr">
        <is>
          <t>2.3 Alianzas estratégicas para la investigación</t>
        </is>
      </c>
      <c r="D16" s="44" t="inlineStr">
        <is>
          <t>2.3.1. Lograr el establecimiento y operación de alianzas estratégicas con instituciones de investigación en innovación en los campos de interés de la ETITC, que conduzca a la generación de patentes.</t>
        </is>
      </c>
      <c r="E16" s="44" t="inlineStr">
        <is>
          <t>2.3.1.1. Contar con cuatro (4) patentes registradas sobre la base de los desarrollos logrados con las alianzas con el sector productivo o institucional.</t>
        </is>
      </c>
      <c r="F16" s="54" t="inlineStr">
        <is>
          <t>Se corrige</t>
        </is>
      </c>
      <c r="G16" s="44" t="inlineStr">
        <is>
          <t>Se recodifica (el 2026 la tenía como 2.3.1.6). Las 5 metas de alianzas del 2026 (2.3.1.1 a 2.3.1.5) salen como metas y pasan a indicadores de gestión de esta.</t>
        </is>
      </c>
      <c r="H16" s="44" t="inlineStr">
        <is>
          <t>N.° de solicitudes y de patentes registradas</t>
        </is>
      </c>
      <c r="I16" s="44" t="inlineStr">
        <is>
          <t>1 patente concedida por la SIC (2017, «Prensa de alacrán con tensor de trinquete») y 4 solicitudes de registro de esquemas de trazado en trámite ante la SIC en 2025 (RC 2025)</t>
        </is>
      </c>
      <c r="J16" s="44" t="inlineStr">
        <is>
          <t>4 patentes</t>
        </is>
      </c>
      <c r="K16" s="46" t="inlineStr">
        <is>
          <t>Sugerida por la OAP: 2 solicitudes de patente o modelo de utilidad radicadas ante la SIC, avance hacia 4 en 2032, y mantenimiento de la patente vigente</t>
        </is>
      </c>
      <c r="L16" s="44" t="inlineStr">
        <is>
          <t>Sugerida por la OAP.</t>
        </is>
      </c>
      <c r="M16" s="47" t="inlineStr">
        <is>
          <t>AC27.19. Convertir los desarrollos de la Escuela en propiedad intelectual protegida, desde la identificación de lo patentable hasta la radicación ante la SIC.
AC27.20. Mantener vigente la patente concedida, al día con anualidades y requerimientos de la SIC.</t>
        </is>
      </c>
      <c r="N16" s="48" t="inlineStr">
        <is>
          <t>AC27.19, actividades:
1. Identificar desarrollos patentables aplicando el reglamento de propiedad intelectual (A27-044). Producto: inventario de desarrollos con potencial.
2. Formalizar alianzas de codesarrollo con IES, empresas, centros y entidades públicas (A27-045). Producto: convenios suscritos.
3. Radicar las solicitudes de patente o modelo de utilidad ante la SIC (A27-046). Producto: solicitudes radicadas.
AC27.20, actividades:
1. Pagar la anualidad de la patente vigente y atender los requerimientos de la SIC (A27-047). Producto: soportes de pago y respuestas.</t>
        </is>
      </c>
      <c r="O16" s="48" t="inlineStr">
        <is>
          <t>Innovación y Laboratorio Inteligente (140)
Despacho de la VIET (140)</t>
        </is>
      </c>
      <c r="P16" s="48" t="inlineStr">
        <is>
          <t>Sin presupuesto registrado en la matriz plurianual</t>
        </is>
      </c>
      <c r="Q16" s="48" t="inlineStr">
        <is>
          <t>Académica</t>
        </is>
      </c>
      <c r="R16" s="48" t="inlineStr">
        <is>
          <t>Impacto en las labores sustantivas: docencia y formación, investigación e innovación, extensión y proyección social.
Contribución a la solución de problemas del contexto y la creación de nuevo conocimiento.</t>
        </is>
      </c>
      <c r="S16" s="48" t="inlineStr">
        <is>
          <t>Cantidad de ingresos por productos o servicios que son resultado de la implementación de la investigación, la innovación y el desarrollo tecnológico.
Porcentaje de proyectos de investigación que transformaron un proceso, un producto o una problemática de una organización o sector.</t>
        </is>
      </c>
      <c r="T16" s="49" t="inlineStr">
        <is>
          <t>1. Lo que hacemos: 2 acciones con 4 actividades (columnas M y N).
2. Lo que entregamos (productos): inventario de desarrollos con potencial; convenios suscritos; solicitudes radicadas; soportes de pago y respuestas.
3. Lo que cambia pronto (resultado): la Escuela identifica sus desarrollos patentables, firma alianzas de codesarrollo y radica solicitudes ante la SIC.
4. La transformación que buscamos (impacto): los desarrollos protegidos se transfieren al sector productivo y generan ingresos para la Institución.
5. Tipo de impacto según la guía: interno e externo.</t>
        </is>
      </c>
      <c r="U16" s="49" t="inlineStr">
        <is>
          <t>Aparecen ingresos por licenciamiento, servicios o productos derivados de la investigación y crece el porcentaje de proyectos que transformaron un proceso o un producto externo.
Indicador de la guía con que se mide: cantidad de ingresos por productos o servicios que son resultado de la implementación de la investigación, la innovación y el desarrollo tecnológico.
Punto de comparación: la línea base de la meta (1 patente concedida por la SIC (2017, «Prensa de alacrán con tensor de trinquete») y 4 solicitudes de registro de esquemas de trazado en trámite ante la SIC en 2025 (RC 2025)) y, cuando el estudio lo permita, un grupo de referencia que no recibió la intervención.</t>
        </is>
      </c>
      <c r="V16" s="50" t="n">
        <v>2</v>
      </c>
      <c r="W16" s="50" t="n">
        <v>4</v>
      </c>
      <c r="X16" s="48" t="inlineStr">
        <is>
          <t>Dónde se ubica: eje 2, Investigación y producción técnico científica, línea 2.3 Alianzas estratégicas para la investigación, meta 2.3.1.1 del PDI 2025 a 2032.
Qué cambió frente a 2026: se corrige. Se recodifica (el 2026 la tenía como 2.3.1.6). Las 5 metas de alianzas del 2026 (2.3.1.1 a 2.3.1.5) salen como metas y pasan a indicadores de gestión de esta.
Cómo se mide la meta: N.° de solicitudes y de patentes registradas. Línea base: 1 patente concedida por la SIC (2017, «Prensa de alacrán con tensor de trinquete») y 4 solicitudes de registro de esquemas de trazado en trámite ante la SIC en 2025 (RC 2025). Meta 2027: Sugerida por la OAP: 2 solicitudes de patente o modelo de utilidad radicadas ante la SIC, avance hacia 4 en 2032, y mantenimiento de la patente vigente.
Cómo se mide el impacto: cantidad de ingresos por productos o servicios que son resultado de la implementación de la investigación, la innovación y el desarrollo tecnológico. El indicador sale de la Guía Metodológica para la Evaluación de Impacto Institucional y se lee frente a la línea base.
Qué esperamos obtener: los desarrollos protegidos se transfieren al sector productivo y generan ingresos para la Institución.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16" s="48" t="inlineStr">
        <is>
          <t>Sin alertas.</t>
        </is>
      </c>
    </row>
    <row r="17" ht="256.8" customHeight="1" s="23">
      <c r="A17" s="56" t="n"/>
      <c r="B17" s="53" t="n"/>
      <c r="C17" s="44" t="inlineStr">
        <is>
          <t>2.4 Vinculación de lo investigativo con lo académico</t>
        </is>
      </c>
      <c r="D17" s="44" t="inlineStr">
        <is>
          <t>2.4.1. Establecer una integración entre los procesos de Investigación y los de Formación y Extensión de la ETITC.</t>
        </is>
      </c>
      <c r="E17" s="44" t="inlineStr">
        <is>
          <t>2.4.1.1. Contar con un (1) centro de pensamiento y desarrollo tecnológico registrado en Colciencias (MinCiencias) y articulado con el Parque Tecnológico de Funza.</t>
        </is>
      </c>
      <c r="F17" s="45" t="inlineStr">
        <is>
          <t>Se mantiene</t>
        </is>
      </c>
      <c r="G17" s="44" t="inlineStr">
        <is>
          <t>Se mantiene. Reactivar Semilleros (0 de 23 productos al 2 de septiembre de 2026).</t>
        </is>
      </c>
      <c r="H17" s="44" t="inlineStr">
        <is>
          <t>Centro de pensamiento reconocido por MinCiencias (fase de avance)</t>
        </is>
      </c>
      <c r="I17" s="44" t="inlineStr">
        <is>
          <t>0 centros (2024, MPI, columna «Línea base 2024»); solicitud de reconocimiento radicada en el portal de MinCiencias en 2026 (MPI)</t>
        </is>
      </c>
      <c r="J17" s="44" t="inlineStr">
        <is>
          <t>1 centro reconocido</t>
        </is>
      </c>
      <c r="K17" s="46" t="inlineStr">
        <is>
          <t>Puesta en marcha del Centro de Pensamiento</t>
        </is>
      </c>
      <c r="L17" s="44" t="inlineStr">
        <is>
          <t>MPI</t>
        </is>
      </c>
      <c r="M17" s="47" t="inlineStr">
        <is>
          <t>AC27.21. Poner en marcha el Centro de Pensamiento y Desarrollo Tecnológico articulado con el Ecoparque de Funza, con reconocimiento de MinCiencias y semilleros activos.</t>
        </is>
      </c>
      <c r="N17" s="48" t="inlineStr">
        <is>
          <t>AC27.21, actividades:
1. Completar las etapas del proceso de reconocimiento ante MinCiencias (A27-048). Producto: solicitud y evaluación.
2. Poner en marcha el Centro de Pensamiento articulado con el Ecoparque de Funza (A27-049). Producto: acta de puesta en marcha y plan de trabajo.
3. Reprogramar los productos de Semilleros (A27-050). Producto: productos reprogramados.</t>
        </is>
      </c>
      <c r="O17" s="48" t="inlineStr">
        <is>
          <t>Investigación (grupos, semilleros, revista, centro de pensamiento) (140)</t>
        </is>
      </c>
      <c r="P17" s="48" t="inlineStr">
        <is>
          <t>Sin presupuesto registrado en la matriz plurianual</t>
        </is>
      </c>
      <c r="Q17" s="48" t="inlineStr">
        <is>
          <t>Sector Productivo</t>
        </is>
      </c>
      <c r="R17" s="48" t="inlineStr">
        <is>
          <t>Contribución a la solución de problemas del contexto y la creación de nuevo conocimiento.
Contribución al desarrollo social y comunitario, económico, sostenibilidad ambiental, sector educativo, sector productivo y industrial, desarrollo tecnológico, nacional e internacional.</t>
        </is>
      </c>
      <c r="S17" s="48" t="inlineStr">
        <is>
          <t>Porcentaje de proyectos de investigación que transformaron un proceso, un producto o una problemática de una organización o sector.
Tasas de productividad y competitividad después del proyecto.</t>
        </is>
      </c>
      <c r="T17" s="49" t="inlineStr">
        <is>
          <t>1. Lo que hacemos: 1 acción con 3 actividades (columnas M y N).
2. Lo que entregamos (productos): solicitud y evaluación; acta de puesta en marcha y plan de trabajo; productos reprogramados.
3. Lo que cambia pronto (resultado): el Centro de Pensamiento queda reconocido o en evaluación por MinCiencias, opera con un plan de trabajo y los semilleros se reactivan.
4. La transformación que buscamos (impacto): el centro articula investigación, formación y extensión, y mejora la productividad de las organizaciones con las que trabaja.
5. Tipo de impacto según la guía: externo.</t>
        </is>
      </c>
      <c r="U17" s="49" t="inlineStr">
        <is>
          <t>Las organizaciones atendidas por el centro muestran mejoras en productividad o competitividad frente a su situación inicial.
Indicador de la guía con que se mide: porcentaje de proyectos de investigación que transformaron un proceso, un producto o una problemática de una organización o sector.
Punto de comparación: la línea base de la meta (0 centros (2024, MPI, columna «Línea base 2024»); solicitud de reconocimiento radicada en el portal de MinCiencias en 2026 (MPI)) y, cuando el estudio lo permita, un grupo de referencia que no recibió la intervención.</t>
        </is>
      </c>
      <c r="V17" s="50" t="n">
        <v>1</v>
      </c>
      <c r="W17" s="50" t="n">
        <v>3</v>
      </c>
      <c r="X17" s="48" t="inlineStr">
        <is>
          <t>Dónde se ubica: eje 2, Investigación y producción técnico científica, línea 2.4 Vinculación de lo investigativo con lo académico, meta 2.4.1.1 del PDI 2025 a 2032.
Qué cambió frente a 2026: se mantiene. Se mantiene. Reactivar Semilleros (0 de 23 productos al 2 de septiembre de 2026).
Cómo se mide la meta: Centro de pensamiento reconocido por MinCiencias (fase de avance). Línea base: 0 centros (2024, MPI, columna «Línea base 2024»); solicitud de reconocimiento radicada en el portal de MinCiencias en 2026 (MPI). Meta 2027: Puesta en marcha del Centro de Pensamiento.
Cómo se mide el impacto: porcentaje de proyectos de investigación que transformaron un proceso, un producto o una problemática de una organización o sector. El indicador sale de la Guía Metodológica para la Evaluación de Impacto Institucional y se lee frente a la línea base.
Qué esperamos obtener: el centro articula investigación, formación y extensión, y mejora la productividad de las organizaciones con las que trabaja.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17" s="48" t="inlineStr">
        <is>
          <t>Sin alertas.</t>
        </is>
      </c>
    </row>
    <row r="18" ht="309.6" customHeight="1" s="23">
      <c r="A18" s="43" t="inlineStr">
        <is>
          <t>3. Extensión y proyección institucional</t>
        </is>
      </c>
      <c r="B18" s="44" t="inlineStr">
        <is>
          <t>3. Ofrecer programas y servicios innovadores y de alta calidad que respondan eficazmente a las necesidades del sector productivo y social, promoviendo su bienestar y su desarrollo sostenible.</t>
        </is>
      </c>
      <c r="C18" s="44" t="inlineStr">
        <is>
          <t>3.1 Autonomía y posicionamiento de la Extensión y Proyección Institucional</t>
        </is>
      </c>
      <c r="D18" s="44" t="inlineStr">
        <is>
          <t>3.1.1. Fortalecer la autonomía en la gestión de actividades de extensión y proyección social mediante la implementación de una estructura institucional sólida que amplifique el impacto social y comunitario de la ETITC.</t>
        </is>
      </c>
      <c r="E18" s="44" t="inlineStr">
        <is>
          <t>3.1.1.1. Disponer a mediano plazo de una vicerrectoría de extensión y proyección social. [Enunciado vigente del PDI. En 2027 se reorienta sin crear la vicerrectoría: ver la columna «Qué cambia frente a 2026».]</t>
        </is>
      </c>
      <c r="F18" s="57" t="inlineStr">
        <is>
          <t>Se reorienta</t>
        </is>
      </c>
      <c r="G18" s="44" t="inlineStr">
        <is>
          <t>La creación de la Vicerrectoría de Extensión se encuentra en análisis y aún no cuenta con una determinación definitiva. En la etapa actual, el objetivo de la línea 3.1 (autonomía de la extensión) se desarrolla a través del fortalecimiento del GIT de Extensión y Proyección Social en el marco de la estructura vigente. Por lo anterior, se recomienda proponer al Consejo Directivo, en la próxima revisión del PDI, el ajuste del enunciado de esta meta.</t>
        </is>
      </c>
      <c r="H18" s="44" t="inlineStr">
        <is>
          <t>Modelo de gestión autónoma de la extensión adoptado y operando (fase)</t>
        </is>
      </c>
      <c r="I18" s="44" t="inlineStr">
        <is>
          <t>La extensión opera como GIT de Extensión y Proyección Social (código 141) adscrito a la VIET; recaudó $515,47 millones en 2025 (RC 2025)</t>
        </is>
      </c>
      <c r="J18" s="44" t="inlineStr">
        <is>
          <t>Sugerida por la OAP: extensión con autonomía administrativa y financiera operando desde el GIT de Extensión y Proyección Social, sin crear una nueva vicerrectoría</t>
        </is>
      </c>
      <c r="K18" s="46" t="inlineStr">
        <is>
          <t>Sugerida por la OAP: modelo de gestión autónoma de la extensión adoptado por acto administrativo: estatuto de extensión actualizado, centro de costos propio del GIT y procedimientos de la extensión en el SGC</t>
        </is>
      </c>
      <c r="L18" s="44" t="inlineStr">
        <is>
          <t>Sugerida por la OAP.</t>
        </is>
      </c>
      <c r="M18" s="47" t="inlineStr">
        <is>
          <t>AC27.22. Dotar a la extensión de autonomía de gestión dentro de la estructura actual, con reglas, centro de costos y procedimientos propios.
AC27.23. Ajustar el enunciado de la meta en la revisión del PDI para que refleje el modelo de autonomía adoptado.</t>
        </is>
      </c>
      <c r="N18" s="48" t="inlineStr">
        <is>
          <t>AC27.22, actividades:
1. Actualizar el estatuto o reglamento de extensión con las reglas de autonomía del GIT (contratación de servicios, precios, excedentes) (A27-051). Producto: acto administrativo adoptado.
2. Crear el centro de costos propio de la extensión con Gestión Financiera (A27-052). Producto: centro de costos operando.
3. Documentar y codificar en el SGC los procedimientos de la extensión (A27-053). Producto: procedimientos codificados.
AC27.23, actividades:
1. Presentar al Consejo Directivo la propuesta de ajuste del enunciado de la meta 3.1.1.1 en la revisión del PDI (A27-054). Producto: propuesta presentada.</t>
        </is>
      </c>
      <c r="O18" s="48" t="inlineStr">
        <is>
          <t>GIT Extensión y Proyección Social (incluye ETDH) (141)
Gestión Financiera (Presupuesto, Contabilidad, Tesorería) (130)
Planeación y Plan de Acción (101)</t>
        </is>
      </c>
      <c r="P18" s="48" t="inlineStr">
        <is>
          <t>Sin presupuesto registrado en la matriz plurianual</t>
        </is>
      </c>
      <c r="Q18" s="48" t="inlineStr">
        <is>
          <t>Académica</t>
        </is>
      </c>
      <c r="R18" s="48" t="inlineStr">
        <is>
          <t>Impacto en las labores sustantivas: docencia y formación, investigación e innovación, extensión y proyección social.</t>
        </is>
      </c>
      <c r="S18" s="48" t="inlineStr">
        <is>
          <t>Cantidad de procesos académicos y académico administrativos que mejoran.
Cantidad de ingresos por productos o servicios que son resultado de la implementación de la investigación, la innovación y el desarrollo tecnológico.</t>
        </is>
      </c>
      <c r="T18" s="49" t="inlineStr">
        <is>
          <t>1. Lo que hacemos: 2 acciones con 4 actividades (columnas M y N).
2. Lo que entregamos (productos): acto administrativo adoptado; centro de costos operando; procedimientos codificados; propuesta presentada.
3. Lo que cambia pronto (resultado): la extensión opera con reglas, centro de costos y procedimientos propios, sin crear una nueva estructura.
4. La transformación que buscamos (impacto): la extensión gana autonomía de gestión, mejora sus procesos y aumenta los ingresos propios de la Escuela.
5. Tipo de impacto según la guía: interno.</t>
        </is>
      </c>
      <c r="U18" s="49" t="inlineStr">
        <is>
          <t>Aumenta el número de procesos de extensión mejorados y los ingresos propios por servicios crecen frente a los $515,47 millones de 2025.
Indicador de la guía con que se mide: cantidad de procesos académicos y académico administrativos que mejoran.
Punto de comparación: la línea base de la meta (La extensión opera como GIT de Extensión y Proyección Social (código 141) adscrito a la VIET; recaudó $515,47 millones en 2025 (RC 2025)) y, cuando el estudio lo permita, un grupo de referencia que no recibió la intervención.</t>
        </is>
      </c>
      <c r="V18" s="50" t="n">
        <v>2</v>
      </c>
      <c r="W18" s="50" t="n">
        <v>4</v>
      </c>
      <c r="X18" s="48" t="inlineStr">
        <is>
          <t>Dónde se ubica: eje 3, Extensión y proyección institucional, línea 3.1 Autonomía y posicionamiento de la Extensión y Proyección Institucional, meta 3.1.1.1 del PDI 2025 a 2032.
Qué cambió frente a 2026: se reorienta. La creación de la Vicerrectoría de Extensión no es viable y no se hará. El objetivo de la línea 3.1 (autonomía de la extensión) se cumple fortaleciendo el GIT de Extensión y Proyección Social dentro de la estructura actual. Se recomienda proponer al Consejo Directivo, en la próxima revisión del PDI, ajustar el enunciado de esta meta.
Cómo se mide la meta: Modelo de gestión autónoma de la extensión adoptado y operando (fase). Línea base: La extensión opera como GIT de Extensión y Proyección Social (código 141) adscrito a la VIET; recaudó $515,47 millones en 2025 (RC 2025). Meta 2027: Sugerida por la OAP: modelo de gestión autónoma de la extensión adoptado por acto administrativo: estatuto de extensión actualizado, centro de costos propio del GIT y procedimientos de la extensión en el SGC.
Cómo se mide el impacto: cantidad de procesos académicos y académico administrativos que mejoran. El indicador sale de la Guía Metodológica para la Evaluación de Impacto Institucional y se lee frente a la línea base.
Qué esperamos obtener: la extensión gana autonomía de gestión, mejora sus procesos y aumenta los ingresos propios de la Escuela.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18" s="48" t="inlineStr">
        <is>
          <t>La meta del PDI sigue hablando de una vicerrectoría: mientras no se ajuste el PDI, se reporta el avance del modelo de autonomía.</t>
        </is>
      </c>
    </row>
    <row r="19" ht="270" customHeight="1" s="23">
      <c r="A19" s="51" t="n"/>
      <c r="B19" s="52" t="n"/>
      <c r="C19" s="44" t="inlineStr">
        <is>
          <t>3.2 Fortalecimiento de la innovación para la Proyección Institucional</t>
        </is>
      </c>
      <c r="D19" s="44" t="inlineStr">
        <is>
          <t>3.2.1. Liderar iniciativas innovadoras en programas de extensión que contribuyan al bienestar y al desarrollo social, fortaleciendo la proyección institucional de la ETITC y avanzando hacia la meta de ampliar la cobertura educativa.</t>
        </is>
      </c>
      <c r="E19" s="44" t="inlineStr">
        <is>
          <t>3.2.1.1. Diseñar y diversificar la oferta de programas de educación continuada y Educación para el Trabajo y el Desarrollo Humano.</t>
        </is>
      </c>
      <c r="F19" s="45" t="inlineStr">
        <is>
          <t>Se mantiene</t>
        </is>
      </c>
      <c r="G19" s="44" t="inlineStr">
        <is>
          <t>Se mantiene y se amplía con oferta virtual para llegar a egresados, empresas y regiones fuera de Bogotá.</t>
        </is>
      </c>
      <c r="H19" s="44" t="inlineStr">
        <is>
          <t>N.° de ofertas de educación continuada y ETDH, participantes y % en modalidad virtual</t>
        </is>
      </c>
      <c r="I19" s="44" t="inlineStr">
        <is>
          <t>28 ofertas en 2025: 9 certificaciones (106 participantes), 5 cursos libres o a la medida y 14 cursos de lenguas (224 participantes); solo 1 en modalidad virtual (RC 2025)</t>
        </is>
      </c>
      <c r="J19" s="44" t="inlineStr">
        <is>
          <t>Sugerida por la OAP: 60 ofertas anuales, 30% en modalidad virtual o b learning</t>
        </is>
      </c>
      <c r="K19" s="46" t="inlineStr">
        <is>
          <t>Sugerida por la OAP: 34 ofertas, +20% sobre 2025, de las cuales al menos 8 en modalidad virtual o b learning, y 2 programas ETDH reactivados</t>
        </is>
      </c>
      <c r="L19" s="44" t="inlineStr">
        <is>
          <t>Sugerida por la OAP con base en la línea base 2025.</t>
        </is>
      </c>
      <c r="M19" s="47" t="inlineStr">
        <is>
          <t>AC27.24. Diversificar y virtualizar el portafolio de educación continuada y de Educación para el Trabajo y el Desarrollo Humano a partir de las necesidades de egresados, empresas y regiones.</t>
        </is>
      </c>
      <c r="N19" s="48" t="inlineStr">
        <is>
          <t>AC27.24, actividades:
1. Analizar necesidades y mercado (egresados, empresas, regiones) y actualizar el portafolio (A27-055). Producto: portafolio 2027 actualizado.
2. Virtualizar 8 ofertas con la Unidad B-Learning (certificaciones, diplomados, cursos de lenguas) (A27-056). Producto: ofertas virtuales publicadas.
3. Reactivar 2 programas ETDH con reglamento de formadores (A27-057). Producto: programas ETDH ofertados.
4. Ejecutar y evaluar la oferta 2027 (A27-058). Producto: informe de participantes y satisfacción.</t>
        </is>
      </c>
      <c r="O19" s="48" t="inlineStr">
        <is>
          <t>GIT Extensión y Proyección Social (incluye ETDH) (141)
Unidad B-Learning (120)</t>
        </is>
      </c>
      <c r="P19" s="48" t="inlineStr">
        <is>
          <t>Sin presupuesto registrado en la matriz plurianual</t>
        </is>
      </c>
      <c r="Q19" s="48" t="inlineStr">
        <is>
          <t>Egresados</t>
        </is>
      </c>
      <c r="R19" s="48" t="inlineStr">
        <is>
          <t>Transformaciones de vidas (condiciones de vida movilidad social) de las personas con las que se interactúa.</t>
        </is>
      </c>
      <c r="S19" s="48" t="inlineStr">
        <is>
          <t>Porcentaje de beneficiarios que mejoraron las condiciones de empleo después de la intervención: nivel salarial, cargo, tipo de contrato, seguridad y salud, formalidad.
Índice de empleabilidad en el corto plazo tras finalizar el programa formativo.</t>
        </is>
      </c>
      <c r="T19" s="49" t="inlineStr">
        <is>
          <t>1. Lo que hacemos: 1 acción con 4 actividades (columnas M y N).
2. Lo que entregamos (productos): portafolio 2027 actualizado; ofertas virtuales publicadas; programas ETDH ofertados; informe de participantes y satisfacción.
3. Lo que cambia pronto (resultado): hay más ofertas de educación continuada y ETDH, varias de ellas virtuales, con mayor número de participantes.
4. La transformación que buscamos (impacto): egresados y trabajadores mejoran sus condiciones de empleo después de cursar la oferta.
5. Tipo de impacto según la guía: interno y externo.</t>
        </is>
      </c>
      <c r="U19" s="49" t="inlineStr">
        <is>
          <t>El seguimiento a participantes muestra mejoras en cargo, salario, tipo de contrato o formalidad, y crece su índice de empleabilidad.
Indicador de la guía con que se mide: porcentaje de beneficiarios que mejoraron las condiciones de empleo después de la intervención: nivel salarial, cargo, tipo de contrato, seguridad y salud, formalidad.
Punto de comparación: la línea base de la meta (28 ofertas en 2025: 9 certificaciones (106 participantes), 5 cursos libres o a la medida y 14 cursos de lenguas (224 participantes); solo 1 en modalidad virtual (RC 2025)) y, cuando el estudio lo permita, un grupo de referencia que no recibió la intervención.</t>
        </is>
      </c>
      <c r="V19" s="50" t="n">
        <v>1</v>
      </c>
      <c r="W19" s="50" t="n">
        <v>4</v>
      </c>
      <c r="X19" s="48" t="inlineStr">
        <is>
          <t>Dónde se ubica: eje 3, Extensión y proyección institucional, línea 3.2 Fortalecimiento de la innovación para la Proyección Institucional, meta 3.2.1.1 del PDI 2025 a 2032.
Qué cambió frente a 2026: se mantiene. Se mantiene y se amplía con oferta virtual para llegar a egresados, empresas y regiones fuera de Bogotá.
Cómo se mide la meta: N.° de ofertas de educación continuada y ETDH, participantes y % en modalidad virtual. Línea base: 28 ofertas en 2025: 9 certificaciones (106 participantes), 5 cursos libres o a la medida y 14 cursos de lenguas (224 participantes); solo 1 en modalidad virtual (RC 2025). Meta 2027: Sugerida por la OAP: 34 ofertas, +20% sobre 2025, de las cuales al menos 8 en modalidad virtual o b learning, y 2 programas ETDH reactivados.
Cómo se mide el impacto: porcentaje de beneficiarios que mejoraron las condiciones de empleo después de la intervención: nivel salarial, cargo, tipo de contrato, seguridad y salud, formalidad. El indicador sale de la Guía Metodológica para la Evaluación de Impacto Institucional y se lee frente a la línea base.
Qué esperamos obtener: egresados y trabajadores mejoran sus condiciones de empleo después de cursar la oferta.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19" s="48" t="inlineStr">
        <is>
          <t>Sin alertas.</t>
        </is>
      </c>
    </row>
    <row r="20" ht="243.6" customHeight="1" s="23">
      <c r="A20" s="51" t="n"/>
      <c r="B20" s="52" t="n"/>
      <c r="C20" s="52" t="n"/>
      <c r="D20" s="52" t="n"/>
      <c r="E20" s="44" t="inlineStr">
        <is>
          <t>3.2.1.2. Generar ingresos para la ETITC mediante la comercialización de su portafolio de servicios, fortaleciendo su sostenibilidad financiera por vigencia.</t>
        </is>
      </c>
      <c r="F20" s="45" t="inlineStr">
        <is>
          <t>Se mantiene</t>
        </is>
      </c>
      <c r="G20" s="44" t="inlineStr">
        <is>
          <t>Se mantiene con meta financiera explícita.</t>
        </is>
      </c>
      <c r="H20" s="44" t="inlineStr">
        <is>
          <t>Ingresos por venta de servicios de extensión (millones $)</t>
        </is>
      </c>
      <c r="I20" s="44" t="inlineStr">
        <is>
          <t>$515,47 millones recaudados por el Centro de Extensión y Proyección Social en 2025 (Tabla 115) (RC 2025)</t>
        </is>
      </c>
      <c r="J20" s="44" t="inlineStr">
        <is>
          <t>Sugerida por la OAP: crecimiento sostenido del 7% anual</t>
        </is>
      </c>
      <c r="K20" s="46" t="inlineStr">
        <is>
          <t>Sugerida por la OAP: $590 millones, 7% anual sobre el recaudo 2025,</t>
        </is>
      </c>
      <c r="L20" s="44" t="inlineStr">
        <is>
          <t>Sugerida por la OAP.</t>
        </is>
      </c>
      <c r="M20" s="47" t="inlineStr">
        <is>
          <t>AC27.25. Aumentar los ingresos propios por venta de servicios con un plan comercial, una oferta empresarial y seguimiento trimestral del recaudo.</t>
        </is>
      </c>
      <c r="N20" s="48" t="inlineStr">
        <is>
          <t>AC27.25, actividades:
1. Definir precios y metas de venta por servicio (A27-059). Producto: plan comercial 2027.
2. Ofertar certificaciones, diplomados, consultorías y cursos a la medida para empresas (A27-060). Producto: contratos y ventas registradas.
3. Hacer seguimiento trimestral al recaudo con Gestión Financiera (A27-061). Producto: informe trimestral de recaudo.</t>
        </is>
      </c>
      <c r="O20" s="48" t="inlineStr">
        <is>
          <t>GIT Extensión y Proyección Social (incluye ETDH) (141)
Gestión Financiera (Presupuesto, Contabilidad, Tesorería) (130)</t>
        </is>
      </c>
      <c r="P20" s="48" t="inlineStr">
        <is>
          <t>Sin presupuesto registrado en la matriz plurianual</t>
        </is>
      </c>
      <c r="Q20" s="48" t="inlineStr">
        <is>
          <t>Académica</t>
        </is>
      </c>
      <c r="R20" s="48" t="inlineStr">
        <is>
          <t>Impacto en las labores sustantivas: docencia y formación, investigación e innovación, extensión y proyección social.</t>
        </is>
      </c>
      <c r="S20" s="48" t="inlineStr">
        <is>
          <t>Cantidad de ingresos por productos o servicios que son resultado de la implementación de la investigación, la innovación y el desarrollo tecnológico.</t>
        </is>
      </c>
      <c r="T20" s="49" t="inlineStr">
        <is>
          <t>1. Lo que hacemos: 1 acción con 3 actividades (columnas M y N).
2. Lo que entregamos (productos): plan comercial 2027; contratos y ventas registradas; informe trimestral de recaudo.
3. Lo que cambia pronto (resultado): la extensión vende más servicios a empresas y entidades, con un recaudo controlado cada trimestre.
4. La transformación que buscamos (impacto): los servicios derivados de la investigación y la extensión generan ingresos propios crecientes que fortalecen la sostenibilidad financiera.
5. Tipo de impacto según la guía: interno.</t>
        </is>
      </c>
      <c r="U20" s="49" t="inlineStr">
        <is>
          <t>Los ingresos por productos y servicios superan los $515,47 millones de 2025 y su crecimiento se sostiene en el tiempo.
Indicador de la guía con que se mide: cantidad de ingresos por productos o servicios que son resultado de la implementación de la investigación, la innovación y el desarrollo tecnológico.
Punto de comparación: la línea base de la meta ($515,47 millones recaudados por el Centro de Extensión y Proyección Social en 2025 (Tabla 115) (RC 2025)) y, cuando el estudio lo permita, un grupo de referencia que no recibió la intervención.</t>
        </is>
      </c>
      <c r="V20" s="50" t="n">
        <v>1</v>
      </c>
      <c r="W20" s="50" t="n">
        <v>3</v>
      </c>
      <c r="X20" s="48" t="inlineStr">
        <is>
          <t>Dónde se ubica: eje 3, Extensión y proyección institucional, línea 3.2 Fortalecimiento de la innovación para la Proyección Institucional, meta 3.2.1.2 del PDI 2025 a 2032.
Qué cambió frente a 2026: se mantiene. Se mantiene con meta financiera explícita.
Cómo se mide la meta: Ingresos por venta de servicios de extensión (millones $). Línea base: $515,47 millones recaudados por el Centro de Extensión y Proyección Social en 2025 (Tabla 115) (RC 2025). Meta 2027: Sugerida por la OAP: $590 millones, 7% anual sobre el recaudo 2025,.
Cómo se mide el impacto: cantidad de ingresos por productos o servicios que son resultado de la implementación de la investigación, la innovación y el desarrollo tecnológico. El indicador sale de la Guía Metodológica para la Evaluación de Impacto Institucional y se lee frente a la línea base.
Qué esperamos obtener: los servicios derivados de la investigación y la extensión generan ingresos propios crecientes que fortalecen la sostenibilidad financiera.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20" s="48" t="inlineStr">
        <is>
          <t>Sin alertas.</t>
        </is>
      </c>
    </row>
    <row r="21" ht="230.4" customHeight="1" s="23">
      <c r="A21" s="51" t="n"/>
      <c r="B21" s="52" t="n"/>
      <c r="C21" s="52" t="n"/>
      <c r="D21" s="52" t="n"/>
      <c r="E21" s="44" t="inlineStr">
        <is>
          <t>3.2.1.3. Implementar mecanismos de retroalimentación continua de la oferta de programas de extensión y proyección social.</t>
        </is>
      </c>
      <c r="F21" s="45" t="inlineStr">
        <is>
          <t>Se mantiene</t>
        </is>
      </c>
      <c r="G21" s="44" t="inlineStr">
        <is>
          <t>Se mantiene.</t>
        </is>
      </c>
      <c r="H21" s="44" t="inlineStr">
        <is>
          <t>N.° de mecanismos aplicados y % de ofertas evaluadas</t>
        </is>
      </c>
      <c r="I21" s="44" t="inlineStr">
        <is>
          <t>Encuestas aplicadas por el Centro de Lenguas en 2026 (Hoja de Ruta); sin mecanismo institucional unificado</t>
        </is>
      </c>
      <c r="J21" s="44" t="inlineStr">
        <is>
          <t>Sugerida por la OAP: 100% de las ofertas evaluadas cada periodo</t>
        </is>
      </c>
      <c r="K21" s="46" t="inlineStr">
        <is>
          <t>Sugerida por la OAP: 1 mecanismo institucional de retroalimentación aplicado al 100% de las ofertas de extensión 2027, con informe semestral</t>
        </is>
      </c>
      <c r="L21" s="44" t="inlineStr">
        <is>
          <t>Sugerida por la OAP.</t>
        </is>
      </c>
      <c r="M21" s="47" t="inlineStr">
        <is>
          <t>AC27.26. Instalar un ciclo de mejora continua de la oferta de extensión basado en la opinión de los participantes.</t>
        </is>
      </c>
      <c r="N21" s="48" t="inlineStr">
        <is>
          <t>AC27.26, actividades:
1. Diseñar el instrumento único de retroalimentación (satisfacción, pertinencia, aplicación en el trabajo) (A27-062). Producto: instrumento aprobado.
2. Aplicarlo al cierre de cada oferta y consolidar resultados (A27-063). Producto: informe semestral.
3. Ajustar el portafolio con base en los resultados (A27-064). Producto: acta de ajustes.</t>
        </is>
      </c>
      <c r="O21" s="48" t="inlineStr">
        <is>
          <t>GIT Extensión y Proyección Social (incluye ETDH) (141)</t>
        </is>
      </c>
      <c r="P21" s="48" t="inlineStr">
        <is>
          <t>Sin presupuesto registrado en la matriz plurianual</t>
        </is>
      </c>
      <c r="Q21" s="48" t="inlineStr">
        <is>
          <t>Académica</t>
        </is>
      </c>
      <c r="R21" s="48" t="inlineStr">
        <is>
          <t>Impacto en las labores sustantivas: docencia y formación, investigación e innovación, extensión y proyección social.</t>
        </is>
      </c>
      <c r="S21" s="48" t="inlineStr">
        <is>
          <t>Cantidad de procesos académicos y académico administrativos que mejoran.</t>
        </is>
      </c>
      <c r="T21" s="49" t="inlineStr">
        <is>
          <t>1. Lo que hacemos: 1 acción con 3 actividades (columnas M y N).
2. Lo que entregamos (productos): instrumento aprobado; informe semestral; acta de ajustes.
3. Lo que cambia pronto (resultado): todas las ofertas de extensión se evalúan con un instrumento único y sus resultados se usan para ajustar el portafolio.
4. La transformación que buscamos (impacto): la oferta de extensión mejora periodo a periodo con base en la voz de los participantes.
5. Tipo de impacto según la guía: interno.</t>
        </is>
      </c>
      <c r="U21" s="49" t="inlineStr">
        <is>
          <t>Aumenta el número de procesos de extensión ajustados con base en la retroalimentación y mejora la satisfacción y la aplicación en el trabajo reportada por los participantes.
Indicador de la guía con que se mide: cantidad de procesos académicos y académico administrativos que mejoran.
Punto de comparación: la línea base de la meta (Encuestas aplicadas por el Centro de Lenguas en 2026 (Hoja de Ruta); sin mecanismo institucional unificado) y, cuando el estudio lo permita, un grupo de referencia que no recibió la intervención.</t>
        </is>
      </c>
      <c r="V21" s="50" t="n">
        <v>1</v>
      </c>
      <c r="W21" s="50" t="n">
        <v>3</v>
      </c>
      <c r="X21" s="48" t="inlineStr">
        <is>
          <t>Dónde se ubica: eje 3, Extensión y proyección institucional, línea 3.2 Fortalecimiento de la innovación para la Proyección Institucional, meta 3.2.1.3 del PDI 2025 a 2032.
Qué cambió frente a 2026: se mantiene. Se mantiene.
Cómo se mide la meta: N.° de mecanismos aplicados y % de ofertas evaluadas. Línea base: Encuestas aplicadas por el Centro de Lenguas en 2026 (Hoja de Ruta); sin mecanismo institucional unificado. Meta 2027: Sugerida por la OAP: 1 mecanismo institucional de retroalimentación aplicado al 100% de las ofertas de extensión 2027, con informe semestral.
Cómo se mide el impacto: cantidad de procesos académicos y académico administrativos que mejoran. El indicador sale de la Guía Metodológica para la Evaluación de Impacto Institucional y se lee frente a la línea base.
Qué esperamos obtener: la oferta de extensión mejora periodo a periodo con base en la voz de los participantes.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21" s="48" t="inlineStr">
        <is>
          <t>Sin alertas.</t>
        </is>
      </c>
    </row>
    <row r="22" ht="243.6" customHeight="1" s="23">
      <c r="A22" s="51" t="n"/>
      <c r="B22" s="52" t="n"/>
      <c r="C22" s="53" t="n"/>
      <c r="D22" s="53" t="n"/>
      <c r="E22" s="44" t="inlineStr">
        <is>
          <t>3.2.1.4. Alinear la formación en una segunda lengua en la ETITC con los estándares del Marco Común Europeo de Referencia para las Lenguas.</t>
        </is>
      </c>
      <c r="F22" s="45" t="inlineStr">
        <is>
          <t>Se mantiene</t>
        </is>
      </c>
      <c r="G22" s="44" t="inlineStr">
        <is>
          <t>Se mantiene.</t>
        </is>
      </c>
      <c r="H22" s="44" t="inlineStr">
        <is>
          <t>% de cursos de segunda lengua alineados al MCER</t>
        </is>
      </c>
      <c r="I22" s="44" t="inlineStr">
        <is>
          <t>14 cursos de inglés y alemán ofertados en 2025 por niveles A1 a B2 (224 participantes en cursos libres y de lenguas) (RC 2025)</t>
        </is>
      </c>
      <c r="J22" s="44" t="inlineStr">
        <is>
          <t>Sugerida por la OAP: 100% de los cursos alineados y certificados por nivel MCER</t>
        </is>
      </c>
      <c r="K22" s="46" t="inlineStr">
        <is>
          <t>Sugerida por la OAP: 100% de los cursos con syllabus y evaluación alineados a niveles MCER A1-B2, prueba de clasificación institucional y 2 cursos virtuales</t>
        </is>
      </c>
      <c r="L22" s="44" t="inlineStr">
        <is>
          <t>Sugerida por la OAP.</t>
        </is>
      </c>
      <c r="M22" s="47" t="inlineStr">
        <is>
          <t>AC27.27. Alinear la formación en segunda lengua con el Marco Común Europeo de Referencia y ampliarla con oferta virtual.</t>
        </is>
      </c>
      <c r="N22" s="48" t="inlineStr">
        <is>
          <t>AC27.27, actividades:
1. Diagnosticar los cursos frente a los descriptores del MCER (A27-065). Producto: diagnóstico.
2. Ajustar syllabus, evaluación y prueba de clasificación (A27-066). Producto: syllabus y prueba aprobados.
3. Ofrecer 2 cursos virtuales de segunda lengua (A27-067). Producto: cursos virtuales ofertados.</t>
        </is>
      </c>
      <c r="O22" s="48" t="inlineStr">
        <is>
          <t>Centro de Lenguas (CEL) (141)</t>
        </is>
      </c>
      <c r="P22" s="48" t="inlineStr">
        <is>
          <t>Sin presupuesto registrado en la matriz plurianual</t>
        </is>
      </c>
      <c r="Q22" s="48" t="inlineStr">
        <is>
          <t>Egresados</t>
        </is>
      </c>
      <c r="R22" s="48" t="inlineStr">
        <is>
          <t>Transformaciones de vidas (condiciones de vida movilidad social) de las personas con las que se interactúa.
Cambios curriculares y mejoramiento de programas</t>
        </is>
      </c>
      <c r="S22" s="48" t="inlineStr">
        <is>
          <t>Índice de empleabilidad en el corto plazo tras finalizar el programa formativo.
Resultados del valor agregado (diferencia entre el desarrollo de competencias antes de ingresar a la Escuela y lo que demuestra al egresar).</t>
        </is>
      </c>
      <c r="T22" s="49" t="inlineStr">
        <is>
          <t>1. Lo que hacemos: 1 acción con 3 actividades (columnas M y N).
2. Lo que entregamos (productos): diagnóstico; syllabus y prueba aprobados; cursos virtuales ofertados.
3. Lo que cambia pronto (resultado): los cursos de segunda lengua quedan alineados con los niveles del MCER y se ofrecen también de forma virtual.
4. La transformación que buscamos (impacto): el dominio certificado de una segunda lengua mejora la empleabilidad y la movilidad de estudiantes y egresados.
5. Tipo de impacto según la guía: interno y externo e interno.</t>
        </is>
      </c>
      <c r="U22" s="49" t="inlineStr">
        <is>
          <t>Crecen el valor agregado en competencias de segunda lengua y la empleabilidad de quienes certifican un nivel.
Indicador de la guía con que se mide: índice de empleabilidad en el corto plazo tras finalizar el programa formativo.
Punto de comparación: la línea base de la meta (14 cursos de inglés y alemán ofertados en 2025 por niveles A1 a B2 (224 participantes en cursos libres y de lenguas) (RC 2025)) y, cuando el estudio lo permita, un grupo de referencia que no recibió la intervención.</t>
        </is>
      </c>
      <c r="V22" s="50" t="n">
        <v>1</v>
      </c>
      <c r="W22" s="50" t="n">
        <v>3</v>
      </c>
      <c r="X22" s="48" t="inlineStr">
        <is>
          <t>Dónde se ubica: eje 3, Extensión y proyección institucional, línea 3.2 Fortalecimiento de la innovación para la Proyección Institucional, meta 3.2.1.4 del PDI 2025 a 2032.
Qué cambió frente a 2026: se mantiene. Se mantiene.
Cómo se mide la meta: % de cursos de segunda lengua alineados al MCER. Línea base: 14 cursos de inglés y alemán ofertados en 2025 por niveles A1 a B2 (224 participantes en cursos libres y de lenguas) (RC 2025). Meta 2027: Sugerida por la OAP: 100% de los cursos con syllabus y evaluación alineados a niveles MCER A1-B2, prueba de clasificación institucional y 2 cursos virtuales.
Cómo se mide el impacto: índice de empleabilidad en el corto plazo tras finalizar el programa formativo. El indicador sale de la Guía Metodológica para la Evaluación de Impacto Institucional y se lee frente a la línea base.
Qué esperamos obtener: el dominio certificado de una segunda lengua mejora la empleabilidad y la movilidad de estudiantes y egresados.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22" s="48" t="inlineStr">
        <is>
          <t>Sin alertas.</t>
        </is>
      </c>
    </row>
    <row r="23" ht="217.2" customHeight="1" s="23">
      <c r="A23" s="51" t="n"/>
      <c r="B23" s="52" t="n"/>
      <c r="C23" s="44" t="inlineStr">
        <is>
          <t>3.3 Interacción con el sector productivo y social</t>
        </is>
      </c>
      <c r="D23" s="44" t="inlineStr">
        <is>
          <t>3.3.1. Garantizar una sólida interacción con agentes del sector productivo y social, relacionados con el quehacer de la ETITC.</t>
        </is>
      </c>
      <c r="E23" s="44" t="inlineStr">
        <is>
          <t>3.3.1.1. Garantizar la participación y representación del 100% de la programación de la ETITC en eventos académicos, empresariales y de proyección social, de acuerdo con disponibilidad de recursos.</t>
        </is>
      </c>
      <c r="F23" s="45" t="inlineStr">
        <is>
          <t>Se mantiene</t>
        </is>
      </c>
      <c r="G23" s="44" t="inlineStr">
        <is>
          <t>Se mantiene.</t>
        </is>
      </c>
      <c r="H23" s="44" t="inlineStr">
        <is>
          <t>% de la programación de eventos con participación institucional</t>
        </is>
      </c>
      <c r="I23" s="44" t="inlineStr">
        <is>
          <t>Participación en ferias universitarias en 2025 (EDUTECNIA, Expoestudiantes, colegios) (RC 2025)</t>
        </is>
      </c>
      <c r="J23" s="44" t="inlineStr">
        <is>
          <t>100%</t>
        </is>
      </c>
      <c r="K23" s="46" t="inlineStr">
        <is>
          <t>100% de la programación 2027</t>
        </is>
      </c>
      <c r="L23" s="44" t="inlineStr">
        <is>
          <t>MPI</t>
        </is>
      </c>
      <c r="M23" s="47" t="inlineStr">
        <is>
          <t>AC27.28. Asegurar la presencia institucional en los eventos académicos, empresariales y sociales que aportan a la misión, con una agenda anual priorizada.</t>
        </is>
      </c>
      <c r="N23" s="48" t="inlineStr">
        <is>
          <t>AC27.28, actividades:
1. Construir la agenda anual de eventos 2027 con criterios de pertinencia (A27-068). Producto: agenda aprobada.
2. Participar en los eventos programados y promocionar la oferta institucional (A27-069). Producto: informe de participación.</t>
        </is>
      </c>
      <c r="O23" s="48" t="inlineStr">
        <is>
          <t>GIT Extensión y Proyección Social (incluye ETDH) (141)</t>
        </is>
      </c>
      <c r="P23" s="48" t="inlineStr">
        <is>
          <t>Sin presupuesto registrado en la matriz plurianual</t>
        </is>
      </c>
      <c r="Q23" s="48" t="inlineStr">
        <is>
          <t>Valor Público</t>
        </is>
      </c>
      <c r="R23" s="48" t="inlineStr">
        <is>
          <t>Contribución al desarrollo social y comunitario, económico, sostenibilidad ambiental, sector educativo, sector productivo y industrial, desarrollo tecnológico, nacional e internacional.
Impacto a actores (estudiantes, docentes, administrativos, egresados) y organizaciones (sector externo y sociedad en general) en valores.</t>
        </is>
      </c>
      <c r="S23" s="48" t="inlineStr">
        <is>
          <t>Cantidad de grupos comunitarios establecidos o fortalecidos como resultado del proyecto.
Porcentaje de actores que evidencian cambios significativos en sus valores y actitudes como consecuencia de las intervenciones institucionales.</t>
        </is>
      </c>
      <c r="T23" s="49" t="inlineStr">
        <is>
          <t>1. Lo que hacemos: 1 acción con 2 actividades (columnas M y N).
2. Lo que entregamos (productos): agenda aprobada; informe de participación.
3. Lo que cambia pronto (resultado): la Escuela participa en los eventos priorizados de su agenda anual y promociona su oferta.
4. La transformación que buscamos (impacto): la presencia institucional crea vínculos duraderos con comunidades y empresas.
5. Tipo de impacto según la guía: externo.</t>
        </is>
      </c>
      <c r="U23" s="49" t="inlineStr">
        <is>
          <t>Aumenta la cantidad de grupos comunitarios o redes con los que la Escuela mantiene trabajo después de los eventos.
Indicador de la guía con que se mide: cantidad de grupos comunitarios establecidos o fortalecidos como resultado del proyecto.
Punto de comparación: la línea base de la meta (Participación en ferias universitarias en 2025 (EDUTECNIA, Expoestudiantes, colegios) (RC 2025)) y, cuando el estudio lo permita, un grupo de referencia que no recibió la intervención.</t>
        </is>
      </c>
      <c r="V23" s="50" t="n">
        <v>1</v>
      </c>
      <c r="W23" s="50" t="n">
        <v>2</v>
      </c>
      <c r="X23" s="48" t="inlineStr">
        <is>
          <t>Dónde se ubica: eje 3, Extensión y proyección institucional, línea 3.3 Interacción con el sector productivo y social, meta 3.3.1.1 del PDI 2025 a 2032.
Qué cambió frente a 2026: se mantiene. Se mantiene.
Cómo se mide la meta: % de la programación de eventos con participación institucional. Línea base: Participación en ferias universitarias en 2025 (EDUTECNIA, Expoestudiantes, colegios) (RC 2025). Meta 2027: 100% de la programación 2027.
Cómo se mide el impacto: cantidad de grupos comunitarios establecidos o fortalecidos como resultado del proyecto. El indicador sale de la Guía Metodológica para la Evaluación de Impacto Institucional y se lee frente a la línea base.
Qué esperamos obtener: la presencia institucional crea vínculos duraderos con comunidades y empresas.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23" s="48" t="inlineStr">
        <is>
          <t>Sin alertas.</t>
        </is>
      </c>
    </row>
    <row r="24" ht="309.6" customHeight="1" s="23">
      <c r="A24" s="51" t="n"/>
      <c r="B24" s="52" t="n"/>
      <c r="C24" s="52" t="n"/>
      <c r="D24" s="52" t="n"/>
      <c r="E24" s="44" t="inlineStr">
        <is>
          <t>3.3.1.2. Ejecutar el 100% del Plan Estratégico de Comunicación de la Vicerrectoría de Extensión y Proyección Social, asegurando su efectividad y alcance. [Enunciado vigente del PDI. En 2027 se reorienta sin crear la vicerrectoría: ver la columna «Qué cambia frente a 2026».]</t>
        </is>
      </c>
      <c r="F24" s="57" t="inlineStr">
        <is>
          <t>Se reorienta</t>
        </is>
      </c>
      <c r="G24" s="44" t="inlineStr">
        <is>
          <t>Como no se creará la Vicerrectoría de Extensión, no habrá un plan propio de esa dependencia: la meta se cumple con un componente de comunicación de la extensión dentro del Plan Estratégico de Comunicaciones y Posicionamiento 2025 a 2032, a cargo de Comunicaciones con el GIT de Extensión.</t>
        </is>
      </c>
      <c r="H24" s="44" t="inlineStr">
        <is>
          <t>% de ejecución del componente de comunicación de la extensión dentro del plan institucional</t>
        </is>
      </c>
      <c r="I24" s="44" t="inlineStr">
        <is>
          <t>Plan Estratégico de Comunicaciones y Posicionamiento 2025 a 2032 institucional en ejecución (Contrato 350-2025); la extensión no tiene componente propio (RC 2025)</t>
        </is>
      </c>
      <c r="J24" s="44" t="inlineStr">
        <is>
          <t>100%</t>
        </is>
      </c>
      <c r="K24" s="46" t="inlineStr">
        <is>
          <t>Sugerida por la OAP: componente de comunicación de la extensión incluido en el plan institucional 2025 a 2032 y 100% de lo programado para 2027 ejecutado</t>
        </is>
      </c>
      <c r="L24" s="44" t="inlineStr">
        <is>
          <t>Sugerida por la OAP.</t>
        </is>
      </c>
      <c r="M24" s="47" t="inlineStr">
        <is>
          <t>AC27.29. Posicionar la oferta de extensión con un componente propio dentro del Plan Estratégico de Comunicaciones y medición de su alcance.</t>
        </is>
      </c>
      <c r="N24" s="48" t="inlineStr">
        <is>
          <t>AC27.29, actividades:
1. Incluir el componente de comunicación de la extensión en el Plan Estratégico de Comunicaciones 2025 a 2032 (A27-070). Producto: componente aprobado.
2. Ejecutar las piezas y campañas de la oferta de extensión (A27-071). Producto: informe de ejecución.
3. Medir alcance y conversión (inscritos por campaña) (A27-072). Producto: informe de alcance.</t>
        </is>
      </c>
      <c r="O24" s="48" t="inlineStr">
        <is>
          <t>Comunicaciones y Mercadeo (100)
GIT Extensión y Proyección Social (incluye ETDH) (141)</t>
        </is>
      </c>
      <c r="P24" s="48" t="inlineStr">
        <is>
          <t>Sin presupuesto registrado en la matriz plurianual</t>
        </is>
      </c>
      <c r="Q24" s="48" t="inlineStr">
        <is>
          <t>Valor Público</t>
        </is>
      </c>
      <c r="R24" s="48" t="inlineStr">
        <is>
          <t>Impacto a actores (estudiantes, docentes, administrativos, egresados) y organizaciones (sector externo y sociedad en general) en valores.</t>
        </is>
      </c>
      <c r="S24" s="48" t="inlineStr">
        <is>
          <t>Porcentaje de actores que evidencian cambios significativos en sus valores y actitudes como consecuencia de las intervenciones institucionales.</t>
        </is>
      </c>
      <c r="T24" s="49" t="inlineStr">
        <is>
          <t>1. Lo que hacemos: 1 acción con 3 actividades (columnas M y N).
2. Lo que entregamos (productos): componente aprobado; informe de ejecución; informe de alcance.
3. Lo que cambia pronto (resultado): la oferta de extensión tiene campañas propias y su alcance se mide.
4. La transformación que buscamos (impacto): los públicos externos conocen la oferta de extensión y eso se refleja en más inscritos y en mejor percepción de la Escuela.
5. Tipo de impacto según la guía: externo.</t>
        </is>
      </c>
      <c r="U24" s="49" t="inlineStr">
        <is>
          <t>Crece el número de inscritos atribuible a las campañas y mejora la percepción de los públicos externos sobre la ETITC.
Indicador de la guía con que se mide: porcentaje de actores que evidencian cambios significativos en sus valores y actitudes como consecuencia de las intervenciones institucionales.
Punto de comparación: la línea base de la meta (Plan Estratégico de Comunicaciones y Posicionamiento 2025 a 2032 institucional en ejecución (Contrato 350-2025); la extensión no tiene componente propio (RC 2025)) y, cuando el estudio lo permita, un grupo de referencia que no recibió la intervención.</t>
        </is>
      </c>
      <c r="V24" s="50" t="n">
        <v>1</v>
      </c>
      <c r="W24" s="50" t="n">
        <v>3</v>
      </c>
      <c r="X24" s="48" t="inlineStr">
        <is>
          <t>Dónde se ubica: eje 3, Extensión y proyección institucional, línea 3.3 Interacción con el sector productivo y social, meta 3.3.1.2 del PDI 2025 a 2032.
Qué cambió frente a 2026: se reorienta. Como no se creará la Vicerrectoría de Extensión, no habrá un plan propio de esa dependencia: la meta se cumple con un componente de comunicación de la extensión dentro del Plan Estratégico de Comunicaciones y Posicionamiento 2025 a 2032, a cargo de Comunicaciones con el GIT de Extensión.
Cómo se mide la meta: % de ejecución del componente de comunicación de la extensión dentro del plan institucional. Línea base: Plan Estratégico de Comunicaciones y Posicionamiento 2025 a 2032 institucional en ejecución (Contrato 350-2025); la extensión no tiene componente propio (RC 2025). Meta 2027: Sugerida por la OAP: componente de comunicación de la extensión incluido en el plan institucional 2025 a 2032 y 100% de lo programado para 2027 ejecutado.
Cómo se mide el impacto: porcentaje de actores que evidencian cambios significativos en sus valores y actitudes como consecuencia de las intervenciones institucionales. El indicador sale de la Guía Metodológica para la Evaluación de Impacto Institucional y se lee frente a la línea base.
Qué esperamos obtener: los públicos externos conocen la oferta de extensión y eso se refleja en más inscritos y en mejor percepción de la Escuela.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24" s="48" t="inlineStr">
        <is>
          <t>El enunciado del PDI menciona la vicerrectoría: se reporta como componente del plan institucional.</t>
        </is>
      </c>
    </row>
    <row r="25" ht="243.6" customHeight="1" s="23">
      <c r="A25" s="56" t="n"/>
      <c r="B25" s="53" t="n"/>
      <c r="C25" s="53" t="n"/>
      <c r="D25" s="53" t="n"/>
      <c r="E25" s="44" t="inlineStr">
        <is>
          <t>3.3.1.3. Establecer convenios y fortalecer redes de colaboración con sectores productivos, sociales y educativos, tanto públicos como privados.</t>
        </is>
      </c>
      <c r="F25" s="54" t="inlineStr">
        <is>
          <t>Se corrige</t>
        </is>
      </c>
      <c r="G25" s="44" t="inlineStr">
        <is>
          <t>Se recodifica (el 2026 la tenía como 3.1.1.3 dentro de la línea 3.3).</t>
        </is>
      </c>
      <c r="H25" s="44" t="inlineStr">
        <is>
          <t>N.° de convenios y redes activos</t>
        </is>
      </c>
      <c r="I25" s="44" t="inlineStr">
        <is>
          <t>71 convenios activos en 2025 (31 marco nacionales, 22 específicos nacionales, 12 marco internacionales, 1 específico internacional, 5 administrativos) (RC 2025)</t>
        </is>
      </c>
      <c r="J25" s="44" t="inlineStr">
        <is>
          <t>Sugerida por la OAP: 90 convenios activos</t>
        </is>
      </c>
      <c r="K25" s="46" t="inlineStr">
        <is>
          <t>Sugerida por la OAP: 75 convenios activos, renovación de los que vencen y 4 nuevos, y 2 redes nuevas</t>
        </is>
      </c>
      <c r="L25" s="44" t="inlineStr">
        <is>
          <t>Sugerida por la OAP.</t>
        </is>
      </c>
      <c r="M25" s="47" t="inlineStr">
        <is>
          <t>AC27.30. Depurar, renovar y ampliar los convenios y las redes de colaboración, de modo que cada convenio vigente tenga uso real.</t>
        </is>
      </c>
      <c r="N25" s="48" t="inlineStr">
        <is>
          <t>AC27.30, actividades:
1. Revisar el vencimiento y el uso de los 71 convenios activos (A27-073). Producto: matriz de convenios con estado.
2. Renovar los convenios útiles que vencen y gestionar 4 nuevos (A27-074). Producto: convenios suscritos.
3. Afiliarse a 2 redes nuevas (por ejemplo, RIUC y renovación RCI ASCUN) (A27-075). Producto: actas de afiliación.</t>
        </is>
      </c>
      <c r="O25" s="48" t="inlineStr">
        <is>
          <t>GIT Extensión y Proyección Social (incluye ETDH) (141)
Internacionalización (ORII) (100)</t>
        </is>
      </c>
      <c r="P25" s="48" t="inlineStr">
        <is>
          <t>Sin presupuesto registrado en la matriz plurianual</t>
        </is>
      </c>
      <c r="Q25" s="48" t="inlineStr">
        <is>
          <t>Sector Productivo</t>
        </is>
      </c>
      <c r="R25" s="48" t="inlineStr">
        <is>
          <t>Contribución al desarrollo social y comunitario, económico, sostenibilidad ambiental, sector educativo, sector productivo y industrial, desarrollo tecnológico, nacional e internacional.</t>
        </is>
      </c>
      <c r="S25" s="48" t="inlineStr">
        <is>
          <t>Tasas de productividad y competitividad después del proyecto.
Cantidad de grupos comunitarios establecidos o fortalecidos como resultado del proyecto.</t>
        </is>
      </c>
      <c r="T25" s="49" t="inlineStr">
        <is>
          <t>1. Lo que hacemos: 1 acción con 3 actividades (columnas M y N).
2. Lo que entregamos (productos): matriz de convenios con estado; convenios suscritos; actas de afiliación.
3. Lo que cambia pronto (resultado): los convenios quedan depurados, los útiles se renuevan y se suman convenios y redes nuevas.
4. La transformación que buscamos (impacto): los convenios se traducen en proyectos con efectos medibles en la productividad de las organizaciones y en las comunidades.
5. Tipo de impacto según la guía: externo.</t>
        </is>
      </c>
      <c r="U25" s="49" t="inlineStr">
        <is>
          <t>Aumenta el número de convenios con proyectos ejecutados y con mejoras verificables en productividad o en fortalecimiento comunitario.
Indicador de la guía con que se mide: tasas de productividad y competitividad después del proyecto.
Punto de comparación: la línea base de la meta (71 convenios activos en 2025 (31 marco nacionales, 22 específicos nacionales, 12 marco internacionales, 1 específico internacional, 5 administrativos) (RC 2025)) y, cuando el estudio lo permita, un grupo de referencia que no recibió la intervención.</t>
        </is>
      </c>
      <c r="V25" s="50" t="n">
        <v>1</v>
      </c>
      <c r="W25" s="50" t="n">
        <v>3</v>
      </c>
      <c r="X25" s="48" t="inlineStr">
        <is>
          <t>Dónde se ubica: eje 3, Extensión y proyección institucional, línea 3.3 Interacción con el sector productivo y social, meta 3.3.1.3 del PDI 2025 a 2032.
Qué cambió frente a 2026: se corrige. Se recodifica (el 2026 la tenía como 3.1.1.3 dentro de la línea 3.3).
Cómo se mide la meta: N.° de convenios y redes activos. Línea base: 71 convenios activos en 2025 (31 marco nacionales, 22 específicos nacionales, 12 marco internacionales, 1 específico internacional, 5 administrativos) (RC 2025). Meta 2027: Sugerida por la OAP: 75 convenios activos, renovación de los que vencen y 4 nuevos, y 2 redes nuevas.
Cómo se mide el impacto: tasas de productividad y competitividad después del proyecto. El indicador sale de la Guía Metodológica para la Evaluación de Impacto Institucional y se lee frente a la línea base.
Qué esperamos obtener: los convenios se traducen en proyectos con efectos medibles en la productividad de las organizaciones y en las comunidades.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25" s="48" t="inlineStr">
        <is>
          <t>Sin alertas.</t>
        </is>
      </c>
    </row>
    <row r="26" ht="230.4" customHeight="1" s="23">
      <c r="A26" s="43" t="inlineStr">
        <is>
          <t>4. Transformación institucional</t>
        </is>
      </c>
      <c r="B26" s="44" t="inlineStr">
        <is>
          <t>4. Pensar la ETITC mediante el desarrollo de sus horizontes de sentido, para que la comunidad contribuya en la transformación de vida de los integrantes de la institución, la sociedad y el planeta.</t>
        </is>
      </c>
      <c r="C26" s="44" t="inlineStr">
        <is>
          <t>4.1 Dimensión estratégica</t>
        </is>
      </c>
      <c r="D26" s="44" t="inlineStr">
        <is>
          <t>4.1.1. Consolidar las capacidades institucionales para soportar su posicionamiento como universidad tecnológica de alta calidad.</t>
        </is>
      </c>
      <c r="E26" s="44" t="inlineStr">
        <is>
          <t>4.1.1.1. Cumplir al 2032 con el 90% en el Plan de Desarrollo Institucional 2025 a 2032 de la ETITC.</t>
        </is>
      </c>
      <c r="F26" s="45" t="inlineStr">
        <is>
          <t>Se mantiene</t>
        </is>
      </c>
      <c r="G26" s="44" t="inlineStr">
        <is>
          <t>Se mantiene. El «cambio de carácter a universidad» (4.1.1.4 en 2026) sale como meta y queda como hito transversal.</t>
        </is>
      </c>
      <c r="H26" s="44" t="inlineStr">
        <is>
          <t>% de avance acumulado del PDI</t>
        </is>
      </c>
      <c r="I26" s="44" t="inlineStr">
        <is>
          <t>22% de avance acumulado previsto a 2026 (MPI); cumplimiento del plan de acción 2025: 70,7% (RC 2025)</t>
        </is>
      </c>
      <c r="J26" s="44" t="inlineStr">
        <is>
          <t>90%</t>
        </is>
      </c>
      <c r="K26" s="46" t="inlineStr">
        <is>
          <t>33% de avance acumulado del PDI</t>
        </is>
      </c>
      <c r="L26" s="44" t="inlineStr">
        <is>
          <t>MPI</t>
        </is>
      </c>
      <c r="M26" s="47" t="inlineStr">
        <is>
          <t>AC27.31. Fortalecer el seguimiento del PDI para que el avance reportado corresponda a productos pertinentes y verificables.
AC27.32. Adelantar los trámites de transformación de la ETITC en universidad.</t>
        </is>
      </c>
      <c r="N26" s="48" t="inlineStr">
        <is>
          <t>AC27.31, actividades:
1. Adoptar el protocolo de mesas de trabajo en el SGC (A27-076). Producto: procedimiento adoptado.
2. Extender la revisión de pertinencia a todos los productos ejecutados (A27-077). Producto: matriz de aprobación.
3. Hacer seguimiento trimestral del PAA 2027 en el Navegador Estratégico (A27-078). Producto: informes trimestrales.
AC27.32, actividades:
1. Adelantar los trámites de transformación a universidad (Ley 30 de 1992, Ley 749 de 2002) (A27-079). Producto: expediente radicado.</t>
        </is>
      </c>
      <c r="O26" s="48" t="inlineStr">
        <is>
          <t>Planeación y Plan de Acción (101)
Despacho de Rectoría (100)</t>
        </is>
      </c>
      <c r="P26" s="48" t="inlineStr">
        <is>
          <t>Sin presupuesto registrado en la matriz plurianual</t>
        </is>
      </c>
      <c r="Q26" s="48" t="inlineStr">
        <is>
          <t>Académica</t>
        </is>
      </c>
      <c r="R26" s="48" t="inlineStr">
        <is>
          <t>Cambios en la cultura institucional (incluida la cultura de la calidad).
Impacto en las labores sustantivas: docencia y formación, investigación e innovación, extensión y proyección social.</t>
        </is>
      </c>
      <c r="S26" s="48" t="inlineStr">
        <is>
          <t>Tasa de adopción de nuevos procesos atribuible a la implementación del sistema de calidad.
Cantidad de procesos académicos y académico administrativos que mejoran.</t>
        </is>
      </c>
      <c r="T26" s="49" t="inlineStr">
        <is>
          <t>1. Lo que hacemos: 2 acciones con 4 actividades (columnas M y N).
2. Lo que entregamos (productos): procedimiento adoptado; matriz de aprobación; informes trimestrales; expediente radicado.
3. Lo que cambia pronto (resultado): el seguimiento del PDI reporta productos pertinentes y verificables, y avanzan los trámites de transformación en universidad.
4. La transformación que buscamos (impacto): la planeación se convierte en práctica institucional: procesos nuevos adoptados y mejoras verificables en la gestión.
5. Tipo de impacto según la guía: interno.</t>
        </is>
      </c>
      <c r="U26" s="49" t="inlineStr">
        <is>
          <t>Crece la tasa de adopción de procesos nuevos y el avance acumulado del PDI llega al 33% en 2027 con evidencias validadas.
Indicador de la guía con que se mide: tasa de adopción de nuevos procesos atribuible a la implementación del sistema de calidad.
Punto de comparación: la línea base de la meta (22% de avance acumulado previsto a 2026 (MPI); cumplimiento del plan de acción 2025: 70,7% (RC 2025)) y, cuando el estudio lo permita, un grupo de referencia que no recibió la intervención.</t>
        </is>
      </c>
      <c r="V26" s="50" t="n">
        <v>2</v>
      </c>
      <c r="W26" s="50" t="n">
        <v>4</v>
      </c>
      <c r="X26" s="48" t="inlineStr">
        <is>
          <t>Dónde se ubica: eje 4, Transformación institucional, línea 4.1 Dimensión estratégica, meta 4.1.1.1 del PDI 2025 a 2032.
Qué cambió frente a 2026: se mantiene. Se mantiene. El «cambio de carácter a universidad» (4.1.1.4 en 2026) sale como meta y queda como hito transversal.
Cómo se mide la meta: % de avance acumulado del PDI. Línea base: 22% de avance acumulado previsto a 2026 (MPI); cumplimiento del plan de acción 2025: 70,7% (RC 2025). Meta 2027: 33% de avance acumulado del PDI.
Cómo se mide el impacto: tasa de adopción de nuevos procesos atribuible a la implementación del sistema de calidad. El indicador sale de la Guía Metodológica para la Evaluación de Impacto Institucional y se lee frente a la línea base.
Qué esperamos obtener: la planeación se convierte en práctica institucional: procesos nuevos adoptados y mejoras verificables en la gestión.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26" s="48" t="inlineStr">
        <is>
          <t>Sin alertas.</t>
        </is>
      </c>
    </row>
    <row r="27" ht="230.4" customHeight="1" s="23">
      <c r="A27" s="51" t="n"/>
      <c r="B27" s="52" t="n"/>
      <c r="C27" s="52" t="n"/>
      <c r="D27" s="52" t="n"/>
      <c r="E27" s="44" t="inlineStr">
        <is>
          <t>4.1.1.2. Alcanzar el 92% en el Índice de Desempeño Institucional del FURAG.</t>
        </is>
      </c>
      <c r="F27" s="45" t="inlineStr">
        <is>
          <t>Se mantiene</t>
        </is>
      </c>
      <c r="G27" s="44" t="inlineStr">
        <is>
          <t>Se mantiene. Se agregan las acciones del Plan de Mejoramiento con la CGR y las debilidades del ECIC.</t>
        </is>
      </c>
      <c r="H27" s="44" t="inlineStr">
        <is>
          <t>Índice de Desempeño Institucional (FURAG)</t>
        </is>
      </c>
      <c r="I27" s="44" t="inlineStr">
        <is>
          <t>87,73% en 2024 (88,24% en 2022 y 87,10% en 2023) (RC 2025)</t>
        </is>
      </c>
      <c r="J27" s="44" t="inlineStr">
        <is>
          <t>92%</t>
        </is>
      </c>
      <c r="K27" s="46" t="inlineStr">
        <is>
          <t>Sugerida por la OAP: 90%, la trayectoria lineal de 87,7% en 2024 a 92% en 2032 da 89,3% en 2027,</t>
        </is>
      </c>
      <c r="L27" s="44" t="inlineStr">
        <is>
          <t>Sugerida por la OAP. Las dos versiones de la MPI dicen 89% y 92%.</t>
        </is>
      </c>
      <c r="M27" s="47" t="inlineStr">
        <is>
          <t>AC27.33. Mejorar el desempeño institucional en el FURAG con un plan de mejora por política del MIPG y el cumplimiento del plan suscrito con la Contraloría.
AC27.34. Ordenar la gestión financiera y contable con cierres oportunos, indicadores propios, procedimientos documentados y capacitación.</t>
        </is>
      </c>
      <c r="N27" s="48" t="inlineStr">
        <is>
          <t>AC27.33, actividades:
1. Formular el plan de mejora por política MIPG con base en el último FURAG (A27-080). Producto: plan de mejora.
2. Ejecutar el Plan de Mejoramiento con la CGR (7 hallazgos, 24 metas) (A27-082). Producto: avance del plan reportado.
AC27.34, actividades:
1. Fijar calendario de cierre con corte único y constituir el rezago a tiempo (A27-081). Producto: calendario y resolución de rezago.
2. Formular indicadores financieros y contables (razón corriente, margen, rotación de cartera) (A27-083). Producto: indicadores en el PAA.
3. Documentar y codificar los procedimientos de gratuidad (A27-084). Producto: procedimientos en el SGC.
4. Incluir capacitación contable en el Plan Institucional de Capacitación (A27-085). Producto: PIC 2027.</t>
        </is>
      </c>
      <c r="O27" s="48" t="inlineStr">
        <is>
          <t>Aseguramiento de la Calidad, MIPG y Registros Calificados (101)
Gestión Financiera (Presupuesto, Contabilidad, Tesorería) (130)
Despacho de la Vicerrectoría Administrativa y Financiera (130)
GIT Talento Humano (133)</t>
        </is>
      </c>
      <c r="P27" s="48" t="inlineStr">
        <is>
          <t>Sin presupuesto registrado en la matriz plurianual</t>
        </is>
      </c>
      <c r="Q27" s="48" t="inlineStr">
        <is>
          <t>Académica</t>
        </is>
      </c>
      <c r="R27" s="48" t="inlineStr">
        <is>
          <t>Cambios en la cultura institucional (incluida la cultura de la calidad).</t>
        </is>
      </c>
      <c r="S27" s="48" t="inlineStr">
        <is>
          <t>Tasa de adopción de nuevos procesos atribuible a la implementación del sistema de calidad.
Porcentaje de la comunidad académica satisfecha con el clima laboral después de la implementación del sistema de calidad.</t>
        </is>
      </c>
      <c r="T27" s="49" t="inlineStr">
        <is>
          <t>1. Lo que hacemos: 2 acciones con 6 actividades (columnas M y N).
2. Lo que entregamos (productos): plan de mejora; avance del plan reportado; calendario y resolución de rezago; indicadores en el PAA; procedimientos en el SGC; PIC 2027.
3. Lo que cambia pronto (resultado): la Escuela cumple su plan de mejora del MIPG y el plan con la Contraloría, y ordena su gestión financiera.
4. La transformación que buscamos (impacto): la Escuela adopta procesos de gestión más eficientes y transparentes, y eso se refleja en el clima laboral y en la confianza de los entes de control.
5. Tipo de impacto según la guía: interno.</t>
        </is>
      </c>
      <c r="U27" s="49" t="inlineStr">
        <is>
          <t>El Índice de Desempeño Institucional supera el 87,73% de 2024, disminuyen los hallazgos de control y mejora la satisfacción con el clima laboral.
Indicador de la guía con que se mide: tasa de adopción de nuevos procesos atribuible a la implementación del sistema de calidad.
Punto de comparación: la línea base de la meta (87,73% en 2024 (88,24% en 2022 y 87,10% en 2023) (RC 2025)) y, cuando el estudio lo permita, un grupo de referencia que no recibió la intervención.</t>
        </is>
      </c>
      <c r="V27" s="50" t="n">
        <v>2</v>
      </c>
      <c r="W27" s="50" t="n">
        <v>6</v>
      </c>
      <c r="X27" s="48" t="inlineStr">
        <is>
          <t>Dónde se ubica: eje 4, Transformación institucional, línea 4.1 Dimensión estratégica, meta 4.1.1.2 del PDI 2025 a 2032.
Qué cambió frente a 2026: se mantiene. Se mantiene. Se agregan las acciones del Plan de Mejoramiento con la CGR y las debilidades del ECIC.
Cómo se mide la meta: Índice de Desempeño Institucional (FURAG). Línea base: 87,73% en 2024 (88,24% en 2022 y 87,10% en 2023) (RC 2025). Meta 2027: Sugerida por la OAP: 90%, la trayectoria lineal de 87,7% en 2024 a 92% en 2032 da 89,3% en 2027,.
Cómo se mide el impacto: tasa de adopción de nuevos procesos atribuible a la implementación del sistema de calidad. El indicador sale de la Guía Metodológica para la Evaluación de Impacto Institucional y se lee frente a la línea base.
Qué esperamos obtener: la Escuela adopta procesos de gestión más eficientes y transparentes, y eso se refleja en el clima laboral y en la confianza de los entes de control.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27" s="48" t="inlineStr">
        <is>
          <t>Las dos versiones de la MPI difieren (92% frente a 89%) y la más reciente supera el 92% antes de 2032.</t>
        </is>
      </c>
    </row>
    <row r="28" ht="283.2" customHeight="1" s="23">
      <c r="A28" s="51" t="n"/>
      <c r="B28" s="52" t="n"/>
      <c r="C28" s="53" t="n"/>
      <c r="D28" s="53" t="n"/>
      <c r="E28" s="44" t="inlineStr">
        <is>
          <t>4.1.1.3. Lograr la renovación de la acreditación institucional a 8 años.</t>
        </is>
      </c>
      <c r="F28" s="55" t="inlineStr">
        <is>
          <t>Se reformula</t>
        </is>
      </c>
      <c r="G28" s="44" t="inlineStr">
        <is>
          <t>Hito cumplido en 2026: la ETITC obtuvo la acreditación institucional. Para 2027 la meta pasa a «mantener la acreditación»: ejecutar el plan de mejoramiento derivado de la evaluación y preparar la renovación.</t>
        </is>
      </c>
      <c r="H28" s="44" t="inlineStr">
        <is>
          <t>Acreditación institucional vigente y % de ejecución del plan de mejoramiento institucional</t>
        </is>
      </c>
      <c r="I28" s="44" t="inlineStr">
        <is>
          <t>Acreditación institucional en alta calidad obtenida en 2026; 1 visita de evaluación con fines de acreditación institucional en 2025 (RC 2025)</t>
        </is>
      </c>
      <c r="J28" s="44" t="inlineStr">
        <is>
          <t>Renovación a 8 años</t>
        </is>
      </c>
      <c r="K28" s="46" t="inlineStr">
        <is>
          <t>Sugerida por la OAP: 100% de las acciones del plan de mejoramiento institucional programadas para 2027 ejecutadas y sistema de seguimiento a las condiciones de calidad operando</t>
        </is>
      </c>
      <c r="L28" s="44" t="inlineStr">
        <is>
          <t>Sugerida por la OAP.</t>
        </is>
      </c>
      <c r="M28" s="47" t="inlineStr">
        <is>
          <t>AC27.35. Sostener la acreditación institucional mediante el plan de mejoramiento derivado de las recomendaciones del CNA y su seguimiento semestral.
AC27.36. Divulgar la acreditación institucional ante la comunidad y los públicos externos.</t>
        </is>
      </c>
      <c r="N28" s="48" t="inlineStr">
        <is>
          <t>AC27.35, actividades:
1. Formular el plan de mejoramiento institucional derivado de las recomendaciones del CNA (A27-086). Producto: plan aprobado.
2. Ejecutar y hacer seguimiento semestral al plan de mejoramiento (A27-087). Producto: informes semestrales.
3. Cerrar los productos vencidos de Autoevaluación (32 al 2 de septiembre de 2026) (A27-089). Producto: productos reprogramados.
AC27.36, actividades:
1. Divulgar la acreditación institucional (estrategia de divulgación) (A27-088). Producto: piezas y alcance.</t>
        </is>
      </c>
      <c r="O28" s="48" t="inlineStr">
        <is>
          <t>Autoevaluación y Acreditación (101)
Comunicaciones y Mercadeo (100)</t>
        </is>
      </c>
      <c r="P28" s="48" t="inlineStr">
        <is>
          <t>Sin presupuesto registrado en la matriz plurianual</t>
        </is>
      </c>
      <c r="Q28" s="48" t="inlineStr">
        <is>
          <t>Académica</t>
        </is>
      </c>
      <c r="R28" s="48" t="inlineStr">
        <is>
          <t>Cambios en la cultura institucional (incluida la cultura de la calidad).
Cambios curriculares y mejoramiento de programas</t>
        </is>
      </c>
      <c r="S28" s="48" t="inlineStr">
        <is>
          <t>Tasa de adopción de nuevos procesos atribuible a la implementación del sistema de calidad.
Resultados del valor agregado (diferencia entre el desarrollo de competencias antes de ingresar a la Escuela y lo que demuestra al egresar).</t>
        </is>
      </c>
      <c r="T28" s="49" t="inlineStr">
        <is>
          <t>1. Lo que hacemos: 2 acciones con 4 actividades (columnas M y N).
2. Lo que entregamos (productos): plan aprobado; informes semestrales; productos reprogramados; piezas y alcance.
3. Lo que cambia pronto (resultado): el plan de mejoramiento institucional se ejecuta con seguimiento semestral y la acreditación se divulga.
4. La transformación que buscamos (impacto): la cultura de la calidad se mantiene después de la acreditación y se ve en procesos que mejoran.
5. Tipo de impacto según la guía: interno.</t>
        </is>
      </c>
      <c r="U28" s="49" t="inlineStr">
        <is>
          <t>Aumenta la tasa de adopción de procesos de calidad y mejoran los resultados de valor agregado de los estudiantes.
Indicador de la guía con que se mide: tasa de adopción de nuevos procesos atribuible a la implementación del sistema de calidad.
Punto de comparación: la línea base de la meta (Acreditación institucional en alta calidad obtenida en 2026; 1 visita de evaluación con fines de acreditación institucional en 2025 (RC 2025)) y, cuando el estudio lo permita, un grupo de referencia que no recibió la intervención.</t>
        </is>
      </c>
      <c r="V28" s="50" t="n">
        <v>2</v>
      </c>
      <c r="W28" s="50" t="n">
        <v>4</v>
      </c>
      <c r="X28" s="48" t="inlineStr">
        <is>
          <t>Dónde se ubica: eje 4, Transformación institucional, línea 4.1 Dimensión estratégica, meta 4.1.1.3 del PDI 2025 a 2032.
Qué cambió frente a 2026: se reformula. Hito cumplido en 2026: la ETITC obtuvo la acreditación institucional. Para 2027 la meta pasa a «mantener la acreditación»: ejecutar el plan de mejoramiento derivado de la evaluación y preparar la renovación.
Cómo se mide la meta: Acreditación institucional vigente y % de ejecución del plan de mejoramiento institucional. Línea base: Acreditación institucional en alta calidad obtenida en 2026; 1 visita de evaluación con fines de acreditación institucional en 2025 (RC 2025). Meta 2027: Sugerida por la OAP: 100% de las acciones del plan de mejoramiento institucional programadas para 2027 ejecutadas y sistema de seguimiento a las condiciones de calidad operando.
Cómo se mide el impacto: tasa de adopción de nuevos procesos atribuible a la implementación del sistema de calidad. El indicador sale de la Guía Metodológica para la Evaluación de Impacto Institucional y se lee frente a la línea base.
Qué esperamos obtener: la cultura de la calidad se mantiene después de la acreditación y se ve en procesos que mejoran.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28" s="48" t="inlineStr">
        <is>
          <t>Registrar en el plan el número de años otorgado por la resolución de acreditación.</t>
        </is>
      </c>
    </row>
    <row r="29" ht="243.6" customHeight="1" s="23">
      <c r="A29" s="51" t="n"/>
      <c r="B29" s="52" t="n"/>
      <c r="C29" s="44" t="inlineStr">
        <is>
          <t>4.2 Arquitectura institucional</t>
        </is>
      </c>
      <c r="D29" s="44" t="inlineStr">
        <is>
          <t>4.2.1. Contar con una arquitectura institucional que garantice la gobernanza, efectividad y fluida comunicación entre todas las áreas de la Institución.</t>
        </is>
      </c>
      <c r="E29" s="44" t="inlineStr">
        <is>
          <t>4.2.1.1. Contar con el 100% de la estructura organizacional académica y administrativa operando.</t>
        </is>
      </c>
      <c r="F29" s="54" t="inlineStr">
        <is>
          <t>Se corrige</t>
        </is>
      </c>
      <c r="G29" s="44" t="inlineStr">
        <is>
          <t>Se recodifica (el 2026 la tenía como 4.2.1.2). Recibe la formalización laboral (Decreto 391 de 2025), que el 2026 tenía en la línea 1.5.</t>
        </is>
      </c>
      <c r="H29" s="44" t="inlineStr">
        <is>
          <t>% de la estructura organizacional aprobada y operando</t>
        </is>
      </c>
      <c r="I29" s="44" t="inlineStr">
        <is>
          <t>Estructura del Decreto 902 de 2013 con 17 dependencias y GIT de la Resolución 215 de 2022; 124 cargos en el plan de formalización (75 docentes y 49 administrativos) (MPI)</t>
        </is>
      </c>
      <c r="J29" s="44" t="inlineStr">
        <is>
          <t>100%</t>
        </is>
      </c>
      <c r="K29" s="46" t="inlineStr">
        <is>
          <t>15 docentes de tiempo completo y 10 administrativos vinculados por formalización</t>
        </is>
      </c>
      <c r="L29" s="44" t="inlineStr">
        <is>
          <t>MPI</t>
        </is>
      </c>
      <c r="M29" s="47" t="inlineStr">
        <is>
          <t>AC27.37. Ajustar la estructura organizacional a la operación real de la Escuela y avanzar en la formalización laboral.</t>
        </is>
      </c>
      <c r="N29" s="48" t="inlineStr">
        <is>
          <t>AC27.37, actividades:
1. Elaborar el estudio técnico de rediseño institucional para el cambio de carácter (A27-090). Producto: estudio técnico.
2. Definir quién ejerce la jefatura de Control Interno, para que la Escuela pueda suscribir la evaluación del control interno contable (A27-091). Producto: acto administrativo.
3. Vincular 15 docentes de tiempo completo y 10 administrativos (formalización laboral) (A27-092). Producto: actos de vinculación.</t>
        </is>
      </c>
      <c r="O29" s="48" t="inlineStr">
        <is>
          <t>Planeación y Plan de Acción (101)
Despacho de Rectoría (100)
GIT Talento Humano (133)</t>
        </is>
      </c>
      <c r="P29" s="48" t="inlineStr">
        <is>
          <t>A27-092: 3.024 (MPI, docentes)</t>
        </is>
      </c>
      <c r="Q29" s="48" t="inlineStr">
        <is>
          <t>Académica</t>
        </is>
      </c>
      <c r="R29" s="48" t="inlineStr">
        <is>
          <t>Cambios en la cultura institucional (incluida la cultura de la calidad).
Impacto en las labores sustantivas: docencia y formación, investigación e innovación, extensión y proyección social.</t>
        </is>
      </c>
      <c r="S29" s="48" t="inlineStr">
        <is>
          <t>Porcentaje de la comunidad académica satisfecha con el clima laboral después de la implementación del sistema de calidad.
Cantidad de procesos académicos y académico administrativos que mejoran.</t>
        </is>
      </c>
      <c r="T29" s="49" t="inlineStr">
        <is>
          <t>1. Lo que hacemos: 1 acción con 3 actividades (columnas M y N).
2. Lo que entregamos (productos): estudio técnico; acto administrativo; actos de vinculación.
3. Lo que cambia pronto (resultado): la estructura organizacional se ajusta a la operación y se vinculan 15 docentes de tiempo completo y 10 administrativos.
4. La transformación que buscamos (impacto): la estructura y la planta responden a la operación real y mejoran el clima laboral y la calidad del servicio.
5. Tipo de impacto según la guía: interno.</t>
        </is>
      </c>
      <c r="U29" s="49" t="inlineStr">
        <is>
          <t>Mejora la satisfacción con el clima laboral y crece el número de procesos que mejoran tras la formalización.
Indicador de la guía con que se mide: porcentaje de la comunidad académica satisfecha con el clima laboral después de la implementación del sistema de calidad.
Punto de comparación: la línea base de la meta (Estructura del Decreto 902 de 2013 con 17 dependencias y GIT de la Resolución 215 de 2022; 124 cargos en el plan de formalización (75 docentes y 49 administrativos) (MPI)) y, cuando el estudio lo permita, un grupo de referencia que no recibió la intervención.</t>
        </is>
      </c>
      <c r="V29" s="50" t="n">
        <v>1</v>
      </c>
      <c r="W29" s="50" t="n">
        <v>3</v>
      </c>
      <c r="X29" s="48" t="inlineStr">
        <is>
          <t>Dónde se ubica: eje 4, Transformación institucional, línea 4.2 Arquitectura institucional, meta 4.2.1.1 del PDI 2025 a 2032.
Qué cambió frente a 2026: se corrige. Se recodifica (el 2026 la tenía como 4.2.1.2). Recibe la formalización laboral (Decreto 391 de 2025), que el 2026 tenía en la línea 1.5.
Cómo se mide la meta: % de la estructura organizacional aprobada y operando. Línea base: Estructura del Decreto 902 de 2013 con 17 dependencias y GIT de la Resolución 215 de 2022; 124 cargos en el plan de formalización (75 docentes y 49 administrativos) (MPI). Meta 2027: 15 docentes de tiempo completo y 10 administrativos vinculados por formalización.
Cómo se mide el impacto: porcentaje de la comunidad académica satisfecha con el clima laboral después de la implementación del sistema de calidad. El indicador sale de la Guía Metodológica para la Evaluación de Impacto Institucional y se lee frente a la línea base.
Qué esperamos obtener: la estructura y la planta responden a la operación real y mejoran el clima laboral y la calidad del servicio.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29" s="48" t="inlineStr">
        <is>
          <t>Sin alertas.</t>
        </is>
      </c>
    </row>
    <row r="30" ht="296.4" customHeight="1" s="23">
      <c r="A30" s="51" t="n"/>
      <c r="B30" s="52" t="n"/>
      <c r="C30" s="52" t="n"/>
      <c r="D30" s="52" t="n"/>
      <c r="E30" s="44" t="inlineStr">
        <is>
          <t>4.2.1.2. Contar con un (1) sistema de información estratégico.</t>
        </is>
      </c>
      <c r="F30" s="55" t="inlineStr">
        <is>
          <t>Se reformula</t>
        </is>
      </c>
      <c r="G30" s="44" t="inlineStr">
        <is>
          <t>Hito prácticamente cumplido en 2026: el SIUE está en marcha. Para 2027 la meta pasa de «contar con» a «consolidar y usar»: integración de módulos, uso por todas las dependencias y una sola cifra oficial. Se recodifica (el 2026 la tenía como 4.2.1.1).</t>
        </is>
      </c>
      <c r="H30" s="44" t="inlineStr">
        <is>
          <t>Sistema de información estratégico operando y % de dependencias que reportan en él</t>
        </is>
      </c>
      <c r="I30" s="44" t="inlineStr">
        <is>
          <t>SIUE en marcha y prácticamente implementado al cierre de 2026 (confirmado por la OAP); Hoja de Ruta Power Apps y Navegador Estratégico en uso</t>
        </is>
      </c>
      <c r="J30" s="44" t="inlineStr">
        <is>
          <t>1 sistema</t>
        </is>
      </c>
      <c r="K30" s="46" t="inlineStr">
        <is>
          <t>Sugerida por la OAP: SIUE en operación plena: 100% de las dependencias reportando en él y 3 módulos integrados, Hoja de Ruta y Power BI, SNIES-HECAA y repositorio de evidencias,</t>
        </is>
      </c>
      <c r="L30" s="44" t="inlineStr">
        <is>
          <t>Sugerida por la OAP.</t>
        </is>
      </c>
      <c r="M30" s="47" t="inlineStr">
        <is>
          <t>AC27.38. Consolidar el SIUE como fuente única de información institucional, con módulos integrados y uso por todas las dependencias.
AC27.39. Garantizar una sola cifra oficial en los reportes externos, con reporte SNIES certificado, repositorio de soportes y verificación de consistencia.</t>
        </is>
      </c>
      <c r="N30" s="48" t="inlineStr">
        <is>
          <t>AC27.38, actividades:
1. Formalizar el cierre de la implementación del SIUE y su manual de uso (A27-093). Producto: acta de entrega y manual.
2. Integrar la Hoja de Ruta Power Apps con el SIUE (A27-094). Producto: integración operando.
AC27.39, actividades:
1. Completar el reporte SNIES en plantilla HECAA con certificación de veracidad (A27-095). Producto: reporte certificado.
2. Habilitar un repositorio de soportes de solo lectura para entes externos (A27-096). Producto: repositorio habilitado.
3. Verificar la consistencia de cifras entre MEN, SNIES, CGN y Congreso desde el SIUE (A27-097). Producto: acta de verificación.</t>
        </is>
      </c>
      <c r="O30" s="48" t="inlineStr">
        <is>
          <t>Gestión de Proyectos (101)
GIT Registro, Control y Admisiones (126)
GIT Informática y Telecomunicaciones (132)
Planeación y Plan de Acción (101)</t>
        </is>
      </c>
      <c r="P30" s="48" t="inlineStr">
        <is>
          <t>Sin presupuesto registrado en la matriz plurianual</t>
        </is>
      </c>
      <c r="Q30" s="48" t="inlineStr">
        <is>
          <t>Académica</t>
        </is>
      </c>
      <c r="R30" s="48" t="inlineStr">
        <is>
          <t>Cambios en la cultura institucional (incluida la cultura de la calidad).
Impacto en las labores sustantivas: docencia y formación, investigación e innovación, extensión y proyección social.</t>
        </is>
      </c>
      <c r="S30" s="48" t="inlineStr">
        <is>
          <t>Tasa de adopción de nuevos procesos atribuible a la implementación del sistema de calidad.
Cantidad de procesos académicos y académico administrativos que mejoran.</t>
        </is>
      </c>
      <c r="T30" s="49" t="inlineStr">
        <is>
          <t>1. Lo que hacemos: 2 acciones con 5 actividades (columnas M y N).
2. Lo que entregamos (productos): acta de entrega y manual; integración operando; reporte certificado; repositorio habilitado; acta de verificación.
3. Lo que cambia pronto (resultado): el SIUE opera con módulos integrados y todas las dependencias reportan en él.
4. La transformación que buscamos (impacto): las decisiones se toman con una sola cifra oficial y los reportes externos no se contradicen.
5. Tipo de impacto según la guía: interno.</t>
        </is>
      </c>
      <c r="U30" s="49" t="inlineStr">
        <is>
          <t>Desaparecen las diferencias de cifras entre MEN, SNIES, CGN y Congreso, y crece la adopción del sistema en las dependencias.
Indicador de la guía con que se mide: tasa de adopción de nuevos procesos atribuible a la implementación del sistema de calidad.
Punto de comparación: la línea base de la meta (SIUE en marcha y prácticamente implementado al cierre de 2026 (confirmado por la OAP); Hoja de Ruta Power Apps y Navegador Estratégico en uso) y, cuando el estudio lo permita, un grupo de referencia que no recibió la intervención.</t>
        </is>
      </c>
      <c r="V30" s="50" t="n">
        <v>2</v>
      </c>
      <c r="W30" s="50" t="n">
        <v>5</v>
      </c>
      <c r="X30" s="48" t="inlineStr">
        <is>
          <t>Dónde se ubica: eje 4, Transformación institucional, línea 4.2 Arquitectura institucional, meta 4.2.1.2 del PDI 2025 a 2032.
Qué cambió frente a 2026: se reformula. Hito prácticamente cumplido en 2026: el SIUE está en marcha. Para 2027 la meta pasa de «contar con» a «consolidar y usar»: integración de módulos, uso por todas las dependencias y una sola cifra oficial. Se recodifica (el 2026 la tenía como 4.2.1.1).
Cómo se mide la meta: Sistema de información estratégico operando y % de dependencias que reportan en él. Línea base: SIUE en marcha y prácticamente implementado al cierre de 2026 (confirmado por la OAP); Hoja de Ruta Power Apps y Navegador Estratégico en uso. Meta 2027: Sugerida por la OAP: SIUE en operación plena: 100% de las dependencias reportando en él y 3 módulos integrados, Hoja de Ruta y Power BI, SNIES-HECAA y repositorio de evidencias,.
Cómo se mide el impacto: tasa de adopción de nuevos procesos atribuible a la implementación del sistema de calidad. El indicador sale de la Guía Metodológica para la Evaluación de Impacto Institucional y se lee frente a la línea base.
Qué esperamos obtener: las decisiones se toman con una sola cifra oficial y los reportes externos no se contradicen.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30" s="48" t="inlineStr">
        <is>
          <t>Sin alertas.</t>
        </is>
      </c>
    </row>
    <row r="31" ht="243.6" customHeight="1" s="23">
      <c r="A31" s="51" t="n"/>
      <c r="B31" s="52" t="n"/>
      <c r="C31" s="53" t="n"/>
      <c r="D31" s="53" t="n"/>
      <c r="E31" s="44" t="inlineStr">
        <is>
          <t>4.2.1.3. Consolidar el IBTI como unidad autónoma y adscrita a la Institución con un programa de tránsito inmediato a la educación superior.</t>
        </is>
      </c>
      <c r="F31" s="58" t="inlineStr">
        <is>
          <t>Se reincorpora</t>
        </is>
      </c>
      <c r="G31" s="44" t="inlineStr">
        <is>
          <t>En 2026 compartía código con otra meta y no tuvo productos en la sábana vigente.</t>
        </is>
      </c>
      <c r="H31" s="44" t="inlineStr">
        <is>
          <t>IBTI consolidado como unidad adscrita (fase)</t>
        </is>
      </c>
      <c r="I31" s="44" t="inlineStr">
        <is>
          <t>IBTI adscrito a la Vicerrectoría Académica (2024, MPI, columna «Línea base 2024»)</t>
        </is>
      </c>
      <c r="J31" s="44" t="inlineStr">
        <is>
          <t>IBTI consolidado</t>
        </is>
      </c>
      <c r="K31" s="46" t="inlineStr">
        <is>
          <t>Currículos del IBTI y de los programas técnicos profesionales alineados; solicitud de adscripción ante el MEN</t>
        </is>
      </c>
      <c r="L31" s="44" t="inlineStr">
        <is>
          <t>MPI</t>
        </is>
      </c>
      <c r="M31" s="47" t="inlineStr">
        <is>
          <t>AC27.40. Consolidar el IBTI como unidad adscrita con tránsito inmediato a la educación superior, desde la alineación curricular hasta la aprobación ante el MEN.</t>
        </is>
      </c>
      <c r="N31" s="48" t="inlineStr">
        <is>
          <t>AC27.40, actividades:
1. Alinear los currículos del IBTI y de los programas técnicos profesionales (A27-098). Producto: currículos alineados.
2. Definir la propuesta de integración de estructuras (A27-099). Producto: propuesta aprobada.
3. Gestionar la aprobación de la adscripción ante el MEN (A27-100). Producto: solicitud radicada.</t>
        </is>
      </c>
      <c r="O31" s="48" t="inlineStr">
        <is>
          <t>IBTI (124)
Despacho de la Vicerrectoría Académica (120)</t>
        </is>
      </c>
      <c r="P31" s="48" t="inlineStr">
        <is>
          <t>Sin presupuesto registrado en la matriz plurianual</t>
        </is>
      </c>
      <c r="Q31" s="48" t="inlineStr">
        <is>
          <t>Valor Público</t>
        </is>
      </c>
      <c r="R31" s="48" t="inlineStr">
        <is>
          <t>Transformaciones del territorio (condiciones del desarrollo, especialmente de cobertura y pertinencia en la oferta educativa).
Cambios curriculares y mejoramiento de programas</t>
        </is>
      </c>
      <c r="S31" s="48" t="inlineStr">
        <is>
          <t>Porcentaje de jóvenes de la comunidad beneficiaria que se escolarizaron con la Institución.
Reducción en la tasa de deserción atribuible a la intervención.</t>
        </is>
      </c>
      <c r="T31" s="49" t="inlineStr">
        <is>
          <t>1. Lo que hacemos: 1 acción con 3 actividades (columnas M y N).
2. Lo que entregamos (productos): currículos alineados; propuesta aprobada; solicitud radicada.
3. Lo que cambia pronto (resultado): los currículos quedan alineados y la adscripción del IBTI se radica ante el MEN.
4. La transformación que buscamos (impacto): más jóvenes del IBTI ingresan a la educación superior y permanecen en ella.
5. Tipo de impacto según la guía: externo e interno.</t>
        </is>
      </c>
      <c r="U31" s="49" t="inlineStr">
        <is>
          <t>Aumentan la escolarización en la ETITC de los egresados del IBTI y la permanencia de esa cohorte.
Indicador de la guía con que se mide: porcentaje de jóvenes de la comunidad beneficiaria que se escolarizaron con la Institución.
Punto de comparación: la línea base de la meta (IBTI adscrito a la Vicerrectoría Académica (2024, MPI, columna «Línea base 2024»)) y, cuando el estudio lo permita, un grupo de referencia que no recibió la intervención.</t>
        </is>
      </c>
      <c r="V31" s="50" t="n">
        <v>1</v>
      </c>
      <c r="W31" s="50" t="n">
        <v>3</v>
      </c>
      <c r="X31" s="48" t="inlineStr">
        <is>
          <t>Dónde se ubica: eje 4, Transformación institucional, línea 4.2 Arquitectura institucional, meta 4.2.1.3 del PDI 2025 a 2032.
Qué cambió frente a 2026: se reincorpora. En 2026 compartía código con otra meta y no tuvo productos en la sábana vigente.
Cómo se mide la meta: IBTI consolidado como unidad adscrita (fase). Línea base: IBTI adscrito a la Vicerrectoría Académica (2024, MPI, columna «Línea base 2024»). Meta 2027: Currículos del IBTI y de los programas técnicos profesionales alineados; solicitud de adscripción ante el MEN.
Cómo se mide el impacto: porcentaje de jóvenes de la comunidad beneficiaria que se escolarizaron con la Institución. El indicador sale de la Guía Metodológica para la Evaluación de Impacto Institucional y se lee frente a la línea base.
Qué esperamos obtener: más jóvenes del IBTI ingresan a la educación superior y permanecen en ella.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31" s="48" t="inlineStr">
        <is>
          <t>Sin alertas.</t>
        </is>
      </c>
    </row>
    <row r="32" ht="230.4" customHeight="1" s="23">
      <c r="A32" s="51" t="n"/>
      <c r="B32" s="52" t="n"/>
      <c r="C32" s="44" t="inlineStr">
        <is>
          <t>4.3 Gestión de la comunidad educativa</t>
        </is>
      </c>
      <c r="D32" s="44" t="inlineStr">
        <is>
          <t>4.3.1. Consolidar un modelo de gestión de la [comunidad educativa] que posibilite a la institución como una universidad de alta calidad.</t>
        </is>
      </c>
      <c r="E32" s="44" t="inlineStr">
        <is>
          <t>4.3.1.1. Contar con un (1) sistema estratégico de desarrollo de la comunidad educativa.</t>
        </is>
      </c>
      <c r="F32" s="45" t="inlineStr">
        <is>
          <t>Se mantiene</t>
        </is>
      </c>
      <c r="G32" s="44" t="inlineStr">
        <is>
          <t>Se mantiene.</t>
        </is>
      </c>
      <c r="H32" s="44" t="inlineStr">
        <is>
          <t>Sistema estratégico de desarrollo de la comunidad educativa (fase)</t>
        </is>
      </c>
      <c r="I32" s="44" t="inlineStr">
        <is>
          <t>Diagnóstico del modelo de operación flexible en 2026 (MPI)</t>
        </is>
      </c>
      <c r="J32" s="44" t="inlineStr">
        <is>
          <t>1 sistema</t>
        </is>
      </c>
      <c r="K32" s="46" t="inlineStr">
        <is>
          <t>Modelo de operación flexible en funcionamiento</t>
        </is>
      </c>
      <c r="L32" s="44" t="inlineStr">
        <is>
          <t>MPI</t>
        </is>
      </c>
      <c r="M32" s="47" t="inlineStr">
        <is>
          <t>AC27.41. Poner en operación el modelo de operación flexible validado con la comunidad educativa y medir su adopción.</t>
        </is>
      </c>
      <c r="N32" s="48" t="inlineStr">
        <is>
          <t>AC27.41, actividades:
1. Validar el modelo de operación flexible con la comunidad educativa (A27-101). Producto: acta de validación.
2. Poner en operación el modelo y medir su adopción (A27-102). Producto: modelo adoptado e informe.</t>
        </is>
      </c>
      <c r="O32" s="48" t="inlineStr">
        <is>
          <t>Autoevaluación y Acreditación (101)</t>
        </is>
      </c>
      <c r="P32" s="48" t="inlineStr">
        <is>
          <t>Sin presupuesto registrado en la matriz plurianual</t>
        </is>
      </c>
      <c r="Q32" s="48" t="inlineStr">
        <is>
          <t>Académica</t>
        </is>
      </c>
      <c r="R32" s="48" t="inlineStr">
        <is>
          <t>Cambios curriculares y mejoramiento de programas
Cambios en la cultura institucional (incluida la cultura de la calidad).</t>
        </is>
      </c>
      <c r="S32" s="48" t="inlineStr">
        <is>
          <t>Nivel de percepción de trabajo colaborativo y construcción de comunidad académica de estudiantes y docentes como consecuencia de su participación en proyectos institucionales.
Porcentaje de la comunidad académica satisfecha con el clima laboral después de la implementación del sistema de calidad.</t>
        </is>
      </c>
      <c r="T32" s="49" t="inlineStr">
        <is>
          <t>1. Lo que hacemos: 1 acción con 2 actividades (columnas M y N).
2. Lo que entregamos (productos): acta de validación; modelo adoptado e informe.
3. Lo que cambia pronto (resultado): el modelo de operación flexible funciona y se conoce su nivel de adopción.
4. La transformación que buscamos (impacto): estudiantes y docentes trabajan de manera más colaborativa y se sienten parte de una comunidad académica.
5. Tipo de impacto según la guía: interno.</t>
        </is>
      </c>
      <c r="U32" s="49" t="inlineStr">
        <is>
          <t>Mejora el nivel de percepción de trabajo colaborativo y de comunidad académica en la encuesta institucional.
Indicador de la guía con que se mide: nivel de percepción de trabajo colaborativo y construcción de comunidad académica de estudiantes y docentes como consecuencia de su participación en proyectos institucionales.
Punto de comparación: la línea base de la meta (Diagnóstico del modelo de operación flexible en 2026 (MPI)) y, cuando el estudio lo permita, un grupo de referencia que no recibió la intervención.</t>
        </is>
      </c>
      <c r="V32" s="50" t="n">
        <v>1</v>
      </c>
      <c r="W32" s="50" t="n">
        <v>2</v>
      </c>
      <c r="X32" s="48" t="inlineStr">
        <is>
          <t>Dónde se ubica: eje 4, Transformación institucional, línea 4.3 Gestión de la comunidad educativa, meta 4.3.1.1 del PDI 2025 a 2032.
Qué cambió frente a 2026: se mantiene. Se mantiene.
Cómo se mide la meta: Sistema estratégico de desarrollo de la comunidad educativa (fase). Línea base: Diagnóstico del modelo de operación flexible en 2026 (MPI). Meta 2027: Modelo de operación flexible en funcionamiento.
Cómo se mide el impacto: nivel de percepción de trabajo colaborativo y construcción de comunidad académica de estudiantes y docentes como consecuencia de su participación en proyectos institucionales. El indicador sale de la Guía Metodológica para la Evaluación de Impacto Institucional y se lee frente a la línea base.
Qué esperamos obtener: estudiantes y docentes trabajan de manera más colaborativa y se sienten parte de una comunidad académica.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32" s="48" t="inlineStr">
        <is>
          <t>Sin alertas.</t>
        </is>
      </c>
    </row>
    <row r="33" ht="243.6" customHeight="1" s="23">
      <c r="A33" s="51" t="n"/>
      <c r="B33" s="52" t="n"/>
      <c r="C33" s="44" t="inlineStr">
        <is>
          <t>4.4 Relacionamiento dialógico</t>
        </is>
      </c>
      <c r="D33" s="44" t="inlineStr">
        <is>
          <t>4.4.1. Lograr el reconocimiento y posicionamiento de la institución como una universidad de alta calidad, a través de un efectivo relacionamiento con el ecosistema (Estado, empresa, academia, sociedad y medio ambiente).</t>
        </is>
      </c>
      <c r="E33" s="44" t="inlineStr">
        <is>
          <t>4.4.1.1. Posicionamiento en un indicador Top of Mind de universidades tecnológicas de carácter público en el país.</t>
        </is>
      </c>
      <c r="F33" s="45" t="inlineStr">
        <is>
          <t>Se mantiene</t>
        </is>
      </c>
      <c r="G33" s="44" t="inlineStr">
        <is>
          <t>Se mantiene.</t>
        </is>
      </c>
      <c r="H33" s="44" t="inlineStr">
        <is>
          <t>Posición en el indicador Top of Mind</t>
        </is>
      </c>
      <c r="I33" s="44" t="inlineStr">
        <is>
          <t>Sin medición de Top of Mind; Plan Estratégico de Comunicaciones y Posicionamiento 2025 a 2032 en ejecución (RC 2025)</t>
        </is>
      </c>
      <c r="J33" s="44" t="inlineStr">
        <is>
          <t>1 indicador</t>
        </is>
      </c>
      <c r="K33" s="46" t="inlineStr">
        <is>
          <t>Sugerida por la OAP: medición de línea base Top of Mind aplicada y plan de posicionamiento ejecutado al 100% de lo programado para 2027</t>
        </is>
      </c>
      <c r="L33" s="44" t="inlineStr">
        <is>
          <t>Sugerida por la OAP.</t>
        </is>
      </c>
      <c r="M33" s="47" t="inlineStr">
        <is>
          <t>AC27.42. Posicionar la marca ETITC con una medición de línea base y campañas de alcance nacional y regional.</t>
        </is>
      </c>
      <c r="N33" s="48" t="inlineStr">
        <is>
          <t>AC27.42, actividades:
1. Aplicar la medición de línea base de Top of Mind (A27-103). Producto: informe de medición.
2. Desarrollar campañas de branding con alcance nacional y regional (A27-104). Producto: informe de campañas y alcance.</t>
        </is>
      </c>
      <c r="O33" s="48" t="inlineStr">
        <is>
          <t>Comunicaciones y Mercadeo (100)</t>
        </is>
      </c>
      <c r="P33" s="48" t="inlineStr">
        <is>
          <t>Sin presupuesto registrado en la matriz plurianual</t>
        </is>
      </c>
      <c r="Q33" s="48" t="inlineStr">
        <is>
          <t>Valor Público</t>
        </is>
      </c>
      <c r="R33" s="48" t="inlineStr">
        <is>
          <t>Impacto a actores (estudiantes, docentes, administrativos, egresados) y organizaciones (sector externo y sociedad en general) en valores.</t>
        </is>
      </c>
      <c r="S33" s="48" t="inlineStr">
        <is>
          <t>Porcentaje de actores que evidencian cambios significativos en sus valores y actitudes como consecuencia de las intervenciones institucionales.</t>
        </is>
      </c>
      <c r="T33" s="49" t="inlineStr">
        <is>
          <t>1. Lo que hacemos: 1 acción con 2 actividades (columnas M y N).
2. Lo que entregamos (productos): informe de medición; informe de campañas y alcance.
3. Lo que cambia pronto (resultado): la Escuela conoce su posición de partida en Top of Mind y ejecuta campañas de marca.
4. La transformación que buscamos (impacto): la ETITC es reconocida por su calidad y ese reconocimiento se refleja en la demanda de cupos.
5. Tipo de impacto según la guía: externo.</t>
        </is>
      </c>
      <c r="U33" s="49" t="inlineStr">
        <is>
          <t>Mejora la posición en la segunda medición de Top of Mind y aumenta la relación de inscritos por cupo.
Indicador de la guía con que se mide: porcentaje de actores que evidencian cambios significativos en sus valores y actitudes como consecuencia de las intervenciones institucionales.
Punto de comparación: la línea base de la meta (Sin medición de Top of Mind; Plan Estratégico de Comunicaciones y Posicionamiento 2025 a 2032 en ejecución (RC 2025)) y, cuando el estudio lo permita, un grupo de referencia que no recibió la intervención.</t>
        </is>
      </c>
      <c r="V33" s="50" t="n">
        <v>1</v>
      </c>
      <c r="W33" s="50" t="n">
        <v>2</v>
      </c>
      <c r="X33" s="48" t="inlineStr">
        <is>
          <t>Dónde se ubica: eje 4, Transformación institucional, línea 4.4 Relacionamiento dialógico, meta 4.4.1.1 del PDI 2025 a 2032.
Qué cambió frente a 2026: se mantiene. Se mantiene.
Cómo se mide la meta: Posición en el indicador Top of Mind. Línea base: Sin medición de Top of Mind; Plan Estratégico de Comunicaciones y Posicionamiento 2025 a 2032 en ejecución (RC 2025). Meta 2027: Sugerida por la OAP: medición de línea base Top of Mind aplicada y plan de posicionamiento ejecutado al 100% de lo programado para 2027.
Cómo se mide el impacto: porcentaje de actores que evidencian cambios significativos en sus valores y actitudes como consecuencia de las intervenciones institucionales. El indicador sale de la Guía Metodológica para la Evaluación de Impacto Institucional y se lee frente a la línea base.
Qué esperamos obtener: la ETITC es reconocida por su calidad y ese reconocimiento se refleja en la demanda de cupos.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33" s="48" t="inlineStr">
        <is>
          <t>Sin alertas.</t>
        </is>
      </c>
    </row>
    <row r="34" ht="230.4" customHeight="1" s="23">
      <c r="A34" s="51" t="n"/>
      <c r="B34" s="52" t="n"/>
      <c r="C34" s="52" t="n"/>
      <c r="D34" s="52" t="n"/>
      <c r="E34" s="44" t="inlineStr">
        <is>
          <t>4.4.1.2. Cinco (5) alianzas estratégicas.</t>
        </is>
      </c>
      <c r="F34" s="54" t="inlineStr">
        <is>
          <t>Se corrige</t>
        </is>
      </c>
      <c r="G34" s="44" t="inlineStr">
        <is>
          <t>Se restituye la cifra de 5 (el 2026 la había eliminado).</t>
        </is>
      </c>
      <c r="H34" s="44" t="inlineStr">
        <is>
          <t>N.° de alianzas estratégicas formalizadas</t>
        </is>
      </c>
      <c r="I34" s="44" t="inlineStr">
        <is>
          <t>71 convenios activos en 2025, sin clasificación de alianzas estratégicas del PDI (RC 2025)</t>
        </is>
      </c>
      <c r="J34" s="44" t="inlineStr">
        <is>
          <t>5 alianzas</t>
        </is>
      </c>
      <c r="K34" s="46" t="inlineStr">
        <is>
          <t>5 proyectos o alianzas estratégicas suscritos</t>
        </is>
      </c>
      <c r="L34" s="44" t="inlineStr">
        <is>
          <t>MPI</t>
        </is>
      </c>
      <c r="M34" s="47" t="inlineStr">
        <is>
          <t>AC27.43. Formalizar cinco alianzas estratégicas con criterios claros y medir su efecto en la internacionalización y la cooperación.</t>
        </is>
      </c>
      <c r="N34" s="48" t="inlineStr">
        <is>
          <t>AC27.43, actividades:
1. Definir los criterios de «alianza estratégica» y clasificar los convenios vigentes (A27-105). Producto: criterios y clasificación.
2. Suscribir como mínimo 5 proyectos con el sector empresarial, académico, ambiental y gubernamental (A27-106). Producto: convenios suscritos.
3. Iniciar el estudio de impacto de Internacionalización y cooperación (A27-107). Producto: diseño del estudio.</t>
        </is>
      </c>
      <c r="O34" s="48" t="inlineStr">
        <is>
          <t>Internacionalización (ORII) (100)</t>
        </is>
      </c>
      <c r="P34" s="48" t="inlineStr">
        <is>
          <t>Sin presupuesto registrado en la matriz plurianual</t>
        </is>
      </c>
      <c r="Q34" s="48" t="inlineStr">
        <is>
          <t>Sector Productivo</t>
        </is>
      </c>
      <c r="R34" s="48" t="inlineStr">
        <is>
          <t>Contribución al desarrollo social y comunitario, económico, sostenibilidad ambiental, sector educativo, sector productivo y industrial, desarrollo tecnológico, nacional e internacional.</t>
        </is>
      </c>
      <c r="S34" s="48" t="inlineStr">
        <is>
          <t>Tasas de productividad y competitividad después del proyecto.
Cantidad de grupos comunitarios establecidos o fortalecidos como resultado del proyecto.</t>
        </is>
      </c>
      <c r="T34" s="49" t="inlineStr">
        <is>
          <t>1. Lo que hacemos: 1 acción con 3 actividades (columnas M y N).
2. Lo que entregamos (productos): criterios y clasificación; convenios suscritos; diseño del estudio.
3. Lo que cambia pronto (resultado): existen criterios claros de alianza estratégica y cinco proyectos suscritos con el sector empresarial, académico, ambiental o gubernamental.
4. La transformación que buscamos (impacto): las alianzas producen proyectos con efectos en la productividad y en las comunidades.
5. Tipo de impacto según la guía: externo.</t>
        </is>
      </c>
      <c r="U34" s="49" t="inlineStr">
        <is>
          <t>Las organizaciones aliadas reportan mejoras en productividad o fortalecimiento comunitario atribuibles a los proyectos conjuntos.
Indicador de la guía con que se mide: tasas de productividad y competitividad después del proyecto.
Punto de comparación: la línea base de la meta (71 convenios activos en 2025, sin clasificación de alianzas estratégicas del PDI (RC 2025)) y, cuando el estudio lo permita, un grupo de referencia que no recibió la intervención.</t>
        </is>
      </c>
      <c r="V34" s="50" t="n">
        <v>1</v>
      </c>
      <c r="W34" s="50" t="n">
        <v>3</v>
      </c>
      <c r="X34" s="48" t="inlineStr">
        <is>
          <t>Dónde se ubica: eje 4, Transformación institucional, línea 4.4 Relacionamiento dialógico, meta 4.4.1.2 del PDI 2025 a 2032.
Qué cambió frente a 2026: se corrige. Se restituye la cifra de 5 (el 2026 la había eliminado).
Cómo se mide la meta: N.° de alianzas estratégicas formalizadas. Línea base: 71 convenios activos en 2025, sin clasificación de alianzas estratégicas del PDI (RC 2025). Meta 2027: 5 proyectos o alianzas estratégicas suscritos.
Cómo se mide el impacto: tasas de productividad y competitividad después del proyecto. El indicador sale de la Guía Metodológica para la Evaluación de Impacto Institucional y se lee frente a la línea base.
Qué esperamos obtener: las alianzas producen proyectos con efectos en la productividad y en las comunidades.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34" s="48" t="inlineStr">
        <is>
          <t>Sin alertas.</t>
        </is>
      </c>
    </row>
    <row r="35" ht="230.4" customHeight="1" s="23">
      <c r="A35" s="51" t="n"/>
      <c r="B35" s="52" t="n"/>
      <c r="C35" s="53" t="n"/>
      <c r="D35" s="53" t="n"/>
      <c r="E35" s="44" t="inlineStr">
        <is>
          <t>4.4.1.3. 30 proyectos por cada una de las hélices: (1) sistema educativo; (2) sistema económico; (3) entorno natural; (4) el público (medios, cultura y sociedad civil) y (5) el sistema político.</t>
        </is>
      </c>
      <c r="F35" s="58" t="inlineStr">
        <is>
          <t>Se reincorpora</t>
        </is>
      </c>
      <c r="G35" s="44" t="inlineStr">
        <is>
          <t>No existía en el aplicativo 2026.</t>
        </is>
      </c>
      <c r="H35" s="44" t="inlineStr">
        <is>
          <t>N.° de proyectos por hélice</t>
        </is>
      </c>
      <c r="I35" s="44" t="inlineStr">
        <is>
          <t>Sin registro de proyectos por hélice en 2026 (no existía en el aplicativo)</t>
        </is>
      </c>
      <c r="J35" s="44" t="inlineStr">
        <is>
          <t>30 proyectos por hélice</t>
        </is>
      </c>
      <c r="K35" s="46" t="inlineStr">
        <is>
          <t>Sugerida por la OAP: inventario de proyectos por hélice y 5 proyectos por hélice, 25 en total, en 2027, trayectoria hacia 30 por hélice en 2032</t>
        </is>
      </c>
      <c r="L35" s="44" t="inlineStr">
        <is>
          <t>Sugerida por la OAP.</t>
        </is>
      </c>
      <c r="M35" s="47" t="inlineStr">
        <is>
          <t>AC27.44. Organizar el relacionamiento con las cinco hélices mediante un inventario de proyectos y la ejecución de proyectos nuevos en cada una.</t>
        </is>
      </c>
      <c r="N35" s="48" t="inlineStr">
        <is>
          <t>AC27.44, actividades:
1. Inventariar los proyectos vigentes y clasificarlos por hélice (A27-108). Producto: inventario.
2. Formular y ejecutar 5 proyectos por hélice (A27-109). Producto: proyectos en ejecución.</t>
        </is>
      </c>
      <c r="O35" s="48" t="inlineStr">
        <is>
          <t>Despacho de la VIET (140)
GIT Extensión y Proyección Social (incluye ETDH) (141)</t>
        </is>
      </c>
      <c r="P35" s="48" t="inlineStr">
        <is>
          <t>Sin presupuesto registrado en la matriz plurianual</t>
        </is>
      </c>
      <c r="Q35" s="48" t="inlineStr">
        <is>
          <t>Valor Público</t>
        </is>
      </c>
      <c r="R35" s="48" t="inlineStr">
        <is>
          <t>Contribución al desarrollo social y comunitario, económico, sostenibilidad ambiental, sector educativo, sector productivo y industrial, desarrollo tecnológico, nacional e internacional.</t>
        </is>
      </c>
      <c r="S35" s="48" t="inlineStr">
        <is>
          <t>Tasas de productividad y competitividad después del proyecto.
Cantidad de grupos comunitarios establecidos o fortalecidos como resultado del proyecto.</t>
        </is>
      </c>
      <c r="T35" s="49" t="inlineStr">
        <is>
          <t>1. Lo que hacemos: 1 acción con 2 actividades (columnas M y N).
2. Lo que entregamos (productos): inventario; proyectos en ejecución.
3. Lo que cambia pronto (resultado): la Escuela sabe cuántos proyectos tiene con cada hélice y ejecuta proyectos nuevos en cada una.
4. La transformación que buscamos (impacto): la ETITC se relaciona con todo su ecosistema y genera proyectos con efectos medibles.
5. Tipo de impacto según la guía: externo.</t>
        </is>
      </c>
      <c r="U35" s="49" t="inlineStr">
        <is>
          <t>Aumenta el número de proyectos por hélice con resultados verificables en productividad o en fortalecimiento de grupos comunitarios.
Indicador de la guía con que se mide: tasas de productividad y competitividad después del proyecto.
Punto de comparación: la línea base de la meta (Sin registro de proyectos por hélice en 2026 (no existía en el aplicativo)) y, cuando el estudio lo permita, un grupo de referencia que no recibió la intervención.</t>
        </is>
      </c>
      <c r="V35" s="50" t="n">
        <v>1</v>
      </c>
      <c r="W35" s="50" t="n">
        <v>2</v>
      </c>
      <c r="X35" s="48" t="inlineStr">
        <is>
          <t>Dónde se ubica: eje 4, Transformación institucional, línea 4.4 Relacionamiento dialógico, meta 4.4.1.3 del PDI 2025 a 2032.
Qué cambió frente a 2026: se reincorpora. No existía en el aplicativo 2026.
Cómo se mide la meta: N.° de proyectos por hélice. Línea base: Sin registro de proyectos por hélice en 2026 (no existía en el aplicativo). Meta 2027: Sugerida por la OAP: inventario de proyectos por hélice y 5 proyectos por hélice, 25 en total, en 2027, trayectoria hacia 30 por hélice en 2032.
Cómo se mide el impacto: tasas de productividad y competitividad después del proyecto. El indicador sale de la Guía Metodológica para la Evaluación de Impacto Institucional y se lee frente a la línea base.
Qué esperamos obtener: la ETITC se relaciona con todo su ecosistema y genera proyectos con efectos medibles.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35" s="48" t="inlineStr">
        <is>
          <t>Sin alertas.</t>
        </is>
      </c>
    </row>
    <row r="36" ht="270" customHeight="1" s="23">
      <c r="A36" s="51" t="n"/>
      <c r="B36" s="52" t="n"/>
      <c r="C36" s="44" t="inlineStr">
        <is>
          <t>4.5 Cultura organizacional</t>
        </is>
      </c>
      <c r="D36" s="44" t="inlineStr">
        <is>
          <t>4.5.1. Contar con una cultura comprometida con la excelencia, el conocimiento, el pensamiento crítico y la vida que impacten el bienestar y desarrollo social.</t>
        </is>
      </c>
      <c r="E36" s="44" t="inlineStr">
        <is>
          <t>4.5.1.1. Lograr un 90% de participación de los grupos de valor en las acciones de cultura organizacional.</t>
        </is>
      </c>
      <c r="F36" s="58" t="inlineStr">
        <is>
          <t>Se reincorpora</t>
        </is>
      </c>
      <c r="G36" s="44" t="inlineStr">
        <is>
          <t>El 2026 puso en este código el texto del modelo de cultura (4.5.1.2) y la meta del 90% desapareció.</t>
        </is>
      </c>
      <c r="H36" s="44" t="inlineStr">
        <is>
          <t>% de participación de los grupos de valor en acciones de cultura</t>
        </is>
      </c>
      <c r="I36" s="44" t="inlineStr">
        <is>
          <t>Sin medición de participación; «fortalecimiento de la cultura organizacional con participación de los grupos de valor» (RC 2025)</t>
        </is>
      </c>
      <c r="J36" s="44" t="inlineStr">
        <is>
          <t>90%</t>
        </is>
      </c>
      <c r="K36" s="46" t="inlineStr">
        <is>
          <t>Sugerida por la OAP: 75% de participación de los grupos de valor, primera medición en 2027 y trayectoria hacia 90% en 2032,</t>
        </is>
      </c>
      <c r="L36" s="44" t="inlineStr">
        <is>
          <t>Sugerida por la OAP.</t>
        </is>
      </c>
      <c r="M36" s="47" t="inlineStr">
        <is>
          <t>AC27.45. Aumentar la participación de los grupos de valor en las acciones de cultura organizacional, con una medición confiable de esa participación.</t>
        </is>
      </c>
      <c r="N36" s="48" t="inlineStr">
        <is>
          <t>AC27.45, actividades:
1. Definir la población por grupo de valor y el método de medición de participación (A27-110). Producto: ficha del indicador.
2. Ejecutar el plan de bienestar e incentivos con participación de todos los servidores (A27-111). Producto: informe de participación.</t>
        </is>
      </c>
      <c r="O36" s="48" t="inlineStr">
        <is>
          <t>GIT Talento Humano (133)
Bienestar Laboral (133)</t>
        </is>
      </c>
      <c r="P36" s="48" t="inlineStr">
        <is>
          <t>Sin presupuesto registrado en la matriz plurianual</t>
        </is>
      </c>
      <c r="Q36" s="48" t="inlineStr">
        <is>
          <t>Valor Público</t>
        </is>
      </c>
      <c r="R36" s="48" t="inlineStr">
        <is>
          <t>Impacto a actores (estudiantes, docentes, administrativos, egresados) y organizaciones (sector externo y sociedad en general) en valores.
Cambios en la cultura institucional (incluida la cultura de la calidad).</t>
        </is>
      </c>
      <c r="S36" s="48" t="inlineStr">
        <is>
          <t>Porcentaje de actores que evidencian cambios significativos en sus valores y actitudes como consecuencia de las intervenciones institucionales.
Porcentaje de la comunidad académica satisfecha con el clima laboral después de la implementación del sistema de calidad.</t>
        </is>
      </c>
      <c r="T36" s="49" t="inlineStr">
        <is>
          <t>1. Lo que hacemos: 1 acción con 2 actividades (columnas M y N).
2. Lo que entregamos (productos): ficha del indicador; informe de participación.
3. Lo que cambia pronto (resultado): se mide por primera vez la participación de los grupos de valor y esta crece.
4. La transformación que buscamos (impacto): los valores institucionales se ven en las actitudes cotidianas y en un mejor clima laboral.
5. Tipo de impacto según la guía: externo e interno.</t>
        </is>
      </c>
      <c r="U36" s="49" t="inlineStr">
        <is>
          <t>Crecen el porcentaje de actores con cambios en valores y actitudes y la satisfacción con el clima laboral.
Indicador de la guía con que se mide: porcentaje de actores que evidencian cambios significativos en sus valores y actitudes como consecuencia de las intervenciones institucionales.
Punto de comparación: la línea base de la meta (Sin medición de participación; «fortalecimiento de la cultura organizacional con participación de los grupos de valor» (RC 2025)) y, cuando el estudio lo permita, un grupo de referencia que no recibió la intervención.</t>
        </is>
      </c>
      <c r="V36" s="50" t="n">
        <v>1</v>
      </c>
      <c r="W36" s="50" t="n">
        <v>2</v>
      </c>
      <c r="X36" s="48" t="inlineStr">
        <is>
          <t>Dónde se ubica: eje 4, Transformación institucional, línea 4.5 Cultura organizacional, meta 4.5.1.1 del PDI 2025 a 2032.
Qué cambió frente a 2026: se reincorpora. El 2026 puso en este código el texto del modelo de cultura (4.5.1.2) y la meta del 90% desapareció.
Cómo se mide la meta: % de participación de los grupos de valor en acciones de cultura. Línea base: Sin medición de participación; «fortalecimiento de la cultura organizacional con participación de los grupos de valor» (RC 2025). Meta 2027: Sugerida por la OAP: 75% de participación de los grupos de valor, primera medición en 2027 y trayectoria hacia 90% en 2032,.
Cómo se mide el impacto: porcentaje de actores que evidencian cambios significativos en sus valores y actitudes como consecuencia de las intervenciones institucionales. El indicador sale de la Guía Metodológica para la Evaluación de Impacto Institucional y se lee frente a la línea base.
Qué esperamos obtener: los valores institucionales se ven en las actitudes cotidianas y en un mejor clima laboral.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36" s="48" t="inlineStr">
        <is>
          <t>Sin alertas.</t>
        </is>
      </c>
    </row>
    <row r="37" ht="230.4" customHeight="1" s="23">
      <c r="A37" s="56" t="n"/>
      <c r="B37" s="53" t="n"/>
      <c r="C37" s="53" t="n"/>
      <c r="D37" s="53" t="n"/>
      <c r="E37" s="44" t="inlineStr">
        <is>
          <t>4.5.1.2. Consolidar un (1) modelo de gestión de la cultura que contemple un (1) instrumento de evaluación permanente.</t>
        </is>
      </c>
      <c r="F37" s="54" t="inlineStr">
        <is>
          <t>Se corrige</t>
        </is>
      </c>
      <c r="G37" s="44" t="inlineStr">
        <is>
          <t>Se deja un solo enunciado (en 2026 estaba duplicado en 4.5.1.1 y 4.5.1.2).</t>
        </is>
      </c>
      <c r="H37" s="44" t="inlineStr">
        <is>
          <t>Modelo de gestión de la cultura con instrumento de evaluación (fase)</t>
        </is>
      </c>
      <c r="I37" s="44" t="inlineStr">
        <is>
          <t>Plan de bienestar e incentivos en ejecución (MPI); sin instrumento de evaluación de la cultura</t>
        </is>
      </c>
      <c r="J37" s="44" t="inlineStr">
        <is>
          <t>1 modelo + 1 instrumento</t>
        </is>
      </c>
      <c r="K37" s="46" t="inlineStr">
        <is>
          <t>Instrumento de evaluación diseñado y aplicado</t>
        </is>
      </c>
      <c r="L37" s="44" t="inlineStr">
        <is>
          <t>Propuesta OAP con base en la MPI</t>
        </is>
      </c>
      <c r="M37" s="47" t="inlineStr">
        <is>
          <t>AC27.46. Gestionar la cultura organizacional con un instrumento de evaluación permanente cuyos resultados se presentan al CIGD.</t>
        </is>
      </c>
      <c r="N37" s="48" t="inlineStr">
        <is>
          <t>AC27.46, actividades:
1. Diseñar el instrumento de evaluación de la cultura organizacional (A27-112). Producto: instrumento aprobado.
2. Aplicarlo y presentar resultados al CIGD (A27-113). Producto: informe de resultados.</t>
        </is>
      </c>
      <c r="O37" s="48" t="inlineStr">
        <is>
          <t>GIT Talento Humano (133)</t>
        </is>
      </c>
      <c r="P37" s="48" t="inlineStr">
        <is>
          <t>Sin presupuesto registrado en la matriz plurianual</t>
        </is>
      </c>
      <c r="Q37" s="48" t="inlineStr">
        <is>
          <t>Académica</t>
        </is>
      </c>
      <c r="R37" s="48" t="inlineStr">
        <is>
          <t>Cambios en la cultura institucional (incluida la cultura de la calidad).</t>
        </is>
      </c>
      <c r="S37" s="48" t="inlineStr">
        <is>
          <t>Porcentaje de la comunidad académica satisfecha con el clima laboral después de la implementación del sistema de calidad.
Tasa de adopción de nuevos procesos atribuible a la implementación del sistema de calidad.</t>
        </is>
      </c>
      <c r="T37" s="49" t="inlineStr">
        <is>
          <t>1. Lo que hacemos: 1 acción con 2 actividades (columnas M y N).
2. Lo que entregamos (productos): instrumento aprobado; informe de resultados.
3. Lo que cambia pronto (resultado): existe un instrumento de evaluación de la cultura, se aplica y sus resultados llegan al CIGD.
4. La transformación que buscamos (impacto): la cultura organizacional se gestiona con datos y los procesos de calidad se adoptan de verdad.
5. Tipo de impacto según la guía: interno.</t>
        </is>
      </c>
      <c r="U37" s="49" t="inlineStr">
        <is>
          <t>Mejoran entre la primera y la segunda aplicación del instrumento los resultados de clima laboral y la adopción de procesos.
Indicador de la guía con que se mide: porcentaje de la comunidad académica satisfecha con el clima laboral después de la implementación del sistema de calidad.
Punto de comparación: la línea base de la meta (Plan de bienestar e incentivos en ejecución (MPI); sin instrumento de evaluación de la cultura) y, cuando el estudio lo permita, un grupo de referencia que no recibió la intervención.</t>
        </is>
      </c>
      <c r="V37" s="50" t="n">
        <v>1</v>
      </c>
      <c r="W37" s="50" t="n">
        <v>2</v>
      </c>
      <c r="X37" s="48" t="inlineStr">
        <is>
          <t>Dónde se ubica: eje 4, Transformación institucional, línea 4.5 Cultura organizacional, meta 4.5.1.2 del PDI 2025 a 2032.
Qué cambió frente a 2026: se corrige. Se deja un solo enunciado (en 2026 estaba duplicado en 4.5.1.1 y 4.5.1.2).
Cómo se mide la meta: Modelo de gestión de la cultura con instrumento de evaluación (fase). Línea base: Plan de bienestar e incentivos en ejecución (MPI); sin instrumento de evaluación de la cultura. Meta 2027: Instrumento de evaluación diseñado y aplicado.
Cómo se mide el impacto: porcentaje de la comunidad académica satisfecha con el clima laboral después de la implementación del sistema de calidad. El indicador sale de la Guía Metodológica para la Evaluación de Impacto Institucional y se lee frente a la línea base.
Qué esperamos obtener: la cultura organizacional se gestiona con datos y los procesos de calidad se adoptan de verdad.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37" s="48" t="inlineStr">
        <is>
          <t>Sin alertas.</t>
        </is>
      </c>
    </row>
    <row r="38" ht="256.8" customHeight="1" s="23">
      <c r="A38" s="43" t="inlineStr">
        <is>
          <t>5. Ampliación y modernización de la infraestructura</t>
        </is>
      </c>
      <c r="B38" s="44" t="inlineStr">
        <is>
          <t>5. Proveer la infraestructura física y tecnológica necesaria para la calidad en la oferta educativa.</t>
        </is>
      </c>
      <c r="C38" s="44" t="inlineStr">
        <is>
          <t>5.1 Sedes propias</t>
        </is>
      </c>
      <c r="D38" s="44" t="inlineStr">
        <is>
          <t>5.1.1. Poseer sedes a nivel distrital y departamental que permitan la ampliación de cobertura con principios de sostenibilidad.</t>
        </is>
      </c>
      <c r="E38" s="44" t="inlineStr">
        <is>
          <t>5.1.1.1. Contar con 4 sedes: 1. Calle 18, 2. Funza, 3. Guaymaral, 4. Central, con infraestructura y dotación para la prestación de servicios educativos.</t>
        </is>
      </c>
      <c r="F38" s="54" t="inlineStr">
        <is>
          <t>Se corrige</t>
        </is>
      </c>
      <c r="G38" s="44" t="inlineStr">
        <is>
          <t>Vuelve a una sola meta de 4 sedes con hitos por sede (el 2026 la partió en 5.1.1.1 a 5.1.1.4).</t>
        </is>
      </c>
      <c r="H38" s="44" t="inlineStr">
        <is>
          <t>N.° de sedes propias habilitadas y operando</t>
        </is>
      </c>
      <c r="I38" s="44" t="inlineStr">
        <is>
          <t>2 inmuebles (edificio y casa) y 6 predios en comodato con la SAE en Funza (2024, MPI, columna «Línea base 2024»)</t>
        </is>
      </c>
      <c r="J38" s="44" t="inlineStr">
        <is>
          <t>4 sedes</t>
        </is>
      </c>
      <c r="K38" s="46" t="inlineStr">
        <is>
          <t>Calle 18: fase III (licencias, estudios y diseños, vigencias futuras MEN). Funza: puesta en marcha fase I. Guaymaral: puesta en marcha de la sede de Bienestar.</t>
        </is>
      </c>
      <c r="L38" s="44" t="inlineStr">
        <is>
          <t>MPI</t>
        </is>
      </c>
      <c r="M38" s="47" t="inlineStr">
        <is>
          <t>AC27.47. Habilitar las sedes propias de Calle 18, Funza y Guaymaral con los trámites, estudios, licencias y puesta en marcha que corresponden a cada una.
AC27.48. Adecuar los inmuebles nuevos con criterios de eficiencia energética y construcción sostenible desde su diseño.</t>
        </is>
      </c>
      <c r="N38" s="48" t="inlineStr">
        <is>
          <t>AC27.47, actividades:
1. Calle 18: gestionar licencias de construcción y demolición, estudios y diseños y vigencias futuras (A27-114). Producto: licencias y estudios.
2. Funza: adelantar trámites de notariado, registro e impuestos de los predios (A27-115). Producto: escrituras y certificados.
3. Funza (Ecoparque): contratar estudios y diseños, licencias e infraestructura modular (A27-116). Producto: contratos y licencias.
4. Guaymaral: poner en marcha la sede de Bienestar (espacios deportivos) (A27-117). Producto: sede en operación.
AC27.48, actividades:
1. Adecuar los nuevos inmuebles adquiridos (estudios y diseños) (A27-118). Producto: estudios y diseños.
2. Incluir criterios de eficiencia energética y construcción sostenible en los estudios y diseños de las nuevas sedes (incluida Fusagasugá), para no generar sobrecostos futuros (A27-119). Producto: criterios incluidos en los términos de referencia.</t>
        </is>
      </c>
      <c r="O38" s="48" t="inlineStr">
        <is>
          <t>Recursos Físicos e Infraestructura (130)
Gestión Jurídica (110)</t>
        </is>
      </c>
      <c r="P38" s="48" t="inlineStr">
        <is>
          <t>A27-114: 33.000 (MPI)
A27-116: 1.000 ETITC + 7.300 MEN vigencias futuras (MPI)
A27-117: 400 (MPI)
A27-118: 1.000 (MPI)</t>
        </is>
      </c>
      <c r="Q38" s="48" t="inlineStr">
        <is>
          <t>Valor Público</t>
        </is>
      </c>
      <c r="R38" s="48" t="inlineStr">
        <is>
          <t>Transformaciones del territorio (condiciones del desarrollo, especialmente de cobertura y pertinencia en la oferta educativa).</t>
        </is>
      </c>
      <c r="S38" s="48" t="inlineStr">
        <is>
          <t>Porcentaje de jóvenes de la comunidad beneficiaria que se escolarizaron con la Institución.
Proporción de programas académicos pertinentes (alineados con necesidades y vocación del territorio) ofrecidos por la Institución en el territorio.</t>
        </is>
      </c>
      <c r="T38" s="49" t="inlineStr">
        <is>
          <t>1. Lo que hacemos: 2 acciones con 6 actividades (columnas M y N).
2. Lo que entregamos (productos): licencias y estudios; escrituras y certificados; contratos y licencias; sede en operación; estudios y diseños; criterios incluidos en los términos de referencia.
3. Lo que cambia pronto (resultado): las sedes avanzan en licencias, estudios, escrituras y puesta en marcha, con diseños sostenibles.
4. La transformación que buscamos (impacto): la nueva infraestructura permite recibir más estudiantes en programas pertinentes y con menor costo de operación.
5. Tipo de impacto según la guía: externo.</t>
        </is>
      </c>
      <c r="U38" s="49" t="inlineStr">
        <is>
          <t>Aumenta la matrícula atendida en las sedes nuevas y la proporción de programas pertinentes ofrecidos en ellas.
Indicador de la guía con que se mide: porcentaje de jóvenes de la comunidad beneficiaria que se escolarizaron con la Institución.
Punto de comparación: la línea base de la meta (2 inmuebles (edificio y casa) y 6 predios en comodato con la SAE en Funza (2024, MPI, columna «Línea base 2024»)) y, cuando el estudio lo permita, un grupo de referencia que no recibió la intervención.</t>
        </is>
      </c>
      <c r="V38" s="50" t="n">
        <v>2</v>
      </c>
      <c r="W38" s="50" t="n">
        <v>6</v>
      </c>
      <c r="X38" s="48" t="inlineStr">
        <is>
          <t>Dónde se ubica: eje 5, Ampliación y modernización de la infraestructura, línea 5.1 Sedes propias, meta 5.1.1.1 del PDI 2025 a 2032.
Qué cambió frente a 2026: se corrige. Vuelve a una sola meta de 4 sedes con hitos por sede (el 2026 la partió en 5.1.1.1 a 5.1.1.4).
Cómo se mide la meta: N.° de sedes propias habilitadas y operando. Línea base: 2 inmuebles (edificio y casa) y 6 predios en comodato con la SAE en Funza (2024, MPI, columna «Línea base 2024»). Meta 2027: Calle 18: fase III (licencias, estudios y diseños, vigencias futuras MEN). Funza: puesta en marcha fase I. Guaymaral: puesta en marcha de la sede de Bienestar.
Cómo se mide el impacto: porcentaje de jóvenes de la comunidad beneficiaria que se escolarizaron con la Institución. El indicador sale de la Guía Metodológica para la Evaluación de Impacto Institucional y se lee frente a la línea base.
Qué esperamos obtener: la nueva infraestructura permite recibir más estudiantes en programas pertinentes y con menor costo de operación.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38" s="48" t="inlineStr">
        <is>
          <t>Confirmar si el «Ecoparque Tecnológico» corresponde a la sede Funza del PDI.</t>
        </is>
      </c>
    </row>
    <row r="39" ht="230.4" customHeight="1" s="23">
      <c r="A39" s="51" t="n"/>
      <c r="B39" s="52" t="n"/>
      <c r="C39" s="44" t="inlineStr">
        <is>
          <t>5.2 Modernización de la infraestructura</t>
        </is>
      </c>
      <c r="D39" s="44" t="inlineStr">
        <is>
          <t>5.2.1. Fortalecer la infraestructura física y tecnológica de las sedes.</t>
        </is>
      </c>
      <c r="E39" s="44" t="inlineStr">
        <is>
          <t>5.2.1.1. 3 bloques reforzados estructuralmente en la sede centro.</t>
        </is>
      </c>
      <c r="F39" s="54" t="inlineStr">
        <is>
          <t>Se corrige</t>
        </is>
      </c>
      <c r="G39" s="44" t="inlineStr">
        <is>
          <t>Se recodifica (en 2026 el reforzamiento estaba en la línea 5.1 como 5.1.1.2).</t>
        </is>
      </c>
      <c r="H39" s="44" t="inlineStr">
        <is>
          <t>N.° de bloques con reforzamiento estructural terminado</t>
        </is>
      </c>
      <c r="I39" s="44" t="inlineStr">
        <is>
          <t>15 bloques en la sede centro; faltan 5 por reforzar (2024, MPI, columna «Línea base 2024»)</t>
        </is>
      </c>
      <c r="J39" s="44" t="inlineStr">
        <is>
          <t>3 bloques</t>
        </is>
      </c>
      <c r="K39" s="46" t="inlineStr">
        <is>
          <t>Viabilidad presupuestal y permisos para los bloques pendientes</t>
        </is>
      </c>
      <c r="L39" s="44" t="inlineStr">
        <is>
          <t>MPI</t>
        </is>
      </c>
      <c r="M39" s="47" t="inlineStr">
        <is>
          <t>AC27.49. Viabilizar el reforzamiento estructural de los bloques pendientes de la sede centro con permisos, viabilidad presupuestal y medidas de eficiencia energética.</t>
        </is>
      </c>
      <c r="N39" s="48" t="inlineStr">
        <is>
          <t>AC27.49, actividades:
1. Gestionar permisos y licencias ante el Ministerio de Cultura y la curaduría (A27-120). Producto: permisos y licencias.
2. Obtener la viabilidad presupuestal del reforzamiento estructural (A27-121). Producto: viabilidad del MEN.
3. Integrar al reforzamiento de los bloques F, G y H las medidas de la matriz de oportunidades de eficiencia energética (avance parcial PGEE 2026) (A27-122). Producto: medidas incluidas en el diseño.</t>
        </is>
      </c>
      <c r="O39" s="48" t="inlineStr">
        <is>
          <t>Recursos Físicos e Infraestructura (130)
Despacho de la Vicerrectoría Administrativa y Financiera (130)</t>
        </is>
      </c>
      <c r="P39" s="48" t="inlineStr">
        <is>
          <t>A27-121: 17.000 MEN (MPI)</t>
        </is>
      </c>
      <c r="Q39" s="48" t="inlineStr">
        <is>
          <t>Académica</t>
        </is>
      </c>
      <c r="R39" s="48" t="inlineStr">
        <is>
          <t>Impacto en las labores sustantivas: docencia y formación, investigación e innovación, extensión y proyección social.</t>
        </is>
      </c>
      <c r="S39" s="48" t="inlineStr">
        <is>
          <t>Cantidad de procesos académicos y académico administrativos que mejoran.</t>
        </is>
      </c>
      <c r="T39" s="49" t="inlineStr">
        <is>
          <t>1. Lo que hacemos: 1 acción con 3 actividades (columnas M y N).
2. Lo que entregamos (productos): permisos y licencias; viabilidad del MEN; medidas incluidas en el diseño.
3. Lo que cambia pronto (resultado): los bloques pendientes cuentan con permisos, viabilidad presupuestal y diseño con eficiencia energética.
4. La transformación que buscamos (impacto): la sede centro opera con seguridad estructural y con espacios adecuados para la academia.
5. Tipo de impacto según la guía: interno.</t>
        </is>
      </c>
      <c r="U39" s="49" t="inlineStr">
        <is>
          <t>Disminuyen los espacios restringidos por riesgo estructural y mejoran los procesos académicos que dependen de esos bloques.
Indicador de la guía con que se mide: cantidad de procesos académicos y académico administrativos que mejoran.
Punto de comparación: la línea base de la meta (15 bloques en la sede centro; faltan 5 por reforzar (2024, MPI, columna «Línea base 2024»)) y, cuando el estudio lo permita, un grupo de referencia que no recibió la intervención.</t>
        </is>
      </c>
      <c r="V39" s="50" t="n">
        <v>1</v>
      </c>
      <c r="W39" s="50" t="n">
        <v>3</v>
      </c>
      <c r="X39" s="48" t="inlineStr">
        <is>
          <t>Dónde se ubica: eje 5, Ampliación y modernización de la infraestructura, línea 5.2 Modernización de la infraestructura, meta 5.2.1.1 del PDI 2025 a 2032.
Qué cambió frente a 2026: se corrige. Se recodifica (en 2026 el reforzamiento estaba en la línea 5.1 como 5.1.1.2).
Cómo se mide la meta: N.° de bloques con reforzamiento estructural terminado. Línea base: 15 bloques en la sede centro; faltan 5 por reforzar (2024, MPI, columna «Línea base 2024»). Meta 2027: Viabilidad presupuestal y permisos para los bloques pendientes.
Cómo se mide el impacto: cantidad de procesos académicos y académico administrativos que mejoran. El indicador sale de la Guía Metodológica para la Evaluación de Impacto Institucional y se lee frente a la línea base.
Qué esperamos obtener: la sede centro opera con seguridad estructural y con espacios adecuados para la academia.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39" s="48" t="inlineStr">
        <is>
          <t>El PDI dice 3 bloques; la MPI dice que faltan 5.</t>
        </is>
      </c>
    </row>
    <row r="40" ht="256.8" customHeight="1" s="23">
      <c r="A40" s="51" t="n"/>
      <c r="B40" s="52" t="n"/>
      <c r="C40" s="52" t="n"/>
      <c r="D40" s="52" t="n"/>
      <c r="E40" s="44" t="inlineStr">
        <is>
          <t>5.2.1.2. 100% de los talleres y laboratorios actualizados de acuerdo con el plan maestro, modernizados y viabilizados con buenas prácticas ambientales.</t>
        </is>
      </c>
      <c r="F40" s="54" t="inlineStr">
        <is>
          <t>Se corrige</t>
        </is>
      </c>
      <c r="G40" s="44" t="inlineStr">
        <is>
          <t>Recibe el «Plan Maestro Institucional», que el 2026 tenía como meta aparte (5.1.2.1).</t>
        </is>
      </c>
      <c r="H40" s="44" t="inlineStr">
        <is>
          <t>% de talleres y laboratorios modernizados</t>
        </is>
      </c>
      <c r="I40" s="44" t="inlineStr">
        <is>
          <t>11 proyectos de modernización de laboratorios formulados para 2026 (física, química, metalistería, motores, robótica, entre otros) (MPI)</t>
        </is>
      </c>
      <c r="J40" s="44" t="inlineStr">
        <is>
          <t>100%</t>
        </is>
      </c>
      <c r="K40" s="46" t="inlineStr">
        <is>
          <t>Plan Maestro Institucional (PMI) formulado y en marcha</t>
        </is>
      </c>
      <c r="L40" s="44" t="inlineStr">
        <is>
          <t>MPI</t>
        </is>
      </c>
      <c r="M40" s="47" t="inlineStr">
        <is>
          <t>AC27.50. Modernizar talleres y laboratorios con base en el Plan Maestro Institucional y en las necesidades de la nueva oferta.</t>
        </is>
      </c>
      <c r="N40" s="48" t="inlineStr">
        <is>
          <t>AC27.50, actividades:
1. Contratar la consultoría del Plan Maestro Institucional (A27-123). Producto: documento PMI.
2. Priorizar talleres y laboratorios según el PMI y la nueva oferta (A27-124). Producto: plan de modernización priorizado.
3. Modernizar talleres y laboratorios según el plan de inversiones (A27-125). Producto: equipos instalados.</t>
        </is>
      </c>
      <c r="O40" s="48" t="inlineStr">
        <is>
          <t>Recursos Físicos e Infraestructura (130)
GIT Talleres y Laboratorios (125)</t>
        </is>
      </c>
      <c r="P40" s="48" t="inlineStr">
        <is>
          <t>A27-123: 500 (MPI)
A27-125: 6.500 ETITC [validar] (MPI)</t>
        </is>
      </c>
      <c r="Q40" s="48" t="inlineStr">
        <is>
          <t>Académica</t>
        </is>
      </c>
      <c r="R40" s="48" t="inlineStr">
        <is>
          <t>Cambios curriculares y mejoramiento de programas
Contribución al desarrollo social y comunitario, económico, sostenibilidad ambiental, sector educativo, sector productivo y industrial, desarrollo tecnológico, nacional e internacional.</t>
        </is>
      </c>
      <c r="S40" s="48" t="inlineStr">
        <is>
          <t>Resultados del valor agregado (diferencia entre el desarrollo de competencias antes de ingresar a la Escuela y lo que demuestra al egresar).
Tasa de reducción de contaminación de aire, agua o suelo del territorio después del proyecto.</t>
        </is>
      </c>
      <c r="T40" s="49" t="inlineStr">
        <is>
          <t>1. Lo que hacemos: 1 acción con 3 actividades (columnas M y N).
2. Lo que entregamos (productos): documento PMI; plan de modernización priorizado; equipos instalados.
3. Lo que cambia pronto (resultado): la Escuela tiene un Plan Maestro y moderniza los talleres y laboratorios priorizados.
4. La transformación que buscamos (impacto): las prácticas se hacen con equipos actualizados y con menor impacto ambiental.
5. Tipo de impacto según la guía: interno e externo.</t>
        </is>
      </c>
      <c r="U40" s="49" t="inlineStr">
        <is>
          <t>Los estudiantes de los programas beneficiados muestran mayor valor agregado en competencias prácticas y se reducen los residuos o emisiones de los talleres intervenidos.
Indicador de la guía con que se mide: resultados del valor agregado (diferencia entre el desarrollo de competencias antes de ingresar a la Escuela y lo que demuestra al egresar).
Punto de comparación: la línea base de la meta (11 proyectos de modernización de laboratorios formulados para 2026 (física, química, metalistería, motores, robótica, entre otros) (MPI)) y, cuando el estudio lo permita, un grupo de referencia que no recibió la intervención.</t>
        </is>
      </c>
      <c r="V40" s="50" t="n">
        <v>1</v>
      </c>
      <c r="W40" s="50" t="n">
        <v>3</v>
      </c>
      <c r="X40" s="48" t="inlineStr">
        <is>
          <t>Dónde se ubica: eje 5, Ampliación y modernización de la infraestructura, línea 5.2 Modernización de la infraestructura, meta 5.2.1.2 del PDI 2025 a 2032.
Qué cambió frente a 2026: se corrige. Recibe el «Plan Maestro Institucional», que el 2026 tenía como meta aparte (5.1.2.1).
Cómo se mide la meta: % de talleres y laboratorios modernizados. Línea base: 11 proyectos de modernización de laboratorios formulados para 2026 (física, química, metalistería, motores, robótica, entre otros) (MPI). Meta 2027: Plan Maestro Institucional (PMI) formulado y en marcha.
Cómo se mide el impacto: resultados del valor agregado (diferencia entre el desarrollo de competencias antes de ingresar a la Escuela y lo que demuestra al egresar). El indicador sale de la Guía Metodológica para la Evaluación de Impacto Institucional y se lee frente a la línea base.
Qué esperamos obtener: las prácticas se hacen con equipos actualizados y con menor impacto ambiental.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40" s="48" t="inlineStr">
        <is>
          <t>Algunos valores de la columna 2027 de la MPI corresponden a actividades marcadas para 2026: validar.</t>
        </is>
      </c>
    </row>
    <row r="41" ht="256.8" customHeight="1" s="23">
      <c r="A41" s="51" t="n"/>
      <c r="B41" s="52" t="n"/>
      <c r="C41" s="53" t="n"/>
      <c r="D41" s="53" t="n"/>
      <c r="E41" s="44" t="inlineStr">
        <is>
          <t>5.2.1.3. Reposición del 100% de computadores de apoyo a la academia con antigüedad mayor a 3 años.</t>
        </is>
      </c>
      <c r="F41" s="45" t="inlineStr">
        <is>
          <t>Se mantiene</t>
        </is>
      </c>
      <c r="G41" s="44" t="inlineStr">
        <is>
          <t>Se mantiene.</t>
        </is>
      </c>
      <c r="H41" s="44" t="inlineStr">
        <is>
          <t>% de computadores de apoyo académico con antigüedad ≤ 3 años</t>
        </is>
      </c>
      <c r="I41" s="44" t="inlineStr">
        <is>
          <t>Reposición de 240 computadores de salas de sistemas prevista (MPI); 20 portátiles dotados en sede Tintal en 2025 (RC 2025)</t>
        </is>
      </c>
      <c r="J41" s="44" t="inlineStr">
        <is>
          <t>100%</t>
        </is>
      </c>
      <c r="K41" s="46" t="inlineStr">
        <is>
          <t>Sugerida por la OAP: 240 computadores de salas de sistemas repuestos, 100% de las salas priorizadas, e inventario de antigüedad del parque tecnológico</t>
        </is>
      </c>
      <c r="L41" s="44" t="inlineStr">
        <is>
          <t>Sugerida por la OAP con base en la MPI.</t>
        </is>
      </c>
      <c r="M41" s="47" t="inlineStr">
        <is>
          <t>AC27.51. Renovar el parque de computadores de apoyo académico a partir de un inventario de antigüedad.</t>
        </is>
      </c>
      <c r="N41" s="48" t="inlineStr">
        <is>
          <t>AC27.51, actividades:
1. Levantar el inventario de antigüedad de los equipos académicos (A27-126). Producto: inventario.
2. Reponer los equipos de cómputo de salas de sistemas (A27-127). Producto: equipos entregados.</t>
        </is>
      </c>
      <c r="O41" s="48" t="inlineStr">
        <is>
          <t>GIT Informática y Telecomunicaciones (132)</t>
        </is>
      </c>
      <c r="P41" s="48" t="inlineStr">
        <is>
          <t>A27-127: 13.000 ATENEA [validar] (MPI)</t>
        </is>
      </c>
      <c r="Q41" s="48" t="inlineStr">
        <is>
          <t>Académica</t>
        </is>
      </c>
      <c r="R41" s="48" t="inlineStr">
        <is>
          <t>Cambios curriculares y mejoramiento de programas</t>
        </is>
      </c>
      <c r="S41" s="48" t="inlineStr">
        <is>
          <t>Resultados del valor agregado (diferencia entre el desarrollo de competencias antes de ingresar a la Escuela y lo que demuestra al egresar).</t>
        </is>
      </c>
      <c r="T41" s="49" t="inlineStr">
        <is>
          <t>1. Lo que hacemos: 1 acción con 2 actividades (columnas M y N).
2. Lo que entregamos (productos): inventario; equipos entregados.
3. Lo que cambia pronto (resultado): las salas de sistemas cuentan con equipos de menos de tres años.
4. La transformación que buscamos (impacto): los estudiantes desarrollan sus competencias con tecnología vigente.
5. Tipo de impacto según la guía: interno.</t>
        </is>
      </c>
      <c r="U41" s="49" t="inlineStr">
        <is>
          <t>Mejora el valor agregado en competencias digitales de los estudiantes de los programas que usan las salas renovadas.
Indicador de la guía con que se mide: resultados del valor agregado (diferencia entre el desarrollo de competencias antes de ingresar a la Escuela y lo que demuestra al egresar).
Punto de comparación: la línea base de la meta (Reposición de 240 computadores de salas de sistemas prevista (MPI); 20 portátiles dotados en sede Tintal en 2025 (RC 2025)) y, cuando el estudio lo permita, un grupo de referencia que no recibió la intervención.</t>
        </is>
      </c>
      <c r="V41" s="50" t="n">
        <v>1</v>
      </c>
      <c r="W41" s="50" t="n">
        <v>2</v>
      </c>
      <c r="X41" s="48" t="inlineStr">
        <is>
          <t>Dónde se ubica: eje 5, Ampliación y modernización de la infraestructura, línea 5.2 Modernización de la infraestructura, meta 5.2.1.3 del PDI 2025 a 2032.
Qué cambió frente a 2026: se mantiene. Se mantiene.
Cómo se mide la meta: % de computadores de apoyo académico con antigüedad ≤ 3 años. Línea base: Reposición de 240 computadores de salas de sistemas prevista (MPI); 20 portátiles dotados en sede Tintal en 2025 (RC 2025). Meta 2027: Sugerida por la OAP: 240 computadores de salas de sistemas repuestos, 100% de las salas priorizadas, e inventario de antigüedad del parque tecnológico.
Cómo se mide el impacto: resultados del valor agregado (diferencia entre el desarrollo de competencias antes de ingresar a la Escuela y lo que demuestra al egresar). El indicador sale de la Guía Metodológica para la Evaluación de Impacto Institucional y se lee frente a la línea base.
Qué esperamos obtener: los estudiantes desarrollan sus competencias con tecnología vigente.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41" s="48" t="inlineStr">
        <is>
          <t>Sin alertas.</t>
        </is>
      </c>
    </row>
    <row r="42" ht="256.8" customHeight="1" s="23">
      <c r="A42" s="51" t="n"/>
      <c r="B42" s="52" t="n"/>
      <c r="C42" s="44" t="inlineStr">
        <is>
          <t>5.3 Infraestructura de terceros</t>
        </is>
      </c>
      <c r="D42" s="44" t="inlineStr">
        <is>
          <t>5.3.1. Firmar con el gobierno distrital, departamental y municipal el aporte de infraestructura y tecnología que soporte la oferta académica en la región.</t>
        </is>
      </c>
      <c r="E42" s="44" t="inlineStr">
        <is>
          <t>5.3.1.1. Hacer presencia con oferta académica en 4 sedes de terceros y multicampus: 1. Zipaquirá, 2. Multicampus de Suba, 3. Soacha, 4. Multicampus Tintal.</t>
        </is>
      </c>
      <c r="F42" s="58" t="inlineStr">
        <is>
          <t>Se reincorpora</t>
        </is>
      </c>
      <c r="G42" s="44" t="inlineStr">
        <is>
          <t>La línea 5.3 no tuvo productos en dos vigencias. Se reincorpora con Zipazgo y la estrategia de regionalización.</t>
        </is>
      </c>
      <c r="H42" s="44" t="inlineStr">
        <is>
          <t>N.° de sedes de terceros con oferta activa</t>
        </is>
      </c>
      <c r="I42" s="44" t="inlineStr">
        <is>
          <t>Oferta en Viotá y Zipaquirá con 172 estudiantes (primer semestre de 2026, Proyecciones de matrícula); 6 programas acreditados con ampliación transitoria del lugar de desarrollo (RC 2025)</t>
        </is>
      </c>
      <c r="J42" s="44" t="inlineStr">
        <is>
          <t>4 sedes de terceros</t>
        </is>
      </c>
      <c r="K42" s="46" t="inlineStr">
        <is>
          <t>Convenio ETITC-MinTIC suscrito; oferta en Zipaquirá; oferta primer semestre de 2027 en La Primavera, Villeta y 3 municipios de Casanare</t>
        </is>
      </c>
      <c r="L42" s="44" t="inlineStr">
        <is>
          <t>MPI; insumo Zipazgo.</t>
        </is>
      </c>
      <c r="M42" s="47" t="inlineStr">
        <is>
          <t>AC27.52. Formalizar la presencia en sedes de terceros mediante la decisión del CIGD, el convenio con MinTIC para el Centro de IA Zipazgo y su supervisión.
AC27.53. Poner en marcha la oferta académica en los territorios, cumpliendo el Convenio Marco con Zipaquirá y abriendo cohortes en La Primavera, Villeta y Casanare.</t>
        </is>
      </c>
      <c r="N42" s="48" t="inlineStr">
        <is>
          <t>AC27.52, actividades:
1. Decidir en el CIGD la formulación de las líneas 3.1, 5.3 y 6.1 (A27-128). Producto: acta del CIGD.
2. Suscribir el convenio interadministrativo ETITC-MinTIC para el Centro de IA Zipazgo (A27-129). Producto: convenio suscrito.
3. Legalizar el convenio y designar la supervisión (A27-130). Producto: actas.
AC27.53, actividades:
1. Cumplir los compromisos del Convenio Marco con Zipaquirá (coordinador, plan anual, comité) (A27-131). Producto: plan anual y actas.
2. Poner en marcha la oferta primer semestre de 2027 en La Primavera, Villeta y municipios de Casanare (A27-132). Producto: matrícula por sede.</t>
        </is>
      </c>
      <c r="O42" s="48" t="inlineStr">
        <is>
          <t>Despacho de Rectoría (100)
Despacho de Secretaría General (110)
Despacho de la Vicerrectoría Académica (120)
Sedes Tintal / Soacha-UPK / Viotá (120)</t>
        </is>
      </c>
      <c r="P42" s="48" t="inlineStr">
        <is>
          <t>Sin presupuesto registrado en la matriz plurianual</t>
        </is>
      </c>
      <c r="Q42" s="48" t="inlineStr">
        <is>
          <t>Valor Público</t>
        </is>
      </c>
      <c r="R42" s="48" t="inlineStr">
        <is>
          <t>Transformaciones del territorio (condiciones del desarrollo, especialmente de cobertura y pertinencia en la oferta educativa).</t>
        </is>
      </c>
      <c r="S42" s="48" t="inlineStr">
        <is>
          <t>Porcentaje de jóvenes de la comunidad beneficiaria que se escolarizaron con la Institución.
Proporción de programas académicos pertinentes (alineados con necesidades y vocación del territorio) ofrecidos por la Institución en el territorio.</t>
        </is>
      </c>
      <c r="T42" s="49" t="inlineStr">
        <is>
          <t>1. Lo que hacemos: 2 acciones con 5 actividades (columnas M y N).
2. Lo que entregamos (productos): acta del CIGD; convenio suscrito; actas; plan anual y actas; matrícula por sede.
3. Lo que cambia pronto (resultado): hay convenios formalizados y oferta en marcha en Zipaquirá, La Primavera, Villeta y Casanare.
4. La transformación que buscamos (impacto): jóvenes de los territorios acceden a programas pertinentes sin tener que desplazarse a Bogotá.
5. Tipo de impacto según la guía: externo.</t>
        </is>
      </c>
      <c r="U42" s="49" t="inlineStr">
        <is>
          <t>Aumenta el porcentaje de jóvenes de cada territorio escolarizados con la Escuela y la pertinencia de la oferta con la vocación local.
Indicador de la guía con que se mide: porcentaje de jóvenes de la comunidad beneficiaria que se escolarizaron con la Institución.
Punto de comparación: la línea base de la meta (Oferta en Viotá y Zipaquirá con 172 estudiantes (primer semestre de 2026, Proyecciones de matrícula); 6 programas acreditados con ampliación transitoria del lugar de desarrollo (RC 2025)) y, cuando el estudio lo permita, un grupo de referencia que no recibió la intervención.</t>
        </is>
      </c>
      <c r="V42" s="50" t="n">
        <v>2</v>
      </c>
      <c r="W42" s="50" t="n">
        <v>5</v>
      </c>
      <c r="X42" s="48" t="inlineStr">
        <is>
          <t>Dónde se ubica: eje 5, Ampliación y modernización de la infraestructura, línea 5.3 Infraestructura de terceros, meta 5.3.1.1 del PDI 2025 a 2032.
Qué cambió frente a 2026: se reincorpora. La línea 5.3 no tuvo productos en dos vigencias. Se reincorpora con Zipazgo y la estrategia de regionalización.
Cómo se mide la meta: N.° de sedes de terceros con oferta activa. Línea base: Oferta en Viotá y Zipaquirá con 172 estudiantes (primer semestre de 2026, Proyecciones de matrícula); 6 programas acreditados con ampliación transitoria del lugar de desarrollo (RC 2025). Meta 2027: Convenio ETITC-MinTIC suscrito; oferta en Zipaquirá; oferta primer semestre de 2027 en La Primavera, Villeta y 3 municipios de Casanare.
Cómo se mide el impacto: porcentaje de jóvenes de la comunidad beneficiaria que se escolarizaron con la Institución. El indicador sale de la Guía Metodológica para la Evaluación de Impacto Institucional y se lee frente a la línea base.
Qué esperamos obtener: jóvenes de los territorios acceden a programas pertinentes sin tener que desplazarse a Bogotá.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42" s="48" t="inlineStr">
        <is>
          <t>Las sedes del PDI (Zipaquirá, Suba, Soacha, Tintal) no coinciden con las de la MPI (Tintal, Zipaquirá, Viotá, Villeta, La Primavera, Gachetá, Casanare).</t>
        </is>
      </c>
    </row>
    <row r="43" ht="283.2" customHeight="1" s="23">
      <c r="A43" s="56" t="n"/>
      <c r="B43" s="53" t="n"/>
      <c r="C43" s="44" t="inlineStr">
        <is>
          <t>5.4 Infraestructura para programas presenciales y semipresenciales</t>
        </is>
      </c>
      <c r="D43" s="44" t="inlineStr">
        <is>
          <t>5.4.1. Contar con alianzas y convenios con instituciones de educación superior a nivel nacional para soportar oferta de educación no presencial.</t>
        </is>
      </c>
      <c r="E43" s="44" t="inlineStr">
        <is>
          <t>5.4.1.1. Contar con el 100% de la infraestructura de talleres y laboratorios a través de convenios con instituciones y sector productivo (programas no presenciales).</t>
        </is>
      </c>
      <c r="F43" s="45" t="inlineStr">
        <is>
          <t>Se mantiene</t>
        </is>
      </c>
      <c r="G43" s="44" t="inlineStr">
        <is>
          <t>Se mantiene. Tenía 0 de 34 productos al 2 de septiembre de 2026.</t>
        </is>
      </c>
      <c r="H43" s="44" t="inlineStr">
        <is>
          <t>% de la infraestructura requerida cubierta por convenios</t>
        </is>
      </c>
      <c r="I43" s="44" t="inlineStr">
        <is>
          <t>0 de 34 productos cerrados al 2 de septiembre de 2026 (Hoja de Ruta); 10 programas en modalidad distancia con visita de verificación en 2025 (RC 2025)</t>
        </is>
      </c>
      <c r="J43" s="44" t="inlineStr">
        <is>
          <t>100%</t>
        </is>
      </c>
      <c r="K43" s="46" t="inlineStr">
        <is>
          <t>Sugerida por la OAP: 100% de los programas a distancia o híbridos ofertados en 2027 con convenio de uso de talleres y laboratorios, mínimo 3 convenios,</t>
        </is>
      </c>
      <c r="L43" s="44" t="inlineStr">
        <is>
          <t>Sugerida por la OAP.</t>
        </is>
      </c>
      <c r="M43" s="47" t="inlineStr">
        <is>
          <t>AC27.54. Garantizar las prácticas de los programas no presenciales mediante convenios de uso de talleres y laboratorios.</t>
        </is>
      </c>
      <c r="N43" s="48" t="inlineStr">
        <is>
          <t>AC27.54, actividades:
1. Identificar la infraestructura práctica que requieren los programas no presenciales (A27-133). Producto: matriz de requerimientos.
2. Suscribir convenios de uso de talleres y laboratorios (A27-134). Producto: convenios.</t>
        </is>
      </c>
      <c r="O43" s="48" t="inlineStr">
        <is>
          <t>Despacho de la Vicerrectoría Académica (120)
Contratación y Adquisiciones (130)</t>
        </is>
      </c>
      <c r="P43" s="48" t="inlineStr">
        <is>
          <t>Sin presupuesto registrado en la matriz plurianual</t>
        </is>
      </c>
      <c r="Q43" s="48" t="inlineStr">
        <is>
          <t>Valor Público</t>
        </is>
      </c>
      <c r="R43" s="48" t="inlineStr">
        <is>
          <t>Transformaciones del territorio (condiciones del desarrollo, especialmente de cobertura y pertinencia en la oferta educativa).
Cambios curriculares y mejoramiento de programas</t>
        </is>
      </c>
      <c r="S43" s="48" t="inlineStr">
        <is>
          <t>Proporción de programas académicos pertinentes (alineados con necesidades y vocación del territorio) ofrecidos por la Institución en el territorio.
Resultados del valor agregado (diferencia entre el desarrollo de competencias antes de ingresar a la Escuela y lo que demuestra al egresar).</t>
        </is>
      </c>
      <c r="T43" s="49" t="inlineStr">
        <is>
          <t>1. Lo que hacemos: 1 acción con 2 actividades (columnas M y N).
2. Lo que entregamos (productos): matriz de requerimientos; convenios.
3. Lo que cambia pronto (resultado): los programas no presenciales cuentan con convenios de uso de talleres y laboratorios.
4. La transformación que buscamos (impacto): la oferta no presencial garantiza prácticas de calidad en los territorios.
5. Tipo de impacto según la guía: externo e interno.</t>
        </is>
      </c>
      <c r="U43" s="49" t="inlineStr">
        <is>
          <t>Los estudiantes de programas no presenciales muestran un valor agregado en competencias prácticas comparable con el de los presenciales.
Indicador de la guía con que se mide: proporción de programas académicos pertinentes (alineados con necesidades y vocación del territorio) ofrecidos por la Institución en el territorio.
Punto de comparación: la línea base de la meta (0 de 34 productos cerrados al 2 de septiembre de 2026 (Hoja de Ruta); 10 programas en modalidad distancia con visita de verificación en 2025 (RC 2025)) y, cuando el estudio lo permita, un grupo de referencia que no recibió la intervención.</t>
        </is>
      </c>
      <c r="V43" s="50" t="n">
        <v>1</v>
      </c>
      <c r="W43" s="50" t="n">
        <v>2</v>
      </c>
      <c r="X43" s="48" t="inlineStr">
        <is>
          <t>Dónde se ubica: eje 5, Ampliación y modernización de la infraestructura, línea 5.4 Infraestructura para programas presenciales y semipresenciales, meta 5.4.1.1 del PDI 2025 a 2032.
Qué cambió frente a 2026: se mantiene. Se mantiene. Tenía 0 de 34 productos al 2 de septiembre de 2026.
Cómo se mide la meta: % de la infraestructura requerida cubierta por convenios. Línea base: 0 de 34 productos cerrados al 2 de septiembre de 2026 (Hoja de Ruta); 10 programas en modalidad distancia con visita de verificación en 2025 (RC 2025). Meta 2027: Sugerida por la OAP: 100% de los programas a distancia o híbridos ofertados en 2027 con convenio de uso de talleres y laboratorios, mínimo 3 convenios,.
Cómo se mide el impacto: proporción de programas académicos pertinentes (alineados con necesidades y vocación del territorio) ofrecidos por la Institución en el territorio. El indicador sale de la Guía Metodológica para la Evaluación de Impacto Institucional y se lee frente a la línea base.
Qué esperamos obtener: la oferta no presencial garantiza prácticas de calidad en los territorios.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43" s="48" t="inlineStr">
        <is>
          <t>Sin alertas.</t>
        </is>
      </c>
    </row>
    <row r="44" ht="336" customHeight="1" s="23">
      <c r="A44" s="43" t="inlineStr">
        <is>
          <t>6. Cuidado por el bienestar y la vida</t>
        </is>
      </c>
      <c r="B44" s="44" t="inlineStr">
        <is>
          <t>6. Consolidar una cultura institucional de autocuidado, cuidado del otro, cuidado del ambiente, garantizando espacios seguros, inclusivos y sostenibles para la construcción de un bienestar integral, personal y colectivo.</t>
        </is>
      </c>
      <c r="C44" s="44" t="inlineStr">
        <is>
          <t>6.1 Condiciones para el Bienestar</t>
        </is>
      </c>
      <c r="D44" s="44" t="inlineStr">
        <is>
          <t>6.1.1. Lograr las condiciones necesarias para garantizar la vigencia de una cultura de autocuidado, cuidado del otro y cuidado del ambiente en todas las áreas de la institución.</t>
        </is>
      </c>
      <c r="E44" s="44" t="inlineStr">
        <is>
          <t>6.1.1.1. El 100% de las áreas de la Institución comprometidas con el Bienestar Universitario integral.</t>
        </is>
      </c>
      <c r="F44" s="58" t="inlineStr">
        <is>
          <t>Se reincorpora</t>
        </is>
      </c>
      <c r="G44" s="44" t="inlineStr">
        <is>
          <t>La línea 6.1 se eliminó en 2026. Se reincorpora con el PFB y su tablero de seguimiento, y se agrega el componente de cultura ambiental («cuidado del ambiente», objetivo de la línea 6.1) que decidió el CIGD en la sesión 6 de 2026.</t>
        </is>
      </c>
      <c r="H44" s="44" t="inlineStr">
        <is>
          <t>% de áreas con condiciones de bienestar consolidadas, % de áreas con enlace ambiental y campaña de uso racional de energía y agua aplicada</t>
        </is>
      </c>
      <c r="I44" s="44" t="inlineStr">
        <is>
          <t>77% de avance en condiciones para el bienestar universitario integral en 2025 (RC 2025), Cultura ambiental: política ambiental actualizada pero sin comités en funcionamiento; sin campaña de uso racional de energía y agua; luces, pantallas y llaves abiertas en aulas sin ocupantes (Acta CIGD 6-2026)</t>
        </is>
      </c>
      <c r="J44" s="44" t="inlineStr">
        <is>
          <t>100%</t>
        </is>
      </c>
      <c r="K44" s="46" t="inlineStr">
        <is>
          <t>Sugerida por la OAP: 85% de las áreas con condiciones de bienestar consolidadas y 100% de las áreas con enlace ambiental designado y campaña de uso racional de energía y agua aplicada</t>
        </is>
      </c>
      <c r="L44" s="44" t="inlineStr">
        <is>
          <t>Sugerida por la OAP; componente ambiental: Acta CIGD 6-2026.</t>
        </is>
      </c>
      <c r="M44" s="47" t="inlineStr">
        <is>
          <t>AC27.55. Consolidar las condiciones del bienestar universitario integral, con el cierre del PFB 2025 y un tablero de seguimiento mensual.
AC27.56. Construir una cultura ambiental institucional con política revisada, campaña de uso racional de energía y agua y una red de enlaces por área.</t>
        </is>
      </c>
      <c r="N44" s="48" t="inlineStr">
        <is>
          <t>AC27.55, actividades:
1. Cerrar el ciclo PFB 2025 (pruebas psicológicas, transporte, soportes) (A27-135). Producto: contratos y soportes.
2. Implementar las condiciones clave para el bienestar integral (política, programas, cobertura, evaluación) (A27-136). Producto: informe de implementación.
3. Operar el tablero mensual de seguimiento del PFB (A27-137). Producto: tablero publicado.
AC27.56, actividades:
1. Cultura ambiental (1/3): revisar la política ambiental y reactivar los comités previstos en ella (A27-138). Producto: política ratificada por el CIGD y actas de comité.
2. Cultura ambiental (2/3): diseñar y ejecutar con Comunicaciones la campaña institucional de uso racional de la energía y del agua, que explique a la comunidad el propósito de cada medida (p. ej., el apagado automático de pantallas) (A27-139). Producto: campaña ejecutada y medición de apropiación (encuesta antes y después).
3. Cultura ambiental (3/3): designar un enlace ambiental por área y hacer jornadas semestrales de cuidado de espacios (luces, agua, equipos y mobiliario) con docentes, administrativos y estudiantes (A27-140). Producto: red de enlaces y 2 jornadas.</t>
        </is>
      </c>
      <c r="O44" s="48" t="inlineStr">
        <is>
          <t>GIT Bienestar Universitario (122)
Gestión Ambiental (101)
Comunicaciones y Mercadeo (100)</t>
        </is>
      </c>
      <c r="P44" s="48" t="inlineStr">
        <is>
          <t>A27-136: 6.000 ATENEA (MPI)
A27-139: Sugerida por la OAP: 25</t>
        </is>
      </c>
      <c r="Q44" s="48" t="inlineStr">
        <is>
          <t>Valor Público</t>
        </is>
      </c>
      <c r="R44" s="48" t="inlineStr">
        <is>
          <t>Impacto a actores (estudiantes, docentes, administrativos, egresados) y organizaciones (sector externo y sociedad en general) en valores.
Cambios en la cultura institucional (incluida la cultura de la calidad).
Contribución al desarrollo social y comunitario, económico, sostenibilidad ambiental, sector educativo, sector productivo y industrial, desarrollo tecnológico, nacional e internacional.</t>
        </is>
      </c>
      <c r="S44" s="48" t="inlineStr">
        <is>
          <t>Porcentaje de actores que evidencian cambios significativos en sus valores y actitudes como consecuencia de las intervenciones institucionales.
Porcentaje de la comunidad académica satisfecha con el clima laboral después de la implementación del sistema de calidad.
Tasa de reducción de contaminación de aire, agua o suelo del territorio después del proyecto.</t>
        </is>
      </c>
      <c r="T44" s="49" t="inlineStr">
        <is>
          <t>1. Lo que hacemos: 2 acciones con 6 actividades (columnas M y N).
2. Lo que entregamos (productos): contratos y soportes; informe de implementación; tablero publicado; política ratificada por el CIGD y actas de comité; campaña ejecutada y medición de apropiación (encuesta antes y después); red de enlaces y 2 jornadas.
3. Lo que cambia pronto (resultado): el PFB 2025 queda cerrado, el bienestar se sigue mes a mes y la comunidad conoce y aplica la campaña ambiental.
4. La transformación que buscamos (impacto): la comunidad adopta prácticas de autocuidado, cuidado del otro y cuidado del ambiente, y mejora el clima institucional.
5. Tipo de impacto según la guía: externo e interno.</t>
        </is>
      </c>
      <c r="U44" s="49" t="inlineStr">
        <is>
          <t>Crecen el porcentaje de actores con cambios en actitudes y la satisfacción con el clima laboral, y la encuesta antes y después de la campaña muestra apropiación de las prácticas de ahorro.
Indicador de la guía con que se mide: porcentaje de actores que evidencian cambios significativos en sus valores y actitudes como consecuencia de las intervenciones institucionales.
Punto de comparación: la línea base de la meta (77% de avance en condiciones para el bienestar universitario integral en 2025 (RC 2025), Cultura ambiental: política ambiental actualizada pero sin comités en funcionamiento; sin campaña de uso racional de energía y agua; luces, pantallas y llaves abiertas en aulas sin ocupantes (Acta CIGD 6-2026)) y, cuando el estudio lo permita, un grupo de referencia que no recibió la intervención.</t>
        </is>
      </c>
      <c r="V44" s="50" t="n">
        <v>2</v>
      </c>
      <c r="W44" s="50" t="n">
        <v>6</v>
      </c>
      <c r="X44" s="48" t="inlineStr">
        <is>
          <t>Dónde se ubica: eje 6, Cuidado por el bienestar y la vida, línea 6.1 Condiciones para el Bienestar, meta 6.1.1.1 del PDI 2025 a 2032.
Qué cambió frente a 2026: se reincorpora. La línea 6.1 se eliminó en 2026. Se reincorpora con el PFB y su tablero de seguimiento, y se agrega el componente de cultura ambiental («cuidado del ambiente», objetivo de la línea 6.1) que decidió el CIGD en la sesión 6 de 2026.
Cómo se mide la meta: % de áreas con condiciones de bienestar consolidadas, % de áreas con enlace ambiental y campaña de uso racional de energía y agua aplicada. Línea base: 77% de avance en condiciones para el bienestar universitario integral en 2025 (RC 2025), Cultura ambiental: política ambiental actualizada pero sin comités en funcionamiento; sin campaña de uso racional de energía y agua; luces, pantallas y llaves abiertas en aulas sin ocupantes (Acta CIGD 6-2026). Meta 2027: Sugerida por la OAP: 85% de las áreas con condiciones de bienestar consolidadas y 100% de las áreas con enlace ambiental designado y campaña de uso racional de energía y agua aplicada.
Cómo se mide el impacto: porcentaje de actores que evidencian cambios significativos en sus valores y actitudes como consecuencia de las intervenciones institucionales. El indicador sale de la Guía Metodológica para la Evaluación de Impacto Institucional y se lee frente a la línea base.
Qué esperamos obtener: la comunidad adopta prácticas de autocuidado, cuidado del otro y cuidado del ambiente, y mejora el clima institucional.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44" s="48" t="inlineStr">
        <is>
          <t>Sin alertas.</t>
        </is>
      </c>
    </row>
    <row r="45" ht="409" customHeight="1" s="23">
      <c r="A45" s="51" t="n"/>
      <c r="B45" s="52" t="n"/>
      <c r="C45" s="53" t="n"/>
      <c r="D45" s="53" t="n"/>
      <c r="E45" s="44" t="inlineStr">
        <is>
          <t>6.1.1.2. Consolidar las condiciones en infraestructura, dotación, recurso humano y estrategias para el bienestar integral de toda la comunidad en la Institución.</t>
        </is>
      </c>
      <c r="F45" s="58" t="inlineStr">
        <is>
          <t>Se reincorpora</t>
        </is>
      </c>
      <c r="G45" s="44" t="inlineStr">
        <is>
          <t>No existía en el aplicativo 2026. Se reincorpora con dos componentes: (a) infraestructura y dotación para el bienestar (PFB) y (b) gestión energética y sostenibilidad ambiental, por decisión del CIGD 6-2026 (7 de octubre de 2026). Recibe productos 2026 mal ubicados: planta solar (huérfanos, Id 280-282), medidores de agua (registrados en 5.2.1.1) y Sistema de Gestión Ambiental (registrado en 4.2.1.2).</t>
        </is>
      </c>
      <c r="H45" s="44" t="inlineStr">
        <is>
          <t>N.° de condiciones de infraestructura, dotación y talento humano para bienestar consolidadas, Hitos de la ruta de gestión energética cumplidos (de 5), Ahorro verificado de energía (kWh)</t>
        </is>
      </c>
      <c r="I45" s="44" t="inlineStr">
        <is>
          <t>PFB 2025 con 4 proyectos financiados por $322,23 millones del MEN (RC 2025), Energía: la ETITC incumple el art. 237 de la Ley 2294 de 2023 y la Res. 40412 de 2024 (sin auditoría energética, PGEE, Política de Gestión Energética ni reporte a la UPME); gestor energético aprobado por el CIGD el 7 de octubre de 2026; avance parcial 2026 de 5 productos en los bloques F, G y H; facturación cercana a $45 millones mensuales; planta solar de la sede Centro sin funcionar desde 2025 (Acta CIGD 6-2026)</t>
        </is>
      </c>
      <c r="J45" s="44" t="inlineStr">
        <is>
          <t>Sugerida por la OAP: 100% de las sedes con espacios y equipo de bienestar; 15% de ahorro de energía frente a la línea base, exigido por el plan nacional de uso eficiente de la energía</t>
        </is>
      </c>
      <c r="K45" s="46" t="inlineStr">
        <is>
          <t>Sugerida por la OAP: 4 proyectos PFB ejecutados al 100% y sede de Bienestar en Guaymaral operando),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t>
        </is>
      </c>
      <c r="L45" s="44" t="inlineStr">
        <is>
          <t>Sugerida por la OAP; componente energético: Acta CIGD 6-2026 y marco normativo citado en ella.</t>
        </is>
      </c>
      <c r="M45" s="47" t="inlineStr">
        <is>
          <t>AC27.57. Consolidar la infraestructura y la dotación para el bienestar, con el PFB 2027 y los espacios de bienestar dotados, incluida la sede de Guaymaral.
AC27.58. Implementar la gestión energética institucional exigida por la ley, desde la línea base y la auditoría hasta el PGEE, la política y el reporte a la UPME.
AC27.59. Reducir el consumo de energía y agua con medidas de bajo costo, la planta solar en operación y un Sistema de Gestión Ambiental activo.</t>
        </is>
      </c>
      <c r="N45" s="48" t="inlineStr">
        <is>
          <t>AC27.57, actividades:
1. Formular el PFB 2027 con base en el cierre del PFB 2025 (A27-141). Producto: PFB 2027 aprobado.
2. Dotar los espacios de bienestar (incluida la sede de Guaymaral) (A27-142). Producto: espacios dotados.
AC27.58, actividades:
1. Energía (1/8): recibir y cerrar el avance parcial 2026 del PGEE en los bloques F, G y H (base de información energética, línea base e indicadores, matriz de oportunidades, matriz de información y apoyo al reporte UPME) (A27-143). Producto: 5 productos recibidos a satisfacción.
2. Energía (2/8): ratificar o redesignar al Gestor Energético Institucional para 2027 y definir su dedicación, para que no sea una sobrecarga (A27-144). Producto: acto de designación 2027.
3. Energía (3/8): validar la línea base de consumo con la carga previa a la obra, en kWh y no en costo (Res. UPME 000016 de 2024) (A27-145). Producto: línea base validada.
4. Energía (4/8): contratar la auditoría energética integral de la sede Centro como consultoría con interventoría (solo sedes propias: el Tintal, en comodato, queda fuera) (A27-146). Producto: contratos de consultoría e interventoría.
5. Energía (5/8): formular y adoptar en el CIGD el PGEE y la Política de Gestión Energética, con objetivos de ahorro hacia el 15% (A27-147). Producto: PGEE y política adoptados.
6. Energía (8/8): reportar los resultados anuales a la UPME en el Sistema Único de Usuarios (Circular UPME 000089 de 2025) (A27-150). Producto: reporte radicado en el SUU.
AC27.59, actividades:
1. Energía (6/8): rehabilitar la planta solar fotovoltaica de la sede Centro (talleres de fundición) y su medición, para que la Escuela controle y registre la energía que genera (A27-148). Producto: planta operando con medición.
2. Energía (7/8): implementar medidas de bajo costo (sensores de ocupación, apagado programado, iluminación LED, submedición eléctrica por bloque) y completar la medición sectorizada de agua (A27-149). Producto: medidas instaladas y ahorro verificado por el gestor.
3. Operar el Sistema de Gestión Ambiental: residuos peligrosos, vertimientos y saneamiento (A27-151). Producto: informes de gestión y cumplimiento normativo ambiental.</t>
        </is>
      </c>
      <c r="O45" s="48" t="inlineStr">
        <is>
          <t>GIT Bienestar Universitario (122)
Gestión Ambiental (101)
Planeación y Plan de Acción (101)
Recursos Físicos e Infraestructura (130)</t>
        </is>
      </c>
      <c r="P45" s="48" t="inlineStr">
        <is>
          <t>A27-146: Sugerida por la OAP: 220 consultoría + 30 interventoría)
A27-148: Sugerida por la OAP: 60)
A27-149: Sugerida por la OAP: 80</t>
        </is>
      </c>
      <c r="Q45" s="48" t="inlineStr">
        <is>
          <t>Valor Público</t>
        </is>
      </c>
      <c r="R45" s="48" t="inlineStr">
        <is>
          <t>Contribución al desarrollo social y comunitario, económico, sostenibilidad ambiental, sector educativo, sector productivo y industrial, desarrollo tecnológico, nacional e internacional.
Impacto a actores (estudiantes, docentes, administrativos, egresados) y organizaciones (sector externo y sociedad en general) en valores.</t>
        </is>
      </c>
      <c r="S45" s="48" t="inlineStr">
        <is>
          <t>Cambio en la calidad de vida comparado con generaciones anteriores atribuible a la intervención institucional.
Porcentaje de actores que evidencian cambios significativos en sus valores y actitudes como consecuencia de las intervenciones institucionales.
Tasa de reducción de contaminación de aire, agua o suelo del territorio después del proyecto.</t>
        </is>
      </c>
      <c r="T45" s="49" t="inlineStr">
        <is>
          <t>1. Lo que hacemos: 3 acciones con 11 actividades (columnas M y N).
2. Lo que entregamos (productos): PFB 2027 aprobado; espacios dotados; 5 productos recibidos a satisfacción; acto de designación 2027; línea base validada; contratos de consultoría e interventoría; PGEE y política adoptados; reporte radicado en el SUU; planta operando con medición; medidas instaladas y ahorro verificado por el gestor; informes de gestión y cumplimiento normativo ambiental.
3. Lo que cambia pronto (resultado): los espacios de bienestar quedan dotados y la Escuela cumple la ruta legal de gestión energética con medidas de ahorro instaladas.
4. La transformación que buscamos (impacto): mejoran las condiciones de vida de la comunidad educativa y la Escuela consume menos energía y agua, con menores emisiones y costos.
5. Tipo de impacto según la guía: externo.</t>
        </is>
      </c>
      <c r="U45" s="49" t="inlineStr">
        <is>
          <t>El ahorro de energía se verifica en kWh frente a la línea base previa a la obra, con al menos un 3% en las áreas intervenidas en 2027, y mejora la percepción de calidad de vida asociada al bienestar.
Indicador de la guía con que se mide: cambio en la calidad de vida comparado con generaciones anteriores atribuible a la intervención institucional.
Punto de comparación: la línea base de la meta (PFB 2025 con 4 proyectos financiados por $322,23 millones del MEN (RC 2025), Energía: la ETITC incumple el art. 237 de la Ley 2294 de 2023 y la Res. 40412 de 2024 (sin auditoría energética, PGEE, Política de Gestión Energética ni reporte a la UPME); gestor energético aprobado por el CIGD el 7 de octubre de 2026; avance parcial 2026 de 5 productos en los bloques F, G y H; facturación cercana a $45 millones mensuales; planta solar de la sede Centro sin funcionar desde 2025 (Acta CIGD 6-2026)) y, cuando el estudio lo permita, un grupo de referencia que no recibió la intervención.</t>
        </is>
      </c>
      <c r="V45" s="50" t="n">
        <v>3</v>
      </c>
      <c r="W45" s="50" t="n">
        <v>11</v>
      </c>
      <c r="X45" s="48" t="inlineStr">
        <is>
          <t>Dónde se ubica: eje 6, Cuidado por el bienestar y la vida, línea 6.1 Condiciones para el Bienestar, meta 6.1.1.2 del PDI 2025 a 2032.
Qué cambió frente a 2026: se reincorpora. No existía en el aplicativo 2026. Se reincorpora con dos componentes: (a) infraestructura y dotación para el bienestar (PFB) y (b) gestión energética y sostenibilidad ambiental, por decisión del CIGD 6-2026 (7 de octubre de 2026). Recibe productos 2026 mal ubicados: planta solar (huérfanos, Id 280-282), medidores de agua (registrados en 5.2.1.1) y Sistema de Gestión Ambiental (registrado en 4.2.1.2).
Cómo se mide la meta: N.° de condiciones de infraestructura, dotación y talento humano para bienestar consolidadas, Hitos de la ruta de gestión energética cumplidos (de 5), Ahorro verificado de energía (kWh). Línea base: PFB 2025 con 4 proyectos financiados por $322,23 millones del MEN (RC 2025), Energía: la ETITC incumple el art. 237 de la Ley 2294 de 2023 y la Res. 40412 de 2024 (sin auditoría energética, PGEE, Política de Gestión Energética ni reporte a la UPME); gestor energético aprobado por el CIGD el 7 de octubre de 2026; avance parcial 2026 de 5 productos en los bloques F, G y H; facturación cercana a $45 millones mensuales; planta solar de la sede Centro sin funcionar desde 2025 (Acta CIGD 6-2026). Meta 2027: Sugerida por la OAP: 4 proyectos PFB ejecutados al 100% y sede de Bienestar en Guaymaral operando),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
Cómo se mide el impacto: cambio en la calidad de vida comparado con generaciones anteriores atribuible a la intervención institucional. El indicador sale de la Guía Metodológica para la Evaluación de Impacto Institucional y se lee frente a la línea base.
Qué esperamos obtener: mejoran las condiciones de vida de la comunidad educativa y la Escuela consume menos energía y agua, con menores emisiones y costos.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45" s="48" t="inlineStr">
        <is>
          <t>La línea base no debe tomar el consumo actual, inflado por la obra y por los nuevos talleres y salas: tomar la carga completa previa a la obra y medir en kWh (Acta CIGD 6-2026). Los presupuestos sugeridos son estimaciones OAP que se ajustan con el estudio de mercado. El PDI no tiene una meta explícita de energía: evaluar en la próxima revisión del PDI si se agrega una.</t>
        </is>
      </c>
    </row>
    <row r="46" ht="256.8" customHeight="1" s="23">
      <c r="A46" s="51" t="n"/>
      <c r="B46" s="52" t="n"/>
      <c r="C46" s="44" t="inlineStr">
        <is>
          <t>6.2 Modelo de aseguramiento del Bienestar</t>
        </is>
      </c>
      <c r="D46" s="44" t="inlineStr">
        <is>
          <t>6.2.1. Garantizar ambientes seguros, inclusivos y sostenibles que aseguren el respeto, protección y ejercicio pleno de los derechos fundamentales de la comunidad educativa.</t>
        </is>
      </c>
      <c r="E46" s="44" t="inlineStr">
        <is>
          <t>6.2.1.1. Lograr el cumplimiento del 100% del Plan Institucional de Bienestar Integral 2026 a 2032.</t>
        </is>
      </c>
      <c r="F46" s="45" t="inlineStr">
        <is>
          <t>Se mantiene</t>
        </is>
      </c>
      <c r="G46" s="44" t="inlineStr">
        <is>
          <t>Se mantiene. Se agregan el programa de permanencia y el componente de ambientes seguros (SST y emergencias).</t>
        </is>
      </c>
      <c r="H46" s="44" t="inlineStr">
        <is>
          <t>% de cumplimiento del Plan Institucional de Bienestar Integral</t>
        </is>
      </c>
      <c r="I46" s="44" t="inlineStr">
        <is>
          <t>70,8% de cumplimiento del modelo de aseguramiento del bienestar en 2025; cancelaciones de 2,8% en segundo semestre de 2025 (RC 2025)</t>
        </is>
      </c>
      <c r="J46" s="44" t="inlineStr">
        <is>
          <t>100%</t>
        </is>
      </c>
      <c r="K46" s="46" t="inlineStr">
        <is>
          <t>Sugerida por la OAP: 80% de cumplimiento del modelo de aseguramiento y cancelaciones por debajo de 2,5% del pregrado</t>
        </is>
      </c>
      <c r="L46" s="44" t="inlineStr">
        <is>
          <t>Sugerida por la OAP.</t>
        </is>
      </c>
      <c r="M46" s="47" t="inlineStr">
        <is>
          <t>AC27.60. Cumplir el Plan Institucional de Bienestar Integral con metas anuales, tablero de seguimiento y medición de su impacto.
AC27.61. Proteger la permanencia y la vida de la comunidad con un programa de permanencia y ambientes seguros en todas las sedes.</t>
        </is>
      </c>
      <c r="N46" s="48" t="inlineStr">
        <is>
          <t>AC27.60, actividades:
1. Fijar las metas anuales 2027 del Plan Institucional de Bienestar Integral y su tablero de seguimiento (A27-152). Producto: plan con metas 2027 y tablero.
2. Iniciar el estudio de impacto de servicios de bienestar y políticas académicas (A27-155). Producto: diseño del estudio.
AC27.61, actividades:
1. Implementar el programa de permanencia basado en las causas de cancelación (A27-153). Producto: programa adoptado e indicadores.
2. Ejecutar el SG-SST y el plan de emergencias en todas las sedes (ambientes seguros) (A27-154). Producto: plan ejecutado y simulacro por sede.</t>
        </is>
      </c>
      <c r="O46" s="48" t="inlineStr">
        <is>
          <t>GIT Bienestar Universitario (122)
Seguridad y Salud en el Trabajo (133)</t>
        </is>
      </c>
      <c r="P46" s="48" t="inlineStr">
        <is>
          <t>Sin presupuesto registrado en la matriz plurianual</t>
        </is>
      </c>
      <c r="Q46" s="48" t="inlineStr">
        <is>
          <t>Académica</t>
        </is>
      </c>
      <c r="R46" s="48" t="inlineStr">
        <is>
          <t>Cambios curriculares y mejoramiento de programas
Contribución al desarrollo social y comunitario, económico, sostenibilidad ambiental, sector educativo, sector productivo y industrial, desarrollo tecnológico, nacional e internacional.</t>
        </is>
      </c>
      <c r="S46" s="48" t="inlineStr">
        <is>
          <t>Reducción en la tasa de deserción atribuible a la intervención.
Cambio en la calidad de vida comparado con generaciones anteriores atribuible a la intervención institucional.</t>
        </is>
      </c>
      <c r="T46" s="49" t="inlineStr">
        <is>
          <t>1. Lo que hacemos: 2 acciones con 4 actividades (columnas M y N).
2. Lo que entregamos (productos): plan con metas 2027 y tablero; diseño del estudio; programa adoptado e indicadores; plan ejecutado y simulacro por sede.
3. Lo que cambia pronto (resultado): el Plan Institucional de Bienestar Integral tiene metas anuales, funciona el programa de permanencia y todas las sedes cuentan con plan de emergencias.
4. La transformación que buscamos (impacto): la deserción baja por efecto de los servicios de bienestar y acompañamiento, y la comunidad estudia y trabaja en ambientes seguros.
5. Tipo de impacto según la guía: interno e externo.</t>
        </is>
      </c>
      <c r="U46" s="49" t="inlineStr">
        <is>
          <t>La tasa de cancelación baja del 2,8% registrado en 2025 y la reducción de la deserción se asocia, mediante el estudio de impacto, a los estudiantes atendidos por el programa.
Indicador de la guía con que se mide: reducción en la tasa de deserción atribuible a la intervención.
Punto de comparación: la línea base de la meta (70,8% de cumplimiento del modelo de aseguramiento del bienestar en 2025; cancelaciones de 2,8% en segundo semestre de 2025 (RC 2025)) y, cuando el estudio lo permita, un grupo de referencia que no recibió la intervención.</t>
        </is>
      </c>
      <c r="V46" s="50" t="n">
        <v>2</v>
      </c>
      <c r="W46" s="50" t="n">
        <v>4</v>
      </c>
      <c r="X46" s="48" t="inlineStr">
        <is>
          <t>Dónde se ubica: eje 6, Cuidado por el bienestar y la vida, línea 6.2 Modelo de aseguramiento del Bienestar, meta 6.2.1.1 del PDI 2025 a 2032.
Qué cambió frente a 2026: se mantiene. Se mantiene. Se agregan el programa de permanencia y el componente de ambientes seguros (SST y emergencias).
Cómo se mide la meta: % de cumplimiento del Plan Institucional de Bienestar Integral. Línea base: 70,8% de cumplimiento del modelo de aseguramiento del bienestar en 2025; cancelaciones de 2,8% en segundo semestre de 2025 (RC 2025). Meta 2027: Sugerida por la OAP: 80% de cumplimiento del modelo de aseguramiento y cancelaciones por debajo de 2,5% del pregrado.
Cómo se mide el impacto: reducción en la tasa de deserción atribuible a la intervención. El indicador sale de la Guía Metodológica para la Evaluación de Impacto Institucional y se lee frente a la línea base.
Qué esperamos obtener: la deserción baja por efecto de los servicios de bienestar y acompañamiento, y la comunidad estudia y trabaja en ambientes seguros.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46" s="48" t="inlineStr">
        <is>
          <t>La hoja PROY dice «Plan 2026 a 2032»; otros documentos, «2025 a 2032».</t>
        </is>
      </c>
    </row>
    <row r="47" ht="256.8" customHeight="1" s="23">
      <c r="A47" s="56" t="n"/>
      <c r="B47" s="53" t="n"/>
      <c r="C47" s="59" t="inlineStr">
        <is>
          <t>6.3 Consolidación de la cultura de Bienestar</t>
        </is>
      </c>
      <c r="D47" s="59" t="inlineStr">
        <is>
          <t>6.3.1. Consolidar una cultura institucional basada en el respeto, la preservación de la vida y la construcción de un bienestar integral, personal y colectivo.</t>
        </is>
      </c>
      <c r="E47" s="59" t="inlineStr">
        <is>
          <t>6.3.1.1. Estar en el ranking de las cinco universidades colombianas reconocidas por Times Higher Education y QS World University.</t>
        </is>
      </c>
      <c r="F47" s="60" t="inlineStr">
        <is>
          <t>Se corrige</t>
        </is>
      </c>
      <c r="G47" s="59" t="inlineStr">
        <is>
          <t>Se restituye el enunciado del PDI (el 2026 lo reemplazó por «Alinear la cultura de Bienestar…»).</t>
        </is>
      </c>
      <c r="H47" s="59" t="inlineStr">
        <is>
          <t>Posición en rankings THE y QS</t>
        </is>
      </c>
      <c r="I47" s="59" t="inlineStr">
        <is>
          <t>La ETITC no figura en THE ni en QS; 0 de 2 productos al 2 de septiembre de 2026 (Hoja de Ruta)</t>
        </is>
      </c>
      <c r="J47" s="59" t="inlineStr">
        <is>
          <t>Top 5 nacional</t>
        </is>
      </c>
      <c r="K47" s="61" t="inlineStr">
        <is>
          <t>Sugerida por la OAP: ETITC registrada en los sistemas de datos de THE y QS con el primer reporte institucional enviado</t>
        </is>
      </c>
      <c r="L47" s="59" t="inlineStr">
        <is>
          <t>Sugerida por la OAP.</t>
        </is>
      </c>
      <c r="M47" s="47" t="inlineStr">
        <is>
          <t>AC27.62. Ingresar a los sistemas de clasificación de THE y QS con un diagnóstico de requisitos, una matriz de brechas y el primer reporte institucional.</t>
        </is>
      </c>
      <c r="N47" s="48" t="inlineStr">
        <is>
          <t>AC27.62, actividades:
1. Revisar los requisitos de elegibilidad de THE y QS (A27-156). Producto: documento de requisitos.
2. Construir la matriz de indicadores que piden THE y QS (docencia, investigación, internacionalización) y su brecha (A27-157). Producto: matriz con brechas.
3. Preparar y reportar la información institucional (A27-158). Producto: registro y reporte enviados.</t>
        </is>
      </c>
      <c r="O47" s="48" t="inlineStr">
        <is>
          <t>Planeación y Plan de Acción (101)</t>
        </is>
      </c>
      <c r="P47" s="48" t="inlineStr">
        <is>
          <t>Sin presupuesto registrado en la matriz plurianual</t>
        </is>
      </c>
      <c r="Q47" s="48" t="inlineStr">
        <is>
          <t>Valor Público</t>
        </is>
      </c>
      <c r="R47" s="48" t="inlineStr">
        <is>
          <t>Impacto a actores (estudiantes, docentes, administrativos, egresados) y organizaciones (sector externo y sociedad en general) en valores.
Cambios curriculares y mejoramiento de programas</t>
        </is>
      </c>
      <c r="S47" s="48" t="inlineStr">
        <is>
          <t>Porcentaje de actores que evidencian cambios significativos en sus valores y actitudes como consecuencia de las intervenciones institucionales.
Resultados del valor agregado (diferencia entre el desarrollo de competencias antes de ingresar a la Escuela y lo que demuestra al egresar).</t>
        </is>
      </c>
      <c r="T47" s="49" t="inlineStr">
        <is>
          <t>1. Lo que hacemos: 1 acción con 3 actividades (columnas M y N).
2. Lo que entregamos (productos): documento de requisitos; matriz con brechas; registro y reporte enviados.
3. Lo que cambia pronto (resultado): la Escuela conoce los requisitos de THE y QS, sus brechas y envía su primer reporte.
4. La transformación que buscamos (impacto): la visibilidad internacional refuerza la confianza de los públicos en la Institución.
5. Tipo de impacto según la guía: externo e interno.</t>
        </is>
      </c>
      <c r="U47" s="49" t="inlineStr">
        <is>
          <t>La ETITC aparece en los sistemas de datos de THE y QS y mejora la percepción de los públicos externos sobre su calidad.
Indicador de la guía con que se mide: porcentaje de actores que evidencian cambios significativos en sus valores y actitudes como consecuencia de las intervenciones institucionales.
Punto de comparación: la línea base de la meta (La ETITC no figura en THE ni en QS; 0 de 2 productos al 2 de septiembre de 2026 (Hoja de Ruta)) y, cuando el estudio lo permita, un grupo de referencia que no recibió la intervención.</t>
        </is>
      </c>
      <c r="V47" s="50" t="n">
        <v>1</v>
      </c>
      <c r="W47" s="50" t="n">
        <v>3</v>
      </c>
      <c r="X47" s="48" t="inlineStr">
        <is>
          <t>Dónde se ubica: eje 6, Cuidado por el bienestar y la vida, línea 6.3 Consolidación de la cultura de Bienestar, meta 6.3.1.1 del PDI 2025 a 2032.
Qué cambió frente a 2026: se corrige. Se restituye el enunciado del PDI (el 2026 lo reemplazó por «Alinear la cultura de Bienestar…»).
Cómo se mide la meta: Posición en rankings THE y QS. Línea base: La ETITC no figura en THE ni en QS; 0 de 2 productos al 2 de septiembre de 2026 (Hoja de Ruta). Meta 2027: Sugerida por la OAP: ETITC registrada en los sistemas de datos de THE y QS con el primer reporte institucional enviado.
Cómo se mide el impacto: porcentaje de actores que evidencian cambios significativos en sus valores y actitudes como consecuencia de las intervenciones institucionales. El indicador sale de la Guía Metodológica para la Evaluación de Impacto Institucional y se lee frente a la línea base.
Qué esperamos obtener: la visibilidad internacional refuerza la confianza de los públicos en la Institución.
Cómo se hace el seguimiento: cada trimestre las áreas reportan en el SUIE el avance de las actividades con su evidencia; la Oficina Asesora de Planeación verifica la pertinencia de los productos, consolida el avance de las acciones y de la meta y lo presenta al Comité Institucional de Gestión y Desempeño. Al cierre de 2027 se compara el indicador de la meta con su línea base.</t>
        </is>
      </c>
      <c r="Y47" s="48" t="inlineStr">
        <is>
          <t>THE Impact Rankings mide aporte a los ODS (incluye energía, ODS 7): la gestión energética de 6.1.1.2 puede alimentar ese reporte.</t>
        </is>
      </c>
    </row>
  </sheetData>
  <sheetProtection selectLockedCells="0" selectUnlockedCells="0" sheet="1" objects="0" insertRows="1" insertHyperlinks="1" autoFilter="0" scenarios="0" formatColumns="0" deleteColumns="1" insertColumns="1" pivotTables="1" deleteRows="1" formatCells="1" formatRows="0" sort="1" password="CC6D"/>
  <mergeCells count="42">
    <mergeCell ref="F1:P1"/>
    <mergeCell ref="A26:A37"/>
    <mergeCell ref="C39:C41"/>
    <mergeCell ref="C11:C13"/>
    <mergeCell ref="A1:E1"/>
    <mergeCell ref="B3:B10"/>
    <mergeCell ref="D33:D35"/>
    <mergeCell ref="C23:C25"/>
    <mergeCell ref="D36:D37"/>
    <mergeCell ref="C44:C45"/>
    <mergeCell ref="C9:C10"/>
    <mergeCell ref="D23:D25"/>
    <mergeCell ref="D39:D41"/>
    <mergeCell ref="B26:B37"/>
    <mergeCell ref="B18:B25"/>
    <mergeCell ref="D26:D28"/>
    <mergeCell ref="D29:D31"/>
    <mergeCell ref="D3:D4"/>
    <mergeCell ref="C33:C35"/>
    <mergeCell ref="B38:B43"/>
    <mergeCell ref="C36:C37"/>
    <mergeCell ref="B44:B47"/>
    <mergeCell ref="D9:D10"/>
    <mergeCell ref="Q1:U1"/>
    <mergeCell ref="A3:A10"/>
    <mergeCell ref="C29:C31"/>
    <mergeCell ref="V1:Y1"/>
    <mergeCell ref="A11:A17"/>
    <mergeCell ref="C19:C22"/>
    <mergeCell ref="D14:D15"/>
    <mergeCell ref="B11:B17"/>
    <mergeCell ref="A18:A25"/>
    <mergeCell ref="C26:C28"/>
    <mergeCell ref="D44:D45"/>
    <mergeCell ref="A44:A47"/>
    <mergeCell ref="C3:C4"/>
    <mergeCell ref="A38:A43"/>
    <mergeCell ref="D11:D13"/>
    <mergeCell ref="C6:C7"/>
    <mergeCell ref="D6:D7"/>
    <mergeCell ref="C14:C15"/>
    <mergeCell ref="D19:D22"/>
  </mergeCells>
  <conditionalFormatting sqref="K3:K47">
    <cfRule type="expression" priority="1" dxfId="11">
      <formula>LEFT($K3,8)="Sugerido"</formula>
    </cfRule>
  </conditionalFormatting>
  <pageMargins left="0.75" right="0.75" top="1" bottom="1" header="0.5" footer="0.5"/>
  <pageSetup orientation="portrait" paperSize="9"/>
</worksheet>
</file>

<file path=xl/worksheets/sheet4.xml><?xml version="1.0" encoding="utf-8"?>
<worksheet xmlns="http://schemas.openxmlformats.org/spreadsheetml/2006/main">
  <sheetPr>
    <tabColor rgb="000F6B4B"/>
    <outlinePr summaryBelow="1" summaryRight="1"/>
    <pageSetUpPr/>
  </sheetPr>
  <dimension ref="A1:X160"/>
  <sheetViews>
    <sheetView showGridLines="0" tabSelected="0" workbookViewId="0">
      <pane xSplit="7" ySplit="2" topLeftCell="H3" activePane="bottomRight" state="frozen"/>
      <selection pane="topRight"/>
      <selection pane="bottomLeft"/>
      <selection pane="bottomRight" activeCell="A1" sqref="A1"/>
    </sheetView>
  </sheetViews>
  <sheetFormatPr baseColWidth="8" defaultRowHeight="15"/>
  <cols>
    <col width="9" customWidth="1" style="23" min="1" max="1"/>
    <col width="11" customWidth="1" style="23" min="2" max="2"/>
    <col width="46" customWidth="1" style="23" min="3" max="3"/>
    <col width="20" customWidth="1" style="23" min="5" max="5"/>
    <col width="34" customWidth="1" style="23" min="6" max="6"/>
    <col width="46" customWidth="1" style="23" min="7" max="7"/>
    <col width="34" customWidth="1" style="23" min="8" max="8"/>
    <col width="26" customWidth="1" style="23" min="9" max="9"/>
    <col width="22" customWidth="1" style="23" min="11" max="11"/>
    <col width="18" customWidth="1" style="23" min="12" max="12"/>
    <col width="36" customWidth="1" style="23" min="13" max="13"/>
    <col width="14" customWidth="1" style="23" min="14" max="14"/>
    <col width="16" customWidth="1" style="23" min="15" max="15"/>
    <col width="11" customWidth="1" style="23" min="16" max="16"/>
    <col width="24" customWidth="1" style="23" min="18" max="18"/>
    <col width="14" customWidth="1" style="23" min="20" max="20"/>
    <col width="26" customWidth="1" style="23" min="21" max="21"/>
    <col width="13" customWidth="1" style="23" min="24" max="24"/>
  </cols>
  <sheetData>
    <row r="1" ht="17.4" customHeight="1" s="23">
      <c r="A1" s="62" t="inlineStr">
        <is>
          <t>Actividades 2027 propuestas, agrupadas por acción y por meta del Plan de Acción Anual 2027</t>
        </is>
      </c>
    </row>
    <row r="2" ht="42" customHeight="1" s="23">
      <c r="A2" s="63" t="inlineStr">
        <is>
          <t>Id acción</t>
        </is>
      </c>
      <c r="B2" s="63" t="inlineStr">
        <is>
          <t>Código de la acción</t>
        </is>
      </c>
      <c r="C2" s="63" t="inlineStr">
        <is>
          <t>Acción 2027 a la que pertenece</t>
        </is>
      </c>
      <c r="D2" s="63" t="inlineStr">
        <is>
          <t>Código meta</t>
        </is>
      </c>
      <c r="E2" s="63" t="inlineStr">
        <is>
          <t>Eje</t>
        </is>
      </c>
      <c r="F2" s="63" t="inlineStr">
        <is>
          <t>Meta estratégica (PDI)</t>
        </is>
      </c>
      <c r="G2" s="63" t="inlineStr">
        <is>
          <t>Actividad 2027</t>
        </is>
      </c>
      <c r="H2" s="63" t="inlineStr">
        <is>
          <t>Producto esperado</t>
        </is>
      </c>
      <c r="I2" s="63" t="inlineStr">
        <is>
          <t>Área funcional</t>
        </is>
      </c>
      <c r="J2" s="63" t="inlineStr">
        <is>
          <t>Dependencia</t>
        </is>
      </c>
      <c r="K2" s="63" t="inlineStr">
        <is>
          <t>Origen</t>
        </is>
      </c>
      <c r="L2" s="63" t="inlineStr">
        <is>
          <t>Presupuesto 2027 (millones $)</t>
        </is>
      </c>
      <c r="M2" s="63" t="inlineStr">
        <is>
          <t>Indicador de impacto sugerido</t>
        </is>
      </c>
      <c r="N2" s="63" t="inlineStr">
        <is>
          <t>Dimensión sugerida</t>
        </is>
      </c>
      <c r="O2" s="64" t="inlineStr">
        <is>
          <t>Validación del área</t>
        </is>
      </c>
      <c r="P2" s="64" t="inlineStr">
        <is>
          <t>Fecha de inicio</t>
        </is>
      </c>
      <c r="Q2" s="64" t="inlineStr">
        <is>
          <t>Fecha de fin</t>
        </is>
      </c>
      <c r="R2" s="64" t="inlineStr">
        <is>
          <t>Responsable (correo institucional)</t>
        </is>
      </c>
      <c r="S2" s="64" t="inlineStr">
        <is>
          <t>Indicador de seguimiento</t>
        </is>
      </c>
      <c r="T2" s="64" t="inlineStr">
        <is>
          <t>Meta 2027 de la acción</t>
        </is>
      </c>
      <c r="U2" s="64" t="inlineStr">
        <is>
          <t>Observaciones</t>
        </is>
      </c>
      <c r="X2" t="inlineStr">
        <is>
          <t>Aceptada</t>
        </is>
      </c>
    </row>
    <row r="3" ht="60" customHeight="1" s="23">
      <c r="A3" s="65" t="inlineStr">
        <is>
          <t>A27-001</t>
        </is>
      </c>
      <c r="B3" s="66" t="inlineStr">
        <is>
          <t>AC27.01</t>
        </is>
      </c>
      <c r="C3" s="65" t="inlineStr">
        <is>
          <t>Fortalecer la medición de la cobertura y de sus efectos, de modo que la Escuela sepa cuántos estudiantes nuevos gana cada año y qué pasa con ellos al egresar</t>
        </is>
      </c>
      <c r="D3" s="65" t="inlineStr">
        <is>
          <t>1.1.1.1</t>
        </is>
      </c>
      <c r="E3" s="67" t="inlineStr">
        <is>
          <t>Formación y pedagogía de calidad</t>
        </is>
      </c>
      <c r="F3" s="67" t="inlineStr">
        <is>
          <t>Contar con 11.000 estudiantes vinculados a programas de educación superior al 2032.</t>
        </is>
      </c>
      <c r="G3" s="65" t="inlineStr">
        <is>
          <t>Adoptar el crecimiento neto de primer curso como indicador de meta, junto con nuevos atendidos</t>
        </is>
      </c>
      <c r="H3" s="65" t="inlineStr">
        <is>
          <t>Ficha del indicador y serie SNIES por programa</t>
        </is>
      </c>
      <c r="I3" s="67" t="inlineStr">
        <is>
          <t>Planeación y Plan de Acción</t>
        </is>
      </c>
      <c r="J3" s="67" t="inlineStr">
        <is>
          <t>101, Oficina Asesora de Planeación y Desarrollo Institucional</t>
        </is>
      </c>
      <c r="K3" s="65" t="inlineStr">
        <is>
          <t>Compromiso CP-036</t>
        </is>
      </c>
      <c r="L3" s="65" t="n"/>
      <c r="M3" s="65" t="inlineStr">
        <is>
          <t>Porcentaje de jóvenes de la comunidad beneficiaria que se escolarizaron con la Institución.</t>
        </is>
      </c>
      <c r="N3" s="65" t="inlineStr">
        <is>
          <t>Valor Público</t>
        </is>
      </c>
      <c r="O3" s="68" t="n"/>
      <c r="P3" s="69" t="n"/>
      <c r="Q3" s="69" t="n"/>
      <c r="R3" s="68" t="n"/>
      <c r="S3" s="68" t="n"/>
      <c r="T3" s="68" t="n"/>
      <c r="U3" s="68" t="n"/>
      <c r="X3" t="inlineStr">
        <is>
          <t>Aceptada con ajustes</t>
        </is>
      </c>
    </row>
    <row r="4" ht="60" customHeight="1" s="23">
      <c r="A4" s="65" t="inlineStr">
        <is>
          <t>A27-002</t>
        </is>
      </c>
      <c r="B4" s="66" t="inlineStr">
        <is>
          <t>AC27.02</t>
        </is>
      </c>
      <c r="C4" s="65" t="inlineStr">
        <is>
          <t>Orientar la admisión 2027 hacia los programas con mayor demanda, con un calendario de admisiones armonizado con los recursos que asigna el Ministerio de Educación</t>
        </is>
      </c>
      <c r="D4" s="65" t="inlineStr">
        <is>
          <t>1.1.1.1</t>
        </is>
      </c>
      <c r="E4" s="67" t="inlineStr">
        <is>
          <t>Formación y pedagogía de calidad</t>
        </is>
      </c>
      <c r="F4" s="67" t="inlineStr">
        <is>
          <t>Contar con 11.000 estudiantes vinculados a programas de educación superior al 2032.</t>
        </is>
      </c>
      <c r="G4" s="65" t="inlineStr">
        <is>
          <t>Armonizar el calendario de admisiones con la asignación de recursos del MEN</t>
        </is>
      </c>
      <c r="H4" s="65" t="inlineStr">
        <is>
          <t>Calendario de admisiones armonizado</t>
        </is>
      </c>
      <c r="I4" s="67" t="inlineStr">
        <is>
          <t>GIT Registro, Control y Admisiones</t>
        </is>
      </c>
      <c r="J4" s="67" t="inlineStr">
        <is>
          <t>126, GIT Registro y Control</t>
        </is>
      </c>
      <c r="K4" s="65" t="inlineStr">
        <is>
          <t>Compromiso CP-037</t>
        </is>
      </c>
      <c r="L4" s="65" t="n"/>
      <c r="M4" s="65" t="inlineStr">
        <is>
          <t>Porcentaje de jóvenes de la comunidad beneficiaria que se escolarizaron con la Institución.</t>
        </is>
      </c>
      <c r="N4" s="65" t="inlineStr">
        <is>
          <t>Valor Público</t>
        </is>
      </c>
      <c r="O4" s="68" t="n"/>
      <c r="P4" s="69" t="n"/>
      <c r="Q4" s="69" t="n"/>
      <c r="R4" s="68" t="n"/>
      <c r="S4" s="68" t="n"/>
      <c r="T4" s="68" t="n"/>
      <c r="U4" s="68" t="n"/>
      <c r="X4" t="inlineStr">
        <is>
          <t>Reasignada a otra área</t>
        </is>
      </c>
    </row>
    <row r="5" ht="60" customHeight="1" s="23">
      <c r="A5" s="65" t="inlineStr">
        <is>
          <t>A27-003</t>
        </is>
      </c>
      <c r="B5" s="66" t="inlineStr">
        <is>
          <t>AC27.02</t>
        </is>
      </c>
      <c r="C5" s="65" t="inlineStr">
        <is>
          <t>Orientar la admisión 2027 hacia los programas con mayor demanda, con un calendario de admisiones armonizado con los recursos que asigna el Ministerio de Educación</t>
        </is>
      </c>
      <c r="D5" s="65" t="inlineStr">
        <is>
          <t>1.1.1.1</t>
        </is>
      </c>
      <c r="E5" s="67" t="inlineStr">
        <is>
          <t>Formación y pedagogía de calidad</t>
        </is>
      </c>
      <c r="F5" s="67" t="inlineStr">
        <is>
          <t>Contar con 11.000 estudiantes vinculados a programas de educación superior al 2032.</t>
        </is>
      </c>
      <c r="G5" s="65" t="inlineStr">
        <is>
          <t>Concentrar cupos en programas con demanda creciente y revisar la oferta de programas en descenso</t>
        </is>
      </c>
      <c r="H5" s="65" t="inlineStr">
        <is>
          <t>Informe de oferta y demanda por programa 2027</t>
        </is>
      </c>
      <c r="I5" s="67" t="inlineStr">
        <is>
          <t>Despacho de la Vicerrectoría Académica</t>
        </is>
      </c>
      <c r="J5" s="67" t="inlineStr">
        <is>
          <t>120, Vicerrectoría Académica</t>
        </is>
      </c>
      <c r="K5" s="65" t="inlineStr">
        <is>
          <t>Insumo MEN 2026-EE-355684</t>
        </is>
      </c>
      <c r="L5" s="65" t="n"/>
      <c r="M5" s="65" t="inlineStr">
        <is>
          <t>Porcentaje de jóvenes de la comunidad beneficiaria que se escolarizaron con la Institución.</t>
        </is>
      </c>
      <c r="N5" s="65" t="inlineStr">
        <is>
          <t>Valor Público</t>
        </is>
      </c>
      <c r="O5" s="68" t="n"/>
      <c r="P5" s="69" t="n"/>
      <c r="Q5" s="69" t="n"/>
      <c r="R5" s="68" t="n"/>
      <c r="S5" s="68" t="n"/>
      <c r="T5" s="68" t="n"/>
      <c r="U5" s="68" t="n"/>
      <c r="X5" t="inlineStr">
        <is>
          <t>No aplica (justificar)</t>
        </is>
      </c>
    </row>
    <row r="6" ht="46.5" customHeight="1" s="23">
      <c r="A6" s="65" t="inlineStr">
        <is>
          <t>A27-004</t>
        </is>
      </c>
      <c r="B6" s="66" t="inlineStr">
        <is>
          <t>AC27.03</t>
        </is>
      </c>
      <c r="C6" s="65" t="inlineStr">
        <is>
          <t>Ampliar la cobertura en los territorios con cohortes nuevas en La Primavera (Vichada) y en Zipaquirá</t>
        </is>
      </c>
      <c r="D6" s="65" t="inlineStr">
        <is>
          <t>1.1.1.1</t>
        </is>
      </c>
      <c r="E6" s="67" t="inlineStr">
        <is>
          <t>Formación y pedagogía de calidad</t>
        </is>
      </c>
      <c r="F6" s="67" t="inlineStr">
        <is>
          <t>Contar con 11.000 estudiantes vinculados a programas de educación superior al 2032.</t>
        </is>
      </c>
      <c r="G6" s="65" t="inlineStr">
        <is>
          <t>Ejecutar la cohorte primer semestre de 2027 en La Primavera (Vichada) con 80 cupos adicionales</t>
        </is>
      </c>
      <c r="H6" s="65" t="inlineStr">
        <is>
          <t>Matrícula de la cohorte en SNIES y acto del Consejo Directivo</t>
        </is>
      </c>
      <c r="I6" s="67" t="inlineStr">
        <is>
          <t>Despacho de la Vicerrectoría Académica</t>
        </is>
      </c>
      <c r="J6" s="67" t="inlineStr">
        <is>
          <t>120, Vicerrectoría Académica</t>
        </is>
      </c>
      <c r="K6" s="65" t="inlineStr">
        <is>
          <t>Compromiso CP-038</t>
        </is>
      </c>
      <c r="L6" s="65" t="inlineStr">
        <is>
          <t>295,8 (Res. MEN 019862)</t>
        </is>
      </c>
      <c r="M6" s="65" t="inlineStr">
        <is>
          <t>Porcentaje de jóvenes de la comunidad beneficiaria que se escolarizaron con la Institución.</t>
        </is>
      </c>
      <c r="N6" s="65" t="inlineStr">
        <is>
          <t>Valor Público</t>
        </is>
      </c>
      <c r="O6" s="68" t="n"/>
      <c r="P6" s="69" t="n"/>
      <c r="Q6" s="69" t="n"/>
      <c r="R6" s="68" t="n"/>
      <c r="S6" s="68" t="n"/>
      <c r="T6" s="68" t="n"/>
      <c r="U6" s="68" t="n"/>
    </row>
    <row r="7" ht="46.5" customHeight="1" s="23">
      <c r="A7" s="65" t="inlineStr">
        <is>
          <t>A27-005</t>
        </is>
      </c>
      <c r="B7" s="66" t="inlineStr">
        <is>
          <t>AC27.03</t>
        </is>
      </c>
      <c r="C7" s="65" t="inlineStr">
        <is>
          <t>Ampliar la cobertura en los territorios con cohortes nuevas en La Primavera (Vichada) y en Zipaquirá</t>
        </is>
      </c>
      <c r="D7" s="65" t="inlineStr">
        <is>
          <t>1.1.1.1</t>
        </is>
      </c>
      <c r="E7" s="67" t="inlineStr">
        <is>
          <t>Formación y pedagogía de calidad</t>
        </is>
      </c>
      <c r="F7" s="67" t="inlineStr">
        <is>
          <t>Contar con 11.000 estudiantes vinculados a programas de educación superior al 2032.</t>
        </is>
      </c>
      <c r="G7" s="65" t="inlineStr">
        <is>
          <t>Ofertar y matricular en Zipaquirá bajo lugares de desarrollo transitorios</t>
        </is>
      </c>
      <c r="H7" s="65" t="inlineStr">
        <is>
          <t>Matrícula por lugar de desarrollo en SNIES</t>
        </is>
      </c>
      <c r="I7" s="67" t="inlineStr">
        <is>
          <t>Sedes Tintal y Soacha-UPK y Viotá</t>
        </is>
      </c>
      <c r="J7" s="67" t="inlineStr">
        <is>
          <t>120, Vicerrectoría Académica</t>
        </is>
      </c>
      <c r="K7" s="65" t="inlineStr">
        <is>
          <t>Compromiso CP-015</t>
        </is>
      </c>
      <c r="L7" s="65" t="n"/>
      <c r="M7" s="65" t="inlineStr">
        <is>
          <t>Porcentaje de jóvenes de la comunidad beneficiaria que se escolarizaron con la Institución.</t>
        </is>
      </c>
      <c r="N7" s="65" t="inlineStr">
        <is>
          <t>Valor Público</t>
        </is>
      </c>
      <c r="O7" s="68" t="n"/>
      <c r="P7" s="69" t="n"/>
      <c r="Q7" s="69" t="n"/>
      <c r="R7" s="68" t="n"/>
      <c r="S7" s="68" t="n"/>
      <c r="T7" s="68" t="n"/>
      <c r="U7" s="68" t="n"/>
    </row>
    <row r="8" ht="60" customHeight="1" s="23">
      <c r="A8" s="65" t="inlineStr">
        <is>
          <t>A27-006</t>
        </is>
      </c>
      <c r="B8" s="66" t="inlineStr">
        <is>
          <t>AC27.01</t>
        </is>
      </c>
      <c r="C8" s="65" t="inlineStr">
        <is>
          <t>Fortalecer la medición de la cobertura y de sus efectos, de modo que la Escuela sepa cuántos estudiantes nuevos gana cada año y qué pasa con ellos al egresar</t>
        </is>
      </c>
      <c r="D8" s="65" t="inlineStr">
        <is>
          <t>1.1.1.1</t>
        </is>
      </c>
      <c r="E8" s="67" t="inlineStr">
        <is>
          <t>Formación y pedagogía de calidad</t>
        </is>
      </c>
      <c r="F8" s="67" t="inlineStr">
        <is>
          <t>Contar con 11.000 estudiantes vinculados a programas de educación superior al 2032.</t>
        </is>
      </c>
      <c r="G8" s="65" t="inlineStr">
        <is>
          <t>Iniciar el estudio de impacto de Egresados</t>
        </is>
      </c>
      <c r="H8" s="65" t="inlineStr">
        <is>
          <t>Diseño del estudio aprobado</t>
        </is>
      </c>
      <c r="I8" s="67" t="inlineStr">
        <is>
          <t>Egresados y Bolsa de Empleo</t>
        </is>
      </c>
      <c r="J8" s="67" t="inlineStr">
        <is>
          <t>141, GIT Extensión y Proyección Social</t>
        </is>
      </c>
      <c r="K8" s="65" t="inlineStr">
        <is>
          <t>Compromiso CP-064</t>
        </is>
      </c>
      <c r="L8" s="65" t="n"/>
      <c r="M8" s="65" t="inlineStr">
        <is>
          <t>Porcentaje de jóvenes de la comunidad beneficiaria que se escolarizaron con la Institución.</t>
        </is>
      </c>
      <c r="N8" s="65" t="inlineStr">
        <is>
          <t>Valor Público</t>
        </is>
      </c>
      <c r="O8" s="68" t="n"/>
      <c r="P8" s="69" t="n"/>
      <c r="Q8" s="69" t="n"/>
      <c r="R8" s="68" t="n"/>
      <c r="S8" s="68" t="n"/>
      <c r="T8" s="68" t="n"/>
      <c r="U8" s="68" t="n"/>
    </row>
    <row r="9" ht="60" customHeight="1" s="23">
      <c r="A9" s="65" t="inlineStr">
        <is>
          <t>A27-007</t>
        </is>
      </c>
      <c r="B9" s="66" t="inlineStr">
        <is>
          <t>AC27.04</t>
        </is>
      </c>
      <c r="C9" s="65" t="inlineStr">
        <is>
          <t>Consolidar la ruta de tránsito del IBTI a la educación superior de la ETITC, desde la alineación curricular hasta el acompañamiento de la cohorte que ingresa</t>
        </is>
      </c>
      <c r="D9" s="65" t="inlineStr">
        <is>
          <t>1.1.1.2</t>
        </is>
      </c>
      <c r="E9" s="67" t="inlineStr">
        <is>
          <t>Formación y pedagogía de calidad</t>
        </is>
      </c>
      <c r="F9" s="67" t="inlineStr">
        <is>
          <t>Lograr que el 30% de los estudiantes del IBTI pasen a la educación superior de la ETITC.</t>
        </is>
      </c>
      <c r="G9" s="65" t="inlineStr">
        <is>
          <t>Alinear los currículos del IBTI con los programas técnicos profesionales por ciclos propedéuticos</t>
        </is>
      </c>
      <c r="H9" s="65" t="inlineStr">
        <is>
          <t>Currículos alineados (ver 4.2.1.3)</t>
        </is>
      </c>
      <c r="I9" s="67" t="inlineStr">
        <is>
          <t>Despacho de la Vicerrectoría Académica</t>
        </is>
      </c>
      <c r="J9" s="67" t="inlineStr">
        <is>
          <t>120, Vicerrectoría Académica</t>
        </is>
      </c>
      <c r="K9" s="65" t="inlineStr">
        <is>
          <t>MPI</t>
        </is>
      </c>
      <c r="L9" s="65" t="n"/>
      <c r="M9" s="65" t="inlineStr">
        <is>
          <t>Porcentaje de jóvenes de la comunidad beneficiaria que se escolarizaron con la Institución.</t>
        </is>
      </c>
      <c r="N9" s="65" t="inlineStr">
        <is>
          <t>Valor Público</t>
        </is>
      </c>
      <c r="O9" s="68" t="n"/>
      <c r="P9" s="69" t="n"/>
      <c r="Q9" s="69" t="n"/>
      <c r="R9" s="68" t="n"/>
      <c r="S9" s="68" t="n"/>
      <c r="T9" s="68" t="n"/>
      <c r="U9" s="68" t="n"/>
    </row>
    <row r="10" ht="60" customHeight="1" s="23">
      <c r="A10" s="65" t="inlineStr">
        <is>
          <t>A27-008</t>
        </is>
      </c>
      <c r="B10" s="66" t="inlineStr">
        <is>
          <t>AC27.04</t>
        </is>
      </c>
      <c r="C10" s="65" t="inlineStr">
        <is>
          <t>Consolidar la ruta de tránsito del IBTI a la educación superior de la ETITC, desde la alineación curricular hasta el acompañamiento de la cohorte que ingresa</t>
        </is>
      </c>
      <c r="D10" s="65" t="inlineStr">
        <is>
          <t>1.1.1.2</t>
        </is>
      </c>
      <c r="E10" s="67" t="inlineStr">
        <is>
          <t>Formación y pedagogía de calidad</t>
        </is>
      </c>
      <c r="F10" s="67" t="inlineStr">
        <is>
          <t>Lograr que el 30% de los estudiantes del IBTI pasen a la educación superior de la ETITC.</t>
        </is>
      </c>
      <c r="G10" s="65" t="inlineStr">
        <is>
          <t>Implementar la ruta de admisión y tránsito del IBTI a la educación superior</t>
        </is>
      </c>
      <c r="H10" s="65" t="inlineStr">
        <is>
          <t>Procedimiento adoptado y estudiantes admitidos</t>
        </is>
      </c>
      <c r="I10" s="67" t="inlineStr">
        <is>
          <t>IBTI</t>
        </is>
      </c>
      <c r="J10" s="67" t="inlineStr">
        <is>
          <t>124, Instituto de Bachillerato Técnico Industrial (IBTI)</t>
        </is>
      </c>
      <c r="K10" s="65" t="inlineStr">
        <is>
          <t>Propuesta OAP</t>
        </is>
      </c>
      <c r="L10" s="65" t="n"/>
      <c r="M10" s="65" t="inlineStr">
        <is>
          <t>Porcentaje de jóvenes de la comunidad beneficiaria que se escolarizaron con la Institución.</t>
        </is>
      </c>
      <c r="N10" s="65" t="inlineStr">
        <is>
          <t>Valor Público</t>
        </is>
      </c>
      <c r="O10" s="68" t="n"/>
      <c r="P10" s="69" t="n"/>
      <c r="Q10" s="69" t="n"/>
      <c r="R10" s="68" t="n"/>
      <c r="S10" s="68" t="n"/>
      <c r="T10" s="68" t="n"/>
      <c r="U10" s="68" t="n"/>
    </row>
    <row r="11" ht="60" customHeight="1" s="23">
      <c r="A11" s="65" t="inlineStr">
        <is>
          <t>A27-009</t>
        </is>
      </c>
      <c r="B11" s="66" t="inlineStr">
        <is>
          <t>AC27.04</t>
        </is>
      </c>
      <c r="C11" s="65" t="inlineStr">
        <is>
          <t>Consolidar la ruta de tránsito del IBTI a la educación superior de la ETITC, desde la alineación curricular hasta el acompañamiento de la cohorte que ingresa</t>
        </is>
      </c>
      <c r="D11" s="65" t="inlineStr">
        <is>
          <t>1.1.1.2</t>
        </is>
      </c>
      <c r="E11" s="67" t="inlineStr">
        <is>
          <t>Formación y pedagogía de calidad</t>
        </is>
      </c>
      <c r="F11" s="67" t="inlineStr">
        <is>
          <t>Lograr que el 30% de los estudiantes del IBTI pasen a la educación superior de la ETITC.</t>
        </is>
      </c>
      <c r="G11" s="65" t="inlineStr">
        <is>
          <t>Hacer seguimiento a la cohorte que transita y a su permanencia en el primer año</t>
        </is>
      </c>
      <c r="H11" s="65" t="inlineStr">
        <is>
          <t>Informe de seguimiento de la cohorte</t>
        </is>
      </c>
      <c r="I11" s="67" t="inlineStr">
        <is>
          <t>GIT Registro, Control y Admisiones</t>
        </is>
      </c>
      <c r="J11" s="67" t="inlineStr">
        <is>
          <t>126, GIT Registro y Control</t>
        </is>
      </c>
      <c r="K11" s="65" t="inlineStr">
        <is>
          <t>Propuesta OAP</t>
        </is>
      </c>
      <c r="L11" s="65" t="n"/>
      <c r="M11" s="65" t="inlineStr">
        <is>
          <t>Porcentaje de jóvenes de la comunidad beneficiaria que se escolarizaron con la Institución.</t>
        </is>
      </c>
      <c r="N11" s="65" t="inlineStr">
        <is>
          <t>Valor Público</t>
        </is>
      </c>
      <c r="O11" s="68" t="n"/>
      <c r="P11" s="69" t="n"/>
      <c r="Q11" s="69" t="n"/>
      <c r="R11" s="68" t="n"/>
      <c r="S11" s="68" t="n"/>
      <c r="T11" s="68" t="n"/>
      <c r="U11" s="68" t="n"/>
    </row>
    <row r="12" ht="46.5" customHeight="1" s="23">
      <c r="A12" s="65" t="inlineStr">
        <is>
          <t>A27-010</t>
        </is>
      </c>
      <c r="B12" s="66" t="inlineStr">
        <is>
          <t>AC27.05</t>
        </is>
      </c>
      <c r="C12" s="65" t="inlineStr">
        <is>
          <t>Completar el diseño y la aprobación de la nueva oferta de pregrado, con énfasis en inteligencia artificial y ciencia de datos</t>
        </is>
      </c>
      <c r="D12" s="65" t="inlineStr">
        <is>
          <t>1.2.1.1</t>
        </is>
      </c>
      <c r="E12" s="67" t="inlineStr">
        <is>
          <t>Formación y pedagogía de calidad</t>
        </is>
      </c>
      <c r="F12" s="67" t="inlineStr">
        <is>
          <t>Ofrecer programas de educación superior: 5 pregrados nuevos, 3 especializaciones y 3 maestrías.</t>
        </is>
      </c>
      <c r="G12" s="65" t="inlineStr">
        <is>
          <t>Reprogramar los productos 2026 vencidos de la meta (38 al 2 de septiembre de 2026)</t>
        </is>
      </c>
      <c r="H12" s="65" t="inlineStr">
        <is>
          <t>Productos reprogramados</t>
        </is>
      </c>
      <c r="I12" s="67" t="inlineStr">
        <is>
          <t>Despacho de la Vicerrectoría Académica</t>
        </is>
      </c>
      <c r="J12" s="67" t="inlineStr">
        <is>
          <t>120, Vicerrectoría Académica</t>
        </is>
      </c>
      <c r="K12" s="65" t="inlineStr">
        <is>
          <t>Prórroga 2026 (CP-049)</t>
        </is>
      </c>
      <c r="L12" s="65" t="n"/>
      <c r="M12" s="65" t="inlineStr">
        <is>
          <t>Proporción de programas académicos pertinentes (alineados con necesidades y vocación del territorio) ofrecidos por la Institución en el territorio.</t>
        </is>
      </c>
      <c r="N12" s="65" t="inlineStr">
        <is>
          <t>Valor Público</t>
        </is>
      </c>
      <c r="O12" s="68" t="n"/>
      <c r="P12" s="69" t="n"/>
      <c r="Q12" s="69" t="n"/>
      <c r="R12" s="68" t="n"/>
      <c r="S12" s="68" t="n"/>
      <c r="T12" s="68" t="n"/>
      <c r="U12" s="68" t="n"/>
    </row>
    <row r="13" ht="46.5" customHeight="1" s="23">
      <c r="A13" s="65" t="inlineStr">
        <is>
          <t>A27-011</t>
        </is>
      </c>
      <c r="B13" s="66" t="inlineStr">
        <is>
          <t>AC27.05</t>
        </is>
      </c>
      <c r="C13" s="65" t="inlineStr">
        <is>
          <t>Completar el diseño y la aprobación de la nueva oferta de pregrado, con énfasis en inteligencia artificial y ciencia de datos</t>
        </is>
      </c>
      <c r="D13" s="65" t="inlineStr">
        <is>
          <t>1.2.1.1</t>
        </is>
      </c>
      <c r="E13" s="67" t="inlineStr">
        <is>
          <t>Formación y pedagogía de calidad</t>
        </is>
      </c>
      <c r="F13" s="67" t="inlineStr">
        <is>
          <t>Ofrecer programas de educación superior: 5 pregrados nuevos, 3 especializaciones y 3 maestrías.</t>
        </is>
      </c>
      <c r="G13" s="65" t="inlineStr">
        <is>
          <t>Elaborar los documentos maestros de 3 programas de pregrado</t>
        </is>
      </c>
      <c r="H13" s="65" t="inlineStr">
        <is>
          <t>Documentos maestros</t>
        </is>
      </c>
      <c r="I13" s="67" t="inlineStr">
        <is>
          <t>Despacho de la Vicerrectoría Académica</t>
        </is>
      </c>
      <c r="J13" s="67" t="inlineStr">
        <is>
          <t>120, Vicerrectoría Académica</t>
        </is>
      </c>
      <c r="K13" s="65" t="inlineStr">
        <is>
          <t>MPI</t>
        </is>
      </c>
      <c r="L13" s="65" t="n"/>
      <c r="M13" s="65" t="inlineStr">
        <is>
          <t>Proporción de programas académicos pertinentes (alineados con necesidades y vocación del territorio) ofrecidos por la Institución en el territorio.</t>
        </is>
      </c>
      <c r="N13" s="65" t="inlineStr">
        <is>
          <t>Valor Público</t>
        </is>
      </c>
      <c r="O13" s="68" t="n"/>
      <c r="P13" s="69" t="n"/>
      <c r="Q13" s="69" t="n"/>
      <c r="R13" s="68" t="n"/>
      <c r="S13" s="68" t="n"/>
      <c r="T13" s="68" t="n"/>
      <c r="U13" s="68" t="n"/>
    </row>
    <row r="14" ht="60" customHeight="1" s="23">
      <c r="A14" s="65" t="inlineStr">
        <is>
          <t>A27-012</t>
        </is>
      </c>
      <c r="B14" s="66" t="inlineStr">
        <is>
          <t>AC27.05</t>
        </is>
      </c>
      <c r="C14" s="65" t="inlineStr">
        <is>
          <t>Completar el diseño y la aprobación de la nueva oferta de pregrado, con énfasis en inteligencia artificial y ciencia de datos</t>
        </is>
      </c>
      <c r="D14" s="65" t="inlineStr">
        <is>
          <t>1.2.1.1</t>
        </is>
      </c>
      <c r="E14" s="67" t="inlineStr">
        <is>
          <t>Formación y pedagogía de calidad</t>
        </is>
      </c>
      <c r="F14" s="67" t="inlineStr">
        <is>
          <t>Ofrecer programas de educación superior: 5 pregrados nuevos, 3 especializaciones y 3 maestrías.</t>
        </is>
      </c>
      <c r="G14" s="65" t="inlineStr">
        <is>
          <t>Diseñar 4 programas nuevos de IA: Tecnología en Análisis y Modelado de Datos con IA, TP en Ciencia de Datos Aplicada a la IA, Especialización en Gestión de Proyectos de IA y Maestría en Ciencia de Datos</t>
        </is>
      </c>
      <c r="H14" s="65" t="inlineStr">
        <is>
          <t>Planes de estudio y acuerdos</t>
        </is>
      </c>
      <c r="I14" s="67" t="inlineStr">
        <is>
          <t>Facultad de Inteligencia Artificial (Acuerdo 010 de 2025)</t>
        </is>
      </c>
      <c r="J14" s="67" t="inlineStr">
        <is>
          <t>123, Facultades</t>
        </is>
      </c>
      <c r="K14" s="65" t="inlineStr">
        <is>
          <t>Compromiso CP-013</t>
        </is>
      </c>
      <c r="L14" s="65" t="n"/>
      <c r="M14" s="65" t="inlineStr">
        <is>
          <t>Proporción de programas académicos pertinentes (alineados con necesidades y vocación del territorio) ofrecidos por la Institución en el territorio.</t>
        </is>
      </c>
      <c r="N14" s="65" t="inlineStr">
        <is>
          <t>Valor Público</t>
        </is>
      </c>
      <c r="O14" s="68" t="n"/>
      <c r="P14" s="69" t="n"/>
      <c r="Q14" s="69" t="n"/>
      <c r="R14" s="68" t="n"/>
      <c r="S14" s="68" t="n"/>
      <c r="T14" s="68" t="n"/>
      <c r="U14" s="68" t="n"/>
    </row>
    <row r="15" ht="46.5" customHeight="1" s="23">
      <c r="A15" s="65" t="inlineStr">
        <is>
          <t>A27-013</t>
        </is>
      </c>
      <c r="B15" s="66" t="inlineStr">
        <is>
          <t>AC27.05</t>
        </is>
      </c>
      <c r="C15" s="65" t="inlineStr">
        <is>
          <t>Completar el diseño y la aprobación de la nueva oferta de pregrado, con énfasis en inteligencia artificial y ciencia de datos</t>
        </is>
      </c>
      <c r="D15" s="65" t="inlineStr">
        <is>
          <t>1.2.1.1</t>
        </is>
      </c>
      <c r="E15" s="67" t="inlineStr">
        <is>
          <t>Formación y pedagogía de calidad</t>
        </is>
      </c>
      <c r="F15" s="67" t="inlineStr">
        <is>
          <t>Ofrecer programas de educación superior: 5 pregrados nuevos, 3 especializaciones y 3 maestrías.</t>
        </is>
      </c>
      <c r="G15" s="65" t="inlineStr">
        <is>
          <t>Obtener registro calificado de Ingeniería en IA, Ingeniería Robótica con IA y Especialización en Soluciones de IA</t>
        </is>
      </c>
      <c r="H15" s="65" t="inlineStr">
        <is>
          <t>Radicados y resoluciones del MEN</t>
        </is>
      </c>
      <c r="I15" s="67" t="inlineStr">
        <is>
          <t>Despacho de la Vicerrectoría Académica</t>
        </is>
      </c>
      <c r="J15" s="67" t="inlineStr">
        <is>
          <t>120, Vicerrectoría Académica</t>
        </is>
      </c>
      <c r="K15" s="65" t="inlineStr">
        <is>
          <t>Compromiso CP-014</t>
        </is>
      </c>
      <c r="L15" s="65" t="n"/>
      <c r="M15" s="65" t="inlineStr">
        <is>
          <t>Proporción de programas académicos pertinentes (alineados con necesidades y vocación del territorio) ofrecidos por la Institución en el territorio.</t>
        </is>
      </c>
      <c r="N15" s="65" t="inlineStr">
        <is>
          <t>Valor Público</t>
        </is>
      </c>
      <c r="O15" s="68" t="n"/>
      <c r="P15" s="69" t="n"/>
      <c r="Q15" s="69" t="n"/>
      <c r="R15" s="68" t="n"/>
      <c r="S15" s="68" t="n"/>
      <c r="T15" s="68" t="n"/>
      <c r="U15" s="68" t="n"/>
    </row>
    <row r="16" ht="46.5" customHeight="1" s="23">
      <c r="A16" s="65" t="inlineStr">
        <is>
          <t>A27-014</t>
        </is>
      </c>
      <c r="B16" s="66" t="inlineStr">
        <is>
          <t>AC27.06</t>
        </is>
      </c>
      <c r="C16" s="65" t="inlineStr">
        <is>
          <t>Poner en marcha la nueva oferta en el segundo semestre de 2027, incluidos los posgrados y los programas que se desarrollarán en Zipaquirá</t>
        </is>
      </c>
      <c r="D16" s="65" t="inlineStr">
        <is>
          <t>1.2.1.1</t>
        </is>
      </c>
      <c r="E16" s="67" t="inlineStr">
        <is>
          <t>Formación y pedagogía de calidad</t>
        </is>
      </c>
      <c r="F16" s="67" t="inlineStr">
        <is>
          <t>Ofrecer programas de educación superior: 5 pregrados nuevos, 3 especializaciones y 3 maestrías.</t>
        </is>
      </c>
      <c r="G16" s="65" t="inlineStr">
        <is>
          <t>Tramitar la modificación del lugar de desarrollo de los programas de IA si se ofrecerán en Zipaquirá</t>
        </is>
      </c>
      <c r="H16" s="65" t="inlineStr">
        <is>
          <t>Solicitud ante el MEN</t>
        </is>
      </c>
      <c r="I16" s="67" t="inlineStr">
        <is>
          <t>Aseguramiento de la Calidad, MIPG y Registros Calificados</t>
        </is>
      </c>
      <c r="J16" s="67" t="inlineStr">
        <is>
          <t>101, Oficina Asesora de Planeación y Desarrollo Institucional</t>
        </is>
      </c>
      <c r="K16" s="65" t="inlineStr">
        <is>
          <t>Compromiso CP-016</t>
        </is>
      </c>
      <c r="L16" s="65" t="n"/>
      <c r="M16" s="65" t="inlineStr">
        <is>
          <t>Proporción de programas académicos pertinentes (alineados con necesidades y vocación del territorio) ofrecidos por la Institución en el territorio.</t>
        </is>
      </c>
      <c r="N16" s="65" t="inlineStr">
        <is>
          <t>Valor Público</t>
        </is>
      </c>
      <c r="O16" s="68" t="n"/>
      <c r="P16" s="69" t="n"/>
      <c r="Q16" s="69" t="n"/>
      <c r="R16" s="68" t="n"/>
      <c r="S16" s="68" t="n"/>
      <c r="T16" s="68" t="n"/>
      <c r="U16" s="68" t="n"/>
    </row>
    <row r="17" ht="46.5" customHeight="1" s="23">
      <c r="A17" s="65" t="inlineStr">
        <is>
          <t>A27-015</t>
        </is>
      </c>
      <c r="B17" s="66" t="inlineStr">
        <is>
          <t>AC27.06</t>
        </is>
      </c>
      <c r="C17" s="65" t="inlineStr">
        <is>
          <t>Poner en marcha la nueva oferta en el segundo semestre de 2027, incluidos los posgrados y los programas que se desarrollarán en Zipaquirá</t>
        </is>
      </c>
      <c r="D17" s="65" t="inlineStr">
        <is>
          <t>1.2.1.1</t>
        </is>
      </c>
      <c r="E17" s="67" t="inlineStr">
        <is>
          <t>Formación y pedagogía de calidad</t>
        </is>
      </c>
      <c r="F17" s="67" t="inlineStr">
        <is>
          <t>Ofrecer programas de educación superior: 5 pregrados nuevos, 3 especializaciones y 3 maestrías.</t>
        </is>
      </c>
      <c r="G17" s="65" t="inlineStr">
        <is>
          <t>Ofertar 2 especializaciones y 2 maestrías en el II semestre</t>
        </is>
      </c>
      <c r="H17" s="65" t="inlineStr">
        <is>
          <t>Programas ofertados y matrícula</t>
        </is>
      </c>
      <c r="I17" s="67" t="inlineStr">
        <is>
          <t>Coordinación de Especializaciones</t>
        </is>
      </c>
      <c r="J17" s="67" t="inlineStr">
        <is>
          <t>123, Facultades</t>
        </is>
      </c>
      <c r="K17" s="65" t="inlineStr">
        <is>
          <t>MPI</t>
        </is>
      </c>
      <c r="L17" s="65" t="n"/>
      <c r="M17" s="65" t="inlineStr">
        <is>
          <t>Proporción de programas académicos pertinentes (alineados con necesidades y vocación del territorio) ofrecidos por la Institución en el territorio.</t>
        </is>
      </c>
      <c r="N17" s="65" t="inlineStr">
        <is>
          <t>Valor Público</t>
        </is>
      </c>
      <c r="O17" s="68" t="n"/>
      <c r="P17" s="69" t="n"/>
      <c r="Q17" s="69" t="n"/>
      <c r="R17" s="68" t="n"/>
      <c r="S17" s="68" t="n"/>
      <c r="T17" s="68" t="n"/>
      <c r="U17" s="68" t="n"/>
    </row>
    <row r="18" ht="46.5" customHeight="1" s="23">
      <c r="A18" s="65" t="inlineStr">
        <is>
          <t>A27-016</t>
        </is>
      </c>
      <c r="B18" s="66" t="inlineStr">
        <is>
          <t>AC27.07</t>
        </is>
      </c>
      <c r="C18" s="65" t="inlineStr">
        <is>
          <t>Asegurar la continuidad de las acreditaciones de programa, con un calendario de vencimientos y la radicación oportuna de las renovaciones de 2027</t>
        </is>
      </c>
      <c r="D18" s="65" t="inlineStr">
        <is>
          <t>1.3.1.1</t>
        </is>
      </c>
      <c r="E18" s="67" t="inlineStr">
        <is>
          <t>Formación y pedagogía de calidad</t>
        </is>
      </c>
      <c r="F18" s="67" t="inlineStr">
        <is>
          <t>Contar con la acreditación del 100% de los programas de la ETITC que sean acreditables.</t>
        </is>
      </c>
      <c r="G18" s="65" t="inlineStr">
        <is>
          <t>Construir el calendario de vencimientos de las acreditaciones de programa 2027 a 2029</t>
        </is>
      </c>
      <c r="H18" s="65" t="inlineStr">
        <is>
          <t>Calendario de vencimientos</t>
        </is>
      </c>
      <c r="I18" s="67" t="inlineStr">
        <is>
          <t>Autoevaluación y Acreditación</t>
        </is>
      </c>
      <c r="J18" s="67" t="inlineStr">
        <is>
          <t>101, Oficina Asesora de Planeación y Desarrollo Institucional</t>
        </is>
      </c>
      <c r="K18" s="65" t="inlineStr">
        <is>
          <t>Propuesta OAP</t>
        </is>
      </c>
      <c r="L18" s="65" t="n"/>
      <c r="M18" s="65" t="inlineStr">
        <is>
          <t>Resultados del valor agregado (diferencia entre el desarrollo de competencias antes de ingresar a la Escuela y lo que demuestra al egresar).</t>
        </is>
      </c>
      <c r="N18" s="65" t="inlineStr">
        <is>
          <t>Académica</t>
        </is>
      </c>
      <c r="O18" s="68" t="n"/>
      <c r="P18" s="69" t="n"/>
      <c r="Q18" s="69" t="n"/>
      <c r="R18" s="68" t="n"/>
      <c r="S18" s="68" t="n"/>
      <c r="T18" s="68" t="n"/>
      <c r="U18" s="68" t="n"/>
    </row>
    <row r="19" ht="46.5" customHeight="1" s="23">
      <c r="A19" s="65" t="inlineStr">
        <is>
          <t>A27-017</t>
        </is>
      </c>
      <c r="B19" s="66" t="inlineStr">
        <is>
          <t>AC27.07</t>
        </is>
      </c>
      <c r="C19" s="65" t="inlineStr">
        <is>
          <t>Asegurar la continuidad de las acreditaciones de programa, con un calendario de vencimientos y la radicación oportuna de las renovaciones de 2027</t>
        </is>
      </c>
      <c r="D19" s="65" t="inlineStr">
        <is>
          <t>1.3.1.1</t>
        </is>
      </c>
      <c r="E19" s="67" t="inlineStr">
        <is>
          <t>Formación y pedagogía de calidad</t>
        </is>
      </c>
      <c r="F19" s="67" t="inlineStr">
        <is>
          <t>Contar con la acreditación del 100% de los programas de la ETITC que sean acreditables.</t>
        </is>
      </c>
      <c r="G19" s="65" t="inlineStr">
        <is>
          <t>Radicar las renovaciones de acreditación que vencen en 2027 y atender las visitas de pares</t>
        </is>
      </c>
      <c r="H19" s="65" t="inlineStr">
        <is>
          <t>Informes de autoevaluación radicados</t>
        </is>
      </c>
      <c r="I19" s="67" t="inlineStr">
        <is>
          <t>Autoevaluación y Acreditación</t>
        </is>
      </c>
      <c r="J19" s="67" t="inlineStr">
        <is>
          <t>101, Oficina Asesora de Planeación y Desarrollo Institucional</t>
        </is>
      </c>
      <c r="K19" s="65" t="inlineStr">
        <is>
          <t>MPI</t>
        </is>
      </c>
      <c r="L19" s="65" t="n"/>
      <c r="M19" s="65" t="inlineStr">
        <is>
          <t>Resultados del valor agregado (diferencia entre el desarrollo de competencias antes de ingresar a la Escuela y lo que demuestra al egresar).</t>
        </is>
      </c>
      <c r="N19" s="65" t="inlineStr">
        <is>
          <t>Académica</t>
        </is>
      </c>
      <c r="O19" s="68" t="n"/>
      <c r="P19" s="69" t="n"/>
      <c r="Q19" s="69" t="n"/>
      <c r="R19" s="68" t="n"/>
      <c r="S19" s="68" t="n"/>
      <c r="T19" s="68" t="n"/>
      <c r="U19" s="68" t="n"/>
    </row>
    <row r="20" ht="46.5" customHeight="1" s="23">
      <c r="A20" s="65" t="inlineStr">
        <is>
          <t>A27-018</t>
        </is>
      </c>
      <c r="B20" s="66" t="inlineStr">
        <is>
          <t>AC27.08</t>
        </is>
      </c>
      <c r="C20" s="65" t="inlineStr">
        <is>
          <t>Cerrar el ciclo de mejoramiento de los programas acreditados, al día con los planes de mejoramiento y sin productos pendientes de 2026</t>
        </is>
      </c>
      <c r="D20" s="65" t="inlineStr">
        <is>
          <t>1.3.1.1</t>
        </is>
      </c>
      <c r="E20" s="67" t="inlineStr">
        <is>
          <t>Formación y pedagogía de calidad</t>
        </is>
      </c>
      <c r="F20" s="67" t="inlineStr">
        <is>
          <t>Contar con la acreditación del 100% de los programas de la ETITC que sean acreditables.</t>
        </is>
      </c>
      <c r="G20" s="65" t="inlineStr">
        <is>
          <t>Hacer seguimiento a los planes de mejoramiento de los programas acreditados</t>
        </is>
      </c>
      <c r="H20" s="65" t="inlineStr">
        <is>
          <t>Informe semestral de planes de mejoramiento</t>
        </is>
      </c>
      <c r="I20" s="67" t="inlineStr">
        <is>
          <t>Aseguramiento de la Calidad, MIPG y Registros Calificados</t>
        </is>
      </c>
      <c r="J20" s="67" t="inlineStr">
        <is>
          <t>101, Oficina Asesora de Planeación y Desarrollo Institucional</t>
        </is>
      </c>
      <c r="K20" s="65" t="inlineStr">
        <is>
          <t>Propuesta OAP</t>
        </is>
      </c>
      <c r="L20" s="65" t="n"/>
      <c r="M20" s="65" t="inlineStr">
        <is>
          <t>Resultados del valor agregado (diferencia entre el desarrollo de competencias antes de ingresar a la Escuela y lo que demuestra al egresar).</t>
        </is>
      </c>
      <c r="N20" s="65" t="inlineStr">
        <is>
          <t>Académica</t>
        </is>
      </c>
      <c r="O20" s="68" t="n"/>
      <c r="P20" s="69" t="n"/>
      <c r="Q20" s="69" t="n"/>
      <c r="R20" s="68" t="n"/>
      <c r="S20" s="68" t="n"/>
      <c r="T20" s="68" t="n"/>
      <c r="U20" s="68" t="n"/>
    </row>
    <row r="21" ht="46.5" customHeight="1" s="23">
      <c r="A21" s="65" t="inlineStr">
        <is>
          <t>A27-019</t>
        </is>
      </c>
      <c r="B21" s="66" t="inlineStr">
        <is>
          <t>AC27.08</t>
        </is>
      </c>
      <c r="C21" s="65" t="inlineStr">
        <is>
          <t>Cerrar el ciclo de mejoramiento de los programas acreditados, al día con los planes de mejoramiento y sin productos pendientes de 2026</t>
        </is>
      </c>
      <c r="D21" s="65" t="inlineStr">
        <is>
          <t>1.3.1.1</t>
        </is>
      </c>
      <c r="E21" s="67" t="inlineStr">
        <is>
          <t>Formación y pedagogía de calidad</t>
        </is>
      </c>
      <c r="F21" s="67" t="inlineStr">
        <is>
          <t>Contar con la acreditación del 100% de los programas de la ETITC que sean acreditables.</t>
        </is>
      </c>
      <c r="G21" s="65" t="inlineStr">
        <is>
          <t>Cerrar los 11 productos vencidos de acreditación de programas de 2026</t>
        </is>
      </c>
      <c r="H21" s="65" t="inlineStr">
        <is>
          <t>Productos reprogramados</t>
        </is>
      </c>
      <c r="I21" s="67" t="inlineStr">
        <is>
          <t>Autoevaluación y Acreditación</t>
        </is>
      </c>
      <c r="J21" s="67" t="inlineStr">
        <is>
          <t>101, Oficina Asesora de Planeación y Desarrollo Institucional</t>
        </is>
      </c>
      <c r="K21" s="65" t="inlineStr">
        <is>
          <t>Prórroga 2026 (CP-050)</t>
        </is>
      </c>
      <c r="L21" s="65" t="n"/>
      <c r="M21" s="65" t="inlineStr">
        <is>
          <t>Resultados del valor agregado (diferencia entre el desarrollo de competencias antes de ingresar a la Escuela y lo que demuestra al egresar).</t>
        </is>
      </c>
      <c r="N21" s="65" t="inlineStr">
        <is>
          <t>Académica</t>
        </is>
      </c>
      <c r="O21" s="68" t="n"/>
      <c r="P21" s="69" t="n"/>
      <c r="Q21" s="69" t="n"/>
      <c r="R21" s="68" t="n"/>
      <c r="S21" s="68" t="n"/>
      <c r="T21" s="68" t="n"/>
      <c r="U21" s="68" t="n"/>
    </row>
    <row r="22" ht="46.5" customHeight="1" s="23">
      <c r="A22" s="65" t="inlineStr">
        <is>
          <t>A27-020</t>
        </is>
      </c>
      <c r="B22" s="66" t="inlineStr">
        <is>
          <t>AC27.09</t>
        </is>
      </c>
      <c r="C22" s="65" t="inlineStr">
        <is>
          <t>Mejorar los resultados de las pruebas Saber PRO y TyT a partir del análisis por programa y competencia, con estrategias de preparación cuyo efecto se evalúa</t>
        </is>
      </c>
      <c r="D22" s="65" t="inlineStr">
        <is>
          <t>1.3.1.2</t>
        </is>
      </c>
      <c r="E22" s="67" t="inlineStr">
        <is>
          <t>Formación y pedagogía de calidad</t>
        </is>
      </c>
      <c r="F22" s="67" t="inlineStr">
        <is>
          <t>Resultados de las Pruebas SABER por encima de la valoración de la media.</t>
        </is>
      </c>
      <c r="G22" s="65" t="inlineStr">
        <is>
          <t>Analizar los resultados 2025 a 2026 por programa y competencia</t>
        </is>
      </c>
      <c r="H22" s="65" t="inlineStr">
        <is>
          <t>Informe de análisis por programa</t>
        </is>
      </c>
      <c r="I22" s="67" t="inlineStr">
        <is>
          <t>Autoevaluación y Acreditación</t>
        </is>
      </c>
      <c r="J22" s="67" t="inlineStr">
        <is>
          <t>101, Oficina Asesora de Planeación y Desarrollo Institucional</t>
        </is>
      </c>
      <c r="K22" s="65" t="inlineStr">
        <is>
          <t>Propuesta OAP</t>
        </is>
      </c>
      <c r="L22" s="65" t="n"/>
      <c r="M22" s="65" t="inlineStr">
        <is>
          <t>Resultados del valor agregado (diferencia entre el desarrollo de competencias antes de ingresar a la Escuela y lo que demuestra al egresar).</t>
        </is>
      </c>
      <c r="N22" s="65" t="inlineStr">
        <is>
          <t>Académica</t>
        </is>
      </c>
      <c r="O22" s="68" t="n"/>
      <c r="P22" s="69" t="n"/>
      <c r="Q22" s="69" t="n"/>
      <c r="R22" s="68" t="n"/>
      <c r="S22" s="68" t="n"/>
      <c r="T22" s="68" t="n"/>
      <c r="U22" s="68" t="n"/>
    </row>
    <row r="23" ht="46.5" customHeight="1" s="23">
      <c r="A23" s="65" t="inlineStr">
        <is>
          <t>A27-021</t>
        </is>
      </c>
      <c r="B23" s="66" t="inlineStr">
        <is>
          <t>AC27.09</t>
        </is>
      </c>
      <c r="C23" s="65" t="inlineStr">
        <is>
          <t>Mejorar los resultados de las pruebas Saber PRO y TyT a partir del análisis por programa y competencia, con estrategias de preparación cuyo efecto se evalúa</t>
        </is>
      </c>
      <c r="D23" s="65" t="inlineStr">
        <is>
          <t>1.3.1.2</t>
        </is>
      </c>
      <c r="E23" s="67" t="inlineStr">
        <is>
          <t>Formación y pedagogía de calidad</t>
        </is>
      </c>
      <c r="F23" s="67" t="inlineStr">
        <is>
          <t>Resultados de las Pruebas SABER por encima de la valoración de la media.</t>
        </is>
      </c>
      <c r="G23" s="65" t="inlineStr">
        <is>
          <t>Implementar estrategias de preparación para Saber PRO y TyT (talleres de ítems, simulacros)</t>
        </is>
      </c>
      <c r="H23" s="65" t="inlineStr">
        <is>
          <t>Plan de preparación y simulacros aplicados</t>
        </is>
      </c>
      <c r="I23" s="67" t="inlineStr">
        <is>
          <t>Despacho de la Vicerrectoría Académica</t>
        </is>
      </c>
      <c r="J23" s="67" t="inlineStr">
        <is>
          <t>120, Vicerrectoría Académica</t>
        </is>
      </c>
      <c r="K23" s="65" t="inlineStr">
        <is>
          <t>Propuesta OAP</t>
        </is>
      </c>
      <c r="L23" s="65" t="n"/>
      <c r="M23" s="65" t="inlineStr">
        <is>
          <t>Resultados del valor agregado (diferencia entre el desarrollo de competencias antes de ingresar a la Escuela y lo que demuestra al egresar).</t>
        </is>
      </c>
      <c r="N23" s="65" t="inlineStr">
        <is>
          <t>Académica</t>
        </is>
      </c>
      <c r="O23" s="68" t="n"/>
      <c r="P23" s="69" t="n"/>
      <c r="Q23" s="69" t="n"/>
      <c r="R23" s="68" t="n"/>
      <c r="S23" s="68" t="n"/>
      <c r="T23" s="68" t="n"/>
      <c r="U23" s="68" t="n"/>
    </row>
    <row r="24" ht="46.5" customHeight="1" s="23">
      <c r="A24" s="65" t="inlineStr">
        <is>
          <t>A27-022</t>
        </is>
      </c>
      <c r="B24" s="66" t="inlineStr">
        <is>
          <t>AC27.09</t>
        </is>
      </c>
      <c r="C24" s="65" t="inlineStr">
        <is>
          <t>Mejorar los resultados de las pruebas Saber PRO y TyT a partir del análisis por programa y competencia, con estrategias de preparación cuyo efecto se evalúa</t>
        </is>
      </c>
      <c r="D24" s="65" t="inlineStr">
        <is>
          <t>1.3.1.2</t>
        </is>
      </c>
      <c r="E24" s="67" t="inlineStr">
        <is>
          <t>Formación y pedagogía de calidad</t>
        </is>
      </c>
      <c r="F24" s="67" t="inlineStr">
        <is>
          <t>Resultados de las Pruebas SABER por encima de la valoración de la media.</t>
        </is>
      </c>
      <c r="G24" s="65" t="inlineStr">
        <is>
          <t>Evaluar el efecto de las estrategias en los resultados 2027</t>
        </is>
      </c>
      <c r="H24" s="65" t="inlineStr">
        <is>
          <t>Informe de resultados 2027</t>
        </is>
      </c>
      <c r="I24" s="67" t="inlineStr">
        <is>
          <t>Autoevaluación y Acreditación</t>
        </is>
      </c>
      <c r="J24" s="67" t="inlineStr">
        <is>
          <t>101, Oficina Asesora de Planeación y Desarrollo Institucional</t>
        </is>
      </c>
      <c r="K24" s="65" t="inlineStr">
        <is>
          <t>Propuesta OAP</t>
        </is>
      </c>
      <c r="L24" s="65" t="n"/>
      <c r="M24" s="65" t="inlineStr">
        <is>
          <t>Resultados del valor agregado (diferencia entre el desarrollo de competencias antes de ingresar a la Escuela y lo que demuestra al egresar).</t>
        </is>
      </c>
      <c r="N24" s="65" t="inlineStr">
        <is>
          <t>Académica</t>
        </is>
      </c>
      <c r="O24" s="68" t="n"/>
      <c r="P24" s="69" t="n"/>
      <c r="Q24" s="69" t="n"/>
      <c r="R24" s="68" t="n"/>
      <c r="S24" s="68" t="n"/>
      <c r="T24" s="68" t="n"/>
      <c r="U24" s="68" t="n"/>
    </row>
    <row r="25" ht="46.5" customHeight="1" s="23">
      <c r="A25" s="65" t="inlineStr">
        <is>
          <t>A27-023</t>
        </is>
      </c>
      <c r="B25" s="66" t="inlineStr">
        <is>
          <t>AC27.10</t>
        </is>
      </c>
      <c r="C25" s="65" t="inlineStr">
        <is>
          <t>Referenciar dos programas al Marco Europeo de Cualificaciones para que sus títulos sean legibles en el exterior</t>
        </is>
      </c>
      <c r="D25" s="65" t="inlineStr">
        <is>
          <t>1.4.1.1</t>
        </is>
      </c>
      <c r="E25" s="67" t="inlineStr">
        <is>
          <t>Formación y pedagogía de calidad</t>
        </is>
      </c>
      <c r="F25" s="67" t="inlineStr">
        <is>
          <t>Contar con 2 programas de acreditación internacional.</t>
        </is>
      </c>
      <c r="G25" s="65" t="inlineStr">
        <is>
          <t>Elaborar el documento técnico de referenciación al MEC y al Marco Nacional de Cualificaciones (8 niveles) y seleccionar los 2 programas</t>
        </is>
      </c>
      <c r="H25" s="65" t="inlineStr">
        <is>
          <t>Documento técnico aprobado</t>
        </is>
      </c>
      <c r="I25" s="67" t="inlineStr">
        <is>
          <t>Autoevaluación y Acreditación</t>
        </is>
      </c>
      <c r="J25" s="67" t="inlineStr">
        <is>
          <t>101, Oficina Asesora de Planeación y Desarrollo Institucional</t>
        </is>
      </c>
      <c r="K25" s="65" t="inlineStr">
        <is>
          <t>Propuesta OAP</t>
        </is>
      </c>
      <c r="L25" s="65" t="n"/>
      <c r="M25" s="65" t="inlineStr">
        <is>
          <t>Cantidad de procesos académicos y académico administrativos que mejoran.</t>
        </is>
      </c>
      <c r="N25" s="65" t="inlineStr">
        <is>
          <t>Académica</t>
        </is>
      </c>
      <c r="O25" s="68" t="n"/>
      <c r="P25" s="69" t="n"/>
      <c r="Q25" s="69" t="n"/>
      <c r="R25" s="68" t="n"/>
      <c r="S25" s="68" t="n"/>
      <c r="T25" s="68" t="n"/>
      <c r="U25" s="68" t="n"/>
    </row>
    <row r="26" ht="46.5" customHeight="1" s="23">
      <c r="A26" s="65" t="inlineStr">
        <is>
          <t>A27-024</t>
        </is>
      </c>
      <c r="B26" s="66" t="inlineStr">
        <is>
          <t>AC27.10</t>
        </is>
      </c>
      <c r="C26" s="65" t="inlineStr">
        <is>
          <t>Referenciar dos programas al Marco Europeo de Cualificaciones para que sus títulos sean legibles en el exterior</t>
        </is>
      </c>
      <c r="D26" s="65" t="inlineStr">
        <is>
          <t>1.4.1.1</t>
        </is>
      </c>
      <c r="E26" s="67" t="inlineStr">
        <is>
          <t>Formación y pedagogía de calidad</t>
        </is>
      </c>
      <c r="F26" s="67" t="inlineStr">
        <is>
          <t>Contar con 2 programas de acreditación internacional.</t>
        </is>
      </c>
      <c r="G26" s="65" t="inlineStr">
        <is>
          <t>Reescribir los resultados de aprendizaje de los 2 programas por nivel del MEC (conocimientos, destrezas, autonomía)</t>
        </is>
      </c>
      <c r="H26" s="65" t="inlineStr">
        <is>
          <t>Matriz de resultados de aprendizaje referenciada</t>
        </is>
      </c>
      <c r="I26" s="67" t="inlineStr">
        <is>
          <t>Unidad B-Learning</t>
        </is>
      </c>
      <c r="J26" s="67" t="inlineStr">
        <is>
          <t>120, Vicerrectoría Académica</t>
        </is>
      </c>
      <c r="K26" s="65" t="inlineStr">
        <is>
          <t>Propuesta OAP</t>
        </is>
      </c>
      <c r="L26" s="65" t="n"/>
      <c r="M26" s="65" t="inlineStr">
        <is>
          <t>Cantidad de procesos académicos y académico administrativos que mejoran.</t>
        </is>
      </c>
      <c r="N26" s="65" t="inlineStr">
        <is>
          <t>Académica</t>
        </is>
      </c>
      <c r="O26" s="68" t="n"/>
      <c r="P26" s="69" t="n"/>
      <c r="Q26" s="69" t="n"/>
      <c r="R26" s="68" t="n"/>
      <c r="S26" s="68" t="n"/>
      <c r="T26" s="68" t="n"/>
      <c r="U26" s="68" t="n"/>
    </row>
    <row r="27" ht="46.5" customHeight="1" s="23">
      <c r="A27" s="65" t="inlineStr">
        <is>
          <t>A27-025</t>
        </is>
      </c>
      <c r="B27" s="66" t="inlineStr">
        <is>
          <t>AC27.11</t>
        </is>
      </c>
      <c r="C27" s="65" t="inlineStr">
        <is>
          <t>Proyectar internacionalmente los programas referenciados mediante oferta virtual y una alianza de reconocimiento mutuo</t>
        </is>
      </c>
      <c r="D27" s="65" t="inlineStr">
        <is>
          <t>1.4.1.1</t>
        </is>
      </c>
      <c r="E27" s="67" t="inlineStr">
        <is>
          <t>Formación y pedagogía de calidad</t>
        </is>
      </c>
      <c r="F27" s="67" t="inlineStr">
        <is>
          <t>Contar con 2 programas de acreditación internacional.</t>
        </is>
      </c>
      <c r="G27" s="65" t="inlineStr">
        <is>
          <t>Diseñar la oferta virtual de los programas referenciados para captar estudiantes de otras regiones</t>
        </is>
      </c>
      <c r="H27" s="65" t="inlineStr">
        <is>
          <t>Plan de oferta virtual 2027 a 2028</t>
        </is>
      </c>
      <c r="I27" s="67" t="inlineStr">
        <is>
          <t>Unidad B-Learning</t>
        </is>
      </c>
      <c r="J27" s="67" t="inlineStr">
        <is>
          <t>120, Vicerrectoría Académica</t>
        </is>
      </c>
      <c r="K27" s="65" t="inlineStr">
        <is>
          <t>Propuesta OAP</t>
        </is>
      </c>
      <c r="L27" s="65" t="n"/>
      <c r="M27" s="65" t="inlineStr">
        <is>
          <t>Cantidad de procesos académicos y académico administrativos que mejoran.</t>
        </is>
      </c>
      <c r="N27" s="65" t="inlineStr">
        <is>
          <t>Académica</t>
        </is>
      </c>
      <c r="O27" s="68" t="n"/>
      <c r="P27" s="69" t="n"/>
      <c r="Q27" s="69" t="n"/>
      <c r="R27" s="68" t="n"/>
      <c r="S27" s="68" t="n"/>
      <c r="T27" s="68" t="n"/>
      <c r="U27" s="68" t="n"/>
    </row>
    <row r="28" ht="46.5" customHeight="1" s="23">
      <c r="A28" s="65" t="inlineStr">
        <is>
          <t>A27-026</t>
        </is>
      </c>
      <c r="B28" s="66" t="inlineStr">
        <is>
          <t>AC27.11</t>
        </is>
      </c>
      <c r="C28" s="65" t="inlineStr">
        <is>
          <t>Proyectar internacionalmente los programas referenciados mediante oferta virtual y una alianza de reconocimiento mutuo</t>
        </is>
      </c>
      <c r="D28" s="65" t="inlineStr">
        <is>
          <t>1.4.1.1</t>
        </is>
      </c>
      <c r="E28" s="67" t="inlineStr">
        <is>
          <t>Formación y pedagogía de calidad</t>
        </is>
      </c>
      <c r="F28" s="67" t="inlineStr">
        <is>
          <t>Contar con 2 programas de acreditación internacional.</t>
        </is>
      </c>
      <c r="G28" s="65" t="inlineStr">
        <is>
          <t>Firmar una alianza con una IES o agencia extranjera para reconocimiento mutuo y movilidad virtual (COIL)</t>
        </is>
      </c>
      <c r="H28" s="65" t="inlineStr">
        <is>
          <t>Convenio suscrito</t>
        </is>
      </c>
      <c r="I28" s="67" t="inlineStr">
        <is>
          <t>Internacionalización (ORII)</t>
        </is>
      </c>
      <c r="J28" s="67" t="inlineStr">
        <is>
          <t>100, Rectoría</t>
        </is>
      </c>
      <c r="K28" s="65" t="inlineStr">
        <is>
          <t>Prórroga 2026 (CP-048)</t>
        </is>
      </c>
      <c r="L28" s="65" t="n"/>
      <c r="M28" s="65" t="inlineStr">
        <is>
          <t>Cantidad de procesos académicos y académico administrativos que mejoran.</t>
        </is>
      </c>
      <c r="N28" s="65" t="inlineStr">
        <is>
          <t>Académica</t>
        </is>
      </c>
      <c r="O28" s="68" t="n"/>
      <c r="P28" s="69" t="n"/>
      <c r="Q28" s="69" t="n"/>
      <c r="R28" s="68" t="n"/>
      <c r="S28" s="68" t="n"/>
      <c r="T28" s="68" t="n"/>
      <c r="U28" s="68" t="n"/>
    </row>
    <row r="29" ht="46.5" customHeight="1" s="23">
      <c r="A29" s="65" t="inlineStr">
        <is>
          <t>A27-027</t>
        </is>
      </c>
      <c r="B29" s="66" t="inlineStr">
        <is>
          <t>AC27.12</t>
        </is>
      </c>
      <c r="C29" s="65" t="inlineStr">
        <is>
          <t>Sostener la formación doctoral de los docentes mediante un plan profesoral actualizado, una convocatoria anual y los apoyos de estudio</t>
        </is>
      </c>
      <c r="D29" s="65" t="inlineStr">
        <is>
          <t>1.5.1.1</t>
        </is>
      </c>
      <c r="E29" s="67" t="inlineStr">
        <is>
          <t>Formación y pedagogía de calidad</t>
        </is>
      </c>
      <c r="F29" s="67" t="inlineStr">
        <is>
          <t>Se mantienen 12 doctores en formación.</t>
        </is>
      </c>
      <c r="G29" s="65" t="inlineStr">
        <is>
          <t>Actualizar el plan integral de desarrollo profesoral</t>
        </is>
      </c>
      <c r="H29" s="65" t="inlineStr">
        <is>
          <t>Plan aprobado</t>
        </is>
      </c>
      <c r="I29" s="67" t="inlineStr">
        <is>
          <t>GIT Talento Humano</t>
        </is>
      </c>
      <c r="J29" s="67" t="inlineStr">
        <is>
          <t>133, GIT Gestión de Talento Humano</t>
        </is>
      </c>
      <c r="K29" s="65" t="inlineStr">
        <is>
          <t>Prórroga 2026 (CP-051)</t>
        </is>
      </c>
      <c r="L29" s="65" t="n"/>
      <c r="M29" s="65" t="inlineStr">
        <is>
          <t>Porcentaje de docentes que transforman o innovan sus prácticas tras su participación en actividades institucionales y de desarrollo docente.</t>
        </is>
      </c>
      <c r="N29" s="65" t="inlineStr">
        <is>
          <t>Académica</t>
        </is>
      </c>
      <c r="O29" s="68" t="n"/>
      <c r="P29" s="69" t="n"/>
      <c r="Q29" s="69" t="n"/>
      <c r="R29" s="68" t="n"/>
      <c r="S29" s="68" t="n"/>
      <c r="T29" s="68" t="n"/>
      <c r="U29" s="68" t="n"/>
    </row>
    <row r="30" ht="46.5" customHeight="1" s="23">
      <c r="A30" s="65" t="inlineStr">
        <is>
          <t>A27-028</t>
        </is>
      </c>
      <c r="B30" s="66" t="inlineStr">
        <is>
          <t>AC27.12</t>
        </is>
      </c>
      <c r="C30" s="65" t="inlineStr">
        <is>
          <t>Sostener la formación doctoral de los docentes mediante un plan profesoral actualizado, una convocatoria anual y los apoyos de estudio</t>
        </is>
      </c>
      <c r="D30" s="65" t="inlineStr">
        <is>
          <t>1.5.1.1</t>
        </is>
      </c>
      <c r="E30" s="67" t="inlineStr">
        <is>
          <t>Formación y pedagogía de calidad</t>
        </is>
      </c>
      <c r="F30" s="67" t="inlineStr">
        <is>
          <t>Se mantienen 12 doctores en formación.</t>
        </is>
      </c>
      <c r="G30" s="65" t="inlineStr">
        <is>
          <t>Abrir la convocatoria de formación posgradual 2027 (doctorado)</t>
        </is>
      </c>
      <c r="H30" s="65" t="inlineStr">
        <is>
          <t>Convocatoria y docentes seleccionados</t>
        </is>
      </c>
      <c r="I30" s="67" t="inlineStr">
        <is>
          <t>Despacho de la Vicerrectoría Académica</t>
        </is>
      </c>
      <c r="J30" s="67" t="inlineStr">
        <is>
          <t>120, Vicerrectoría Académica</t>
        </is>
      </c>
      <c r="K30" s="65" t="inlineStr">
        <is>
          <t>Propuesta OAP</t>
        </is>
      </c>
      <c r="L30" s="65" t="n"/>
      <c r="M30" s="65" t="inlineStr">
        <is>
          <t>Porcentaje de docentes que transforman o innovan sus prácticas tras su participación en actividades institucionales y de desarrollo docente.</t>
        </is>
      </c>
      <c r="N30" s="65" t="inlineStr">
        <is>
          <t>Académica</t>
        </is>
      </c>
      <c r="O30" s="68" t="n"/>
      <c r="P30" s="69" t="n"/>
      <c r="Q30" s="69" t="n"/>
      <c r="R30" s="68" t="n"/>
      <c r="S30" s="68" t="n"/>
      <c r="T30" s="68" t="n"/>
      <c r="U30" s="68" t="n"/>
    </row>
    <row r="31" ht="46.5" customHeight="1" s="23">
      <c r="A31" s="65" t="inlineStr">
        <is>
          <t>A27-029</t>
        </is>
      </c>
      <c r="B31" s="66" t="inlineStr">
        <is>
          <t>AC27.12</t>
        </is>
      </c>
      <c r="C31" s="65" t="inlineStr">
        <is>
          <t>Sostener la formación doctoral de los docentes mediante un plan profesoral actualizado, una convocatoria anual y los apoyos de estudio</t>
        </is>
      </c>
      <c r="D31" s="65" t="inlineStr">
        <is>
          <t>1.5.1.1</t>
        </is>
      </c>
      <c r="E31" s="67" t="inlineStr">
        <is>
          <t>Formación y pedagogía de calidad</t>
        </is>
      </c>
      <c r="F31" s="67" t="inlineStr">
        <is>
          <t>Se mantienen 12 doctores en formación.</t>
        </is>
      </c>
      <c r="G31" s="65" t="inlineStr">
        <is>
          <t>Otorgar los apoyos para formación doctoral disciplinar</t>
        </is>
      </c>
      <c r="H31" s="65" t="inlineStr">
        <is>
          <t>Comisiones de estudio o apoyos otorgados</t>
        </is>
      </c>
      <c r="I31" s="67" t="inlineStr">
        <is>
          <t>Despacho de la Vicerrectoría Académica</t>
        </is>
      </c>
      <c r="J31" s="67" t="inlineStr">
        <is>
          <t>120, Vicerrectoría Académica</t>
        </is>
      </c>
      <c r="K31" s="65" t="inlineStr">
        <is>
          <t>MPI</t>
        </is>
      </c>
      <c r="L31" s="65" t="inlineStr">
        <is>
          <t>640 (MPI)</t>
        </is>
      </c>
      <c r="M31" s="65" t="inlineStr">
        <is>
          <t>Porcentaje de docentes que transforman o innovan sus prácticas tras su participación en actividades institucionales y de desarrollo docente.</t>
        </is>
      </c>
      <c r="N31" s="65" t="inlineStr">
        <is>
          <t>Académica</t>
        </is>
      </c>
      <c r="O31" s="68" t="n"/>
      <c r="P31" s="69" t="n"/>
      <c r="Q31" s="69" t="n"/>
      <c r="R31" s="68" t="n"/>
      <c r="S31" s="68" t="n"/>
      <c r="T31" s="68" t="n"/>
      <c r="U31" s="68" t="n"/>
    </row>
    <row r="32" ht="46.5" customHeight="1" s="23">
      <c r="A32" s="65" t="inlineStr">
        <is>
          <t>A27-030</t>
        </is>
      </c>
      <c r="B32" s="66" t="inlineStr">
        <is>
          <t>AC27.13</t>
        </is>
      </c>
      <c r="C32" s="65" t="inlineStr">
        <is>
          <t>Elevar la formación avanzada y continuada de los docentes de planta con base en las necesidades reales de cada facultad</t>
        </is>
      </c>
      <c r="D32" s="65" t="inlineStr">
        <is>
          <t>1.5.1.2</t>
        </is>
      </c>
      <c r="E32" s="67" t="inlineStr">
        <is>
          <t>Formación y pedagogía de calidad</t>
        </is>
      </c>
      <c r="F32" s="67" t="inlineStr">
        <is>
          <t>80% en formación docentes de planta.</t>
        </is>
      </c>
      <c r="G32" s="65" t="inlineStr">
        <is>
          <t>Identificar las necesidades de formación por facultad</t>
        </is>
      </c>
      <c r="H32" s="65" t="inlineStr">
        <is>
          <t>Diagnóstico de necesidades</t>
        </is>
      </c>
      <c r="I32" s="67" t="inlineStr">
        <is>
          <t>Despacho de la Vicerrectoría Académica</t>
        </is>
      </c>
      <c r="J32" s="67" t="inlineStr">
        <is>
          <t>120, Vicerrectoría Académica</t>
        </is>
      </c>
      <c r="K32" s="65" t="inlineStr">
        <is>
          <t>Propuesta OAP</t>
        </is>
      </c>
      <c r="L32" s="65" t="n"/>
      <c r="M32" s="65" t="inlineStr">
        <is>
          <t>Porcentaje de docentes que transforman o innovan sus prácticas tras su participación en actividades institucionales y de desarrollo docente.</t>
        </is>
      </c>
      <c r="N32" s="65" t="inlineStr">
        <is>
          <t>Académica</t>
        </is>
      </c>
      <c r="O32" s="68" t="n"/>
      <c r="P32" s="69" t="n"/>
      <c r="Q32" s="69" t="n"/>
      <c r="R32" s="68" t="n"/>
      <c r="S32" s="68" t="n"/>
      <c r="T32" s="68" t="n"/>
      <c r="U32" s="68" t="n"/>
    </row>
    <row r="33" ht="46.5" customHeight="1" s="23">
      <c r="A33" s="65" t="inlineStr">
        <is>
          <t>A27-031</t>
        </is>
      </c>
      <c r="B33" s="66" t="inlineStr">
        <is>
          <t>AC27.13</t>
        </is>
      </c>
      <c r="C33" s="65" t="inlineStr">
        <is>
          <t>Elevar la formación avanzada y continuada de los docentes de planta con base en las necesidades reales de cada facultad</t>
        </is>
      </c>
      <c r="D33" s="65" t="inlineStr">
        <is>
          <t>1.5.1.2</t>
        </is>
      </c>
      <c r="E33" s="67" t="inlineStr">
        <is>
          <t>Formación y pedagogía de calidad</t>
        </is>
      </c>
      <c r="F33" s="67" t="inlineStr">
        <is>
          <t>80% en formación docentes de planta.</t>
        </is>
      </c>
      <c r="G33" s="65" t="inlineStr">
        <is>
          <t>Financiar la formación de docentes de planta en maestrías disciplinares</t>
        </is>
      </c>
      <c r="H33" s="65" t="inlineStr">
        <is>
          <t>Docentes beneficiados</t>
        </is>
      </c>
      <c r="I33" s="67" t="inlineStr">
        <is>
          <t>Despacho de la Vicerrectoría Académica</t>
        </is>
      </c>
      <c r="J33" s="67" t="inlineStr">
        <is>
          <t>120, Vicerrectoría Académica</t>
        </is>
      </c>
      <c r="K33" s="65" t="inlineStr">
        <is>
          <t>MPI</t>
        </is>
      </c>
      <c r="L33" s="65" t="inlineStr">
        <is>
          <t>240 (MPI)</t>
        </is>
      </c>
      <c r="M33" s="65" t="inlineStr">
        <is>
          <t>Porcentaje de docentes que transforman o innovan sus prácticas tras su participación en actividades institucionales y de desarrollo docente.</t>
        </is>
      </c>
      <c r="N33" s="65" t="inlineStr">
        <is>
          <t>Académica</t>
        </is>
      </c>
      <c r="O33" s="68" t="n"/>
      <c r="P33" s="69" t="n"/>
      <c r="Q33" s="69" t="n"/>
      <c r="R33" s="68" t="n"/>
      <c r="S33" s="68" t="n"/>
      <c r="T33" s="68" t="n"/>
      <c r="U33" s="68" t="n"/>
    </row>
    <row r="34" ht="46.5" customHeight="1" s="23">
      <c r="A34" s="65" t="inlineStr">
        <is>
          <t>A27-032</t>
        </is>
      </c>
      <c r="B34" s="66" t="inlineStr">
        <is>
          <t>AC27.13</t>
        </is>
      </c>
      <c r="C34" s="65" t="inlineStr">
        <is>
          <t>Elevar la formación avanzada y continuada de los docentes de planta con base en las necesidades reales de cada facultad</t>
        </is>
      </c>
      <c r="D34" s="65" t="inlineStr">
        <is>
          <t>1.5.1.2</t>
        </is>
      </c>
      <c r="E34" s="67" t="inlineStr">
        <is>
          <t>Formación y pedagogía de calidad</t>
        </is>
      </c>
      <c r="F34" s="67" t="inlineStr">
        <is>
          <t>80% en formación docentes de planta.</t>
        </is>
      </c>
      <c r="G34" s="65" t="inlineStr">
        <is>
          <t>Ofrecer cursos de formación continuada a docentes</t>
        </is>
      </c>
      <c r="H34" s="65" t="inlineStr">
        <is>
          <t>Docentes certificados</t>
        </is>
      </c>
      <c r="I34" s="67" t="inlineStr">
        <is>
          <t>GIT Talento Humano</t>
        </is>
      </c>
      <c r="J34" s="67" t="inlineStr">
        <is>
          <t>133, GIT Gestión de Talento Humano</t>
        </is>
      </c>
      <c r="K34" s="65" t="inlineStr">
        <is>
          <t>MPI</t>
        </is>
      </c>
      <c r="L34" s="65" t="inlineStr">
        <is>
          <t>100 (MPI)</t>
        </is>
      </c>
      <c r="M34" s="65" t="inlineStr">
        <is>
          <t>Porcentaje de docentes que transforman o innovan sus prácticas tras su participación en actividades institucionales y de desarrollo docente.</t>
        </is>
      </c>
      <c r="N34" s="65" t="inlineStr">
        <is>
          <t>Académica</t>
        </is>
      </c>
      <c r="O34" s="68" t="n"/>
      <c r="P34" s="69" t="n"/>
      <c r="Q34" s="69" t="n"/>
      <c r="R34" s="68" t="n"/>
      <c r="S34" s="68" t="n"/>
      <c r="T34" s="68" t="n"/>
      <c r="U34" s="68" t="n"/>
    </row>
    <row r="35" ht="46.5" customHeight="1" s="23">
      <c r="A35" s="65" t="inlineStr">
        <is>
          <t>A27-033</t>
        </is>
      </c>
      <c r="B35" s="66" t="inlineStr">
        <is>
          <t>AC27.14</t>
        </is>
      </c>
      <c r="C35" s="65" t="inlineStr">
        <is>
          <t>Preparar el primer grupo de investigación para la categoría A, con diagnóstico de su producción, ruta de ascenso y medición del impacto de la investigación</t>
        </is>
      </c>
      <c r="D35" s="65" t="inlineStr">
        <is>
          <t>2.1.1.1</t>
        </is>
      </c>
      <c r="E35" s="67" t="inlineStr">
        <is>
          <t>Investigación y producción técnico científica</t>
        </is>
      </c>
      <c r="F35" s="67" t="inlineStr">
        <is>
          <t>Contar como mínimo por vigencia con un (1) grupo de investigación en clasificación A (en MinCiencias).</t>
        </is>
      </c>
      <c r="G35" s="65" t="inlineStr">
        <is>
          <t>Diagnosticar la producción de cada grupo frente al modelo de medición de MinCiencias</t>
        </is>
      </c>
      <c r="H35" s="65" t="inlineStr">
        <is>
          <t>Diagnóstico por grupo</t>
        </is>
      </c>
      <c r="I35" s="67" t="inlineStr">
        <is>
          <t>Investigación (grupos, semilleros, revista, centro de pensamiento)</t>
        </is>
      </c>
      <c r="J35" s="67" t="inlineStr">
        <is>
          <t>140, Vicerrectoría de Investigación, Extensión y Transferencia</t>
        </is>
      </c>
      <c r="K35" s="65" t="inlineStr">
        <is>
          <t>Propuesta OAP</t>
        </is>
      </c>
      <c r="L35" s="65" t="n"/>
      <c r="M35" s="65" t="inlineStr">
        <is>
          <t>Porcentaje de proyectos de investigación que transformaron un proceso, un producto o una problemática de una organización o sector.</t>
        </is>
      </c>
      <c r="N35" s="65" t="inlineStr">
        <is>
          <t>Sector Productivo</t>
        </is>
      </c>
      <c r="O35" s="68" t="n"/>
      <c r="P35" s="69" t="n"/>
      <c r="Q35" s="69" t="n"/>
      <c r="R35" s="68" t="n"/>
      <c r="S35" s="68" t="n"/>
      <c r="T35" s="68" t="n"/>
      <c r="U35" s="68" t="n"/>
    </row>
    <row r="36" ht="46.5" customHeight="1" s="23">
      <c r="A36" s="65" t="inlineStr">
        <is>
          <t>A27-034</t>
        </is>
      </c>
      <c r="B36" s="66" t="inlineStr">
        <is>
          <t>AC27.14</t>
        </is>
      </c>
      <c r="C36" s="65" t="inlineStr">
        <is>
          <t>Preparar el primer grupo de investigación para la categoría A, con diagnóstico de su producción, ruta de ascenso y medición del impacto de la investigación</t>
        </is>
      </c>
      <c r="D36" s="65" t="inlineStr">
        <is>
          <t>2.1.1.1</t>
        </is>
      </c>
      <c r="E36" s="67" t="inlineStr">
        <is>
          <t>Investigación y producción técnico científica</t>
        </is>
      </c>
      <c r="F36" s="67" t="inlineStr">
        <is>
          <t>Contar como mínimo por vigencia con un (1) grupo de investigación en clasificación A (en MinCiencias).</t>
        </is>
      </c>
      <c r="G36" s="65" t="inlineStr">
        <is>
          <t>Definir la ruta de ascenso del grupo con mayor producción (metas de nuevo conocimiento y formación)</t>
        </is>
      </c>
      <c r="H36" s="65" t="inlineStr">
        <is>
          <t>Ruta de ascenso aprobada</t>
        </is>
      </c>
      <c r="I36" s="67" t="inlineStr">
        <is>
          <t>Despacho de la VIET</t>
        </is>
      </c>
      <c r="J36" s="67" t="inlineStr">
        <is>
          <t>140, Vicerrectoría de Investigación, Extensión y Transferencia</t>
        </is>
      </c>
      <c r="K36" s="65" t="inlineStr">
        <is>
          <t>Propuesta OAP</t>
        </is>
      </c>
      <c r="L36" s="65" t="n"/>
      <c r="M36" s="65" t="inlineStr">
        <is>
          <t>Porcentaje de proyectos de investigación que transformaron un proceso, un producto o una problemática de una organización o sector.</t>
        </is>
      </c>
      <c r="N36" s="65" t="inlineStr">
        <is>
          <t>Sector Productivo</t>
        </is>
      </c>
      <c r="O36" s="68" t="n"/>
      <c r="P36" s="69" t="n"/>
      <c r="Q36" s="69" t="n"/>
      <c r="R36" s="68" t="n"/>
      <c r="S36" s="68" t="n"/>
      <c r="T36" s="68" t="n"/>
      <c r="U36" s="68" t="n"/>
    </row>
    <row r="37" ht="46.5" customHeight="1" s="23">
      <c r="A37" s="65" t="inlineStr">
        <is>
          <t>A27-035</t>
        </is>
      </c>
      <c r="B37" s="66" t="inlineStr">
        <is>
          <t>AC27.14</t>
        </is>
      </c>
      <c r="C37" s="65" t="inlineStr">
        <is>
          <t>Preparar el primer grupo de investigación para la categoría A, con diagnóstico de su producción, ruta de ascenso y medición del impacto de la investigación</t>
        </is>
      </c>
      <c r="D37" s="65" t="inlineStr">
        <is>
          <t>2.1.1.1</t>
        </is>
      </c>
      <c r="E37" s="67" t="inlineStr">
        <is>
          <t>Investigación y producción técnico científica</t>
        </is>
      </c>
      <c r="F37" s="67" t="inlineStr">
        <is>
          <t>Contar como mínimo por vigencia con un (1) grupo de investigación en clasificación A (en MinCiencias).</t>
        </is>
      </c>
      <c r="G37" s="65" t="inlineStr">
        <is>
          <t>Iniciar el estudio de impacto de Investigación</t>
        </is>
      </c>
      <c r="H37" s="65" t="inlineStr">
        <is>
          <t>Diseño del estudio aprobado</t>
        </is>
      </c>
      <c r="I37" s="67" t="inlineStr">
        <is>
          <t>Investigación (grupos, semilleros, revista, centro de pensamiento)</t>
        </is>
      </c>
      <c r="J37" s="67" t="inlineStr">
        <is>
          <t>140, Vicerrectoría de Investigación, Extensión y Transferencia</t>
        </is>
      </c>
      <c r="K37" s="65" t="inlineStr">
        <is>
          <t>Compromiso CP-066</t>
        </is>
      </c>
      <c r="L37" s="65" t="n"/>
      <c r="M37" s="65" t="inlineStr">
        <is>
          <t>Porcentaje de proyectos de investigación que transformaron un proceso, un producto o una problemática de una organización o sector.</t>
        </is>
      </c>
      <c r="N37" s="65" t="inlineStr">
        <is>
          <t>Sector Productivo</t>
        </is>
      </c>
      <c r="O37" s="68" t="n"/>
      <c r="P37" s="69" t="n"/>
      <c r="Q37" s="69" t="n"/>
      <c r="R37" s="68" t="n"/>
      <c r="S37" s="68" t="n"/>
      <c r="T37" s="68" t="n"/>
      <c r="U37" s="68" t="n"/>
    </row>
    <row r="38" ht="46.5" customHeight="1" s="23">
      <c r="A38" s="65" t="inlineStr">
        <is>
          <t>A27-036</t>
        </is>
      </c>
      <c r="B38" s="66" t="inlineStr">
        <is>
          <t>AC27.15</t>
        </is>
      </c>
      <c r="C38" s="65" t="inlineStr">
        <is>
          <t>Llevar a categoría B los grupos que hoy están en C, mediante asesoría en productos de nuevo conocimiento y su postulación oportuna</t>
        </is>
      </c>
      <c r="D38" s="65" t="inlineStr">
        <is>
          <t>2.1.1.2</t>
        </is>
      </c>
      <c r="E38" s="67" t="inlineStr">
        <is>
          <t>Investigación y producción técnico científica</t>
        </is>
      </c>
      <c r="F38" s="67" t="inlineStr">
        <is>
          <t>Tres (3) grupos en B.</t>
        </is>
      </c>
      <c r="G38" s="65" t="inlineStr">
        <is>
          <t>Asesorar a los grupos en C (Virtus y GEA) en productos de nuevo conocimiento y apropiación</t>
        </is>
      </c>
      <c r="H38" s="65" t="inlineStr">
        <is>
          <t>Registro de asesorías y productos validados</t>
        </is>
      </c>
      <c r="I38" s="67" t="inlineStr">
        <is>
          <t>Investigación (grupos, semilleros, revista, centro de pensamiento)</t>
        </is>
      </c>
      <c r="J38" s="67" t="inlineStr">
        <is>
          <t>140, Vicerrectoría de Investigación, Extensión y Transferencia</t>
        </is>
      </c>
      <c r="K38" s="65" t="inlineStr">
        <is>
          <t>Propuesta OAP</t>
        </is>
      </c>
      <c r="L38" s="65" t="n"/>
      <c r="M38" s="65" t="inlineStr">
        <is>
          <t>Porcentaje de proyectos de investigación que transformaron un proceso, un producto o una problemática de una organización o sector.</t>
        </is>
      </c>
      <c r="N38" s="65" t="inlineStr">
        <is>
          <t>Sector Productivo</t>
        </is>
      </c>
      <c r="O38" s="68" t="n"/>
      <c r="P38" s="69" t="n"/>
      <c r="Q38" s="69" t="n"/>
      <c r="R38" s="68" t="n"/>
      <c r="S38" s="68" t="n"/>
      <c r="T38" s="68" t="n"/>
      <c r="U38" s="68" t="n"/>
    </row>
    <row r="39" ht="46.5" customHeight="1" s="23">
      <c r="A39" s="65" t="inlineStr">
        <is>
          <t>A27-037</t>
        </is>
      </c>
      <c r="B39" s="66" t="inlineStr">
        <is>
          <t>AC27.15</t>
        </is>
      </c>
      <c r="C39" s="65" t="inlineStr">
        <is>
          <t>Llevar a categoría B los grupos que hoy están en C, mediante asesoría en productos de nuevo conocimiento y su postulación oportuna</t>
        </is>
      </c>
      <c r="D39" s="65" t="inlineStr">
        <is>
          <t>2.1.1.2</t>
        </is>
      </c>
      <c r="E39" s="67" t="inlineStr">
        <is>
          <t>Investigación y producción técnico científica</t>
        </is>
      </c>
      <c r="F39" s="67" t="inlineStr">
        <is>
          <t>Tres (3) grupos en B.</t>
        </is>
      </c>
      <c r="G39" s="65" t="inlineStr">
        <is>
          <t>Postular los grupos en la convocatoria de medición vigente</t>
        </is>
      </c>
      <c r="H39" s="65" t="inlineStr">
        <is>
          <t>Postulación radicada</t>
        </is>
      </c>
      <c r="I39" s="67" t="inlineStr">
        <is>
          <t>Investigación (grupos, semilleros, revista, centro de pensamiento)</t>
        </is>
      </c>
      <c r="J39" s="67" t="inlineStr">
        <is>
          <t>140, Vicerrectoría de Investigación, Extensión y Transferencia</t>
        </is>
      </c>
      <c r="K39" s="65" t="inlineStr">
        <is>
          <t>Propuesta OAP</t>
        </is>
      </c>
      <c r="L39" s="65" t="n"/>
      <c r="M39" s="65" t="inlineStr">
        <is>
          <t>Porcentaje de proyectos de investigación que transformaron un proceso, un producto o una problemática de una organización o sector.</t>
        </is>
      </c>
      <c r="N39" s="65" t="inlineStr">
        <is>
          <t>Sector Productivo</t>
        </is>
      </c>
      <c r="O39" s="68" t="n"/>
      <c r="P39" s="69" t="n"/>
      <c r="Q39" s="69" t="n"/>
      <c r="R39" s="68" t="n"/>
      <c r="S39" s="68" t="n"/>
      <c r="T39" s="68" t="n"/>
      <c r="U39" s="68" t="n"/>
    </row>
    <row r="40" ht="46.5" customHeight="1" s="23">
      <c r="A40" s="65" t="inlineStr">
        <is>
          <t>A27-038</t>
        </is>
      </c>
      <c r="B40" s="66" t="inlineStr">
        <is>
          <t>AC27.16</t>
        </is>
      </c>
      <c r="C40" s="65" t="inlineStr">
        <is>
          <t>Ampliar la base de grupos clasificados, actualizando la información de los grupos sin categoría y acompañando a los de mayor producción</t>
        </is>
      </c>
      <c r="D40" s="65" t="inlineStr">
        <is>
          <t>2.1.1.3</t>
        </is>
      </c>
      <c r="E40" s="67" t="inlineStr">
        <is>
          <t>Investigación y producción técnico científica</t>
        </is>
      </c>
      <c r="F40" s="67" t="inlineStr">
        <is>
          <t>Cuatro (4) grupos en C.</t>
        </is>
      </c>
      <c r="G40" s="65" t="inlineStr">
        <is>
          <t>Actualizar GrupLAC y CvLAC de los 7 grupos sin categoría</t>
        </is>
      </c>
      <c r="H40" s="65" t="inlineStr">
        <is>
          <t>Aplicativos actualizados</t>
        </is>
      </c>
      <c r="I40" s="67" t="inlineStr">
        <is>
          <t>Investigación (grupos, semilleros, revista, centro de pensamiento)</t>
        </is>
      </c>
      <c r="J40" s="67" t="inlineStr">
        <is>
          <t>140, Vicerrectoría de Investigación, Extensión y Transferencia</t>
        </is>
      </c>
      <c r="K40" s="65" t="inlineStr">
        <is>
          <t>Propuesta OAP</t>
        </is>
      </c>
      <c r="L40" s="65" t="n"/>
      <c r="M40" s="65" t="inlineStr">
        <is>
          <t>Porcentaje de proyectos de investigación que transformaron un proceso, un producto o una problemática de una organización o sector.</t>
        </is>
      </c>
      <c r="N40" s="65" t="inlineStr">
        <is>
          <t>Sector Productivo</t>
        </is>
      </c>
      <c r="O40" s="68" t="n"/>
      <c r="P40" s="69" t="n"/>
      <c r="Q40" s="69" t="n"/>
      <c r="R40" s="68" t="n"/>
      <c r="S40" s="68" t="n"/>
      <c r="T40" s="68" t="n"/>
      <c r="U40" s="68" t="n"/>
    </row>
    <row r="41" ht="46.5" customHeight="1" s="23">
      <c r="A41" s="65" t="inlineStr">
        <is>
          <t>A27-039</t>
        </is>
      </c>
      <c r="B41" s="66" t="inlineStr">
        <is>
          <t>AC27.16</t>
        </is>
      </c>
      <c r="C41" s="65" t="inlineStr">
        <is>
          <t>Ampliar la base de grupos clasificados, actualizando la información de los grupos sin categoría y acompañando a los de mayor producción</t>
        </is>
      </c>
      <c r="D41" s="65" t="inlineStr">
        <is>
          <t>2.1.1.3</t>
        </is>
      </c>
      <c r="E41" s="67" t="inlineStr">
        <is>
          <t>Investigación y producción técnico científica</t>
        </is>
      </c>
      <c r="F41" s="67" t="inlineStr">
        <is>
          <t>Cuatro (4) grupos en C.</t>
        </is>
      </c>
      <c r="G41" s="65" t="inlineStr">
        <is>
          <t>Acompañar a los 2 grupos con más producción para su clasificación en C</t>
        </is>
      </c>
      <c r="H41" s="65" t="inlineStr">
        <is>
          <t>Grupos postulados</t>
        </is>
      </c>
      <c r="I41" s="67" t="inlineStr">
        <is>
          <t>Investigación (grupos, semilleros, revista, centro de pensamiento)</t>
        </is>
      </c>
      <c r="J41" s="67" t="inlineStr">
        <is>
          <t>140, Vicerrectoría de Investigación, Extensión y Transferencia</t>
        </is>
      </c>
      <c r="K41" s="65" t="inlineStr">
        <is>
          <t>Propuesta OAP</t>
        </is>
      </c>
      <c r="L41" s="65" t="n"/>
      <c r="M41" s="65" t="inlineStr">
        <is>
          <t>Porcentaje de proyectos de investigación que transformaron un proceso, un producto o una problemática de una organización o sector.</t>
        </is>
      </c>
      <c r="N41" s="65" t="inlineStr">
        <is>
          <t>Sector Productivo</t>
        </is>
      </c>
      <c r="O41" s="68" t="n"/>
      <c r="P41" s="69" t="n"/>
      <c r="Q41" s="69" t="n"/>
      <c r="R41" s="68" t="n"/>
      <c r="S41" s="68" t="n"/>
      <c r="T41" s="68" t="n"/>
      <c r="U41" s="68" t="n"/>
    </row>
    <row r="42" ht="46.5" customHeight="1" s="23">
      <c r="A42" s="65" t="inlineStr">
        <is>
          <t>A27-040</t>
        </is>
      </c>
      <c r="B42" s="66" t="inlineStr">
        <is>
          <t>AC27.17</t>
        </is>
      </c>
      <c r="C42" s="65" t="inlineStr">
        <is>
          <t>Aumentar la publicación en revistas internacionales indexadas con estímulos, traducción y acompañamiento al sometimiento</t>
        </is>
      </c>
      <c r="D42" s="65" t="inlineStr">
        <is>
          <t>2.2.1.1</t>
        </is>
      </c>
      <c r="E42" s="67" t="inlineStr">
        <is>
          <t>Investigación y producción técnico científica</t>
        </is>
      </c>
      <c r="F42" s="67" t="inlineStr">
        <is>
          <t>Lograr como mínimo por vigencia la publicación de dos (2) artículos en revistas internacionales indexadas.</t>
        </is>
      </c>
      <c r="G42" s="65" t="inlineStr">
        <is>
          <t>Abrir la convocatoria de estímulos a la publicación 2027</t>
        </is>
      </c>
      <c r="H42" s="65" t="inlineStr">
        <is>
          <t>Convocatoria y artículos sometidos</t>
        </is>
      </c>
      <c r="I42" s="67" t="inlineStr">
        <is>
          <t>Investigación (grupos, semilleros, revista, centro de pensamiento)</t>
        </is>
      </c>
      <c r="J42" s="67" t="inlineStr">
        <is>
          <t>140, Vicerrectoría de Investigación, Extensión y Transferencia</t>
        </is>
      </c>
      <c r="K42" s="65" t="inlineStr">
        <is>
          <t>Propuesta OAP</t>
        </is>
      </c>
      <c r="L42" s="65" t="n"/>
      <c r="M42" s="65" t="inlineStr">
        <is>
          <t>Porcentaje de proyectos de investigación que contribuyeron al desarrollo social y comunitario, económico, sostenibilidad ambiental, sector educativo, sector productivo y industrial, desarrollo tecnológico, nacional e internacional.</t>
        </is>
      </c>
      <c r="N42" s="65" t="inlineStr">
        <is>
          <t>Sector Productivo</t>
        </is>
      </c>
      <c r="O42" s="68" t="n"/>
      <c r="P42" s="69" t="n"/>
      <c r="Q42" s="69" t="n"/>
      <c r="R42" s="68" t="n"/>
      <c r="S42" s="68" t="n"/>
      <c r="T42" s="68" t="n"/>
      <c r="U42" s="68" t="n"/>
    </row>
    <row r="43" ht="46.5" customHeight="1" s="23">
      <c r="A43" s="65" t="inlineStr">
        <is>
          <t>A27-041</t>
        </is>
      </c>
      <c r="B43" s="66" t="inlineStr">
        <is>
          <t>AC27.17</t>
        </is>
      </c>
      <c r="C43" s="65" t="inlineStr">
        <is>
          <t>Aumentar la publicación en revistas internacionales indexadas con estímulos, traducción y acompañamiento al sometimiento</t>
        </is>
      </c>
      <c r="D43" s="65" t="inlineStr">
        <is>
          <t>2.2.1.1</t>
        </is>
      </c>
      <c r="E43" s="67" t="inlineStr">
        <is>
          <t>Investigación y producción técnico científica</t>
        </is>
      </c>
      <c r="F43" s="67" t="inlineStr">
        <is>
          <t>Lograr como mínimo por vigencia la publicación de dos (2) artículos en revistas internacionales indexadas.</t>
        </is>
      </c>
      <c r="G43" s="65" t="inlineStr">
        <is>
          <t>Acompañar la traducción y el sometimiento a revistas internacionales indexadas</t>
        </is>
      </c>
      <c r="H43" s="65" t="inlineStr">
        <is>
          <t>Artículos sometidos</t>
        </is>
      </c>
      <c r="I43" s="67" t="inlineStr">
        <is>
          <t>Investigación (grupos, semilleros, revista, centro de pensamiento)</t>
        </is>
      </c>
      <c r="J43" s="67" t="inlineStr">
        <is>
          <t>140, Vicerrectoría de Investigación, Extensión y Transferencia</t>
        </is>
      </c>
      <c r="K43" s="65" t="inlineStr">
        <is>
          <t>Propuesta OAP</t>
        </is>
      </c>
      <c r="L43" s="65" t="n"/>
      <c r="M43" s="65" t="inlineStr">
        <is>
          <t>Porcentaje de proyectos de investigación que contribuyeron al desarrollo social y comunitario, económico, sostenibilidad ambiental, sector educativo, sector productivo y industrial, desarrollo tecnológico, nacional e internacional.</t>
        </is>
      </c>
      <c r="N43" s="65" t="inlineStr">
        <is>
          <t>Sector Productivo</t>
        </is>
      </c>
      <c r="O43" s="68" t="n"/>
      <c r="P43" s="69" t="n"/>
      <c r="Q43" s="69" t="n"/>
      <c r="R43" s="68" t="n"/>
      <c r="S43" s="68" t="n"/>
      <c r="T43" s="68" t="n"/>
      <c r="U43" s="68" t="n"/>
    </row>
    <row r="44" ht="46.5" customHeight="1" s="23">
      <c r="A44" s="65" t="inlineStr">
        <is>
          <t>A27-042</t>
        </is>
      </c>
      <c r="B44" s="66" t="inlineStr">
        <is>
          <t>AC27.18</t>
        </is>
      </c>
      <c r="C44" s="65" t="inlineStr">
        <is>
          <t>Aumentar la publicación en revistas nacionales indexadas, fortaleciendo las revistas propias y convirtiendo trabajos de grado y semilleros en artículos</t>
        </is>
      </c>
      <c r="D44" s="65" t="inlineStr">
        <is>
          <t>2.2.1.2</t>
        </is>
      </c>
      <c r="E44" s="67" t="inlineStr">
        <is>
          <t>Investigación y producción técnico científica</t>
        </is>
      </c>
      <c r="F44" s="67" t="inlineStr">
        <is>
          <t>Lograr la publicación de ocho (8) artículos en revistas nacionales indexadas.</t>
        </is>
      </c>
      <c r="G44" s="65" t="inlineStr">
        <is>
          <t>Fortalecer la Revista Letras ETITC y Cuadernos ETITC (pares, convocatorias)</t>
        </is>
      </c>
      <c r="H44" s="65" t="inlineStr">
        <is>
          <t>Números publicados</t>
        </is>
      </c>
      <c r="I44" s="67" t="inlineStr">
        <is>
          <t>Investigación (grupos, semilleros, revista, centro de pensamiento)</t>
        </is>
      </c>
      <c r="J44" s="67" t="inlineStr">
        <is>
          <t>140, Vicerrectoría de Investigación, Extensión y Transferencia</t>
        </is>
      </c>
      <c r="K44" s="65" t="inlineStr">
        <is>
          <t>Propuesta OAP</t>
        </is>
      </c>
      <c r="L44" s="65" t="n"/>
      <c r="M44" s="65" t="inlineStr">
        <is>
          <t>Porcentaje de proyectos de investigación que contribuyeron al desarrollo social y comunitario, económico, sostenibilidad ambiental, sector educativo, sector productivo y industrial, desarrollo tecnológico, nacional e internacional.</t>
        </is>
      </c>
      <c r="N44" s="65" t="inlineStr">
        <is>
          <t>Sector Productivo</t>
        </is>
      </c>
      <c r="O44" s="68" t="n"/>
      <c r="P44" s="69" t="n"/>
      <c r="Q44" s="69" t="n"/>
      <c r="R44" s="68" t="n"/>
      <c r="S44" s="68" t="n"/>
      <c r="T44" s="68" t="n"/>
      <c r="U44" s="68" t="n"/>
    </row>
    <row r="45" ht="46.5" customHeight="1" s="23">
      <c r="A45" s="65" t="inlineStr">
        <is>
          <t>A27-043</t>
        </is>
      </c>
      <c r="B45" s="66" t="inlineStr">
        <is>
          <t>AC27.18</t>
        </is>
      </c>
      <c r="C45" s="65" t="inlineStr">
        <is>
          <t>Aumentar la publicación en revistas nacionales indexadas, fortaleciendo las revistas propias y convirtiendo trabajos de grado y semilleros en artículos</t>
        </is>
      </c>
      <c r="D45" s="65" t="inlineStr">
        <is>
          <t>2.2.1.2</t>
        </is>
      </c>
      <c r="E45" s="67" t="inlineStr">
        <is>
          <t>Investigación y producción técnico científica</t>
        </is>
      </c>
      <c r="F45" s="67" t="inlineStr">
        <is>
          <t>Lograr la publicación de ocho (8) artículos en revistas nacionales indexadas.</t>
        </is>
      </c>
      <c r="G45" s="65" t="inlineStr">
        <is>
          <t>Vincular trabajos de grado y semilleros a artículos con docentes</t>
        </is>
      </c>
      <c r="H45" s="65" t="inlineStr">
        <is>
          <t>Artículos sometidos</t>
        </is>
      </c>
      <c r="I45" s="67" t="inlineStr">
        <is>
          <t>Investigación (grupos, semilleros, revista, centro de pensamiento)</t>
        </is>
      </c>
      <c r="J45" s="67" t="inlineStr">
        <is>
          <t>140, Vicerrectoría de Investigación, Extensión y Transferencia</t>
        </is>
      </c>
      <c r="K45" s="65" t="inlineStr">
        <is>
          <t>Propuesta OAP</t>
        </is>
      </c>
      <c r="L45" s="65" t="n"/>
      <c r="M45" s="65" t="inlineStr">
        <is>
          <t>Porcentaje de proyectos de investigación que contribuyeron al desarrollo social y comunitario, económico, sostenibilidad ambiental, sector educativo, sector productivo y industrial, desarrollo tecnológico, nacional e internacional.</t>
        </is>
      </c>
      <c r="N45" s="65" t="inlineStr">
        <is>
          <t>Sector Productivo</t>
        </is>
      </c>
      <c r="O45" s="68" t="n"/>
      <c r="P45" s="69" t="n"/>
      <c r="Q45" s="69" t="n"/>
      <c r="R45" s="68" t="n"/>
      <c r="S45" s="68" t="n"/>
      <c r="T45" s="68" t="n"/>
      <c r="U45" s="68" t="n"/>
    </row>
    <row r="46" ht="60" customHeight="1" s="23">
      <c r="A46" s="65" t="inlineStr">
        <is>
          <t>A27-044</t>
        </is>
      </c>
      <c r="B46" s="66" t="inlineStr">
        <is>
          <t>AC27.19</t>
        </is>
      </c>
      <c r="C46" s="65" t="inlineStr">
        <is>
          <t>Convertir los desarrollos de la Escuela en propiedad intelectual protegida, desde la identificación de lo patentable hasta la radicación ante la SIC</t>
        </is>
      </c>
      <c r="D46" s="65" t="inlineStr">
        <is>
          <t>2.3.1.1</t>
        </is>
      </c>
      <c r="E46" s="67" t="inlineStr">
        <is>
          <t>Investigación y producción técnico científica</t>
        </is>
      </c>
      <c r="F46" s="67" t="inlineStr">
        <is>
          <t>Contar con cuatro (4) patentes registradas sobre la base de los desarrollos logrados con las alianzas con el sector productivo o institucional.</t>
        </is>
      </c>
      <c r="G46" s="65" t="inlineStr">
        <is>
          <t>Identificar desarrollos patentables aplicando el reglamento de propiedad intelectual</t>
        </is>
      </c>
      <c r="H46" s="65" t="inlineStr">
        <is>
          <t>Inventario de desarrollos con potencial</t>
        </is>
      </c>
      <c r="I46" s="67" t="inlineStr">
        <is>
          <t>Innovación y Laboratorio Inteligente</t>
        </is>
      </c>
      <c r="J46" s="67" t="inlineStr">
        <is>
          <t>140, Vicerrectoría de Investigación, Extensión y Transferencia</t>
        </is>
      </c>
      <c r="K46" s="65" t="inlineStr">
        <is>
          <t>Prórroga 2026 (CP-052)</t>
        </is>
      </c>
      <c r="L46" s="65" t="n"/>
      <c r="M46" s="65" t="inlineStr">
        <is>
          <t>Cantidad de ingresos por productos o servicios que son resultado de la implementación de la investigación, la innovación y el desarrollo tecnológico.</t>
        </is>
      </c>
      <c r="N46" s="65" t="inlineStr">
        <is>
          <t>Académica</t>
        </is>
      </c>
      <c r="O46" s="68" t="n"/>
      <c r="P46" s="69" t="n"/>
      <c r="Q46" s="69" t="n"/>
      <c r="R46" s="68" t="n"/>
      <c r="S46" s="68" t="n"/>
      <c r="T46" s="68" t="n"/>
      <c r="U46" s="68" t="n"/>
    </row>
    <row r="47" ht="60" customHeight="1" s="23">
      <c r="A47" s="65" t="inlineStr">
        <is>
          <t>A27-045</t>
        </is>
      </c>
      <c r="B47" s="66" t="inlineStr">
        <is>
          <t>AC27.19</t>
        </is>
      </c>
      <c r="C47" s="65" t="inlineStr">
        <is>
          <t>Convertir los desarrollos de la Escuela en propiedad intelectual protegida, desde la identificación de lo patentable hasta la radicación ante la SIC</t>
        </is>
      </c>
      <c r="D47" s="65" t="inlineStr">
        <is>
          <t>2.3.1.1</t>
        </is>
      </c>
      <c r="E47" s="67" t="inlineStr">
        <is>
          <t>Investigación y producción técnico científica</t>
        </is>
      </c>
      <c r="F47" s="67" t="inlineStr">
        <is>
          <t>Contar con cuatro (4) patentes registradas sobre la base de los desarrollos logrados con las alianzas con el sector productivo o institucional.</t>
        </is>
      </c>
      <c r="G47" s="65" t="inlineStr">
        <is>
          <t>Formalizar alianzas de codesarrollo con IES, empresas, centros y entidades públicas</t>
        </is>
      </c>
      <c r="H47" s="65" t="inlineStr">
        <is>
          <t>Convenios suscritos</t>
        </is>
      </c>
      <c r="I47" s="67" t="inlineStr">
        <is>
          <t>Despacho de la VIET</t>
        </is>
      </c>
      <c r="J47" s="67" t="inlineStr">
        <is>
          <t>140, Vicerrectoría de Investigación, Extensión y Transferencia</t>
        </is>
      </c>
      <c r="K47" s="65" t="inlineStr">
        <is>
          <t>Reubicación de metas 2026 2.3.1.1-2.3.1.5</t>
        </is>
      </c>
      <c r="L47" s="65" t="n"/>
      <c r="M47" s="65" t="inlineStr">
        <is>
          <t>Cantidad de ingresos por productos o servicios que son resultado de la implementación de la investigación, la innovación y el desarrollo tecnológico.</t>
        </is>
      </c>
      <c r="N47" s="65" t="inlineStr">
        <is>
          <t>Académica</t>
        </is>
      </c>
      <c r="O47" s="68" t="n"/>
      <c r="P47" s="69" t="n"/>
      <c r="Q47" s="69" t="n"/>
      <c r="R47" s="68" t="n"/>
      <c r="S47" s="68" t="n"/>
      <c r="T47" s="68" t="n"/>
      <c r="U47" s="68" t="n"/>
    </row>
    <row r="48" ht="60" customHeight="1" s="23">
      <c r="A48" s="65" t="inlineStr">
        <is>
          <t>A27-046</t>
        </is>
      </c>
      <c r="B48" s="66" t="inlineStr">
        <is>
          <t>AC27.19</t>
        </is>
      </c>
      <c r="C48" s="65" t="inlineStr">
        <is>
          <t>Convertir los desarrollos de la Escuela en propiedad intelectual protegida, desde la identificación de lo patentable hasta la radicación ante la SIC</t>
        </is>
      </c>
      <c r="D48" s="65" t="inlineStr">
        <is>
          <t>2.3.1.1</t>
        </is>
      </c>
      <c r="E48" s="67" t="inlineStr">
        <is>
          <t>Investigación y producción técnico científica</t>
        </is>
      </c>
      <c r="F48" s="67" t="inlineStr">
        <is>
          <t>Contar con cuatro (4) patentes registradas sobre la base de los desarrollos logrados con las alianzas con el sector productivo o institucional.</t>
        </is>
      </c>
      <c r="G48" s="65" t="inlineStr">
        <is>
          <t>Radicar las solicitudes de patente o modelo de utilidad ante la SIC</t>
        </is>
      </c>
      <c r="H48" s="65" t="inlineStr">
        <is>
          <t>Solicitudes radicadas</t>
        </is>
      </c>
      <c r="I48" s="67" t="inlineStr">
        <is>
          <t>Innovación y Laboratorio Inteligente</t>
        </is>
      </c>
      <c r="J48" s="67" t="inlineStr">
        <is>
          <t>140, Vicerrectoría de Investigación, Extensión y Transferencia</t>
        </is>
      </c>
      <c r="K48" s="65" t="inlineStr">
        <is>
          <t>Propuesta OAP</t>
        </is>
      </c>
      <c r="L48" s="65" t="n"/>
      <c r="M48" s="65" t="inlineStr">
        <is>
          <t>Cantidad de ingresos por productos o servicios que son resultado de la implementación de la investigación, la innovación y el desarrollo tecnológico.</t>
        </is>
      </c>
      <c r="N48" s="65" t="inlineStr">
        <is>
          <t>Académica</t>
        </is>
      </c>
      <c r="O48" s="68" t="n"/>
      <c r="P48" s="69" t="n"/>
      <c r="Q48" s="69" t="n"/>
      <c r="R48" s="68" t="n"/>
      <c r="S48" s="68" t="n"/>
      <c r="T48" s="68" t="n"/>
      <c r="U48" s="68" t="n"/>
    </row>
    <row r="49" ht="60" customHeight="1" s="23">
      <c r="A49" s="65" t="inlineStr">
        <is>
          <t>A27-047</t>
        </is>
      </c>
      <c r="B49" s="66" t="inlineStr">
        <is>
          <t>AC27.20</t>
        </is>
      </c>
      <c r="C49" s="65" t="inlineStr">
        <is>
          <t>Mantener vigente la patente concedida, al día con anualidades y requerimientos de la SIC</t>
        </is>
      </c>
      <c r="D49" s="65" t="inlineStr">
        <is>
          <t>2.3.1.1</t>
        </is>
      </c>
      <c r="E49" s="67" t="inlineStr">
        <is>
          <t>Investigación y producción técnico científica</t>
        </is>
      </c>
      <c r="F49" s="67" t="inlineStr">
        <is>
          <t>Contar con cuatro (4) patentes registradas sobre la base de los desarrollos logrados con las alianzas con el sector productivo o institucional.</t>
        </is>
      </c>
      <c r="G49" s="65" t="inlineStr">
        <is>
          <t>Pagar la anualidad de la patente vigente y atender los requerimientos de la SIC</t>
        </is>
      </c>
      <c r="H49" s="65" t="inlineStr">
        <is>
          <t>Soportes de pago y respuestas</t>
        </is>
      </c>
      <c r="I49" s="67" t="inlineStr">
        <is>
          <t>Innovación y Laboratorio Inteligente</t>
        </is>
      </c>
      <c r="J49" s="67" t="inlineStr">
        <is>
          <t>140, Vicerrectoría de Investigación, Extensión y Transferencia</t>
        </is>
      </c>
      <c r="K49" s="65" t="inlineStr">
        <is>
          <t>Propuesta OAP</t>
        </is>
      </c>
      <c r="L49" s="65" t="n"/>
      <c r="M49" s="65" t="inlineStr">
        <is>
          <t>Cantidad de ingresos por productos o servicios que son resultado de la implementación de la investigación, la innovación y el desarrollo tecnológico.</t>
        </is>
      </c>
      <c r="N49" s="65" t="inlineStr">
        <is>
          <t>Académica</t>
        </is>
      </c>
      <c r="O49" s="68" t="n"/>
      <c r="P49" s="69" t="n"/>
      <c r="Q49" s="69" t="n"/>
      <c r="R49" s="68" t="n"/>
      <c r="S49" s="68" t="n"/>
      <c r="T49" s="68" t="n"/>
      <c r="U49" s="68" t="n"/>
    </row>
    <row r="50" ht="60" customHeight="1" s="23">
      <c r="A50" s="65" t="inlineStr">
        <is>
          <t>A27-048</t>
        </is>
      </c>
      <c r="B50" s="66" t="inlineStr">
        <is>
          <t>AC27.21</t>
        </is>
      </c>
      <c r="C50" s="65" t="inlineStr">
        <is>
          <t>Poner en marcha el Centro de Pensamiento y Desarrollo Tecnológico articulado con el Ecoparque de Funza, con reconocimiento de MinCiencias y semilleros activos</t>
        </is>
      </c>
      <c r="D50" s="65" t="inlineStr">
        <is>
          <t>2.4.1.1</t>
        </is>
      </c>
      <c r="E50" s="67" t="inlineStr">
        <is>
          <t>Investigación y producción técnico científica</t>
        </is>
      </c>
      <c r="F50" s="67" t="inlineStr">
        <is>
          <t>Contar con un (1) centro de pensamiento y desarrollo tecnológico registrado en Colciencias (MinCiencias) y articulado con el Parque Tecnológico de Funza.</t>
        </is>
      </c>
      <c r="G50" s="65" t="inlineStr">
        <is>
          <t>Completar las etapas del proceso de reconocimiento ante MinCiencias</t>
        </is>
      </c>
      <c r="H50" s="65" t="inlineStr">
        <is>
          <t>Solicitud y evaluación</t>
        </is>
      </c>
      <c r="I50" s="67" t="inlineStr">
        <is>
          <t>Investigación (grupos, semilleros, revista, centro de pensamiento)</t>
        </is>
      </c>
      <c r="J50" s="67" t="inlineStr">
        <is>
          <t>140, Vicerrectoría de Investigación, Extensión y Transferencia</t>
        </is>
      </c>
      <c r="K50" s="65" t="inlineStr">
        <is>
          <t>MPI</t>
        </is>
      </c>
      <c r="L50" s="65" t="n"/>
      <c r="M50" s="65" t="inlineStr">
        <is>
          <t>Porcentaje de proyectos de investigación que transformaron un proceso, un producto o una problemática de una organización o sector.</t>
        </is>
      </c>
      <c r="N50" s="65" t="inlineStr">
        <is>
          <t>Sector Productivo</t>
        </is>
      </c>
      <c r="O50" s="68" t="n"/>
      <c r="P50" s="69" t="n"/>
      <c r="Q50" s="69" t="n"/>
      <c r="R50" s="68" t="n"/>
      <c r="S50" s="68" t="n"/>
      <c r="T50" s="68" t="n"/>
      <c r="U50" s="68" t="n"/>
    </row>
    <row r="51" ht="60" customHeight="1" s="23">
      <c r="A51" s="65" t="inlineStr">
        <is>
          <t>A27-049</t>
        </is>
      </c>
      <c r="B51" s="66" t="inlineStr">
        <is>
          <t>AC27.21</t>
        </is>
      </c>
      <c r="C51" s="65" t="inlineStr">
        <is>
          <t>Poner en marcha el Centro de Pensamiento y Desarrollo Tecnológico articulado con el Ecoparque de Funza, con reconocimiento de MinCiencias y semilleros activos</t>
        </is>
      </c>
      <c r="D51" s="65" t="inlineStr">
        <is>
          <t>2.4.1.1</t>
        </is>
      </c>
      <c r="E51" s="67" t="inlineStr">
        <is>
          <t>Investigación y producción técnico científica</t>
        </is>
      </c>
      <c r="F51" s="67" t="inlineStr">
        <is>
          <t>Contar con un (1) centro de pensamiento y desarrollo tecnológico registrado en Colciencias (MinCiencias) y articulado con el Parque Tecnológico de Funza.</t>
        </is>
      </c>
      <c r="G51" s="65" t="inlineStr">
        <is>
          <t>Poner en marcha el Centro de Pensamiento articulado con el Ecoparque de Funza</t>
        </is>
      </c>
      <c r="H51" s="65" t="inlineStr">
        <is>
          <t>Acta de puesta en marcha y plan de trabajo</t>
        </is>
      </c>
      <c r="I51" s="67" t="inlineStr">
        <is>
          <t>Investigación (grupos, semilleros, revista, centro de pensamiento)</t>
        </is>
      </c>
      <c r="J51" s="67" t="inlineStr">
        <is>
          <t>140, Vicerrectoría de Investigación, Extensión y Transferencia</t>
        </is>
      </c>
      <c r="K51" s="65" t="inlineStr">
        <is>
          <t>MPI</t>
        </is>
      </c>
      <c r="L51" s="65" t="n"/>
      <c r="M51" s="65" t="inlineStr">
        <is>
          <t>Porcentaje de proyectos de investigación que transformaron un proceso, un producto o una problemática de una organización o sector.</t>
        </is>
      </c>
      <c r="N51" s="65" t="inlineStr">
        <is>
          <t>Sector Productivo</t>
        </is>
      </c>
      <c r="O51" s="68" t="n"/>
      <c r="P51" s="69" t="n"/>
      <c r="Q51" s="69" t="n"/>
      <c r="R51" s="68" t="n"/>
      <c r="S51" s="68" t="n"/>
      <c r="T51" s="68" t="n"/>
      <c r="U51" s="68" t="n"/>
    </row>
    <row r="52" ht="60" customHeight="1" s="23">
      <c r="A52" s="65" t="inlineStr">
        <is>
          <t>A27-050</t>
        </is>
      </c>
      <c r="B52" s="66" t="inlineStr">
        <is>
          <t>AC27.21</t>
        </is>
      </c>
      <c r="C52" s="65" t="inlineStr">
        <is>
          <t>Poner en marcha el Centro de Pensamiento y Desarrollo Tecnológico articulado con el Ecoparque de Funza, con reconocimiento de MinCiencias y semilleros activos</t>
        </is>
      </c>
      <c r="D52" s="65" t="inlineStr">
        <is>
          <t>2.4.1.1</t>
        </is>
      </c>
      <c r="E52" s="67" t="inlineStr">
        <is>
          <t>Investigación y producción técnico científica</t>
        </is>
      </c>
      <c r="F52" s="67" t="inlineStr">
        <is>
          <t>Contar con un (1) centro de pensamiento y desarrollo tecnológico registrado en Colciencias (MinCiencias) y articulado con el Parque Tecnológico de Funza.</t>
        </is>
      </c>
      <c r="G52" s="65" t="inlineStr">
        <is>
          <t>Reprogramar los productos de Semilleros</t>
        </is>
      </c>
      <c r="H52" s="65" t="inlineStr">
        <is>
          <t>Productos reprogramados</t>
        </is>
      </c>
      <c r="I52" s="67" t="inlineStr">
        <is>
          <t>Investigación (grupos, semilleros, revista, centro de pensamiento)</t>
        </is>
      </c>
      <c r="J52" s="67" t="inlineStr">
        <is>
          <t>140, Vicerrectoría de Investigación, Extensión y Transferencia</t>
        </is>
      </c>
      <c r="K52" s="65" t="inlineStr">
        <is>
          <t>Prórroga 2026 (CP-053)</t>
        </is>
      </c>
      <c r="L52" s="65" t="n"/>
      <c r="M52" s="65" t="inlineStr">
        <is>
          <t>Porcentaje de proyectos de investigación que transformaron un proceso, un producto o una problemática de una organización o sector.</t>
        </is>
      </c>
      <c r="N52" s="65" t="inlineStr">
        <is>
          <t>Sector Productivo</t>
        </is>
      </c>
      <c r="O52" s="68" t="n"/>
      <c r="P52" s="69" t="n"/>
      <c r="Q52" s="69" t="n"/>
      <c r="R52" s="68" t="n"/>
      <c r="S52" s="68" t="n"/>
      <c r="T52" s="68" t="n"/>
      <c r="U52" s="68" t="n"/>
    </row>
    <row r="53" ht="46.5" customHeight="1" s="23">
      <c r="A53" s="65" t="inlineStr">
        <is>
          <t>A27-051</t>
        </is>
      </c>
      <c r="B53" s="66" t="inlineStr">
        <is>
          <t>AC27.22</t>
        </is>
      </c>
      <c r="C53" s="65" t="inlineStr">
        <is>
          <t>Dotar a la extensión de autonomía de gestión dentro de la estructura actual, con reglas, centro de costos y procedimientos propios</t>
        </is>
      </c>
      <c r="D53" s="65" t="inlineStr">
        <is>
          <t>3.1.1.1</t>
        </is>
      </c>
      <c r="E53" s="67" t="inlineStr">
        <is>
          <t>Extensión y proyección institucional</t>
        </is>
      </c>
      <c r="F53" s="67" t="inlineStr">
        <is>
          <t>Disponer a mediano plazo de una vicerrectoría de extensión y proyección social.</t>
        </is>
      </c>
      <c r="G53" s="65" t="inlineStr">
        <is>
          <t>Actualizar el estatuto o reglamento de extensión con las reglas de autonomía del GIT (contratación de servicios, precios, excedentes)</t>
        </is>
      </c>
      <c r="H53" s="65" t="inlineStr">
        <is>
          <t>Acto administrativo adoptado</t>
        </is>
      </c>
      <c r="I53" s="67" t="inlineStr">
        <is>
          <t>GIT Extensión y Proyección Social (incluye ETDH)</t>
        </is>
      </c>
      <c r="J53" s="67" t="inlineStr">
        <is>
          <t>141, GIT Extensión y Proyección Social</t>
        </is>
      </c>
      <c r="K53" s="65" t="inlineStr">
        <is>
          <t>Propuesta OAP</t>
        </is>
      </c>
      <c r="L53" s="65" t="n"/>
      <c r="M53" s="65" t="inlineStr">
        <is>
          <t>Cantidad de procesos académicos y académico administrativos que mejoran.</t>
        </is>
      </c>
      <c r="N53" s="65" t="inlineStr">
        <is>
          <t>Académica</t>
        </is>
      </c>
      <c r="O53" s="68" t="n"/>
      <c r="P53" s="69" t="n"/>
      <c r="Q53" s="69" t="n"/>
      <c r="R53" s="68" t="n"/>
      <c r="S53" s="68" t="n"/>
      <c r="T53" s="68" t="n"/>
      <c r="U53" s="68" t="n"/>
    </row>
    <row r="54" ht="46.5" customHeight="1" s="23">
      <c r="A54" s="65" t="inlineStr">
        <is>
          <t>A27-052</t>
        </is>
      </c>
      <c r="B54" s="66" t="inlineStr">
        <is>
          <t>AC27.22</t>
        </is>
      </c>
      <c r="C54" s="65" t="inlineStr">
        <is>
          <t>Dotar a la extensión de autonomía de gestión dentro de la estructura actual, con reglas, centro de costos y procedimientos propios</t>
        </is>
      </c>
      <c r="D54" s="65" t="inlineStr">
        <is>
          <t>3.1.1.1</t>
        </is>
      </c>
      <c r="E54" s="67" t="inlineStr">
        <is>
          <t>Extensión y proyección institucional</t>
        </is>
      </c>
      <c r="F54" s="67" t="inlineStr">
        <is>
          <t>Disponer a mediano plazo de una vicerrectoría de extensión y proyección social.</t>
        </is>
      </c>
      <c r="G54" s="65" t="inlineStr">
        <is>
          <t>Crear el centro de costos propio de la extensión con Gestión Financiera</t>
        </is>
      </c>
      <c r="H54" s="65" t="inlineStr">
        <is>
          <t>Centro de costos operando</t>
        </is>
      </c>
      <c r="I54" s="67" t="inlineStr">
        <is>
          <t>Gestión Financiera (Presupuesto, Contabilidad, Tesorería)</t>
        </is>
      </c>
      <c r="J54" s="67" t="inlineStr">
        <is>
          <t>130, Vicerrectoría Administrativa y Financiera</t>
        </is>
      </c>
      <c r="K54" s="65" t="inlineStr">
        <is>
          <t>Propuesta OAP</t>
        </is>
      </c>
      <c r="L54" s="65" t="n"/>
      <c r="M54" s="65" t="inlineStr">
        <is>
          <t>Cantidad de procesos académicos y académico administrativos que mejoran.</t>
        </is>
      </c>
      <c r="N54" s="65" t="inlineStr">
        <is>
          <t>Académica</t>
        </is>
      </c>
      <c r="O54" s="68" t="n"/>
      <c r="P54" s="69" t="n"/>
      <c r="Q54" s="69" t="n"/>
      <c r="R54" s="68" t="n"/>
      <c r="S54" s="68" t="n"/>
      <c r="T54" s="68" t="n"/>
      <c r="U54" s="68" t="n"/>
    </row>
    <row r="55" ht="46.5" customHeight="1" s="23">
      <c r="A55" s="65" t="inlineStr">
        <is>
          <t>A27-053</t>
        </is>
      </c>
      <c r="B55" s="66" t="inlineStr">
        <is>
          <t>AC27.22</t>
        </is>
      </c>
      <c r="C55" s="65" t="inlineStr">
        <is>
          <t>Dotar a la extensión de autonomía de gestión dentro de la estructura actual, con reglas, centro de costos y procedimientos propios</t>
        </is>
      </c>
      <c r="D55" s="65" t="inlineStr">
        <is>
          <t>3.1.1.1</t>
        </is>
      </c>
      <c r="E55" s="67" t="inlineStr">
        <is>
          <t>Extensión y proyección institucional</t>
        </is>
      </c>
      <c r="F55" s="67" t="inlineStr">
        <is>
          <t>Disponer a mediano plazo de una vicerrectoría de extensión y proyección social.</t>
        </is>
      </c>
      <c r="G55" s="65" t="inlineStr">
        <is>
          <t>Documentar y codificar en el SGC los procedimientos de la extensión</t>
        </is>
      </c>
      <c r="H55" s="65" t="inlineStr">
        <is>
          <t>Procedimientos codificados</t>
        </is>
      </c>
      <c r="I55" s="67" t="inlineStr">
        <is>
          <t>GIT Extensión y Proyección Social (incluye ETDH)</t>
        </is>
      </c>
      <c r="J55" s="67" t="inlineStr">
        <is>
          <t>141, GIT Extensión y Proyección Social</t>
        </is>
      </c>
      <c r="K55" s="65" t="inlineStr">
        <is>
          <t>Propuesta OAP</t>
        </is>
      </c>
      <c r="L55" s="65" t="n"/>
      <c r="M55" s="65" t="inlineStr">
        <is>
          <t>Cantidad de procesos académicos y académico administrativos que mejoran.</t>
        </is>
      </c>
      <c r="N55" s="65" t="inlineStr">
        <is>
          <t>Académica</t>
        </is>
      </c>
      <c r="O55" s="68" t="n"/>
      <c r="P55" s="69" t="n"/>
      <c r="Q55" s="69" t="n"/>
      <c r="R55" s="68" t="n"/>
      <c r="S55" s="68" t="n"/>
      <c r="T55" s="68" t="n"/>
      <c r="U55" s="68" t="n"/>
    </row>
    <row r="56" ht="46.5" customHeight="1" s="23">
      <c r="A56" s="65" t="inlineStr">
        <is>
          <t>A27-054</t>
        </is>
      </c>
      <c r="B56" s="66" t="inlineStr">
        <is>
          <t>AC27.23</t>
        </is>
      </c>
      <c r="C56" s="65" t="inlineStr">
        <is>
          <t>Ajustar el enunciado de la meta en la revisión del PDI para que refleje el modelo de autonomía adoptado</t>
        </is>
      </c>
      <c r="D56" s="65" t="inlineStr">
        <is>
          <t>3.1.1.1</t>
        </is>
      </c>
      <c r="E56" s="67" t="inlineStr">
        <is>
          <t>Extensión y proyección institucional</t>
        </is>
      </c>
      <c r="F56" s="67" t="inlineStr">
        <is>
          <t>Disponer a mediano plazo de una vicerrectoría de extensión y proyección social.</t>
        </is>
      </c>
      <c r="G56" s="65" t="inlineStr">
        <is>
          <t>Presentar al Consejo Directivo la propuesta de ajuste del enunciado de la meta 3.1.1.1 en la revisión del PDI</t>
        </is>
      </c>
      <c r="H56" s="65" t="inlineStr">
        <is>
          <t>Propuesta presentada</t>
        </is>
      </c>
      <c r="I56" s="67" t="inlineStr">
        <is>
          <t>Planeación y Plan de Acción</t>
        </is>
      </c>
      <c r="J56" s="67" t="inlineStr">
        <is>
          <t>101, Oficina Asesora de Planeación y Desarrollo Institucional</t>
        </is>
      </c>
      <c r="K56" s="65" t="inlineStr">
        <is>
          <t>Propuesta OAP</t>
        </is>
      </c>
      <c r="L56" s="65" t="n"/>
      <c r="M56" s="65" t="inlineStr">
        <is>
          <t>Cantidad de procesos académicos y académico administrativos que mejoran.</t>
        </is>
      </c>
      <c r="N56" s="65" t="inlineStr">
        <is>
          <t>Académica</t>
        </is>
      </c>
      <c r="O56" s="68" t="n"/>
      <c r="P56" s="69" t="n"/>
      <c r="Q56" s="69" t="n"/>
      <c r="R56" s="68" t="n"/>
      <c r="S56" s="68" t="n"/>
      <c r="T56" s="68" t="n"/>
      <c r="U56" s="68" t="n"/>
    </row>
    <row r="57" ht="60" customHeight="1" s="23">
      <c r="A57" s="65" t="inlineStr">
        <is>
          <t>A27-055</t>
        </is>
      </c>
      <c r="B57" s="66" t="inlineStr">
        <is>
          <t>AC27.24</t>
        </is>
      </c>
      <c r="C57" s="65" t="inlineStr">
        <is>
          <t>Diversificar y virtualizar el portafolio de educación continuada y de Educación para el Trabajo y el Desarrollo Humano a partir de las necesidades de egresados, empresas y regiones</t>
        </is>
      </c>
      <c r="D57" s="65" t="inlineStr">
        <is>
          <t>3.2.1.1</t>
        </is>
      </c>
      <c r="E57" s="67" t="inlineStr">
        <is>
          <t>Extensión y proyección institucional</t>
        </is>
      </c>
      <c r="F57" s="67" t="inlineStr">
        <is>
          <t>Diseñar y diversificar la oferta de programas de educación continuada y Educación para el Trabajo y el Desarrollo Humano.</t>
        </is>
      </c>
      <c r="G57" s="65" t="inlineStr">
        <is>
          <t>Analizar necesidades y mercado (egresados, empresas, regiones) y actualizar el portafolio</t>
        </is>
      </c>
      <c r="H57" s="65" t="inlineStr">
        <is>
          <t>Portafolio 2027 actualizado</t>
        </is>
      </c>
      <c r="I57" s="67" t="inlineStr">
        <is>
          <t>GIT Extensión y Proyección Social (incluye ETDH)</t>
        </is>
      </c>
      <c r="J57" s="67" t="inlineStr">
        <is>
          <t>141, GIT Extensión y Proyección Social</t>
        </is>
      </c>
      <c r="K57" s="65" t="inlineStr">
        <is>
          <t>MPI</t>
        </is>
      </c>
      <c r="L57" s="65" t="n"/>
      <c r="M57" s="65" t="inlineStr">
        <is>
          <t>Porcentaje de beneficiarios que mejoraron las condiciones de empleo después de la intervención: nivel salarial, cargo, tipo de contrato, seguridad y salud, formalidad.</t>
        </is>
      </c>
      <c r="N57" s="65" t="inlineStr">
        <is>
          <t>Egresados</t>
        </is>
      </c>
      <c r="O57" s="68" t="n"/>
      <c r="P57" s="69" t="n"/>
      <c r="Q57" s="69" t="n"/>
      <c r="R57" s="68" t="n"/>
      <c r="S57" s="68" t="n"/>
      <c r="T57" s="68" t="n"/>
      <c r="U57" s="68" t="n"/>
    </row>
    <row r="58" ht="60" customHeight="1" s="23">
      <c r="A58" s="65" t="inlineStr">
        <is>
          <t>A27-056</t>
        </is>
      </c>
      <c r="B58" s="66" t="inlineStr">
        <is>
          <t>AC27.24</t>
        </is>
      </c>
      <c r="C58" s="65" t="inlineStr">
        <is>
          <t>Diversificar y virtualizar el portafolio de educación continuada y de Educación para el Trabajo y el Desarrollo Humano a partir de las necesidades de egresados, empresas y regiones</t>
        </is>
      </c>
      <c r="D58" s="65" t="inlineStr">
        <is>
          <t>3.2.1.1</t>
        </is>
      </c>
      <c r="E58" s="67" t="inlineStr">
        <is>
          <t>Extensión y proyección institucional</t>
        </is>
      </c>
      <c r="F58" s="67" t="inlineStr">
        <is>
          <t>Diseñar y diversificar la oferta de programas de educación continuada y Educación para el Trabajo y el Desarrollo Humano.</t>
        </is>
      </c>
      <c r="G58" s="65" t="inlineStr">
        <is>
          <t>Virtualizar 8 ofertas con la Unidad B-Learning (certificaciones, diplomados, cursos de lenguas)</t>
        </is>
      </c>
      <c r="H58" s="65" t="inlineStr">
        <is>
          <t>Ofertas virtuales publicadas</t>
        </is>
      </c>
      <c r="I58" s="67" t="inlineStr">
        <is>
          <t>Unidad B-Learning</t>
        </is>
      </c>
      <c r="J58" s="67" t="inlineStr">
        <is>
          <t>120, Vicerrectoría Académica</t>
        </is>
      </c>
      <c r="K58" s="65" t="inlineStr">
        <is>
          <t>Propuesta OAP</t>
        </is>
      </c>
      <c r="L58" s="65" t="n"/>
      <c r="M58" s="65" t="inlineStr">
        <is>
          <t>Porcentaje de beneficiarios que mejoraron las condiciones de empleo después de la intervención: nivel salarial, cargo, tipo de contrato, seguridad y salud, formalidad.</t>
        </is>
      </c>
      <c r="N58" s="65" t="inlineStr">
        <is>
          <t>Egresados</t>
        </is>
      </c>
      <c r="O58" s="68" t="n"/>
      <c r="P58" s="69" t="n"/>
      <c r="Q58" s="69" t="n"/>
      <c r="R58" s="68" t="n"/>
      <c r="S58" s="68" t="n"/>
      <c r="T58" s="68" t="n"/>
      <c r="U58" s="68" t="n"/>
    </row>
    <row r="59" ht="60" customHeight="1" s="23">
      <c r="A59" s="65" t="inlineStr">
        <is>
          <t>A27-057</t>
        </is>
      </c>
      <c r="B59" s="66" t="inlineStr">
        <is>
          <t>AC27.24</t>
        </is>
      </c>
      <c r="C59" s="65" t="inlineStr">
        <is>
          <t>Diversificar y virtualizar el portafolio de educación continuada y de Educación para el Trabajo y el Desarrollo Humano a partir de las necesidades de egresados, empresas y regiones</t>
        </is>
      </c>
      <c r="D59" s="65" t="inlineStr">
        <is>
          <t>3.2.1.1</t>
        </is>
      </c>
      <c r="E59" s="67" t="inlineStr">
        <is>
          <t>Extensión y proyección institucional</t>
        </is>
      </c>
      <c r="F59" s="67" t="inlineStr">
        <is>
          <t>Diseñar y diversificar la oferta de programas de educación continuada y Educación para el Trabajo y el Desarrollo Humano.</t>
        </is>
      </c>
      <c r="G59" s="65" t="inlineStr">
        <is>
          <t>Reactivar 2 programas ETDH con reglamento de formadores</t>
        </is>
      </c>
      <c r="H59" s="65" t="inlineStr">
        <is>
          <t>Programas ETDH ofertados</t>
        </is>
      </c>
      <c r="I59" s="67" t="inlineStr">
        <is>
          <t>GIT Extensión y Proyección Social (incluye ETDH)</t>
        </is>
      </c>
      <c r="J59" s="67" t="inlineStr">
        <is>
          <t>141, GIT Extensión y Proyección Social</t>
        </is>
      </c>
      <c r="K59" s="65" t="inlineStr">
        <is>
          <t>Propuesta OAP</t>
        </is>
      </c>
      <c r="L59" s="65" t="n"/>
      <c r="M59" s="65" t="inlineStr">
        <is>
          <t>Porcentaje de beneficiarios que mejoraron las condiciones de empleo después de la intervención: nivel salarial, cargo, tipo de contrato, seguridad y salud, formalidad.</t>
        </is>
      </c>
      <c r="N59" s="65" t="inlineStr">
        <is>
          <t>Egresados</t>
        </is>
      </c>
      <c r="O59" s="68" t="n"/>
      <c r="P59" s="69" t="n"/>
      <c r="Q59" s="69" t="n"/>
      <c r="R59" s="68" t="n"/>
      <c r="S59" s="68" t="n"/>
      <c r="T59" s="68" t="n"/>
      <c r="U59" s="68" t="n"/>
    </row>
    <row r="60" ht="60" customHeight="1" s="23">
      <c r="A60" s="65" t="inlineStr">
        <is>
          <t>A27-058</t>
        </is>
      </c>
      <c r="B60" s="66" t="inlineStr">
        <is>
          <t>AC27.24</t>
        </is>
      </c>
      <c r="C60" s="65" t="inlineStr">
        <is>
          <t>Diversificar y virtualizar el portafolio de educación continuada y de Educación para el Trabajo y el Desarrollo Humano a partir de las necesidades de egresados, empresas y regiones</t>
        </is>
      </c>
      <c r="D60" s="65" t="inlineStr">
        <is>
          <t>3.2.1.1</t>
        </is>
      </c>
      <c r="E60" s="67" t="inlineStr">
        <is>
          <t>Extensión y proyección institucional</t>
        </is>
      </c>
      <c r="F60" s="67" t="inlineStr">
        <is>
          <t>Diseñar y diversificar la oferta de programas de educación continuada y Educación para el Trabajo y el Desarrollo Humano.</t>
        </is>
      </c>
      <c r="G60" s="65" t="inlineStr">
        <is>
          <t>Ejecutar y evaluar la oferta 2027</t>
        </is>
      </c>
      <c r="H60" s="65" t="inlineStr">
        <is>
          <t>Informe de participantes y satisfacción</t>
        </is>
      </c>
      <c r="I60" s="67" t="inlineStr">
        <is>
          <t>GIT Extensión y Proyección Social (incluye ETDH)</t>
        </is>
      </c>
      <c r="J60" s="67" t="inlineStr">
        <is>
          <t>141, GIT Extensión y Proyección Social</t>
        </is>
      </c>
      <c r="K60" s="65" t="inlineStr">
        <is>
          <t>Propuesta OAP</t>
        </is>
      </c>
      <c r="L60" s="65" t="n"/>
      <c r="M60" s="65" t="inlineStr">
        <is>
          <t>Porcentaje de beneficiarios que mejoraron las condiciones de empleo después de la intervención: nivel salarial, cargo, tipo de contrato, seguridad y salud, formalidad.</t>
        </is>
      </c>
      <c r="N60" s="65" t="inlineStr">
        <is>
          <t>Egresados</t>
        </is>
      </c>
      <c r="O60" s="68" t="n"/>
      <c r="P60" s="69" t="n"/>
      <c r="Q60" s="69" t="n"/>
      <c r="R60" s="68" t="n"/>
      <c r="S60" s="68" t="n"/>
      <c r="T60" s="68" t="n"/>
      <c r="U60" s="68" t="n"/>
    </row>
    <row r="61" ht="60" customHeight="1" s="23">
      <c r="A61" s="65" t="inlineStr">
        <is>
          <t>A27-059</t>
        </is>
      </c>
      <c r="B61" s="66" t="inlineStr">
        <is>
          <t>AC27.25</t>
        </is>
      </c>
      <c r="C61" s="65" t="inlineStr">
        <is>
          <t>Aumentar los ingresos propios por venta de servicios con un plan comercial, una oferta empresarial y seguimiento trimestral del recaudo</t>
        </is>
      </c>
      <c r="D61" s="65" t="inlineStr">
        <is>
          <t>3.2.1.2</t>
        </is>
      </c>
      <c r="E61" s="67" t="inlineStr">
        <is>
          <t>Extensión y proyección institucional</t>
        </is>
      </c>
      <c r="F61" s="67" t="inlineStr">
        <is>
          <t>Generar ingresos para la ETITC mediante la comercialización de su portafolio de servicios, fortaleciendo su sostenibilidad financiera por vigencia.</t>
        </is>
      </c>
      <c r="G61" s="65" t="inlineStr">
        <is>
          <t>Definir precios y metas de venta por servicio</t>
        </is>
      </c>
      <c r="H61" s="65" t="inlineStr">
        <is>
          <t>Plan comercial 2027</t>
        </is>
      </c>
      <c r="I61" s="67" t="inlineStr">
        <is>
          <t>GIT Extensión y Proyección Social (incluye ETDH)</t>
        </is>
      </c>
      <c r="J61" s="67" t="inlineStr">
        <is>
          <t>141, GIT Extensión y Proyección Social</t>
        </is>
      </c>
      <c r="K61" s="65" t="inlineStr">
        <is>
          <t>MPI</t>
        </is>
      </c>
      <c r="L61" s="65" t="n"/>
      <c r="M61" s="65" t="inlineStr">
        <is>
          <t>Cantidad de ingresos por productos o servicios que son resultado de la implementación de la investigación, la innovación y el desarrollo tecnológico.</t>
        </is>
      </c>
      <c r="N61" s="65" t="inlineStr">
        <is>
          <t>Académica</t>
        </is>
      </c>
      <c r="O61" s="68" t="n"/>
      <c r="P61" s="69" t="n"/>
      <c r="Q61" s="69" t="n"/>
      <c r="R61" s="68" t="n"/>
      <c r="S61" s="68" t="n"/>
      <c r="T61" s="68" t="n"/>
      <c r="U61" s="68" t="n"/>
    </row>
    <row r="62" ht="60" customHeight="1" s="23">
      <c r="A62" s="65" t="inlineStr">
        <is>
          <t>A27-060</t>
        </is>
      </c>
      <c r="B62" s="66" t="inlineStr">
        <is>
          <t>AC27.25</t>
        </is>
      </c>
      <c r="C62" s="65" t="inlineStr">
        <is>
          <t>Aumentar los ingresos propios por venta de servicios con un plan comercial, una oferta empresarial y seguimiento trimestral del recaudo</t>
        </is>
      </c>
      <c r="D62" s="65" t="inlineStr">
        <is>
          <t>3.2.1.2</t>
        </is>
      </c>
      <c r="E62" s="67" t="inlineStr">
        <is>
          <t>Extensión y proyección institucional</t>
        </is>
      </c>
      <c r="F62" s="67" t="inlineStr">
        <is>
          <t>Generar ingresos para la ETITC mediante la comercialización de su portafolio de servicios, fortaleciendo su sostenibilidad financiera por vigencia.</t>
        </is>
      </c>
      <c r="G62" s="65" t="inlineStr">
        <is>
          <t>Ofertar certificaciones, diplomados, consultorías y cursos a la medida para empresas</t>
        </is>
      </c>
      <c r="H62" s="65" t="inlineStr">
        <is>
          <t>Contratos y ventas registradas</t>
        </is>
      </c>
      <c r="I62" s="67" t="inlineStr">
        <is>
          <t>GIT Extensión y Proyección Social (incluye ETDH)</t>
        </is>
      </c>
      <c r="J62" s="67" t="inlineStr">
        <is>
          <t>141, GIT Extensión y Proyección Social</t>
        </is>
      </c>
      <c r="K62" s="65" t="inlineStr">
        <is>
          <t>MPI</t>
        </is>
      </c>
      <c r="L62" s="65" t="n"/>
      <c r="M62" s="65" t="inlineStr">
        <is>
          <t>Cantidad de ingresos por productos o servicios que son resultado de la implementación de la investigación, la innovación y el desarrollo tecnológico.</t>
        </is>
      </c>
      <c r="N62" s="65" t="inlineStr">
        <is>
          <t>Académica</t>
        </is>
      </c>
      <c r="O62" s="68" t="n"/>
      <c r="P62" s="69" t="n"/>
      <c r="Q62" s="69" t="n"/>
      <c r="R62" s="68" t="n"/>
      <c r="S62" s="68" t="n"/>
      <c r="T62" s="68" t="n"/>
      <c r="U62" s="68" t="n"/>
    </row>
    <row r="63" ht="60" customHeight="1" s="23">
      <c r="A63" s="65" t="inlineStr">
        <is>
          <t>A27-061</t>
        </is>
      </c>
      <c r="B63" s="66" t="inlineStr">
        <is>
          <t>AC27.25</t>
        </is>
      </c>
      <c r="C63" s="65" t="inlineStr">
        <is>
          <t>Aumentar los ingresos propios por venta de servicios con un plan comercial, una oferta empresarial y seguimiento trimestral del recaudo</t>
        </is>
      </c>
      <c r="D63" s="65" t="inlineStr">
        <is>
          <t>3.2.1.2</t>
        </is>
      </c>
      <c r="E63" s="67" t="inlineStr">
        <is>
          <t>Extensión y proyección institucional</t>
        </is>
      </c>
      <c r="F63" s="67" t="inlineStr">
        <is>
          <t>Generar ingresos para la ETITC mediante la comercialización de su portafolio de servicios, fortaleciendo su sostenibilidad financiera por vigencia.</t>
        </is>
      </c>
      <c r="G63" s="65" t="inlineStr">
        <is>
          <t>Hacer seguimiento trimestral al recaudo con Gestión Financiera</t>
        </is>
      </c>
      <c r="H63" s="65" t="inlineStr">
        <is>
          <t>Informe trimestral de recaudo</t>
        </is>
      </c>
      <c r="I63" s="67" t="inlineStr">
        <is>
          <t>Gestión Financiera (Presupuesto, Contabilidad, Tesorería)</t>
        </is>
      </c>
      <c r="J63" s="67" t="inlineStr">
        <is>
          <t>130, Vicerrectoría Administrativa y Financiera</t>
        </is>
      </c>
      <c r="K63" s="65" t="inlineStr">
        <is>
          <t>Propuesta OAP</t>
        </is>
      </c>
      <c r="L63" s="65" t="n"/>
      <c r="M63" s="65" t="inlineStr">
        <is>
          <t>Cantidad de ingresos por productos o servicios que son resultado de la implementación de la investigación, la innovación y el desarrollo tecnológico.</t>
        </is>
      </c>
      <c r="N63" s="65" t="inlineStr">
        <is>
          <t>Académica</t>
        </is>
      </c>
      <c r="O63" s="68" t="n"/>
      <c r="P63" s="69" t="n"/>
      <c r="Q63" s="69" t="n"/>
      <c r="R63" s="68" t="n"/>
      <c r="S63" s="68" t="n"/>
      <c r="T63" s="68" t="n"/>
      <c r="U63" s="68" t="n"/>
    </row>
    <row r="64" ht="46.5" customHeight="1" s="23">
      <c r="A64" s="65" t="inlineStr">
        <is>
          <t>A27-062</t>
        </is>
      </c>
      <c r="B64" s="66" t="inlineStr">
        <is>
          <t>AC27.26</t>
        </is>
      </c>
      <c r="C64" s="65" t="inlineStr">
        <is>
          <t>Instalar un ciclo de mejora continua de la oferta de extensión basado en la opinión de los participantes</t>
        </is>
      </c>
      <c r="D64" s="65" t="inlineStr">
        <is>
          <t>3.2.1.3</t>
        </is>
      </c>
      <c r="E64" s="67" t="inlineStr">
        <is>
          <t>Extensión y proyección institucional</t>
        </is>
      </c>
      <c r="F64" s="67" t="inlineStr">
        <is>
          <t>Implementar mecanismos de retroalimentación continua de la oferta de programas de extensión y proyección social.</t>
        </is>
      </c>
      <c r="G64" s="65" t="inlineStr">
        <is>
          <t>Diseñar el instrumento único de retroalimentación (satisfacción, pertinencia, aplicación en el trabajo)</t>
        </is>
      </c>
      <c r="H64" s="65" t="inlineStr">
        <is>
          <t>Instrumento aprobado</t>
        </is>
      </c>
      <c r="I64" s="67" t="inlineStr">
        <is>
          <t>GIT Extensión y Proyección Social (incluye ETDH)</t>
        </is>
      </c>
      <c r="J64" s="67" t="inlineStr">
        <is>
          <t>141, GIT Extensión y Proyección Social</t>
        </is>
      </c>
      <c r="K64" s="65" t="inlineStr">
        <is>
          <t>MPI</t>
        </is>
      </c>
      <c r="L64" s="65" t="n"/>
      <c r="M64" s="65" t="inlineStr">
        <is>
          <t>Cantidad de procesos académicos y académico administrativos que mejoran.</t>
        </is>
      </c>
      <c r="N64" s="65" t="inlineStr">
        <is>
          <t>Académica</t>
        </is>
      </c>
      <c r="O64" s="68" t="n"/>
      <c r="P64" s="69" t="n"/>
      <c r="Q64" s="69" t="n"/>
      <c r="R64" s="68" t="n"/>
      <c r="S64" s="68" t="n"/>
      <c r="T64" s="68" t="n"/>
      <c r="U64" s="68" t="n"/>
    </row>
    <row r="65" ht="46.5" customHeight="1" s="23">
      <c r="A65" s="65" t="inlineStr">
        <is>
          <t>A27-063</t>
        </is>
      </c>
      <c r="B65" s="66" t="inlineStr">
        <is>
          <t>AC27.26</t>
        </is>
      </c>
      <c r="C65" s="65" t="inlineStr">
        <is>
          <t>Instalar un ciclo de mejora continua de la oferta de extensión basado en la opinión de los participantes</t>
        </is>
      </c>
      <c r="D65" s="65" t="inlineStr">
        <is>
          <t>3.2.1.3</t>
        </is>
      </c>
      <c r="E65" s="67" t="inlineStr">
        <is>
          <t>Extensión y proyección institucional</t>
        </is>
      </c>
      <c r="F65" s="67" t="inlineStr">
        <is>
          <t>Implementar mecanismos de retroalimentación continua de la oferta de programas de extensión y proyección social.</t>
        </is>
      </c>
      <c r="G65" s="65" t="inlineStr">
        <is>
          <t>Aplicarlo al cierre de cada oferta y consolidar resultados</t>
        </is>
      </c>
      <c r="H65" s="65" t="inlineStr">
        <is>
          <t>Informe semestral</t>
        </is>
      </c>
      <c r="I65" s="67" t="inlineStr">
        <is>
          <t>GIT Extensión y Proyección Social (incluye ETDH)</t>
        </is>
      </c>
      <c r="J65" s="67" t="inlineStr">
        <is>
          <t>141, GIT Extensión y Proyección Social</t>
        </is>
      </c>
      <c r="K65" s="65" t="inlineStr">
        <is>
          <t>MPI</t>
        </is>
      </c>
      <c r="L65" s="65" t="n"/>
      <c r="M65" s="65" t="inlineStr">
        <is>
          <t>Cantidad de procesos académicos y académico administrativos que mejoran.</t>
        </is>
      </c>
      <c r="N65" s="65" t="inlineStr">
        <is>
          <t>Académica</t>
        </is>
      </c>
      <c r="O65" s="68" t="n"/>
      <c r="P65" s="69" t="n"/>
      <c r="Q65" s="69" t="n"/>
      <c r="R65" s="68" t="n"/>
      <c r="S65" s="68" t="n"/>
      <c r="T65" s="68" t="n"/>
      <c r="U65" s="68" t="n"/>
    </row>
    <row r="66" ht="46.5" customHeight="1" s="23">
      <c r="A66" s="65" t="inlineStr">
        <is>
          <t>A27-064</t>
        </is>
      </c>
      <c r="B66" s="66" t="inlineStr">
        <is>
          <t>AC27.26</t>
        </is>
      </c>
      <c r="C66" s="65" t="inlineStr">
        <is>
          <t>Instalar un ciclo de mejora continua de la oferta de extensión basado en la opinión de los participantes</t>
        </is>
      </c>
      <c r="D66" s="65" t="inlineStr">
        <is>
          <t>3.2.1.3</t>
        </is>
      </c>
      <c r="E66" s="67" t="inlineStr">
        <is>
          <t>Extensión y proyección institucional</t>
        </is>
      </c>
      <c r="F66" s="67" t="inlineStr">
        <is>
          <t>Implementar mecanismos de retroalimentación continua de la oferta de programas de extensión y proyección social.</t>
        </is>
      </c>
      <c r="G66" s="65" t="inlineStr">
        <is>
          <t>Ajustar el portafolio con base en los resultados</t>
        </is>
      </c>
      <c r="H66" s="65" t="inlineStr">
        <is>
          <t>Acta de ajustes</t>
        </is>
      </c>
      <c r="I66" s="67" t="inlineStr">
        <is>
          <t>GIT Extensión y Proyección Social (incluye ETDH)</t>
        </is>
      </c>
      <c r="J66" s="67" t="inlineStr">
        <is>
          <t>141, GIT Extensión y Proyección Social</t>
        </is>
      </c>
      <c r="K66" s="65" t="inlineStr">
        <is>
          <t>Propuesta OAP</t>
        </is>
      </c>
      <c r="L66" s="65" t="n"/>
      <c r="M66" s="65" t="inlineStr">
        <is>
          <t>Cantidad de procesos académicos y académico administrativos que mejoran.</t>
        </is>
      </c>
      <c r="N66" s="65" t="inlineStr">
        <is>
          <t>Académica</t>
        </is>
      </c>
      <c r="O66" s="68" t="n"/>
      <c r="P66" s="69" t="n"/>
      <c r="Q66" s="69" t="n"/>
      <c r="R66" s="68" t="n"/>
      <c r="S66" s="68" t="n"/>
      <c r="T66" s="68" t="n"/>
      <c r="U66" s="68" t="n"/>
    </row>
    <row r="67" ht="60" customHeight="1" s="23">
      <c r="A67" s="65" t="inlineStr">
        <is>
          <t>A27-065</t>
        </is>
      </c>
      <c r="B67" s="66" t="inlineStr">
        <is>
          <t>AC27.27</t>
        </is>
      </c>
      <c r="C67" s="65" t="inlineStr">
        <is>
          <t>Alinear la formación en segunda lengua con el Marco Común Europeo de Referencia y ampliarla con oferta virtual</t>
        </is>
      </c>
      <c r="D67" s="65" t="inlineStr">
        <is>
          <t>3.2.1.4</t>
        </is>
      </c>
      <c r="E67" s="67" t="inlineStr">
        <is>
          <t>Extensión y proyección institucional</t>
        </is>
      </c>
      <c r="F67" s="67" t="inlineStr">
        <is>
          <t>Alinear la formación en una segunda lengua en la ETITC con los estándares del Marco Común Europeo de Referencia para las Lenguas.</t>
        </is>
      </c>
      <c r="G67" s="65" t="inlineStr">
        <is>
          <t>Diagnosticar los cursos frente a los descriptores del MCER</t>
        </is>
      </c>
      <c r="H67" s="65" t="inlineStr">
        <is>
          <t>Diagnóstico</t>
        </is>
      </c>
      <c r="I67" s="67" t="inlineStr">
        <is>
          <t>Centro de Lenguas (CEL)</t>
        </is>
      </c>
      <c r="J67" s="67" t="inlineStr">
        <is>
          <t>141, GIT Extensión y Proyección Social</t>
        </is>
      </c>
      <c r="K67" s="65" t="inlineStr">
        <is>
          <t>MPI</t>
        </is>
      </c>
      <c r="L67" s="65" t="n"/>
      <c r="M67" s="65" t="inlineStr">
        <is>
          <t>Índice de empleabilidad en el corto plazo tras finalizar el programa formativo.</t>
        </is>
      </c>
      <c r="N67" s="65" t="inlineStr">
        <is>
          <t>Egresados</t>
        </is>
      </c>
      <c r="O67" s="68" t="n"/>
      <c r="P67" s="69" t="n"/>
      <c r="Q67" s="69" t="n"/>
      <c r="R67" s="68" t="n"/>
      <c r="S67" s="68" t="n"/>
      <c r="T67" s="68" t="n"/>
      <c r="U67" s="68" t="n"/>
    </row>
    <row r="68" ht="60" customHeight="1" s="23">
      <c r="A68" s="65" t="inlineStr">
        <is>
          <t>A27-066</t>
        </is>
      </c>
      <c r="B68" s="66" t="inlineStr">
        <is>
          <t>AC27.27</t>
        </is>
      </c>
      <c r="C68" s="65" t="inlineStr">
        <is>
          <t>Alinear la formación en segunda lengua con el Marco Común Europeo de Referencia y ampliarla con oferta virtual</t>
        </is>
      </c>
      <c r="D68" s="65" t="inlineStr">
        <is>
          <t>3.2.1.4</t>
        </is>
      </c>
      <c r="E68" s="67" t="inlineStr">
        <is>
          <t>Extensión y proyección institucional</t>
        </is>
      </c>
      <c r="F68" s="67" t="inlineStr">
        <is>
          <t>Alinear la formación en una segunda lengua en la ETITC con los estándares del Marco Común Europeo de Referencia para las Lenguas.</t>
        </is>
      </c>
      <c r="G68" s="65" t="inlineStr">
        <is>
          <t>Ajustar syllabus, evaluación y prueba de clasificación</t>
        </is>
      </c>
      <c r="H68" s="65" t="inlineStr">
        <is>
          <t>Syllabus y prueba aprobados</t>
        </is>
      </c>
      <c r="I68" s="67" t="inlineStr">
        <is>
          <t>Centro de Lenguas (CEL)</t>
        </is>
      </c>
      <c r="J68" s="67" t="inlineStr">
        <is>
          <t>141, GIT Extensión y Proyección Social</t>
        </is>
      </c>
      <c r="K68" s="65" t="inlineStr">
        <is>
          <t>MPI</t>
        </is>
      </c>
      <c r="L68" s="65" t="n"/>
      <c r="M68" s="65" t="inlineStr">
        <is>
          <t>Índice de empleabilidad en el corto plazo tras finalizar el programa formativo.</t>
        </is>
      </c>
      <c r="N68" s="65" t="inlineStr">
        <is>
          <t>Egresados</t>
        </is>
      </c>
      <c r="O68" s="68" t="n"/>
      <c r="P68" s="69" t="n"/>
      <c r="Q68" s="69" t="n"/>
      <c r="R68" s="68" t="n"/>
      <c r="S68" s="68" t="n"/>
      <c r="T68" s="68" t="n"/>
      <c r="U68" s="68" t="n"/>
    </row>
    <row r="69" ht="60" customHeight="1" s="23">
      <c r="A69" s="65" t="inlineStr">
        <is>
          <t>A27-067</t>
        </is>
      </c>
      <c r="B69" s="66" t="inlineStr">
        <is>
          <t>AC27.27</t>
        </is>
      </c>
      <c r="C69" s="65" t="inlineStr">
        <is>
          <t>Alinear la formación en segunda lengua con el Marco Común Europeo de Referencia y ampliarla con oferta virtual</t>
        </is>
      </c>
      <c r="D69" s="65" t="inlineStr">
        <is>
          <t>3.2.1.4</t>
        </is>
      </c>
      <c r="E69" s="67" t="inlineStr">
        <is>
          <t>Extensión y proyección institucional</t>
        </is>
      </c>
      <c r="F69" s="67" t="inlineStr">
        <is>
          <t>Alinear la formación en una segunda lengua en la ETITC con los estándares del Marco Común Europeo de Referencia para las Lenguas.</t>
        </is>
      </c>
      <c r="G69" s="65" t="inlineStr">
        <is>
          <t>Ofrecer 2 cursos virtuales de segunda lengua</t>
        </is>
      </c>
      <c r="H69" s="65" t="inlineStr">
        <is>
          <t>Cursos virtuales ofertados</t>
        </is>
      </c>
      <c r="I69" s="67" t="inlineStr">
        <is>
          <t>Centro de Lenguas (CEL)</t>
        </is>
      </c>
      <c r="J69" s="67" t="inlineStr">
        <is>
          <t>141, GIT Extensión y Proyección Social</t>
        </is>
      </c>
      <c r="K69" s="65" t="inlineStr">
        <is>
          <t>Propuesta OAP</t>
        </is>
      </c>
      <c r="L69" s="65" t="n"/>
      <c r="M69" s="65" t="inlineStr">
        <is>
          <t>Índice de empleabilidad en el corto plazo tras finalizar el programa formativo.</t>
        </is>
      </c>
      <c r="N69" s="65" t="inlineStr">
        <is>
          <t>Egresados</t>
        </is>
      </c>
      <c r="O69" s="68" t="n"/>
      <c r="P69" s="69" t="n"/>
      <c r="Q69" s="69" t="n"/>
      <c r="R69" s="68" t="n"/>
      <c r="S69" s="68" t="n"/>
      <c r="T69" s="68" t="n"/>
      <c r="U69" s="68" t="n"/>
    </row>
    <row r="70" ht="73.5" customHeight="1" s="23">
      <c r="A70" s="65" t="inlineStr">
        <is>
          <t>A27-068</t>
        </is>
      </c>
      <c r="B70" s="66" t="inlineStr">
        <is>
          <t>AC27.28</t>
        </is>
      </c>
      <c r="C70" s="65" t="inlineStr">
        <is>
          <t>Asegurar la presencia institucional en los eventos académicos, empresariales y sociales que aportan a la misión, con una agenda anual priorizada</t>
        </is>
      </c>
      <c r="D70" s="65" t="inlineStr">
        <is>
          <t>3.3.1.1</t>
        </is>
      </c>
      <c r="E70" s="67" t="inlineStr">
        <is>
          <t>Extensión y proyección institucional</t>
        </is>
      </c>
      <c r="F70" s="67" t="inlineStr">
        <is>
          <t>Garantizar la participación y representación del 100% de la programación de la ETITC en eventos académicos, empresariales y de proyección social, de acuerdo con disponibilidad de recursos.</t>
        </is>
      </c>
      <c r="G70" s="65" t="inlineStr">
        <is>
          <t>Construir la agenda anual de eventos 2027 con criterios de pertinencia</t>
        </is>
      </c>
      <c r="H70" s="65" t="inlineStr">
        <is>
          <t>Agenda aprobada</t>
        </is>
      </c>
      <c r="I70" s="67" t="inlineStr">
        <is>
          <t>GIT Extensión y Proyección Social (incluye ETDH)</t>
        </is>
      </c>
      <c r="J70" s="67" t="inlineStr">
        <is>
          <t>141, GIT Extensión y Proyección Social</t>
        </is>
      </c>
      <c r="K70" s="65" t="inlineStr">
        <is>
          <t>Propuesta OAP</t>
        </is>
      </c>
      <c r="L70" s="65" t="n"/>
      <c r="M70" s="65" t="inlineStr">
        <is>
          <t>Cantidad de grupos comunitarios establecidos o fortalecidos como resultado del proyecto.</t>
        </is>
      </c>
      <c r="N70" s="65" t="inlineStr">
        <is>
          <t>Valor Público</t>
        </is>
      </c>
      <c r="O70" s="68" t="n"/>
      <c r="P70" s="69" t="n"/>
      <c r="Q70" s="69" t="n"/>
      <c r="R70" s="68" t="n"/>
      <c r="S70" s="68" t="n"/>
      <c r="T70" s="68" t="n"/>
      <c r="U70" s="68" t="n"/>
    </row>
    <row r="71" ht="73.5" customHeight="1" s="23">
      <c r="A71" s="65" t="inlineStr">
        <is>
          <t>A27-069</t>
        </is>
      </c>
      <c r="B71" s="66" t="inlineStr">
        <is>
          <t>AC27.28</t>
        </is>
      </c>
      <c r="C71" s="65" t="inlineStr">
        <is>
          <t>Asegurar la presencia institucional en los eventos académicos, empresariales y sociales que aportan a la misión, con una agenda anual priorizada</t>
        </is>
      </c>
      <c r="D71" s="65" t="inlineStr">
        <is>
          <t>3.3.1.1</t>
        </is>
      </c>
      <c r="E71" s="67" t="inlineStr">
        <is>
          <t>Extensión y proyección institucional</t>
        </is>
      </c>
      <c r="F71" s="67" t="inlineStr">
        <is>
          <t>Garantizar la participación y representación del 100% de la programación de la ETITC en eventos académicos, empresariales y de proyección social, de acuerdo con disponibilidad de recursos.</t>
        </is>
      </c>
      <c r="G71" s="65" t="inlineStr">
        <is>
          <t>Participar en los eventos programados y promocionar la oferta institucional</t>
        </is>
      </c>
      <c r="H71" s="65" t="inlineStr">
        <is>
          <t>Informe de participación</t>
        </is>
      </c>
      <c r="I71" s="67" t="inlineStr">
        <is>
          <t>GIT Extensión y Proyección Social (incluye ETDH)</t>
        </is>
      </c>
      <c r="J71" s="67" t="inlineStr">
        <is>
          <t>141, GIT Extensión y Proyección Social</t>
        </is>
      </c>
      <c r="K71" s="65" t="inlineStr">
        <is>
          <t>MPI</t>
        </is>
      </c>
      <c r="L71" s="65" t="n"/>
      <c r="M71" s="65" t="inlineStr">
        <is>
          <t>Cantidad de grupos comunitarios establecidos o fortalecidos como resultado del proyecto.</t>
        </is>
      </c>
      <c r="N71" s="65" t="inlineStr">
        <is>
          <t>Valor Público</t>
        </is>
      </c>
      <c r="O71" s="68" t="n"/>
      <c r="P71" s="69" t="n"/>
      <c r="Q71" s="69" t="n"/>
      <c r="R71" s="68" t="n"/>
      <c r="S71" s="68" t="n"/>
      <c r="T71" s="68" t="n"/>
      <c r="U71" s="68" t="n"/>
    </row>
    <row r="72" ht="60" customHeight="1" s="23">
      <c r="A72" s="65" t="inlineStr">
        <is>
          <t>A27-070</t>
        </is>
      </c>
      <c r="B72" s="66" t="inlineStr">
        <is>
          <t>AC27.29</t>
        </is>
      </c>
      <c r="C72" s="65" t="inlineStr">
        <is>
          <t>Posicionar la oferta de extensión con un componente propio dentro del Plan Estratégico de Comunicaciones y medición de su alcance</t>
        </is>
      </c>
      <c r="D72" s="65" t="inlineStr">
        <is>
          <t>3.3.1.2</t>
        </is>
      </c>
      <c r="E72" s="67" t="inlineStr">
        <is>
          <t>Extensión y proyección institucional</t>
        </is>
      </c>
      <c r="F72" s="67" t="inlineStr">
        <is>
          <t>Ejecutar el 100% del Plan Estratégico de Comunicación de la Vicerrectoría de Extensión y Proyección Social, asegurando su efectividad y alcance.</t>
        </is>
      </c>
      <c r="G72" s="65" t="inlineStr">
        <is>
          <t>Incluir el componente de comunicación de la extensión en el Plan Estratégico de Comunicaciones 2025 a 2032</t>
        </is>
      </c>
      <c r="H72" s="65" t="inlineStr">
        <is>
          <t>Componente aprobado</t>
        </is>
      </c>
      <c r="I72" s="67" t="inlineStr">
        <is>
          <t>Comunicaciones y Mercadeo</t>
        </is>
      </c>
      <c r="J72" s="67" t="inlineStr">
        <is>
          <t>100, Rectoría</t>
        </is>
      </c>
      <c r="K72" s="65" t="inlineStr">
        <is>
          <t>Propuesta OAP</t>
        </is>
      </c>
      <c r="L72" s="65" t="n"/>
      <c r="M72" s="65" t="inlineStr">
        <is>
          <t>Porcentaje de actores que evidencian cambios significativos en sus valores y actitudes como consecuencia de las intervenciones institucionales.</t>
        </is>
      </c>
      <c r="N72" s="65" t="inlineStr">
        <is>
          <t>Valor Público</t>
        </is>
      </c>
      <c r="O72" s="68" t="n"/>
      <c r="P72" s="69" t="n"/>
      <c r="Q72" s="69" t="n"/>
      <c r="R72" s="68" t="n"/>
      <c r="S72" s="68" t="n"/>
      <c r="T72" s="68" t="n"/>
      <c r="U72" s="68" t="n"/>
    </row>
    <row r="73" ht="60" customHeight="1" s="23">
      <c r="A73" s="65" t="inlineStr">
        <is>
          <t>A27-071</t>
        </is>
      </c>
      <c r="B73" s="66" t="inlineStr">
        <is>
          <t>AC27.29</t>
        </is>
      </c>
      <c r="C73" s="65" t="inlineStr">
        <is>
          <t>Posicionar la oferta de extensión con un componente propio dentro del Plan Estratégico de Comunicaciones y medición de su alcance</t>
        </is>
      </c>
      <c r="D73" s="65" t="inlineStr">
        <is>
          <t>3.3.1.2</t>
        </is>
      </c>
      <c r="E73" s="67" t="inlineStr">
        <is>
          <t>Extensión y proyección institucional</t>
        </is>
      </c>
      <c r="F73" s="67" t="inlineStr">
        <is>
          <t>Ejecutar el 100% del Plan Estratégico de Comunicación de la Vicerrectoría de Extensión y Proyección Social, asegurando su efectividad y alcance.</t>
        </is>
      </c>
      <c r="G73" s="65" t="inlineStr">
        <is>
          <t>Ejecutar las piezas y campañas de la oferta de extensión</t>
        </is>
      </c>
      <c r="H73" s="65" t="inlineStr">
        <is>
          <t>Informe de ejecución</t>
        </is>
      </c>
      <c r="I73" s="67" t="inlineStr">
        <is>
          <t>GIT Extensión y Proyección Social (incluye ETDH)</t>
        </is>
      </c>
      <c r="J73" s="67" t="inlineStr">
        <is>
          <t>141, GIT Extensión y Proyección Social</t>
        </is>
      </c>
      <c r="K73" s="65" t="inlineStr">
        <is>
          <t>Propuesta OAP</t>
        </is>
      </c>
      <c r="L73" s="65" t="n"/>
      <c r="M73" s="65" t="inlineStr">
        <is>
          <t>Porcentaje de actores que evidencian cambios significativos en sus valores y actitudes como consecuencia de las intervenciones institucionales.</t>
        </is>
      </c>
      <c r="N73" s="65" t="inlineStr">
        <is>
          <t>Valor Público</t>
        </is>
      </c>
      <c r="O73" s="68" t="n"/>
      <c r="P73" s="69" t="n"/>
      <c r="Q73" s="69" t="n"/>
      <c r="R73" s="68" t="n"/>
      <c r="S73" s="68" t="n"/>
      <c r="T73" s="68" t="n"/>
      <c r="U73" s="68" t="n"/>
    </row>
    <row r="74" ht="60" customHeight="1" s="23">
      <c r="A74" s="65" t="inlineStr">
        <is>
          <t>A27-072</t>
        </is>
      </c>
      <c r="B74" s="66" t="inlineStr">
        <is>
          <t>AC27.29</t>
        </is>
      </c>
      <c r="C74" s="65" t="inlineStr">
        <is>
          <t>Posicionar la oferta de extensión con un componente propio dentro del Plan Estratégico de Comunicaciones y medición de su alcance</t>
        </is>
      </c>
      <c r="D74" s="65" t="inlineStr">
        <is>
          <t>3.3.1.2</t>
        </is>
      </c>
      <c r="E74" s="67" t="inlineStr">
        <is>
          <t>Extensión y proyección institucional</t>
        </is>
      </c>
      <c r="F74" s="67" t="inlineStr">
        <is>
          <t>Ejecutar el 100% del Plan Estratégico de Comunicación de la Vicerrectoría de Extensión y Proyección Social, asegurando su efectividad y alcance.</t>
        </is>
      </c>
      <c r="G74" s="65" t="inlineStr">
        <is>
          <t>Medir alcance y conversión (inscritos por campaña)</t>
        </is>
      </c>
      <c r="H74" s="65" t="inlineStr">
        <is>
          <t>Informe de alcance</t>
        </is>
      </c>
      <c r="I74" s="67" t="inlineStr">
        <is>
          <t>Comunicaciones y Mercadeo</t>
        </is>
      </c>
      <c r="J74" s="67" t="inlineStr">
        <is>
          <t>100, Rectoría</t>
        </is>
      </c>
      <c r="K74" s="65" t="inlineStr">
        <is>
          <t>Propuesta OAP</t>
        </is>
      </c>
      <c r="L74" s="65" t="n"/>
      <c r="M74" s="65" t="inlineStr">
        <is>
          <t>Porcentaje de actores que evidencian cambios significativos en sus valores y actitudes como consecuencia de las intervenciones institucionales.</t>
        </is>
      </c>
      <c r="N74" s="65" t="inlineStr">
        <is>
          <t>Valor Público</t>
        </is>
      </c>
      <c r="O74" s="68" t="n"/>
      <c r="P74" s="69" t="n"/>
      <c r="Q74" s="69" t="n"/>
      <c r="R74" s="68" t="n"/>
      <c r="S74" s="68" t="n"/>
      <c r="T74" s="68" t="n"/>
      <c r="U74" s="68" t="n"/>
    </row>
    <row r="75" ht="60" customHeight="1" s="23">
      <c r="A75" s="65" t="inlineStr">
        <is>
          <t>A27-073</t>
        </is>
      </c>
      <c r="B75" s="66" t="inlineStr">
        <is>
          <t>AC27.30</t>
        </is>
      </c>
      <c r="C75" s="65" t="inlineStr">
        <is>
          <t>Depurar, renovar y ampliar los convenios y las redes de colaboración, de modo que cada convenio vigente tenga uso real</t>
        </is>
      </c>
      <c r="D75" s="65" t="inlineStr">
        <is>
          <t>3.3.1.3</t>
        </is>
      </c>
      <c r="E75" s="67" t="inlineStr">
        <is>
          <t>Extensión y proyección institucional</t>
        </is>
      </c>
      <c r="F75" s="67" t="inlineStr">
        <is>
          <t>Establecer convenios y fortalecer redes de colaboración con sectores productivos, sociales y educativos, tanto públicos como privados.</t>
        </is>
      </c>
      <c r="G75" s="65" t="inlineStr">
        <is>
          <t>Revisar el vencimiento y el uso de los 71 convenios activos</t>
        </is>
      </c>
      <c r="H75" s="65" t="inlineStr">
        <is>
          <t>Matriz de convenios con estado</t>
        </is>
      </c>
      <c r="I75" s="67" t="inlineStr">
        <is>
          <t>GIT Extensión y Proyección Social (incluye ETDH)</t>
        </is>
      </c>
      <c r="J75" s="67" t="inlineStr">
        <is>
          <t>141, GIT Extensión y Proyección Social</t>
        </is>
      </c>
      <c r="K75" s="65" t="inlineStr">
        <is>
          <t>Propuesta OAP</t>
        </is>
      </c>
      <c r="L75" s="65" t="n"/>
      <c r="M75" s="65" t="inlineStr">
        <is>
          <t>Tasas de productividad y competitividad después del proyecto.</t>
        </is>
      </c>
      <c r="N75" s="65" t="inlineStr">
        <is>
          <t>Sector Productivo</t>
        </is>
      </c>
      <c r="O75" s="68" t="n"/>
      <c r="P75" s="69" t="n"/>
      <c r="Q75" s="69" t="n"/>
      <c r="R75" s="68" t="n"/>
      <c r="S75" s="68" t="n"/>
      <c r="T75" s="68" t="n"/>
      <c r="U75" s="68" t="n"/>
    </row>
    <row r="76" ht="60" customHeight="1" s="23">
      <c r="A76" s="65" t="inlineStr">
        <is>
          <t>A27-074</t>
        </is>
      </c>
      <c r="B76" s="66" t="inlineStr">
        <is>
          <t>AC27.30</t>
        </is>
      </c>
      <c r="C76" s="65" t="inlineStr">
        <is>
          <t>Depurar, renovar y ampliar los convenios y las redes de colaboración, de modo que cada convenio vigente tenga uso real</t>
        </is>
      </c>
      <c r="D76" s="65" t="inlineStr">
        <is>
          <t>3.3.1.3</t>
        </is>
      </c>
      <c r="E76" s="67" t="inlineStr">
        <is>
          <t>Extensión y proyección institucional</t>
        </is>
      </c>
      <c r="F76" s="67" t="inlineStr">
        <is>
          <t>Establecer convenios y fortalecer redes de colaboración con sectores productivos, sociales y educativos, tanto públicos como privados.</t>
        </is>
      </c>
      <c r="G76" s="65" t="inlineStr">
        <is>
          <t>Renovar los convenios útiles que vencen y gestionar 4 nuevos</t>
        </is>
      </c>
      <c r="H76" s="65" t="inlineStr">
        <is>
          <t>Convenios suscritos</t>
        </is>
      </c>
      <c r="I76" s="67" t="inlineStr">
        <is>
          <t>GIT Extensión y Proyección Social (incluye ETDH)</t>
        </is>
      </c>
      <c r="J76" s="67" t="inlineStr">
        <is>
          <t>141, GIT Extensión y Proyección Social</t>
        </is>
      </c>
      <c r="K76" s="65" t="inlineStr">
        <is>
          <t>Propuesta OAP</t>
        </is>
      </c>
      <c r="L76" s="65" t="n"/>
      <c r="M76" s="65" t="inlineStr">
        <is>
          <t>Tasas de productividad y competitividad después del proyecto.</t>
        </is>
      </c>
      <c r="N76" s="65" t="inlineStr">
        <is>
          <t>Sector Productivo</t>
        </is>
      </c>
      <c r="O76" s="68" t="n"/>
      <c r="P76" s="69" t="n"/>
      <c r="Q76" s="69" t="n"/>
      <c r="R76" s="68" t="n"/>
      <c r="S76" s="68" t="n"/>
      <c r="T76" s="68" t="n"/>
      <c r="U76" s="68" t="n"/>
    </row>
    <row r="77" ht="60" customHeight="1" s="23">
      <c r="A77" s="65" t="inlineStr">
        <is>
          <t>A27-075</t>
        </is>
      </c>
      <c r="B77" s="66" t="inlineStr">
        <is>
          <t>AC27.30</t>
        </is>
      </c>
      <c r="C77" s="65" t="inlineStr">
        <is>
          <t>Depurar, renovar y ampliar los convenios y las redes de colaboración, de modo que cada convenio vigente tenga uso real</t>
        </is>
      </c>
      <c r="D77" s="65" t="inlineStr">
        <is>
          <t>3.3.1.3</t>
        </is>
      </c>
      <c r="E77" s="67" t="inlineStr">
        <is>
          <t>Extensión y proyección institucional</t>
        </is>
      </c>
      <c r="F77" s="67" t="inlineStr">
        <is>
          <t>Establecer convenios y fortalecer redes de colaboración con sectores productivos, sociales y educativos, tanto públicos como privados.</t>
        </is>
      </c>
      <c r="G77" s="65" t="inlineStr">
        <is>
          <t>Afiliarse a 2 redes nuevas (por ejemplo, RIUC y renovación RCI ASCUN)</t>
        </is>
      </c>
      <c r="H77" s="65" t="inlineStr">
        <is>
          <t>Actas de afiliación</t>
        </is>
      </c>
      <c r="I77" s="67" t="inlineStr">
        <is>
          <t>Internacionalización (ORII)</t>
        </is>
      </c>
      <c r="J77" s="67" t="inlineStr">
        <is>
          <t>100, Rectoría</t>
        </is>
      </c>
      <c r="K77" s="65" t="inlineStr">
        <is>
          <t>Propuesta OAP</t>
        </is>
      </c>
      <c r="L77" s="65" t="n"/>
      <c r="M77" s="65" t="inlineStr">
        <is>
          <t>Tasas de productividad y competitividad después del proyecto.</t>
        </is>
      </c>
      <c r="N77" s="65" t="inlineStr">
        <is>
          <t>Sector Productivo</t>
        </is>
      </c>
      <c r="O77" s="68" t="n"/>
      <c r="P77" s="69" t="n"/>
      <c r="Q77" s="69" t="n"/>
      <c r="R77" s="68" t="n"/>
      <c r="S77" s="68" t="n"/>
      <c r="T77" s="68" t="n"/>
      <c r="U77" s="68" t="n"/>
    </row>
    <row r="78" ht="46.5" customHeight="1" s="23">
      <c r="A78" s="65" t="inlineStr">
        <is>
          <t>A27-076</t>
        </is>
      </c>
      <c r="B78" s="66" t="inlineStr">
        <is>
          <t>AC27.31</t>
        </is>
      </c>
      <c r="C78" s="65" t="inlineStr">
        <is>
          <t>Fortalecer el seguimiento del PDI para que el avance reportado corresponda a productos pertinentes y verificables</t>
        </is>
      </c>
      <c r="D78" s="65" t="inlineStr">
        <is>
          <t>4.1.1.1</t>
        </is>
      </c>
      <c r="E78" s="67" t="inlineStr">
        <is>
          <t>Transformación institucional</t>
        </is>
      </c>
      <c r="F78" s="67" t="inlineStr">
        <is>
          <t>Cumplir al 2032 con el 90% en el Plan de Desarrollo Institucional 2025 a 2032 de la ETITC.</t>
        </is>
      </c>
      <c r="G78" s="65" t="inlineStr">
        <is>
          <t>Adoptar el protocolo de mesas de trabajo en el SGC</t>
        </is>
      </c>
      <c r="H78" s="65" t="inlineStr">
        <is>
          <t>Procedimiento adoptado</t>
        </is>
      </c>
      <c r="I78" s="67" t="inlineStr">
        <is>
          <t>Planeación y Plan de Acción</t>
        </is>
      </c>
      <c r="J78" s="67" t="inlineStr">
        <is>
          <t>101, Oficina Asesora de Planeación y Desarrollo Institucional</t>
        </is>
      </c>
      <c r="K78" s="65" t="inlineStr">
        <is>
          <t>Compromiso CP-062</t>
        </is>
      </c>
      <c r="L78" s="65" t="n"/>
      <c r="M78" s="65" t="inlineStr">
        <is>
          <t>Tasa de adopción de nuevos procesos atribuible a la implementación del sistema de calidad.</t>
        </is>
      </c>
      <c r="N78" s="65" t="inlineStr">
        <is>
          <t>Académica</t>
        </is>
      </c>
      <c r="O78" s="68" t="n"/>
      <c r="P78" s="69" t="n"/>
      <c r="Q78" s="69" t="n"/>
      <c r="R78" s="68" t="n"/>
      <c r="S78" s="68" t="n"/>
      <c r="T78" s="68" t="n"/>
      <c r="U78" s="68" t="n"/>
    </row>
    <row r="79" ht="46.5" customHeight="1" s="23">
      <c r="A79" s="65" t="inlineStr">
        <is>
          <t>A27-077</t>
        </is>
      </c>
      <c r="B79" s="66" t="inlineStr">
        <is>
          <t>AC27.31</t>
        </is>
      </c>
      <c r="C79" s="65" t="inlineStr">
        <is>
          <t>Fortalecer el seguimiento del PDI para que el avance reportado corresponda a productos pertinentes y verificables</t>
        </is>
      </c>
      <c r="D79" s="65" t="inlineStr">
        <is>
          <t>4.1.1.1</t>
        </is>
      </c>
      <c r="E79" s="67" t="inlineStr">
        <is>
          <t>Transformación institucional</t>
        </is>
      </c>
      <c r="F79" s="67" t="inlineStr">
        <is>
          <t>Cumplir al 2032 con el 90% en el Plan de Desarrollo Institucional 2025 a 2032 de la ETITC.</t>
        </is>
      </c>
      <c r="G79" s="65" t="inlineStr">
        <is>
          <t>Extender la revisión de pertinencia a todos los productos ejecutados</t>
        </is>
      </c>
      <c r="H79" s="65" t="inlineStr">
        <is>
          <t>Matriz de aprobación</t>
        </is>
      </c>
      <c r="I79" s="67" t="inlineStr">
        <is>
          <t>Planeación y Plan de Acción</t>
        </is>
      </c>
      <c r="J79" s="67" t="inlineStr">
        <is>
          <t>101, Oficina Asesora de Planeación y Desarrollo Institucional</t>
        </is>
      </c>
      <c r="K79" s="65" t="inlineStr">
        <is>
          <t>Compromiso CP-063</t>
        </is>
      </c>
      <c r="L79" s="65" t="n"/>
      <c r="M79" s="65" t="inlineStr">
        <is>
          <t>Tasa de adopción de nuevos procesos atribuible a la implementación del sistema de calidad.</t>
        </is>
      </c>
      <c r="N79" s="65" t="inlineStr">
        <is>
          <t>Académica</t>
        </is>
      </c>
      <c r="O79" s="68" t="n"/>
      <c r="P79" s="69" t="n"/>
      <c r="Q79" s="69" t="n"/>
      <c r="R79" s="68" t="n"/>
      <c r="S79" s="68" t="n"/>
      <c r="T79" s="68" t="n"/>
      <c r="U79" s="68" t="n"/>
    </row>
    <row r="80" ht="46.5" customHeight="1" s="23">
      <c r="A80" s="65" t="inlineStr">
        <is>
          <t>A27-078</t>
        </is>
      </c>
      <c r="B80" s="66" t="inlineStr">
        <is>
          <t>AC27.31</t>
        </is>
      </c>
      <c r="C80" s="65" t="inlineStr">
        <is>
          <t>Fortalecer el seguimiento del PDI para que el avance reportado corresponda a productos pertinentes y verificables</t>
        </is>
      </c>
      <c r="D80" s="65" t="inlineStr">
        <is>
          <t>4.1.1.1</t>
        </is>
      </c>
      <c r="E80" s="67" t="inlineStr">
        <is>
          <t>Transformación institucional</t>
        </is>
      </c>
      <c r="F80" s="67" t="inlineStr">
        <is>
          <t>Cumplir al 2032 con el 90% en el Plan de Desarrollo Institucional 2025 a 2032 de la ETITC.</t>
        </is>
      </c>
      <c r="G80" s="65" t="inlineStr">
        <is>
          <t>Hacer seguimiento trimestral del PAA 2027 en el Navegador Estratégico</t>
        </is>
      </c>
      <c r="H80" s="65" t="inlineStr">
        <is>
          <t>Informes trimestrales</t>
        </is>
      </c>
      <c r="I80" s="67" t="inlineStr">
        <is>
          <t>Planeación y Plan de Acción</t>
        </is>
      </c>
      <c r="J80" s="67" t="inlineStr">
        <is>
          <t>101, Oficina Asesora de Planeación y Desarrollo Institucional</t>
        </is>
      </c>
      <c r="K80" s="65" t="inlineStr">
        <is>
          <t>Propuesta OAP</t>
        </is>
      </c>
      <c r="L80" s="65" t="n"/>
      <c r="M80" s="65" t="inlineStr">
        <is>
          <t>Tasa de adopción de nuevos procesos atribuible a la implementación del sistema de calidad.</t>
        </is>
      </c>
      <c r="N80" s="65" t="inlineStr">
        <is>
          <t>Académica</t>
        </is>
      </c>
      <c r="O80" s="68" t="n"/>
      <c r="P80" s="69" t="n"/>
      <c r="Q80" s="69" t="n"/>
      <c r="R80" s="68" t="n"/>
      <c r="S80" s="68" t="n"/>
      <c r="T80" s="68" t="n"/>
      <c r="U80" s="68" t="n"/>
    </row>
    <row r="81" ht="46.5" customHeight="1" s="23">
      <c r="A81" s="65" t="inlineStr">
        <is>
          <t>A27-079</t>
        </is>
      </c>
      <c r="B81" s="66" t="inlineStr">
        <is>
          <t>AC27.32</t>
        </is>
      </c>
      <c r="C81" s="65" t="inlineStr">
        <is>
          <t>Adelantar los trámites de transformación de la ETITC en universidad</t>
        </is>
      </c>
      <c r="D81" s="65" t="inlineStr">
        <is>
          <t>4.1.1.1</t>
        </is>
      </c>
      <c r="E81" s="67" t="inlineStr">
        <is>
          <t>Transformación institucional</t>
        </is>
      </c>
      <c r="F81" s="67" t="inlineStr">
        <is>
          <t>Cumplir al 2032 con el 90% en el Plan de Desarrollo Institucional 2025 a 2032 de la ETITC.</t>
        </is>
      </c>
      <c r="G81" s="65" t="inlineStr">
        <is>
          <t>Adelantar los trámites de transformación a universidad (Ley 30 de 1992, Ley 749 de 2002)</t>
        </is>
      </c>
      <c r="H81" s="65" t="inlineStr">
        <is>
          <t>Expediente radicado</t>
        </is>
      </c>
      <c r="I81" s="67" t="inlineStr">
        <is>
          <t>Despacho de Rectoría</t>
        </is>
      </c>
      <c r="J81" s="67" t="inlineStr">
        <is>
          <t>100, Rectoría</t>
        </is>
      </c>
      <c r="K81" s="65" t="inlineStr">
        <is>
          <t>MPI</t>
        </is>
      </c>
      <c r="L81" s="65" t="n"/>
      <c r="M81" s="65" t="inlineStr">
        <is>
          <t>Tasa de adopción de nuevos procesos atribuible a la implementación del sistema de calidad.</t>
        </is>
      </c>
      <c r="N81" s="65" t="inlineStr">
        <is>
          <t>Académica</t>
        </is>
      </c>
      <c r="O81" s="68" t="n"/>
      <c r="P81" s="69" t="n"/>
      <c r="Q81" s="69" t="n"/>
      <c r="R81" s="68" t="n"/>
      <c r="S81" s="68" t="n"/>
      <c r="T81" s="68" t="n"/>
      <c r="U81" s="68" t="n"/>
    </row>
    <row r="82" ht="46.5" customHeight="1" s="23">
      <c r="A82" s="65" t="inlineStr">
        <is>
          <t>A27-080</t>
        </is>
      </c>
      <c r="B82" s="66" t="inlineStr">
        <is>
          <t>AC27.33</t>
        </is>
      </c>
      <c r="C82" s="65" t="inlineStr">
        <is>
          <t>Mejorar el desempeño institucional en el FURAG con un plan de mejora por política del MIPG y el cumplimiento del plan suscrito con la Contraloría</t>
        </is>
      </c>
      <c r="D82" s="65" t="inlineStr">
        <is>
          <t>4.1.1.2</t>
        </is>
      </c>
      <c r="E82" s="67" t="inlineStr">
        <is>
          <t>Transformación institucional</t>
        </is>
      </c>
      <c r="F82" s="67" t="inlineStr">
        <is>
          <t>Alcanzar el 92% en el Índice de Desempeño Institucional del FURAG.</t>
        </is>
      </c>
      <c r="G82" s="65" t="inlineStr">
        <is>
          <t>Formular el plan de mejora por política MIPG con base en el último FURAG</t>
        </is>
      </c>
      <c r="H82" s="65" t="inlineStr">
        <is>
          <t>Plan de mejora</t>
        </is>
      </c>
      <c r="I82" s="67" t="inlineStr">
        <is>
          <t>Aseguramiento de la Calidad, MIPG y Registros Calificados</t>
        </is>
      </c>
      <c r="J82" s="67" t="inlineStr">
        <is>
          <t>101, Oficina Asesora de Planeación y Desarrollo Institucional</t>
        </is>
      </c>
      <c r="K82" s="65" t="inlineStr">
        <is>
          <t>Propuesta OAP</t>
        </is>
      </c>
      <c r="L82" s="65" t="n"/>
      <c r="M82" s="65" t="inlineStr">
        <is>
          <t>Tasa de adopción de nuevos procesos atribuible a la implementación del sistema de calidad.</t>
        </is>
      </c>
      <c r="N82" s="65" t="inlineStr">
        <is>
          <t>Académica</t>
        </is>
      </c>
      <c r="O82" s="68" t="n"/>
      <c r="P82" s="69" t="n"/>
      <c r="Q82" s="69" t="n"/>
      <c r="R82" s="68" t="n"/>
      <c r="S82" s="68" t="n"/>
      <c r="T82" s="68" t="n"/>
      <c r="U82" s="68" t="n"/>
    </row>
    <row r="83" ht="46.5" customHeight="1" s="23">
      <c r="A83" s="65" t="inlineStr">
        <is>
          <t>A27-081</t>
        </is>
      </c>
      <c r="B83" s="66" t="inlineStr">
        <is>
          <t>AC27.34</t>
        </is>
      </c>
      <c r="C83" s="65" t="inlineStr">
        <is>
          <t>Ordenar la gestión financiera y contable con cierres oportunos, indicadores propios, procedimientos documentados y capacitación</t>
        </is>
      </c>
      <c r="D83" s="65" t="inlineStr">
        <is>
          <t>4.1.1.2</t>
        </is>
      </c>
      <c r="E83" s="67" t="inlineStr">
        <is>
          <t>Transformación institucional</t>
        </is>
      </c>
      <c r="F83" s="67" t="inlineStr">
        <is>
          <t>Alcanzar el 92% en el Índice de Desempeño Institucional del FURAG.</t>
        </is>
      </c>
      <c r="G83" s="65" t="inlineStr">
        <is>
          <t>Fijar calendario de cierre con corte único y constituir el rezago a tiempo</t>
        </is>
      </c>
      <c r="H83" s="65" t="inlineStr">
        <is>
          <t>Calendario y resolución de rezago</t>
        </is>
      </c>
      <c r="I83" s="67" t="inlineStr">
        <is>
          <t>Gestión Financiera (Presupuesto, Contabilidad, Tesorería)</t>
        </is>
      </c>
      <c r="J83" s="67" t="inlineStr">
        <is>
          <t>130, Vicerrectoría Administrativa y Financiera</t>
        </is>
      </c>
      <c r="K83" s="65" t="inlineStr">
        <is>
          <t>Compromiso CP-017</t>
        </is>
      </c>
      <c r="L83" s="65" t="n"/>
      <c r="M83" s="65" t="inlineStr">
        <is>
          <t>Tasa de adopción de nuevos procesos atribuible a la implementación del sistema de calidad.</t>
        </is>
      </c>
      <c r="N83" s="65" t="inlineStr">
        <is>
          <t>Académica</t>
        </is>
      </c>
      <c r="O83" s="68" t="n"/>
      <c r="P83" s="69" t="n"/>
      <c r="Q83" s="69" t="n"/>
      <c r="R83" s="68" t="n"/>
      <c r="S83" s="68" t="n"/>
      <c r="T83" s="68" t="n"/>
      <c r="U83" s="68" t="n"/>
    </row>
    <row r="84" ht="46.5" customHeight="1" s="23">
      <c r="A84" s="65" t="inlineStr">
        <is>
          <t>A27-082</t>
        </is>
      </c>
      <c r="B84" s="66" t="inlineStr">
        <is>
          <t>AC27.33</t>
        </is>
      </c>
      <c r="C84" s="65" t="inlineStr">
        <is>
          <t>Mejorar el desempeño institucional en el FURAG con un plan de mejora por política del MIPG y el cumplimiento del plan suscrito con la Contraloría</t>
        </is>
      </c>
      <c r="D84" s="65" t="inlineStr">
        <is>
          <t>4.1.1.2</t>
        </is>
      </c>
      <c r="E84" s="67" t="inlineStr">
        <is>
          <t>Transformación institucional</t>
        </is>
      </c>
      <c r="F84" s="67" t="inlineStr">
        <is>
          <t>Alcanzar el 92% en el Índice de Desempeño Institucional del FURAG.</t>
        </is>
      </c>
      <c r="G84" s="65" t="inlineStr">
        <is>
          <t>Ejecutar el Plan de Mejoramiento con la CGR (7 hallazgos, 24 metas)</t>
        </is>
      </c>
      <c r="H84" s="65" t="inlineStr">
        <is>
          <t>Avance del plan reportado</t>
        </is>
      </c>
      <c r="I84" s="67" t="inlineStr">
        <is>
          <t>Gestión Financiera (Presupuesto, Contabilidad, Tesorería)</t>
        </is>
      </c>
      <c r="J84" s="67" t="inlineStr">
        <is>
          <t>130, Vicerrectoría Administrativa y Financiera</t>
        </is>
      </c>
      <c r="K84" s="65" t="inlineStr">
        <is>
          <t>Compromisos CP-022 a CP-027</t>
        </is>
      </c>
      <c r="L84" s="65" t="n"/>
      <c r="M84" s="65" t="inlineStr">
        <is>
          <t>Tasa de adopción de nuevos procesos atribuible a la implementación del sistema de calidad.</t>
        </is>
      </c>
      <c r="N84" s="65" t="inlineStr">
        <is>
          <t>Académica</t>
        </is>
      </c>
      <c r="O84" s="68" t="n"/>
      <c r="P84" s="69" t="n"/>
      <c r="Q84" s="69" t="n"/>
      <c r="R84" s="68" t="n"/>
      <c r="S84" s="68" t="n"/>
      <c r="T84" s="68" t="n"/>
      <c r="U84" s="68" t="n"/>
    </row>
    <row r="85" ht="46.5" customHeight="1" s="23">
      <c r="A85" s="65" t="inlineStr">
        <is>
          <t>A27-083</t>
        </is>
      </c>
      <c r="B85" s="66" t="inlineStr">
        <is>
          <t>AC27.34</t>
        </is>
      </c>
      <c r="C85" s="65" t="inlineStr">
        <is>
          <t>Ordenar la gestión financiera y contable con cierres oportunos, indicadores propios, procedimientos documentados y capacitación</t>
        </is>
      </c>
      <c r="D85" s="65" t="inlineStr">
        <is>
          <t>4.1.1.2</t>
        </is>
      </c>
      <c r="E85" s="67" t="inlineStr">
        <is>
          <t>Transformación institucional</t>
        </is>
      </c>
      <c r="F85" s="67" t="inlineStr">
        <is>
          <t>Alcanzar el 92% en el Índice de Desempeño Institucional del FURAG.</t>
        </is>
      </c>
      <c r="G85" s="65" t="inlineStr">
        <is>
          <t>Formular indicadores financieros y contables (razón corriente, margen, rotación de cartera)</t>
        </is>
      </c>
      <c r="H85" s="65" t="inlineStr">
        <is>
          <t>Indicadores en el PAA</t>
        </is>
      </c>
      <c r="I85" s="67" t="inlineStr">
        <is>
          <t>Gestión Financiera (Presupuesto, Contabilidad, Tesorería)</t>
        </is>
      </c>
      <c r="J85" s="67" t="inlineStr">
        <is>
          <t>130, Vicerrectoría Administrativa y Financiera</t>
        </is>
      </c>
      <c r="K85" s="65" t="inlineStr">
        <is>
          <t>Compromiso CP-028</t>
        </is>
      </c>
      <c r="L85" s="65" t="n"/>
      <c r="M85" s="65" t="inlineStr">
        <is>
          <t>Tasa de adopción de nuevos procesos atribuible a la implementación del sistema de calidad.</t>
        </is>
      </c>
      <c r="N85" s="65" t="inlineStr">
        <is>
          <t>Académica</t>
        </is>
      </c>
      <c r="O85" s="68" t="n"/>
      <c r="P85" s="69" t="n"/>
      <c r="Q85" s="69" t="n"/>
      <c r="R85" s="68" t="n"/>
      <c r="S85" s="68" t="n"/>
      <c r="T85" s="68" t="n"/>
      <c r="U85" s="68" t="n"/>
    </row>
    <row r="86" ht="46.5" customHeight="1" s="23">
      <c r="A86" s="65" t="inlineStr">
        <is>
          <t>A27-084</t>
        </is>
      </c>
      <c r="B86" s="66" t="inlineStr">
        <is>
          <t>AC27.34</t>
        </is>
      </c>
      <c r="C86" s="65" t="inlineStr">
        <is>
          <t>Ordenar la gestión financiera y contable con cierres oportunos, indicadores propios, procedimientos documentados y capacitación</t>
        </is>
      </c>
      <c r="D86" s="65" t="inlineStr">
        <is>
          <t>4.1.1.2</t>
        </is>
      </c>
      <c r="E86" s="67" t="inlineStr">
        <is>
          <t>Transformación institucional</t>
        </is>
      </c>
      <c r="F86" s="67" t="inlineStr">
        <is>
          <t>Alcanzar el 92% en el Índice de Desempeño Institucional del FURAG.</t>
        </is>
      </c>
      <c r="G86" s="65" t="inlineStr">
        <is>
          <t>Documentar y codificar los procedimientos de gratuidad</t>
        </is>
      </c>
      <c r="H86" s="65" t="inlineStr">
        <is>
          <t>Procedimientos en el SGC</t>
        </is>
      </c>
      <c r="I86" s="67" t="inlineStr">
        <is>
          <t>Despacho de la Vicerrectoría Administrativa y Financiera</t>
        </is>
      </c>
      <c r="J86" s="67" t="inlineStr">
        <is>
          <t>130, Vicerrectoría Administrativa y Financiera</t>
        </is>
      </c>
      <c r="K86" s="65" t="inlineStr">
        <is>
          <t>Compromiso CP-044</t>
        </is>
      </c>
      <c r="L86" s="65" t="n"/>
      <c r="M86" s="65" t="inlineStr">
        <is>
          <t>Tasa de adopción de nuevos procesos atribuible a la implementación del sistema de calidad.</t>
        </is>
      </c>
      <c r="N86" s="65" t="inlineStr">
        <is>
          <t>Académica</t>
        </is>
      </c>
      <c r="O86" s="68" t="n"/>
      <c r="P86" s="69" t="n"/>
      <c r="Q86" s="69" t="n"/>
      <c r="R86" s="68" t="n"/>
      <c r="S86" s="68" t="n"/>
      <c r="T86" s="68" t="n"/>
      <c r="U86" s="68" t="n"/>
    </row>
    <row r="87" ht="46.5" customHeight="1" s="23">
      <c r="A87" s="65" t="inlineStr">
        <is>
          <t>A27-085</t>
        </is>
      </c>
      <c r="B87" s="66" t="inlineStr">
        <is>
          <t>AC27.34</t>
        </is>
      </c>
      <c r="C87" s="65" t="inlineStr">
        <is>
          <t>Ordenar la gestión financiera y contable con cierres oportunos, indicadores propios, procedimientos documentados y capacitación</t>
        </is>
      </c>
      <c r="D87" s="65" t="inlineStr">
        <is>
          <t>4.1.1.2</t>
        </is>
      </c>
      <c r="E87" s="67" t="inlineStr">
        <is>
          <t>Transformación institucional</t>
        </is>
      </c>
      <c r="F87" s="67" t="inlineStr">
        <is>
          <t>Alcanzar el 92% en el Índice de Desempeño Institucional del FURAG.</t>
        </is>
      </c>
      <c r="G87" s="65" t="inlineStr">
        <is>
          <t>Incluir capacitación contable en el Plan Institucional de Capacitación</t>
        </is>
      </c>
      <c r="H87" s="65" t="inlineStr">
        <is>
          <t>PIC 2027</t>
        </is>
      </c>
      <c r="I87" s="67" t="inlineStr">
        <is>
          <t>GIT Talento Humano</t>
        </is>
      </c>
      <c r="J87" s="67" t="inlineStr">
        <is>
          <t>133, GIT Gestión de Talento Humano</t>
        </is>
      </c>
      <c r="K87" s="65" t="inlineStr">
        <is>
          <t>Compromiso CP-029</t>
        </is>
      </c>
      <c r="L87" s="65" t="n"/>
      <c r="M87" s="65" t="inlineStr">
        <is>
          <t>Tasa de adopción de nuevos procesos atribuible a la implementación del sistema de calidad.</t>
        </is>
      </c>
      <c r="N87" s="65" t="inlineStr">
        <is>
          <t>Académica</t>
        </is>
      </c>
      <c r="O87" s="68" t="n"/>
      <c r="P87" s="69" t="n"/>
      <c r="Q87" s="69" t="n"/>
      <c r="R87" s="68" t="n"/>
      <c r="S87" s="68" t="n"/>
      <c r="T87" s="68" t="n"/>
      <c r="U87" s="68" t="n"/>
    </row>
    <row r="88" ht="46.5" customHeight="1" s="23">
      <c r="A88" s="65" t="inlineStr">
        <is>
          <t>A27-086</t>
        </is>
      </c>
      <c r="B88" s="66" t="inlineStr">
        <is>
          <t>AC27.35</t>
        </is>
      </c>
      <c r="C88" s="65" t="inlineStr">
        <is>
          <t>Sostener la acreditación institucional mediante el plan de mejoramiento derivado de las recomendaciones del CNA y su seguimiento semestral</t>
        </is>
      </c>
      <c r="D88" s="65" t="inlineStr">
        <is>
          <t>4.1.1.3</t>
        </is>
      </c>
      <c r="E88" s="67" t="inlineStr">
        <is>
          <t>Transformación institucional</t>
        </is>
      </c>
      <c r="F88" s="67" t="inlineStr">
        <is>
          <t>Lograr la renovación de la acreditación institucional a 8 años.</t>
        </is>
      </c>
      <c r="G88" s="65" t="inlineStr">
        <is>
          <t>Formular el plan de mejoramiento institucional derivado de las recomendaciones del CNA</t>
        </is>
      </c>
      <c r="H88" s="65" t="inlineStr">
        <is>
          <t>Plan aprobado</t>
        </is>
      </c>
      <c r="I88" s="67" t="inlineStr">
        <is>
          <t>Autoevaluación y Acreditación</t>
        </is>
      </c>
      <c r="J88" s="67" t="inlineStr">
        <is>
          <t>101, Oficina Asesora de Planeación y Desarrollo Institucional</t>
        </is>
      </c>
      <c r="K88" s="65" t="inlineStr">
        <is>
          <t>Propuesta OAP</t>
        </is>
      </c>
      <c r="L88" s="65" t="n"/>
      <c r="M88" s="65" t="inlineStr">
        <is>
          <t>Tasa de adopción de nuevos procesos atribuible a la implementación del sistema de calidad.</t>
        </is>
      </c>
      <c r="N88" s="65" t="inlineStr">
        <is>
          <t>Académica</t>
        </is>
      </c>
      <c r="O88" s="68" t="n"/>
      <c r="P88" s="69" t="n"/>
      <c r="Q88" s="69" t="n"/>
      <c r="R88" s="68" t="n"/>
      <c r="S88" s="68" t="n"/>
      <c r="T88" s="68" t="n"/>
      <c r="U88" s="68" t="n"/>
    </row>
    <row r="89" ht="46.5" customHeight="1" s="23">
      <c r="A89" s="65" t="inlineStr">
        <is>
          <t>A27-087</t>
        </is>
      </c>
      <c r="B89" s="66" t="inlineStr">
        <is>
          <t>AC27.35</t>
        </is>
      </c>
      <c r="C89" s="65" t="inlineStr">
        <is>
          <t>Sostener la acreditación institucional mediante el plan de mejoramiento derivado de las recomendaciones del CNA y su seguimiento semestral</t>
        </is>
      </c>
      <c r="D89" s="65" t="inlineStr">
        <is>
          <t>4.1.1.3</t>
        </is>
      </c>
      <c r="E89" s="67" t="inlineStr">
        <is>
          <t>Transformación institucional</t>
        </is>
      </c>
      <c r="F89" s="67" t="inlineStr">
        <is>
          <t>Lograr la renovación de la acreditación institucional a 8 años.</t>
        </is>
      </c>
      <c r="G89" s="65" t="inlineStr">
        <is>
          <t>Ejecutar y hacer seguimiento semestral al plan de mejoramiento</t>
        </is>
      </c>
      <c r="H89" s="65" t="inlineStr">
        <is>
          <t>Informes semestrales</t>
        </is>
      </c>
      <c r="I89" s="67" t="inlineStr">
        <is>
          <t>Autoevaluación y Acreditación</t>
        </is>
      </c>
      <c r="J89" s="67" t="inlineStr">
        <is>
          <t>101, Oficina Asesora de Planeación y Desarrollo Institucional</t>
        </is>
      </c>
      <c r="K89" s="65" t="inlineStr">
        <is>
          <t>Propuesta OAP</t>
        </is>
      </c>
      <c r="L89" s="65" t="n"/>
      <c r="M89" s="65" t="inlineStr">
        <is>
          <t>Tasa de adopción de nuevos procesos atribuible a la implementación del sistema de calidad.</t>
        </is>
      </c>
      <c r="N89" s="65" t="inlineStr">
        <is>
          <t>Académica</t>
        </is>
      </c>
      <c r="O89" s="68" t="n"/>
      <c r="P89" s="69" t="n"/>
      <c r="Q89" s="69" t="n"/>
      <c r="R89" s="68" t="n"/>
      <c r="S89" s="68" t="n"/>
      <c r="T89" s="68" t="n"/>
      <c r="U89" s="68" t="n"/>
    </row>
    <row r="90" ht="33" customHeight="1" s="23">
      <c r="A90" s="65" t="inlineStr">
        <is>
          <t>A27-088</t>
        </is>
      </c>
      <c r="B90" s="66" t="inlineStr">
        <is>
          <t>AC27.36</t>
        </is>
      </c>
      <c r="C90" s="65" t="inlineStr">
        <is>
          <t>Divulgar la acreditación institucional ante la comunidad y los públicos externos</t>
        </is>
      </c>
      <c r="D90" s="65" t="inlineStr">
        <is>
          <t>4.1.1.3</t>
        </is>
      </c>
      <c r="E90" s="67" t="inlineStr">
        <is>
          <t>Transformación institucional</t>
        </is>
      </c>
      <c r="F90" s="67" t="inlineStr">
        <is>
          <t>Lograr la renovación de la acreditación institucional a 8 años.</t>
        </is>
      </c>
      <c r="G90" s="65" t="inlineStr">
        <is>
          <t>Divulgar la acreditación institucional (estrategia de divulgación)</t>
        </is>
      </c>
      <c r="H90" s="65" t="inlineStr">
        <is>
          <t>Piezas y alcance</t>
        </is>
      </c>
      <c r="I90" s="67" t="inlineStr">
        <is>
          <t>Comunicaciones y Mercadeo</t>
        </is>
      </c>
      <c r="J90" s="67" t="inlineStr">
        <is>
          <t>100, Rectoría</t>
        </is>
      </c>
      <c r="K90" s="65" t="inlineStr">
        <is>
          <t>Insumo Hoja de Ruta</t>
        </is>
      </c>
      <c r="L90" s="65" t="n"/>
      <c r="M90" s="65" t="inlineStr">
        <is>
          <t>Tasa de adopción de nuevos procesos atribuible a la implementación del sistema de calidad.</t>
        </is>
      </c>
      <c r="N90" s="65" t="inlineStr">
        <is>
          <t>Académica</t>
        </is>
      </c>
      <c r="O90" s="68" t="n"/>
      <c r="P90" s="69" t="n"/>
      <c r="Q90" s="69" t="n"/>
      <c r="R90" s="68" t="n"/>
      <c r="S90" s="68" t="n"/>
      <c r="T90" s="68" t="n"/>
      <c r="U90" s="68" t="n"/>
    </row>
    <row r="91" ht="46.5" customHeight="1" s="23">
      <c r="A91" s="65" t="inlineStr">
        <is>
          <t>A27-089</t>
        </is>
      </c>
      <c r="B91" s="66" t="inlineStr">
        <is>
          <t>AC27.35</t>
        </is>
      </c>
      <c r="C91" s="65" t="inlineStr">
        <is>
          <t>Sostener la acreditación institucional mediante el plan de mejoramiento derivado de las recomendaciones del CNA y su seguimiento semestral</t>
        </is>
      </c>
      <c r="D91" s="65" t="inlineStr">
        <is>
          <t>4.1.1.3</t>
        </is>
      </c>
      <c r="E91" s="67" t="inlineStr">
        <is>
          <t>Transformación institucional</t>
        </is>
      </c>
      <c r="F91" s="67" t="inlineStr">
        <is>
          <t>Lograr la renovación de la acreditación institucional a 8 años.</t>
        </is>
      </c>
      <c r="G91" s="65" t="inlineStr">
        <is>
          <t>Cerrar los productos vencidos de Autoevaluación (32 al 2 de septiembre de 2026)</t>
        </is>
      </c>
      <c r="H91" s="65" t="inlineStr">
        <is>
          <t>Productos reprogramados</t>
        </is>
      </c>
      <c r="I91" s="67" t="inlineStr">
        <is>
          <t>Autoevaluación y Acreditación</t>
        </is>
      </c>
      <c r="J91" s="67" t="inlineStr">
        <is>
          <t>101, Oficina Asesora de Planeación y Desarrollo Institucional</t>
        </is>
      </c>
      <c r="K91" s="65" t="inlineStr">
        <is>
          <t>Prórroga 2026 (CP-054)</t>
        </is>
      </c>
      <c r="L91" s="65" t="n"/>
      <c r="M91" s="65" t="inlineStr">
        <is>
          <t>Tasa de adopción de nuevos procesos atribuible a la implementación del sistema de calidad.</t>
        </is>
      </c>
      <c r="N91" s="65" t="inlineStr">
        <is>
          <t>Académica</t>
        </is>
      </c>
      <c r="O91" s="68" t="n"/>
      <c r="P91" s="69" t="n"/>
      <c r="Q91" s="69" t="n"/>
      <c r="R91" s="68" t="n"/>
      <c r="S91" s="68" t="n"/>
      <c r="T91" s="68" t="n"/>
      <c r="U91" s="68" t="n"/>
    </row>
    <row r="92" ht="46.5" customHeight="1" s="23">
      <c r="A92" s="65" t="inlineStr">
        <is>
          <t>A27-090</t>
        </is>
      </c>
      <c r="B92" s="66" t="inlineStr">
        <is>
          <t>AC27.37</t>
        </is>
      </c>
      <c r="C92" s="65" t="inlineStr">
        <is>
          <t>Ajustar la estructura organizacional a la operación real de la Escuela y avanzar en la formalización laboral</t>
        </is>
      </c>
      <c r="D92" s="65" t="inlineStr">
        <is>
          <t>4.2.1.1</t>
        </is>
      </c>
      <c r="E92" s="67" t="inlineStr">
        <is>
          <t>Transformación institucional</t>
        </is>
      </c>
      <c r="F92" s="67" t="inlineStr">
        <is>
          <t>Contar con el 100% de la estructura organizacional académica y administrativa operando.</t>
        </is>
      </c>
      <c r="G92" s="65" t="inlineStr">
        <is>
          <t>Elaborar el estudio técnico de rediseño institucional para el cambio de carácter</t>
        </is>
      </c>
      <c r="H92" s="65" t="inlineStr">
        <is>
          <t>Estudio técnico</t>
        </is>
      </c>
      <c r="I92" s="67" t="inlineStr">
        <is>
          <t>Planeación y Plan de Acción</t>
        </is>
      </c>
      <c r="J92" s="67" t="inlineStr">
        <is>
          <t>101, Oficina Asesora de Planeación y Desarrollo Institucional</t>
        </is>
      </c>
      <c r="K92" s="65" t="inlineStr">
        <is>
          <t>Propuesta OAP</t>
        </is>
      </c>
      <c r="L92" s="65" t="n"/>
      <c r="M92" s="65" t="inlineStr">
        <is>
          <t>Porcentaje de la comunidad académica satisfecha con el clima laboral después de la implementación del sistema de calidad.</t>
        </is>
      </c>
      <c r="N92" s="65" t="inlineStr">
        <is>
          <t>Académica</t>
        </is>
      </c>
      <c r="O92" s="68" t="n"/>
      <c r="P92" s="69" t="n"/>
      <c r="Q92" s="69" t="n"/>
      <c r="R92" s="68" t="n"/>
      <c r="S92" s="68" t="n"/>
      <c r="T92" s="68" t="n"/>
      <c r="U92" s="68" t="n"/>
    </row>
    <row r="93" ht="46.5" customHeight="1" s="23">
      <c r="A93" s="65" t="inlineStr">
        <is>
          <t>A27-091</t>
        </is>
      </c>
      <c r="B93" s="66" t="inlineStr">
        <is>
          <t>AC27.37</t>
        </is>
      </c>
      <c r="C93" s="65" t="inlineStr">
        <is>
          <t>Ajustar la estructura organizacional a la operación real de la Escuela y avanzar en la formalización laboral</t>
        </is>
      </c>
      <c r="D93" s="65" t="inlineStr">
        <is>
          <t>4.2.1.1</t>
        </is>
      </c>
      <c r="E93" s="67" t="inlineStr">
        <is>
          <t>Transformación institucional</t>
        </is>
      </c>
      <c r="F93" s="67" t="inlineStr">
        <is>
          <t>Contar con el 100% de la estructura organizacional académica y administrativa operando.</t>
        </is>
      </c>
      <c r="G93" s="65" t="inlineStr">
        <is>
          <t>Definir quién ejerce la jefatura de Control Interno, para que la Escuela pueda suscribir la evaluación del control interno contable</t>
        </is>
      </c>
      <c r="H93" s="65" t="inlineStr">
        <is>
          <t>Acto administrativo</t>
        </is>
      </c>
      <c r="I93" s="67" t="inlineStr">
        <is>
          <t>Despacho de Rectoría</t>
        </is>
      </c>
      <c r="J93" s="67" t="inlineStr">
        <is>
          <t>100, Rectoría</t>
        </is>
      </c>
      <c r="K93" s="65" t="inlineStr">
        <is>
          <t>Compromiso CP-020</t>
        </is>
      </c>
      <c r="L93" s="65" t="n"/>
      <c r="M93" s="65" t="inlineStr">
        <is>
          <t>Porcentaje de la comunidad académica satisfecha con el clima laboral después de la implementación del sistema de calidad.</t>
        </is>
      </c>
      <c r="N93" s="65" t="inlineStr">
        <is>
          <t>Académica</t>
        </is>
      </c>
      <c r="O93" s="68" t="n"/>
      <c r="P93" s="69" t="n"/>
      <c r="Q93" s="69" t="n"/>
      <c r="R93" s="68" t="n"/>
      <c r="S93" s="68" t="n"/>
      <c r="T93" s="68" t="n"/>
      <c r="U93" s="68" t="n"/>
    </row>
    <row r="94" ht="46.5" customHeight="1" s="23">
      <c r="A94" s="65" t="inlineStr">
        <is>
          <t>A27-092</t>
        </is>
      </c>
      <c r="B94" s="66" t="inlineStr">
        <is>
          <t>AC27.37</t>
        </is>
      </c>
      <c r="C94" s="65" t="inlineStr">
        <is>
          <t>Ajustar la estructura organizacional a la operación real de la Escuela y avanzar en la formalización laboral</t>
        </is>
      </c>
      <c r="D94" s="65" t="inlineStr">
        <is>
          <t>4.2.1.1</t>
        </is>
      </c>
      <c r="E94" s="67" t="inlineStr">
        <is>
          <t>Transformación institucional</t>
        </is>
      </c>
      <c r="F94" s="67" t="inlineStr">
        <is>
          <t>Contar con el 100% de la estructura organizacional académica y administrativa operando.</t>
        </is>
      </c>
      <c r="G94" s="65" t="inlineStr">
        <is>
          <t>Vincular 15 docentes de tiempo completo y 10 administrativos (formalización laboral)</t>
        </is>
      </c>
      <c r="H94" s="65" t="inlineStr">
        <is>
          <t>Actos de vinculación</t>
        </is>
      </c>
      <c r="I94" s="67" t="inlineStr">
        <is>
          <t>GIT Talento Humano</t>
        </is>
      </c>
      <c r="J94" s="67" t="inlineStr">
        <is>
          <t>133, GIT Gestión de Talento Humano</t>
        </is>
      </c>
      <c r="K94" s="65" t="inlineStr">
        <is>
          <t>MPI</t>
        </is>
      </c>
      <c r="L94" s="65" t="inlineStr">
        <is>
          <t>3.024 (MPI, docentes)</t>
        </is>
      </c>
      <c r="M94" s="65" t="inlineStr">
        <is>
          <t>Porcentaje de la comunidad académica satisfecha con el clima laboral después de la implementación del sistema de calidad.</t>
        </is>
      </c>
      <c r="N94" s="65" t="inlineStr">
        <is>
          <t>Académica</t>
        </is>
      </c>
      <c r="O94" s="68" t="n"/>
      <c r="P94" s="69" t="n"/>
      <c r="Q94" s="69" t="n"/>
      <c r="R94" s="68" t="n"/>
      <c r="S94" s="68" t="n"/>
      <c r="T94" s="68" t="n"/>
      <c r="U94" s="68" t="n"/>
    </row>
    <row r="95" ht="46.5" customHeight="1" s="23">
      <c r="A95" s="65" t="inlineStr">
        <is>
          <t>A27-093</t>
        </is>
      </c>
      <c r="B95" s="66" t="inlineStr">
        <is>
          <t>AC27.38</t>
        </is>
      </c>
      <c r="C95" s="65" t="inlineStr">
        <is>
          <t>Consolidar el SIUE como fuente única de información institucional, con módulos integrados y uso por todas las dependencias</t>
        </is>
      </c>
      <c r="D95" s="65" t="inlineStr">
        <is>
          <t>4.2.1.2</t>
        </is>
      </c>
      <c r="E95" s="67" t="inlineStr">
        <is>
          <t>Transformación institucional</t>
        </is>
      </c>
      <c r="F95" s="67" t="inlineStr">
        <is>
          <t>Contar con un (1) sistema de información estratégico.</t>
        </is>
      </c>
      <c r="G95" s="65" t="inlineStr">
        <is>
          <t>Formalizar el cierre de la implementación del SIUE y su manual de uso</t>
        </is>
      </c>
      <c r="H95" s="65" t="inlineStr">
        <is>
          <t>Acta de entrega y manual</t>
        </is>
      </c>
      <c r="I95" s="67" t="inlineStr">
        <is>
          <t>Gestión de Proyectos</t>
        </is>
      </c>
      <c r="J95" s="67" t="inlineStr">
        <is>
          <t>101, Oficina Asesora de Planeación y Desarrollo Institucional</t>
        </is>
      </c>
      <c r="K95" s="65" t="inlineStr">
        <is>
          <t>Propuesta OAP</t>
        </is>
      </c>
      <c r="L95" s="65" t="n"/>
      <c r="M95" s="65" t="inlineStr">
        <is>
          <t>Tasa de adopción de nuevos procesos atribuible a la implementación del sistema de calidad.</t>
        </is>
      </c>
      <c r="N95" s="65" t="inlineStr">
        <is>
          <t>Académica</t>
        </is>
      </c>
      <c r="O95" s="68" t="n"/>
      <c r="P95" s="69" t="n"/>
      <c r="Q95" s="69" t="n"/>
      <c r="R95" s="68" t="n"/>
      <c r="S95" s="68" t="n"/>
      <c r="T95" s="68" t="n"/>
      <c r="U95" s="68" t="n"/>
    </row>
    <row r="96" ht="46.5" customHeight="1" s="23">
      <c r="A96" s="65" t="inlineStr">
        <is>
          <t>A27-094</t>
        </is>
      </c>
      <c r="B96" s="66" t="inlineStr">
        <is>
          <t>AC27.38</t>
        </is>
      </c>
      <c r="C96" s="65" t="inlineStr">
        <is>
          <t>Consolidar el SIUE como fuente única de información institucional, con módulos integrados y uso por todas las dependencias</t>
        </is>
      </c>
      <c r="D96" s="65" t="inlineStr">
        <is>
          <t>4.2.1.2</t>
        </is>
      </c>
      <c r="E96" s="67" t="inlineStr">
        <is>
          <t>Transformación institucional</t>
        </is>
      </c>
      <c r="F96" s="67" t="inlineStr">
        <is>
          <t>Contar con un (1) sistema de información estratégico.</t>
        </is>
      </c>
      <c r="G96" s="65" t="inlineStr">
        <is>
          <t>Integrar la Hoja de Ruta Power Apps con el SIUE</t>
        </is>
      </c>
      <c r="H96" s="65" t="inlineStr">
        <is>
          <t>Integración operando</t>
        </is>
      </c>
      <c r="I96" s="67" t="inlineStr">
        <is>
          <t>Gestión de Proyectos</t>
        </is>
      </c>
      <c r="J96" s="67" t="inlineStr">
        <is>
          <t>101, Oficina Asesora de Planeación y Desarrollo Institucional</t>
        </is>
      </c>
      <c r="K96" s="65" t="inlineStr">
        <is>
          <t>Prórroga 2026 (CP-055)</t>
        </is>
      </c>
      <c r="L96" s="65" t="n"/>
      <c r="M96" s="65" t="inlineStr">
        <is>
          <t>Tasa de adopción de nuevos procesos atribuible a la implementación del sistema de calidad.</t>
        </is>
      </c>
      <c r="N96" s="65" t="inlineStr">
        <is>
          <t>Académica</t>
        </is>
      </c>
      <c r="O96" s="68" t="n"/>
      <c r="P96" s="69" t="n"/>
      <c r="Q96" s="69" t="n"/>
      <c r="R96" s="68" t="n"/>
      <c r="S96" s="68" t="n"/>
      <c r="T96" s="68" t="n"/>
      <c r="U96" s="68" t="n"/>
    </row>
    <row r="97" ht="46.5" customHeight="1" s="23">
      <c r="A97" s="65" t="inlineStr">
        <is>
          <t>A27-095</t>
        </is>
      </c>
      <c r="B97" s="66" t="inlineStr">
        <is>
          <t>AC27.39</t>
        </is>
      </c>
      <c r="C97" s="65" t="inlineStr">
        <is>
          <t>Garantizar una sola cifra oficial en los reportes externos, con reporte SNIES certificado, repositorio de soportes y verificación de consistencia</t>
        </is>
      </c>
      <c r="D97" s="65" t="inlineStr">
        <is>
          <t>4.2.1.2</t>
        </is>
      </c>
      <c r="E97" s="67" t="inlineStr">
        <is>
          <t>Transformación institucional</t>
        </is>
      </c>
      <c r="F97" s="67" t="inlineStr">
        <is>
          <t>Contar con un (1) sistema de información estratégico.</t>
        </is>
      </c>
      <c r="G97" s="65" t="inlineStr">
        <is>
          <t>Completar el reporte SNIES en plantilla HECAA con certificación de veracidad</t>
        </is>
      </c>
      <c r="H97" s="65" t="inlineStr">
        <is>
          <t>Reporte certificado</t>
        </is>
      </c>
      <c r="I97" s="67" t="inlineStr">
        <is>
          <t>GIT Registro, Control y Admisiones</t>
        </is>
      </c>
      <c r="J97" s="67" t="inlineStr">
        <is>
          <t>126, GIT Registro y Control</t>
        </is>
      </c>
      <c r="K97" s="65" t="inlineStr">
        <is>
          <t>Compromiso CP-045</t>
        </is>
      </c>
      <c r="L97" s="65" t="n"/>
      <c r="M97" s="65" t="inlineStr">
        <is>
          <t>Tasa de adopción de nuevos procesos atribuible a la implementación del sistema de calidad.</t>
        </is>
      </c>
      <c r="N97" s="65" t="inlineStr">
        <is>
          <t>Académica</t>
        </is>
      </c>
      <c r="O97" s="68" t="n"/>
      <c r="P97" s="69" t="n"/>
      <c r="Q97" s="69" t="n"/>
      <c r="R97" s="68" t="n"/>
      <c r="S97" s="68" t="n"/>
      <c r="T97" s="68" t="n"/>
      <c r="U97" s="68" t="n"/>
    </row>
    <row r="98" ht="46.5" customHeight="1" s="23">
      <c r="A98" s="65" t="inlineStr">
        <is>
          <t>A27-096</t>
        </is>
      </c>
      <c r="B98" s="66" t="inlineStr">
        <is>
          <t>AC27.39</t>
        </is>
      </c>
      <c r="C98" s="65" t="inlineStr">
        <is>
          <t>Garantizar una sola cifra oficial en los reportes externos, con reporte SNIES certificado, repositorio de soportes y verificación de consistencia</t>
        </is>
      </c>
      <c r="D98" s="65" t="inlineStr">
        <is>
          <t>4.2.1.2</t>
        </is>
      </c>
      <c r="E98" s="67" t="inlineStr">
        <is>
          <t>Transformación institucional</t>
        </is>
      </c>
      <c r="F98" s="67" t="inlineStr">
        <is>
          <t>Contar con un (1) sistema de información estratégico.</t>
        </is>
      </c>
      <c r="G98" s="65" t="inlineStr">
        <is>
          <t>Habilitar un repositorio de soportes de solo lectura para entes externos</t>
        </is>
      </c>
      <c r="H98" s="65" t="inlineStr">
        <is>
          <t>Repositorio habilitado</t>
        </is>
      </c>
      <c r="I98" s="67" t="inlineStr">
        <is>
          <t>GIT Informática y Telecomunicaciones</t>
        </is>
      </c>
      <c r="J98" s="67" t="inlineStr">
        <is>
          <t>132, GIT Gestión de Informática y Telecomunicaciones</t>
        </is>
      </c>
      <c r="K98" s="65" t="inlineStr">
        <is>
          <t>Compromiso CP-047</t>
        </is>
      </c>
      <c r="L98" s="65" t="n"/>
      <c r="M98" s="65" t="inlineStr">
        <is>
          <t>Tasa de adopción de nuevos procesos atribuible a la implementación del sistema de calidad.</t>
        </is>
      </c>
      <c r="N98" s="65" t="inlineStr">
        <is>
          <t>Académica</t>
        </is>
      </c>
      <c r="O98" s="68" t="n"/>
      <c r="P98" s="69" t="n"/>
      <c r="Q98" s="69" t="n"/>
      <c r="R98" s="68" t="n"/>
      <c r="S98" s="68" t="n"/>
      <c r="T98" s="68" t="n"/>
      <c r="U98" s="68" t="n"/>
    </row>
    <row r="99" ht="46.5" customHeight="1" s="23">
      <c r="A99" s="65" t="inlineStr">
        <is>
          <t>A27-097</t>
        </is>
      </c>
      <c r="B99" s="66" t="inlineStr">
        <is>
          <t>AC27.39</t>
        </is>
      </c>
      <c r="C99" s="65" t="inlineStr">
        <is>
          <t>Garantizar una sola cifra oficial en los reportes externos, con reporte SNIES certificado, repositorio de soportes y verificación de consistencia</t>
        </is>
      </c>
      <c r="D99" s="65" t="inlineStr">
        <is>
          <t>4.2.1.2</t>
        </is>
      </c>
      <c r="E99" s="67" t="inlineStr">
        <is>
          <t>Transformación institucional</t>
        </is>
      </c>
      <c r="F99" s="67" t="inlineStr">
        <is>
          <t>Contar con un (1) sistema de información estratégico.</t>
        </is>
      </c>
      <c r="G99" s="65" t="inlineStr">
        <is>
          <t>Verificar la consistencia de cifras entre MEN, SNIES, CGN y Congreso desde el SIUE</t>
        </is>
      </c>
      <c r="H99" s="65" t="inlineStr">
        <is>
          <t>Acta de verificación</t>
        </is>
      </c>
      <c r="I99" s="67" t="inlineStr">
        <is>
          <t>Planeación y Plan de Acción</t>
        </is>
      </c>
      <c r="J99" s="67" t="inlineStr">
        <is>
          <t>101, Oficina Asesora de Planeación y Desarrollo Institucional</t>
        </is>
      </c>
      <c r="K99" s="65" t="inlineStr">
        <is>
          <t>Compromiso CP-046</t>
        </is>
      </c>
      <c r="L99" s="65" t="n"/>
      <c r="M99" s="65" t="inlineStr">
        <is>
          <t>Tasa de adopción de nuevos procesos atribuible a la implementación del sistema de calidad.</t>
        </is>
      </c>
      <c r="N99" s="65" t="inlineStr">
        <is>
          <t>Académica</t>
        </is>
      </c>
      <c r="O99" s="68" t="n"/>
      <c r="P99" s="69" t="n"/>
      <c r="Q99" s="69" t="n"/>
      <c r="R99" s="68" t="n"/>
      <c r="S99" s="68" t="n"/>
      <c r="T99" s="68" t="n"/>
      <c r="U99" s="68" t="n"/>
    </row>
    <row r="100" ht="60" customHeight="1" s="23">
      <c r="A100" s="65" t="inlineStr">
        <is>
          <t>A27-098</t>
        </is>
      </c>
      <c r="B100" s="66" t="inlineStr">
        <is>
          <t>AC27.40</t>
        </is>
      </c>
      <c r="C100" s="65" t="inlineStr">
        <is>
          <t>Consolidar el IBTI como unidad adscrita con tránsito inmediato a la educación superior, desde la alineación curricular hasta la aprobación ante el MEN</t>
        </is>
      </c>
      <c r="D100" s="65" t="inlineStr">
        <is>
          <t>4.2.1.3</t>
        </is>
      </c>
      <c r="E100" s="67" t="inlineStr">
        <is>
          <t>Transformación institucional</t>
        </is>
      </c>
      <c r="F100" s="67" t="inlineStr">
        <is>
          <t>Consolidar el IBTI como unidad autónoma y adscrita a la Institución con un programa de tránsito inmediato a la educación superior.</t>
        </is>
      </c>
      <c r="G100" s="65" t="inlineStr">
        <is>
          <t>Alinear los currículos del IBTI y de los programas técnicos profesionales</t>
        </is>
      </c>
      <c r="H100" s="65" t="inlineStr">
        <is>
          <t>Currículos alineados</t>
        </is>
      </c>
      <c r="I100" s="67" t="inlineStr">
        <is>
          <t>IBTI</t>
        </is>
      </c>
      <c r="J100" s="67" t="inlineStr">
        <is>
          <t>124, Instituto de Bachillerato Técnico Industrial (IBTI)</t>
        </is>
      </c>
      <c r="K100" s="65" t="inlineStr">
        <is>
          <t>MPI</t>
        </is>
      </c>
      <c r="L100" s="65" t="n"/>
      <c r="M100" s="65" t="inlineStr">
        <is>
          <t>Porcentaje de jóvenes de la comunidad beneficiaria que se escolarizaron con la Institución.</t>
        </is>
      </c>
      <c r="N100" s="65" t="inlineStr">
        <is>
          <t>Valor Público</t>
        </is>
      </c>
      <c r="O100" s="68" t="n"/>
      <c r="P100" s="69" t="n"/>
      <c r="Q100" s="69" t="n"/>
      <c r="R100" s="68" t="n"/>
      <c r="S100" s="68" t="n"/>
      <c r="T100" s="68" t="n"/>
      <c r="U100" s="68" t="n"/>
    </row>
    <row r="101" ht="60" customHeight="1" s="23">
      <c r="A101" s="65" t="inlineStr">
        <is>
          <t>A27-099</t>
        </is>
      </c>
      <c r="B101" s="66" t="inlineStr">
        <is>
          <t>AC27.40</t>
        </is>
      </c>
      <c r="C101" s="65" t="inlineStr">
        <is>
          <t>Consolidar el IBTI como unidad adscrita con tránsito inmediato a la educación superior, desde la alineación curricular hasta la aprobación ante el MEN</t>
        </is>
      </c>
      <c r="D101" s="65" t="inlineStr">
        <is>
          <t>4.2.1.3</t>
        </is>
      </c>
      <c r="E101" s="67" t="inlineStr">
        <is>
          <t>Transformación institucional</t>
        </is>
      </c>
      <c r="F101" s="67" t="inlineStr">
        <is>
          <t>Consolidar el IBTI como unidad autónoma y adscrita a la Institución con un programa de tránsito inmediato a la educación superior.</t>
        </is>
      </c>
      <c r="G101" s="65" t="inlineStr">
        <is>
          <t>Definir la propuesta de integración de estructuras</t>
        </is>
      </c>
      <c r="H101" s="65" t="inlineStr">
        <is>
          <t>Propuesta aprobada</t>
        </is>
      </c>
      <c r="I101" s="67" t="inlineStr">
        <is>
          <t>Despacho de la Vicerrectoría Académica</t>
        </is>
      </c>
      <c r="J101" s="67" t="inlineStr">
        <is>
          <t>120, Vicerrectoría Académica</t>
        </is>
      </c>
      <c r="K101" s="65" t="inlineStr">
        <is>
          <t>MPI</t>
        </is>
      </c>
      <c r="L101" s="65" t="n"/>
      <c r="M101" s="65" t="inlineStr">
        <is>
          <t>Porcentaje de jóvenes de la comunidad beneficiaria que se escolarizaron con la Institución.</t>
        </is>
      </c>
      <c r="N101" s="65" t="inlineStr">
        <is>
          <t>Valor Público</t>
        </is>
      </c>
      <c r="O101" s="68" t="n"/>
      <c r="P101" s="69" t="n"/>
      <c r="Q101" s="69" t="n"/>
      <c r="R101" s="68" t="n"/>
      <c r="S101" s="68" t="n"/>
      <c r="T101" s="68" t="n"/>
      <c r="U101" s="68" t="n"/>
    </row>
    <row r="102" ht="60" customHeight="1" s="23">
      <c r="A102" s="65" t="inlineStr">
        <is>
          <t>A27-100</t>
        </is>
      </c>
      <c r="B102" s="66" t="inlineStr">
        <is>
          <t>AC27.40</t>
        </is>
      </c>
      <c r="C102" s="65" t="inlineStr">
        <is>
          <t>Consolidar el IBTI como unidad adscrita con tránsito inmediato a la educación superior, desde la alineación curricular hasta la aprobación ante el MEN</t>
        </is>
      </c>
      <c r="D102" s="65" t="inlineStr">
        <is>
          <t>4.2.1.3</t>
        </is>
      </c>
      <c r="E102" s="67" t="inlineStr">
        <is>
          <t>Transformación institucional</t>
        </is>
      </c>
      <c r="F102" s="67" t="inlineStr">
        <is>
          <t>Consolidar el IBTI como unidad autónoma y adscrita a la Institución con un programa de tránsito inmediato a la educación superior.</t>
        </is>
      </c>
      <c r="G102" s="65" t="inlineStr">
        <is>
          <t>Gestionar la aprobación de la adscripción ante el MEN</t>
        </is>
      </c>
      <c r="H102" s="65" t="inlineStr">
        <is>
          <t>Solicitud radicada</t>
        </is>
      </c>
      <c r="I102" s="67" t="inlineStr">
        <is>
          <t>Despacho de la Vicerrectoría Académica</t>
        </is>
      </c>
      <c r="J102" s="67" t="inlineStr">
        <is>
          <t>120, Vicerrectoría Académica</t>
        </is>
      </c>
      <c r="K102" s="65" t="inlineStr">
        <is>
          <t>MPI</t>
        </is>
      </c>
      <c r="L102" s="65" t="n"/>
      <c r="M102" s="65" t="inlineStr">
        <is>
          <t>Porcentaje de jóvenes de la comunidad beneficiaria que se escolarizaron con la Institución.</t>
        </is>
      </c>
      <c r="N102" s="65" t="inlineStr">
        <is>
          <t>Valor Público</t>
        </is>
      </c>
      <c r="O102" s="68" t="n"/>
      <c r="P102" s="69" t="n"/>
      <c r="Q102" s="69" t="n"/>
      <c r="R102" s="68" t="n"/>
      <c r="S102" s="68" t="n"/>
      <c r="T102" s="68" t="n"/>
      <c r="U102" s="68" t="n"/>
    </row>
    <row r="103" ht="46.5" customHeight="1" s="23">
      <c r="A103" s="65" t="inlineStr">
        <is>
          <t>A27-101</t>
        </is>
      </c>
      <c r="B103" s="66" t="inlineStr">
        <is>
          <t>AC27.41</t>
        </is>
      </c>
      <c r="C103" s="65" t="inlineStr">
        <is>
          <t>Poner en operación el modelo de operación flexible validado con la comunidad educativa y medir su adopción</t>
        </is>
      </c>
      <c r="D103" s="65" t="inlineStr">
        <is>
          <t>4.3.1.1</t>
        </is>
      </c>
      <c r="E103" s="67" t="inlineStr">
        <is>
          <t>Transformación institucional</t>
        </is>
      </c>
      <c r="F103" s="67" t="inlineStr">
        <is>
          <t>Contar con un (1) sistema estratégico de desarrollo de la comunidad educativa.</t>
        </is>
      </c>
      <c r="G103" s="65" t="inlineStr">
        <is>
          <t>Validar el modelo de operación flexible con la comunidad educativa</t>
        </is>
      </c>
      <c r="H103" s="65" t="inlineStr">
        <is>
          <t>Acta de validación</t>
        </is>
      </c>
      <c r="I103" s="67" t="inlineStr">
        <is>
          <t>Autoevaluación y Acreditación</t>
        </is>
      </c>
      <c r="J103" s="67" t="inlineStr">
        <is>
          <t>101, Oficina Asesora de Planeación y Desarrollo Institucional</t>
        </is>
      </c>
      <c r="K103" s="65" t="inlineStr">
        <is>
          <t>MPI</t>
        </is>
      </c>
      <c r="L103" s="65" t="n"/>
      <c r="M103" s="65" t="inlineStr">
        <is>
          <t>Nivel de percepción de trabajo colaborativo y construcción de comunidad académica de estudiantes y docentes como consecuencia de su participación en proyectos institucionales.</t>
        </is>
      </c>
      <c r="N103" s="65" t="inlineStr">
        <is>
          <t>Académica</t>
        </is>
      </c>
      <c r="O103" s="68" t="n"/>
      <c r="P103" s="69" t="n"/>
      <c r="Q103" s="69" t="n"/>
      <c r="R103" s="68" t="n"/>
      <c r="S103" s="68" t="n"/>
      <c r="T103" s="68" t="n"/>
      <c r="U103" s="68" t="n"/>
    </row>
    <row r="104" ht="46.5" customHeight="1" s="23">
      <c r="A104" s="65" t="inlineStr">
        <is>
          <t>A27-102</t>
        </is>
      </c>
      <c r="B104" s="66" t="inlineStr">
        <is>
          <t>AC27.41</t>
        </is>
      </c>
      <c r="C104" s="65" t="inlineStr">
        <is>
          <t>Poner en operación el modelo de operación flexible validado con la comunidad educativa y medir su adopción</t>
        </is>
      </c>
      <c r="D104" s="65" t="inlineStr">
        <is>
          <t>4.3.1.1</t>
        </is>
      </c>
      <c r="E104" s="67" t="inlineStr">
        <is>
          <t>Transformación institucional</t>
        </is>
      </c>
      <c r="F104" s="67" t="inlineStr">
        <is>
          <t>Contar con un (1) sistema estratégico de desarrollo de la comunidad educativa.</t>
        </is>
      </c>
      <c r="G104" s="65" t="inlineStr">
        <is>
          <t>Poner en operación el modelo y medir su adopción</t>
        </is>
      </c>
      <c r="H104" s="65" t="inlineStr">
        <is>
          <t>Modelo adoptado e informe</t>
        </is>
      </c>
      <c r="I104" s="67" t="inlineStr">
        <is>
          <t>Autoevaluación y Acreditación</t>
        </is>
      </c>
      <c r="J104" s="67" t="inlineStr">
        <is>
          <t>101, Oficina Asesora de Planeación y Desarrollo Institucional</t>
        </is>
      </c>
      <c r="K104" s="65" t="inlineStr">
        <is>
          <t>MPI</t>
        </is>
      </c>
      <c r="L104" s="65" t="n"/>
      <c r="M104" s="65" t="inlineStr">
        <is>
          <t>Nivel de percepción de trabajo colaborativo y construcción de comunidad académica de estudiantes y docentes como consecuencia de su participación en proyectos institucionales.</t>
        </is>
      </c>
      <c r="N104" s="65" t="inlineStr">
        <is>
          <t>Académica</t>
        </is>
      </c>
      <c r="O104" s="68" t="n"/>
      <c r="P104" s="69" t="n"/>
      <c r="Q104" s="69" t="n"/>
      <c r="R104" s="68" t="n"/>
      <c r="S104" s="68" t="n"/>
      <c r="T104" s="68" t="n"/>
      <c r="U104" s="68" t="n"/>
    </row>
    <row r="105" ht="46.5" customHeight="1" s="23">
      <c r="A105" s="65" t="inlineStr">
        <is>
          <t>A27-103</t>
        </is>
      </c>
      <c r="B105" s="66" t="inlineStr">
        <is>
          <t>AC27.42</t>
        </is>
      </c>
      <c r="C105" s="65" t="inlineStr">
        <is>
          <t>Posicionar la marca ETITC con una medición de línea base y campañas de alcance nacional y regional</t>
        </is>
      </c>
      <c r="D105" s="65" t="inlineStr">
        <is>
          <t>4.4.1.1</t>
        </is>
      </c>
      <c r="E105" s="67" t="inlineStr">
        <is>
          <t>Transformación institucional</t>
        </is>
      </c>
      <c r="F105" s="67" t="inlineStr">
        <is>
          <t>Posicionamiento en un indicador Top of Mind de universidades tecnológicas de carácter público en el país.</t>
        </is>
      </c>
      <c r="G105" s="65" t="inlineStr">
        <is>
          <t>Aplicar la medición de línea base de Top of Mind</t>
        </is>
      </c>
      <c r="H105" s="65" t="inlineStr">
        <is>
          <t>Informe de medición</t>
        </is>
      </c>
      <c r="I105" s="67" t="inlineStr">
        <is>
          <t>Comunicaciones y Mercadeo</t>
        </is>
      </c>
      <c r="J105" s="67" t="inlineStr">
        <is>
          <t>100, Rectoría</t>
        </is>
      </c>
      <c r="K105" s="65" t="inlineStr">
        <is>
          <t>Propuesta OAP</t>
        </is>
      </c>
      <c r="L105" s="65" t="n"/>
      <c r="M105" s="65" t="inlineStr">
        <is>
          <t>Porcentaje de actores que evidencian cambios significativos en sus valores y actitudes como consecuencia de las intervenciones institucionales.</t>
        </is>
      </c>
      <c r="N105" s="65" t="inlineStr">
        <is>
          <t>Valor Público</t>
        </is>
      </c>
      <c r="O105" s="68" t="n"/>
      <c r="P105" s="69" t="n"/>
      <c r="Q105" s="69" t="n"/>
      <c r="R105" s="68" t="n"/>
      <c r="S105" s="68" t="n"/>
      <c r="T105" s="68" t="n"/>
      <c r="U105" s="68" t="n"/>
    </row>
    <row r="106" ht="46.5" customHeight="1" s="23">
      <c r="A106" s="65" t="inlineStr">
        <is>
          <t>A27-104</t>
        </is>
      </c>
      <c r="B106" s="66" t="inlineStr">
        <is>
          <t>AC27.42</t>
        </is>
      </c>
      <c r="C106" s="65" t="inlineStr">
        <is>
          <t>Posicionar la marca ETITC con una medición de línea base y campañas de alcance nacional y regional</t>
        </is>
      </c>
      <c r="D106" s="65" t="inlineStr">
        <is>
          <t>4.4.1.1</t>
        </is>
      </c>
      <c r="E106" s="67" t="inlineStr">
        <is>
          <t>Transformación institucional</t>
        </is>
      </c>
      <c r="F106" s="67" t="inlineStr">
        <is>
          <t>Posicionamiento en un indicador Top of Mind de universidades tecnológicas de carácter público en el país.</t>
        </is>
      </c>
      <c r="G106" s="65" t="inlineStr">
        <is>
          <t>Desarrollar campañas de branding con alcance nacional y regional</t>
        </is>
      </c>
      <c r="H106" s="65" t="inlineStr">
        <is>
          <t>Informe de campañas y alcance</t>
        </is>
      </c>
      <c r="I106" s="67" t="inlineStr">
        <is>
          <t>Comunicaciones y Mercadeo</t>
        </is>
      </c>
      <c r="J106" s="67" t="inlineStr">
        <is>
          <t>100, Rectoría</t>
        </is>
      </c>
      <c r="K106" s="65" t="inlineStr">
        <is>
          <t>MPI</t>
        </is>
      </c>
      <c r="L106" s="65" t="n"/>
      <c r="M106" s="65" t="inlineStr">
        <is>
          <t>Porcentaje de actores que evidencian cambios significativos en sus valores y actitudes como consecuencia de las intervenciones institucionales.</t>
        </is>
      </c>
      <c r="N106" s="65" t="inlineStr">
        <is>
          <t>Valor Público</t>
        </is>
      </c>
      <c r="O106" s="68" t="n"/>
      <c r="P106" s="69" t="n"/>
      <c r="Q106" s="69" t="n"/>
      <c r="R106" s="68" t="n"/>
      <c r="S106" s="68" t="n"/>
      <c r="T106" s="68" t="n"/>
      <c r="U106" s="68" t="n"/>
    </row>
    <row r="107" ht="46.5" customHeight="1" s="23">
      <c r="A107" s="65" t="inlineStr">
        <is>
          <t>A27-105</t>
        </is>
      </c>
      <c r="B107" s="66" t="inlineStr">
        <is>
          <t>AC27.43</t>
        </is>
      </c>
      <c r="C107" s="65" t="inlineStr">
        <is>
          <t>Formalizar cinco alianzas estratégicas con criterios claros y medir su efecto en la internacionalización y la cooperación</t>
        </is>
      </c>
      <c r="D107" s="65" t="inlineStr">
        <is>
          <t>4.4.1.2</t>
        </is>
      </c>
      <c r="E107" s="67" t="inlineStr">
        <is>
          <t>Transformación institucional</t>
        </is>
      </c>
      <c r="F107" s="67" t="inlineStr">
        <is>
          <t>Cinco (5) alianzas estratégicas.</t>
        </is>
      </c>
      <c r="G107" s="65" t="inlineStr">
        <is>
          <t>Definir los criterios de «alianza estratégica» y clasificar los convenios vigentes</t>
        </is>
      </c>
      <c r="H107" s="65" t="inlineStr">
        <is>
          <t>Criterios y clasificación</t>
        </is>
      </c>
      <c r="I107" s="67" t="inlineStr">
        <is>
          <t>Internacionalización (ORII)</t>
        </is>
      </c>
      <c r="J107" s="67" t="inlineStr">
        <is>
          <t>100, Rectoría</t>
        </is>
      </c>
      <c r="K107" s="65" t="inlineStr">
        <is>
          <t>Propuesta OAP</t>
        </is>
      </c>
      <c r="L107" s="65" t="n"/>
      <c r="M107" s="65" t="inlineStr">
        <is>
          <t>Tasas de productividad y competitividad después del proyecto.</t>
        </is>
      </c>
      <c r="N107" s="65" t="inlineStr">
        <is>
          <t>Sector Productivo</t>
        </is>
      </c>
      <c r="O107" s="68" t="n"/>
      <c r="P107" s="69" t="n"/>
      <c r="Q107" s="69" t="n"/>
      <c r="R107" s="68" t="n"/>
      <c r="S107" s="68" t="n"/>
      <c r="T107" s="68" t="n"/>
      <c r="U107" s="68" t="n"/>
    </row>
    <row r="108" ht="46.5" customHeight="1" s="23">
      <c r="A108" s="65" t="inlineStr">
        <is>
          <t>A27-106</t>
        </is>
      </c>
      <c r="B108" s="66" t="inlineStr">
        <is>
          <t>AC27.43</t>
        </is>
      </c>
      <c r="C108" s="65" t="inlineStr">
        <is>
          <t>Formalizar cinco alianzas estratégicas con criterios claros y medir su efecto en la internacionalización y la cooperación</t>
        </is>
      </c>
      <c r="D108" s="65" t="inlineStr">
        <is>
          <t>4.4.1.2</t>
        </is>
      </c>
      <c r="E108" s="67" t="inlineStr">
        <is>
          <t>Transformación institucional</t>
        </is>
      </c>
      <c r="F108" s="67" t="inlineStr">
        <is>
          <t>Cinco (5) alianzas estratégicas.</t>
        </is>
      </c>
      <c r="G108" s="65" t="inlineStr">
        <is>
          <t>Suscribir como mínimo 5 proyectos con el sector empresarial, académico, ambiental y gubernamental</t>
        </is>
      </c>
      <c r="H108" s="65" t="inlineStr">
        <is>
          <t>Convenios suscritos</t>
        </is>
      </c>
      <c r="I108" s="67" t="inlineStr">
        <is>
          <t>Internacionalización (ORII)</t>
        </is>
      </c>
      <c r="J108" s="67" t="inlineStr">
        <is>
          <t>100, Rectoría</t>
        </is>
      </c>
      <c r="K108" s="65" t="inlineStr">
        <is>
          <t>MPI</t>
        </is>
      </c>
      <c r="L108" s="65" t="n"/>
      <c r="M108" s="65" t="inlineStr">
        <is>
          <t>Tasas de productividad y competitividad después del proyecto.</t>
        </is>
      </c>
      <c r="N108" s="65" t="inlineStr">
        <is>
          <t>Sector Productivo</t>
        </is>
      </c>
      <c r="O108" s="68" t="n"/>
      <c r="P108" s="69" t="n"/>
      <c r="Q108" s="69" t="n"/>
      <c r="R108" s="68" t="n"/>
      <c r="S108" s="68" t="n"/>
      <c r="T108" s="68" t="n"/>
      <c r="U108" s="68" t="n"/>
    </row>
    <row r="109" ht="46.5" customHeight="1" s="23">
      <c r="A109" s="65" t="inlineStr">
        <is>
          <t>A27-107</t>
        </is>
      </c>
      <c r="B109" s="66" t="inlineStr">
        <is>
          <t>AC27.43</t>
        </is>
      </c>
      <c r="C109" s="65" t="inlineStr">
        <is>
          <t>Formalizar cinco alianzas estratégicas con criterios claros y medir su efecto en la internacionalización y la cooperación</t>
        </is>
      </c>
      <c r="D109" s="65" t="inlineStr">
        <is>
          <t>4.4.1.2</t>
        </is>
      </c>
      <c r="E109" s="67" t="inlineStr">
        <is>
          <t>Transformación institucional</t>
        </is>
      </c>
      <c r="F109" s="67" t="inlineStr">
        <is>
          <t>Cinco (5) alianzas estratégicas.</t>
        </is>
      </c>
      <c r="G109" s="65" t="inlineStr">
        <is>
          <t>Iniciar el estudio de impacto de Internacionalización y cooperación</t>
        </is>
      </c>
      <c r="H109" s="65" t="inlineStr">
        <is>
          <t>Diseño del estudio</t>
        </is>
      </c>
      <c r="I109" s="67" t="inlineStr">
        <is>
          <t>Internacionalización (ORII)</t>
        </is>
      </c>
      <c r="J109" s="67" t="inlineStr">
        <is>
          <t>100, Rectoría</t>
        </is>
      </c>
      <c r="K109" s="65" t="inlineStr">
        <is>
          <t>Compromiso CP-065</t>
        </is>
      </c>
      <c r="L109" s="65" t="n"/>
      <c r="M109" s="65" t="inlineStr">
        <is>
          <t>Tasas de productividad y competitividad después del proyecto.</t>
        </is>
      </c>
      <c r="N109" s="65" t="inlineStr">
        <is>
          <t>Sector Productivo</t>
        </is>
      </c>
      <c r="O109" s="68" t="n"/>
      <c r="P109" s="69" t="n"/>
      <c r="Q109" s="69" t="n"/>
      <c r="R109" s="68" t="n"/>
      <c r="S109" s="68" t="n"/>
      <c r="T109" s="68" t="n"/>
      <c r="U109" s="68" t="n"/>
    </row>
    <row r="110" ht="73.5" customHeight="1" s="23">
      <c r="A110" s="65" t="inlineStr">
        <is>
          <t>A27-108</t>
        </is>
      </c>
      <c r="B110" s="66" t="inlineStr">
        <is>
          <t>AC27.44</t>
        </is>
      </c>
      <c r="C110" s="65" t="inlineStr">
        <is>
          <t>Organizar el relacionamiento con las cinco hélices mediante un inventario de proyectos y la ejecución de proyectos nuevos en cada una</t>
        </is>
      </c>
      <c r="D110" s="65" t="inlineStr">
        <is>
          <t>4.4.1.3</t>
        </is>
      </c>
      <c r="E110" s="67" t="inlineStr">
        <is>
          <t>Transformación institucional</t>
        </is>
      </c>
      <c r="F110" s="67" t="inlineStr">
        <is>
          <t>30 proyectos por cada una de las hélices: (1) sistema educativo; (2) sistema económico; (3) entorno natural; (4) el público (medios, cultura y sociedad civil) y (5) el sistema político.</t>
        </is>
      </c>
      <c r="G110" s="65" t="inlineStr">
        <is>
          <t>Inventariar los proyectos vigentes y clasificarlos por hélice</t>
        </is>
      </c>
      <c r="H110" s="65" t="inlineStr">
        <is>
          <t>Inventario</t>
        </is>
      </c>
      <c r="I110" s="67" t="inlineStr">
        <is>
          <t>Despacho de la VIET</t>
        </is>
      </c>
      <c r="J110" s="67" t="inlineStr">
        <is>
          <t>140, Vicerrectoría de Investigación, Extensión y Transferencia</t>
        </is>
      </c>
      <c r="K110" s="65" t="inlineStr">
        <is>
          <t>Propuesta OAP</t>
        </is>
      </c>
      <c r="L110" s="65" t="n"/>
      <c r="M110" s="65" t="inlineStr">
        <is>
          <t>Tasas de productividad y competitividad después del proyecto.</t>
        </is>
      </c>
      <c r="N110" s="65" t="inlineStr">
        <is>
          <t>Valor Público</t>
        </is>
      </c>
      <c r="O110" s="68" t="n"/>
      <c r="P110" s="69" t="n"/>
      <c r="Q110" s="69" t="n"/>
      <c r="R110" s="68" t="n"/>
      <c r="S110" s="68" t="n"/>
      <c r="T110" s="68" t="n"/>
      <c r="U110" s="68" t="n"/>
    </row>
    <row r="111" ht="73.5" customHeight="1" s="23">
      <c r="A111" s="65" t="inlineStr">
        <is>
          <t>A27-109</t>
        </is>
      </c>
      <c r="B111" s="66" t="inlineStr">
        <is>
          <t>AC27.44</t>
        </is>
      </c>
      <c r="C111" s="65" t="inlineStr">
        <is>
          <t>Organizar el relacionamiento con las cinco hélices mediante un inventario de proyectos y la ejecución de proyectos nuevos en cada una</t>
        </is>
      </c>
      <c r="D111" s="65" t="inlineStr">
        <is>
          <t>4.4.1.3</t>
        </is>
      </c>
      <c r="E111" s="67" t="inlineStr">
        <is>
          <t>Transformación institucional</t>
        </is>
      </c>
      <c r="F111" s="67" t="inlineStr">
        <is>
          <t>30 proyectos por cada una de las hélices: (1) sistema educativo; (2) sistema económico; (3) entorno natural; (4) el público (medios, cultura y sociedad civil) y (5) el sistema político.</t>
        </is>
      </c>
      <c r="G111" s="65" t="inlineStr">
        <is>
          <t>Formular y ejecutar 5 proyectos por hélice</t>
        </is>
      </c>
      <c r="H111" s="65" t="inlineStr">
        <is>
          <t>Proyectos en ejecución</t>
        </is>
      </c>
      <c r="I111" s="67" t="inlineStr">
        <is>
          <t>GIT Extensión y Proyección Social (incluye ETDH)</t>
        </is>
      </c>
      <c r="J111" s="67" t="inlineStr">
        <is>
          <t>141, GIT Extensión y Proyección Social</t>
        </is>
      </c>
      <c r="K111" s="65" t="inlineStr">
        <is>
          <t>Propuesta OAP</t>
        </is>
      </c>
      <c r="L111" s="65" t="n"/>
      <c r="M111" s="65" t="inlineStr">
        <is>
          <t>Tasas de productividad y competitividad después del proyecto.</t>
        </is>
      </c>
      <c r="N111" s="65" t="inlineStr">
        <is>
          <t>Valor Público</t>
        </is>
      </c>
      <c r="O111" s="68" t="n"/>
      <c r="P111" s="69" t="n"/>
      <c r="Q111" s="69" t="n"/>
      <c r="R111" s="68" t="n"/>
      <c r="S111" s="68" t="n"/>
      <c r="T111" s="68" t="n"/>
      <c r="U111" s="68" t="n"/>
    </row>
    <row r="112" ht="46.5" customHeight="1" s="23">
      <c r="A112" s="65" t="inlineStr">
        <is>
          <t>A27-110</t>
        </is>
      </c>
      <c r="B112" s="66" t="inlineStr">
        <is>
          <t>AC27.45</t>
        </is>
      </c>
      <c r="C112" s="65" t="inlineStr">
        <is>
          <t>Aumentar la participación de los grupos de valor en las acciones de cultura organizacional, con una medición confiable de esa participación</t>
        </is>
      </c>
      <c r="D112" s="65" t="inlineStr">
        <is>
          <t>4.5.1.1</t>
        </is>
      </c>
      <c r="E112" s="67" t="inlineStr">
        <is>
          <t>Transformación institucional</t>
        </is>
      </c>
      <c r="F112" s="67" t="inlineStr">
        <is>
          <t>Lograr un 90% de participación de los grupos de valor en las acciones de cultura organizacional.</t>
        </is>
      </c>
      <c r="G112" s="65" t="inlineStr">
        <is>
          <t>Definir la población por grupo de valor y el método de medición de participación</t>
        </is>
      </c>
      <c r="H112" s="65" t="inlineStr">
        <is>
          <t>Ficha del indicador</t>
        </is>
      </c>
      <c r="I112" s="67" t="inlineStr">
        <is>
          <t>GIT Talento Humano</t>
        </is>
      </c>
      <c r="J112" s="67" t="inlineStr">
        <is>
          <t>133, GIT Gestión de Talento Humano</t>
        </is>
      </c>
      <c r="K112" s="65" t="inlineStr">
        <is>
          <t>Propuesta OAP</t>
        </is>
      </c>
      <c r="L112" s="65" t="n"/>
      <c r="M112" s="65" t="inlineStr">
        <is>
          <t>Porcentaje de actores que evidencian cambios significativos en sus valores y actitudes como consecuencia de las intervenciones institucionales.</t>
        </is>
      </c>
      <c r="N112" s="65" t="inlineStr">
        <is>
          <t>Valor Público</t>
        </is>
      </c>
      <c r="O112" s="68" t="n"/>
      <c r="P112" s="69" t="n"/>
      <c r="Q112" s="69" t="n"/>
      <c r="R112" s="68" t="n"/>
      <c r="S112" s="68" t="n"/>
      <c r="T112" s="68" t="n"/>
      <c r="U112" s="68" t="n"/>
    </row>
    <row r="113" ht="46.5" customHeight="1" s="23">
      <c r="A113" s="65" t="inlineStr">
        <is>
          <t>A27-111</t>
        </is>
      </c>
      <c r="B113" s="66" t="inlineStr">
        <is>
          <t>AC27.45</t>
        </is>
      </c>
      <c r="C113" s="65" t="inlineStr">
        <is>
          <t>Aumentar la participación de los grupos de valor en las acciones de cultura organizacional, con una medición confiable de esa participación</t>
        </is>
      </c>
      <c r="D113" s="65" t="inlineStr">
        <is>
          <t>4.5.1.1</t>
        </is>
      </c>
      <c r="E113" s="67" t="inlineStr">
        <is>
          <t>Transformación institucional</t>
        </is>
      </c>
      <c r="F113" s="67" t="inlineStr">
        <is>
          <t>Lograr un 90% de participación de los grupos de valor en las acciones de cultura organizacional.</t>
        </is>
      </c>
      <c r="G113" s="65" t="inlineStr">
        <is>
          <t>Ejecutar el plan de bienestar e incentivos con participación de todos los servidores</t>
        </is>
      </c>
      <c r="H113" s="65" t="inlineStr">
        <is>
          <t>Informe de participación</t>
        </is>
      </c>
      <c r="I113" s="67" t="inlineStr">
        <is>
          <t>Bienestar Laboral</t>
        </is>
      </c>
      <c r="J113" s="67" t="inlineStr">
        <is>
          <t>133, GIT Gestión de Talento Humano</t>
        </is>
      </c>
      <c r="K113" s="65" t="inlineStr">
        <is>
          <t>MPI</t>
        </is>
      </c>
      <c r="L113" s="65" t="n"/>
      <c r="M113" s="65" t="inlineStr">
        <is>
          <t>Porcentaje de actores que evidencian cambios significativos en sus valores y actitudes como consecuencia de las intervenciones institucionales.</t>
        </is>
      </c>
      <c r="N113" s="65" t="inlineStr">
        <is>
          <t>Valor Público</t>
        </is>
      </c>
      <c r="O113" s="68" t="n"/>
      <c r="P113" s="69" t="n"/>
      <c r="Q113" s="69" t="n"/>
      <c r="R113" s="68" t="n"/>
      <c r="S113" s="68" t="n"/>
      <c r="T113" s="68" t="n"/>
      <c r="U113" s="68" t="n"/>
    </row>
    <row r="114" ht="46.5" customHeight="1" s="23">
      <c r="A114" s="65" t="inlineStr">
        <is>
          <t>A27-112</t>
        </is>
      </c>
      <c r="B114" s="66" t="inlineStr">
        <is>
          <t>AC27.46</t>
        </is>
      </c>
      <c r="C114" s="65" t="inlineStr">
        <is>
          <t>Gestionar la cultura organizacional con un instrumento de evaluación permanente cuyos resultados se presentan al CIGD</t>
        </is>
      </c>
      <c r="D114" s="65" t="inlineStr">
        <is>
          <t>4.5.1.2</t>
        </is>
      </c>
      <c r="E114" s="67" t="inlineStr">
        <is>
          <t>Transformación institucional</t>
        </is>
      </c>
      <c r="F114" s="67" t="inlineStr">
        <is>
          <t>Consolidar un (1) modelo de gestión de la cultura que contemple un (1) instrumento de evaluación permanente.</t>
        </is>
      </c>
      <c r="G114" s="65" t="inlineStr">
        <is>
          <t>Diseñar el instrumento de evaluación de la cultura organizacional</t>
        </is>
      </c>
      <c r="H114" s="65" t="inlineStr">
        <is>
          <t>Instrumento aprobado</t>
        </is>
      </c>
      <c r="I114" s="67" t="inlineStr">
        <is>
          <t>GIT Talento Humano</t>
        </is>
      </c>
      <c r="J114" s="67" t="inlineStr">
        <is>
          <t>133, GIT Gestión de Talento Humano</t>
        </is>
      </c>
      <c r="K114" s="65" t="inlineStr">
        <is>
          <t>Propuesta OAP</t>
        </is>
      </c>
      <c r="L114" s="65" t="n"/>
      <c r="M114" s="65" t="inlineStr">
        <is>
          <t>Porcentaje de la comunidad académica satisfecha con el clima laboral después de la implementación del sistema de calidad.</t>
        </is>
      </c>
      <c r="N114" s="65" t="inlineStr">
        <is>
          <t>Académica</t>
        </is>
      </c>
      <c r="O114" s="68" t="n"/>
      <c r="P114" s="69" t="n"/>
      <c r="Q114" s="69" t="n"/>
      <c r="R114" s="68" t="n"/>
      <c r="S114" s="68" t="n"/>
      <c r="T114" s="68" t="n"/>
      <c r="U114" s="68" t="n"/>
    </row>
    <row r="115" ht="46.5" customHeight="1" s="23">
      <c r="A115" s="65" t="inlineStr">
        <is>
          <t>A27-113</t>
        </is>
      </c>
      <c r="B115" s="66" t="inlineStr">
        <is>
          <t>AC27.46</t>
        </is>
      </c>
      <c r="C115" s="65" t="inlineStr">
        <is>
          <t>Gestionar la cultura organizacional con un instrumento de evaluación permanente cuyos resultados se presentan al CIGD</t>
        </is>
      </c>
      <c r="D115" s="65" t="inlineStr">
        <is>
          <t>4.5.1.2</t>
        </is>
      </c>
      <c r="E115" s="67" t="inlineStr">
        <is>
          <t>Transformación institucional</t>
        </is>
      </c>
      <c r="F115" s="67" t="inlineStr">
        <is>
          <t>Consolidar un (1) modelo de gestión de la cultura que contemple un (1) instrumento de evaluación permanente.</t>
        </is>
      </c>
      <c r="G115" s="65" t="inlineStr">
        <is>
          <t>Aplicarlo y presentar resultados al CIGD</t>
        </is>
      </c>
      <c r="H115" s="65" t="inlineStr">
        <is>
          <t>Informe de resultados</t>
        </is>
      </c>
      <c r="I115" s="67" t="inlineStr">
        <is>
          <t>GIT Talento Humano</t>
        </is>
      </c>
      <c r="J115" s="67" t="inlineStr">
        <is>
          <t>133, GIT Gestión de Talento Humano</t>
        </is>
      </c>
      <c r="K115" s="65" t="inlineStr">
        <is>
          <t>Propuesta OAP</t>
        </is>
      </c>
      <c r="L115" s="65" t="n"/>
      <c r="M115" s="65" t="inlineStr">
        <is>
          <t>Porcentaje de la comunidad académica satisfecha con el clima laboral después de la implementación del sistema de calidad.</t>
        </is>
      </c>
      <c r="N115" s="65" t="inlineStr">
        <is>
          <t>Académica</t>
        </is>
      </c>
      <c r="O115" s="68" t="n"/>
      <c r="P115" s="69" t="n"/>
      <c r="Q115" s="69" t="n"/>
      <c r="R115" s="68" t="n"/>
      <c r="S115" s="68" t="n"/>
      <c r="T115" s="68" t="n"/>
      <c r="U115" s="68" t="n"/>
    </row>
    <row r="116" ht="60" customHeight="1" s="23">
      <c r="A116" s="65" t="inlineStr">
        <is>
          <t>A27-114</t>
        </is>
      </c>
      <c r="B116" s="66" t="inlineStr">
        <is>
          <t>AC27.47</t>
        </is>
      </c>
      <c r="C116" s="65" t="inlineStr">
        <is>
          <t>Habilitar las sedes propias de Calle 18, Funza y Guaymaral con los trámites, estudios, licencias y puesta en marcha que corresponden a cada una</t>
        </is>
      </c>
      <c r="D116" s="65" t="inlineStr">
        <is>
          <t>5.1.1.1</t>
        </is>
      </c>
      <c r="E116" s="67" t="inlineStr">
        <is>
          <t>Ampliación y modernización de la infraestructura</t>
        </is>
      </c>
      <c r="F116" s="67" t="inlineStr">
        <is>
          <t>Contar con 4 sedes: 1. Calle 18, 2. Funza, 3. Guaymaral, 4. Central, con infraestructura y dotación para la prestación de servicios educativos.</t>
        </is>
      </c>
      <c r="G116" s="65" t="inlineStr">
        <is>
          <t>Calle 18: gestionar licencias de construcción y demolición, estudios y diseños y vigencias futuras</t>
        </is>
      </c>
      <c r="H116" s="65" t="inlineStr">
        <is>
          <t>Licencias y estudios</t>
        </is>
      </c>
      <c r="I116" s="67" t="inlineStr">
        <is>
          <t>Recursos Físicos e Infraestructura</t>
        </is>
      </c>
      <c r="J116" s="67" t="inlineStr">
        <is>
          <t>130, Vicerrectoría Administrativa y Financiera</t>
        </is>
      </c>
      <c r="K116" s="65" t="inlineStr">
        <is>
          <t>MPI</t>
        </is>
      </c>
      <c r="L116" s="65" t="inlineStr">
        <is>
          <t>33.000 (MPI)</t>
        </is>
      </c>
      <c r="M116" s="65" t="inlineStr">
        <is>
          <t>Porcentaje de jóvenes de la comunidad beneficiaria que se escolarizaron con la Institución.</t>
        </is>
      </c>
      <c r="N116" s="65" t="inlineStr">
        <is>
          <t>Valor Público</t>
        </is>
      </c>
      <c r="O116" s="68" t="n"/>
      <c r="P116" s="69" t="n"/>
      <c r="Q116" s="69" t="n"/>
      <c r="R116" s="68" t="n"/>
      <c r="S116" s="68" t="n"/>
      <c r="T116" s="68" t="n"/>
      <c r="U116" s="68" t="n"/>
    </row>
    <row r="117" ht="60" customHeight="1" s="23">
      <c r="A117" s="65" t="inlineStr">
        <is>
          <t>A27-115</t>
        </is>
      </c>
      <c r="B117" s="66" t="inlineStr">
        <is>
          <t>AC27.47</t>
        </is>
      </c>
      <c r="C117" s="65" t="inlineStr">
        <is>
          <t>Habilitar las sedes propias de Calle 18, Funza y Guaymaral con los trámites, estudios, licencias y puesta en marcha que corresponden a cada una</t>
        </is>
      </c>
      <c r="D117" s="65" t="inlineStr">
        <is>
          <t>5.1.1.1</t>
        </is>
      </c>
      <c r="E117" s="67" t="inlineStr">
        <is>
          <t>Ampliación y modernización de la infraestructura</t>
        </is>
      </c>
      <c r="F117" s="67" t="inlineStr">
        <is>
          <t>Contar con 4 sedes: 1. Calle 18, 2. Funza, 3. Guaymaral, 4. Central, con infraestructura y dotación para la prestación de servicios educativos.</t>
        </is>
      </c>
      <c r="G117" s="65" t="inlineStr">
        <is>
          <t>Funza: adelantar trámites de notariado, registro e impuestos de los predios</t>
        </is>
      </c>
      <c r="H117" s="65" t="inlineStr">
        <is>
          <t>Escrituras y certificados</t>
        </is>
      </c>
      <c r="I117" s="67" t="inlineStr">
        <is>
          <t>Gestión Jurídica</t>
        </is>
      </c>
      <c r="J117" s="67" t="inlineStr">
        <is>
          <t>110, Secretaría General</t>
        </is>
      </c>
      <c r="K117" s="65" t="inlineStr">
        <is>
          <t>MPI</t>
        </is>
      </c>
      <c r="L117" s="65" t="n"/>
      <c r="M117" s="65" t="inlineStr">
        <is>
          <t>Porcentaje de jóvenes de la comunidad beneficiaria que se escolarizaron con la Institución.</t>
        </is>
      </c>
      <c r="N117" s="65" t="inlineStr">
        <is>
          <t>Valor Público</t>
        </is>
      </c>
      <c r="O117" s="68" t="n"/>
      <c r="P117" s="69" t="n"/>
      <c r="Q117" s="69" t="n"/>
      <c r="R117" s="68" t="n"/>
      <c r="S117" s="68" t="n"/>
      <c r="T117" s="68" t="n"/>
      <c r="U117" s="68" t="n"/>
    </row>
    <row r="118" ht="60" customHeight="1" s="23">
      <c r="A118" s="65" t="inlineStr">
        <is>
          <t>A27-116</t>
        </is>
      </c>
      <c r="B118" s="66" t="inlineStr">
        <is>
          <t>AC27.47</t>
        </is>
      </c>
      <c r="C118" s="65" t="inlineStr">
        <is>
          <t>Habilitar las sedes propias de Calle 18, Funza y Guaymaral con los trámites, estudios, licencias y puesta en marcha que corresponden a cada una</t>
        </is>
      </c>
      <c r="D118" s="65" t="inlineStr">
        <is>
          <t>5.1.1.1</t>
        </is>
      </c>
      <c r="E118" s="67" t="inlineStr">
        <is>
          <t>Ampliación y modernización de la infraestructura</t>
        </is>
      </c>
      <c r="F118" s="67" t="inlineStr">
        <is>
          <t>Contar con 4 sedes: 1. Calle 18, 2. Funza, 3. Guaymaral, 4. Central, con infraestructura y dotación para la prestación de servicios educativos.</t>
        </is>
      </c>
      <c r="G118" s="65" t="inlineStr">
        <is>
          <t>Funza (Ecoparque): contratar estudios y diseños, licencias e infraestructura modular</t>
        </is>
      </c>
      <c r="H118" s="65" t="inlineStr">
        <is>
          <t>Contratos y licencias</t>
        </is>
      </c>
      <c r="I118" s="67" t="inlineStr">
        <is>
          <t>Recursos Físicos e Infraestructura</t>
        </is>
      </c>
      <c r="J118" s="67" t="inlineStr">
        <is>
          <t>130, Vicerrectoría Administrativa y Financiera</t>
        </is>
      </c>
      <c r="K118" s="65" t="inlineStr">
        <is>
          <t>MPI</t>
        </is>
      </c>
      <c r="L118" s="65" t="inlineStr">
        <is>
          <t>1.000 ETITC + 7.300 MEN vigencias futuras (MPI)</t>
        </is>
      </c>
      <c r="M118" s="65" t="inlineStr">
        <is>
          <t>Porcentaje de jóvenes de la comunidad beneficiaria que se escolarizaron con la Institución.</t>
        </is>
      </c>
      <c r="N118" s="65" t="inlineStr">
        <is>
          <t>Valor Público</t>
        </is>
      </c>
      <c r="O118" s="68" t="n"/>
      <c r="P118" s="69" t="n"/>
      <c r="Q118" s="69" t="n"/>
      <c r="R118" s="68" t="n"/>
      <c r="S118" s="68" t="n"/>
      <c r="T118" s="68" t="n"/>
      <c r="U118" s="68" t="n"/>
    </row>
    <row r="119" ht="60" customHeight="1" s="23">
      <c r="A119" s="65" t="inlineStr">
        <is>
          <t>A27-117</t>
        </is>
      </c>
      <c r="B119" s="66" t="inlineStr">
        <is>
          <t>AC27.47</t>
        </is>
      </c>
      <c r="C119" s="65" t="inlineStr">
        <is>
          <t>Habilitar las sedes propias de Calle 18, Funza y Guaymaral con los trámites, estudios, licencias y puesta en marcha que corresponden a cada una</t>
        </is>
      </c>
      <c r="D119" s="65" t="inlineStr">
        <is>
          <t>5.1.1.1</t>
        </is>
      </c>
      <c r="E119" s="67" t="inlineStr">
        <is>
          <t>Ampliación y modernización de la infraestructura</t>
        </is>
      </c>
      <c r="F119" s="67" t="inlineStr">
        <is>
          <t>Contar con 4 sedes: 1. Calle 18, 2. Funza, 3. Guaymaral, 4. Central, con infraestructura y dotación para la prestación de servicios educativos.</t>
        </is>
      </c>
      <c r="G119" s="65" t="inlineStr">
        <is>
          <t>Guaymaral: poner en marcha la sede de Bienestar (espacios deportivos)</t>
        </is>
      </c>
      <c r="H119" s="65" t="inlineStr">
        <is>
          <t>Sede en operación</t>
        </is>
      </c>
      <c r="I119" s="67" t="inlineStr">
        <is>
          <t>Recursos Físicos e Infraestructura</t>
        </is>
      </c>
      <c r="J119" s="67" t="inlineStr">
        <is>
          <t>130, Vicerrectoría Administrativa y Financiera</t>
        </is>
      </c>
      <c r="K119" s="65" t="inlineStr">
        <is>
          <t>MPI</t>
        </is>
      </c>
      <c r="L119" s="65" t="inlineStr">
        <is>
          <t>400 (MPI)</t>
        </is>
      </c>
      <c r="M119" s="65" t="inlineStr">
        <is>
          <t>Porcentaje de jóvenes de la comunidad beneficiaria que se escolarizaron con la Institución.</t>
        </is>
      </c>
      <c r="N119" s="65" t="inlineStr">
        <is>
          <t>Valor Público</t>
        </is>
      </c>
      <c r="O119" s="68" t="n"/>
      <c r="P119" s="69" t="n"/>
      <c r="Q119" s="69" t="n"/>
      <c r="R119" s="68" t="n"/>
      <c r="S119" s="68" t="n"/>
      <c r="T119" s="68" t="n"/>
      <c r="U119" s="68" t="n"/>
    </row>
    <row r="120" ht="60" customHeight="1" s="23">
      <c r="A120" s="65" t="inlineStr">
        <is>
          <t>A27-118</t>
        </is>
      </c>
      <c r="B120" s="66" t="inlineStr">
        <is>
          <t>AC27.48</t>
        </is>
      </c>
      <c r="C120" s="65" t="inlineStr">
        <is>
          <t>Adecuar los inmuebles nuevos con criterios de eficiencia energética y construcción sostenible desde su diseño</t>
        </is>
      </c>
      <c r="D120" s="65" t="inlineStr">
        <is>
          <t>5.1.1.1</t>
        </is>
      </c>
      <c r="E120" s="67" t="inlineStr">
        <is>
          <t>Ampliación y modernización de la infraestructura</t>
        </is>
      </c>
      <c r="F120" s="67" t="inlineStr">
        <is>
          <t>Contar con 4 sedes: 1. Calle 18, 2. Funza, 3. Guaymaral, 4. Central, con infraestructura y dotación para la prestación de servicios educativos.</t>
        </is>
      </c>
      <c r="G120" s="65" t="inlineStr">
        <is>
          <t>Adecuar los nuevos inmuebles adquiridos (estudios y diseños)</t>
        </is>
      </c>
      <c r="H120" s="65" t="inlineStr">
        <is>
          <t>Estudios y diseños</t>
        </is>
      </c>
      <c r="I120" s="67" t="inlineStr">
        <is>
          <t>Recursos Físicos e Infraestructura</t>
        </is>
      </c>
      <c r="J120" s="67" t="inlineStr">
        <is>
          <t>130, Vicerrectoría Administrativa y Financiera</t>
        </is>
      </c>
      <c r="K120" s="65" t="inlineStr">
        <is>
          <t>MPI</t>
        </is>
      </c>
      <c r="L120" s="65" t="inlineStr">
        <is>
          <t>1.000 (MPI)</t>
        </is>
      </c>
      <c r="M120" s="65" t="inlineStr">
        <is>
          <t>Porcentaje de jóvenes de la comunidad beneficiaria que se escolarizaron con la Institución.</t>
        </is>
      </c>
      <c r="N120" s="65" t="inlineStr">
        <is>
          <t>Valor Público</t>
        </is>
      </c>
      <c r="O120" s="68" t="n"/>
      <c r="P120" s="69" t="n"/>
      <c r="Q120" s="69" t="n"/>
      <c r="R120" s="68" t="n"/>
      <c r="S120" s="68" t="n"/>
      <c r="T120" s="68" t="n"/>
      <c r="U120" s="68" t="n"/>
    </row>
    <row r="121" ht="60" customHeight="1" s="23">
      <c r="A121" s="65" t="inlineStr">
        <is>
          <t>A27-119</t>
        </is>
      </c>
      <c r="B121" s="66" t="inlineStr">
        <is>
          <t>AC27.48</t>
        </is>
      </c>
      <c r="C121" s="65" t="inlineStr">
        <is>
          <t>Adecuar los inmuebles nuevos con criterios de eficiencia energética y construcción sostenible desde su diseño</t>
        </is>
      </c>
      <c r="D121" s="65" t="inlineStr">
        <is>
          <t>5.1.1.1</t>
        </is>
      </c>
      <c r="E121" s="67" t="inlineStr">
        <is>
          <t>Ampliación y modernización de la infraestructura</t>
        </is>
      </c>
      <c r="F121" s="67" t="inlineStr">
        <is>
          <t>Contar con 4 sedes: 1. Calle 18, 2. Funza, 3. Guaymaral, 4. Central, con infraestructura y dotación para la prestación de servicios educativos.</t>
        </is>
      </c>
      <c r="G121" s="65" t="inlineStr">
        <is>
          <t>Incluir criterios de eficiencia energética y construcción sostenible en los estudios y diseños de las nuevas sedes (incluida Fusagasugá), para no generar sobrecostos futuros</t>
        </is>
      </c>
      <c r="H121" s="65" t="inlineStr">
        <is>
          <t>Criterios incluidos en los términos de referencia</t>
        </is>
      </c>
      <c r="I121" s="67" t="inlineStr">
        <is>
          <t>Recursos Físicos e Infraestructura</t>
        </is>
      </c>
      <c r="J121" s="67" t="inlineStr">
        <is>
          <t>130, Vicerrectoría Administrativa y Financiera</t>
        </is>
      </c>
      <c r="K121" s="65" t="inlineStr">
        <is>
          <t>Compromiso CP-073</t>
        </is>
      </c>
      <c r="L121" s="65" t="n"/>
      <c r="M121" s="65" t="inlineStr">
        <is>
          <t>Porcentaje de jóvenes de la comunidad beneficiaria que se escolarizaron con la Institución.</t>
        </is>
      </c>
      <c r="N121" s="65" t="inlineStr">
        <is>
          <t>Valor Público</t>
        </is>
      </c>
      <c r="O121" s="68" t="n"/>
      <c r="P121" s="69" t="n"/>
      <c r="Q121" s="69" t="n"/>
      <c r="R121" s="68" t="n"/>
      <c r="S121" s="68" t="n"/>
      <c r="T121" s="68" t="n"/>
      <c r="U121" s="68" t="n"/>
    </row>
    <row r="122" ht="46.5" customHeight="1" s="23">
      <c r="A122" s="65" t="inlineStr">
        <is>
          <t>A27-120</t>
        </is>
      </c>
      <c r="B122" s="66" t="inlineStr">
        <is>
          <t>AC27.49</t>
        </is>
      </c>
      <c r="C122" s="65" t="inlineStr">
        <is>
          <t>Viabilizar el reforzamiento estructural de los bloques pendientes de la sede centro con permisos, viabilidad presupuestal y medidas de eficiencia energética</t>
        </is>
      </c>
      <c r="D122" s="65" t="inlineStr">
        <is>
          <t>5.2.1.1</t>
        </is>
      </c>
      <c r="E122" s="67" t="inlineStr">
        <is>
          <t>Ampliación y modernización de la infraestructura</t>
        </is>
      </c>
      <c r="F122" s="67" t="inlineStr">
        <is>
          <t>3 bloques reforzados estructuralmente en la sede centro.</t>
        </is>
      </c>
      <c r="G122" s="65" t="inlineStr">
        <is>
          <t>Gestionar permisos y licencias ante el Ministerio de Cultura y la curaduría</t>
        </is>
      </c>
      <c r="H122" s="65" t="inlineStr">
        <is>
          <t>Permisos y licencias</t>
        </is>
      </c>
      <c r="I122" s="67" t="inlineStr">
        <is>
          <t>Recursos Físicos e Infraestructura</t>
        </is>
      </c>
      <c r="J122" s="67" t="inlineStr">
        <is>
          <t>130, Vicerrectoría Administrativa y Financiera</t>
        </is>
      </c>
      <c r="K122" s="65" t="inlineStr">
        <is>
          <t>MPI</t>
        </is>
      </c>
      <c r="L122" s="65" t="n"/>
      <c r="M122" s="65" t="inlineStr">
        <is>
          <t>Cantidad de procesos académicos y académico administrativos que mejoran.</t>
        </is>
      </c>
      <c r="N122" s="65" t="inlineStr">
        <is>
          <t>Académica</t>
        </is>
      </c>
      <c r="O122" s="68" t="n"/>
      <c r="P122" s="69" t="n"/>
      <c r="Q122" s="69" t="n"/>
      <c r="R122" s="68" t="n"/>
      <c r="S122" s="68" t="n"/>
      <c r="T122" s="68" t="n"/>
      <c r="U122" s="68" t="n"/>
    </row>
    <row r="123" ht="46.5" customHeight="1" s="23">
      <c r="A123" s="65" t="inlineStr">
        <is>
          <t>A27-121</t>
        </is>
      </c>
      <c r="B123" s="66" t="inlineStr">
        <is>
          <t>AC27.49</t>
        </is>
      </c>
      <c r="C123" s="65" t="inlineStr">
        <is>
          <t>Viabilizar el reforzamiento estructural de los bloques pendientes de la sede centro con permisos, viabilidad presupuestal y medidas de eficiencia energética</t>
        </is>
      </c>
      <c r="D123" s="65" t="inlineStr">
        <is>
          <t>5.2.1.1</t>
        </is>
      </c>
      <c r="E123" s="67" t="inlineStr">
        <is>
          <t>Ampliación y modernización de la infraestructura</t>
        </is>
      </c>
      <c r="F123" s="67" t="inlineStr">
        <is>
          <t>3 bloques reforzados estructuralmente en la sede centro.</t>
        </is>
      </c>
      <c r="G123" s="65" t="inlineStr">
        <is>
          <t>Obtener la viabilidad presupuestal del reforzamiento estructural</t>
        </is>
      </c>
      <c r="H123" s="65" t="inlineStr">
        <is>
          <t>Viabilidad del MEN</t>
        </is>
      </c>
      <c r="I123" s="67" t="inlineStr">
        <is>
          <t>Despacho de la Vicerrectoría Administrativa y Financiera</t>
        </is>
      </c>
      <c r="J123" s="67" t="inlineStr">
        <is>
          <t>130, Vicerrectoría Administrativa y Financiera</t>
        </is>
      </c>
      <c r="K123" s="65" t="inlineStr">
        <is>
          <t>MPI</t>
        </is>
      </c>
      <c r="L123" s="65" t="inlineStr">
        <is>
          <t>17.000 MEN (MPI)</t>
        </is>
      </c>
      <c r="M123" s="65" t="inlineStr">
        <is>
          <t>Cantidad de procesos académicos y académico administrativos que mejoran.</t>
        </is>
      </c>
      <c r="N123" s="65" t="inlineStr">
        <is>
          <t>Académica</t>
        </is>
      </c>
      <c r="O123" s="68" t="n"/>
      <c r="P123" s="69" t="n"/>
      <c r="Q123" s="69" t="n"/>
      <c r="R123" s="68" t="n"/>
      <c r="S123" s="68" t="n"/>
      <c r="T123" s="68" t="n"/>
      <c r="U123" s="68" t="n"/>
    </row>
    <row r="124" ht="46.5" customHeight="1" s="23">
      <c r="A124" s="65" t="inlineStr">
        <is>
          <t>A27-122</t>
        </is>
      </c>
      <c r="B124" s="66" t="inlineStr">
        <is>
          <t>AC27.49</t>
        </is>
      </c>
      <c r="C124" s="65" t="inlineStr">
        <is>
          <t>Viabilizar el reforzamiento estructural de los bloques pendientes de la sede centro con permisos, viabilidad presupuestal y medidas de eficiencia energética</t>
        </is>
      </c>
      <c r="D124" s="65" t="inlineStr">
        <is>
          <t>5.2.1.1</t>
        </is>
      </c>
      <c r="E124" s="67" t="inlineStr">
        <is>
          <t>Ampliación y modernización de la infraestructura</t>
        </is>
      </c>
      <c r="F124" s="67" t="inlineStr">
        <is>
          <t>3 bloques reforzados estructuralmente en la sede centro.</t>
        </is>
      </c>
      <c r="G124" s="65" t="inlineStr">
        <is>
          <t>Integrar al reforzamiento de los bloques F, G y H las medidas de la matriz de oportunidades de eficiencia energética (avance parcial PGEE 2026)</t>
        </is>
      </c>
      <c r="H124" s="65" t="inlineStr">
        <is>
          <t>Medidas incluidas en el diseño</t>
        </is>
      </c>
      <c r="I124" s="67" t="inlineStr">
        <is>
          <t>Recursos Físicos e Infraestructura</t>
        </is>
      </c>
      <c r="J124" s="67" t="inlineStr">
        <is>
          <t>130, Vicerrectoría Administrativa y Financiera</t>
        </is>
      </c>
      <c r="K124" s="65" t="inlineStr">
        <is>
          <t>Compromiso CP-073</t>
        </is>
      </c>
      <c r="L124" s="65" t="n"/>
      <c r="M124" s="65" t="inlineStr">
        <is>
          <t>Cantidad de procesos académicos y académico administrativos que mejoran.</t>
        </is>
      </c>
      <c r="N124" s="65" t="inlineStr">
        <is>
          <t>Académica</t>
        </is>
      </c>
      <c r="O124" s="68" t="n"/>
      <c r="P124" s="69" t="n"/>
      <c r="Q124" s="69" t="n"/>
      <c r="R124" s="68" t="n"/>
      <c r="S124" s="68" t="n"/>
      <c r="T124" s="68" t="n"/>
      <c r="U124" s="68" t="n"/>
    </row>
    <row r="125" ht="60" customHeight="1" s="23">
      <c r="A125" s="65" t="inlineStr">
        <is>
          <t>A27-123</t>
        </is>
      </c>
      <c r="B125" s="66" t="inlineStr">
        <is>
          <t>AC27.50</t>
        </is>
      </c>
      <c r="C125" s="65" t="inlineStr">
        <is>
          <t>Modernizar talleres y laboratorios con base en el Plan Maestro Institucional y en las necesidades de la nueva oferta</t>
        </is>
      </c>
      <c r="D125" s="65" t="inlineStr">
        <is>
          <t>5.2.1.2</t>
        </is>
      </c>
      <c r="E125" s="67" t="inlineStr">
        <is>
          <t>Ampliación y modernización de la infraestructura</t>
        </is>
      </c>
      <c r="F125" s="67" t="inlineStr">
        <is>
          <t>100% de los talleres y laboratorios actualizados de acuerdo con el plan maestro, modernizados y viabilizados con buenas prácticas ambientales.</t>
        </is>
      </c>
      <c r="G125" s="65" t="inlineStr">
        <is>
          <t>Contratar la consultoría del Plan Maestro Institucional</t>
        </is>
      </c>
      <c r="H125" s="65" t="inlineStr">
        <is>
          <t>Documento PMI</t>
        </is>
      </c>
      <c r="I125" s="67" t="inlineStr">
        <is>
          <t>Recursos Físicos e Infraestructura</t>
        </is>
      </c>
      <c r="J125" s="67" t="inlineStr">
        <is>
          <t>130, Vicerrectoría Administrativa y Financiera</t>
        </is>
      </c>
      <c r="K125" s="65" t="inlineStr">
        <is>
          <t>MPI</t>
        </is>
      </c>
      <c r="L125" s="65" t="inlineStr">
        <is>
          <t>500 (MPI)</t>
        </is>
      </c>
      <c r="M125" s="65" t="inlineStr">
        <is>
          <t>Resultados del valor agregado (diferencia entre el desarrollo de competencias antes de ingresar a la Escuela y lo que demuestra al egresar).</t>
        </is>
      </c>
      <c r="N125" s="65" t="inlineStr">
        <is>
          <t>Académica</t>
        </is>
      </c>
      <c r="O125" s="68" t="n"/>
      <c r="P125" s="69" t="n"/>
      <c r="Q125" s="69" t="n"/>
      <c r="R125" s="68" t="n"/>
      <c r="S125" s="68" t="n"/>
      <c r="T125" s="68" t="n"/>
      <c r="U125" s="68" t="n"/>
    </row>
    <row r="126" ht="60" customHeight="1" s="23">
      <c r="A126" s="65" t="inlineStr">
        <is>
          <t>A27-124</t>
        </is>
      </c>
      <c r="B126" s="66" t="inlineStr">
        <is>
          <t>AC27.50</t>
        </is>
      </c>
      <c r="C126" s="65" t="inlineStr">
        <is>
          <t>Modernizar talleres y laboratorios con base en el Plan Maestro Institucional y en las necesidades de la nueva oferta</t>
        </is>
      </c>
      <c r="D126" s="65" t="inlineStr">
        <is>
          <t>5.2.1.2</t>
        </is>
      </c>
      <c r="E126" s="67" t="inlineStr">
        <is>
          <t>Ampliación y modernización de la infraestructura</t>
        </is>
      </c>
      <c r="F126" s="67" t="inlineStr">
        <is>
          <t>100% de los talleres y laboratorios actualizados de acuerdo con el plan maestro, modernizados y viabilizados con buenas prácticas ambientales.</t>
        </is>
      </c>
      <c r="G126" s="65" t="inlineStr">
        <is>
          <t>Priorizar talleres y laboratorios según el PMI y la nueva oferta</t>
        </is>
      </c>
      <c r="H126" s="65" t="inlineStr">
        <is>
          <t>Plan de modernización priorizado</t>
        </is>
      </c>
      <c r="I126" s="67" t="inlineStr">
        <is>
          <t>GIT Talleres y Laboratorios</t>
        </is>
      </c>
      <c r="J126" s="67" t="inlineStr">
        <is>
          <t>125, GIT Talleres y Laboratorios</t>
        </is>
      </c>
      <c r="K126" s="65" t="inlineStr">
        <is>
          <t>Propuesta OAP</t>
        </is>
      </c>
      <c r="L126" s="65" t="n"/>
      <c r="M126" s="65" t="inlineStr">
        <is>
          <t>Resultados del valor agregado (diferencia entre el desarrollo de competencias antes de ingresar a la Escuela y lo que demuestra al egresar).</t>
        </is>
      </c>
      <c r="N126" s="65" t="inlineStr">
        <is>
          <t>Académica</t>
        </is>
      </c>
      <c r="O126" s="68" t="n"/>
      <c r="P126" s="69" t="n"/>
      <c r="Q126" s="69" t="n"/>
      <c r="R126" s="68" t="n"/>
      <c r="S126" s="68" t="n"/>
      <c r="T126" s="68" t="n"/>
      <c r="U126" s="68" t="n"/>
    </row>
    <row r="127" ht="60" customHeight="1" s="23">
      <c r="A127" s="65" t="inlineStr">
        <is>
          <t>A27-125</t>
        </is>
      </c>
      <c r="B127" s="66" t="inlineStr">
        <is>
          <t>AC27.50</t>
        </is>
      </c>
      <c r="C127" s="65" t="inlineStr">
        <is>
          <t>Modernizar talleres y laboratorios con base en el Plan Maestro Institucional y en las necesidades de la nueva oferta</t>
        </is>
      </c>
      <c r="D127" s="65" t="inlineStr">
        <is>
          <t>5.2.1.2</t>
        </is>
      </c>
      <c r="E127" s="67" t="inlineStr">
        <is>
          <t>Ampliación y modernización de la infraestructura</t>
        </is>
      </c>
      <c r="F127" s="67" t="inlineStr">
        <is>
          <t>100% de los talleres y laboratorios actualizados de acuerdo con el plan maestro, modernizados y viabilizados con buenas prácticas ambientales.</t>
        </is>
      </c>
      <c r="G127" s="65" t="inlineStr">
        <is>
          <t>Modernizar talleres y laboratorios según el plan de inversiones</t>
        </is>
      </c>
      <c r="H127" s="65" t="inlineStr">
        <is>
          <t>Equipos instalados</t>
        </is>
      </c>
      <c r="I127" s="67" t="inlineStr">
        <is>
          <t>GIT Talleres y Laboratorios</t>
        </is>
      </c>
      <c r="J127" s="67" t="inlineStr">
        <is>
          <t>125, GIT Talleres y Laboratorios</t>
        </is>
      </c>
      <c r="K127" s="65" t="inlineStr">
        <is>
          <t>MPI</t>
        </is>
      </c>
      <c r="L127" s="65" t="inlineStr">
        <is>
          <t>6.500 ETITC [validar] (MPI)</t>
        </is>
      </c>
      <c r="M127" s="65" t="inlineStr">
        <is>
          <t>Resultados del valor agregado (diferencia entre el desarrollo de competencias antes de ingresar a la Escuela y lo que demuestra al egresar).</t>
        </is>
      </c>
      <c r="N127" s="65" t="inlineStr">
        <is>
          <t>Académica</t>
        </is>
      </c>
      <c r="O127" s="68" t="n"/>
      <c r="P127" s="69" t="n"/>
      <c r="Q127" s="69" t="n"/>
      <c r="R127" s="68" t="n"/>
      <c r="S127" s="68" t="n"/>
      <c r="T127" s="68" t="n"/>
      <c r="U127" s="68" t="n"/>
    </row>
    <row r="128" ht="46.5" customHeight="1" s="23">
      <c r="A128" s="65" t="inlineStr">
        <is>
          <t>A27-126</t>
        </is>
      </c>
      <c r="B128" s="66" t="inlineStr">
        <is>
          <t>AC27.51</t>
        </is>
      </c>
      <c r="C128" s="65" t="inlineStr">
        <is>
          <t>Renovar el parque de computadores de apoyo académico a partir de un inventario de antigüedad</t>
        </is>
      </c>
      <c r="D128" s="65" t="inlineStr">
        <is>
          <t>5.2.1.3</t>
        </is>
      </c>
      <c r="E128" s="67" t="inlineStr">
        <is>
          <t>Ampliación y modernización de la infraestructura</t>
        </is>
      </c>
      <c r="F128" s="67" t="inlineStr">
        <is>
          <t>Reposición del 100% de computadores de apoyo a la academia con antigüedad mayor a 3 años.</t>
        </is>
      </c>
      <c r="G128" s="65" t="inlineStr">
        <is>
          <t>Levantar el inventario de antigüedad de los equipos académicos</t>
        </is>
      </c>
      <c r="H128" s="65" t="inlineStr">
        <is>
          <t>Inventario</t>
        </is>
      </c>
      <c r="I128" s="67" t="inlineStr">
        <is>
          <t>GIT Informática y Telecomunicaciones</t>
        </is>
      </c>
      <c r="J128" s="67" t="inlineStr">
        <is>
          <t>132, GIT Gestión de Informática y Telecomunicaciones</t>
        </is>
      </c>
      <c r="K128" s="65" t="inlineStr">
        <is>
          <t>Propuesta OAP</t>
        </is>
      </c>
      <c r="L128" s="65" t="n"/>
      <c r="M128" s="65" t="inlineStr">
        <is>
          <t>Resultados del valor agregado (diferencia entre el desarrollo de competencias antes de ingresar a la Escuela y lo que demuestra al egresar).</t>
        </is>
      </c>
      <c r="N128" s="65" t="inlineStr">
        <is>
          <t>Académica</t>
        </is>
      </c>
      <c r="O128" s="68" t="n"/>
      <c r="P128" s="69" t="n"/>
      <c r="Q128" s="69" t="n"/>
      <c r="R128" s="68" t="n"/>
      <c r="S128" s="68" t="n"/>
      <c r="T128" s="68" t="n"/>
      <c r="U128" s="68" t="n"/>
    </row>
    <row r="129" ht="46.5" customHeight="1" s="23">
      <c r="A129" s="65" t="inlineStr">
        <is>
          <t>A27-127</t>
        </is>
      </c>
      <c r="B129" s="66" t="inlineStr">
        <is>
          <t>AC27.51</t>
        </is>
      </c>
      <c r="C129" s="65" t="inlineStr">
        <is>
          <t>Renovar el parque de computadores de apoyo académico a partir de un inventario de antigüedad</t>
        </is>
      </c>
      <c r="D129" s="65" t="inlineStr">
        <is>
          <t>5.2.1.3</t>
        </is>
      </c>
      <c r="E129" s="67" t="inlineStr">
        <is>
          <t>Ampliación y modernización de la infraestructura</t>
        </is>
      </c>
      <c r="F129" s="67" t="inlineStr">
        <is>
          <t>Reposición del 100% de computadores de apoyo a la academia con antigüedad mayor a 3 años.</t>
        </is>
      </c>
      <c r="G129" s="65" t="inlineStr">
        <is>
          <t>Reponer los equipos de cómputo de salas de sistemas</t>
        </is>
      </c>
      <c r="H129" s="65" t="inlineStr">
        <is>
          <t>Equipos entregados</t>
        </is>
      </c>
      <c r="I129" s="67" t="inlineStr">
        <is>
          <t>GIT Informática y Telecomunicaciones</t>
        </is>
      </c>
      <c r="J129" s="67" t="inlineStr">
        <is>
          <t>132, GIT Gestión de Informática y Telecomunicaciones</t>
        </is>
      </c>
      <c r="K129" s="65" t="inlineStr">
        <is>
          <t>MPI</t>
        </is>
      </c>
      <c r="L129" s="65" t="inlineStr">
        <is>
          <t>13.000 ATENEA [validar] (MPI)</t>
        </is>
      </c>
      <c r="M129" s="65" t="inlineStr">
        <is>
          <t>Resultados del valor agregado (diferencia entre el desarrollo de competencias antes de ingresar a la Escuela y lo que demuestra al egresar).</t>
        </is>
      </c>
      <c r="N129" s="65" t="inlineStr">
        <is>
          <t>Académica</t>
        </is>
      </c>
      <c r="O129" s="68" t="n"/>
      <c r="P129" s="69" t="n"/>
      <c r="Q129" s="69" t="n"/>
      <c r="R129" s="68" t="n"/>
      <c r="S129" s="68" t="n"/>
      <c r="T129" s="68" t="n"/>
      <c r="U129" s="68" t="n"/>
    </row>
    <row r="130" ht="60" customHeight="1" s="23">
      <c r="A130" s="65" t="inlineStr">
        <is>
          <t>A27-128</t>
        </is>
      </c>
      <c r="B130" s="66" t="inlineStr">
        <is>
          <t>AC27.52</t>
        </is>
      </c>
      <c r="C130" s="65" t="inlineStr">
        <is>
          <t>Formalizar la presencia en sedes de terceros mediante la decisión del CIGD, el convenio con MinTIC para el Centro de IA Zipazgo y su supervisión</t>
        </is>
      </c>
      <c r="D130" s="65" t="inlineStr">
        <is>
          <t>5.3.1.1</t>
        </is>
      </c>
      <c r="E130" s="67" t="inlineStr">
        <is>
          <t>Ampliación y modernización de la infraestructura</t>
        </is>
      </c>
      <c r="F130" s="67" t="inlineStr">
        <is>
          <t>Hacer presencia con oferta académica en 4 sedes de terceros y multicampus: 1. Zipaquirá, 2. Multicampus de Suba, 3. Soacha, 4. Multicampus Tintal.</t>
        </is>
      </c>
      <c r="G130" s="65" t="inlineStr">
        <is>
          <t>Decidir en el CIGD la formulación de las líneas 3.1, 5.3 y 6.1</t>
        </is>
      </c>
      <c r="H130" s="65" t="inlineStr">
        <is>
          <t>Acta del CIGD</t>
        </is>
      </c>
      <c r="I130" s="67" t="inlineStr">
        <is>
          <t>Despacho de Rectoría</t>
        </is>
      </c>
      <c r="J130" s="67" t="inlineStr">
        <is>
          <t>100, Rectoría</t>
        </is>
      </c>
      <c r="K130" s="65" t="inlineStr">
        <is>
          <t>Compromiso CP-060</t>
        </is>
      </c>
      <c r="L130" s="65" t="n"/>
      <c r="M130" s="65" t="inlineStr">
        <is>
          <t>Porcentaje de jóvenes de la comunidad beneficiaria que se escolarizaron con la Institución.</t>
        </is>
      </c>
      <c r="N130" s="65" t="inlineStr">
        <is>
          <t>Valor Público</t>
        </is>
      </c>
      <c r="O130" s="68" t="n"/>
      <c r="P130" s="69" t="n"/>
      <c r="Q130" s="69" t="n"/>
      <c r="R130" s="68" t="n"/>
      <c r="S130" s="68" t="n"/>
      <c r="T130" s="68" t="n"/>
      <c r="U130" s="68" t="n"/>
    </row>
    <row r="131" ht="60" customHeight="1" s="23">
      <c r="A131" s="65" t="inlineStr">
        <is>
          <t>A27-129</t>
        </is>
      </c>
      <c r="B131" s="66" t="inlineStr">
        <is>
          <t>AC27.52</t>
        </is>
      </c>
      <c r="C131" s="65" t="inlineStr">
        <is>
          <t>Formalizar la presencia en sedes de terceros mediante la decisión del CIGD, el convenio con MinTIC para el Centro de IA Zipazgo y su supervisión</t>
        </is>
      </c>
      <c r="D131" s="65" t="inlineStr">
        <is>
          <t>5.3.1.1</t>
        </is>
      </c>
      <c r="E131" s="67" t="inlineStr">
        <is>
          <t>Ampliación y modernización de la infraestructura</t>
        </is>
      </c>
      <c r="F131" s="67" t="inlineStr">
        <is>
          <t>Hacer presencia con oferta académica en 4 sedes de terceros y multicampus: 1. Zipaquirá, 2. Multicampus de Suba, 3. Soacha, 4. Multicampus Tintal.</t>
        </is>
      </c>
      <c r="G131" s="65" t="inlineStr">
        <is>
          <t>Suscribir el convenio interadministrativo ETITC-MinTIC para el Centro de IA Zipazgo</t>
        </is>
      </c>
      <c r="H131" s="65" t="inlineStr">
        <is>
          <t>Convenio suscrito</t>
        </is>
      </c>
      <c r="I131" s="67" t="inlineStr">
        <is>
          <t>Despacho de Rectoría</t>
        </is>
      </c>
      <c r="J131" s="67" t="inlineStr">
        <is>
          <t>100, Rectoría</t>
        </is>
      </c>
      <c r="K131" s="65" t="inlineStr">
        <is>
          <t>Compromiso CP-001</t>
        </is>
      </c>
      <c r="L131" s="65" t="n"/>
      <c r="M131" s="65" t="inlineStr">
        <is>
          <t>Porcentaje de jóvenes de la comunidad beneficiaria que se escolarizaron con la Institución.</t>
        </is>
      </c>
      <c r="N131" s="65" t="inlineStr">
        <is>
          <t>Valor Público</t>
        </is>
      </c>
      <c r="O131" s="68" t="n"/>
      <c r="P131" s="69" t="n"/>
      <c r="Q131" s="69" t="n"/>
      <c r="R131" s="68" t="n"/>
      <c r="S131" s="68" t="n"/>
      <c r="T131" s="68" t="n"/>
      <c r="U131" s="68" t="n"/>
    </row>
    <row r="132" ht="60" customHeight="1" s="23">
      <c r="A132" s="65" t="inlineStr">
        <is>
          <t>A27-130</t>
        </is>
      </c>
      <c r="B132" s="66" t="inlineStr">
        <is>
          <t>AC27.52</t>
        </is>
      </c>
      <c r="C132" s="65" t="inlineStr">
        <is>
          <t>Formalizar la presencia en sedes de terceros mediante la decisión del CIGD, el convenio con MinTIC para el Centro de IA Zipazgo y su supervisión</t>
        </is>
      </c>
      <c r="D132" s="65" t="inlineStr">
        <is>
          <t>5.3.1.1</t>
        </is>
      </c>
      <c r="E132" s="67" t="inlineStr">
        <is>
          <t>Ampliación y modernización de la infraestructura</t>
        </is>
      </c>
      <c r="F132" s="67" t="inlineStr">
        <is>
          <t>Hacer presencia con oferta académica en 4 sedes de terceros y multicampus: 1. Zipaquirá, 2. Multicampus de Suba, 3. Soacha, 4. Multicampus Tintal.</t>
        </is>
      </c>
      <c r="G132" s="65" t="inlineStr">
        <is>
          <t>Legalizar el convenio y designar la supervisión</t>
        </is>
      </c>
      <c r="H132" s="65" t="inlineStr">
        <is>
          <t>Actas</t>
        </is>
      </c>
      <c r="I132" s="67" t="inlineStr">
        <is>
          <t>Despacho de Secretaría General</t>
        </is>
      </c>
      <c r="J132" s="67" t="inlineStr">
        <is>
          <t>110, Secretaría General</t>
        </is>
      </c>
      <c r="K132" s="65" t="inlineStr">
        <is>
          <t>Compromiso CP-002</t>
        </is>
      </c>
      <c r="L132" s="65" t="n"/>
      <c r="M132" s="65" t="inlineStr">
        <is>
          <t>Porcentaje de jóvenes de la comunidad beneficiaria que se escolarizaron con la Institución.</t>
        </is>
      </c>
      <c r="N132" s="65" t="inlineStr">
        <is>
          <t>Valor Público</t>
        </is>
      </c>
      <c r="O132" s="68" t="n"/>
      <c r="P132" s="69" t="n"/>
      <c r="Q132" s="69" t="n"/>
      <c r="R132" s="68" t="n"/>
      <c r="S132" s="68" t="n"/>
      <c r="T132" s="68" t="n"/>
      <c r="U132" s="68" t="n"/>
    </row>
    <row r="133" ht="60" customHeight="1" s="23">
      <c r="A133" s="65" t="inlineStr">
        <is>
          <t>A27-131</t>
        </is>
      </c>
      <c r="B133" s="66" t="inlineStr">
        <is>
          <t>AC27.53</t>
        </is>
      </c>
      <c r="C133" s="65" t="inlineStr">
        <is>
          <t>Poner en marcha la oferta académica en los territorios, cumpliendo el Convenio Marco con Zipaquirá y abriendo cohortes en La Primavera, Villeta y Casanare</t>
        </is>
      </c>
      <c r="D133" s="65" t="inlineStr">
        <is>
          <t>5.3.1.1</t>
        </is>
      </c>
      <c r="E133" s="67" t="inlineStr">
        <is>
          <t>Ampliación y modernización de la infraestructura</t>
        </is>
      </c>
      <c r="F133" s="67" t="inlineStr">
        <is>
          <t>Hacer presencia con oferta académica en 4 sedes de terceros y multicampus: 1. Zipaquirá, 2. Multicampus de Suba, 3. Soacha, 4. Multicampus Tintal.</t>
        </is>
      </c>
      <c r="G133" s="65" t="inlineStr">
        <is>
          <t>Cumplir los compromisos del Convenio Marco con Zipaquirá (coordinador, plan anual, comité)</t>
        </is>
      </c>
      <c r="H133" s="65" t="inlineStr">
        <is>
          <t>Plan anual y actas</t>
        </is>
      </c>
      <c r="I133" s="67" t="inlineStr">
        <is>
          <t>Despacho de la Vicerrectoría Académica</t>
        </is>
      </c>
      <c r="J133" s="67" t="inlineStr">
        <is>
          <t>120, Vicerrectoría Académica</t>
        </is>
      </c>
      <c r="K133" s="65" t="inlineStr">
        <is>
          <t>Compromisos CP-005, CP-007, CP-008</t>
        </is>
      </c>
      <c r="L133" s="65" t="n"/>
      <c r="M133" s="65" t="inlineStr">
        <is>
          <t>Porcentaje de jóvenes de la comunidad beneficiaria que se escolarizaron con la Institución.</t>
        </is>
      </c>
      <c r="N133" s="65" t="inlineStr">
        <is>
          <t>Valor Público</t>
        </is>
      </c>
      <c r="O133" s="68" t="n"/>
      <c r="P133" s="69" t="n"/>
      <c r="Q133" s="69" t="n"/>
      <c r="R133" s="68" t="n"/>
      <c r="S133" s="68" t="n"/>
      <c r="T133" s="68" t="n"/>
      <c r="U133" s="68" t="n"/>
    </row>
    <row r="134" ht="60" customHeight="1" s="23">
      <c r="A134" s="65" t="inlineStr">
        <is>
          <t>A27-132</t>
        </is>
      </c>
      <c r="B134" s="66" t="inlineStr">
        <is>
          <t>AC27.53</t>
        </is>
      </c>
      <c r="C134" s="65" t="inlineStr">
        <is>
          <t>Poner en marcha la oferta académica en los territorios, cumpliendo el Convenio Marco con Zipaquirá y abriendo cohortes en La Primavera, Villeta y Casanare</t>
        </is>
      </c>
      <c r="D134" s="65" t="inlineStr">
        <is>
          <t>5.3.1.1</t>
        </is>
      </c>
      <c r="E134" s="67" t="inlineStr">
        <is>
          <t>Ampliación y modernización de la infraestructura</t>
        </is>
      </c>
      <c r="F134" s="67" t="inlineStr">
        <is>
          <t>Hacer presencia con oferta académica en 4 sedes de terceros y multicampus: 1. Zipaquirá, 2. Multicampus de Suba, 3. Soacha, 4. Multicampus Tintal.</t>
        </is>
      </c>
      <c r="G134" s="65" t="inlineStr">
        <is>
          <t>Poner en marcha la oferta primer semestre de 2027 en La Primavera, Villeta y municipios de Casanare</t>
        </is>
      </c>
      <c r="H134" s="65" t="inlineStr">
        <is>
          <t>Matrícula por sede</t>
        </is>
      </c>
      <c r="I134" s="67" t="inlineStr">
        <is>
          <t>Sedes Tintal y Soacha-UPK y Viotá</t>
        </is>
      </c>
      <c r="J134" s="67" t="inlineStr">
        <is>
          <t>120, Vicerrectoría Académica</t>
        </is>
      </c>
      <c r="K134" s="65" t="inlineStr">
        <is>
          <t>MPI</t>
        </is>
      </c>
      <c r="L134" s="65" t="n"/>
      <c r="M134" s="65" t="inlineStr">
        <is>
          <t>Porcentaje de jóvenes de la comunidad beneficiaria que se escolarizaron con la Institución.</t>
        </is>
      </c>
      <c r="N134" s="65" t="inlineStr">
        <is>
          <t>Valor Público</t>
        </is>
      </c>
      <c r="O134" s="68" t="n"/>
      <c r="P134" s="69" t="n"/>
      <c r="Q134" s="69" t="n"/>
      <c r="R134" s="68" t="n"/>
      <c r="S134" s="68" t="n"/>
      <c r="T134" s="68" t="n"/>
      <c r="U134" s="68" t="n"/>
    </row>
    <row r="135" ht="60" customHeight="1" s="23">
      <c r="A135" s="65" t="inlineStr">
        <is>
          <t>A27-133</t>
        </is>
      </c>
      <c r="B135" s="66" t="inlineStr">
        <is>
          <t>AC27.54</t>
        </is>
      </c>
      <c r="C135" s="65" t="inlineStr">
        <is>
          <t>Garantizar las prácticas de los programas no presenciales mediante convenios de uso de talleres y laboratorios</t>
        </is>
      </c>
      <c r="D135" s="65" t="inlineStr">
        <is>
          <t>5.4.1.1</t>
        </is>
      </c>
      <c r="E135" s="67" t="inlineStr">
        <is>
          <t>Ampliación y modernización de la infraestructura</t>
        </is>
      </c>
      <c r="F135" s="67" t="inlineStr">
        <is>
          <t>Contar con el 100% de la infraestructura de talleres y laboratorios a través de convenios con instituciones y sector productivo (programas no presenciales).</t>
        </is>
      </c>
      <c r="G135" s="65" t="inlineStr">
        <is>
          <t>Identificar la infraestructura práctica que requieren los programas no presenciales</t>
        </is>
      </c>
      <c r="H135" s="65" t="inlineStr">
        <is>
          <t>Matriz de requerimientos</t>
        </is>
      </c>
      <c r="I135" s="67" t="inlineStr">
        <is>
          <t>Despacho de la Vicerrectoría Académica</t>
        </is>
      </c>
      <c r="J135" s="67" t="inlineStr">
        <is>
          <t>120, Vicerrectoría Académica</t>
        </is>
      </c>
      <c r="K135" s="65" t="inlineStr">
        <is>
          <t>Propuesta OAP</t>
        </is>
      </c>
      <c r="L135" s="65" t="n"/>
      <c r="M135" s="65" t="inlineStr">
        <is>
          <t>Proporción de programas académicos pertinentes (alineados con necesidades y vocación del territorio) ofrecidos por la Institución en el territorio.</t>
        </is>
      </c>
      <c r="N135" s="65" t="inlineStr">
        <is>
          <t>Valor Público</t>
        </is>
      </c>
      <c r="O135" s="68" t="n"/>
      <c r="P135" s="69" t="n"/>
      <c r="Q135" s="69" t="n"/>
      <c r="R135" s="68" t="n"/>
      <c r="S135" s="68" t="n"/>
      <c r="T135" s="68" t="n"/>
      <c r="U135" s="68" t="n"/>
    </row>
    <row r="136" ht="60" customHeight="1" s="23">
      <c r="A136" s="65" t="inlineStr">
        <is>
          <t>A27-134</t>
        </is>
      </c>
      <c r="B136" s="66" t="inlineStr">
        <is>
          <t>AC27.54</t>
        </is>
      </c>
      <c r="C136" s="65" t="inlineStr">
        <is>
          <t>Garantizar las prácticas de los programas no presenciales mediante convenios de uso de talleres y laboratorios</t>
        </is>
      </c>
      <c r="D136" s="65" t="inlineStr">
        <is>
          <t>5.4.1.1</t>
        </is>
      </c>
      <c r="E136" s="67" t="inlineStr">
        <is>
          <t>Ampliación y modernización de la infraestructura</t>
        </is>
      </c>
      <c r="F136" s="67" t="inlineStr">
        <is>
          <t>Contar con el 100% de la infraestructura de talleres y laboratorios a través de convenios con instituciones y sector productivo (programas no presenciales).</t>
        </is>
      </c>
      <c r="G136" s="65" t="inlineStr">
        <is>
          <t>Suscribir convenios de uso de talleres y laboratorios</t>
        </is>
      </c>
      <c r="H136" s="65" t="inlineStr">
        <is>
          <t>Convenios</t>
        </is>
      </c>
      <c r="I136" s="67" t="inlineStr">
        <is>
          <t>Contratación y Adquisiciones</t>
        </is>
      </c>
      <c r="J136" s="67" t="inlineStr">
        <is>
          <t>130, Vicerrectoría Administrativa y Financiera</t>
        </is>
      </c>
      <c r="K136" s="65" t="inlineStr">
        <is>
          <t>Prórroga 2026 (CP-058)</t>
        </is>
      </c>
      <c r="L136" s="65" t="n"/>
      <c r="M136" s="65" t="inlineStr">
        <is>
          <t>Proporción de programas académicos pertinentes (alineados con necesidades y vocación del territorio) ofrecidos por la Institución en el territorio.</t>
        </is>
      </c>
      <c r="N136" s="65" t="inlineStr">
        <is>
          <t>Valor Público</t>
        </is>
      </c>
      <c r="O136" s="68" t="n"/>
      <c r="P136" s="69" t="n"/>
      <c r="Q136" s="69" t="n"/>
      <c r="R136" s="68" t="n"/>
      <c r="S136" s="68" t="n"/>
      <c r="T136" s="68" t="n"/>
      <c r="U136" s="68" t="n"/>
    </row>
    <row r="137" ht="46.5" customHeight="1" s="23">
      <c r="A137" s="65" t="inlineStr">
        <is>
          <t>A27-135</t>
        </is>
      </c>
      <c r="B137" s="66" t="inlineStr">
        <is>
          <t>AC27.55</t>
        </is>
      </c>
      <c r="C137" s="65" t="inlineStr">
        <is>
          <t>Consolidar las condiciones del bienestar universitario integral, con el cierre del PFB 2025 y un tablero de seguimiento mensual</t>
        </is>
      </c>
      <c r="D137" s="65" t="inlineStr">
        <is>
          <t>6.1.1.1</t>
        </is>
      </c>
      <c r="E137" s="67" t="inlineStr">
        <is>
          <t>Cuidado por el bienestar y la vida</t>
        </is>
      </c>
      <c r="F137" s="67" t="inlineStr">
        <is>
          <t>El 100% de las áreas de la Institución comprometidas con el Bienestar Universitario integral.</t>
        </is>
      </c>
      <c r="G137" s="65" t="inlineStr">
        <is>
          <t>Cerrar el ciclo PFB 2025 (pruebas psicológicas, transporte, soportes)</t>
        </is>
      </c>
      <c r="H137" s="65" t="inlineStr">
        <is>
          <t>Contratos y soportes</t>
        </is>
      </c>
      <c r="I137" s="67" t="inlineStr">
        <is>
          <t>GIT Bienestar Universitario</t>
        </is>
      </c>
      <c r="J137" s="67" t="inlineStr">
        <is>
          <t>122, GIT Bienestar Universitario</t>
        </is>
      </c>
      <c r="K137" s="65" t="inlineStr">
        <is>
          <t>Compromiso CP-041</t>
        </is>
      </c>
      <c r="L137" s="65" t="n"/>
      <c r="M137" s="65" t="inlineStr">
        <is>
          <t>Porcentaje de actores que evidencian cambios significativos en sus valores y actitudes como consecuencia de las intervenciones institucionales.</t>
        </is>
      </c>
      <c r="N137" s="65" t="inlineStr">
        <is>
          <t>Valor Público</t>
        </is>
      </c>
      <c r="O137" s="68" t="n"/>
      <c r="P137" s="69" t="n"/>
      <c r="Q137" s="69" t="n"/>
      <c r="R137" s="68" t="n"/>
      <c r="S137" s="68" t="n"/>
      <c r="T137" s="68" t="n"/>
      <c r="U137" s="68" t="n"/>
    </row>
    <row r="138" ht="46.5" customHeight="1" s="23">
      <c r="A138" s="65" t="inlineStr">
        <is>
          <t>A27-136</t>
        </is>
      </c>
      <c r="B138" s="66" t="inlineStr">
        <is>
          <t>AC27.55</t>
        </is>
      </c>
      <c r="C138" s="65" t="inlineStr">
        <is>
          <t>Consolidar las condiciones del bienestar universitario integral, con el cierre del PFB 2025 y un tablero de seguimiento mensual</t>
        </is>
      </c>
      <c r="D138" s="65" t="inlineStr">
        <is>
          <t>6.1.1.1</t>
        </is>
      </c>
      <c r="E138" s="67" t="inlineStr">
        <is>
          <t>Cuidado por el bienestar y la vida</t>
        </is>
      </c>
      <c r="F138" s="67" t="inlineStr">
        <is>
          <t>El 100% de las áreas de la Institución comprometidas con el Bienestar Universitario integral.</t>
        </is>
      </c>
      <c r="G138" s="65" t="inlineStr">
        <is>
          <t>Implementar las condiciones clave para el bienestar integral (política, programas, cobertura, evaluación)</t>
        </is>
      </c>
      <c r="H138" s="65" t="inlineStr">
        <is>
          <t>Informe de implementación</t>
        </is>
      </c>
      <c r="I138" s="67" t="inlineStr">
        <is>
          <t>GIT Bienestar Universitario</t>
        </is>
      </c>
      <c r="J138" s="67" t="inlineStr">
        <is>
          <t>122, GIT Bienestar Universitario</t>
        </is>
      </c>
      <c r="K138" s="65" t="inlineStr">
        <is>
          <t>MPI</t>
        </is>
      </c>
      <c r="L138" s="65" t="inlineStr">
        <is>
          <t>6.000 ATENEA (MPI)</t>
        </is>
      </c>
      <c r="M138" s="65" t="inlineStr">
        <is>
          <t>Porcentaje de actores que evidencian cambios significativos en sus valores y actitudes como consecuencia de las intervenciones institucionales.</t>
        </is>
      </c>
      <c r="N138" s="65" t="inlineStr">
        <is>
          <t>Valor Público</t>
        </is>
      </c>
      <c r="O138" s="68" t="n"/>
      <c r="P138" s="69" t="n"/>
      <c r="Q138" s="69" t="n"/>
      <c r="R138" s="68" t="n"/>
      <c r="S138" s="68" t="n"/>
      <c r="T138" s="68" t="n"/>
      <c r="U138" s="68" t="n"/>
    </row>
    <row r="139" ht="46.5" customHeight="1" s="23">
      <c r="A139" s="65" t="inlineStr">
        <is>
          <t>A27-137</t>
        </is>
      </c>
      <c r="B139" s="66" t="inlineStr">
        <is>
          <t>AC27.55</t>
        </is>
      </c>
      <c r="C139" s="65" t="inlineStr">
        <is>
          <t>Consolidar las condiciones del bienestar universitario integral, con el cierre del PFB 2025 y un tablero de seguimiento mensual</t>
        </is>
      </c>
      <c r="D139" s="65" t="inlineStr">
        <is>
          <t>6.1.1.1</t>
        </is>
      </c>
      <c r="E139" s="67" t="inlineStr">
        <is>
          <t>Cuidado por el bienestar y la vida</t>
        </is>
      </c>
      <c r="F139" s="67" t="inlineStr">
        <is>
          <t>El 100% de las áreas de la Institución comprometidas con el Bienestar Universitario integral.</t>
        </is>
      </c>
      <c r="G139" s="65" t="inlineStr">
        <is>
          <t>Operar el tablero mensual de seguimiento del PFB</t>
        </is>
      </c>
      <c r="H139" s="65" t="inlineStr">
        <is>
          <t>Tablero publicado</t>
        </is>
      </c>
      <c r="I139" s="67" t="inlineStr">
        <is>
          <t>GIT Bienestar Universitario</t>
        </is>
      </c>
      <c r="J139" s="67" t="inlineStr">
        <is>
          <t>122, GIT Bienestar Universitario</t>
        </is>
      </c>
      <c r="K139" s="65" t="inlineStr">
        <is>
          <t>Compromiso CP-042</t>
        </is>
      </c>
      <c r="L139" s="65" t="n"/>
      <c r="M139" s="65" t="inlineStr">
        <is>
          <t>Porcentaje de actores que evidencian cambios significativos en sus valores y actitudes como consecuencia de las intervenciones institucionales.</t>
        </is>
      </c>
      <c r="N139" s="65" t="inlineStr">
        <is>
          <t>Valor Público</t>
        </is>
      </c>
      <c r="O139" s="68" t="n"/>
      <c r="P139" s="69" t="n"/>
      <c r="Q139" s="69" t="n"/>
      <c r="R139" s="68" t="n"/>
      <c r="S139" s="68" t="n"/>
      <c r="T139" s="68" t="n"/>
      <c r="U139" s="68" t="n"/>
    </row>
    <row r="140" ht="46.5" customHeight="1" s="23">
      <c r="A140" s="65" t="inlineStr">
        <is>
          <t>A27-138</t>
        </is>
      </c>
      <c r="B140" s="66" t="inlineStr">
        <is>
          <t>AC27.56</t>
        </is>
      </c>
      <c r="C140" s="65" t="inlineStr">
        <is>
          <t>Construir una cultura ambiental institucional con política revisada, campaña de uso racional de energía y agua y una red de enlaces por área</t>
        </is>
      </c>
      <c r="D140" s="65" t="inlineStr">
        <is>
          <t>6.1.1.1</t>
        </is>
      </c>
      <c r="E140" s="67" t="inlineStr">
        <is>
          <t>Cuidado por el bienestar y la vida</t>
        </is>
      </c>
      <c r="F140" s="67" t="inlineStr">
        <is>
          <t>El 100% de las áreas de la Institución comprometidas con el Bienestar Universitario integral.</t>
        </is>
      </c>
      <c r="G140" s="65" t="inlineStr">
        <is>
          <t>Cultura ambiental (1/3): revisar la política ambiental y reactivar los comités previstos en ella</t>
        </is>
      </c>
      <c r="H140" s="65" t="inlineStr">
        <is>
          <t>Política ratificada por el CIGD y actas de comité</t>
        </is>
      </c>
      <c r="I140" s="67" t="inlineStr">
        <is>
          <t>Gestión Ambiental</t>
        </is>
      </c>
      <c r="J140" s="67" t="inlineStr">
        <is>
          <t>101, Oficina Asesora de Planeación y Desarrollo Institucional</t>
        </is>
      </c>
      <c r="K140" s="65" t="inlineStr">
        <is>
          <t>Compromiso CP-072</t>
        </is>
      </c>
      <c r="L140" s="65" t="n"/>
      <c r="M140" s="65" t="inlineStr">
        <is>
          <t>Porcentaje de actores que evidencian cambios significativos en sus valores y actitudes como consecuencia de las intervenciones institucionales.</t>
        </is>
      </c>
      <c r="N140" s="65" t="inlineStr">
        <is>
          <t>Valor Público</t>
        </is>
      </c>
      <c r="O140" s="68" t="n"/>
      <c r="P140" s="69" t="n"/>
      <c r="Q140" s="69" t="n"/>
      <c r="R140" s="68" t="n"/>
      <c r="S140" s="68" t="n"/>
      <c r="T140" s="68" t="n"/>
      <c r="U140" s="68" t="n"/>
    </row>
    <row r="141" ht="73.5" customHeight="1" s="23">
      <c r="A141" s="65" t="inlineStr">
        <is>
          <t>A27-139</t>
        </is>
      </c>
      <c r="B141" s="66" t="inlineStr">
        <is>
          <t>AC27.56</t>
        </is>
      </c>
      <c r="C141" s="65" t="inlineStr">
        <is>
          <t>Construir una cultura ambiental institucional con política revisada, campaña de uso racional de energía y agua y una red de enlaces por área</t>
        </is>
      </c>
      <c r="D141" s="65" t="inlineStr">
        <is>
          <t>6.1.1.1</t>
        </is>
      </c>
      <c r="E141" s="67" t="inlineStr">
        <is>
          <t>Cuidado por el bienestar y la vida</t>
        </is>
      </c>
      <c r="F141" s="67" t="inlineStr">
        <is>
          <t>El 100% de las áreas de la Institución comprometidas con el Bienestar Universitario integral.</t>
        </is>
      </c>
      <c r="G141" s="65" t="inlineStr">
        <is>
          <t>Cultura ambiental (2/3): diseñar y ejecutar con Comunicaciones la campaña institucional de uso racional de la energía y del agua, que explique a la comunidad el propósito de cada medida (p. ej., el apagado automático de pantallas)</t>
        </is>
      </c>
      <c r="H141" s="65" t="inlineStr">
        <is>
          <t>Campaña ejecutada y medición de apropiación (encuesta antes y después)</t>
        </is>
      </c>
      <c r="I141" s="67" t="inlineStr">
        <is>
          <t>Comunicaciones y Mercadeo</t>
        </is>
      </c>
      <c r="J141" s="67" t="inlineStr">
        <is>
          <t>100, Rectoría</t>
        </is>
      </c>
      <c r="K141" s="65" t="inlineStr">
        <is>
          <t>Compromiso CP-072</t>
        </is>
      </c>
      <c r="L141" s="65" t="inlineStr">
        <is>
          <t>Sugerida por la OAP: 25</t>
        </is>
      </c>
      <c r="M141" s="65" t="inlineStr">
        <is>
          <t>Porcentaje de actores que evidencian cambios significativos en sus valores y actitudes como consecuencia de las intervenciones institucionales.</t>
        </is>
      </c>
      <c r="N141" s="65" t="inlineStr">
        <is>
          <t>Valor Público</t>
        </is>
      </c>
      <c r="O141" s="68" t="n"/>
      <c r="P141" s="69" t="n"/>
      <c r="Q141" s="69" t="n"/>
      <c r="R141" s="68" t="n"/>
      <c r="S141" s="68" t="n"/>
      <c r="T141" s="68" t="n"/>
      <c r="U141" s="68" t="n"/>
    </row>
    <row r="142" ht="60" customHeight="1" s="23">
      <c r="A142" s="65" t="inlineStr">
        <is>
          <t>A27-140</t>
        </is>
      </c>
      <c r="B142" s="66" t="inlineStr">
        <is>
          <t>AC27.56</t>
        </is>
      </c>
      <c r="C142" s="65" t="inlineStr">
        <is>
          <t>Construir una cultura ambiental institucional con política revisada, campaña de uso racional de energía y agua y una red de enlaces por área</t>
        </is>
      </c>
      <c r="D142" s="65" t="inlineStr">
        <is>
          <t>6.1.1.1</t>
        </is>
      </c>
      <c r="E142" s="67" t="inlineStr">
        <is>
          <t>Cuidado por el bienestar y la vida</t>
        </is>
      </c>
      <c r="F142" s="67" t="inlineStr">
        <is>
          <t>El 100% de las áreas de la Institución comprometidas con el Bienestar Universitario integral.</t>
        </is>
      </c>
      <c r="G142" s="65" t="inlineStr">
        <is>
          <t>Cultura ambiental (3/3): designar un enlace ambiental por área y hacer jornadas semestrales de cuidado de espacios (luces, agua, equipos y mobiliario) con docentes, administrativos y estudiantes</t>
        </is>
      </c>
      <c r="H142" s="65" t="inlineStr">
        <is>
          <t>Red de enlaces y 2 jornadas</t>
        </is>
      </c>
      <c r="I142" s="67" t="inlineStr">
        <is>
          <t>Gestión Ambiental</t>
        </is>
      </c>
      <c r="J142" s="67" t="inlineStr">
        <is>
          <t>101, Oficina Asesora de Planeación y Desarrollo Institucional</t>
        </is>
      </c>
      <c r="K142" s="65" t="inlineStr">
        <is>
          <t>Propuesta OAP</t>
        </is>
      </c>
      <c r="L142" s="65" t="n"/>
      <c r="M142" s="65" t="inlineStr">
        <is>
          <t>Porcentaje de actores que evidencian cambios significativos en sus valores y actitudes como consecuencia de las intervenciones institucionales.</t>
        </is>
      </c>
      <c r="N142" s="65" t="inlineStr">
        <is>
          <t>Valor Público</t>
        </is>
      </c>
      <c r="O142" s="68" t="n"/>
      <c r="P142" s="69" t="n"/>
      <c r="Q142" s="69" t="n"/>
      <c r="R142" s="68" t="n"/>
      <c r="S142" s="68" t="n"/>
      <c r="T142" s="68" t="n"/>
      <c r="U142" s="68" t="n"/>
    </row>
    <row r="143" ht="60" customHeight="1" s="23">
      <c r="A143" s="65" t="inlineStr">
        <is>
          <t>A27-141</t>
        </is>
      </c>
      <c r="B143" s="66" t="inlineStr">
        <is>
          <t>AC27.57</t>
        </is>
      </c>
      <c r="C143" s="65" t="inlineStr">
        <is>
          <t>Consolidar la infraestructura y la dotación para el bienestar, con el PFB 2027 y los espacios de bienestar dotados, incluida la sede de Guaymaral</t>
        </is>
      </c>
      <c r="D143" s="65" t="inlineStr">
        <is>
          <t>6.1.1.2</t>
        </is>
      </c>
      <c r="E143" s="67" t="inlineStr">
        <is>
          <t>Cuidado por el bienestar y la vida</t>
        </is>
      </c>
      <c r="F143" s="67" t="inlineStr">
        <is>
          <t>Consolidar las condiciones en infraestructura, dotación, recurso humano y estrategias para el bienestar integral de toda la comunidad en la Institución.</t>
        </is>
      </c>
      <c r="G143" s="65" t="inlineStr">
        <is>
          <t>Formular el PFB 2027 con base en el cierre del PFB 2025</t>
        </is>
      </c>
      <c r="H143" s="65" t="inlineStr">
        <is>
          <t>PFB 2027 aprobado</t>
        </is>
      </c>
      <c r="I143" s="67" t="inlineStr">
        <is>
          <t>GIT Bienestar Universitario</t>
        </is>
      </c>
      <c r="J143" s="67" t="inlineStr">
        <is>
          <t>122, GIT Bienestar Universitario</t>
        </is>
      </c>
      <c r="K143" s="65" t="inlineStr">
        <is>
          <t>Propuesta OAP</t>
        </is>
      </c>
      <c r="L143" s="65" t="n"/>
      <c r="M143" s="65" t="inlineStr">
        <is>
          <t>Cambio en la calidad de vida comparado con generaciones anteriores atribuible a la intervención institucional.</t>
        </is>
      </c>
      <c r="N143" s="65" t="inlineStr">
        <is>
          <t>Valor Público</t>
        </is>
      </c>
      <c r="O143" s="68" t="n"/>
      <c r="P143" s="69" t="n"/>
      <c r="Q143" s="69" t="n"/>
      <c r="R143" s="68" t="n"/>
      <c r="S143" s="68" t="n"/>
      <c r="T143" s="68" t="n"/>
      <c r="U143" s="68" t="n"/>
    </row>
    <row r="144" ht="60" customHeight="1" s="23">
      <c r="A144" s="65" t="inlineStr">
        <is>
          <t>A27-142</t>
        </is>
      </c>
      <c r="B144" s="66" t="inlineStr">
        <is>
          <t>AC27.57</t>
        </is>
      </c>
      <c r="C144" s="65" t="inlineStr">
        <is>
          <t>Consolidar la infraestructura y la dotación para el bienestar, con el PFB 2027 y los espacios de bienestar dotados, incluida la sede de Guaymaral</t>
        </is>
      </c>
      <c r="D144" s="65" t="inlineStr">
        <is>
          <t>6.1.1.2</t>
        </is>
      </c>
      <c r="E144" s="67" t="inlineStr">
        <is>
          <t>Cuidado por el bienestar y la vida</t>
        </is>
      </c>
      <c r="F144" s="67" t="inlineStr">
        <is>
          <t>Consolidar las condiciones en infraestructura, dotación, recurso humano y estrategias para el bienestar integral de toda la comunidad en la Institución.</t>
        </is>
      </c>
      <c r="G144" s="65" t="inlineStr">
        <is>
          <t>Dotar los espacios de bienestar (incluida la sede de Guaymaral)</t>
        </is>
      </c>
      <c r="H144" s="65" t="inlineStr">
        <is>
          <t>Espacios dotados</t>
        </is>
      </c>
      <c r="I144" s="67" t="inlineStr">
        <is>
          <t>GIT Bienestar Universitario</t>
        </is>
      </c>
      <c r="J144" s="67" t="inlineStr">
        <is>
          <t>122, GIT Bienestar Universitario</t>
        </is>
      </c>
      <c r="K144" s="65" t="inlineStr">
        <is>
          <t>Propuesta OAP</t>
        </is>
      </c>
      <c r="L144" s="65" t="n"/>
      <c r="M144" s="65" t="inlineStr">
        <is>
          <t>Cambio en la calidad de vida comparado con generaciones anteriores atribuible a la intervención institucional.</t>
        </is>
      </c>
      <c r="N144" s="65" t="inlineStr">
        <is>
          <t>Valor Público</t>
        </is>
      </c>
      <c r="O144" s="68" t="n"/>
      <c r="P144" s="69" t="n"/>
      <c r="Q144" s="69" t="n"/>
      <c r="R144" s="68" t="n"/>
      <c r="S144" s="68" t="n"/>
      <c r="T144" s="68" t="n"/>
      <c r="U144" s="68" t="n"/>
    </row>
    <row r="145" ht="73.5" customHeight="1" s="23">
      <c r="A145" s="65" t="inlineStr">
        <is>
          <t>A27-143</t>
        </is>
      </c>
      <c r="B145" s="66" t="inlineStr">
        <is>
          <t>AC27.58</t>
        </is>
      </c>
      <c r="C145" s="65" t="inlineStr">
        <is>
          <t>Implementar la gestión energética institucional exigida por la ley, desde la línea base y la auditoría hasta el PGEE, la política y el reporte a la UPME</t>
        </is>
      </c>
      <c r="D145" s="65" t="inlineStr">
        <is>
          <t>6.1.1.2</t>
        </is>
      </c>
      <c r="E145" s="67" t="inlineStr">
        <is>
          <t>Cuidado por el bienestar y la vida</t>
        </is>
      </c>
      <c r="F145" s="67" t="inlineStr">
        <is>
          <t>Consolidar las condiciones en infraestructura, dotación, recurso humano y estrategias para el bienestar integral de toda la comunidad en la Institución.</t>
        </is>
      </c>
      <c r="G145" s="65" t="inlineStr">
        <is>
          <t>Energía (1/8): recibir y cerrar el avance parcial 2026 del PGEE en los bloques F, G y H (base de información energética, línea base e indicadores, matriz de oportunidades, matriz de información y apoyo al reporte UPME)</t>
        </is>
      </c>
      <c r="H145" s="65" t="inlineStr">
        <is>
          <t>5 productos recibidos a satisfacción</t>
        </is>
      </c>
      <c r="I145" s="67" t="inlineStr">
        <is>
          <t>Gestión Ambiental</t>
        </is>
      </c>
      <c r="J145" s="67" t="inlineStr">
        <is>
          <t>101, Oficina Asesora de Planeación y Desarrollo Institucional</t>
        </is>
      </c>
      <c r="K145" s="65" t="inlineStr">
        <is>
          <t>Compromiso CP-068</t>
        </is>
      </c>
      <c r="L145" s="65" t="n"/>
      <c r="M145" s="65" t="inlineStr">
        <is>
          <t>Cambio en la calidad de vida comparado con generaciones anteriores atribuible a la intervención institucional.</t>
        </is>
      </c>
      <c r="N145" s="65" t="inlineStr">
        <is>
          <t>Valor Público</t>
        </is>
      </c>
      <c r="O145" s="68" t="n"/>
      <c r="P145" s="69" t="n"/>
      <c r="Q145" s="69" t="n"/>
      <c r="R145" s="68" t="n"/>
      <c r="S145" s="68" t="n"/>
      <c r="T145" s="68" t="n"/>
      <c r="U145" s="68" t="n"/>
    </row>
    <row r="146" ht="60" customHeight="1" s="23">
      <c r="A146" s="65" t="inlineStr">
        <is>
          <t>A27-144</t>
        </is>
      </c>
      <c r="B146" s="66" t="inlineStr">
        <is>
          <t>AC27.58</t>
        </is>
      </c>
      <c r="C146" s="65" t="inlineStr">
        <is>
          <t>Implementar la gestión energética institucional exigida por la ley, desde la línea base y la auditoría hasta el PGEE, la política y el reporte a la UPME</t>
        </is>
      </c>
      <c r="D146" s="65" t="inlineStr">
        <is>
          <t>6.1.1.2</t>
        </is>
      </c>
      <c r="E146" s="67" t="inlineStr">
        <is>
          <t>Cuidado por el bienestar y la vida</t>
        </is>
      </c>
      <c r="F146" s="67" t="inlineStr">
        <is>
          <t>Consolidar las condiciones en infraestructura, dotación, recurso humano y estrategias para el bienestar integral de toda la comunidad en la Institución.</t>
        </is>
      </c>
      <c r="G146" s="65" t="inlineStr">
        <is>
          <t>Energía (2/8): ratificar o redesignar al Gestor Energético Institucional para 2027 y definir su dedicación, para que no sea una sobrecarga</t>
        </is>
      </c>
      <c r="H146" s="65" t="inlineStr">
        <is>
          <t>Acto de designación 2027</t>
        </is>
      </c>
      <c r="I146" s="67" t="inlineStr">
        <is>
          <t>Planeación y Plan de Acción</t>
        </is>
      </c>
      <c r="J146" s="67" t="inlineStr">
        <is>
          <t>101, Oficina Asesora de Planeación y Desarrollo Institucional</t>
        </is>
      </c>
      <c r="K146" s="65" t="inlineStr">
        <is>
          <t>Compromiso CP-069</t>
        </is>
      </c>
      <c r="L146" s="65" t="n"/>
      <c r="M146" s="65" t="inlineStr">
        <is>
          <t>Cambio en la calidad de vida comparado con generaciones anteriores atribuible a la intervención institucional.</t>
        </is>
      </c>
      <c r="N146" s="65" t="inlineStr">
        <is>
          <t>Valor Público</t>
        </is>
      </c>
      <c r="O146" s="68" t="n"/>
      <c r="P146" s="69" t="n"/>
      <c r="Q146" s="69" t="n"/>
      <c r="R146" s="68" t="n"/>
      <c r="S146" s="68" t="n"/>
      <c r="T146" s="68" t="n"/>
      <c r="U146" s="68" t="n"/>
    </row>
    <row r="147" ht="60" customHeight="1" s="23">
      <c r="A147" s="65" t="inlineStr">
        <is>
          <t>A27-145</t>
        </is>
      </c>
      <c r="B147" s="66" t="inlineStr">
        <is>
          <t>AC27.58</t>
        </is>
      </c>
      <c r="C147" s="65" t="inlineStr">
        <is>
          <t>Implementar la gestión energética institucional exigida por la ley, desde la línea base y la auditoría hasta el PGEE, la política y el reporte a la UPME</t>
        </is>
      </c>
      <c r="D147" s="65" t="inlineStr">
        <is>
          <t>6.1.1.2</t>
        </is>
      </c>
      <c r="E147" s="67" t="inlineStr">
        <is>
          <t>Cuidado por el bienestar y la vida</t>
        </is>
      </c>
      <c r="F147" s="67" t="inlineStr">
        <is>
          <t>Consolidar las condiciones en infraestructura, dotación, recurso humano y estrategias para el bienestar integral de toda la comunidad en la Institución.</t>
        </is>
      </c>
      <c r="G147" s="65" t="inlineStr">
        <is>
          <t>Energía (3/8): validar la línea base de consumo con la carga previa a la obra, en kWh y no en costo (Res. UPME 000016 de 2024)</t>
        </is>
      </c>
      <c r="H147" s="65" t="inlineStr">
        <is>
          <t>Línea base validada</t>
        </is>
      </c>
      <c r="I147" s="67" t="inlineStr">
        <is>
          <t>Recursos Físicos e Infraestructura</t>
        </is>
      </c>
      <c r="J147" s="67" t="inlineStr">
        <is>
          <t>130, Vicerrectoría Administrativa y Financiera</t>
        </is>
      </c>
      <c r="K147" s="65" t="inlineStr">
        <is>
          <t>Compromiso CP-071</t>
        </is>
      </c>
      <c r="L147" s="65" t="n"/>
      <c r="M147" s="65" t="inlineStr">
        <is>
          <t>Cambio en la calidad de vida comparado con generaciones anteriores atribuible a la intervención institucional.</t>
        </is>
      </c>
      <c r="N147" s="65" t="inlineStr">
        <is>
          <t>Valor Público</t>
        </is>
      </c>
      <c r="O147" s="68" t="n"/>
      <c r="P147" s="69" t="n"/>
      <c r="Q147" s="69" t="n"/>
      <c r="R147" s="68" t="n"/>
      <c r="S147" s="68" t="n"/>
      <c r="T147" s="68" t="n"/>
      <c r="U147" s="68" t="n"/>
    </row>
    <row r="148" ht="60" customHeight="1" s="23">
      <c r="A148" s="65" t="inlineStr">
        <is>
          <t>A27-146</t>
        </is>
      </c>
      <c r="B148" s="66" t="inlineStr">
        <is>
          <t>AC27.58</t>
        </is>
      </c>
      <c r="C148" s="65" t="inlineStr">
        <is>
          <t>Implementar la gestión energética institucional exigida por la ley, desde la línea base y la auditoría hasta el PGEE, la política y el reporte a la UPME</t>
        </is>
      </c>
      <c r="D148" s="65" t="inlineStr">
        <is>
          <t>6.1.1.2</t>
        </is>
      </c>
      <c r="E148" s="67" t="inlineStr">
        <is>
          <t>Cuidado por el bienestar y la vida</t>
        </is>
      </c>
      <c r="F148" s="67" t="inlineStr">
        <is>
          <t>Consolidar las condiciones en infraestructura, dotación, recurso humano y estrategias para el bienestar integral de toda la comunidad en la Institución.</t>
        </is>
      </c>
      <c r="G148" s="65" t="inlineStr">
        <is>
          <t>Energía (4/8): contratar la auditoría energética integral de la sede Centro como consultoría con interventoría (solo sedes propias: el Tintal, en comodato, queda fuera)</t>
        </is>
      </c>
      <c r="H148" s="65" t="inlineStr">
        <is>
          <t>Contratos de consultoría e interventoría</t>
        </is>
      </c>
      <c r="I148" s="67" t="inlineStr">
        <is>
          <t>Gestión Ambiental</t>
        </is>
      </c>
      <c r="J148" s="67" t="inlineStr">
        <is>
          <t>101, Oficina Asesora de Planeación y Desarrollo Institucional</t>
        </is>
      </c>
      <c r="K148" s="65" t="inlineStr">
        <is>
          <t>Compromiso CP-070</t>
        </is>
      </c>
      <c r="L148" s="65" t="inlineStr">
        <is>
          <t>Sugerida por la OAP: 220 consultoría + 30 interventoría</t>
        </is>
      </c>
      <c r="M148" s="65" t="inlineStr">
        <is>
          <t>Cambio en la calidad de vida comparado con generaciones anteriores atribuible a la intervención institucional.</t>
        </is>
      </c>
      <c r="N148" s="65" t="inlineStr">
        <is>
          <t>Valor Público</t>
        </is>
      </c>
      <c r="O148" s="68" t="n"/>
      <c r="P148" s="69" t="n"/>
      <c r="Q148" s="69" t="n"/>
      <c r="R148" s="68" t="n"/>
      <c r="S148" s="68" t="n"/>
      <c r="T148" s="68" t="n"/>
      <c r="U148" s="68" t="n"/>
    </row>
    <row r="149" ht="60" customHeight="1" s="23">
      <c r="A149" s="65" t="inlineStr">
        <is>
          <t>A27-147</t>
        </is>
      </c>
      <c r="B149" s="66" t="inlineStr">
        <is>
          <t>AC27.58</t>
        </is>
      </c>
      <c r="C149" s="65" t="inlineStr">
        <is>
          <t>Implementar la gestión energética institucional exigida por la ley, desde la línea base y la auditoría hasta el PGEE, la política y el reporte a la UPME</t>
        </is>
      </c>
      <c r="D149" s="65" t="inlineStr">
        <is>
          <t>6.1.1.2</t>
        </is>
      </c>
      <c r="E149" s="67" t="inlineStr">
        <is>
          <t>Cuidado por el bienestar y la vida</t>
        </is>
      </c>
      <c r="F149" s="67" t="inlineStr">
        <is>
          <t>Consolidar las condiciones en infraestructura, dotación, recurso humano y estrategias para el bienestar integral de toda la comunidad en la Institución.</t>
        </is>
      </c>
      <c r="G149" s="65" t="inlineStr">
        <is>
          <t>Energía (5/8): formular y adoptar en el CIGD el PGEE y la Política de Gestión Energética, con objetivos de ahorro hacia el 15%</t>
        </is>
      </c>
      <c r="H149" s="65" t="inlineStr">
        <is>
          <t>PGEE y política adoptados</t>
        </is>
      </c>
      <c r="I149" s="67" t="inlineStr">
        <is>
          <t>Gestión Ambiental</t>
        </is>
      </c>
      <c r="J149" s="67" t="inlineStr">
        <is>
          <t>101, Oficina Asesora de Planeación y Desarrollo Institucional</t>
        </is>
      </c>
      <c r="K149" s="65" t="inlineStr">
        <is>
          <t>Compromiso CP-070</t>
        </is>
      </c>
      <c r="L149" s="65" t="n"/>
      <c r="M149" s="65" t="inlineStr">
        <is>
          <t>Cambio en la calidad de vida comparado con generaciones anteriores atribuible a la intervención institucional.</t>
        </is>
      </c>
      <c r="N149" s="65" t="inlineStr">
        <is>
          <t>Valor Público</t>
        </is>
      </c>
      <c r="O149" s="68" t="n"/>
      <c r="P149" s="69" t="n"/>
      <c r="Q149" s="69" t="n"/>
      <c r="R149" s="68" t="n"/>
      <c r="S149" s="68" t="n"/>
      <c r="T149" s="68" t="n"/>
      <c r="U149" s="68" t="n"/>
    </row>
    <row r="150" ht="60" customHeight="1" s="23">
      <c r="A150" s="65" t="inlineStr">
        <is>
          <t>A27-148</t>
        </is>
      </c>
      <c r="B150" s="66" t="inlineStr">
        <is>
          <t>AC27.59</t>
        </is>
      </c>
      <c r="C150" s="65" t="inlineStr">
        <is>
          <t>Reducir el consumo de energía y agua con medidas de bajo costo, la planta solar en operación y un Sistema de Gestión Ambiental activo</t>
        </is>
      </c>
      <c r="D150" s="65" t="inlineStr">
        <is>
          <t>6.1.1.2</t>
        </is>
      </c>
      <c r="E150" s="67" t="inlineStr">
        <is>
          <t>Cuidado por el bienestar y la vida</t>
        </is>
      </c>
      <c r="F150" s="67" t="inlineStr">
        <is>
          <t>Consolidar las condiciones en infraestructura, dotación, recurso humano y estrategias para el bienestar integral de toda la comunidad en la Institución.</t>
        </is>
      </c>
      <c r="G150" s="65" t="inlineStr">
        <is>
          <t>Energía (6/8): rehabilitar la planta solar fotovoltaica de la sede Centro (talleres de fundición) y su medición, para que la Escuela controle y registre la energía que genera</t>
        </is>
      </c>
      <c r="H150" s="65" t="inlineStr">
        <is>
          <t>Planta operando con medición</t>
        </is>
      </c>
      <c r="I150" s="67" t="inlineStr">
        <is>
          <t>Recursos Físicos e Infraestructura</t>
        </is>
      </c>
      <c r="J150" s="67" t="inlineStr">
        <is>
          <t>130, Vicerrectoría Administrativa y Financiera</t>
        </is>
      </c>
      <c r="K150" s="65" t="inlineStr">
        <is>
          <t>Producto huérfano 2026 (Id 280-282)</t>
        </is>
      </c>
      <c r="L150" s="65" t="inlineStr">
        <is>
          <t>Sugerida por la OAP: 60</t>
        </is>
      </c>
      <c r="M150" s="65" t="inlineStr">
        <is>
          <t>Cambio en la calidad de vida comparado con generaciones anteriores atribuible a la intervención institucional.</t>
        </is>
      </c>
      <c r="N150" s="65" t="inlineStr">
        <is>
          <t>Valor Público</t>
        </is>
      </c>
      <c r="O150" s="68" t="n"/>
      <c r="P150" s="69" t="n"/>
      <c r="Q150" s="69" t="n"/>
      <c r="R150" s="68" t="n"/>
      <c r="S150" s="68" t="n"/>
      <c r="T150" s="68" t="n"/>
      <c r="U150" s="68" t="n"/>
    </row>
    <row r="151" ht="60" customHeight="1" s="23">
      <c r="A151" s="65" t="inlineStr">
        <is>
          <t>A27-149</t>
        </is>
      </c>
      <c r="B151" s="66" t="inlineStr">
        <is>
          <t>AC27.59</t>
        </is>
      </c>
      <c r="C151" s="65" t="inlineStr">
        <is>
          <t>Reducir el consumo de energía y agua con medidas de bajo costo, la planta solar en operación y un Sistema de Gestión Ambiental activo</t>
        </is>
      </c>
      <c r="D151" s="65" t="inlineStr">
        <is>
          <t>6.1.1.2</t>
        </is>
      </c>
      <c r="E151" s="67" t="inlineStr">
        <is>
          <t>Cuidado por el bienestar y la vida</t>
        </is>
      </c>
      <c r="F151" s="67" t="inlineStr">
        <is>
          <t>Consolidar las condiciones en infraestructura, dotación, recurso humano y estrategias para el bienestar integral de toda la comunidad en la Institución.</t>
        </is>
      </c>
      <c r="G151" s="65" t="inlineStr">
        <is>
          <t>Energía (7/8): implementar medidas de bajo costo (sensores de ocupación, apagado programado, iluminación LED, submedición eléctrica por bloque) y completar la medición sectorizada de agua</t>
        </is>
      </c>
      <c r="H151" s="65" t="inlineStr">
        <is>
          <t>Medidas instaladas y ahorro verificado por el gestor</t>
        </is>
      </c>
      <c r="I151" s="67" t="inlineStr">
        <is>
          <t>Recursos Físicos e Infraestructura</t>
        </is>
      </c>
      <c r="J151" s="67" t="inlineStr">
        <is>
          <t>130, Vicerrectoría Administrativa y Financiera</t>
        </is>
      </c>
      <c r="K151" s="65" t="inlineStr">
        <is>
          <t>Propuesta OAP; continúa la acción 2026 de medidores de agua</t>
        </is>
      </c>
      <c r="L151" s="65" t="inlineStr">
        <is>
          <t>Sugerida por la OAP: 80</t>
        </is>
      </c>
      <c r="M151" s="65" t="inlineStr">
        <is>
          <t>Cambio en la calidad de vida comparado con generaciones anteriores atribuible a la intervención institucional.</t>
        </is>
      </c>
      <c r="N151" s="65" t="inlineStr">
        <is>
          <t>Valor Público</t>
        </is>
      </c>
      <c r="O151" s="68" t="n"/>
      <c r="P151" s="69" t="n"/>
      <c r="Q151" s="69" t="n"/>
      <c r="R151" s="68" t="n"/>
      <c r="S151" s="68" t="n"/>
      <c r="T151" s="68" t="n"/>
      <c r="U151" s="68" t="n"/>
    </row>
    <row r="152" ht="60" customHeight="1" s="23">
      <c r="A152" s="65" t="inlineStr">
        <is>
          <t>A27-150</t>
        </is>
      </c>
      <c r="B152" s="66" t="inlineStr">
        <is>
          <t>AC27.58</t>
        </is>
      </c>
      <c r="C152" s="65" t="inlineStr">
        <is>
          <t>Implementar la gestión energética institucional exigida por la ley, desde la línea base y la auditoría hasta el PGEE, la política y el reporte a la UPME</t>
        </is>
      </c>
      <c r="D152" s="65" t="inlineStr">
        <is>
          <t>6.1.1.2</t>
        </is>
      </c>
      <c r="E152" s="67" t="inlineStr">
        <is>
          <t>Cuidado por el bienestar y la vida</t>
        </is>
      </c>
      <c r="F152" s="67" t="inlineStr">
        <is>
          <t>Consolidar las condiciones en infraestructura, dotación, recurso humano y estrategias para el bienestar integral de toda la comunidad en la Institución.</t>
        </is>
      </c>
      <c r="G152" s="65" t="inlineStr">
        <is>
          <t>Energía (8/8): reportar los resultados anuales a la UPME en el Sistema Único de Usuarios (Circular UPME 000089 de 2025)</t>
        </is>
      </c>
      <c r="H152" s="65" t="inlineStr">
        <is>
          <t>Reporte radicado en el SUU</t>
        </is>
      </c>
      <c r="I152" s="67" t="inlineStr">
        <is>
          <t>Gestión Ambiental</t>
        </is>
      </c>
      <c r="J152" s="67" t="inlineStr">
        <is>
          <t>101, Oficina Asesora de Planeación y Desarrollo Institucional</t>
        </is>
      </c>
      <c r="K152" s="65" t="inlineStr">
        <is>
          <t>Compromiso CP-074</t>
        </is>
      </c>
      <c r="L152" s="65" t="n"/>
      <c r="M152" s="65" t="inlineStr">
        <is>
          <t>Cambio en la calidad de vida comparado con generaciones anteriores atribuible a la intervención institucional.</t>
        </is>
      </c>
      <c r="N152" s="65" t="inlineStr">
        <is>
          <t>Valor Público</t>
        </is>
      </c>
      <c r="O152" s="68" t="n"/>
      <c r="P152" s="69" t="n"/>
      <c r="Q152" s="69" t="n"/>
      <c r="R152" s="68" t="n"/>
      <c r="S152" s="68" t="n"/>
      <c r="T152" s="68" t="n"/>
      <c r="U152" s="68" t="n"/>
    </row>
    <row r="153" ht="60" customHeight="1" s="23">
      <c r="A153" s="65" t="inlineStr">
        <is>
          <t>A27-151</t>
        </is>
      </c>
      <c r="B153" s="66" t="inlineStr">
        <is>
          <t>AC27.59</t>
        </is>
      </c>
      <c r="C153" s="65" t="inlineStr">
        <is>
          <t>Reducir el consumo de energía y agua con medidas de bajo costo, la planta solar en operación y un Sistema de Gestión Ambiental activo</t>
        </is>
      </c>
      <c r="D153" s="65" t="inlineStr">
        <is>
          <t>6.1.1.2</t>
        </is>
      </c>
      <c r="E153" s="67" t="inlineStr">
        <is>
          <t>Cuidado por el bienestar y la vida</t>
        </is>
      </c>
      <c r="F153" s="67" t="inlineStr">
        <is>
          <t>Consolidar las condiciones en infraestructura, dotación, recurso humano y estrategias para el bienestar integral de toda la comunidad en la Institución.</t>
        </is>
      </c>
      <c r="G153" s="65" t="inlineStr">
        <is>
          <t>Operar el Sistema de Gestión Ambiental: residuos peligrosos, vertimientos y saneamiento</t>
        </is>
      </c>
      <c r="H153" s="65" t="inlineStr">
        <is>
          <t>Informes de gestión y cumplimiento normativo ambiental</t>
        </is>
      </c>
      <c r="I153" s="67" t="inlineStr">
        <is>
          <t>Gestión Ambiental</t>
        </is>
      </c>
      <c r="J153" s="67" t="inlineStr">
        <is>
          <t>101, Oficina Asesora de Planeación y Desarrollo Institucional</t>
        </is>
      </c>
      <c r="K153" s="65" t="inlineStr">
        <is>
          <t>Acción 2026 registrada en 4.2.1.2</t>
        </is>
      </c>
      <c r="L153" s="65" t="n"/>
      <c r="M153" s="65" t="inlineStr">
        <is>
          <t>Cambio en la calidad de vida comparado con generaciones anteriores atribuible a la intervención institucional.</t>
        </is>
      </c>
      <c r="N153" s="65" t="inlineStr">
        <is>
          <t>Valor Público</t>
        </is>
      </c>
      <c r="O153" s="68" t="n"/>
      <c r="P153" s="69" t="n"/>
      <c r="Q153" s="69" t="n"/>
      <c r="R153" s="68" t="n"/>
      <c r="S153" s="68" t="n"/>
      <c r="T153" s="68" t="n"/>
      <c r="U153" s="68" t="n"/>
    </row>
    <row r="154" ht="46.5" customHeight="1" s="23">
      <c r="A154" s="65" t="inlineStr">
        <is>
          <t>A27-152</t>
        </is>
      </c>
      <c r="B154" s="66" t="inlineStr">
        <is>
          <t>AC27.60</t>
        </is>
      </c>
      <c r="C154" s="65" t="inlineStr">
        <is>
          <t>Cumplir el Plan Institucional de Bienestar Integral con metas anuales, tablero de seguimiento y medición de su impacto</t>
        </is>
      </c>
      <c r="D154" s="65" t="inlineStr">
        <is>
          <t>6.2.1.1</t>
        </is>
      </c>
      <c r="E154" s="67" t="inlineStr">
        <is>
          <t>Cuidado por el bienestar y la vida</t>
        </is>
      </c>
      <c r="F154" s="67" t="inlineStr">
        <is>
          <t>Lograr el cumplimiento del 100% del Plan Institucional de Bienestar Integral 2026 a 2032.</t>
        </is>
      </c>
      <c r="G154" s="65" t="inlineStr">
        <is>
          <t>Fijar las metas anuales 2027 del Plan Institucional de Bienestar Integral y su tablero de seguimiento</t>
        </is>
      </c>
      <c r="H154" s="65" t="inlineStr">
        <is>
          <t>Plan con metas 2027 y tablero</t>
        </is>
      </c>
      <c r="I154" s="67" t="inlineStr">
        <is>
          <t>GIT Bienestar Universitario</t>
        </is>
      </c>
      <c r="J154" s="67" t="inlineStr">
        <is>
          <t>122, GIT Bienestar Universitario</t>
        </is>
      </c>
      <c r="K154" s="65" t="inlineStr">
        <is>
          <t>Propuesta OAP</t>
        </is>
      </c>
      <c r="L154" s="65" t="n"/>
      <c r="M154" s="65" t="inlineStr">
        <is>
          <t>Reducción en la tasa de deserción atribuible a la intervención.</t>
        </is>
      </c>
      <c r="N154" s="65" t="inlineStr">
        <is>
          <t>Académica</t>
        </is>
      </c>
      <c r="O154" s="68" t="n"/>
      <c r="P154" s="69" t="n"/>
      <c r="Q154" s="69" t="n"/>
      <c r="R154" s="68" t="n"/>
      <c r="S154" s="68" t="n"/>
      <c r="T154" s="68" t="n"/>
      <c r="U154" s="68" t="n"/>
    </row>
    <row r="155" ht="46.5" customHeight="1" s="23">
      <c r="A155" s="65" t="inlineStr">
        <is>
          <t>A27-153</t>
        </is>
      </c>
      <c r="B155" s="66" t="inlineStr">
        <is>
          <t>AC27.61</t>
        </is>
      </c>
      <c r="C155" s="65" t="inlineStr">
        <is>
          <t>Proteger la permanencia y la vida de la comunidad con un programa de permanencia y ambientes seguros en todas las sedes</t>
        </is>
      </c>
      <c r="D155" s="65" t="inlineStr">
        <is>
          <t>6.2.1.1</t>
        </is>
      </c>
      <c r="E155" s="67" t="inlineStr">
        <is>
          <t>Cuidado por el bienestar y la vida</t>
        </is>
      </c>
      <c r="F155" s="67" t="inlineStr">
        <is>
          <t>Lograr el cumplimiento del 100% del Plan Institucional de Bienestar Integral 2026 a 2032.</t>
        </is>
      </c>
      <c r="G155" s="65" t="inlineStr">
        <is>
          <t>Implementar el programa de permanencia basado en las causas de cancelación</t>
        </is>
      </c>
      <c r="H155" s="65" t="inlineStr">
        <is>
          <t>Programa adoptado e indicadores</t>
        </is>
      </c>
      <c r="I155" s="67" t="inlineStr">
        <is>
          <t>GIT Bienestar Universitario</t>
        </is>
      </c>
      <c r="J155" s="67" t="inlineStr">
        <is>
          <t>122, GIT Bienestar Universitario</t>
        </is>
      </c>
      <c r="K155" s="65" t="inlineStr">
        <is>
          <t>Compromiso CP-043</t>
        </is>
      </c>
      <c r="L155" s="65" t="n"/>
      <c r="M155" s="65" t="inlineStr">
        <is>
          <t>Reducción en la tasa de deserción atribuible a la intervención.</t>
        </is>
      </c>
      <c r="N155" s="65" t="inlineStr">
        <is>
          <t>Académica</t>
        </is>
      </c>
      <c r="O155" s="68" t="n"/>
      <c r="P155" s="69" t="n"/>
      <c r="Q155" s="69" t="n"/>
      <c r="R155" s="68" t="n"/>
      <c r="S155" s="68" t="n"/>
      <c r="T155" s="68" t="n"/>
      <c r="U155" s="68" t="n"/>
    </row>
    <row r="156" ht="46.5" customHeight="1" s="23">
      <c r="A156" s="65" t="inlineStr">
        <is>
          <t>A27-154</t>
        </is>
      </c>
      <c r="B156" s="66" t="inlineStr">
        <is>
          <t>AC27.61</t>
        </is>
      </c>
      <c r="C156" s="65" t="inlineStr">
        <is>
          <t>Proteger la permanencia y la vida de la comunidad con un programa de permanencia y ambientes seguros en todas las sedes</t>
        </is>
      </c>
      <c r="D156" s="65" t="inlineStr">
        <is>
          <t>6.2.1.1</t>
        </is>
      </c>
      <c r="E156" s="67" t="inlineStr">
        <is>
          <t>Cuidado por el bienestar y la vida</t>
        </is>
      </c>
      <c r="F156" s="67" t="inlineStr">
        <is>
          <t>Lograr el cumplimiento del 100% del Plan Institucional de Bienestar Integral 2026 a 2032.</t>
        </is>
      </c>
      <c r="G156" s="65" t="inlineStr">
        <is>
          <t>Ejecutar el SG-SST y el plan de emergencias en todas las sedes (ambientes seguros)</t>
        </is>
      </c>
      <c r="H156" s="65" t="inlineStr">
        <is>
          <t>Plan ejecutado y simulacro por sede</t>
        </is>
      </c>
      <c r="I156" s="67" t="inlineStr">
        <is>
          <t>Seguridad y Salud en el Trabajo</t>
        </is>
      </c>
      <c r="J156" s="67" t="inlineStr">
        <is>
          <t>133, GIT Gestión de Talento Humano</t>
        </is>
      </c>
      <c r="K156" s="65" t="inlineStr">
        <is>
          <t>Propuesta OAP</t>
        </is>
      </c>
      <c r="L156" s="65" t="n"/>
      <c r="M156" s="65" t="inlineStr">
        <is>
          <t>Reducción en la tasa de deserción atribuible a la intervención.</t>
        </is>
      </c>
      <c r="N156" s="65" t="inlineStr">
        <is>
          <t>Académica</t>
        </is>
      </c>
      <c r="O156" s="68" t="n"/>
      <c r="P156" s="69" t="n"/>
      <c r="Q156" s="69" t="n"/>
      <c r="R156" s="68" t="n"/>
      <c r="S156" s="68" t="n"/>
      <c r="T156" s="68" t="n"/>
      <c r="U156" s="68" t="n"/>
    </row>
    <row r="157" ht="46.5" customHeight="1" s="23">
      <c r="A157" s="65" t="inlineStr">
        <is>
          <t>A27-155</t>
        </is>
      </c>
      <c r="B157" s="66" t="inlineStr">
        <is>
          <t>AC27.60</t>
        </is>
      </c>
      <c r="C157" s="65" t="inlineStr">
        <is>
          <t>Cumplir el Plan Institucional de Bienestar Integral con metas anuales, tablero de seguimiento y medición de su impacto</t>
        </is>
      </c>
      <c r="D157" s="65" t="inlineStr">
        <is>
          <t>6.2.1.1</t>
        </is>
      </c>
      <c r="E157" s="67" t="inlineStr">
        <is>
          <t>Cuidado por el bienestar y la vida</t>
        </is>
      </c>
      <c r="F157" s="67" t="inlineStr">
        <is>
          <t>Lograr el cumplimiento del 100% del Plan Institucional de Bienestar Integral 2026 a 2032.</t>
        </is>
      </c>
      <c r="G157" s="65" t="inlineStr">
        <is>
          <t>Iniciar el estudio de impacto de servicios de bienestar y políticas académicas</t>
        </is>
      </c>
      <c r="H157" s="65" t="inlineStr">
        <is>
          <t>Diseño del estudio</t>
        </is>
      </c>
      <c r="I157" s="67" t="inlineStr">
        <is>
          <t>GIT Bienestar Universitario</t>
        </is>
      </c>
      <c r="J157" s="67" t="inlineStr">
        <is>
          <t>122, GIT Bienestar Universitario</t>
        </is>
      </c>
      <c r="K157" s="65" t="inlineStr">
        <is>
          <t>Compromiso CP-067</t>
        </is>
      </c>
      <c r="L157" s="65" t="n"/>
      <c r="M157" s="65" t="inlineStr">
        <is>
          <t>Reducción en la tasa de deserción atribuible a la intervención.</t>
        </is>
      </c>
      <c r="N157" s="65" t="inlineStr">
        <is>
          <t>Académica</t>
        </is>
      </c>
      <c r="O157" s="68" t="n"/>
      <c r="P157" s="69" t="n"/>
      <c r="Q157" s="69" t="n"/>
      <c r="R157" s="68" t="n"/>
      <c r="S157" s="68" t="n"/>
      <c r="T157" s="68" t="n"/>
      <c r="U157" s="68" t="n"/>
    </row>
    <row r="158" ht="60" customHeight="1" s="23">
      <c r="A158" s="65" t="inlineStr">
        <is>
          <t>A27-156</t>
        </is>
      </c>
      <c r="B158" s="66" t="inlineStr">
        <is>
          <t>AC27.62</t>
        </is>
      </c>
      <c r="C158" s="65" t="inlineStr">
        <is>
          <t>Ingresar a los sistemas de clasificación de THE y QS con un diagnóstico de requisitos, una matriz de brechas y el primer reporte institucional</t>
        </is>
      </c>
      <c r="D158" s="65" t="inlineStr">
        <is>
          <t>6.3.1.1</t>
        </is>
      </c>
      <c r="E158" s="67" t="inlineStr">
        <is>
          <t>Cuidado por el bienestar y la vida</t>
        </is>
      </c>
      <c r="F158" s="67" t="inlineStr">
        <is>
          <t>Estar en el ranking de las cinco universidades colombianas reconocidas por Times Higher Education y QS World University.</t>
        </is>
      </c>
      <c r="G158" s="65" t="inlineStr">
        <is>
          <t>Revisar los requisitos de elegibilidad de THE y QS</t>
        </is>
      </c>
      <c r="H158" s="65" t="inlineStr">
        <is>
          <t>Documento de requisitos</t>
        </is>
      </c>
      <c r="I158" s="67" t="inlineStr">
        <is>
          <t>Planeación y Plan de Acción</t>
        </is>
      </c>
      <c r="J158" s="67" t="inlineStr">
        <is>
          <t>101, Oficina Asesora de Planeación y Desarrollo Institucional</t>
        </is>
      </c>
      <c r="K158" s="65" t="inlineStr">
        <is>
          <t>Propuesta OAP</t>
        </is>
      </c>
      <c r="L158" s="65" t="n"/>
      <c r="M158" s="65" t="inlineStr">
        <is>
          <t>Porcentaje de actores que evidencian cambios significativos en sus valores y actitudes como consecuencia de las intervenciones institucionales.</t>
        </is>
      </c>
      <c r="N158" s="65" t="inlineStr">
        <is>
          <t>Valor Público</t>
        </is>
      </c>
      <c r="O158" s="68" t="n"/>
      <c r="P158" s="69" t="n"/>
      <c r="Q158" s="69" t="n"/>
      <c r="R158" s="68" t="n"/>
      <c r="S158" s="68" t="n"/>
      <c r="T158" s="68" t="n"/>
      <c r="U158" s="68" t="n"/>
    </row>
    <row r="159" ht="60" customHeight="1" s="23">
      <c r="A159" s="65" t="inlineStr">
        <is>
          <t>A27-157</t>
        </is>
      </c>
      <c r="B159" s="66" t="inlineStr">
        <is>
          <t>AC27.62</t>
        </is>
      </c>
      <c r="C159" s="65" t="inlineStr">
        <is>
          <t>Ingresar a los sistemas de clasificación de THE y QS con un diagnóstico de requisitos, una matriz de brechas y el primer reporte institucional</t>
        </is>
      </c>
      <c r="D159" s="65" t="inlineStr">
        <is>
          <t>6.3.1.1</t>
        </is>
      </c>
      <c r="E159" s="67" t="inlineStr">
        <is>
          <t>Cuidado por el bienestar y la vida</t>
        </is>
      </c>
      <c r="F159" s="67" t="inlineStr">
        <is>
          <t>Estar en el ranking de las cinco universidades colombianas reconocidas por Times Higher Education y QS World University.</t>
        </is>
      </c>
      <c r="G159" s="65" t="inlineStr">
        <is>
          <t>Construir la matriz de indicadores que piden THE y QS (docencia, investigación, internacionalización) y su brecha</t>
        </is>
      </c>
      <c r="H159" s="65" t="inlineStr">
        <is>
          <t>Matriz con brechas</t>
        </is>
      </c>
      <c r="I159" s="67" t="inlineStr">
        <is>
          <t>Planeación y Plan de Acción</t>
        </is>
      </c>
      <c r="J159" s="67" t="inlineStr">
        <is>
          <t>101, Oficina Asesora de Planeación y Desarrollo Institucional</t>
        </is>
      </c>
      <c r="K159" s="65" t="inlineStr">
        <is>
          <t>Propuesta OAP</t>
        </is>
      </c>
      <c r="L159" s="65" t="n"/>
      <c r="M159" s="65" t="inlineStr">
        <is>
          <t>Porcentaje de actores que evidencian cambios significativos en sus valores y actitudes como consecuencia de las intervenciones institucionales.</t>
        </is>
      </c>
      <c r="N159" s="65" t="inlineStr">
        <is>
          <t>Valor Público</t>
        </is>
      </c>
      <c r="O159" s="68" t="n"/>
      <c r="P159" s="69" t="n"/>
      <c r="Q159" s="69" t="n"/>
      <c r="R159" s="68" t="n"/>
      <c r="S159" s="68" t="n"/>
      <c r="T159" s="68" t="n"/>
      <c r="U159" s="68" t="n"/>
    </row>
    <row r="160" ht="60" customHeight="1" s="23">
      <c r="A160" s="65" t="inlineStr">
        <is>
          <t>A27-158</t>
        </is>
      </c>
      <c r="B160" s="66" t="inlineStr">
        <is>
          <t>AC27.62</t>
        </is>
      </c>
      <c r="C160" s="65" t="inlineStr">
        <is>
          <t>Ingresar a los sistemas de clasificación de THE y QS con un diagnóstico de requisitos, una matriz de brechas y el primer reporte institucional</t>
        </is>
      </c>
      <c r="D160" s="65" t="inlineStr">
        <is>
          <t>6.3.1.1</t>
        </is>
      </c>
      <c r="E160" s="67" t="inlineStr">
        <is>
          <t>Cuidado por el bienestar y la vida</t>
        </is>
      </c>
      <c r="F160" s="67" t="inlineStr">
        <is>
          <t>Estar en el ranking de las cinco universidades colombianas reconocidas por Times Higher Education y QS World University.</t>
        </is>
      </c>
      <c r="G160" s="65" t="inlineStr">
        <is>
          <t>Preparar y reportar la información institucional</t>
        </is>
      </c>
      <c r="H160" s="65" t="inlineStr">
        <is>
          <t>Registro y reporte enviados</t>
        </is>
      </c>
      <c r="I160" s="67" t="inlineStr">
        <is>
          <t>Planeación y Plan de Acción</t>
        </is>
      </c>
      <c r="J160" s="67" t="inlineStr">
        <is>
          <t>101, Oficina Asesora de Planeación y Desarrollo Institucional</t>
        </is>
      </c>
      <c r="K160" s="65" t="inlineStr">
        <is>
          <t>Propuesta OAP</t>
        </is>
      </c>
      <c r="L160" s="65" t="n"/>
      <c r="M160" s="65" t="inlineStr">
        <is>
          <t>Porcentaje de actores que evidencian cambios significativos en sus valores y actitudes como consecuencia de las intervenciones institucionales.</t>
        </is>
      </c>
      <c r="N160" s="65" t="inlineStr">
        <is>
          <t>Valor Público</t>
        </is>
      </c>
      <c r="O160" s="68" t="n"/>
      <c r="P160" s="69" t="n"/>
      <c r="Q160" s="69" t="n"/>
      <c r="R160" s="68" t="n"/>
      <c r="S160" s="68" t="n"/>
      <c r="T160" s="68" t="n"/>
      <c r="U160" s="68" t="n"/>
    </row>
  </sheetData>
  <sheetProtection selectLockedCells="0" selectUnlockedCells="0" sheet="1" objects="0" insertRows="1" insertHyperlinks="1" autoFilter="0" scenarios="0" formatColumns="0" deleteColumns="1" insertColumns="1" pivotTables="1" deleteRows="1" formatCells="1" formatRows="0" sort="1" password="CC6D"/>
  <dataValidations count="2">
    <dataValidation sqref="P3:Q160" showDropDown="0" showInputMessage="0" showErrorMessage="1" allowBlank="1" errorTitle="Fecha fuera de vigencia" error="Use una fecha de 2027." type="date">
      <formula1>DATE(2027,1,1)</formula1>
      <formula2>DATE(2027,12,31)</formula2>
    </dataValidation>
    <dataValidation sqref="O3:O160" showDropDown="0" showInputMessage="0" showErrorMessage="0" allowBlank="1" type="list">
      <formula1>L_VALID</formula1>
      <formula2>0</formula2>
    </dataValidation>
  </dataValidations>
  <pageMargins left="0.75" right="0.75" top="1" bottom="1" header="0.5" footer="0.5"/>
  <pageSetup orientation="portrait" paperSize="9"/>
</worksheet>
</file>

<file path=xl/worksheets/sheet5.xml><?xml version="1.0" encoding="utf-8"?>
<worksheet xmlns="http://schemas.openxmlformats.org/spreadsheetml/2006/main">
  <sheetPr>
    <tabColor rgb="00F0B545"/>
    <outlinePr summaryBelow="1" summaryRight="1"/>
    <pageSetUpPr fitToPage="0"/>
  </sheetPr>
  <dimension ref="A1:AF205"/>
  <sheetViews>
    <sheetView showGridLines="0" tabSelected="0" zoomScale="100" workbookViewId="0">
      <pane xSplit="4" ySplit="6" topLeftCell="E7" activePane="bottomRight" state="frozen"/>
      <selection pane="topRight"/>
      <selection pane="bottomLeft"/>
      <selection pane="bottomRight" activeCell="A1" sqref="A1"/>
    </sheetView>
  </sheetViews>
  <sheetFormatPr baseColWidth="8" defaultRowHeight="15"/>
  <cols>
    <col width="10" customWidth="1" style="23" min="1" max="1"/>
    <col width="9" customWidth="1" style="23" min="2" max="2"/>
    <col width="24" customWidth="1" style="23" min="3" max="3"/>
    <col width="40" customWidth="1" style="23" min="4" max="4"/>
    <col width="26" customWidth="1" style="23" min="5" max="5"/>
    <col width="18" customWidth="1" style="23" min="6" max="6"/>
    <col width="7" customWidth="1" style="23" min="8" max="8"/>
    <col width="28" customWidth="1" style="23" min="9" max="9"/>
    <col width="26" customWidth="1" style="23" min="10" max="10"/>
    <col width="22" customWidth="1" style="23" min="11" max="11"/>
    <col width="9" customWidth="1" style="23" min="12" max="12"/>
    <col width="10" customWidth="1" style="23" min="13" max="13"/>
    <col width="11" customWidth="1" style="23" min="14" max="14"/>
    <col width="34" customWidth="1" style="23" min="15" max="15"/>
    <col width="18" customWidth="1" style="23" min="16" max="16"/>
    <col width="32" customWidth="1" style="23" min="17" max="17"/>
    <col width="40" customWidth="1" style="23" min="18" max="18"/>
    <col width="30" customWidth="1" style="23" min="19" max="19"/>
    <col width="12" customWidth="1" style="23" min="20" max="20"/>
    <col width="26" customWidth="1" style="23" min="22" max="22"/>
    <col width="28" customWidth="1" style="23" min="23" max="23"/>
    <col width="12" customWidth="1" style="23" min="24" max="24"/>
    <col width="16" customWidth="1" style="23" min="26" max="26"/>
    <col width="40" customWidth="1" style="23" min="27" max="27"/>
    <col width="30" customWidth="1" style="23" min="28" max="28"/>
    <col width="14" customWidth="1" style="23" min="29" max="29"/>
    <col width="30" customWidth="1" style="23" min="30" max="30"/>
    <col width="28" customWidth="1" style="23" min="31" max="31"/>
    <col width="30" customWidth="1" style="23" min="32" max="32"/>
  </cols>
  <sheetData>
    <row r="1" ht="17.25" customHeight="1" s="23">
      <c r="A1" s="70" t="inlineStr">
        <is>
          <t>Formulación del Plan de Acción 2027 por ejes estratégicos (ejes 1 a 6)</t>
        </is>
      </c>
    </row>
    <row r="2" ht="30" customHeight="1" s="23">
      <c r="A2" s="71" t="inlineStr">
        <is>
          <t>Cada bloque de color corresponde a un eje del PDI 2025 a 2032 y cada fila a una meta asignada a un área funcional. Busque las filas de su área en la columna J y formule en las columnas amarillas una acción por fila: un resultado que se logra con varias actividades.</t>
        </is>
      </c>
    </row>
    <row r="3" ht="14.25" customHeight="1" s="23">
      <c r="A3" s="72" t="inlineStr">
        <is>
          <t>Columnas grises: base definida por la OAP (no modificar). Columnas amarillas: las diligencia el área responsable, una acción por fila. Si necesita formular más acciones para una meta, use la hoja Buscador_Formulacion.</t>
        </is>
      </c>
    </row>
    <row r="4"/>
    <row r="5" ht="15" customHeight="1" s="23">
      <c r="A5" s="73" t="inlineStr">
        <is>
          <t>BASE DEFINIDA POR LA OAP</t>
        </is>
      </c>
      <c r="Q5" s="74" t="inlineStr">
        <is>
          <t>FORMULACIÓN DEL ÁREA RESPONSABLE</t>
        </is>
      </c>
      <c r="AF5" s="75" t="inlineStr">
        <is>
          <t>CONTROL</t>
        </is>
      </c>
    </row>
    <row r="6" ht="42" customHeight="1" s="23">
      <c r="A6" s="76" t="inlineStr">
        <is>
          <t>Id asignación</t>
        </is>
      </c>
      <c r="B6" s="76" t="inlineStr">
        <is>
          <t>Código meta</t>
        </is>
      </c>
      <c r="C6" s="76" t="inlineStr">
        <is>
          <t>Línea</t>
        </is>
      </c>
      <c r="D6" s="76" t="inlineStr">
        <is>
          <t>Meta estratégica (PDI)</t>
        </is>
      </c>
      <c r="E6" s="76" t="inlineStr">
        <is>
          <t>Indicador de la meta</t>
        </is>
      </c>
      <c r="F6" s="76" t="inlineStr">
        <is>
          <t>Meta 2032</t>
        </is>
      </c>
      <c r="G6" s="76" t="inlineStr">
        <is>
          <t>Meta institucional 2027</t>
        </is>
      </c>
      <c r="H6" s="76" t="inlineStr">
        <is>
          <t>Id área</t>
        </is>
      </c>
      <c r="I6" s="76" t="inlineStr">
        <is>
          <t>Dependencia</t>
        </is>
      </c>
      <c r="J6" s="76" t="inlineStr">
        <is>
          <t>Área funcional</t>
        </is>
      </c>
      <c r="K6" s="76" t="inlineStr">
        <is>
          <t>Proceso</t>
        </is>
      </c>
      <c r="L6" s="76" t="inlineStr">
        <is>
          <t>Productos 2026 (sábana vigente)</t>
        </is>
      </c>
      <c r="M6" s="76" t="inlineStr">
        <is>
          <t>Pendientes 2026</t>
        </is>
      </c>
      <c r="N6" s="76" t="inlineStr">
        <is>
          <t>Compromisos de proyectos estructurantes</t>
        </is>
      </c>
      <c r="O6" s="76" t="inlineStr">
        <is>
          <t>Aporte esperado del área 2027</t>
        </is>
      </c>
      <c r="P6" s="76" t="inlineStr">
        <is>
          <t>Indicadores de impacto sugeridos</t>
        </is>
      </c>
      <c r="Q6" s="77" t="inlineStr">
        <is>
          <t>Nombre de la acción</t>
        </is>
      </c>
      <c r="R6" s="77" t="inlineStr">
        <is>
          <t>Descripción de la acción y actividades que la componen</t>
        </is>
      </c>
      <c r="S6" s="77" t="inlineStr">
        <is>
          <t>Producto esperado</t>
        </is>
      </c>
      <c r="T6" s="77" t="inlineStr">
        <is>
          <t>Fecha de inicio (dd y mm y aaaa)</t>
        </is>
      </c>
      <c r="U6" s="77" t="inlineStr">
        <is>
          <t>Fecha de fin (dd y mm y aaaa)</t>
        </is>
      </c>
      <c r="V6" s="77" t="inlineStr">
        <is>
          <t>Responsable (correo institucional)</t>
        </is>
      </c>
      <c r="W6" s="77" t="inlineStr">
        <is>
          <t>Indicador de seguimiento</t>
        </is>
      </c>
      <c r="X6" s="77" t="inlineStr">
        <is>
          <t>Meta 2027 de la acción</t>
        </is>
      </c>
      <c r="Y6" s="77" t="inlineStr">
        <is>
          <t>Unidad de medida</t>
        </is>
      </c>
      <c r="Z6" s="77" t="inlineStr">
        <is>
          <t>Dimensión de impacto</t>
        </is>
      </c>
      <c r="AA6" s="77" t="inlineStr">
        <is>
          <t>Indicador de impacto (Guía Metodológica)</t>
        </is>
      </c>
      <c r="AB6" s="77" t="inlineStr">
        <is>
          <t>Categoría de impacto (automática)</t>
        </is>
      </c>
      <c r="AC6" s="77" t="inlineStr">
        <is>
          <t>¿Retoma un compromiso pendiente 2026?</t>
        </is>
      </c>
      <c r="AD6" s="77" t="inlineStr">
        <is>
          <t>Evidencia verificable</t>
        </is>
      </c>
      <c r="AE6" s="77" t="inlineStr">
        <is>
          <t>Observaciones</t>
        </is>
      </c>
      <c r="AF6" s="78" t="inlineStr">
        <is>
          <t>Alerta de consistencia</t>
        </is>
      </c>
    </row>
    <row r="7" ht="34" customHeight="1" s="23">
      <c r="A7" s="79" t="inlineStr">
        <is>
          <t>Eje estratégico 1. Formación y pedagogía de calidad. Objetivo estratégico del eje: Consolidar a la ETITC como un referente educativo de excelencia, ampliando su oferta académica y garantizando la calidad en todos sus programas mediante una actualización continua y una estrecha vinculación con el entorno.</t>
        </is>
      </c>
    </row>
    <row r="8" ht="75" customHeight="1" s="23">
      <c r="A8" s="80">
        <f>Base_OAPDI!A5</f>
        <v/>
      </c>
      <c r="B8" s="80">
        <f>Base_OAPDI!B5</f>
        <v/>
      </c>
      <c r="C8" s="80">
        <f>Base_OAPDI!D5</f>
        <v/>
      </c>
      <c r="D8" s="80">
        <f>Base_OAPDI!E5</f>
        <v/>
      </c>
      <c r="E8" s="80">
        <f>Base_OAPDI!F5</f>
        <v/>
      </c>
      <c r="F8" s="80">
        <f>Base_OAPDI!G5</f>
        <v/>
      </c>
      <c r="G8" s="80">
        <f>Base_OAPDI!H5</f>
        <v/>
      </c>
      <c r="H8" s="80">
        <f>Base_OAPDI!I5</f>
        <v/>
      </c>
      <c r="I8" s="80">
        <f>Base_OAPDI!J5</f>
        <v/>
      </c>
      <c r="J8" s="80">
        <f>Base_OAPDI!K5</f>
        <v/>
      </c>
      <c r="K8" s="80">
        <f>Base_OAPDI!L5</f>
        <v/>
      </c>
      <c r="L8" s="80">
        <f>Base_OAPDI!N5</f>
        <v/>
      </c>
      <c r="M8" s="80">
        <f>Base_OAPDI!P5</f>
        <v/>
      </c>
      <c r="N8" s="80">
        <f>Base_OAPDI!Q5</f>
        <v/>
      </c>
      <c r="O8" s="80">
        <f>Base_OAPDI!R5</f>
        <v/>
      </c>
      <c r="P8" s="80">
        <f>Base_OAPDI!S5</f>
        <v/>
      </c>
      <c r="Q8" s="81" t="n"/>
      <c r="R8" s="81" t="n"/>
      <c r="S8" s="81" t="n"/>
      <c r="T8" s="82" t="n"/>
      <c r="U8" s="82" t="n"/>
      <c r="V8" s="81" t="n"/>
      <c r="W8" s="81" t="n"/>
      <c r="X8" s="81" t="n"/>
      <c r="Y8" s="81" t="n"/>
      <c r="Z8" s="81" t="n"/>
      <c r="AA8" s="81" t="n"/>
      <c r="AB8" s="80">
        <f>IF(AA8="","",INDEX(Catalogos!$Y$5:$Y$25,MATCH(AA8,L_IMP,0)))</f>
        <v/>
      </c>
      <c r="AC8" s="81" t="n"/>
      <c r="AD8" s="81" t="n"/>
      <c r="AE8" s="81" t="n"/>
      <c r="AF8" s="83">
        <f>IF(Q8="","Pendiente por formular",IF(OR(S8="",T8="",U8="",V8="",W8="",X8="",Z8="",AA8=""),"Incompleta: faltan campos obligatorios",IF(OR(NOT(ISNUMBER(T8)),NOT(ISNUMBER(U8))),"Fecha inválida",IF(U8&lt;T8,"La fecha de fin es anterior a la de inicio",IF(OR(YEAR(T8)&lt;&gt;2027,YEAR(U8)&lt;&gt;2027),"Fechas fuera de la vigencia 2027",IF(ISERROR(SEARCH("@itc.edu.co",V8)),"El responsable no tiene correo institucional",IF(ISERROR(SEARCH(Z8,INDEX(Catalogos!$Z$5:$Z$25,MATCH(AA8,L_IMP,0)))),"La dimensión no corresponde al indicador de impacto","OK")))))))</f>
        <v/>
      </c>
    </row>
    <row r="9" ht="210" customHeight="1" s="23">
      <c r="A9" s="80">
        <f>Base_OAPDI!A6</f>
        <v/>
      </c>
      <c r="B9" s="80">
        <f>Base_OAPDI!B6</f>
        <v/>
      </c>
      <c r="C9" s="80">
        <f>Base_OAPDI!D6</f>
        <v/>
      </c>
      <c r="D9" s="80">
        <f>Base_OAPDI!E6</f>
        <v/>
      </c>
      <c r="E9" s="80">
        <f>Base_OAPDI!F6</f>
        <v/>
      </c>
      <c r="F9" s="80">
        <f>Base_OAPDI!G6</f>
        <v/>
      </c>
      <c r="G9" s="80">
        <f>Base_OAPDI!H6</f>
        <v/>
      </c>
      <c r="H9" s="80">
        <f>Base_OAPDI!I6</f>
        <v/>
      </c>
      <c r="I9" s="80">
        <f>Base_OAPDI!J6</f>
        <v/>
      </c>
      <c r="J9" s="80">
        <f>Base_OAPDI!K6</f>
        <v/>
      </c>
      <c r="K9" s="80">
        <f>Base_OAPDI!L6</f>
        <v/>
      </c>
      <c r="L9" s="80">
        <f>Base_OAPDI!N6</f>
        <v/>
      </c>
      <c r="M9" s="80">
        <f>Base_OAPDI!P6</f>
        <v/>
      </c>
      <c r="N9" s="80">
        <f>Base_OAPDI!Q6</f>
        <v/>
      </c>
      <c r="O9" s="80">
        <f>Base_OAPDI!R6</f>
        <v/>
      </c>
      <c r="P9" s="80">
        <f>Base_OAPDI!S6</f>
        <v/>
      </c>
      <c r="Q9" s="81" t="n"/>
      <c r="R9" s="81" t="n"/>
      <c r="S9" s="81" t="n"/>
      <c r="T9" s="82" t="n"/>
      <c r="U9" s="82" t="n"/>
      <c r="V9" s="81" t="n"/>
      <c r="W9" s="81" t="n"/>
      <c r="X9" s="81" t="n"/>
      <c r="Y9" s="81" t="n"/>
      <c r="Z9" s="81" t="n"/>
      <c r="AA9" s="81" t="n"/>
      <c r="AB9" s="80">
        <f>IF(AA9="","",INDEX(Catalogos!$Y$5:$Y$25,MATCH(AA9,L_IMP,0)))</f>
        <v/>
      </c>
      <c r="AC9" s="81" t="n"/>
      <c r="AD9" s="81" t="n"/>
      <c r="AE9" s="81" t="n"/>
      <c r="AF9" s="83">
        <f>IF(Q9="","Pendiente por formular",IF(OR(S9="",T9="",U9="",V9="",W9="",X9="",Z9="",AA9=""),"Incompleta: faltan campos obligatorios",IF(OR(NOT(ISNUMBER(T9)),NOT(ISNUMBER(U9))),"Fecha inválida",IF(U9&lt;T9,"La fecha de fin es anterior a la de inicio",IF(OR(YEAR(T9)&lt;&gt;2027,YEAR(U9)&lt;&gt;2027),"Fechas fuera de la vigencia 2027",IF(ISERROR(SEARCH("@itc.edu.co",V9)),"El responsable no tiene correo institucional",IF(ISERROR(SEARCH(Z9,INDEX(Catalogos!$Z$5:$Z$25,MATCH(AA9,L_IMP,0)))),"La dimensión no corresponde al indicador de impacto","OK")))))))</f>
        <v/>
      </c>
    </row>
    <row r="10" ht="120" customHeight="1" s="23">
      <c r="A10" s="80">
        <f>Base_OAPDI!A7</f>
        <v/>
      </c>
      <c r="B10" s="80">
        <f>Base_OAPDI!B7</f>
        <v/>
      </c>
      <c r="C10" s="80">
        <f>Base_OAPDI!D7</f>
        <v/>
      </c>
      <c r="D10" s="80">
        <f>Base_OAPDI!E7</f>
        <v/>
      </c>
      <c r="E10" s="80">
        <f>Base_OAPDI!F7</f>
        <v/>
      </c>
      <c r="F10" s="80">
        <f>Base_OAPDI!G7</f>
        <v/>
      </c>
      <c r="G10" s="80">
        <f>Base_OAPDI!H7</f>
        <v/>
      </c>
      <c r="H10" s="80">
        <f>Base_OAPDI!I7</f>
        <v/>
      </c>
      <c r="I10" s="80">
        <f>Base_OAPDI!J7</f>
        <v/>
      </c>
      <c r="J10" s="80">
        <f>Base_OAPDI!K7</f>
        <v/>
      </c>
      <c r="K10" s="80">
        <f>Base_OAPDI!L7</f>
        <v/>
      </c>
      <c r="L10" s="80">
        <f>Base_OAPDI!N7</f>
        <v/>
      </c>
      <c r="M10" s="80">
        <f>Base_OAPDI!P7</f>
        <v/>
      </c>
      <c r="N10" s="80">
        <f>Base_OAPDI!Q7</f>
        <v/>
      </c>
      <c r="O10" s="80">
        <f>Base_OAPDI!R7</f>
        <v/>
      </c>
      <c r="P10" s="80">
        <f>Base_OAPDI!S7</f>
        <v/>
      </c>
      <c r="Q10" s="81" t="n"/>
      <c r="R10" s="81" t="n"/>
      <c r="S10" s="81" t="n"/>
      <c r="T10" s="82" t="n"/>
      <c r="U10" s="82" t="n"/>
      <c r="V10" s="81" t="n"/>
      <c r="W10" s="81" t="n"/>
      <c r="X10" s="81" t="n"/>
      <c r="Y10" s="81" t="n"/>
      <c r="Z10" s="81" t="n"/>
      <c r="AA10" s="81" t="n"/>
      <c r="AB10" s="80">
        <f>IF(AA10="","",INDEX(Catalogos!$Y$5:$Y$25,MATCH(AA10,L_IMP,0)))</f>
        <v/>
      </c>
      <c r="AC10" s="81" t="n"/>
      <c r="AD10" s="81" t="n"/>
      <c r="AE10" s="81" t="n"/>
      <c r="AF10" s="83">
        <f>IF(Q10="","Pendiente por formular",IF(OR(S10="",T10="",U10="",V10="",W10="",X10="",Z10="",AA10=""),"Incompleta: faltan campos obligatorios",IF(OR(NOT(ISNUMBER(T10)),NOT(ISNUMBER(U10))),"Fecha inválida",IF(U10&lt;T10,"La fecha de fin es anterior a la de inicio",IF(OR(YEAR(T10)&lt;&gt;2027,YEAR(U10)&lt;&gt;2027),"Fechas fuera de la vigencia 2027",IF(ISERROR(SEARCH("@itc.edu.co",V10)),"El responsable no tiene correo institucional",IF(ISERROR(SEARCH(Z10,INDEX(Catalogos!$Z$5:$Z$25,MATCH(AA10,L_IMP,0)))),"La dimensión no corresponde al indicador de impacto","OK")))))))</f>
        <v/>
      </c>
    </row>
    <row r="11" ht="105" customHeight="1" s="23">
      <c r="A11" s="80">
        <f>Base_OAPDI!A8</f>
        <v/>
      </c>
      <c r="B11" s="80">
        <f>Base_OAPDI!B8</f>
        <v/>
      </c>
      <c r="C11" s="80">
        <f>Base_OAPDI!D8</f>
        <v/>
      </c>
      <c r="D11" s="80">
        <f>Base_OAPDI!E8</f>
        <v/>
      </c>
      <c r="E11" s="80">
        <f>Base_OAPDI!F8</f>
        <v/>
      </c>
      <c r="F11" s="80">
        <f>Base_OAPDI!G8</f>
        <v/>
      </c>
      <c r="G11" s="80">
        <f>Base_OAPDI!H8</f>
        <v/>
      </c>
      <c r="H11" s="80">
        <f>Base_OAPDI!I8</f>
        <v/>
      </c>
      <c r="I11" s="80">
        <f>Base_OAPDI!J8</f>
        <v/>
      </c>
      <c r="J11" s="80">
        <f>Base_OAPDI!K8</f>
        <v/>
      </c>
      <c r="K11" s="80">
        <f>Base_OAPDI!L8</f>
        <v/>
      </c>
      <c r="L11" s="80">
        <f>Base_OAPDI!N8</f>
        <v/>
      </c>
      <c r="M11" s="80">
        <f>Base_OAPDI!P8</f>
        <v/>
      </c>
      <c r="N11" s="80">
        <f>Base_OAPDI!Q8</f>
        <v/>
      </c>
      <c r="O11" s="80">
        <f>Base_OAPDI!R8</f>
        <v/>
      </c>
      <c r="P11" s="80">
        <f>Base_OAPDI!S8</f>
        <v/>
      </c>
      <c r="Q11" s="81" t="n"/>
      <c r="R11" s="81" t="n"/>
      <c r="S11" s="81" t="n"/>
      <c r="T11" s="82" t="n"/>
      <c r="U11" s="82" t="n"/>
      <c r="V11" s="81" t="n"/>
      <c r="W11" s="81" t="n"/>
      <c r="X11" s="81" t="n"/>
      <c r="Y11" s="81" t="n"/>
      <c r="Z11" s="81" t="n"/>
      <c r="AA11" s="81" t="n"/>
      <c r="AB11" s="80">
        <f>IF(AA11="","",INDEX(Catalogos!$Y$5:$Y$25,MATCH(AA11,L_IMP,0)))</f>
        <v/>
      </c>
      <c r="AC11" s="81" t="n"/>
      <c r="AD11" s="81" t="n"/>
      <c r="AE11" s="81" t="n"/>
      <c r="AF11" s="83">
        <f>IF(Q11="","Pendiente por formular",IF(OR(S11="",T11="",U11="",V11="",W11="",X11="",Z11="",AA11=""),"Incompleta: faltan campos obligatorios",IF(OR(NOT(ISNUMBER(T11)),NOT(ISNUMBER(U11))),"Fecha inválida",IF(U11&lt;T11,"La fecha de fin es anterior a la de inicio",IF(OR(YEAR(T11)&lt;&gt;2027,YEAR(U11)&lt;&gt;2027),"Fechas fuera de la vigencia 2027",IF(ISERROR(SEARCH("@itc.edu.co",V11)),"El responsable no tiene correo institucional",IF(ISERROR(SEARCH(Z11,INDEX(Catalogos!$Z$5:$Z$25,MATCH(AA11,L_IMP,0)))),"La dimensión no corresponde al indicador de impacto","OK")))))))</f>
        <v/>
      </c>
    </row>
    <row r="12" ht="260" customHeight="1" s="23">
      <c r="A12" s="80">
        <f>Base_OAPDI!A9</f>
        <v/>
      </c>
      <c r="B12" s="80">
        <f>Base_OAPDI!B9</f>
        <v/>
      </c>
      <c r="C12" s="80">
        <f>Base_OAPDI!D9</f>
        <v/>
      </c>
      <c r="D12" s="80">
        <f>Base_OAPDI!E9</f>
        <v/>
      </c>
      <c r="E12" s="80">
        <f>Base_OAPDI!F9</f>
        <v/>
      </c>
      <c r="F12" s="80">
        <f>Base_OAPDI!G9</f>
        <v/>
      </c>
      <c r="G12" s="80">
        <f>Base_OAPDI!H9</f>
        <v/>
      </c>
      <c r="H12" s="80">
        <f>Base_OAPDI!I9</f>
        <v/>
      </c>
      <c r="I12" s="80">
        <f>Base_OAPDI!J9</f>
        <v/>
      </c>
      <c r="J12" s="80">
        <f>Base_OAPDI!K9</f>
        <v/>
      </c>
      <c r="K12" s="80">
        <f>Base_OAPDI!L9</f>
        <v/>
      </c>
      <c r="L12" s="80">
        <f>Base_OAPDI!N9</f>
        <v/>
      </c>
      <c r="M12" s="80">
        <f>Base_OAPDI!P9</f>
        <v/>
      </c>
      <c r="N12" s="80">
        <f>Base_OAPDI!Q9</f>
        <v/>
      </c>
      <c r="O12" s="80">
        <f>Base_OAPDI!R9</f>
        <v/>
      </c>
      <c r="P12" s="80">
        <f>Base_OAPDI!S9</f>
        <v/>
      </c>
      <c r="Q12" s="81" t="n"/>
      <c r="R12" s="81" t="n"/>
      <c r="S12" s="81" t="n"/>
      <c r="T12" s="82" t="n"/>
      <c r="U12" s="82" t="n"/>
      <c r="V12" s="81" t="n"/>
      <c r="W12" s="81" t="n"/>
      <c r="X12" s="81" t="n"/>
      <c r="Y12" s="81" t="n"/>
      <c r="Z12" s="81" t="n"/>
      <c r="AA12" s="81" t="n"/>
      <c r="AB12" s="80">
        <f>IF(AA12="","",INDEX(Catalogos!$Y$5:$Y$25,MATCH(AA12,L_IMP,0)))</f>
        <v/>
      </c>
      <c r="AC12" s="81" t="n"/>
      <c r="AD12" s="81" t="n"/>
      <c r="AE12" s="81" t="n"/>
      <c r="AF12" s="83">
        <f>IF(Q12="","Pendiente por formular",IF(OR(S12="",T12="",U12="",V12="",W12="",X12="",Z12="",AA12=""),"Incompleta: faltan campos obligatorios",IF(OR(NOT(ISNUMBER(T12)),NOT(ISNUMBER(U12))),"Fecha inválida",IF(U12&lt;T12,"La fecha de fin es anterior a la de inicio",IF(OR(YEAR(T12)&lt;&gt;2027,YEAR(U12)&lt;&gt;2027),"Fechas fuera de la vigencia 2027",IF(ISERROR(SEARCH("@itc.edu.co",V12)),"El responsable no tiene correo institucional",IF(ISERROR(SEARCH(Z12,INDEX(Catalogos!$Z$5:$Z$25,MATCH(AA12,L_IMP,0)))),"La dimensión no corresponde al indicador de impacto","OK")))))))</f>
        <v/>
      </c>
    </row>
    <row r="13" ht="105" customHeight="1" s="23">
      <c r="A13" s="80">
        <f>Base_OAPDI!A10</f>
        <v/>
      </c>
      <c r="B13" s="80">
        <f>Base_OAPDI!B10</f>
        <v/>
      </c>
      <c r="C13" s="80">
        <f>Base_OAPDI!D10</f>
        <v/>
      </c>
      <c r="D13" s="80">
        <f>Base_OAPDI!E10</f>
        <v/>
      </c>
      <c r="E13" s="80">
        <f>Base_OAPDI!F10</f>
        <v/>
      </c>
      <c r="F13" s="80">
        <f>Base_OAPDI!G10</f>
        <v/>
      </c>
      <c r="G13" s="80">
        <f>Base_OAPDI!H10</f>
        <v/>
      </c>
      <c r="H13" s="80">
        <f>Base_OAPDI!I10</f>
        <v/>
      </c>
      <c r="I13" s="80">
        <f>Base_OAPDI!J10</f>
        <v/>
      </c>
      <c r="J13" s="80">
        <f>Base_OAPDI!K10</f>
        <v/>
      </c>
      <c r="K13" s="80">
        <f>Base_OAPDI!L10</f>
        <v/>
      </c>
      <c r="L13" s="80">
        <f>Base_OAPDI!N10</f>
        <v/>
      </c>
      <c r="M13" s="80">
        <f>Base_OAPDI!P10</f>
        <v/>
      </c>
      <c r="N13" s="80">
        <f>Base_OAPDI!Q10</f>
        <v/>
      </c>
      <c r="O13" s="80">
        <f>Base_OAPDI!R10</f>
        <v/>
      </c>
      <c r="P13" s="80">
        <f>Base_OAPDI!S10</f>
        <v/>
      </c>
      <c r="Q13" s="81" t="n"/>
      <c r="R13" s="81" t="n"/>
      <c r="S13" s="81" t="n"/>
      <c r="T13" s="82" t="n"/>
      <c r="U13" s="82" t="n"/>
      <c r="V13" s="81" t="n"/>
      <c r="W13" s="81" t="n"/>
      <c r="X13" s="81" t="n"/>
      <c r="Y13" s="81" t="n"/>
      <c r="Z13" s="81" t="n"/>
      <c r="AA13" s="81" t="n"/>
      <c r="AB13" s="80">
        <f>IF(AA13="","",INDEX(Catalogos!$Y$5:$Y$25,MATCH(AA13,L_IMP,0)))</f>
        <v/>
      </c>
      <c r="AC13" s="81" t="n"/>
      <c r="AD13" s="81" t="n"/>
      <c r="AE13" s="81" t="n"/>
      <c r="AF13" s="83">
        <f>IF(Q13="","Pendiente por formular",IF(OR(S13="",T13="",U13="",V13="",W13="",X13="",Z13="",AA13=""),"Incompleta: faltan campos obligatorios",IF(OR(NOT(ISNUMBER(T13)),NOT(ISNUMBER(U13))),"Fecha inválida",IF(U13&lt;T13,"La fecha de fin es anterior a la de inicio",IF(OR(YEAR(T13)&lt;&gt;2027,YEAR(U13)&lt;&gt;2027),"Fechas fuera de la vigencia 2027",IF(ISERROR(SEARCH("@itc.edu.co",V13)),"El responsable no tiene correo institucional",IF(ISERROR(SEARCH(Z13,INDEX(Catalogos!$Z$5:$Z$25,MATCH(AA13,L_IMP,0)))),"La dimensión no corresponde al indicador de impacto","OK")))))))</f>
        <v/>
      </c>
    </row>
    <row r="14" ht="105" customHeight="1" s="23">
      <c r="A14" s="80">
        <f>Base_OAPDI!A11</f>
        <v/>
      </c>
      <c r="B14" s="80">
        <f>Base_OAPDI!B11</f>
        <v/>
      </c>
      <c r="C14" s="80">
        <f>Base_OAPDI!D11</f>
        <v/>
      </c>
      <c r="D14" s="80">
        <f>Base_OAPDI!E11</f>
        <v/>
      </c>
      <c r="E14" s="80">
        <f>Base_OAPDI!F11</f>
        <v/>
      </c>
      <c r="F14" s="80">
        <f>Base_OAPDI!G11</f>
        <v/>
      </c>
      <c r="G14" s="80">
        <f>Base_OAPDI!H11</f>
        <v/>
      </c>
      <c r="H14" s="80">
        <f>Base_OAPDI!I11</f>
        <v/>
      </c>
      <c r="I14" s="80">
        <f>Base_OAPDI!J11</f>
        <v/>
      </c>
      <c r="J14" s="80">
        <f>Base_OAPDI!K11</f>
        <v/>
      </c>
      <c r="K14" s="80">
        <f>Base_OAPDI!L11</f>
        <v/>
      </c>
      <c r="L14" s="80">
        <f>Base_OAPDI!N11</f>
        <v/>
      </c>
      <c r="M14" s="80">
        <f>Base_OAPDI!P11</f>
        <v/>
      </c>
      <c r="N14" s="80">
        <f>Base_OAPDI!Q11</f>
        <v/>
      </c>
      <c r="O14" s="80">
        <f>Base_OAPDI!R11</f>
        <v/>
      </c>
      <c r="P14" s="80">
        <f>Base_OAPDI!S11</f>
        <v/>
      </c>
      <c r="Q14" s="81" t="n"/>
      <c r="R14" s="81" t="n"/>
      <c r="S14" s="81" t="n"/>
      <c r="T14" s="82" t="n"/>
      <c r="U14" s="82" t="n"/>
      <c r="V14" s="81" t="n"/>
      <c r="W14" s="81" t="n"/>
      <c r="X14" s="81" t="n"/>
      <c r="Y14" s="81" t="n"/>
      <c r="Z14" s="81" t="n"/>
      <c r="AA14" s="81" t="n"/>
      <c r="AB14" s="80">
        <f>IF(AA14="","",INDEX(Catalogos!$Y$5:$Y$25,MATCH(AA14,L_IMP,0)))</f>
        <v/>
      </c>
      <c r="AC14" s="81" t="n"/>
      <c r="AD14" s="81" t="n"/>
      <c r="AE14" s="81" t="n"/>
      <c r="AF14" s="83">
        <f>IF(Q14="","Pendiente por formular",IF(OR(S14="",T14="",U14="",V14="",W14="",X14="",Z14="",AA14=""),"Incompleta: faltan campos obligatorios",IF(OR(NOT(ISNUMBER(T14)),NOT(ISNUMBER(U14))),"Fecha inválida",IF(U14&lt;T14,"La fecha de fin es anterior a la de inicio",IF(OR(YEAR(T14)&lt;&gt;2027,YEAR(U14)&lt;&gt;2027),"Fechas fuera de la vigencia 2027",IF(ISERROR(SEARCH("@itc.edu.co",V14)),"El responsable no tiene correo institucional",IF(ISERROR(SEARCH(Z14,INDEX(Catalogos!$Z$5:$Z$25,MATCH(AA14,L_IMP,0)))),"La dimensión no corresponde al indicador de impacto","OK")))))))</f>
        <v/>
      </c>
    </row>
    <row r="15" ht="105" customHeight="1" s="23">
      <c r="A15" s="80">
        <f>Base_OAPDI!A12</f>
        <v/>
      </c>
      <c r="B15" s="80">
        <f>Base_OAPDI!B12</f>
        <v/>
      </c>
      <c r="C15" s="80">
        <f>Base_OAPDI!D12</f>
        <v/>
      </c>
      <c r="D15" s="80">
        <f>Base_OAPDI!E12</f>
        <v/>
      </c>
      <c r="E15" s="80">
        <f>Base_OAPDI!F12</f>
        <v/>
      </c>
      <c r="F15" s="80">
        <f>Base_OAPDI!G12</f>
        <v/>
      </c>
      <c r="G15" s="80">
        <f>Base_OAPDI!H12</f>
        <v/>
      </c>
      <c r="H15" s="80">
        <f>Base_OAPDI!I12</f>
        <v/>
      </c>
      <c r="I15" s="80">
        <f>Base_OAPDI!J12</f>
        <v/>
      </c>
      <c r="J15" s="80">
        <f>Base_OAPDI!K12</f>
        <v/>
      </c>
      <c r="K15" s="80">
        <f>Base_OAPDI!L12</f>
        <v/>
      </c>
      <c r="L15" s="80">
        <f>Base_OAPDI!N12</f>
        <v/>
      </c>
      <c r="M15" s="80">
        <f>Base_OAPDI!P12</f>
        <v/>
      </c>
      <c r="N15" s="80">
        <f>Base_OAPDI!Q12</f>
        <v/>
      </c>
      <c r="O15" s="80">
        <f>Base_OAPDI!R12</f>
        <v/>
      </c>
      <c r="P15" s="80">
        <f>Base_OAPDI!S12</f>
        <v/>
      </c>
      <c r="Q15" s="81" t="n"/>
      <c r="R15" s="81" t="n"/>
      <c r="S15" s="81" t="n"/>
      <c r="T15" s="82" t="n"/>
      <c r="U15" s="82" t="n"/>
      <c r="V15" s="81" t="n"/>
      <c r="W15" s="81" t="n"/>
      <c r="X15" s="81" t="n"/>
      <c r="Y15" s="81" t="n"/>
      <c r="Z15" s="81" t="n"/>
      <c r="AA15" s="81" t="n"/>
      <c r="AB15" s="80">
        <f>IF(AA15="","",INDEX(Catalogos!$Y$5:$Y$25,MATCH(AA15,L_IMP,0)))</f>
        <v/>
      </c>
      <c r="AC15" s="81" t="n"/>
      <c r="AD15" s="81" t="n"/>
      <c r="AE15" s="81" t="n"/>
      <c r="AF15" s="83">
        <f>IF(Q15="","Pendiente por formular",IF(OR(S15="",T15="",U15="",V15="",W15="",X15="",Z15="",AA15=""),"Incompleta: faltan campos obligatorios",IF(OR(NOT(ISNUMBER(T15)),NOT(ISNUMBER(U15))),"Fecha inválida",IF(U15&lt;T15,"La fecha de fin es anterior a la de inicio",IF(OR(YEAR(T15)&lt;&gt;2027,YEAR(U15)&lt;&gt;2027),"Fechas fuera de la vigencia 2027",IF(ISERROR(SEARCH("@itc.edu.co",V15)),"El responsable no tiene correo institucional",IF(ISERROR(SEARCH(Z15,INDEX(Catalogos!$Z$5:$Z$25,MATCH(AA15,L_IMP,0)))),"La dimensión no corresponde al indicador de impacto","OK")))))))</f>
        <v/>
      </c>
    </row>
    <row r="16" ht="105" customHeight="1" s="23">
      <c r="A16" s="80">
        <f>Base_OAPDI!A13</f>
        <v/>
      </c>
      <c r="B16" s="80">
        <f>Base_OAPDI!B13</f>
        <v/>
      </c>
      <c r="C16" s="80">
        <f>Base_OAPDI!D13</f>
        <v/>
      </c>
      <c r="D16" s="80">
        <f>Base_OAPDI!E13</f>
        <v/>
      </c>
      <c r="E16" s="80">
        <f>Base_OAPDI!F13</f>
        <v/>
      </c>
      <c r="F16" s="80">
        <f>Base_OAPDI!G13</f>
        <v/>
      </c>
      <c r="G16" s="80">
        <f>Base_OAPDI!H13</f>
        <v/>
      </c>
      <c r="H16" s="80">
        <f>Base_OAPDI!I13</f>
        <v/>
      </c>
      <c r="I16" s="80">
        <f>Base_OAPDI!J13</f>
        <v/>
      </c>
      <c r="J16" s="80">
        <f>Base_OAPDI!K13</f>
        <v/>
      </c>
      <c r="K16" s="80">
        <f>Base_OAPDI!L13</f>
        <v/>
      </c>
      <c r="L16" s="80">
        <f>Base_OAPDI!N13</f>
        <v/>
      </c>
      <c r="M16" s="80">
        <f>Base_OAPDI!P13</f>
        <v/>
      </c>
      <c r="N16" s="80">
        <f>Base_OAPDI!Q13</f>
        <v/>
      </c>
      <c r="O16" s="80">
        <f>Base_OAPDI!R13</f>
        <v/>
      </c>
      <c r="P16" s="80">
        <f>Base_OAPDI!S13</f>
        <v/>
      </c>
      <c r="Q16" s="81" t="n"/>
      <c r="R16" s="81" t="n"/>
      <c r="S16" s="81" t="n"/>
      <c r="T16" s="82" t="n"/>
      <c r="U16" s="82" t="n"/>
      <c r="V16" s="81" t="n"/>
      <c r="W16" s="81" t="n"/>
      <c r="X16" s="81" t="n"/>
      <c r="Y16" s="81" t="n"/>
      <c r="Z16" s="81" t="n"/>
      <c r="AA16" s="81" t="n"/>
      <c r="AB16" s="80">
        <f>IF(AA16="","",INDEX(Catalogos!$Y$5:$Y$25,MATCH(AA16,L_IMP,0)))</f>
        <v/>
      </c>
      <c r="AC16" s="81" t="n"/>
      <c r="AD16" s="81" t="n"/>
      <c r="AE16" s="81" t="n"/>
      <c r="AF16" s="83">
        <f>IF(Q16="","Pendiente por formular",IF(OR(S16="",T16="",U16="",V16="",W16="",X16="",Z16="",AA16=""),"Incompleta: faltan campos obligatorios",IF(OR(NOT(ISNUMBER(T16)),NOT(ISNUMBER(U16))),"Fecha inválida",IF(U16&lt;T16,"La fecha de fin es anterior a la de inicio",IF(OR(YEAR(T16)&lt;&gt;2027,YEAR(U16)&lt;&gt;2027),"Fechas fuera de la vigencia 2027",IF(ISERROR(SEARCH("@itc.edu.co",V16)),"El responsable no tiene correo institucional",IF(ISERROR(SEARCH(Z16,INDEX(Catalogos!$Z$5:$Z$25,MATCH(AA16,L_IMP,0)))),"La dimensión no corresponde al indicador de impacto","OK")))))))</f>
        <v/>
      </c>
    </row>
    <row r="17" ht="105" customHeight="1" s="23">
      <c r="A17" s="80">
        <f>Base_OAPDI!A14</f>
        <v/>
      </c>
      <c r="B17" s="80">
        <f>Base_OAPDI!B14</f>
        <v/>
      </c>
      <c r="C17" s="80">
        <f>Base_OAPDI!D14</f>
        <v/>
      </c>
      <c r="D17" s="80">
        <f>Base_OAPDI!E14</f>
        <v/>
      </c>
      <c r="E17" s="80">
        <f>Base_OAPDI!F14</f>
        <v/>
      </c>
      <c r="F17" s="80">
        <f>Base_OAPDI!G14</f>
        <v/>
      </c>
      <c r="G17" s="80">
        <f>Base_OAPDI!H14</f>
        <v/>
      </c>
      <c r="H17" s="80">
        <f>Base_OAPDI!I14</f>
        <v/>
      </c>
      <c r="I17" s="80">
        <f>Base_OAPDI!J14</f>
        <v/>
      </c>
      <c r="J17" s="80">
        <f>Base_OAPDI!K14</f>
        <v/>
      </c>
      <c r="K17" s="80">
        <f>Base_OAPDI!L14</f>
        <v/>
      </c>
      <c r="L17" s="80">
        <f>Base_OAPDI!N14</f>
        <v/>
      </c>
      <c r="M17" s="80">
        <f>Base_OAPDI!P14</f>
        <v/>
      </c>
      <c r="N17" s="80">
        <f>Base_OAPDI!Q14</f>
        <v/>
      </c>
      <c r="O17" s="80">
        <f>Base_OAPDI!R14</f>
        <v/>
      </c>
      <c r="P17" s="80">
        <f>Base_OAPDI!S14</f>
        <v/>
      </c>
      <c r="Q17" s="81" t="n"/>
      <c r="R17" s="81" t="n"/>
      <c r="S17" s="81" t="n"/>
      <c r="T17" s="82" t="n"/>
      <c r="U17" s="82" t="n"/>
      <c r="V17" s="81" t="n"/>
      <c r="W17" s="81" t="n"/>
      <c r="X17" s="81" t="n"/>
      <c r="Y17" s="81" t="n"/>
      <c r="Z17" s="81" t="n"/>
      <c r="AA17" s="81" t="n"/>
      <c r="AB17" s="80">
        <f>IF(AA17="","",INDEX(Catalogos!$Y$5:$Y$25,MATCH(AA17,L_IMP,0)))</f>
        <v/>
      </c>
      <c r="AC17" s="81" t="n"/>
      <c r="AD17" s="81" t="n"/>
      <c r="AE17" s="81" t="n"/>
      <c r="AF17" s="83">
        <f>IF(Q17="","Pendiente por formular",IF(OR(S17="",T17="",U17="",V17="",W17="",X17="",Z17="",AA17=""),"Incompleta: faltan campos obligatorios",IF(OR(NOT(ISNUMBER(T17)),NOT(ISNUMBER(U17))),"Fecha inválida",IF(U17&lt;T17,"La fecha de fin es anterior a la de inicio",IF(OR(YEAR(T17)&lt;&gt;2027,YEAR(U17)&lt;&gt;2027),"Fechas fuera de la vigencia 2027",IF(ISERROR(SEARCH("@itc.edu.co",V17)),"El responsable no tiene correo institucional",IF(ISERROR(SEARCH(Z17,INDEX(Catalogos!$Z$5:$Z$25,MATCH(AA17,L_IMP,0)))),"La dimensión no corresponde al indicador de impacto","OK")))))))</f>
        <v/>
      </c>
    </row>
    <row r="18" ht="180" customHeight="1" s="23">
      <c r="A18" s="80">
        <f>Base_OAPDI!A15</f>
        <v/>
      </c>
      <c r="B18" s="80">
        <f>Base_OAPDI!B15</f>
        <v/>
      </c>
      <c r="C18" s="80">
        <f>Base_OAPDI!D15</f>
        <v/>
      </c>
      <c r="D18" s="80">
        <f>Base_OAPDI!E15</f>
        <v/>
      </c>
      <c r="E18" s="80">
        <f>Base_OAPDI!F15</f>
        <v/>
      </c>
      <c r="F18" s="80">
        <f>Base_OAPDI!G15</f>
        <v/>
      </c>
      <c r="G18" s="80">
        <f>Base_OAPDI!H15</f>
        <v/>
      </c>
      <c r="H18" s="80">
        <f>Base_OAPDI!I15</f>
        <v/>
      </c>
      <c r="I18" s="80">
        <f>Base_OAPDI!J15</f>
        <v/>
      </c>
      <c r="J18" s="80">
        <f>Base_OAPDI!K15</f>
        <v/>
      </c>
      <c r="K18" s="80">
        <f>Base_OAPDI!L15</f>
        <v/>
      </c>
      <c r="L18" s="80">
        <f>Base_OAPDI!N15</f>
        <v/>
      </c>
      <c r="M18" s="80">
        <f>Base_OAPDI!P15</f>
        <v/>
      </c>
      <c r="N18" s="80">
        <f>Base_OAPDI!Q15</f>
        <v/>
      </c>
      <c r="O18" s="80">
        <f>Base_OAPDI!R15</f>
        <v/>
      </c>
      <c r="P18" s="80">
        <f>Base_OAPDI!S15</f>
        <v/>
      </c>
      <c r="Q18" s="81" t="n"/>
      <c r="R18" s="81" t="n"/>
      <c r="S18" s="81" t="n"/>
      <c r="T18" s="82" t="n"/>
      <c r="U18" s="82" t="n"/>
      <c r="V18" s="81" t="n"/>
      <c r="W18" s="81" t="n"/>
      <c r="X18" s="81" t="n"/>
      <c r="Y18" s="81" t="n"/>
      <c r="Z18" s="81" t="n"/>
      <c r="AA18" s="81" t="n"/>
      <c r="AB18" s="80">
        <f>IF(AA18="","",INDEX(Catalogos!$Y$5:$Y$25,MATCH(AA18,L_IMP,0)))</f>
        <v/>
      </c>
      <c r="AC18" s="81" t="n"/>
      <c r="AD18" s="81" t="n"/>
      <c r="AE18" s="81" t="n"/>
      <c r="AF18" s="83">
        <f>IF(Q18="","Pendiente por formular",IF(OR(S18="",T18="",U18="",V18="",W18="",X18="",Z18="",AA18=""),"Incompleta: faltan campos obligatorios",IF(OR(NOT(ISNUMBER(T18)),NOT(ISNUMBER(U18))),"Fecha inválida",IF(U18&lt;T18,"La fecha de fin es anterior a la de inicio",IF(OR(YEAR(T18)&lt;&gt;2027,YEAR(U18)&lt;&gt;2027),"Fechas fuera de la vigencia 2027",IF(ISERROR(SEARCH("@itc.edu.co",V18)),"El responsable no tiene correo institucional",IF(ISERROR(SEARCH(Z18,INDEX(Catalogos!$Z$5:$Z$25,MATCH(AA18,L_IMP,0)))),"La dimensión no corresponde al indicador de impacto","OK")))))))</f>
        <v/>
      </c>
    </row>
    <row r="19" ht="165" customHeight="1" s="23">
      <c r="A19" s="80">
        <f>Base_OAPDI!A16</f>
        <v/>
      </c>
      <c r="B19" s="80">
        <f>Base_OAPDI!B16</f>
        <v/>
      </c>
      <c r="C19" s="80">
        <f>Base_OAPDI!D16</f>
        <v/>
      </c>
      <c r="D19" s="80">
        <f>Base_OAPDI!E16</f>
        <v/>
      </c>
      <c r="E19" s="80">
        <f>Base_OAPDI!F16</f>
        <v/>
      </c>
      <c r="F19" s="80">
        <f>Base_OAPDI!G16</f>
        <v/>
      </c>
      <c r="G19" s="80">
        <f>Base_OAPDI!H16</f>
        <v/>
      </c>
      <c r="H19" s="80">
        <f>Base_OAPDI!I16</f>
        <v/>
      </c>
      <c r="I19" s="80">
        <f>Base_OAPDI!J16</f>
        <v/>
      </c>
      <c r="J19" s="80">
        <f>Base_OAPDI!K16</f>
        <v/>
      </c>
      <c r="K19" s="80">
        <f>Base_OAPDI!L16</f>
        <v/>
      </c>
      <c r="L19" s="80">
        <f>Base_OAPDI!N16</f>
        <v/>
      </c>
      <c r="M19" s="80">
        <f>Base_OAPDI!P16</f>
        <v/>
      </c>
      <c r="N19" s="80">
        <f>Base_OAPDI!Q16</f>
        <v/>
      </c>
      <c r="O19" s="80">
        <f>Base_OAPDI!R16</f>
        <v/>
      </c>
      <c r="P19" s="80">
        <f>Base_OAPDI!S16</f>
        <v/>
      </c>
      <c r="Q19" s="81" t="n"/>
      <c r="R19" s="81" t="n"/>
      <c r="S19" s="81" t="n"/>
      <c r="T19" s="82" t="n"/>
      <c r="U19" s="82" t="n"/>
      <c r="V19" s="81" t="n"/>
      <c r="W19" s="81" t="n"/>
      <c r="X19" s="81" t="n"/>
      <c r="Y19" s="81" t="n"/>
      <c r="Z19" s="81" t="n"/>
      <c r="AA19" s="81" t="n"/>
      <c r="AB19" s="80">
        <f>IF(AA19="","",INDEX(Catalogos!$Y$5:$Y$25,MATCH(AA19,L_IMP,0)))</f>
        <v/>
      </c>
      <c r="AC19" s="81" t="n"/>
      <c r="AD19" s="81" t="n"/>
      <c r="AE19" s="81" t="n"/>
      <c r="AF19" s="83">
        <f>IF(Q19="","Pendiente por formular",IF(OR(S19="",T19="",U19="",V19="",W19="",X19="",Z19="",AA19=""),"Incompleta: faltan campos obligatorios",IF(OR(NOT(ISNUMBER(T19)),NOT(ISNUMBER(U19))),"Fecha inválida",IF(U19&lt;T19,"La fecha de fin es anterior a la de inicio",IF(OR(YEAR(T19)&lt;&gt;2027,YEAR(U19)&lt;&gt;2027),"Fechas fuera de la vigencia 2027",IF(ISERROR(SEARCH("@itc.edu.co",V19)),"El responsable no tiene correo institucional",IF(ISERROR(SEARCH(Z19,INDEX(Catalogos!$Z$5:$Z$25,MATCH(AA19,L_IMP,0)))),"La dimensión no corresponde al indicador de impacto","OK")))))))</f>
        <v/>
      </c>
    </row>
    <row r="20" ht="120" customHeight="1" s="23">
      <c r="A20" s="80">
        <f>Base_OAPDI!A17</f>
        <v/>
      </c>
      <c r="B20" s="80">
        <f>Base_OAPDI!B17</f>
        <v/>
      </c>
      <c r="C20" s="80">
        <f>Base_OAPDI!D17</f>
        <v/>
      </c>
      <c r="D20" s="80">
        <f>Base_OAPDI!E17</f>
        <v/>
      </c>
      <c r="E20" s="80">
        <f>Base_OAPDI!F17</f>
        <v/>
      </c>
      <c r="F20" s="80">
        <f>Base_OAPDI!G17</f>
        <v/>
      </c>
      <c r="G20" s="80">
        <f>Base_OAPDI!H17</f>
        <v/>
      </c>
      <c r="H20" s="80">
        <f>Base_OAPDI!I17</f>
        <v/>
      </c>
      <c r="I20" s="80">
        <f>Base_OAPDI!J17</f>
        <v/>
      </c>
      <c r="J20" s="80">
        <f>Base_OAPDI!K17</f>
        <v/>
      </c>
      <c r="K20" s="80">
        <f>Base_OAPDI!L17</f>
        <v/>
      </c>
      <c r="L20" s="80">
        <f>Base_OAPDI!N17</f>
        <v/>
      </c>
      <c r="M20" s="80">
        <f>Base_OAPDI!P17</f>
        <v/>
      </c>
      <c r="N20" s="80">
        <f>Base_OAPDI!Q17</f>
        <v/>
      </c>
      <c r="O20" s="80">
        <f>Base_OAPDI!R17</f>
        <v/>
      </c>
      <c r="P20" s="80">
        <f>Base_OAPDI!S17</f>
        <v/>
      </c>
      <c r="Q20" s="81" t="n"/>
      <c r="R20" s="81" t="n"/>
      <c r="S20" s="81" t="n"/>
      <c r="T20" s="82" t="n"/>
      <c r="U20" s="82" t="n"/>
      <c r="V20" s="81" t="n"/>
      <c r="W20" s="81" t="n"/>
      <c r="X20" s="81" t="n"/>
      <c r="Y20" s="81" t="n"/>
      <c r="Z20" s="81" t="n"/>
      <c r="AA20" s="81" t="n"/>
      <c r="AB20" s="80">
        <f>IF(AA20="","",INDEX(Catalogos!$Y$5:$Y$25,MATCH(AA20,L_IMP,0)))</f>
        <v/>
      </c>
      <c r="AC20" s="81" t="n"/>
      <c r="AD20" s="81" t="n"/>
      <c r="AE20" s="81" t="n"/>
      <c r="AF20" s="83">
        <f>IF(Q20="","Pendiente por formular",IF(OR(S20="",T20="",U20="",V20="",W20="",X20="",Z20="",AA20=""),"Incompleta: faltan campos obligatorios",IF(OR(NOT(ISNUMBER(T20)),NOT(ISNUMBER(U20))),"Fecha inválida",IF(U20&lt;T20,"La fecha de fin es anterior a la de inicio",IF(OR(YEAR(T20)&lt;&gt;2027,YEAR(U20)&lt;&gt;2027),"Fechas fuera de la vigencia 2027",IF(ISERROR(SEARCH("@itc.edu.co",V20)),"El responsable no tiene correo institucional",IF(ISERROR(SEARCH(Z20,INDEX(Catalogos!$Z$5:$Z$25,MATCH(AA20,L_IMP,0)))),"La dimensión no corresponde al indicador de impacto","OK")))))))</f>
        <v/>
      </c>
    </row>
    <row r="21" ht="75" customHeight="1" s="23">
      <c r="A21" s="80">
        <f>Base_OAPDI!A18</f>
        <v/>
      </c>
      <c r="B21" s="80">
        <f>Base_OAPDI!B18</f>
        <v/>
      </c>
      <c r="C21" s="80">
        <f>Base_OAPDI!D18</f>
        <v/>
      </c>
      <c r="D21" s="80">
        <f>Base_OAPDI!E18</f>
        <v/>
      </c>
      <c r="E21" s="80">
        <f>Base_OAPDI!F18</f>
        <v/>
      </c>
      <c r="F21" s="80">
        <f>Base_OAPDI!G18</f>
        <v/>
      </c>
      <c r="G21" s="80">
        <f>Base_OAPDI!H18</f>
        <v/>
      </c>
      <c r="H21" s="80">
        <f>Base_OAPDI!I18</f>
        <v/>
      </c>
      <c r="I21" s="80">
        <f>Base_OAPDI!J18</f>
        <v/>
      </c>
      <c r="J21" s="80">
        <f>Base_OAPDI!K18</f>
        <v/>
      </c>
      <c r="K21" s="80">
        <f>Base_OAPDI!L18</f>
        <v/>
      </c>
      <c r="L21" s="80">
        <f>Base_OAPDI!N18</f>
        <v/>
      </c>
      <c r="M21" s="80">
        <f>Base_OAPDI!P18</f>
        <v/>
      </c>
      <c r="N21" s="80">
        <f>Base_OAPDI!Q18</f>
        <v/>
      </c>
      <c r="O21" s="80">
        <f>Base_OAPDI!R18</f>
        <v/>
      </c>
      <c r="P21" s="80">
        <f>Base_OAPDI!S18</f>
        <v/>
      </c>
      <c r="Q21" s="81" t="n"/>
      <c r="R21" s="81" t="n"/>
      <c r="S21" s="81" t="n"/>
      <c r="T21" s="82" t="n"/>
      <c r="U21" s="82" t="n"/>
      <c r="V21" s="81" t="n"/>
      <c r="W21" s="81" t="n"/>
      <c r="X21" s="81" t="n"/>
      <c r="Y21" s="81" t="n"/>
      <c r="Z21" s="81" t="n"/>
      <c r="AA21" s="81" t="n"/>
      <c r="AB21" s="80">
        <f>IF(AA21="","",INDEX(Catalogos!$Y$5:$Y$25,MATCH(AA21,L_IMP,0)))</f>
        <v/>
      </c>
      <c r="AC21" s="81" t="n"/>
      <c r="AD21" s="81" t="n"/>
      <c r="AE21" s="81" t="n"/>
      <c r="AF21" s="83">
        <f>IF(Q21="","Pendiente por formular",IF(OR(S21="",T21="",U21="",V21="",W21="",X21="",Z21="",AA21=""),"Incompleta: faltan campos obligatorios",IF(OR(NOT(ISNUMBER(T21)),NOT(ISNUMBER(U21))),"Fecha inválida",IF(U21&lt;T21,"La fecha de fin es anterior a la de inicio",IF(OR(YEAR(T21)&lt;&gt;2027,YEAR(U21)&lt;&gt;2027),"Fechas fuera de la vigencia 2027",IF(ISERROR(SEARCH("@itc.edu.co",V21)),"El responsable no tiene correo institucional",IF(ISERROR(SEARCH(Z21,INDEX(Catalogos!$Z$5:$Z$25,MATCH(AA21,L_IMP,0)))),"La dimensión no corresponde al indicador de impacto","OK")))))))</f>
        <v/>
      </c>
    </row>
    <row r="22" ht="105" customHeight="1" s="23">
      <c r="A22" s="80">
        <f>Base_OAPDI!A19</f>
        <v/>
      </c>
      <c r="B22" s="80">
        <f>Base_OAPDI!B19</f>
        <v/>
      </c>
      <c r="C22" s="80">
        <f>Base_OAPDI!D19</f>
        <v/>
      </c>
      <c r="D22" s="80">
        <f>Base_OAPDI!E19</f>
        <v/>
      </c>
      <c r="E22" s="80">
        <f>Base_OAPDI!F19</f>
        <v/>
      </c>
      <c r="F22" s="80">
        <f>Base_OAPDI!G19</f>
        <v/>
      </c>
      <c r="G22" s="80">
        <f>Base_OAPDI!H19</f>
        <v/>
      </c>
      <c r="H22" s="80">
        <f>Base_OAPDI!I19</f>
        <v/>
      </c>
      <c r="I22" s="80">
        <f>Base_OAPDI!J19</f>
        <v/>
      </c>
      <c r="J22" s="80">
        <f>Base_OAPDI!K19</f>
        <v/>
      </c>
      <c r="K22" s="80">
        <f>Base_OAPDI!L19</f>
        <v/>
      </c>
      <c r="L22" s="80">
        <f>Base_OAPDI!N19</f>
        <v/>
      </c>
      <c r="M22" s="80">
        <f>Base_OAPDI!P19</f>
        <v/>
      </c>
      <c r="N22" s="80">
        <f>Base_OAPDI!Q19</f>
        <v/>
      </c>
      <c r="O22" s="80">
        <f>Base_OAPDI!R19</f>
        <v/>
      </c>
      <c r="P22" s="80">
        <f>Base_OAPDI!S19</f>
        <v/>
      </c>
      <c r="Q22" s="81" t="n"/>
      <c r="R22" s="81" t="n"/>
      <c r="S22" s="81" t="n"/>
      <c r="T22" s="82" t="n"/>
      <c r="U22" s="82" t="n"/>
      <c r="V22" s="81" t="n"/>
      <c r="W22" s="81" t="n"/>
      <c r="X22" s="81" t="n"/>
      <c r="Y22" s="81" t="n"/>
      <c r="Z22" s="81" t="n"/>
      <c r="AA22" s="81" t="n"/>
      <c r="AB22" s="80">
        <f>IF(AA22="","",INDEX(Catalogos!$Y$5:$Y$25,MATCH(AA22,L_IMP,0)))</f>
        <v/>
      </c>
      <c r="AC22" s="81" t="n"/>
      <c r="AD22" s="81" t="n"/>
      <c r="AE22" s="81" t="n"/>
      <c r="AF22" s="83">
        <f>IF(Q22="","Pendiente por formular",IF(OR(S22="",T22="",U22="",V22="",W22="",X22="",Z22="",AA22=""),"Incompleta: faltan campos obligatorios",IF(OR(NOT(ISNUMBER(T22)),NOT(ISNUMBER(U22))),"Fecha inválida",IF(U22&lt;T22,"La fecha de fin es anterior a la de inicio",IF(OR(YEAR(T22)&lt;&gt;2027,YEAR(U22)&lt;&gt;2027),"Fechas fuera de la vigencia 2027",IF(ISERROR(SEARCH("@itc.edu.co",V22)),"El responsable no tiene correo institucional",IF(ISERROR(SEARCH(Z22,INDEX(Catalogos!$Z$5:$Z$25,MATCH(AA22,L_IMP,0)))),"La dimensión no corresponde al indicador de impacto","OK")))))))</f>
        <v/>
      </c>
    </row>
    <row r="23" ht="105" customHeight="1" s="23">
      <c r="A23" s="80">
        <f>Base_OAPDI!A20</f>
        <v/>
      </c>
      <c r="B23" s="80">
        <f>Base_OAPDI!B20</f>
        <v/>
      </c>
      <c r="C23" s="80">
        <f>Base_OAPDI!D20</f>
        <v/>
      </c>
      <c r="D23" s="80">
        <f>Base_OAPDI!E20</f>
        <v/>
      </c>
      <c r="E23" s="80">
        <f>Base_OAPDI!F20</f>
        <v/>
      </c>
      <c r="F23" s="80">
        <f>Base_OAPDI!G20</f>
        <v/>
      </c>
      <c r="G23" s="80">
        <f>Base_OAPDI!H20</f>
        <v/>
      </c>
      <c r="H23" s="80">
        <f>Base_OAPDI!I20</f>
        <v/>
      </c>
      <c r="I23" s="80">
        <f>Base_OAPDI!J20</f>
        <v/>
      </c>
      <c r="J23" s="80">
        <f>Base_OAPDI!K20</f>
        <v/>
      </c>
      <c r="K23" s="80">
        <f>Base_OAPDI!L20</f>
        <v/>
      </c>
      <c r="L23" s="80">
        <f>Base_OAPDI!N20</f>
        <v/>
      </c>
      <c r="M23" s="80">
        <f>Base_OAPDI!P20</f>
        <v/>
      </c>
      <c r="N23" s="80">
        <f>Base_OAPDI!Q20</f>
        <v/>
      </c>
      <c r="O23" s="80">
        <f>Base_OAPDI!R20</f>
        <v/>
      </c>
      <c r="P23" s="80">
        <f>Base_OAPDI!S20</f>
        <v/>
      </c>
      <c r="Q23" s="81" t="n"/>
      <c r="R23" s="81" t="n"/>
      <c r="S23" s="81" t="n"/>
      <c r="T23" s="82" t="n"/>
      <c r="U23" s="82" t="n"/>
      <c r="V23" s="81" t="n"/>
      <c r="W23" s="81" t="n"/>
      <c r="X23" s="81" t="n"/>
      <c r="Y23" s="81" t="n"/>
      <c r="Z23" s="81" t="n"/>
      <c r="AA23" s="81" t="n"/>
      <c r="AB23" s="80">
        <f>IF(AA23="","",INDEX(Catalogos!$Y$5:$Y$25,MATCH(AA23,L_IMP,0)))</f>
        <v/>
      </c>
      <c r="AC23" s="81" t="n"/>
      <c r="AD23" s="81" t="n"/>
      <c r="AE23" s="81" t="n"/>
      <c r="AF23" s="83">
        <f>IF(Q23="","Pendiente por formular",IF(OR(S23="",T23="",U23="",V23="",W23="",X23="",Z23="",AA23=""),"Incompleta: faltan campos obligatorios",IF(OR(NOT(ISNUMBER(T23)),NOT(ISNUMBER(U23))),"Fecha inválida",IF(U23&lt;T23,"La fecha de fin es anterior a la de inicio",IF(OR(YEAR(T23)&lt;&gt;2027,YEAR(U23)&lt;&gt;2027),"Fechas fuera de la vigencia 2027",IF(ISERROR(SEARCH("@itc.edu.co",V23)),"El responsable no tiene correo institucional",IF(ISERROR(SEARCH(Z23,INDEX(Catalogos!$Z$5:$Z$25,MATCH(AA23,L_IMP,0)))),"La dimensión no corresponde al indicador de impacto","OK")))))))</f>
        <v/>
      </c>
    </row>
    <row r="24" ht="180" customHeight="1" s="23">
      <c r="A24" s="80">
        <f>Base_OAPDI!A21</f>
        <v/>
      </c>
      <c r="B24" s="80">
        <f>Base_OAPDI!B21</f>
        <v/>
      </c>
      <c r="C24" s="80">
        <f>Base_OAPDI!D21</f>
        <v/>
      </c>
      <c r="D24" s="80">
        <f>Base_OAPDI!E21</f>
        <v/>
      </c>
      <c r="E24" s="80">
        <f>Base_OAPDI!F21</f>
        <v/>
      </c>
      <c r="F24" s="80">
        <f>Base_OAPDI!G21</f>
        <v/>
      </c>
      <c r="G24" s="80">
        <f>Base_OAPDI!H21</f>
        <v/>
      </c>
      <c r="H24" s="80">
        <f>Base_OAPDI!I21</f>
        <v/>
      </c>
      <c r="I24" s="80">
        <f>Base_OAPDI!J21</f>
        <v/>
      </c>
      <c r="J24" s="80">
        <f>Base_OAPDI!K21</f>
        <v/>
      </c>
      <c r="K24" s="80">
        <f>Base_OAPDI!L21</f>
        <v/>
      </c>
      <c r="L24" s="80">
        <f>Base_OAPDI!N21</f>
        <v/>
      </c>
      <c r="M24" s="80">
        <f>Base_OAPDI!P21</f>
        <v/>
      </c>
      <c r="N24" s="80">
        <f>Base_OAPDI!Q21</f>
        <v/>
      </c>
      <c r="O24" s="80">
        <f>Base_OAPDI!R21</f>
        <v/>
      </c>
      <c r="P24" s="80">
        <f>Base_OAPDI!S21</f>
        <v/>
      </c>
      <c r="Q24" s="81" t="n"/>
      <c r="R24" s="81" t="n"/>
      <c r="S24" s="81" t="n"/>
      <c r="T24" s="82" t="n"/>
      <c r="U24" s="82" t="n"/>
      <c r="V24" s="81" t="n"/>
      <c r="W24" s="81" t="n"/>
      <c r="X24" s="81" t="n"/>
      <c r="Y24" s="81" t="n"/>
      <c r="Z24" s="81" t="n"/>
      <c r="AA24" s="81" t="n"/>
      <c r="AB24" s="80">
        <f>IF(AA24="","",INDEX(Catalogos!$Y$5:$Y$25,MATCH(AA24,L_IMP,0)))</f>
        <v/>
      </c>
      <c r="AC24" s="81" t="n"/>
      <c r="AD24" s="81" t="n"/>
      <c r="AE24" s="81" t="n"/>
      <c r="AF24" s="83">
        <f>IF(Q24="","Pendiente por formular",IF(OR(S24="",T24="",U24="",V24="",W24="",X24="",Z24="",AA24=""),"Incompleta: faltan campos obligatorios",IF(OR(NOT(ISNUMBER(T24)),NOT(ISNUMBER(U24))),"Fecha inválida",IF(U24&lt;T24,"La fecha de fin es anterior a la de inicio",IF(OR(YEAR(T24)&lt;&gt;2027,YEAR(U24)&lt;&gt;2027),"Fechas fuera de la vigencia 2027",IF(ISERROR(SEARCH("@itc.edu.co",V24)),"El responsable no tiene correo institucional",IF(ISERROR(SEARCH(Z24,INDEX(Catalogos!$Z$5:$Z$25,MATCH(AA24,L_IMP,0)))),"La dimensión no corresponde al indicador de impacto","OK")))))))</f>
        <v/>
      </c>
    </row>
    <row r="25" ht="105" customHeight="1" s="23">
      <c r="A25" s="80">
        <f>Base_OAPDI!A22</f>
        <v/>
      </c>
      <c r="B25" s="80">
        <f>Base_OAPDI!B22</f>
        <v/>
      </c>
      <c r="C25" s="80">
        <f>Base_OAPDI!D22</f>
        <v/>
      </c>
      <c r="D25" s="80">
        <f>Base_OAPDI!E22</f>
        <v/>
      </c>
      <c r="E25" s="80">
        <f>Base_OAPDI!F22</f>
        <v/>
      </c>
      <c r="F25" s="80">
        <f>Base_OAPDI!G22</f>
        <v/>
      </c>
      <c r="G25" s="80">
        <f>Base_OAPDI!H22</f>
        <v/>
      </c>
      <c r="H25" s="80">
        <f>Base_OAPDI!I22</f>
        <v/>
      </c>
      <c r="I25" s="80">
        <f>Base_OAPDI!J22</f>
        <v/>
      </c>
      <c r="J25" s="80">
        <f>Base_OAPDI!K22</f>
        <v/>
      </c>
      <c r="K25" s="80">
        <f>Base_OAPDI!L22</f>
        <v/>
      </c>
      <c r="L25" s="80">
        <f>Base_OAPDI!N22</f>
        <v/>
      </c>
      <c r="M25" s="80">
        <f>Base_OAPDI!P22</f>
        <v/>
      </c>
      <c r="N25" s="80">
        <f>Base_OAPDI!Q22</f>
        <v/>
      </c>
      <c r="O25" s="80">
        <f>Base_OAPDI!R22</f>
        <v/>
      </c>
      <c r="P25" s="80">
        <f>Base_OAPDI!S22</f>
        <v/>
      </c>
      <c r="Q25" s="81" t="n"/>
      <c r="R25" s="81" t="n"/>
      <c r="S25" s="81" t="n"/>
      <c r="T25" s="82" t="n"/>
      <c r="U25" s="82" t="n"/>
      <c r="V25" s="81" t="n"/>
      <c r="W25" s="81" t="n"/>
      <c r="X25" s="81" t="n"/>
      <c r="Y25" s="81" t="n"/>
      <c r="Z25" s="81" t="n"/>
      <c r="AA25" s="81" t="n"/>
      <c r="AB25" s="80">
        <f>IF(AA25="","",INDEX(Catalogos!$Y$5:$Y$25,MATCH(AA25,L_IMP,0)))</f>
        <v/>
      </c>
      <c r="AC25" s="81" t="n"/>
      <c r="AD25" s="81" t="n"/>
      <c r="AE25" s="81" t="n"/>
      <c r="AF25" s="83">
        <f>IF(Q25="","Pendiente por formular",IF(OR(S25="",T25="",U25="",V25="",W25="",X25="",Z25="",AA25=""),"Incompleta: faltan campos obligatorios",IF(OR(NOT(ISNUMBER(T25)),NOT(ISNUMBER(U25))),"Fecha inválida",IF(U25&lt;T25,"La fecha de fin es anterior a la de inicio",IF(OR(YEAR(T25)&lt;&gt;2027,YEAR(U25)&lt;&gt;2027),"Fechas fuera de la vigencia 2027",IF(ISERROR(SEARCH("@itc.edu.co",V25)),"El responsable no tiene correo institucional",IF(ISERROR(SEARCH(Z25,INDEX(Catalogos!$Z$5:$Z$25,MATCH(AA25,L_IMP,0)))),"La dimensión no corresponde al indicador de impacto","OK")))))))</f>
        <v/>
      </c>
    </row>
    <row r="26" ht="120" customHeight="1" s="23">
      <c r="A26" s="80">
        <f>Base_OAPDI!A23</f>
        <v/>
      </c>
      <c r="B26" s="80">
        <f>Base_OAPDI!B23</f>
        <v/>
      </c>
      <c r="C26" s="80">
        <f>Base_OAPDI!D23</f>
        <v/>
      </c>
      <c r="D26" s="80">
        <f>Base_OAPDI!E23</f>
        <v/>
      </c>
      <c r="E26" s="80">
        <f>Base_OAPDI!F23</f>
        <v/>
      </c>
      <c r="F26" s="80">
        <f>Base_OAPDI!G23</f>
        <v/>
      </c>
      <c r="G26" s="80">
        <f>Base_OAPDI!H23</f>
        <v/>
      </c>
      <c r="H26" s="80">
        <f>Base_OAPDI!I23</f>
        <v/>
      </c>
      <c r="I26" s="80">
        <f>Base_OAPDI!J23</f>
        <v/>
      </c>
      <c r="J26" s="80">
        <f>Base_OAPDI!K23</f>
        <v/>
      </c>
      <c r="K26" s="80">
        <f>Base_OAPDI!L23</f>
        <v/>
      </c>
      <c r="L26" s="80">
        <f>Base_OAPDI!N23</f>
        <v/>
      </c>
      <c r="M26" s="80">
        <f>Base_OAPDI!P23</f>
        <v/>
      </c>
      <c r="N26" s="80">
        <f>Base_OAPDI!Q23</f>
        <v/>
      </c>
      <c r="O26" s="80">
        <f>Base_OAPDI!R23</f>
        <v/>
      </c>
      <c r="P26" s="80">
        <f>Base_OAPDI!S23</f>
        <v/>
      </c>
      <c r="Q26" s="81" t="n"/>
      <c r="R26" s="81" t="n"/>
      <c r="S26" s="81" t="n"/>
      <c r="T26" s="82" t="n"/>
      <c r="U26" s="82" t="n"/>
      <c r="V26" s="81" t="n"/>
      <c r="W26" s="81" t="n"/>
      <c r="X26" s="81" t="n"/>
      <c r="Y26" s="81" t="n"/>
      <c r="Z26" s="81" t="n"/>
      <c r="AA26" s="81" t="n"/>
      <c r="AB26" s="80">
        <f>IF(AA26="","",INDEX(Catalogos!$Y$5:$Y$25,MATCH(AA26,L_IMP,0)))</f>
        <v/>
      </c>
      <c r="AC26" s="81" t="n"/>
      <c r="AD26" s="81" t="n"/>
      <c r="AE26" s="81" t="n"/>
      <c r="AF26" s="83">
        <f>IF(Q26="","Pendiente por formular",IF(OR(S26="",T26="",U26="",V26="",W26="",X26="",Z26="",AA26=""),"Incompleta: faltan campos obligatorios",IF(OR(NOT(ISNUMBER(T26)),NOT(ISNUMBER(U26))),"Fecha inválida",IF(U26&lt;T26,"La fecha de fin es anterior a la de inicio",IF(OR(YEAR(T26)&lt;&gt;2027,YEAR(U26)&lt;&gt;2027),"Fechas fuera de la vigencia 2027",IF(ISERROR(SEARCH("@itc.edu.co",V26)),"El responsable no tiene correo institucional",IF(ISERROR(SEARCH(Z26,INDEX(Catalogos!$Z$5:$Z$25,MATCH(AA26,L_IMP,0)))),"La dimensión no corresponde al indicador de impacto","OK")))))))</f>
        <v/>
      </c>
    </row>
    <row r="27" ht="120" customHeight="1" s="23">
      <c r="A27" s="80">
        <f>Base_OAPDI!A24</f>
        <v/>
      </c>
      <c r="B27" s="80">
        <f>Base_OAPDI!B24</f>
        <v/>
      </c>
      <c r="C27" s="80">
        <f>Base_OAPDI!D24</f>
        <v/>
      </c>
      <c r="D27" s="80">
        <f>Base_OAPDI!E24</f>
        <v/>
      </c>
      <c r="E27" s="80">
        <f>Base_OAPDI!F24</f>
        <v/>
      </c>
      <c r="F27" s="80">
        <f>Base_OAPDI!G24</f>
        <v/>
      </c>
      <c r="G27" s="80">
        <f>Base_OAPDI!H24</f>
        <v/>
      </c>
      <c r="H27" s="80">
        <f>Base_OAPDI!I24</f>
        <v/>
      </c>
      <c r="I27" s="80">
        <f>Base_OAPDI!J24</f>
        <v/>
      </c>
      <c r="J27" s="80">
        <f>Base_OAPDI!K24</f>
        <v/>
      </c>
      <c r="K27" s="80">
        <f>Base_OAPDI!L24</f>
        <v/>
      </c>
      <c r="L27" s="80">
        <f>Base_OAPDI!N24</f>
        <v/>
      </c>
      <c r="M27" s="80">
        <f>Base_OAPDI!P24</f>
        <v/>
      </c>
      <c r="N27" s="80">
        <f>Base_OAPDI!Q24</f>
        <v/>
      </c>
      <c r="O27" s="80">
        <f>Base_OAPDI!R24</f>
        <v/>
      </c>
      <c r="P27" s="80">
        <f>Base_OAPDI!S24</f>
        <v/>
      </c>
      <c r="Q27" s="81" t="n"/>
      <c r="R27" s="81" t="n"/>
      <c r="S27" s="81" t="n"/>
      <c r="T27" s="82" t="n"/>
      <c r="U27" s="82" t="n"/>
      <c r="V27" s="81" t="n"/>
      <c r="W27" s="81" t="n"/>
      <c r="X27" s="81" t="n"/>
      <c r="Y27" s="81" t="n"/>
      <c r="Z27" s="81" t="n"/>
      <c r="AA27" s="81" t="n"/>
      <c r="AB27" s="80">
        <f>IF(AA27="","",INDEX(Catalogos!$Y$5:$Y$25,MATCH(AA27,L_IMP,0)))</f>
        <v/>
      </c>
      <c r="AC27" s="81" t="n"/>
      <c r="AD27" s="81" t="n"/>
      <c r="AE27" s="81" t="n"/>
      <c r="AF27" s="83">
        <f>IF(Q27="","Pendiente por formular",IF(OR(S27="",T27="",U27="",V27="",W27="",X27="",Z27="",AA27=""),"Incompleta: faltan campos obligatorios",IF(OR(NOT(ISNUMBER(T27)),NOT(ISNUMBER(U27))),"Fecha inválida",IF(U27&lt;T27,"La fecha de fin es anterior a la de inicio",IF(OR(YEAR(T27)&lt;&gt;2027,YEAR(U27)&lt;&gt;2027),"Fechas fuera de la vigencia 2027",IF(ISERROR(SEARCH("@itc.edu.co",V27)),"El responsable no tiene correo institucional",IF(ISERROR(SEARCH(Z27,INDEX(Catalogos!$Z$5:$Z$25,MATCH(AA27,L_IMP,0)))),"La dimensión no corresponde al indicador de impacto","OK")))))))</f>
        <v/>
      </c>
    </row>
    <row r="28" ht="120" customHeight="1" s="23">
      <c r="A28" s="80">
        <f>Base_OAPDI!A25</f>
        <v/>
      </c>
      <c r="B28" s="80">
        <f>Base_OAPDI!B25</f>
        <v/>
      </c>
      <c r="C28" s="80">
        <f>Base_OAPDI!D25</f>
        <v/>
      </c>
      <c r="D28" s="80">
        <f>Base_OAPDI!E25</f>
        <v/>
      </c>
      <c r="E28" s="80">
        <f>Base_OAPDI!F25</f>
        <v/>
      </c>
      <c r="F28" s="80">
        <f>Base_OAPDI!G25</f>
        <v/>
      </c>
      <c r="G28" s="80">
        <f>Base_OAPDI!H25</f>
        <v/>
      </c>
      <c r="H28" s="80">
        <f>Base_OAPDI!I25</f>
        <v/>
      </c>
      <c r="I28" s="80">
        <f>Base_OAPDI!J25</f>
        <v/>
      </c>
      <c r="J28" s="80">
        <f>Base_OAPDI!K25</f>
        <v/>
      </c>
      <c r="K28" s="80">
        <f>Base_OAPDI!L25</f>
        <v/>
      </c>
      <c r="L28" s="80">
        <f>Base_OAPDI!N25</f>
        <v/>
      </c>
      <c r="M28" s="80">
        <f>Base_OAPDI!P25</f>
        <v/>
      </c>
      <c r="N28" s="80">
        <f>Base_OAPDI!Q25</f>
        <v/>
      </c>
      <c r="O28" s="80">
        <f>Base_OAPDI!R25</f>
        <v/>
      </c>
      <c r="P28" s="80">
        <f>Base_OAPDI!S25</f>
        <v/>
      </c>
      <c r="Q28" s="81" t="n"/>
      <c r="R28" s="81" t="n"/>
      <c r="S28" s="81" t="n"/>
      <c r="T28" s="82" t="n"/>
      <c r="U28" s="82" t="n"/>
      <c r="V28" s="81" t="n"/>
      <c r="W28" s="81" t="n"/>
      <c r="X28" s="81" t="n"/>
      <c r="Y28" s="81" t="n"/>
      <c r="Z28" s="81" t="n"/>
      <c r="AA28" s="81" t="n"/>
      <c r="AB28" s="80">
        <f>IF(AA28="","",INDEX(Catalogos!$Y$5:$Y$25,MATCH(AA28,L_IMP,0)))</f>
        <v/>
      </c>
      <c r="AC28" s="81" t="n"/>
      <c r="AD28" s="81" t="n"/>
      <c r="AE28" s="81" t="n"/>
      <c r="AF28" s="83">
        <f>IF(Q28="","Pendiente por formular",IF(OR(S28="",T28="",U28="",V28="",W28="",X28="",Z28="",AA28=""),"Incompleta: faltan campos obligatorios",IF(OR(NOT(ISNUMBER(T28)),NOT(ISNUMBER(U28))),"Fecha inválida",IF(U28&lt;T28,"La fecha de fin es anterior a la de inicio",IF(OR(YEAR(T28)&lt;&gt;2027,YEAR(U28)&lt;&gt;2027),"Fechas fuera de la vigencia 2027",IF(ISERROR(SEARCH("@itc.edu.co",V28)),"El responsable no tiene correo institucional",IF(ISERROR(SEARCH(Z28,INDEX(Catalogos!$Z$5:$Z$25,MATCH(AA28,L_IMP,0)))),"La dimensión no corresponde al indicador de impacto","OK")))))))</f>
        <v/>
      </c>
    </row>
    <row r="29" ht="120" customHeight="1" s="23">
      <c r="A29" s="80">
        <f>Base_OAPDI!A26</f>
        <v/>
      </c>
      <c r="B29" s="80">
        <f>Base_OAPDI!B26</f>
        <v/>
      </c>
      <c r="C29" s="80">
        <f>Base_OAPDI!D26</f>
        <v/>
      </c>
      <c r="D29" s="80">
        <f>Base_OAPDI!E26</f>
        <v/>
      </c>
      <c r="E29" s="80">
        <f>Base_OAPDI!F26</f>
        <v/>
      </c>
      <c r="F29" s="80">
        <f>Base_OAPDI!G26</f>
        <v/>
      </c>
      <c r="G29" s="80">
        <f>Base_OAPDI!H26</f>
        <v/>
      </c>
      <c r="H29" s="80">
        <f>Base_OAPDI!I26</f>
        <v/>
      </c>
      <c r="I29" s="80">
        <f>Base_OAPDI!J26</f>
        <v/>
      </c>
      <c r="J29" s="80">
        <f>Base_OAPDI!K26</f>
        <v/>
      </c>
      <c r="K29" s="80">
        <f>Base_OAPDI!L26</f>
        <v/>
      </c>
      <c r="L29" s="80">
        <f>Base_OAPDI!N26</f>
        <v/>
      </c>
      <c r="M29" s="80">
        <f>Base_OAPDI!P26</f>
        <v/>
      </c>
      <c r="N29" s="80">
        <f>Base_OAPDI!Q26</f>
        <v/>
      </c>
      <c r="O29" s="80">
        <f>Base_OAPDI!R26</f>
        <v/>
      </c>
      <c r="P29" s="80">
        <f>Base_OAPDI!S26</f>
        <v/>
      </c>
      <c r="Q29" s="81" t="n"/>
      <c r="R29" s="81" t="n"/>
      <c r="S29" s="81" t="n"/>
      <c r="T29" s="82" t="n"/>
      <c r="U29" s="82" t="n"/>
      <c r="V29" s="81" t="n"/>
      <c r="W29" s="81" t="n"/>
      <c r="X29" s="81" t="n"/>
      <c r="Y29" s="81" t="n"/>
      <c r="Z29" s="81" t="n"/>
      <c r="AA29" s="81" t="n"/>
      <c r="AB29" s="80">
        <f>IF(AA29="","",INDEX(Catalogos!$Y$5:$Y$25,MATCH(AA29,L_IMP,0)))</f>
        <v/>
      </c>
      <c r="AC29" s="81" t="n"/>
      <c r="AD29" s="81" t="n"/>
      <c r="AE29" s="81" t="n"/>
      <c r="AF29" s="83">
        <f>IF(Q29="","Pendiente por formular",IF(OR(S29="",T29="",U29="",V29="",W29="",X29="",Z29="",AA29=""),"Incompleta: faltan campos obligatorios",IF(OR(NOT(ISNUMBER(T29)),NOT(ISNUMBER(U29))),"Fecha inválida",IF(U29&lt;T29,"La fecha de fin es anterior a la de inicio",IF(OR(YEAR(T29)&lt;&gt;2027,YEAR(U29)&lt;&gt;2027),"Fechas fuera de la vigencia 2027",IF(ISERROR(SEARCH("@itc.edu.co",V29)),"El responsable no tiene correo institucional",IF(ISERROR(SEARCH(Z29,INDEX(Catalogos!$Z$5:$Z$25,MATCH(AA29,L_IMP,0)))),"La dimensión no corresponde al indicador de impacto","OK")))))))</f>
        <v/>
      </c>
    </row>
    <row r="30" ht="120" customHeight="1" s="23">
      <c r="A30" s="80">
        <f>Base_OAPDI!A27</f>
        <v/>
      </c>
      <c r="B30" s="80">
        <f>Base_OAPDI!B27</f>
        <v/>
      </c>
      <c r="C30" s="80">
        <f>Base_OAPDI!D27</f>
        <v/>
      </c>
      <c r="D30" s="80">
        <f>Base_OAPDI!E27</f>
        <v/>
      </c>
      <c r="E30" s="80">
        <f>Base_OAPDI!F27</f>
        <v/>
      </c>
      <c r="F30" s="80">
        <f>Base_OAPDI!G27</f>
        <v/>
      </c>
      <c r="G30" s="80">
        <f>Base_OAPDI!H27</f>
        <v/>
      </c>
      <c r="H30" s="80">
        <f>Base_OAPDI!I27</f>
        <v/>
      </c>
      <c r="I30" s="80">
        <f>Base_OAPDI!J27</f>
        <v/>
      </c>
      <c r="J30" s="80">
        <f>Base_OAPDI!K27</f>
        <v/>
      </c>
      <c r="K30" s="80">
        <f>Base_OAPDI!L27</f>
        <v/>
      </c>
      <c r="L30" s="80">
        <f>Base_OAPDI!N27</f>
        <v/>
      </c>
      <c r="M30" s="80">
        <f>Base_OAPDI!P27</f>
        <v/>
      </c>
      <c r="N30" s="80">
        <f>Base_OAPDI!Q27</f>
        <v/>
      </c>
      <c r="O30" s="80">
        <f>Base_OAPDI!R27</f>
        <v/>
      </c>
      <c r="P30" s="80">
        <f>Base_OAPDI!S27</f>
        <v/>
      </c>
      <c r="Q30" s="81" t="n"/>
      <c r="R30" s="81" t="n"/>
      <c r="S30" s="81" t="n"/>
      <c r="T30" s="82" t="n"/>
      <c r="U30" s="82" t="n"/>
      <c r="V30" s="81" t="n"/>
      <c r="W30" s="81" t="n"/>
      <c r="X30" s="81" t="n"/>
      <c r="Y30" s="81" t="n"/>
      <c r="Z30" s="81" t="n"/>
      <c r="AA30" s="81" t="n"/>
      <c r="AB30" s="80">
        <f>IF(AA30="","",INDEX(Catalogos!$Y$5:$Y$25,MATCH(AA30,L_IMP,0)))</f>
        <v/>
      </c>
      <c r="AC30" s="81" t="n"/>
      <c r="AD30" s="81" t="n"/>
      <c r="AE30" s="81" t="n"/>
      <c r="AF30" s="83">
        <f>IF(Q30="","Pendiente por formular",IF(OR(S30="",T30="",U30="",V30="",W30="",X30="",Z30="",AA30=""),"Incompleta: faltan campos obligatorios",IF(OR(NOT(ISNUMBER(T30)),NOT(ISNUMBER(U30))),"Fecha inválida",IF(U30&lt;T30,"La fecha de fin es anterior a la de inicio",IF(OR(YEAR(T30)&lt;&gt;2027,YEAR(U30)&lt;&gt;2027),"Fechas fuera de la vigencia 2027",IF(ISERROR(SEARCH("@itc.edu.co",V30)),"El responsable no tiene correo institucional",IF(ISERROR(SEARCH(Z30,INDEX(Catalogos!$Z$5:$Z$25,MATCH(AA30,L_IMP,0)))),"La dimensión no corresponde al indicador de impacto","OK")))))))</f>
        <v/>
      </c>
    </row>
    <row r="31" ht="165" customHeight="1" s="23">
      <c r="A31" s="80">
        <f>Base_OAPDI!A28</f>
        <v/>
      </c>
      <c r="B31" s="80">
        <f>Base_OAPDI!B28</f>
        <v/>
      </c>
      <c r="C31" s="80">
        <f>Base_OAPDI!D28</f>
        <v/>
      </c>
      <c r="D31" s="80">
        <f>Base_OAPDI!E28</f>
        <v/>
      </c>
      <c r="E31" s="80">
        <f>Base_OAPDI!F28</f>
        <v/>
      </c>
      <c r="F31" s="80">
        <f>Base_OAPDI!G28</f>
        <v/>
      </c>
      <c r="G31" s="80">
        <f>Base_OAPDI!H28</f>
        <v/>
      </c>
      <c r="H31" s="80">
        <f>Base_OAPDI!I28</f>
        <v/>
      </c>
      <c r="I31" s="80">
        <f>Base_OAPDI!J28</f>
        <v/>
      </c>
      <c r="J31" s="80">
        <f>Base_OAPDI!K28</f>
        <v/>
      </c>
      <c r="K31" s="80">
        <f>Base_OAPDI!L28</f>
        <v/>
      </c>
      <c r="L31" s="80">
        <f>Base_OAPDI!N28</f>
        <v/>
      </c>
      <c r="M31" s="80">
        <f>Base_OAPDI!P28</f>
        <v/>
      </c>
      <c r="N31" s="80">
        <f>Base_OAPDI!Q28</f>
        <v/>
      </c>
      <c r="O31" s="80">
        <f>Base_OAPDI!R28</f>
        <v/>
      </c>
      <c r="P31" s="80">
        <f>Base_OAPDI!S28</f>
        <v/>
      </c>
      <c r="Q31" s="81" t="n"/>
      <c r="R31" s="81" t="n"/>
      <c r="S31" s="81" t="n"/>
      <c r="T31" s="82" t="n"/>
      <c r="U31" s="82" t="n"/>
      <c r="V31" s="81" t="n"/>
      <c r="W31" s="81" t="n"/>
      <c r="X31" s="81" t="n"/>
      <c r="Y31" s="81" t="n"/>
      <c r="Z31" s="81" t="n"/>
      <c r="AA31" s="81" t="n"/>
      <c r="AB31" s="80">
        <f>IF(AA31="","",INDEX(Catalogos!$Y$5:$Y$25,MATCH(AA31,L_IMP,0)))</f>
        <v/>
      </c>
      <c r="AC31" s="81" t="n"/>
      <c r="AD31" s="81" t="n"/>
      <c r="AE31" s="81" t="n"/>
      <c r="AF31" s="83">
        <f>IF(Q31="","Pendiente por formular",IF(OR(S31="",T31="",U31="",V31="",W31="",X31="",Z31="",AA31=""),"Incompleta: faltan campos obligatorios",IF(OR(NOT(ISNUMBER(T31)),NOT(ISNUMBER(U31))),"Fecha inválida",IF(U31&lt;T31,"La fecha de fin es anterior a la de inicio",IF(OR(YEAR(T31)&lt;&gt;2027,YEAR(U31)&lt;&gt;2027),"Fechas fuera de la vigencia 2027",IF(ISERROR(SEARCH("@itc.edu.co",V31)),"El responsable no tiene correo institucional",IF(ISERROR(SEARCH(Z31,INDEX(Catalogos!$Z$5:$Z$25,MATCH(AA31,L_IMP,0)))),"La dimensión no corresponde al indicador de impacto","OK")))))))</f>
        <v/>
      </c>
    </row>
    <row r="32" ht="165" customHeight="1" s="23">
      <c r="A32" s="80">
        <f>Base_OAPDI!A29</f>
        <v/>
      </c>
      <c r="B32" s="80">
        <f>Base_OAPDI!B29</f>
        <v/>
      </c>
      <c r="C32" s="80">
        <f>Base_OAPDI!D29</f>
        <v/>
      </c>
      <c r="D32" s="80">
        <f>Base_OAPDI!E29</f>
        <v/>
      </c>
      <c r="E32" s="80">
        <f>Base_OAPDI!F29</f>
        <v/>
      </c>
      <c r="F32" s="80">
        <f>Base_OAPDI!G29</f>
        <v/>
      </c>
      <c r="G32" s="80">
        <f>Base_OAPDI!H29</f>
        <v/>
      </c>
      <c r="H32" s="80">
        <f>Base_OAPDI!I29</f>
        <v/>
      </c>
      <c r="I32" s="80">
        <f>Base_OAPDI!J29</f>
        <v/>
      </c>
      <c r="J32" s="80">
        <f>Base_OAPDI!K29</f>
        <v/>
      </c>
      <c r="K32" s="80">
        <f>Base_OAPDI!L29</f>
        <v/>
      </c>
      <c r="L32" s="80">
        <f>Base_OAPDI!N29</f>
        <v/>
      </c>
      <c r="M32" s="80">
        <f>Base_OAPDI!P29</f>
        <v/>
      </c>
      <c r="N32" s="80">
        <f>Base_OAPDI!Q29</f>
        <v/>
      </c>
      <c r="O32" s="80">
        <f>Base_OAPDI!R29</f>
        <v/>
      </c>
      <c r="P32" s="80">
        <f>Base_OAPDI!S29</f>
        <v/>
      </c>
      <c r="Q32" s="81" t="n"/>
      <c r="R32" s="81" t="n"/>
      <c r="S32" s="81" t="n"/>
      <c r="T32" s="82" t="n"/>
      <c r="U32" s="82" t="n"/>
      <c r="V32" s="81" t="n"/>
      <c r="W32" s="81" t="n"/>
      <c r="X32" s="81" t="n"/>
      <c r="Y32" s="81" t="n"/>
      <c r="Z32" s="81" t="n"/>
      <c r="AA32" s="81" t="n"/>
      <c r="AB32" s="80">
        <f>IF(AA32="","",INDEX(Catalogos!$Y$5:$Y$25,MATCH(AA32,L_IMP,0)))</f>
        <v/>
      </c>
      <c r="AC32" s="81" t="n"/>
      <c r="AD32" s="81" t="n"/>
      <c r="AE32" s="81" t="n"/>
      <c r="AF32" s="83">
        <f>IF(Q32="","Pendiente por formular",IF(OR(S32="",T32="",U32="",V32="",W32="",X32="",Z32="",AA32=""),"Incompleta: faltan campos obligatorios",IF(OR(NOT(ISNUMBER(T32)),NOT(ISNUMBER(U32))),"Fecha inválida",IF(U32&lt;T32,"La fecha de fin es anterior a la de inicio",IF(OR(YEAR(T32)&lt;&gt;2027,YEAR(U32)&lt;&gt;2027),"Fechas fuera de la vigencia 2027",IF(ISERROR(SEARCH("@itc.edu.co",V32)),"El responsable no tiene correo institucional",IF(ISERROR(SEARCH(Z32,INDEX(Catalogos!$Z$5:$Z$25,MATCH(AA32,L_IMP,0)))),"La dimensión no corresponde al indicador de impacto","OK")))))))</f>
        <v/>
      </c>
    </row>
    <row r="33" ht="75" customHeight="1" s="23">
      <c r="A33" s="80">
        <f>Base_OAPDI!A30</f>
        <v/>
      </c>
      <c r="B33" s="80">
        <f>Base_OAPDI!B30</f>
        <v/>
      </c>
      <c r="C33" s="80">
        <f>Base_OAPDI!D30</f>
        <v/>
      </c>
      <c r="D33" s="80">
        <f>Base_OAPDI!E30</f>
        <v/>
      </c>
      <c r="E33" s="80">
        <f>Base_OAPDI!F30</f>
        <v/>
      </c>
      <c r="F33" s="80">
        <f>Base_OAPDI!G30</f>
        <v/>
      </c>
      <c r="G33" s="80">
        <f>Base_OAPDI!H30</f>
        <v/>
      </c>
      <c r="H33" s="80">
        <f>Base_OAPDI!I30</f>
        <v/>
      </c>
      <c r="I33" s="80">
        <f>Base_OAPDI!J30</f>
        <v/>
      </c>
      <c r="J33" s="80">
        <f>Base_OAPDI!K30</f>
        <v/>
      </c>
      <c r="K33" s="80">
        <f>Base_OAPDI!L30</f>
        <v/>
      </c>
      <c r="L33" s="80">
        <f>Base_OAPDI!N30</f>
        <v/>
      </c>
      <c r="M33" s="80">
        <f>Base_OAPDI!P30</f>
        <v/>
      </c>
      <c r="N33" s="80">
        <f>Base_OAPDI!Q30</f>
        <v/>
      </c>
      <c r="O33" s="80">
        <f>Base_OAPDI!R30</f>
        <v/>
      </c>
      <c r="P33" s="80">
        <f>Base_OAPDI!S30</f>
        <v/>
      </c>
      <c r="Q33" s="81" t="n"/>
      <c r="R33" s="81" t="n"/>
      <c r="S33" s="81" t="n"/>
      <c r="T33" s="82" t="n"/>
      <c r="U33" s="82" t="n"/>
      <c r="V33" s="81" t="n"/>
      <c r="W33" s="81" t="n"/>
      <c r="X33" s="81" t="n"/>
      <c r="Y33" s="81" t="n"/>
      <c r="Z33" s="81" t="n"/>
      <c r="AA33" s="81" t="n"/>
      <c r="AB33" s="80">
        <f>IF(AA33="","",INDEX(Catalogos!$Y$5:$Y$25,MATCH(AA33,L_IMP,0)))</f>
        <v/>
      </c>
      <c r="AC33" s="81" t="n"/>
      <c r="AD33" s="81" t="n"/>
      <c r="AE33" s="81" t="n"/>
      <c r="AF33" s="83">
        <f>IF(Q33="","Pendiente por formular",IF(OR(S33="",T33="",U33="",V33="",W33="",X33="",Z33="",AA33=""),"Incompleta: faltan campos obligatorios",IF(OR(NOT(ISNUMBER(T33)),NOT(ISNUMBER(U33))),"Fecha inválida",IF(U33&lt;T33,"La fecha de fin es anterior a la de inicio",IF(OR(YEAR(T33)&lt;&gt;2027,YEAR(U33)&lt;&gt;2027),"Fechas fuera de la vigencia 2027",IF(ISERROR(SEARCH("@itc.edu.co",V33)),"El responsable no tiene correo institucional",IF(ISERROR(SEARCH(Z33,INDEX(Catalogos!$Z$5:$Z$25,MATCH(AA33,L_IMP,0)))),"La dimensión no corresponde al indicador de impacto","OK")))))))</f>
        <v/>
      </c>
    </row>
    <row r="34" ht="120" customHeight="1" s="23">
      <c r="A34" s="80">
        <f>Base_OAPDI!A31</f>
        <v/>
      </c>
      <c r="B34" s="80">
        <f>Base_OAPDI!B31</f>
        <v/>
      </c>
      <c r="C34" s="80">
        <f>Base_OAPDI!D31</f>
        <v/>
      </c>
      <c r="D34" s="80">
        <f>Base_OAPDI!E31</f>
        <v/>
      </c>
      <c r="E34" s="80">
        <f>Base_OAPDI!F31</f>
        <v/>
      </c>
      <c r="F34" s="80">
        <f>Base_OAPDI!G31</f>
        <v/>
      </c>
      <c r="G34" s="80">
        <f>Base_OAPDI!H31</f>
        <v/>
      </c>
      <c r="H34" s="80">
        <f>Base_OAPDI!I31</f>
        <v/>
      </c>
      <c r="I34" s="80">
        <f>Base_OAPDI!J31</f>
        <v/>
      </c>
      <c r="J34" s="80">
        <f>Base_OAPDI!K31</f>
        <v/>
      </c>
      <c r="K34" s="80">
        <f>Base_OAPDI!L31</f>
        <v/>
      </c>
      <c r="L34" s="80">
        <f>Base_OAPDI!N31</f>
        <v/>
      </c>
      <c r="M34" s="80">
        <f>Base_OAPDI!P31</f>
        <v/>
      </c>
      <c r="N34" s="80">
        <f>Base_OAPDI!Q31</f>
        <v/>
      </c>
      <c r="O34" s="80">
        <f>Base_OAPDI!R31</f>
        <v/>
      </c>
      <c r="P34" s="80">
        <f>Base_OAPDI!S31</f>
        <v/>
      </c>
      <c r="Q34" s="81" t="n"/>
      <c r="R34" s="81" t="n"/>
      <c r="S34" s="81" t="n"/>
      <c r="T34" s="82" t="n"/>
      <c r="U34" s="82" t="n"/>
      <c r="V34" s="81" t="n"/>
      <c r="W34" s="81" t="n"/>
      <c r="X34" s="81" t="n"/>
      <c r="Y34" s="81" t="n"/>
      <c r="Z34" s="81" t="n"/>
      <c r="AA34" s="81" t="n"/>
      <c r="AB34" s="80">
        <f>IF(AA34="","",INDEX(Catalogos!$Y$5:$Y$25,MATCH(AA34,L_IMP,0)))</f>
        <v/>
      </c>
      <c r="AC34" s="81" t="n"/>
      <c r="AD34" s="81" t="n"/>
      <c r="AE34" s="81" t="n"/>
      <c r="AF34" s="83">
        <f>IF(Q34="","Pendiente por formular",IF(OR(S34="",T34="",U34="",V34="",W34="",X34="",Z34="",AA34=""),"Incompleta: faltan campos obligatorios",IF(OR(NOT(ISNUMBER(T34)),NOT(ISNUMBER(U34))),"Fecha inválida",IF(U34&lt;T34,"La fecha de fin es anterior a la de inicio",IF(OR(YEAR(T34)&lt;&gt;2027,YEAR(U34)&lt;&gt;2027),"Fechas fuera de la vigencia 2027",IF(ISERROR(SEARCH("@itc.edu.co",V34)),"El responsable no tiene correo institucional",IF(ISERROR(SEARCH(Z34,INDEX(Catalogos!$Z$5:$Z$25,MATCH(AA34,L_IMP,0)))),"La dimensión no corresponde al indicador de impacto","OK")))))))</f>
        <v/>
      </c>
    </row>
    <row r="35" ht="210" customHeight="1" s="23">
      <c r="A35" s="80">
        <f>Base_OAPDI!A32</f>
        <v/>
      </c>
      <c r="B35" s="80">
        <f>Base_OAPDI!B32</f>
        <v/>
      </c>
      <c r="C35" s="80">
        <f>Base_OAPDI!D32</f>
        <v/>
      </c>
      <c r="D35" s="80">
        <f>Base_OAPDI!E32</f>
        <v/>
      </c>
      <c r="E35" s="80">
        <f>Base_OAPDI!F32</f>
        <v/>
      </c>
      <c r="F35" s="80">
        <f>Base_OAPDI!G32</f>
        <v/>
      </c>
      <c r="G35" s="80">
        <f>Base_OAPDI!H32</f>
        <v/>
      </c>
      <c r="H35" s="80">
        <f>Base_OAPDI!I32</f>
        <v/>
      </c>
      <c r="I35" s="80">
        <f>Base_OAPDI!J32</f>
        <v/>
      </c>
      <c r="J35" s="80">
        <f>Base_OAPDI!K32</f>
        <v/>
      </c>
      <c r="K35" s="80">
        <f>Base_OAPDI!L32</f>
        <v/>
      </c>
      <c r="L35" s="80">
        <f>Base_OAPDI!N32</f>
        <v/>
      </c>
      <c r="M35" s="80">
        <f>Base_OAPDI!P32</f>
        <v/>
      </c>
      <c r="N35" s="80">
        <f>Base_OAPDI!Q32</f>
        <v/>
      </c>
      <c r="O35" s="80">
        <f>Base_OAPDI!R32</f>
        <v/>
      </c>
      <c r="P35" s="80">
        <f>Base_OAPDI!S32</f>
        <v/>
      </c>
      <c r="Q35" s="81" t="n"/>
      <c r="R35" s="81" t="n"/>
      <c r="S35" s="81" t="n"/>
      <c r="T35" s="82" t="n"/>
      <c r="U35" s="82" t="n"/>
      <c r="V35" s="81" t="n"/>
      <c r="W35" s="81" t="n"/>
      <c r="X35" s="81" t="n"/>
      <c r="Y35" s="81" t="n"/>
      <c r="Z35" s="81" t="n"/>
      <c r="AA35" s="81" t="n"/>
      <c r="AB35" s="80">
        <f>IF(AA35="","",INDEX(Catalogos!$Y$5:$Y$25,MATCH(AA35,L_IMP,0)))</f>
        <v/>
      </c>
      <c r="AC35" s="81" t="n"/>
      <c r="AD35" s="81" t="n"/>
      <c r="AE35" s="81" t="n"/>
      <c r="AF35" s="83">
        <f>IF(Q35="","Pendiente por formular",IF(OR(S35="",T35="",U35="",V35="",W35="",X35="",Z35="",AA35=""),"Incompleta: faltan campos obligatorios",IF(OR(NOT(ISNUMBER(T35)),NOT(ISNUMBER(U35))),"Fecha inválida",IF(U35&lt;T35,"La fecha de fin es anterior a la de inicio",IF(OR(YEAR(T35)&lt;&gt;2027,YEAR(U35)&lt;&gt;2027),"Fechas fuera de la vigencia 2027",IF(ISERROR(SEARCH("@itc.edu.co",V35)),"El responsable no tiene correo institucional",IF(ISERROR(SEARCH(Z35,INDEX(Catalogos!$Z$5:$Z$25,MATCH(AA35,L_IMP,0)))),"La dimensión no corresponde al indicador de impacto","OK")))))))</f>
        <v/>
      </c>
    </row>
    <row r="36" ht="105" customHeight="1" s="23">
      <c r="A36" s="80">
        <f>Base_OAPDI!A33</f>
        <v/>
      </c>
      <c r="B36" s="80">
        <f>Base_OAPDI!B33</f>
        <v/>
      </c>
      <c r="C36" s="80">
        <f>Base_OAPDI!D33</f>
        <v/>
      </c>
      <c r="D36" s="80">
        <f>Base_OAPDI!E33</f>
        <v/>
      </c>
      <c r="E36" s="80">
        <f>Base_OAPDI!F33</f>
        <v/>
      </c>
      <c r="F36" s="80">
        <f>Base_OAPDI!G33</f>
        <v/>
      </c>
      <c r="G36" s="80">
        <f>Base_OAPDI!H33</f>
        <v/>
      </c>
      <c r="H36" s="80">
        <f>Base_OAPDI!I33</f>
        <v/>
      </c>
      <c r="I36" s="80">
        <f>Base_OAPDI!J33</f>
        <v/>
      </c>
      <c r="J36" s="80">
        <f>Base_OAPDI!K33</f>
        <v/>
      </c>
      <c r="K36" s="80">
        <f>Base_OAPDI!L33</f>
        <v/>
      </c>
      <c r="L36" s="80">
        <f>Base_OAPDI!N33</f>
        <v/>
      </c>
      <c r="M36" s="80">
        <f>Base_OAPDI!P33</f>
        <v/>
      </c>
      <c r="N36" s="80">
        <f>Base_OAPDI!Q33</f>
        <v/>
      </c>
      <c r="O36" s="80">
        <f>Base_OAPDI!R33</f>
        <v/>
      </c>
      <c r="P36" s="80">
        <f>Base_OAPDI!S33</f>
        <v/>
      </c>
      <c r="Q36" s="81" t="n"/>
      <c r="R36" s="81" t="n"/>
      <c r="S36" s="81" t="n"/>
      <c r="T36" s="82" t="n"/>
      <c r="U36" s="82" t="n"/>
      <c r="V36" s="81" t="n"/>
      <c r="W36" s="81" t="n"/>
      <c r="X36" s="81" t="n"/>
      <c r="Y36" s="81" t="n"/>
      <c r="Z36" s="81" t="n"/>
      <c r="AA36" s="81" t="n"/>
      <c r="AB36" s="80">
        <f>IF(AA36="","",INDEX(Catalogos!$Y$5:$Y$25,MATCH(AA36,L_IMP,0)))</f>
        <v/>
      </c>
      <c r="AC36" s="81" t="n"/>
      <c r="AD36" s="81" t="n"/>
      <c r="AE36" s="81" t="n"/>
      <c r="AF36" s="83">
        <f>IF(Q36="","Pendiente por formular",IF(OR(S36="",T36="",U36="",V36="",W36="",X36="",Z36="",AA36=""),"Incompleta: faltan campos obligatorios",IF(OR(NOT(ISNUMBER(T36)),NOT(ISNUMBER(U36))),"Fecha inválida",IF(U36&lt;T36,"La fecha de fin es anterior a la de inicio",IF(OR(YEAR(T36)&lt;&gt;2027,YEAR(U36)&lt;&gt;2027),"Fechas fuera de la vigencia 2027",IF(ISERROR(SEARCH("@itc.edu.co",V36)),"El responsable no tiene correo institucional",IF(ISERROR(SEARCH(Z36,INDEX(Catalogos!$Z$5:$Z$25,MATCH(AA36,L_IMP,0)))),"La dimensión no corresponde al indicador de impacto","OK")))))))</f>
        <v/>
      </c>
    </row>
    <row r="37" ht="260" customHeight="1" s="23">
      <c r="A37" s="80">
        <f>Base_OAPDI!A34</f>
        <v/>
      </c>
      <c r="B37" s="80">
        <f>Base_OAPDI!B34</f>
        <v/>
      </c>
      <c r="C37" s="80">
        <f>Base_OAPDI!D34</f>
        <v/>
      </c>
      <c r="D37" s="80">
        <f>Base_OAPDI!E34</f>
        <v/>
      </c>
      <c r="E37" s="80">
        <f>Base_OAPDI!F34</f>
        <v/>
      </c>
      <c r="F37" s="80">
        <f>Base_OAPDI!G34</f>
        <v/>
      </c>
      <c r="G37" s="80">
        <f>Base_OAPDI!H34</f>
        <v/>
      </c>
      <c r="H37" s="80">
        <f>Base_OAPDI!I34</f>
        <v/>
      </c>
      <c r="I37" s="80">
        <f>Base_OAPDI!J34</f>
        <v/>
      </c>
      <c r="J37" s="80">
        <f>Base_OAPDI!K34</f>
        <v/>
      </c>
      <c r="K37" s="80">
        <f>Base_OAPDI!L34</f>
        <v/>
      </c>
      <c r="L37" s="80">
        <f>Base_OAPDI!N34</f>
        <v/>
      </c>
      <c r="M37" s="80">
        <f>Base_OAPDI!P34</f>
        <v/>
      </c>
      <c r="N37" s="80">
        <f>Base_OAPDI!Q34</f>
        <v/>
      </c>
      <c r="O37" s="80">
        <f>Base_OAPDI!R34</f>
        <v/>
      </c>
      <c r="P37" s="80">
        <f>Base_OAPDI!S34</f>
        <v/>
      </c>
      <c r="Q37" s="81" t="n"/>
      <c r="R37" s="81" t="n"/>
      <c r="S37" s="81" t="n"/>
      <c r="T37" s="82" t="n"/>
      <c r="U37" s="82" t="n"/>
      <c r="V37" s="81" t="n"/>
      <c r="W37" s="81" t="n"/>
      <c r="X37" s="81" t="n"/>
      <c r="Y37" s="81" t="n"/>
      <c r="Z37" s="81" t="n"/>
      <c r="AA37" s="81" t="n"/>
      <c r="AB37" s="80">
        <f>IF(AA37="","",INDEX(Catalogos!$Y$5:$Y$25,MATCH(AA37,L_IMP,0)))</f>
        <v/>
      </c>
      <c r="AC37" s="81" t="n"/>
      <c r="AD37" s="81" t="n"/>
      <c r="AE37" s="81" t="n"/>
      <c r="AF37" s="83">
        <f>IF(Q37="","Pendiente por formular",IF(OR(S37="",T37="",U37="",V37="",W37="",X37="",Z37="",AA37=""),"Incompleta: faltan campos obligatorios",IF(OR(NOT(ISNUMBER(T37)),NOT(ISNUMBER(U37))),"Fecha inválida",IF(U37&lt;T37,"La fecha de fin es anterior a la de inicio",IF(OR(YEAR(T37)&lt;&gt;2027,YEAR(U37)&lt;&gt;2027),"Fechas fuera de la vigencia 2027",IF(ISERROR(SEARCH("@itc.edu.co",V37)),"El responsable no tiene correo institucional",IF(ISERROR(SEARCH(Z37,INDEX(Catalogos!$Z$5:$Z$25,MATCH(AA37,L_IMP,0)))),"La dimensión no corresponde al indicador de impacto","OK")))))))</f>
        <v/>
      </c>
    </row>
    <row r="38" ht="150" customHeight="1" s="23">
      <c r="A38" s="80">
        <f>Base_OAPDI!A35</f>
        <v/>
      </c>
      <c r="B38" s="80">
        <f>Base_OAPDI!B35</f>
        <v/>
      </c>
      <c r="C38" s="80">
        <f>Base_OAPDI!D35</f>
        <v/>
      </c>
      <c r="D38" s="80">
        <f>Base_OAPDI!E35</f>
        <v/>
      </c>
      <c r="E38" s="80">
        <f>Base_OAPDI!F35</f>
        <v/>
      </c>
      <c r="F38" s="80">
        <f>Base_OAPDI!G35</f>
        <v/>
      </c>
      <c r="G38" s="80">
        <f>Base_OAPDI!H35</f>
        <v/>
      </c>
      <c r="H38" s="80">
        <f>Base_OAPDI!I35</f>
        <v/>
      </c>
      <c r="I38" s="80">
        <f>Base_OAPDI!J35</f>
        <v/>
      </c>
      <c r="J38" s="80">
        <f>Base_OAPDI!K35</f>
        <v/>
      </c>
      <c r="K38" s="80">
        <f>Base_OAPDI!L35</f>
        <v/>
      </c>
      <c r="L38" s="80">
        <f>Base_OAPDI!N35</f>
        <v/>
      </c>
      <c r="M38" s="80">
        <f>Base_OAPDI!P35</f>
        <v/>
      </c>
      <c r="N38" s="80">
        <f>Base_OAPDI!Q35</f>
        <v/>
      </c>
      <c r="O38" s="80">
        <f>Base_OAPDI!R35</f>
        <v/>
      </c>
      <c r="P38" s="80">
        <f>Base_OAPDI!S35</f>
        <v/>
      </c>
      <c r="Q38" s="81" t="n"/>
      <c r="R38" s="81" t="n"/>
      <c r="S38" s="81" t="n"/>
      <c r="T38" s="82" t="n"/>
      <c r="U38" s="82" t="n"/>
      <c r="V38" s="81" t="n"/>
      <c r="W38" s="81" t="n"/>
      <c r="X38" s="81" t="n"/>
      <c r="Y38" s="81" t="n"/>
      <c r="Z38" s="81" t="n"/>
      <c r="AA38" s="81" t="n"/>
      <c r="AB38" s="80">
        <f>IF(AA38="","",INDEX(Catalogos!$Y$5:$Y$25,MATCH(AA38,L_IMP,0)))</f>
        <v/>
      </c>
      <c r="AC38" s="81" t="n"/>
      <c r="AD38" s="81" t="n"/>
      <c r="AE38" s="81" t="n"/>
      <c r="AF38" s="83">
        <f>IF(Q38="","Pendiente por formular",IF(OR(S38="",T38="",U38="",V38="",W38="",X38="",Z38="",AA38=""),"Incompleta: faltan campos obligatorios",IF(OR(NOT(ISNUMBER(T38)),NOT(ISNUMBER(U38))),"Fecha inválida",IF(U38&lt;T38,"La fecha de fin es anterior a la de inicio",IF(OR(YEAR(T38)&lt;&gt;2027,YEAR(U38)&lt;&gt;2027),"Fechas fuera de la vigencia 2027",IF(ISERROR(SEARCH("@itc.edu.co",V38)),"El responsable no tiene correo institucional",IF(ISERROR(SEARCH(Z38,INDEX(Catalogos!$Z$5:$Z$25,MATCH(AA38,L_IMP,0)))),"La dimensión no corresponde al indicador de impacto","OK")))))))</f>
        <v/>
      </c>
    </row>
    <row r="39" ht="105" customHeight="1" s="23">
      <c r="A39" s="80">
        <f>Base_OAPDI!A36</f>
        <v/>
      </c>
      <c r="B39" s="80">
        <f>Base_OAPDI!B36</f>
        <v/>
      </c>
      <c r="C39" s="80">
        <f>Base_OAPDI!D36</f>
        <v/>
      </c>
      <c r="D39" s="80">
        <f>Base_OAPDI!E36</f>
        <v/>
      </c>
      <c r="E39" s="80">
        <f>Base_OAPDI!F36</f>
        <v/>
      </c>
      <c r="F39" s="80">
        <f>Base_OAPDI!G36</f>
        <v/>
      </c>
      <c r="G39" s="80">
        <f>Base_OAPDI!H36</f>
        <v/>
      </c>
      <c r="H39" s="80">
        <f>Base_OAPDI!I36</f>
        <v/>
      </c>
      <c r="I39" s="80">
        <f>Base_OAPDI!J36</f>
        <v/>
      </c>
      <c r="J39" s="80">
        <f>Base_OAPDI!K36</f>
        <v/>
      </c>
      <c r="K39" s="80">
        <f>Base_OAPDI!L36</f>
        <v/>
      </c>
      <c r="L39" s="80">
        <f>Base_OAPDI!N36</f>
        <v/>
      </c>
      <c r="M39" s="80">
        <f>Base_OAPDI!P36</f>
        <v/>
      </c>
      <c r="N39" s="80">
        <f>Base_OAPDI!Q36</f>
        <v/>
      </c>
      <c r="O39" s="80">
        <f>Base_OAPDI!R36</f>
        <v/>
      </c>
      <c r="P39" s="80">
        <f>Base_OAPDI!S36</f>
        <v/>
      </c>
      <c r="Q39" s="81" t="n"/>
      <c r="R39" s="81" t="n"/>
      <c r="S39" s="81" t="n"/>
      <c r="T39" s="82" t="n"/>
      <c r="U39" s="82" t="n"/>
      <c r="V39" s="81" t="n"/>
      <c r="W39" s="81" t="n"/>
      <c r="X39" s="81" t="n"/>
      <c r="Y39" s="81" t="n"/>
      <c r="Z39" s="81" t="n"/>
      <c r="AA39" s="81" t="n"/>
      <c r="AB39" s="80">
        <f>IF(AA39="","",INDEX(Catalogos!$Y$5:$Y$25,MATCH(AA39,L_IMP,0)))</f>
        <v/>
      </c>
      <c r="AC39" s="81" t="n"/>
      <c r="AD39" s="81" t="n"/>
      <c r="AE39" s="81" t="n"/>
      <c r="AF39" s="83">
        <f>IF(Q39="","Pendiente por formular",IF(OR(S39="",T39="",U39="",V39="",W39="",X39="",Z39="",AA39=""),"Incompleta: faltan campos obligatorios",IF(OR(NOT(ISNUMBER(T39)),NOT(ISNUMBER(U39))),"Fecha inválida",IF(U39&lt;T39,"La fecha de fin es anterior a la de inicio",IF(OR(YEAR(T39)&lt;&gt;2027,YEAR(U39)&lt;&gt;2027),"Fechas fuera de la vigencia 2027",IF(ISERROR(SEARCH("@itc.edu.co",V39)),"El responsable no tiene correo institucional",IF(ISERROR(SEARCH(Z39,INDEX(Catalogos!$Z$5:$Z$25,MATCH(AA39,L_IMP,0)))),"La dimensión no corresponde al indicador de impacto","OK")))))))</f>
        <v/>
      </c>
    </row>
    <row r="40" ht="105" customHeight="1" s="23">
      <c r="A40" s="80">
        <f>Base_OAPDI!A37</f>
        <v/>
      </c>
      <c r="B40" s="80">
        <f>Base_OAPDI!B37</f>
        <v/>
      </c>
      <c r="C40" s="80">
        <f>Base_OAPDI!D37</f>
        <v/>
      </c>
      <c r="D40" s="80">
        <f>Base_OAPDI!E37</f>
        <v/>
      </c>
      <c r="E40" s="80">
        <f>Base_OAPDI!F37</f>
        <v/>
      </c>
      <c r="F40" s="80">
        <f>Base_OAPDI!G37</f>
        <v/>
      </c>
      <c r="G40" s="80">
        <f>Base_OAPDI!H37</f>
        <v/>
      </c>
      <c r="H40" s="80">
        <f>Base_OAPDI!I37</f>
        <v/>
      </c>
      <c r="I40" s="80">
        <f>Base_OAPDI!J37</f>
        <v/>
      </c>
      <c r="J40" s="80">
        <f>Base_OAPDI!K37</f>
        <v/>
      </c>
      <c r="K40" s="80">
        <f>Base_OAPDI!L37</f>
        <v/>
      </c>
      <c r="L40" s="80">
        <f>Base_OAPDI!N37</f>
        <v/>
      </c>
      <c r="M40" s="80">
        <f>Base_OAPDI!P37</f>
        <v/>
      </c>
      <c r="N40" s="80">
        <f>Base_OAPDI!Q37</f>
        <v/>
      </c>
      <c r="O40" s="80">
        <f>Base_OAPDI!R37</f>
        <v/>
      </c>
      <c r="P40" s="80">
        <f>Base_OAPDI!S37</f>
        <v/>
      </c>
      <c r="Q40" s="81" t="n"/>
      <c r="R40" s="81" t="n"/>
      <c r="S40" s="81" t="n"/>
      <c r="T40" s="82" t="n"/>
      <c r="U40" s="82" t="n"/>
      <c r="V40" s="81" t="n"/>
      <c r="W40" s="81" t="n"/>
      <c r="X40" s="81" t="n"/>
      <c r="Y40" s="81" t="n"/>
      <c r="Z40" s="81" t="n"/>
      <c r="AA40" s="81" t="n"/>
      <c r="AB40" s="80">
        <f>IF(AA40="","",INDEX(Catalogos!$Y$5:$Y$25,MATCH(AA40,L_IMP,0)))</f>
        <v/>
      </c>
      <c r="AC40" s="81" t="n"/>
      <c r="AD40" s="81" t="n"/>
      <c r="AE40" s="81" t="n"/>
      <c r="AF40" s="83">
        <f>IF(Q40="","Pendiente por formular",IF(OR(S40="",T40="",U40="",V40="",W40="",X40="",Z40="",AA40=""),"Incompleta: faltan campos obligatorios",IF(OR(NOT(ISNUMBER(T40)),NOT(ISNUMBER(U40))),"Fecha inválida",IF(U40&lt;T40,"La fecha de fin es anterior a la de inicio",IF(OR(YEAR(T40)&lt;&gt;2027,YEAR(U40)&lt;&gt;2027),"Fechas fuera de la vigencia 2027",IF(ISERROR(SEARCH("@itc.edu.co",V40)),"El responsable no tiene correo institucional",IF(ISERROR(SEARCH(Z40,INDEX(Catalogos!$Z$5:$Z$25,MATCH(AA40,L_IMP,0)))),"La dimensión no corresponde al indicador de impacto","OK")))))))</f>
        <v/>
      </c>
    </row>
    <row r="41" ht="90" customHeight="1" s="23">
      <c r="A41" s="80">
        <f>Base_OAPDI!A38</f>
        <v/>
      </c>
      <c r="B41" s="80">
        <f>Base_OAPDI!B38</f>
        <v/>
      </c>
      <c r="C41" s="80">
        <f>Base_OAPDI!D38</f>
        <v/>
      </c>
      <c r="D41" s="80">
        <f>Base_OAPDI!E38</f>
        <v/>
      </c>
      <c r="E41" s="80">
        <f>Base_OAPDI!F38</f>
        <v/>
      </c>
      <c r="F41" s="80">
        <f>Base_OAPDI!G38</f>
        <v/>
      </c>
      <c r="G41" s="80">
        <f>Base_OAPDI!H38</f>
        <v/>
      </c>
      <c r="H41" s="80">
        <f>Base_OAPDI!I38</f>
        <v/>
      </c>
      <c r="I41" s="80">
        <f>Base_OAPDI!J38</f>
        <v/>
      </c>
      <c r="J41" s="80">
        <f>Base_OAPDI!K38</f>
        <v/>
      </c>
      <c r="K41" s="80">
        <f>Base_OAPDI!L38</f>
        <v/>
      </c>
      <c r="L41" s="80">
        <f>Base_OAPDI!N38</f>
        <v/>
      </c>
      <c r="M41" s="80">
        <f>Base_OAPDI!P38</f>
        <v/>
      </c>
      <c r="N41" s="80">
        <f>Base_OAPDI!Q38</f>
        <v/>
      </c>
      <c r="O41" s="80">
        <f>Base_OAPDI!R38</f>
        <v/>
      </c>
      <c r="P41" s="80">
        <f>Base_OAPDI!S38</f>
        <v/>
      </c>
      <c r="Q41" s="81" t="n"/>
      <c r="R41" s="81" t="n"/>
      <c r="S41" s="81" t="n"/>
      <c r="T41" s="82" t="n"/>
      <c r="U41" s="82" t="n"/>
      <c r="V41" s="81" t="n"/>
      <c r="W41" s="81" t="n"/>
      <c r="X41" s="81" t="n"/>
      <c r="Y41" s="81" t="n"/>
      <c r="Z41" s="81" t="n"/>
      <c r="AA41" s="81" t="n"/>
      <c r="AB41" s="80">
        <f>IF(AA41="","",INDEX(Catalogos!$Y$5:$Y$25,MATCH(AA41,L_IMP,0)))</f>
        <v/>
      </c>
      <c r="AC41" s="81" t="n"/>
      <c r="AD41" s="81" t="n"/>
      <c r="AE41" s="81" t="n"/>
      <c r="AF41" s="83">
        <f>IF(Q41="","Pendiente por formular",IF(OR(S41="",T41="",U41="",V41="",W41="",X41="",Z41="",AA41=""),"Incompleta: faltan campos obligatorios",IF(OR(NOT(ISNUMBER(T41)),NOT(ISNUMBER(U41))),"Fecha inválida",IF(U41&lt;T41,"La fecha de fin es anterior a la de inicio",IF(OR(YEAR(T41)&lt;&gt;2027,YEAR(U41)&lt;&gt;2027),"Fechas fuera de la vigencia 2027",IF(ISERROR(SEARCH("@itc.edu.co",V41)),"El responsable no tiene correo institucional",IF(ISERROR(SEARCH(Z41,INDEX(Catalogos!$Z$5:$Z$25,MATCH(AA41,L_IMP,0)))),"La dimensión no corresponde al indicador de impacto","OK")))))))</f>
        <v/>
      </c>
    </row>
    <row r="42" ht="90" customHeight="1" s="23">
      <c r="A42" s="80">
        <f>Base_OAPDI!A39</f>
        <v/>
      </c>
      <c r="B42" s="80">
        <f>Base_OAPDI!B39</f>
        <v/>
      </c>
      <c r="C42" s="80">
        <f>Base_OAPDI!D39</f>
        <v/>
      </c>
      <c r="D42" s="80">
        <f>Base_OAPDI!E39</f>
        <v/>
      </c>
      <c r="E42" s="80">
        <f>Base_OAPDI!F39</f>
        <v/>
      </c>
      <c r="F42" s="80">
        <f>Base_OAPDI!G39</f>
        <v/>
      </c>
      <c r="G42" s="80">
        <f>Base_OAPDI!H39</f>
        <v/>
      </c>
      <c r="H42" s="80">
        <f>Base_OAPDI!I39</f>
        <v/>
      </c>
      <c r="I42" s="80">
        <f>Base_OAPDI!J39</f>
        <v/>
      </c>
      <c r="J42" s="80">
        <f>Base_OAPDI!K39</f>
        <v/>
      </c>
      <c r="K42" s="80">
        <f>Base_OAPDI!L39</f>
        <v/>
      </c>
      <c r="L42" s="80">
        <f>Base_OAPDI!N39</f>
        <v/>
      </c>
      <c r="M42" s="80">
        <f>Base_OAPDI!P39</f>
        <v/>
      </c>
      <c r="N42" s="80">
        <f>Base_OAPDI!Q39</f>
        <v/>
      </c>
      <c r="O42" s="80">
        <f>Base_OAPDI!R39</f>
        <v/>
      </c>
      <c r="P42" s="80">
        <f>Base_OAPDI!S39</f>
        <v/>
      </c>
      <c r="Q42" s="81" t="n"/>
      <c r="R42" s="81" t="n"/>
      <c r="S42" s="81" t="n"/>
      <c r="T42" s="82" t="n"/>
      <c r="U42" s="82" t="n"/>
      <c r="V42" s="81" t="n"/>
      <c r="W42" s="81" t="n"/>
      <c r="X42" s="81" t="n"/>
      <c r="Y42" s="81" t="n"/>
      <c r="Z42" s="81" t="n"/>
      <c r="AA42" s="81" t="n"/>
      <c r="AB42" s="80">
        <f>IF(AA42="","",INDEX(Catalogos!$Y$5:$Y$25,MATCH(AA42,L_IMP,0)))</f>
        <v/>
      </c>
      <c r="AC42" s="81" t="n"/>
      <c r="AD42" s="81" t="n"/>
      <c r="AE42" s="81" t="n"/>
      <c r="AF42" s="83">
        <f>IF(Q42="","Pendiente por formular",IF(OR(S42="",T42="",U42="",V42="",W42="",X42="",Z42="",AA42=""),"Incompleta: faltan campos obligatorios",IF(OR(NOT(ISNUMBER(T42)),NOT(ISNUMBER(U42))),"Fecha inválida",IF(U42&lt;T42,"La fecha de fin es anterior a la de inicio",IF(OR(YEAR(T42)&lt;&gt;2027,YEAR(U42)&lt;&gt;2027),"Fechas fuera de la vigencia 2027",IF(ISERROR(SEARCH("@itc.edu.co",V42)),"El responsable no tiene correo institucional",IF(ISERROR(SEARCH(Z42,INDEX(Catalogos!$Z$5:$Z$25,MATCH(AA42,L_IMP,0)))),"La dimensión no corresponde al indicador de impacto","OK")))))))</f>
        <v/>
      </c>
    </row>
    <row r="43" ht="90" customHeight="1" s="23">
      <c r="A43" s="80">
        <f>Base_OAPDI!A40</f>
        <v/>
      </c>
      <c r="B43" s="80">
        <f>Base_OAPDI!B40</f>
        <v/>
      </c>
      <c r="C43" s="80">
        <f>Base_OAPDI!D40</f>
        <v/>
      </c>
      <c r="D43" s="80">
        <f>Base_OAPDI!E40</f>
        <v/>
      </c>
      <c r="E43" s="80">
        <f>Base_OAPDI!F40</f>
        <v/>
      </c>
      <c r="F43" s="80">
        <f>Base_OAPDI!G40</f>
        <v/>
      </c>
      <c r="G43" s="80">
        <f>Base_OAPDI!H40</f>
        <v/>
      </c>
      <c r="H43" s="80">
        <f>Base_OAPDI!I40</f>
        <v/>
      </c>
      <c r="I43" s="80">
        <f>Base_OAPDI!J40</f>
        <v/>
      </c>
      <c r="J43" s="80">
        <f>Base_OAPDI!K40</f>
        <v/>
      </c>
      <c r="K43" s="80">
        <f>Base_OAPDI!L40</f>
        <v/>
      </c>
      <c r="L43" s="80">
        <f>Base_OAPDI!N40</f>
        <v/>
      </c>
      <c r="M43" s="80">
        <f>Base_OAPDI!P40</f>
        <v/>
      </c>
      <c r="N43" s="80">
        <f>Base_OAPDI!Q40</f>
        <v/>
      </c>
      <c r="O43" s="80">
        <f>Base_OAPDI!R40</f>
        <v/>
      </c>
      <c r="P43" s="80">
        <f>Base_OAPDI!S40</f>
        <v/>
      </c>
      <c r="Q43" s="81" t="n"/>
      <c r="R43" s="81" t="n"/>
      <c r="S43" s="81" t="n"/>
      <c r="T43" s="82" t="n"/>
      <c r="U43" s="82" t="n"/>
      <c r="V43" s="81" t="n"/>
      <c r="W43" s="81" t="n"/>
      <c r="X43" s="81" t="n"/>
      <c r="Y43" s="81" t="n"/>
      <c r="Z43" s="81" t="n"/>
      <c r="AA43" s="81" t="n"/>
      <c r="AB43" s="80">
        <f>IF(AA43="","",INDEX(Catalogos!$Y$5:$Y$25,MATCH(AA43,L_IMP,0)))</f>
        <v/>
      </c>
      <c r="AC43" s="81" t="n"/>
      <c r="AD43" s="81" t="n"/>
      <c r="AE43" s="81" t="n"/>
      <c r="AF43" s="83">
        <f>IF(Q43="","Pendiente por formular",IF(OR(S43="",T43="",U43="",V43="",W43="",X43="",Z43="",AA43=""),"Incompleta: faltan campos obligatorios",IF(OR(NOT(ISNUMBER(T43)),NOT(ISNUMBER(U43))),"Fecha inválida",IF(U43&lt;T43,"La fecha de fin es anterior a la de inicio",IF(OR(YEAR(T43)&lt;&gt;2027,YEAR(U43)&lt;&gt;2027),"Fechas fuera de la vigencia 2027",IF(ISERROR(SEARCH("@itc.edu.co",V43)),"El responsable no tiene correo institucional",IF(ISERROR(SEARCH(Z43,INDEX(Catalogos!$Z$5:$Z$25,MATCH(AA43,L_IMP,0)))),"La dimensión no corresponde al indicador de impacto","OK")))))))</f>
        <v/>
      </c>
    </row>
    <row r="44" ht="120" customHeight="1" s="23">
      <c r="A44" s="80">
        <f>Base_OAPDI!A41</f>
        <v/>
      </c>
      <c r="B44" s="80">
        <f>Base_OAPDI!B41</f>
        <v/>
      </c>
      <c r="C44" s="80">
        <f>Base_OAPDI!D41</f>
        <v/>
      </c>
      <c r="D44" s="80">
        <f>Base_OAPDI!E41</f>
        <v/>
      </c>
      <c r="E44" s="80">
        <f>Base_OAPDI!F41</f>
        <v/>
      </c>
      <c r="F44" s="80">
        <f>Base_OAPDI!G41</f>
        <v/>
      </c>
      <c r="G44" s="80">
        <f>Base_OAPDI!H41</f>
        <v/>
      </c>
      <c r="H44" s="80">
        <f>Base_OAPDI!I41</f>
        <v/>
      </c>
      <c r="I44" s="80">
        <f>Base_OAPDI!J41</f>
        <v/>
      </c>
      <c r="J44" s="80">
        <f>Base_OAPDI!K41</f>
        <v/>
      </c>
      <c r="K44" s="80">
        <f>Base_OAPDI!L41</f>
        <v/>
      </c>
      <c r="L44" s="80">
        <f>Base_OAPDI!N41</f>
        <v/>
      </c>
      <c r="M44" s="80">
        <f>Base_OAPDI!P41</f>
        <v/>
      </c>
      <c r="N44" s="80">
        <f>Base_OAPDI!Q41</f>
        <v/>
      </c>
      <c r="O44" s="80">
        <f>Base_OAPDI!R41</f>
        <v/>
      </c>
      <c r="P44" s="80">
        <f>Base_OAPDI!S41</f>
        <v/>
      </c>
      <c r="Q44" s="81" t="n"/>
      <c r="R44" s="81" t="n"/>
      <c r="S44" s="81" t="n"/>
      <c r="T44" s="82" t="n"/>
      <c r="U44" s="82" t="n"/>
      <c r="V44" s="81" t="n"/>
      <c r="W44" s="81" t="n"/>
      <c r="X44" s="81" t="n"/>
      <c r="Y44" s="81" t="n"/>
      <c r="Z44" s="81" t="n"/>
      <c r="AA44" s="81" t="n"/>
      <c r="AB44" s="80">
        <f>IF(AA44="","",INDEX(Catalogos!$Y$5:$Y$25,MATCH(AA44,L_IMP,0)))</f>
        <v/>
      </c>
      <c r="AC44" s="81" t="n"/>
      <c r="AD44" s="81" t="n"/>
      <c r="AE44" s="81" t="n"/>
      <c r="AF44" s="83">
        <f>IF(Q44="","Pendiente por formular",IF(OR(S44="",T44="",U44="",V44="",W44="",X44="",Z44="",AA44=""),"Incompleta: faltan campos obligatorios",IF(OR(NOT(ISNUMBER(T44)),NOT(ISNUMBER(U44))),"Fecha inválida",IF(U44&lt;T44,"La fecha de fin es anterior a la de inicio",IF(OR(YEAR(T44)&lt;&gt;2027,YEAR(U44)&lt;&gt;2027),"Fechas fuera de la vigencia 2027",IF(ISERROR(SEARCH("@itc.edu.co",V44)),"El responsable no tiene correo institucional",IF(ISERROR(SEARCH(Z44,INDEX(Catalogos!$Z$5:$Z$25,MATCH(AA44,L_IMP,0)))),"La dimensión no corresponde al indicador de impacto","OK")))))))</f>
        <v/>
      </c>
    </row>
    <row r="45" ht="120" customHeight="1" s="23">
      <c r="A45" s="80">
        <f>Base_OAPDI!A42</f>
        <v/>
      </c>
      <c r="B45" s="80">
        <f>Base_OAPDI!B42</f>
        <v/>
      </c>
      <c r="C45" s="80">
        <f>Base_OAPDI!D42</f>
        <v/>
      </c>
      <c r="D45" s="80">
        <f>Base_OAPDI!E42</f>
        <v/>
      </c>
      <c r="E45" s="80">
        <f>Base_OAPDI!F42</f>
        <v/>
      </c>
      <c r="F45" s="80">
        <f>Base_OAPDI!G42</f>
        <v/>
      </c>
      <c r="G45" s="80">
        <f>Base_OAPDI!H42</f>
        <v/>
      </c>
      <c r="H45" s="80">
        <f>Base_OAPDI!I42</f>
        <v/>
      </c>
      <c r="I45" s="80">
        <f>Base_OAPDI!J42</f>
        <v/>
      </c>
      <c r="J45" s="80">
        <f>Base_OAPDI!K42</f>
        <v/>
      </c>
      <c r="K45" s="80">
        <f>Base_OAPDI!L42</f>
        <v/>
      </c>
      <c r="L45" s="80">
        <f>Base_OAPDI!N42</f>
        <v/>
      </c>
      <c r="M45" s="80">
        <f>Base_OAPDI!P42</f>
        <v/>
      </c>
      <c r="N45" s="80">
        <f>Base_OAPDI!Q42</f>
        <v/>
      </c>
      <c r="O45" s="80">
        <f>Base_OAPDI!R42</f>
        <v/>
      </c>
      <c r="P45" s="80">
        <f>Base_OAPDI!S42</f>
        <v/>
      </c>
      <c r="Q45" s="81" t="n"/>
      <c r="R45" s="81" t="n"/>
      <c r="S45" s="81" t="n"/>
      <c r="T45" s="82" t="n"/>
      <c r="U45" s="82" t="n"/>
      <c r="V45" s="81" t="n"/>
      <c r="W45" s="81" t="n"/>
      <c r="X45" s="81" t="n"/>
      <c r="Y45" s="81" t="n"/>
      <c r="Z45" s="81" t="n"/>
      <c r="AA45" s="81" t="n"/>
      <c r="AB45" s="80">
        <f>IF(AA45="","",INDEX(Catalogos!$Y$5:$Y$25,MATCH(AA45,L_IMP,0)))</f>
        <v/>
      </c>
      <c r="AC45" s="81" t="n"/>
      <c r="AD45" s="81" t="n"/>
      <c r="AE45" s="81" t="n"/>
      <c r="AF45" s="83">
        <f>IF(Q45="","Pendiente por formular",IF(OR(S45="",T45="",U45="",V45="",W45="",X45="",Z45="",AA45=""),"Incompleta: faltan campos obligatorios",IF(OR(NOT(ISNUMBER(T45)),NOT(ISNUMBER(U45))),"Fecha inválida",IF(U45&lt;T45,"La fecha de fin es anterior a la de inicio",IF(OR(YEAR(T45)&lt;&gt;2027,YEAR(U45)&lt;&gt;2027),"Fechas fuera de la vigencia 2027",IF(ISERROR(SEARCH("@itc.edu.co",V45)),"El responsable no tiene correo institucional",IF(ISERROR(SEARCH(Z45,INDEX(Catalogos!$Z$5:$Z$25,MATCH(AA45,L_IMP,0)))),"La dimensión no corresponde al indicador de impacto","OK")))))))</f>
        <v/>
      </c>
    </row>
    <row r="46" ht="120" customHeight="1" s="23">
      <c r="A46" s="80">
        <f>Base_OAPDI!A43</f>
        <v/>
      </c>
      <c r="B46" s="80">
        <f>Base_OAPDI!B43</f>
        <v/>
      </c>
      <c r="C46" s="80">
        <f>Base_OAPDI!D43</f>
        <v/>
      </c>
      <c r="D46" s="80">
        <f>Base_OAPDI!E43</f>
        <v/>
      </c>
      <c r="E46" s="80">
        <f>Base_OAPDI!F43</f>
        <v/>
      </c>
      <c r="F46" s="80">
        <f>Base_OAPDI!G43</f>
        <v/>
      </c>
      <c r="G46" s="80">
        <f>Base_OAPDI!H43</f>
        <v/>
      </c>
      <c r="H46" s="80">
        <f>Base_OAPDI!I43</f>
        <v/>
      </c>
      <c r="I46" s="80">
        <f>Base_OAPDI!J43</f>
        <v/>
      </c>
      <c r="J46" s="80">
        <f>Base_OAPDI!K43</f>
        <v/>
      </c>
      <c r="K46" s="80">
        <f>Base_OAPDI!L43</f>
        <v/>
      </c>
      <c r="L46" s="80">
        <f>Base_OAPDI!N43</f>
        <v/>
      </c>
      <c r="M46" s="80">
        <f>Base_OAPDI!P43</f>
        <v/>
      </c>
      <c r="N46" s="80">
        <f>Base_OAPDI!Q43</f>
        <v/>
      </c>
      <c r="O46" s="80">
        <f>Base_OAPDI!R43</f>
        <v/>
      </c>
      <c r="P46" s="80">
        <f>Base_OAPDI!S43</f>
        <v/>
      </c>
      <c r="Q46" s="81" t="n"/>
      <c r="R46" s="81" t="n"/>
      <c r="S46" s="81" t="n"/>
      <c r="T46" s="82" t="n"/>
      <c r="U46" s="82" t="n"/>
      <c r="V46" s="81" t="n"/>
      <c r="W46" s="81" t="n"/>
      <c r="X46" s="81" t="n"/>
      <c r="Y46" s="81" t="n"/>
      <c r="Z46" s="81" t="n"/>
      <c r="AA46" s="81" t="n"/>
      <c r="AB46" s="80">
        <f>IF(AA46="","",INDEX(Catalogos!$Y$5:$Y$25,MATCH(AA46,L_IMP,0)))</f>
        <v/>
      </c>
      <c r="AC46" s="81" t="n"/>
      <c r="AD46" s="81" t="n"/>
      <c r="AE46" s="81" t="n"/>
      <c r="AF46" s="83">
        <f>IF(Q46="","Pendiente por formular",IF(OR(S46="",T46="",U46="",V46="",W46="",X46="",Z46="",AA46=""),"Incompleta: faltan campos obligatorios",IF(OR(NOT(ISNUMBER(T46)),NOT(ISNUMBER(U46))),"Fecha inválida",IF(U46&lt;T46,"La fecha de fin es anterior a la de inicio",IF(OR(YEAR(T46)&lt;&gt;2027,YEAR(U46)&lt;&gt;2027),"Fechas fuera de la vigencia 2027",IF(ISERROR(SEARCH("@itc.edu.co",V46)),"El responsable no tiene correo institucional",IF(ISERROR(SEARCH(Z46,INDEX(Catalogos!$Z$5:$Z$25,MATCH(AA46,L_IMP,0)))),"La dimensión no corresponde al indicador de impacto","OK")))))))</f>
        <v/>
      </c>
    </row>
    <row r="47" ht="210" customHeight="1" s="23">
      <c r="A47" s="80">
        <f>Base_OAPDI!A44</f>
        <v/>
      </c>
      <c r="B47" s="80">
        <f>Base_OAPDI!B44</f>
        <v/>
      </c>
      <c r="C47" s="80">
        <f>Base_OAPDI!D44</f>
        <v/>
      </c>
      <c r="D47" s="80">
        <f>Base_OAPDI!E44</f>
        <v/>
      </c>
      <c r="E47" s="80">
        <f>Base_OAPDI!F44</f>
        <v/>
      </c>
      <c r="F47" s="80">
        <f>Base_OAPDI!G44</f>
        <v/>
      </c>
      <c r="G47" s="80">
        <f>Base_OAPDI!H44</f>
        <v/>
      </c>
      <c r="H47" s="80">
        <f>Base_OAPDI!I44</f>
        <v/>
      </c>
      <c r="I47" s="80">
        <f>Base_OAPDI!J44</f>
        <v/>
      </c>
      <c r="J47" s="80">
        <f>Base_OAPDI!K44</f>
        <v/>
      </c>
      <c r="K47" s="80">
        <f>Base_OAPDI!L44</f>
        <v/>
      </c>
      <c r="L47" s="80">
        <f>Base_OAPDI!N44</f>
        <v/>
      </c>
      <c r="M47" s="80">
        <f>Base_OAPDI!P44</f>
        <v/>
      </c>
      <c r="N47" s="80">
        <f>Base_OAPDI!Q44</f>
        <v/>
      </c>
      <c r="O47" s="80">
        <f>Base_OAPDI!R44</f>
        <v/>
      </c>
      <c r="P47" s="80">
        <f>Base_OAPDI!S44</f>
        <v/>
      </c>
      <c r="Q47" s="81" t="n"/>
      <c r="R47" s="81" t="n"/>
      <c r="S47" s="81" t="n"/>
      <c r="T47" s="82" t="n"/>
      <c r="U47" s="82" t="n"/>
      <c r="V47" s="81" t="n"/>
      <c r="W47" s="81" t="n"/>
      <c r="X47" s="81" t="n"/>
      <c r="Y47" s="81" t="n"/>
      <c r="Z47" s="81" t="n"/>
      <c r="AA47" s="81" t="n"/>
      <c r="AB47" s="80">
        <f>IF(AA47="","",INDEX(Catalogos!$Y$5:$Y$25,MATCH(AA47,L_IMP,0)))</f>
        <v/>
      </c>
      <c r="AC47" s="81" t="n"/>
      <c r="AD47" s="81" t="n"/>
      <c r="AE47" s="81" t="n"/>
      <c r="AF47" s="83">
        <f>IF(Q47="","Pendiente por formular",IF(OR(S47="",T47="",U47="",V47="",W47="",X47="",Z47="",AA47=""),"Incompleta: faltan campos obligatorios",IF(OR(NOT(ISNUMBER(T47)),NOT(ISNUMBER(U47))),"Fecha inválida",IF(U47&lt;T47,"La fecha de fin es anterior a la de inicio",IF(OR(YEAR(T47)&lt;&gt;2027,YEAR(U47)&lt;&gt;2027),"Fechas fuera de la vigencia 2027",IF(ISERROR(SEARCH("@itc.edu.co",V47)),"El responsable no tiene correo institucional",IF(ISERROR(SEARCH(Z47,INDEX(Catalogos!$Z$5:$Z$25,MATCH(AA47,L_IMP,0)))),"La dimensión no corresponde al indicador de impacto","OK")))))))</f>
        <v/>
      </c>
    </row>
    <row r="48" ht="260" customHeight="1" s="23">
      <c r="A48" s="80">
        <f>Base_OAPDI!A45</f>
        <v/>
      </c>
      <c r="B48" s="80">
        <f>Base_OAPDI!B45</f>
        <v/>
      </c>
      <c r="C48" s="80">
        <f>Base_OAPDI!D45</f>
        <v/>
      </c>
      <c r="D48" s="80">
        <f>Base_OAPDI!E45</f>
        <v/>
      </c>
      <c r="E48" s="80">
        <f>Base_OAPDI!F45</f>
        <v/>
      </c>
      <c r="F48" s="80">
        <f>Base_OAPDI!G45</f>
        <v/>
      </c>
      <c r="G48" s="80">
        <f>Base_OAPDI!H45</f>
        <v/>
      </c>
      <c r="H48" s="80">
        <f>Base_OAPDI!I45</f>
        <v/>
      </c>
      <c r="I48" s="80">
        <f>Base_OAPDI!J45</f>
        <v/>
      </c>
      <c r="J48" s="80">
        <f>Base_OAPDI!K45</f>
        <v/>
      </c>
      <c r="K48" s="80">
        <f>Base_OAPDI!L45</f>
        <v/>
      </c>
      <c r="L48" s="80">
        <f>Base_OAPDI!N45</f>
        <v/>
      </c>
      <c r="M48" s="80">
        <f>Base_OAPDI!P45</f>
        <v/>
      </c>
      <c r="N48" s="80">
        <f>Base_OAPDI!Q45</f>
        <v/>
      </c>
      <c r="O48" s="80">
        <f>Base_OAPDI!R45</f>
        <v/>
      </c>
      <c r="P48" s="80">
        <f>Base_OAPDI!S45</f>
        <v/>
      </c>
      <c r="Q48" s="81" t="n"/>
      <c r="R48" s="81" t="n"/>
      <c r="S48" s="81" t="n"/>
      <c r="T48" s="82" t="n"/>
      <c r="U48" s="82" t="n"/>
      <c r="V48" s="81" t="n"/>
      <c r="W48" s="81" t="n"/>
      <c r="X48" s="81" t="n"/>
      <c r="Y48" s="81" t="n"/>
      <c r="Z48" s="81" t="n"/>
      <c r="AA48" s="81" t="n"/>
      <c r="AB48" s="80">
        <f>IF(AA48="","",INDEX(Catalogos!$Y$5:$Y$25,MATCH(AA48,L_IMP,0)))</f>
        <v/>
      </c>
      <c r="AC48" s="81" t="n"/>
      <c r="AD48" s="81" t="n"/>
      <c r="AE48" s="81" t="n"/>
      <c r="AF48" s="83">
        <f>IF(Q48="","Pendiente por formular",IF(OR(S48="",T48="",U48="",V48="",W48="",X48="",Z48="",AA48=""),"Incompleta: faltan campos obligatorios",IF(OR(NOT(ISNUMBER(T48)),NOT(ISNUMBER(U48))),"Fecha inválida",IF(U48&lt;T48,"La fecha de fin es anterior a la de inicio",IF(OR(YEAR(T48)&lt;&gt;2027,YEAR(U48)&lt;&gt;2027),"Fechas fuera de la vigencia 2027",IF(ISERROR(SEARCH("@itc.edu.co",V48)),"El responsable no tiene correo institucional",IF(ISERROR(SEARCH(Z48,INDEX(Catalogos!$Z$5:$Z$25,MATCH(AA48,L_IMP,0)))),"La dimensión no corresponde al indicador de impacto","OK")))))))</f>
        <v/>
      </c>
    </row>
    <row r="49" ht="135" customHeight="1" s="23">
      <c r="A49" s="80">
        <f>Base_OAPDI!A46</f>
        <v/>
      </c>
      <c r="B49" s="80">
        <f>Base_OAPDI!B46</f>
        <v/>
      </c>
      <c r="C49" s="80">
        <f>Base_OAPDI!D46</f>
        <v/>
      </c>
      <c r="D49" s="80">
        <f>Base_OAPDI!E46</f>
        <v/>
      </c>
      <c r="E49" s="80">
        <f>Base_OAPDI!F46</f>
        <v/>
      </c>
      <c r="F49" s="80">
        <f>Base_OAPDI!G46</f>
        <v/>
      </c>
      <c r="G49" s="80">
        <f>Base_OAPDI!H46</f>
        <v/>
      </c>
      <c r="H49" s="80">
        <f>Base_OAPDI!I46</f>
        <v/>
      </c>
      <c r="I49" s="80">
        <f>Base_OAPDI!J46</f>
        <v/>
      </c>
      <c r="J49" s="80">
        <f>Base_OAPDI!K46</f>
        <v/>
      </c>
      <c r="K49" s="80">
        <f>Base_OAPDI!L46</f>
        <v/>
      </c>
      <c r="L49" s="80">
        <f>Base_OAPDI!N46</f>
        <v/>
      </c>
      <c r="M49" s="80">
        <f>Base_OAPDI!P46</f>
        <v/>
      </c>
      <c r="N49" s="80">
        <f>Base_OAPDI!Q46</f>
        <v/>
      </c>
      <c r="O49" s="80">
        <f>Base_OAPDI!R46</f>
        <v/>
      </c>
      <c r="P49" s="80">
        <f>Base_OAPDI!S46</f>
        <v/>
      </c>
      <c r="Q49" s="81" t="n"/>
      <c r="R49" s="81" t="n"/>
      <c r="S49" s="81" t="n"/>
      <c r="T49" s="82" t="n"/>
      <c r="U49" s="82" t="n"/>
      <c r="V49" s="81" t="n"/>
      <c r="W49" s="81" t="n"/>
      <c r="X49" s="81" t="n"/>
      <c r="Y49" s="81" t="n"/>
      <c r="Z49" s="81" t="n"/>
      <c r="AA49" s="81" t="n"/>
      <c r="AB49" s="80">
        <f>IF(AA49="","",INDEX(Catalogos!$Y$5:$Y$25,MATCH(AA49,L_IMP,0)))</f>
        <v/>
      </c>
      <c r="AC49" s="81" t="n"/>
      <c r="AD49" s="81" t="n"/>
      <c r="AE49" s="81" t="n"/>
      <c r="AF49" s="83">
        <f>IF(Q49="","Pendiente por formular",IF(OR(S49="",T49="",U49="",V49="",W49="",X49="",Z49="",AA49=""),"Incompleta: faltan campos obligatorios",IF(OR(NOT(ISNUMBER(T49)),NOT(ISNUMBER(U49))),"Fecha inválida",IF(U49&lt;T49,"La fecha de fin es anterior a la de inicio",IF(OR(YEAR(T49)&lt;&gt;2027,YEAR(U49)&lt;&gt;2027),"Fechas fuera de la vigencia 2027",IF(ISERROR(SEARCH("@itc.edu.co",V49)),"El responsable no tiene correo institucional",IF(ISERROR(SEARCH(Z49,INDEX(Catalogos!$Z$5:$Z$25,MATCH(AA49,L_IMP,0)))),"La dimensión no corresponde al indicador de impacto","OK")))))))</f>
        <v/>
      </c>
    </row>
    <row r="50" ht="90" customHeight="1" s="23">
      <c r="A50" s="80">
        <f>Base_OAPDI!A47</f>
        <v/>
      </c>
      <c r="B50" s="80">
        <f>Base_OAPDI!B47</f>
        <v/>
      </c>
      <c r="C50" s="80">
        <f>Base_OAPDI!D47</f>
        <v/>
      </c>
      <c r="D50" s="80">
        <f>Base_OAPDI!E47</f>
        <v/>
      </c>
      <c r="E50" s="80">
        <f>Base_OAPDI!F47</f>
        <v/>
      </c>
      <c r="F50" s="80">
        <f>Base_OAPDI!G47</f>
        <v/>
      </c>
      <c r="G50" s="80">
        <f>Base_OAPDI!H47</f>
        <v/>
      </c>
      <c r="H50" s="80">
        <f>Base_OAPDI!I47</f>
        <v/>
      </c>
      <c r="I50" s="80">
        <f>Base_OAPDI!J47</f>
        <v/>
      </c>
      <c r="J50" s="80">
        <f>Base_OAPDI!K47</f>
        <v/>
      </c>
      <c r="K50" s="80">
        <f>Base_OAPDI!L47</f>
        <v/>
      </c>
      <c r="L50" s="80">
        <f>Base_OAPDI!N47</f>
        <v/>
      </c>
      <c r="M50" s="80">
        <f>Base_OAPDI!P47</f>
        <v/>
      </c>
      <c r="N50" s="80">
        <f>Base_OAPDI!Q47</f>
        <v/>
      </c>
      <c r="O50" s="80">
        <f>Base_OAPDI!R47</f>
        <v/>
      </c>
      <c r="P50" s="80">
        <f>Base_OAPDI!S47</f>
        <v/>
      </c>
      <c r="Q50" s="81" t="n"/>
      <c r="R50" s="81" t="n"/>
      <c r="S50" s="81" t="n"/>
      <c r="T50" s="82" t="n"/>
      <c r="U50" s="82" t="n"/>
      <c r="V50" s="81" t="n"/>
      <c r="W50" s="81" t="n"/>
      <c r="X50" s="81" t="n"/>
      <c r="Y50" s="81" t="n"/>
      <c r="Z50" s="81" t="n"/>
      <c r="AA50" s="81" t="n"/>
      <c r="AB50" s="80">
        <f>IF(AA50="","",INDEX(Catalogos!$Y$5:$Y$25,MATCH(AA50,L_IMP,0)))</f>
        <v/>
      </c>
      <c r="AC50" s="81" t="n"/>
      <c r="AD50" s="81" t="n"/>
      <c r="AE50" s="81" t="n"/>
      <c r="AF50" s="83">
        <f>IF(Q50="","Pendiente por formular",IF(OR(S50="",T50="",U50="",V50="",W50="",X50="",Z50="",AA50=""),"Incompleta: faltan campos obligatorios",IF(OR(NOT(ISNUMBER(T50)),NOT(ISNUMBER(U50))),"Fecha inválida",IF(U50&lt;T50,"La fecha de fin es anterior a la de inicio",IF(OR(YEAR(T50)&lt;&gt;2027,YEAR(U50)&lt;&gt;2027),"Fechas fuera de la vigencia 2027",IF(ISERROR(SEARCH("@itc.edu.co",V50)),"El responsable no tiene correo institucional",IF(ISERROR(SEARCH(Z50,INDEX(Catalogos!$Z$5:$Z$25,MATCH(AA50,L_IMP,0)))),"La dimensión no corresponde al indicador de impacto","OK")))))))</f>
        <v/>
      </c>
    </row>
    <row r="51" ht="75" customHeight="1" s="23">
      <c r="A51" s="80">
        <f>Base_OAPDI!A48</f>
        <v/>
      </c>
      <c r="B51" s="80">
        <f>Base_OAPDI!B48</f>
        <v/>
      </c>
      <c r="C51" s="80">
        <f>Base_OAPDI!D48</f>
        <v/>
      </c>
      <c r="D51" s="80">
        <f>Base_OAPDI!E48</f>
        <v/>
      </c>
      <c r="E51" s="80">
        <f>Base_OAPDI!F48</f>
        <v/>
      </c>
      <c r="F51" s="80">
        <f>Base_OAPDI!G48</f>
        <v/>
      </c>
      <c r="G51" s="80">
        <f>Base_OAPDI!H48</f>
        <v/>
      </c>
      <c r="H51" s="80">
        <f>Base_OAPDI!I48</f>
        <v/>
      </c>
      <c r="I51" s="80">
        <f>Base_OAPDI!J48</f>
        <v/>
      </c>
      <c r="J51" s="80">
        <f>Base_OAPDI!K48</f>
        <v/>
      </c>
      <c r="K51" s="80">
        <f>Base_OAPDI!L48</f>
        <v/>
      </c>
      <c r="L51" s="80">
        <f>Base_OAPDI!N48</f>
        <v/>
      </c>
      <c r="M51" s="80">
        <f>Base_OAPDI!P48</f>
        <v/>
      </c>
      <c r="N51" s="80">
        <f>Base_OAPDI!Q48</f>
        <v/>
      </c>
      <c r="O51" s="80">
        <f>Base_OAPDI!R48</f>
        <v/>
      </c>
      <c r="P51" s="80">
        <f>Base_OAPDI!S48</f>
        <v/>
      </c>
      <c r="Q51" s="81" t="n"/>
      <c r="R51" s="81" t="n"/>
      <c r="S51" s="81" t="n"/>
      <c r="T51" s="82" t="n"/>
      <c r="U51" s="82" t="n"/>
      <c r="V51" s="81" t="n"/>
      <c r="W51" s="81" t="n"/>
      <c r="X51" s="81" t="n"/>
      <c r="Y51" s="81" t="n"/>
      <c r="Z51" s="81" t="n"/>
      <c r="AA51" s="81" t="n"/>
      <c r="AB51" s="80">
        <f>IF(AA51="","",INDEX(Catalogos!$Y$5:$Y$25,MATCH(AA51,L_IMP,0)))</f>
        <v/>
      </c>
      <c r="AC51" s="81" t="n"/>
      <c r="AD51" s="81" t="n"/>
      <c r="AE51" s="81" t="n"/>
      <c r="AF51" s="83">
        <f>IF(Q51="","Pendiente por formular",IF(OR(S51="",T51="",U51="",V51="",W51="",X51="",Z51="",AA51=""),"Incompleta: faltan campos obligatorios",IF(OR(NOT(ISNUMBER(T51)),NOT(ISNUMBER(U51))),"Fecha inválida",IF(U51&lt;T51,"La fecha de fin es anterior a la de inicio",IF(OR(YEAR(T51)&lt;&gt;2027,YEAR(U51)&lt;&gt;2027),"Fechas fuera de la vigencia 2027",IF(ISERROR(SEARCH("@itc.edu.co",V51)),"El responsable no tiene correo institucional",IF(ISERROR(SEARCH(Z51,INDEX(Catalogos!$Z$5:$Z$25,MATCH(AA51,L_IMP,0)))),"La dimensión no corresponde al indicador de impacto","OK")))))))</f>
        <v/>
      </c>
    </row>
    <row r="52" ht="75" customHeight="1" s="23">
      <c r="A52" s="80">
        <f>Base_OAPDI!A49</f>
        <v/>
      </c>
      <c r="B52" s="80">
        <f>Base_OAPDI!B49</f>
        <v/>
      </c>
      <c r="C52" s="80">
        <f>Base_OAPDI!D49</f>
        <v/>
      </c>
      <c r="D52" s="80">
        <f>Base_OAPDI!E49</f>
        <v/>
      </c>
      <c r="E52" s="80">
        <f>Base_OAPDI!F49</f>
        <v/>
      </c>
      <c r="F52" s="80">
        <f>Base_OAPDI!G49</f>
        <v/>
      </c>
      <c r="G52" s="80">
        <f>Base_OAPDI!H49</f>
        <v/>
      </c>
      <c r="H52" s="80">
        <f>Base_OAPDI!I49</f>
        <v/>
      </c>
      <c r="I52" s="80">
        <f>Base_OAPDI!J49</f>
        <v/>
      </c>
      <c r="J52" s="80">
        <f>Base_OAPDI!K49</f>
        <v/>
      </c>
      <c r="K52" s="80">
        <f>Base_OAPDI!L49</f>
        <v/>
      </c>
      <c r="L52" s="80">
        <f>Base_OAPDI!N49</f>
        <v/>
      </c>
      <c r="M52" s="80">
        <f>Base_OAPDI!P49</f>
        <v/>
      </c>
      <c r="N52" s="80">
        <f>Base_OAPDI!Q49</f>
        <v/>
      </c>
      <c r="O52" s="80">
        <f>Base_OAPDI!R49</f>
        <v/>
      </c>
      <c r="P52" s="80">
        <f>Base_OAPDI!S49</f>
        <v/>
      </c>
      <c r="Q52" s="81" t="n"/>
      <c r="R52" s="81" t="n"/>
      <c r="S52" s="81" t="n"/>
      <c r="T52" s="82" t="n"/>
      <c r="U52" s="82" t="n"/>
      <c r="V52" s="81" t="n"/>
      <c r="W52" s="81" t="n"/>
      <c r="X52" s="81" t="n"/>
      <c r="Y52" s="81" t="n"/>
      <c r="Z52" s="81" t="n"/>
      <c r="AA52" s="81" t="n"/>
      <c r="AB52" s="80">
        <f>IF(AA52="","",INDEX(Catalogos!$Y$5:$Y$25,MATCH(AA52,L_IMP,0)))</f>
        <v/>
      </c>
      <c r="AC52" s="81" t="n"/>
      <c r="AD52" s="81" t="n"/>
      <c r="AE52" s="81" t="n"/>
      <c r="AF52" s="83">
        <f>IF(Q52="","Pendiente por formular",IF(OR(S52="",T52="",U52="",V52="",W52="",X52="",Z52="",AA52=""),"Incompleta: faltan campos obligatorios",IF(OR(NOT(ISNUMBER(T52)),NOT(ISNUMBER(U52))),"Fecha inválida",IF(U52&lt;T52,"La fecha de fin es anterior a la de inicio",IF(OR(YEAR(T52)&lt;&gt;2027,YEAR(U52)&lt;&gt;2027),"Fechas fuera de la vigencia 2027",IF(ISERROR(SEARCH("@itc.edu.co",V52)),"El responsable no tiene correo institucional",IF(ISERROR(SEARCH(Z52,INDEX(Catalogos!$Z$5:$Z$25,MATCH(AA52,L_IMP,0)))),"La dimensión no corresponde al indicador de impacto","OK")))))))</f>
        <v/>
      </c>
    </row>
    <row r="53" ht="105" customHeight="1" s="23">
      <c r="A53" s="80">
        <f>Base_OAPDI!A50</f>
        <v/>
      </c>
      <c r="B53" s="80">
        <f>Base_OAPDI!B50</f>
        <v/>
      </c>
      <c r="C53" s="80">
        <f>Base_OAPDI!D50</f>
        <v/>
      </c>
      <c r="D53" s="80">
        <f>Base_OAPDI!E50</f>
        <v/>
      </c>
      <c r="E53" s="80">
        <f>Base_OAPDI!F50</f>
        <v/>
      </c>
      <c r="F53" s="80">
        <f>Base_OAPDI!G50</f>
        <v/>
      </c>
      <c r="G53" s="80">
        <f>Base_OAPDI!H50</f>
        <v/>
      </c>
      <c r="H53" s="80">
        <f>Base_OAPDI!I50</f>
        <v/>
      </c>
      <c r="I53" s="80">
        <f>Base_OAPDI!J50</f>
        <v/>
      </c>
      <c r="J53" s="80">
        <f>Base_OAPDI!K50</f>
        <v/>
      </c>
      <c r="K53" s="80">
        <f>Base_OAPDI!L50</f>
        <v/>
      </c>
      <c r="L53" s="80">
        <f>Base_OAPDI!N50</f>
        <v/>
      </c>
      <c r="M53" s="80">
        <f>Base_OAPDI!P50</f>
        <v/>
      </c>
      <c r="N53" s="80">
        <f>Base_OAPDI!Q50</f>
        <v/>
      </c>
      <c r="O53" s="80">
        <f>Base_OAPDI!R50</f>
        <v/>
      </c>
      <c r="P53" s="80">
        <f>Base_OAPDI!S50</f>
        <v/>
      </c>
      <c r="Q53" s="81" t="n"/>
      <c r="R53" s="81" t="n"/>
      <c r="S53" s="81" t="n"/>
      <c r="T53" s="82" t="n"/>
      <c r="U53" s="82" t="n"/>
      <c r="V53" s="81" t="n"/>
      <c r="W53" s="81" t="n"/>
      <c r="X53" s="81" t="n"/>
      <c r="Y53" s="81" t="n"/>
      <c r="Z53" s="81" t="n"/>
      <c r="AA53" s="81" t="n"/>
      <c r="AB53" s="80">
        <f>IF(AA53="","",INDEX(Catalogos!$Y$5:$Y$25,MATCH(AA53,L_IMP,0)))</f>
        <v/>
      </c>
      <c r="AC53" s="81" t="n"/>
      <c r="AD53" s="81" t="n"/>
      <c r="AE53" s="81" t="n"/>
      <c r="AF53" s="83">
        <f>IF(Q53="","Pendiente por formular",IF(OR(S53="",T53="",U53="",V53="",W53="",X53="",Z53="",AA53=""),"Incompleta: faltan campos obligatorios",IF(OR(NOT(ISNUMBER(T53)),NOT(ISNUMBER(U53))),"Fecha inválida",IF(U53&lt;T53,"La fecha de fin es anterior a la de inicio",IF(OR(YEAR(T53)&lt;&gt;2027,YEAR(U53)&lt;&gt;2027),"Fechas fuera de la vigencia 2027",IF(ISERROR(SEARCH("@itc.edu.co",V53)),"El responsable no tiene correo institucional",IF(ISERROR(SEARCH(Z53,INDEX(Catalogos!$Z$5:$Z$25,MATCH(AA53,L_IMP,0)))),"La dimensión no corresponde al indicador de impacto","OK")))))))</f>
        <v/>
      </c>
    </row>
    <row r="54" ht="75" customHeight="1" s="23">
      <c r="A54" s="80">
        <f>Base_OAPDI!A51</f>
        <v/>
      </c>
      <c r="B54" s="80">
        <f>Base_OAPDI!B51</f>
        <v/>
      </c>
      <c r="C54" s="80">
        <f>Base_OAPDI!D51</f>
        <v/>
      </c>
      <c r="D54" s="80">
        <f>Base_OAPDI!E51</f>
        <v/>
      </c>
      <c r="E54" s="80">
        <f>Base_OAPDI!F51</f>
        <v/>
      </c>
      <c r="F54" s="80">
        <f>Base_OAPDI!G51</f>
        <v/>
      </c>
      <c r="G54" s="80">
        <f>Base_OAPDI!H51</f>
        <v/>
      </c>
      <c r="H54" s="80">
        <f>Base_OAPDI!I51</f>
        <v/>
      </c>
      <c r="I54" s="80">
        <f>Base_OAPDI!J51</f>
        <v/>
      </c>
      <c r="J54" s="80">
        <f>Base_OAPDI!K51</f>
        <v/>
      </c>
      <c r="K54" s="80">
        <f>Base_OAPDI!L51</f>
        <v/>
      </c>
      <c r="L54" s="80">
        <f>Base_OAPDI!N51</f>
        <v/>
      </c>
      <c r="M54" s="80">
        <f>Base_OAPDI!P51</f>
        <v/>
      </c>
      <c r="N54" s="80">
        <f>Base_OAPDI!Q51</f>
        <v/>
      </c>
      <c r="O54" s="80">
        <f>Base_OAPDI!R51</f>
        <v/>
      </c>
      <c r="P54" s="80">
        <f>Base_OAPDI!S51</f>
        <v/>
      </c>
      <c r="Q54" s="81" t="n"/>
      <c r="R54" s="81" t="n"/>
      <c r="S54" s="81" t="n"/>
      <c r="T54" s="82" t="n"/>
      <c r="U54" s="82" t="n"/>
      <c r="V54" s="81" t="n"/>
      <c r="W54" s="81" t="n"/>
      <c r="X54" s="81" t="n"/>
      <c r="Y54" s="81" t="n"/>
      <c r="Z54" s="81" t="n"/>
      <c r="AA54" s="81" t="n"/>
      <c r="AB54" s="80">
        <f>IF(AA54="","",INDEX(Catalogos!$Y$5:$Y$25,MATCH(AA54,L_IMP,0)))</f>
        <v/>
      </c>
      <c r="AC54" s="81" t="n"/>
      <c r="AD54" s="81" t="n"/>
      <c r="AE54" s="81" t="n"/>
      <c r="AF54" s="83">
        <f>IF(Q54="","Pendiente por formular",IF(OR(S54="",T54="",U54="",V54="",W54="",X54="",Z54="",AA54=""),"Incompleta: faltan campos obligatorios",IF(OR(NOT(ISNUMBER(T54)),NOT(ISNUMBER(U54))),"Fecha inválida",IF(U54&lt;T54,"La fecha de fin es anterior a la de inicio",IF(OR(YEAR(T54)&lt;&gt;2027,YEAR(U54)&lt;&gt;2027),"Fechas fuera de la vigencia 2027",IF(ISERROR(SEARCH("@itc.edu.co",V54)),"El responsable no tiene correo institucional",IF(ISERROR(SEARCH(Z54,INDEX(Catalogos!$Z$5:$Z$25,MATCH(AA54,L_IMP,0)))),"La dimensión no corresponde al indicador de impacto","OK")))))))</f>
        <v/>
      </c>
    </row>
    <row r="55" ht="75" customHeight="1" s="23">
      <c r="A55" s="80">
        <f>Base_OAPDI!A52</f>
        <v/>
      </c>
      <c r="B55" s="80">
        <f>Base_OAPDI!B52</f>
        <v/>
      </c>
      <c r="C55" s="80">
        <f>Base_OAPDI!D52</f>
        <v/>
      </c>
      <c r="D55" s="80">
        <f>Base_OAPDI!E52</f>
        <v/>
      </c>
      <c r="E55" s="80">
        <f>Base_OAPDI!F52</f>
        <v/>
      </c>
      <c r="F55" s="80">
        <f>Base_OAPDI!G52</f>
        <v/>
      </c>
      <c r="G55" s="80">
        <f>Base_OAPDI!H52</f>
        <v/>
      </c>
      <c r="H55" s="80">
        <f>Base_OAPDI!I52</f>
        <v/>
      </c>
      <c r="I55" s="80">
        <f>Base_OAPDI!J52</f>
        <v/>
      </c>
      <c r="J55" s="80">
        <f>Base_OAPDI!K52</f>
        <v/>
      </c>
      <c r="K55" s="80">
        <f>Base_OAPDI!L52</f>
        <v/>
      </c>
      <c r="L55" s="80">
        <f>Base_OAPDI!N52</f>
        <v/>
      </c>
      <c r="M55" s="80">
        <f>Base_OAPDI!P52</f>
        <v/>
      </c>
      <c r="N55" s="80">
        <f>Base_OAPDI!Q52</f>
        <v/>
      </c>
      <c r="O55" s="80">
        <f>Base_OAPDI!R52</f>
        <v/>
      </c>
      <c r="P55" s="80">
        <f>Base_OAPDI!S52</f>
        <v/>
      </c>
      <c r="Q55" s="81" t="n"/>
      <c r="R55" s="81" t="n"/>
      <c r="S55" s="81" t="n"/>
      <c r="T55" s="82" t="n"/>
      <c r="U55" s="82" t="n"/>
      <c r="V55" s="81" t="n"/>
      <c r="W55" s="81" t="n"/>
      <c r="X55" s="81" t="n"/>
      <c r="Y55" s="81" t="n"/>
      <c r="Z55" s="81" t="n"/>
      <c r="AA55" s="81" t="n"/>
      <c r="AB55" s="80">
        <f>IF(AA55="","",INDEX(Catalogos!$Y$5:$Y$25,MATCH(AA55,L_IMP,0)))</f>
        <v/>
      </c>
      <c r="AC55" s="81" t="n"/>
      <c r="AD55" s="81" t="n"/>
      <c r="AE55" s="81" t="n"/>
      <c r="AF55" s="83">
        <f>IF(Q55="","Pendiente por formular",IF(OR(S55="",T55="",U55="",V55="",W55="",X55="",Z55="",AA55=""),"Incompleta: faltan campos obligatorios",IF(OR(NOT(ISNUMBER(T55)),NOT(ISNUMBER(U55))),"Fecha inválida",IF(U55&lt;T55,"La fecha de fin es anterior a la de inicio",IF(OR(YEAR(T55)&lt;&gt;2027,YEAR(U55)&lt;&gt;2027),"Fechas fuera de la vigencia 2027",IF(ISERROR(SEARCH("@itc.edu.co",V55)),"El responsable no tiene correo institucional",IF(ISERROR(SEARCH(Z55,INDEX(Catalogos!$Z$5:$Z$25,MATCH(AA55,L_IMP,0)))),"La dimensión no corresponde al indicador de impacto","OK")))))))</f>
        <v/>
      </c>
    </row>
    <row r="56" ht="75" customHeight="1" s="23">
      <c r="A56" s="80">
        <f>Base_OAPDI!A53</f>
        <v/>
      </c>
      <c r="B56" s="80">
        <f>Base_OAPDI!B53</f>
        <v/>
      </c>
      <c r="C56" s="80">
        <f>Base_OAPDI!D53</f>
        <v/>
      </c>
      <c r="D56" s="80">
        <f>Base_OAPDI!E53</f>
        <v/>
      </c>
      <c r="E56" s="80">
        <f>Base_OAPDI!F53</f>
        <v/>
      </c>
      <c r="F56" s="80">
        <f>Base_OAPDI!G53</f>
        <v/>
      </c>
      <c r="G56" s="80">
        <f>Base_OAPDI!H53</f>
        <v/>
      </c>
      <c r="H56" s="80">
        <f>Base_OAPDI!I53</f>
        <v/>
      </c>
      <c r="I56" s="80">
        <f>Base_OAPDI!J53</f>
        <v/>
      </c>
      <c r="J56" s="80">
        <f>Base_OAPDI!K53</f>
        <v/>
      </c>
      <c r="K56" s="80">
        <f>Base_OAPDI!L53</f>
        <v/>
      </c>
      <c r="L56" s="80">
        <f>Base_OAPDI!N53</f>
        <v/>
      </c>
      <c r="M56" s="80">
        <f>Base_OAPDI!P53</f>
        <v/>
      </c>
      <c r="N56" s="80">
        <f>Base_OAPDI!Q53</f>
        <v/>
      </c>
      <c r="O56" s="80">
        <f>Base_OAPDI!R53</f>
        <v/>
      </c>
      <c r="P56" s="80">
        <f>Base_OAPDI!S53</f>
        <v/>
      </c>
      <c r="Q56" s="81" t="n"/>
      <c r="R56" s="81" t="n"/>
      <c r="S56" s="81" t="n"/>
      <c r="T56" s="82" t="n"/>
      <c r="U56" s="82" t="n"/>
      <c r="V56" s="81" t="n"/>
      <c r="W56" s="81" t="n"/>
      <c r="X56" s="81" t="n"/>
      <c r="Y56" s="81" t="n"/>
      <c r="Z56" s="81" t="n"/>
      <c r="AA56" s="81" t="n"/>
      <c r="AB56" s="80">
        <f>IF(AA56="","",INDEX(Catalogos!$Y$5:$Y$25,MATCH(AA56,L_IMP,0)))</f>
        <v/>
      </c>
      <c r="AC56" s="81" t="n"/>
      <c r="AD56" s="81" t="n"/>
      <c r="AE56" s="81" t="n"/>
      <c r="AF56" s="83">
        <f>IF(Q56="","Pendiente por formular",IF(OR(S56="",T56="",U56="",V56="",W56="",X56="",Z56="",AA56=""),"Incompleta: faltan campos obligatorios",IF(OR(NOT(ISNUMBER(T56)),NOT(ISNUMBER(U56))),"Fecha inválida",IF(U56&lt;T56,"La fecha de fin es anterior a la de inicio",IF(OR(YEAR(T56)&lt;&gt;2027,YEAR(U56)&lt;&gt;2027),"Fechas fuera de la vigencia 2027",IF(ISERROR(SEARCH("@itc.edu.co",V56)),"El responsable no tiene correo institucional",IF(ISERROR(SEARCH(Z56,INDEX(Catalogos!$Z$5:$Z$25,MATCH(AA56,L_IMP,0)))),"La dimensión no corresponde al indicador de impacto","OK")))))))</f>
        <v/>
      </c>
    </row>
    <row r="57" ht="105" customHeight="1" s="23">
      <c r="A57" s="80">
        <f>Base_OAPDI!A54</f>
        <v/>
      </c>
      <c r="B57" s="80">
        <f>Base_OAPDI!B54</f>
        <v/>
      </c>
      <c r="C57" s="80">
        <f>Base_OAPDI!D54</f>
        <v/>
      </c>
      <c r="D57" s="80">
        <f>Base_OAPDI!E54</f>
        <v/>
      </c>
      <c r="E57" s="80">
        <f>Base_OAPDI!F54</f>
        <v/>
      </c>
      <c r="F57" s="80">
        <f>Base_OAPDI!G54</f>
        <v/>
      </c>
      <c r="G57" s="80">
        <f>Base_OAPDI!H54</f>
        <v/>
      </c>
      <c r="H57" s="80">
        <f>Base_OAPDI!I54</f>
        <v/>
      </c>
      <c r="I57" s="80">
        <f>Base_OAPDI!J54</f>
        <v/>
      </c>
      <c r="J57" s="80">
        <f>Base_OAPDI!K54</f>
        <v/>
      </c>
      <c r="K57" s="80">
        <f>Base_OAPDI!L54</f>
        <v/>
      </c>
      <c r="L57" s="80">
        <f>Base_OAPDI!N54</f>
        <v/>
      </c>
      <c r="M57" s="80">
        <f>Base_OAPDI!P54</f>
        <v/>
      </c>
      <c r="N57" s="80">
        <f>Base_OAPDI!Q54</f>
        <v/>
      </c>
      <c r="O57" s="80">
        <f>Base_OAPDI!R54</f>
        <v/>
      </c>
      <c r="P57" s="80">
        <f>Base_OAPDI!S54</f>
        <v/>
      </c>
      <c r="Q57" s="81" t="n"/>
      <c r="R57" s="81" t="n"/>
      <c r="S57" s="81" t="n"/>
      <c r="T57" s="82" t="n"/>
      <c r="U57" s="82" t="n"/>
      <c r="V57" s="81" t="n"/>
      <c r="W57" s="81" t="n"/>
      <c r="X57" s="81" t="n"/>
      <c r="Y57" s="81" t="n"/>
      <c r="Z57" s="81" t="n"/>
      <c r="AA57" s="81" t="n"/>
      <c r="AB57" s="80">
        <f>IF(AA57="","",INDEX(Catalogos!$Y$5:$Y$25,MATCH(AA57,L_IMP,0)))</f>
        <v/>
      </c>
      <c r="AC57" s="81" t="n"/>
      <c r="AD57" s="81" t="n"/>
      <c r="AE57" s="81" t="n"/>
      <c r="AF57" s="83">
        <f>IF(Q57="","Pendiente por formular",IF(OR(S57="",T57="",U57="",V57="",W57="",X57="",Z57="",AA57=""),"Incompleta: faltan campos obligatorios",IF(OR(NOT(ISNUMBER(T57)),NOT(ISNUMBER(U57))),"Fecha inválida",IF(U57&lt;T57,"La fecha de fin es anterior a la de inicio",IF(OR(YEAR(T57)&lt;&gt;2027,YEAR(U57)&lt;&gt;2027),"Fechas fuera de la vigencia 2027",IF(ISERROR(SEARCH("@itc.edu.co",V57)),"El responsable no tiene correo institucional",IF(ISERROR(SEARCH(Z57,INDEX(Catalogos!$Z$5:$Z$25,MATCH(AA57,L_IMP,0)))),"La dimensión no corresponde al indicador de impacto","OK")))))))</f>
        <v/>
      </c>
    </row>
    <row r="58" ht="105" customHeight="1" s="23">
      <c r="A58" s="80">
        <f>Base_OAPDI!A55</f>
        <v/>
      </c>
      <c r="B58" s="80">
        <f>Base_OAPDI!B55</f>
        <v/>
      </c>
      <c r="C58" s="80">
        <f>Base_OAPDI!D55</f>
        <v/>
      </c>
      <c r="D58" s="80">
        <f>Base_OAPDI!E55</f>
        <v/>
      </c>
      <c r="E58" s="80">
        <f>Base_OAPDI!F55</f>
        <v/>
      </c>
      <c r="F58" s="80">
        <f>Base_OAPDI!G55</f>
        <v/>
      </c>
      <c r="G58" s="80">
        <f>Base_OAPDI!H55</f>
        <v/>
      </c>
      <c r="H58" s="80">
        <f>Base_OAPDI!I55</f>
        <v/>
      </c>
      <c r="I58" s="80">
        <f>Base_OAPDI!J55</f>
        <v/>
      </c>
      <c r="J58" s="80">
        <f>Base_OAPDI!K55</f>
        <v/>
      </c>
      <c r="K58" s="80">
        <f>Base_OAPDI!L55</f>
        <v/>
      </c>
      <c r="L58" s="80">
        <f>Base_OAPDI!N55</f>
        <v/>
      </c>
      <c r="M58" s="80">
        <f>Base_OAPDI!P55</f>
        <v/>
      </c>
      <c r="N58" s="80">
        <f>Base_OAPDI!Q55</f>
        <v/>
      </c>
      <c r="O58" s="80">
        <f>Base_OAPDI!R55</f>
        <v/>
      </c>
      <c r="P58" s="80">
        <f>Base_OAPDI!S55</f>
        <v/>
      </c>
      <c r="Q58" s="81" t="n"/>
      <c r="R58" s="81" t="n"/>
      <c r="S58" s="81" t="n"/>
      <c r="T58" s="82" t="n"/>
      <c r="U58" s="82" t="n"/>
      <c r="V58" s="81" t="n"/>
      <c r="W58" s="81" t="n"/>
      <c r="X58" s="81" t="n"/>
      <c r="Y58" s="81" t="n"/>
      <c r="Z58" s="81" t="n"/>
      <c r="AA58" s="81" t="n"/>
      <c r="AB58" s="80">
        <f>IF(AA58="","",INDEX(Catalogos!$Y$5:$Y$25,MATCH(AA58,L_IMP,0)))</f>
        <v/>
      </c>
      <c r="AC58" s="81" t="n"/>
      <c r="AD58" s="81" t="n"/>
      <c r="AE58" s="81" t="n"/>
      <c r="AF58" s="83">
        <f>IF(Q58="","Pendiente por formular",IF(OR(S58="",T58="",U58="",V58="",W58="",X58="",Z58="",AA58=""),"Incompleta: faltan campos obligatorios",IF(OR(NOT(ISNUMBER(T58)),NOT(ISNUMBER(U58))),"Fecha inválida",IF(U58&lt;T58,"La fecha de fin es anterior a la de inicio",IF(OR(YEAR(T58)&lt;&gt;2027,YEAR(U58)&lt;&gt;2027),"Fechas fuera de la vigencia 2027",IF(ISERROR(SEARCH("@itc.edu.co",V58)),"El responsable no tiene correo institucional",IF(ISERROR(SEARCH(Z58,INDEX(Catalogos!$Z$5:$Z$25,MATCH(AA58,L_IMP,0)))),"La dimensión no corresponde al indicador de impacto","OK")))))))</f>
        <v/>
      </c>
    </row>
    <row r="59" ht="165" customHeight="1" s="23">
      <c r="A59" s="80">
        <f>Base_OAPDI!A56</f>
        <v/>
      </c>
      <c r="B59" s="80">
        <f>Base_OAPDI!B56</f>
        <v/>
      </c>
      <c r="C59" s="80">
        <f>Base_OAPDI!D56</f>
        <v/>
      </c>
      <c r="D59" s="80">
        <f>Base_OAPDI!E56</f>
        <v/>
      </c>
      <c r="E59" s="80">
        <f>Base_OAPDI!F56</f>
        <v/>
      </c>
      <c r="F59" s="80">
        <f>Base_OAPDI!G56</f>
        <v/>
      </c>
      <c r="G59" s="80">
        <f>Base_OAPDI!H56</f>
        <v/>
      </c>
      <c r="H59" s="80">
        <f>Base_OAPDI!I56</f>
        <v/>
      </c>
      <c r="I59" s="80">
        <f>Base_OAPDI!J56</f>
        <v/>
      </c>
      <c r="J59" s="80">
        <f>Base_OAPDI!K56</f>
        <v/>
      </c>
      <c r="K59" s="80">
        <f>Base_OAPDI!L56</f>
        <v/>
      </c>
      <c r="L59" s="80">
        <f>Base_OAPDI!N56</f>
        <v/>
      </c>
      <c r="M59" s="80">
        <f>Base_OAPDI!P56</f>
        <v/>
      </c>
      <c r="N59" s="80">
        <f>Base_OAPDI!Q56</f>
        <v/>
      </c>
      <c r="O59" s="80">
        <f>Base_OAPDI!R56</f>
        <v/>
      </c>
      <c r="P59" s="80">
        <f>Base_OAPDI!S56</f>
        <v/>
      </c>
      <c r="Q59" s="81" t="n"/>
      <c r="R59" s="81" t="n"/>
      <c r="S59" s="81" t="n"/>
      <c r="T59" s="82" t="n"/>
      <c r="U59" s="82" t="n"/>
      <c r="V59" s="81" t="n"/>
      <c r="W59" s="81" t="n"/>
      <c r="X59" s="81" t="n"/>
      <c r="Y59" s="81" t="n"/>
      <c r="Z59" s="81" t="n"/>
      <c r="AA59" s="81" t="n"/>
      <c r="AB59" s="80">
        <f>IF(AA59="","",INDEX(Catalogos!$Y$5:$Y$25,MATCH(AA59,L_IMP,0)))</f>
        <v/>
      </c>
      <c r="AC59" s="81" t="n"/>
      <c r="AD59" s="81" t="n"/>
      <c r="AE59" s="81" t="n"/>
      <c r="AF59" s="83">
        <f>IF(Q59="","Pendiente por formular",IF(OR(S59="",T59="",U59="",V59="",W59="",X59="",Z59="",AA59=""),"Incompleta: faltan campos obligatorios",IF(OR(NOT(ISNUMBER(T59)),NOT(ISNUMBER(U59))),"Fecha inválida",IF(U59&lt;T59,"La fecha de fin es anterior a la de inicio",IF(OR(YEAR(T59)&lt;&gt;2027,YEAR(U59)&lt;&gt;2027),"Fechas fuera de la vigencia 2027",IF(ISERROR(SEARCH("@itc.edu.co",V59)),"El responsable no tiene correo institucional",IF(ISERROR(SEARCH(Z59,INDEX(Catalogos!$Z$5:$Z$25,MATCH(AA59,L_IMP,0)))),"La dimensión no corresponde al indicador de impacto","OK")))))))</f>
        <v/>
      </c>
    </row>
    <row r="60" ht="180" customHeight="1" s="23">
      <c r="A60" s="80">
        <f>Base_OAPDI!A57</f>
        <v/>
      </c>
      <c r="B60" s="80">
        <f>Base_OAPDI!B57</f>
        <v/>
      </c>
      <c r="C60" s="80">
        <f>Base_OAPDI!D57</f>
        <v/>
      </c>
      <c r="D60" s="80">
        <f>Base_OAPDI!E57</f>
        <v/>
      </c>
      <c r="E60" s="80">
        <f>Base_OAPDI!F57</f>
        <v/>
      </c>
      <c r="F60" s="80">
        <f>Base_OAPDI!G57</f>
        <v/>
      </c>
      <c r="G60" s="80">
        <f>Base_OAPDI!H57</f>
        <v/>
      </c>
      <c r="H60" s="80">
        <f>Base_OAPDI!I57</f>
        <v/>
      </c>
      <c r="I60" s="80">
        <f>Base_OAPDI!J57</f>
        <v/>
      </c>
      <c r="J60" s="80">
        <f>Base_OAPDI!K57</f>
        <v/>
      </c>
      <c r="K60" s="80">
        <f>Base_OAPDI!L57</f>
        <v/>
      </c>
      <c r="L60" s="80">
        <f>Base_OAPDI!N57</f>
        <v/>
      </c>
      <c r="M60" s="80">
        <f>Base_OAPDI!P57</f>
        <v/>
      </c>
      <c r="N60" s="80">
        <f>Base_OAPDI!Q57</f>
        <v/>
      </c>
      <c r="O60" s="80">
        <f>Base_OAPDI!R57</f>
        <v/>
      </c>
      <c r="P60" s="80">
        <f>Base_OAPDI!S57</f>
        <v/>
      </c>
      <c r="Q60" s="81" t="n"/>
      <c r="R60" s="81" t="n"/>
      <c r="S60" s="81" t="n"/>
      <c r="T60" s="82" t="n"/>
      <c r="U60" s="82" t="n"/>
      <c r="V60" s="81" t="n"/>
      <c r="W60" s="81" t="n"/>
      <c r="X60" s="81" t="n"/>
      <c r="Y60" s="81" t="n"/>
      <c r="Z60" s="81" t="n"/>
      <c r="AA60" s="81" t="n"/>
      <c r="AB60" s="80">
        <f>IF(AA60="","",INDEX(Catalogos!$Y$5:$Y$25,MATCH(AA60,L_IMP,0)))</f>
        <v/>
      </c>
      <c r="AC60" s="81" t="n"/>
      <c r="AD60" s="81" t="n"/>
      <c r="AE60" s="81" t="n"/>
      <c r="AF60" s="83">
        <f>IF(Q60="","Pendiente por formular",IF(OR(S60="",T60="",U60="",V60="",W60="",X60="",Z60="",AA60=""),"Incompleta: faltan campos obligatorios",IF(OR(NOT(ISNUMBER(T60)),NOT(ISNUMBER(U60))),"Fecha inválida",IF(U60&lt;T60,"La fecha de fin es anterior a la de inicio",IF(OR(YEAR(T60)&lt;&gt;2027,YEAR(U60)&lt;&gt;2027),"Fechas fuera de la vigencia 2027",IF(ISERROR(SEARCH("@itc.edu.co",V60)),"El responsable no tiene correo institucional",IF(ISERROR(SEARCH(Z60,INDEX(Catalogos!$Z$5:$Z$25,MATCH(AA60,L_IMP,0)))),"La dimensión no corresponde al indicador de impacto","OK")))))))</f>
        <v/>
      </c>
    </row>
    <row r="61" ht="105" customHeight="1" s="23">
      <c r="A61" s="80">
        <f>Base_OAPDI!A58</f>
        <v/>
      </c>
      <c r="B61" s="80">
        <f>Base_OAPDI!B58</f>
        <v/>
      </c>
      <c r="C61" s="80">
        <f>Base_OAPDI!D58</f>
        <v/>
      </c>
      <c r="D61" s="80">
        <f>Base_OAPDI!E58</f>
        <v/>
      </c>
      <c r="E61" s="80">
        <f>Base_OAPDI!F58</f>
        <v/>
      </c>
      <c r="F61" s="80">
        <f>Base_OAPDI!G58</f>
        <v/>
      </c>
      <c r="G61" s="80">
        <f>Base_OAPDI!H58</f>
        <v/>
      </c>
      <c r="H61" s="80">
        <f>Base_OAPDI!I58</f>
        <v/>
      </c>
      <c r="I61" s="80">
        <f>Base_OAPDI!J58</f>
        <v/>
      </c>
      <c r="J61" s="80">
        <f>Base_OAPDI!K58</f>
        <v/>
      </c>
      <c r="K61" s="80">
        <f>Base_OAPDI!L58</f>
        <v/>
      </c>
      <c r="L61" s="80">
        <f>Base_OAPDI!N58</f>
        <v/>
      </c>
      <c r="M61" s="80">
        <f>Base_OAPDI!P58</f>
        <v/>
      </c>
      <c r="N61" s="80">
        <f>Base_OAPDI!Q58</f>
        <v/>
      </c>
      <c r="O61" s="80">
        <f>Base_OAPDI!R58</f>
        <v/>
      </c>
      <c r="P61" s="80">
        <f>Base_OAPDI!S58</f>
        <v/>
      </c>
      <c r="Q61" s="81" t="n"/>
      <c r="R61" s="81" t="n"/>
      <c r="S61" s="81" t="n"/>
      <c r="T61" s="82" t="n"/>
      <c r="U61" s="82" t="n"/>
      <c r="V61" s="81" t="n"/>
      <c r="W61" s="81" t="n"/>
      <c r="X61" s="81" t="n"/>
      <c r="Y61" s="81" t="n"/>
      <c r="Z61" s="81" t="n"/>
      <c r="AA61" s="81" t="n"/>
      <c r="AB61" s="80">
        <f>IF(AA61="","",INDEX(Catalogos!$Y$5:$Y$25,MATCH(AA61,L_IMP,0)))</f>
        <v/>
      </c>
      <c r="AC61" s="81" t="n"/>
      <c r="AD61" s="81" t="n"/>
      <c r="AE61" s="81" t="n"/>
      <c r="AF61" s="83">
        <f>IF(Q61="","Pendiente por formular",IF(OR(S61="",T61="",U61="",V61="",W61="",X61="",Z61="",AA61=""),"Incompleta: faltan campos obligatorios",IF(OR(NOT(ISNUMBER(T61)),NOT(ISNUMBER(U61))),"Fecha inválida",IF(U61&lt;T61,"La fecha de fin es anterior a la de inicio",IF(OR(YEAR(T61)&lt;&gt;2027,YEAR(U61)&lt;&gt;2027),"Fechas fuera de la vigencia 2027",IF(ISERROR(SEARCH("@itc.edu.co",V61)),"El responsable no tiene correo institucional",IF(ISERROR(SEARCH(Z61,INDEX(Catalogos!$Z$5:$Z$25,MATCH(AA61,L_IMP,0)))),"La dimensión no corresponde al indicador de impacto","OK")))))))</f>
        <v/>
      </c>
    </row>
    <row r="62" ht="105" customHeight="1" s="23">
      <c r="A62" s="80">
        <f>Base_OAPDI!A59</f>
        <v/>
      </c>
      <c r="B62" s="80">
        <f>Base_OAPDI!B59</f>
        <v/>
      </c>
      <c r="C62" s="80">
        <f>Base_OAPDI!D59</f>
        <v/>
      </c>
      <c r="D62" s="80">
        <f>Base_OAPDI!E59</f>
        <v/>
      </c>
      <c r="E62" s="80">
        <f>Base_OAPDI!F59</f>
        <v/>
      </c>
      <c r="F62" s="80">
        <f>Base_OAPDI!G59</f>
        <v/>
      </c>
      <c r="G62" s="80">
        <f>Base_OAPDI!H59</f>
        <v/>
      </c>
      <c r="H62" s="80">
        <f>Base_OAPDI!I59</f>
        <v/>
      </c>
      <c r="I62" s="80">
        <f>Base_OAPDI!J59</f>
        <v/>
      </c>
      <c r="J62" s="80">
        <f>Base_OAPDI!K59</f>
        <v/>
      </c>
      <c r="K62" s="80">
        <f>Base_OAPDI!L59</f>
        <v/>
      </c>
      <c r="L62" s="80">
        <f>Base_OAPDI!N59</f>
        <v/>
      </c>
      <c r="M62" s="80">
        <f>Base_OAPDI!P59</f>
        <v/>
      </c>
      <c r="N62" s="80">
        <f>Base_OAPDI!Q59</f>
        <v/>
      </c>
      <c r="O62" s="80">
        <f>Base_OAPDI!R59</f>
        <v/>
      </c>
      <c r="P62" s="80">
        <f>Base_OAPDI!S59</f>
        <v/>
      </c>
      <c r="Q62" s="81" t="n"/>
      <c r="R62" s="81" t="n"/>
      <c r="S62" s="81" t="n"/>
      <c r="T62" s="82" t="n"/>
      <c r="U62" s="82" t="n"/>
      <c r="V62" s="81" t="n"/>
      <c r="W62" s="81" t="n"/>
      <c r="X62" s="81" t="n"/>
      <c r="Y62" s="81" t="n"/>
      <c r="Z62" s="81" t="n"/>
      <c r="AA62" s="81" t="n"/>
      <c r="AB62" s="80">
        <f>IF(AA62="","",INDEX(Catalogos!$Y$5:$Y$25,MATCH(AA62,L_IMP,0)))</f>
        <v/>
      </c>
      <c r="AC62" s="81" t="n"/>
      <c r="AD62" s="81" t="n"/>
      <c r="AE62" s="81" t="n"/>
      <c r="AF62" s="83">
        <f>IF(Q62="","Pendiente por formular",IF(OR(S62="",T62="",U62="",V62="",W62="",X62="",Z62="",AA62=""),"Incompleta: faltan campos obligatorios",IF(OR(NOT(ISNUMBER(T62)),NOT(ISNUMBER(U62))),"Fecha inválida",IF(U62&lt;T62,"La fecha de fin es anterior a la de inicio",IF(OR(YEAR(T62)&lt;&gt;2027,YEAR(U62)&lt;&gt;2027),"Fechas fuera de la vigencia 2027",IF(ISERROR(SEARCH("@itc.edu.co",V62)),"El responsable no tiene correo institucional",IF(ISERROR(SEARCH(Z62,INDEX(Catalogos!$Z$5:$Z$25,MATCH(AA62,L_IMP,0)))),"La dimensión no corresponde al indicador de impacto","OK")))))))</f>
        <v/>
      </c>
    </row>
    <row r="63" ht="105" customHeight="1" s="23">
      <c r="A63" s="80">
        <f>Base_OAPDI!A60</f>
        <v/>
      </c>
      <c r="B63" s="80">
        <f>Base_OAPDI!B60</f>
        <v/>
      </c>
      <c r="C63" s="80">
        <f>Base_OAPDI!D60</f>
        <v/>
      </c>
      <c r="D63" s="80">
        <f>Base_OAPDI!E60</f>
        <v/>
      </c>
      <c r="E63" s="80">
        <f>Base_OAPDI!F60</f>
        <v/>
      </c>
      <c r="F63" s="80">
        <f>Base_OAPDI!G60</f>
        <v/>
      </c>
      <c r="G63" s="80">
        <f>Base_OAPDI!H60</f>
        <v/>
      </c>
      <c r="H63" s="80">
        <f>Base_OAPDI!I60</f>
        <v/>
      </c>
      <c r="I63" s="80">
        <f>Base_OAPDI!J60</f>
        <v/>
      </c>
      <c r="J63" s="80">
        <f>Base_OAPDI!K60</f>
        <v/>
      </c>
      <c r="K63" s="80">
        <f>Base_OAPDI!L60</f>
        <v/>
      </c>
      <c r="L63" s="80">
        <f>Base_OAPDI!N60</f>
        <v/>
      </c>
      <c r="M63" s="80">
        <f>Base_OAPDI!P60</f>
        <v/>
      </c>
      <c r="N63" s="80">
        <f>Base_OAPDI!Q60</f>
        <v/>
      </c>
      <c r="O63" s="80">
        <f>Base_OAPDI!R60</f>
        <v/>
      </c>
      <c r="P63" s="80">
        <f>Base_OAPDI!S60</f>
        <v/>
      </c>
      <c r="Q63" s="81" t="n"/>
      <c r="R63" s="81" t="n"/>
      <c r="S63" s="81" t="n"/>
      <c r="T63" s="82" t="n"/>
      <c r="U63" s="82" t="n"/>
      <c r="V63" s="81" t="n"/>
      <c r="W63" s="81" t="n"/>
      <c r="X63" s="81" t="n"/>
      <c r="Y63" s="81" t="n"/>
      <c r="Z63" s="81" t="n"/>
      <c r="AA63" s="81" t="n"/>
      <c r="AB63" s="80">
        <f>IF(AA63="","",INDEX(Catalogos!$Y$5:$Y$25,MATCH(AA63,L_IMP,0)))</f>
        <v/>
      </c>
      <c r="AC63" s="81" t="n"/>
      <c r="AD63" s="81" t="n"/>
      <c r="AE63" s="81" t="n"/>
      <c r="AF63" s="83">
        <f>IF(Q63="","Pendiente por formular",IF(OR(S63="",T63="",U63="",V63="",W63="",X63="",Z63="",AA63=""),"Incompleta: faltan campos obligatorios",IF(OR(NOT(ISNUMBER(T63)),NOT(ISNUMBER(U63))),"Fecha inválida",IF(U63&lt;T63,"La fecha de fin es anterior a la de inicio",IF(OR(YEAR(T63)&lt;&gt;2027,YEAR(U63)&lt;&gt;2027),"Fechas fuera de la vigencia 2027",IF(ISERROR(SEARCH("@itc.edu.co",V63)),"El responsable no tiene correo institucional",IF(ISERROR(SEARCH(Z63,INDEX(Catalogos!$Z$5:$Z$25,MATCH(AA63,L_IMP,0)))),"La dimensión no corresponde al indicador de impacto","OK")))))))</f>
        <v/>
      </c>
    </row>
    <row r="64" ht="105" customHeight="1" s="23">
      <c r="A64" s="80">
        <f>Base_OAPDI!A61</f>
        <v/>
      </c>
      <c r="B64" s="80">
        <f>Base_OAPDI!B61</f>
        <v/>
      </c>
      <c r="C64" s="80">
        <f>Base_OAPDI!D61</f>
        <v/>
      </c>
      <c r="D64" s="80">
        <f>Base_OAPDI!E61</f>
        <v/>
      </c>
      <c r="E64" s="80">
        <f>Base_OAPDI!F61</f>
        <v/>
      </c>
      <c r="F64" s="80">
        <f>Base_OAPDI!G61</f>
        <v/>
      </c>
      <c r="G64" s="80">
        <f>Base_OAPDI!H61</f>
        <v/>
      </c>
      <c r="H64" s="80">
        <f>Base_OAPDI!I61</f>
        <v/>
      </c>
      <c r="I64" s="80">
        <f>Base_OAPDI!J61</f>
        <v/>
      </c>
      <c r="J64" s="80">
        <f>Base_OAPDI!K61</f>
        <v/>
      </c>
      <c r="K64" s="80">
        <f>Base_OAPDI!L61</f>
        <v/>
      </c>
      <c r="L64" s="80">
        <f>Base_OAPDI!N61</f>
        <v/>
      </c>
      <c r="M64" s="80">
        <f>Base_OAPDI!P61</f>
        <v/>
      </c>
      <c r="N64" s="80">
        <f>Base_OAPDI!Q61</f>
        <v/>
      </c>
      <c r="O64" s="80">
        <f>Base_OAPDI!R61</f>
        <v/>
      </c>
      <c r="P64" s="80">
        <f>Base_OAPDI!S61</f>
        <v/>
      </c>
      <c r="Q64" s="81" t="n"/>
      <c r="R64" s="81" t="n"/>
      <c r="S64" s="81" t="n"/>
      <c r="T64" s="82" t="n"/>
      <c r="U64" s="82" t="n"/>
      <c r="V64" s="81" t="n"/>
      <c r="W64" s="81" t="n"/>
      <c r="X64" s="81" t="n"/>
      <c r="Y64" s="81" t="n"/>
      <c r="Z64" s="81" t="n"/>
      <c r="AA64" s="81" t="n"/>
      <c r="AB64" s="80">
        <f>IF(AA64="","",INDEX(Catalogos!$Y$5:$Y$25,MATCH(AA64,L_IMP,0)))</f>
        <v/>
      </c>
      <c r="AC64" s="81" t="n"/>
      <c r="AD64" s="81" t="n"/>
      <c r="AE64" s="81" t="n"/>
      <c r="AF64" s="83">
        <f>IF(Q64="","Pendiente por formular",IF(OR(S64="",T64="",U64="",V64="",W64="",X64="",Z64="",AA64=""),"Incompleta: faltan campos obligatorios",IF(OR(NOT(ISNUMBER(T64)),NOT(ISNUMBER(U64))),"Fecha inválida",IF(U64&lt;T64,"La fecha de fin es anterior a la de inicio",IF(OR(YEAR(T64)&lt;&gt;2027,YEAR(U64)&lt;&gt;2027),"Fechas fuera de la vigencia 2027",IF(ISERROR(SEARCH("@itc.edu.co",V64)),"El responsable no tiene correo institucional",IF(ISERROR(SEARCH(Z64,INDEX(Catalogos!$Z$5:$Z$25,MATCH(AA64,L_IMP,0)))),"La dimensión no corresponde al indicador de impacto","OK")))))))</f>
        <v/>
      </c>
    </row>
    <row r="65" ht="105" customHeight="1" s="23">
      <c r="A65" s="80">
        <f>Base_OAPDI!A62</f>
        <v/>
      </c>
      <c r="B65" s="80">
        <f>Base_OAPDI!B62</f>
        <v/>
      </c>
      <c r="C65" s="80">
        <f>Base_OAPDI!D62</f>
        <v/>
      </c>
      <c r="D65" s="80">
        <f>Base_OAPDI!E62</f>
        <v/>
      </c>
      <c r="E65" s="80">
        <f>Base_OAPDI!F62</f>
        <v/>
      </c>
      <c r="F65" s="80">
        <f>Base_OAPDI!G62</f>
        <v/>
      </c>
      <c r="G65" s="80">
        <f>Base_OAPDI!H62</f>
        <v/>
      </c>
      <c r="H65" s="80">
        <f>Base_OAPDI!I62</f>
        <v/>
      </c>
      <c r="I65" s="80">
        <f>Base_OAPDI!J62</f>
        <v/>
      </c>
      <c r="J65" s="80">
        <f>Base_OAPDI!K62</f>
        <v/>
      </c>
      <c r="K65" s="80">
        <f>Base_OAPDI!L62</f>
        <v/>
      </c>
      <c r="L65" s="80">
        <f>Base_OAPDI!N62</f>
        <v/>
      </c>
      <c r="M65" s="80">
        <f>Base_OAPDI!P62</f>
        <v/>
      </c>
      <c r="N65" s="80">
        <f>Base_OAPDI!Q62</f>
        <v/>
      </c>
      <c r="O65" s="80">
        <f>Base_OAPDI!R62</f>
        <v/>
      </c>
      <c r="P65" s="80">
        <f>Base_OAPDI!S62</f>
        <v/>
      </c>
      <c r="Q65" s="81" t="n"/>
      <c r="R65" s="81" t="n"/>
      <c r="S65" s="81" t="n"/>
      <c r="T65" s="82" t="n"/>
      <c r="U65" s="82" t="n"/>
      <c r="V65" s="81" t="n"/>
      <c r="W65" s="81" t="n"/>
      <c r="X65" s="81" t="n"/>
      <c r="Y65" s="81" t="n"/>
      <c r="Z65" s="81" t="n"/>
      <c r="AA65" s="81" t="n"/>
      <c r="AB65" s="80">
        <f>IF(AA65="","",INDEX(Catalogos!$Y$5:$Y$25,MATCH(AA65,L_IMP,0)))</f>
        <v/>
      </c>
      <c r="AC65" s="81" t="n"/>
      <c r="AD65" s="81" t="n"/>
      <c r="AE65" s="81" t="n"/>
      <c r="AF65" s="83">
        <f>IF(Q65="","Pendiente por formular",IF(OR(S65="",T65="",U65="",V65="",W65="",X65="",Z65="",AA65=""),"Incompleta: faltan campos obligatorios",IF(OR(NOT(ISNUMBER(T65)),NOT(ISNUMBER(U65))),"Fecha inválida",IF(U65&lt;T65,"La fecha de fin es anterior a la de inicio",IF(OR(YEAR(T65)&lt;&gt;2027,YEAR(U65)&lt;&gt;2027),"Fechas fuera de la vigencia 2027",IF(ISERROR(SEARCH("@itc.edu.co",V65)),"El responsable no tiene correo institucional",IF(ISERROR(SEARCH(Z65,INDEX(Catalogos!$Z$5:$Z$25,MATCH(AA65,L_IMP,0)))),"La dimensión no corresponde al indicador de impacto","OK")))))))</f>
        <v/>
      </c>
    </row>
    <row r="66" ht="105" customHeight="1" s="23">
      <c r="A66" s="80">
        <f>Base_OAPDI!A63</f>
        <v/>
      </c>
      <c r="B66" s="80">
        <f>Base_OAPDI!B63</f>
        <v/>
      </c>
      <c r="C66" s="80">
        <f>Base_OAPDI!D63</f>
        <v/>
      </c>
      <c r="D66" s="80">
        <f>Base_OAPDI!E63</f>
        <v/>
      </c>
      <c r="E66" s="80">
        <f>Base_OAPDI!F63</f>
        <v/>
      </c>
      <c r="F66" s="80">
        <f>Base_OAPDI!G63</f>
        <v/>
      </c>
      <c r="G66" s="80">
        <f>Base_OAPDI!H63</f>
        <v/>
      </c>
      <c r="H66" s="80">
        <f>Base_OAPDI!I63</f>
        <v/>
      </c>
      <c r="I66" s="80">
        <f>Base_OAPDI!J63</f>
        <v/>
      </c>
      <c r="J66" s="80">
        <f>Base_OAPDI!K63</f>
        <v/>
      </c>
      <c r="K66" s="80">
        <f>Base_OAPDI!L63</f>
        <v/>
      </c>
      <c r="L66" s="80">
        <f>Base_OAPDI!N63</f>
        <v/>
      </c>
      <c r="M66" s="80">
        <f>Base_OAPDI!P63</f>
        <v/>
      </c>
      <c r="N66" s="80">
        <f>Base_OAPDI!Q63</f>
        <v/>
      </c>
      <c r="O66" s="80">
        <f>Base_OAPDI!R63</f>
        <v/>
      </c>
      <c r="P66" s="80">
        <f>Base_OAPDI!S63</f>
        <v/>
      </c>
      <c r="Q66" s="81" t="n"/>
      <c r="R66" s="81" t="n"/>
      <c r="S66" s="81" t="n"/>
      <c r="T66" s="82" t="n"/>
      <c r="U66" s="82" t="n"/>
      <c r="V66" s="81" t="n"/>
      <c r="W66" s="81" t="n"/>
      <c r="X66" s="81" t="n"/>
      <c r="Y66" s="81" t="n"/>
      <c r="Z66" s="81" t="n"/>
      <c r="AA66" s="81" t="n"/>
      <c r="AB66" s="80">
        <f>IF(AA66="","",INDEX(Catalogos!$Y$5:$Y$25,MATCH(AA66,L_IMP,0)))</f>
        <v/>
      </c>
      <c r="AC66" s="81" t="n"/>
      <c r="AD66" s="81" t="n"/>
      <c r="AE66" s="81" t="n"/>
      <c r="AF66" s="83">
        <f>IF(Q66="","Pendiente por formular",IF(OR(S66="",T66="",U66="",V66="",W66="",X66="",Z66="",AA66=""),"Incompleta: faltan campos obligatorios",IF(OR(NOT(ISNUMBER(T66)),NOT(ISNUMBER(U66))),"Fecha inválida",IF(U66&lt;T66,"La fecha de fin es anterior a la de inicio",IF(OR(YEAR(T66)&lt;&gt;2027,YEAR(U66)&lt;&gt;2027),"Fechas fuera de la vigencia 2027",IF(ISERROR(SEARCH("@itc.edu.co",V66)),"El responsable no tiene correo institucional",IF(ISERROR(SEARCH(Z66,INDEX(Catalogos!$Z$5:$Z$25,MATCH(AA66,L_IMP,0)))),"La dimensión no corresponde al indicador de impacto","OK")))))))</f>
        <v/>
      </c>
    </row>
    <row r="67" ht="165" customHeight="1" s="23">
      <c r="A67" s="80">
        <f>Base_OAPDI!A64</f>
        <v/>
      </c>
      <c r="B67" s="80">
        <f>Base_OAPDI!B64</f>
        <v/>
      </c>
      <c r="C67" s="80">
        <f>Base_OAPDI!D64</f>
        <v/>
      </c>
      <c r="D67" s="80">
        <f>Base_OAPDI!E64</f>
        <v/>
      </c>
      <c r="E67" s="80">
        <f>Base_OAPDI!F64</f>
        <v/>
      </c>
      <c r="F67" s="80">
        <f>Base_OAPDI!G64</f>
        <v/>
      </c>
      <c r="G67" s="80">
        <f>Base_OAPDI!H64</f>
        <v/>
      </c>
      <c r="H67" s="80">
        <f>Base_OAPDI!I64</f>
        <v/>
      </c>
      <c r="I67" s="80">
        <f>Base_OAPDI!J64</f>
        <v/>
      </c>
      <c r="J67" s="80">
        <f>Base_OAPDI!K64</f>
        <v/>
      </c>
      <c r="K67" s="80">
        <f>Base_OAPDI!L64</f>
        <v/>
      </c>
      <c r="L67" s="80">
        <f>Base_OAPDI!N64</f>
        <v/>
      </c>
      <c r="M67" s="80">
        <f>Base_OAPDI!P64</f>
        <v/>
      </c>
      <c r="N67" s="80">
        <f>Base_OAPDI!Q64</f>
        <v/>
      </c>
      <c r="O67" s="80">
        <f>Base_OAPDI!R64</f>
        <v/>
      </c>
      <c r="P67" s="80">
        <f>Base_OAPDI!S64</f>
        <v/>
      </c>
      <c r="Q67" s="81" t="n"/>
      <c r="R67" s="81" t="n"/>
      <c r="S67" s="81" t="n"/>
      <c r="T67" s="82" t="n"/>
      <c r="U67" s="82" t="n"/>
      <c r="V67" s="81" t="n"/>
      <c r="W67" s="81" t="n"/>
      <c r="X67" s="81" t="n"/>
      <c r="Y67" s="81" t="n"/>
      <c r="Z67" s="81" t="n"/>
      <c r="AA67" s="81" t="n"/>
      <c r="AB67" s="80">
        <f>IF(AA67="","",INDEX(Catalogos!$Y$5:$Y$25,MATCH(AA67,L_IMP,0)))</f>
        <v/>
      </c>
      <c r="AC67" s="81" t="n"/>
      <c r="AD67" s="81" t="n"/>
      <c r="AE67" s="81" t="n"/>
      <c r="AF67" s="83">
        <f>IF(Q67="","Pendiente por formular",IF(OR(S67="",T67="",U67="",V67="",W67="",X67="",Z67="",AA67=""),"Incompleta: faltan campos obligatorios",IF(OR(NOT(ISNUMBER(T67)),NOT(ISNUMBER(U67))),"Fecha inválida",IF(U67&lt;T67,"La fecha de fin es anterior a la de inicio",IF(OR(YEAR(T67)&lt;&gt;2027,YEAR(U67)&lt;&gt;2027),"Fechas fuera de la vigencia 2027",IF(ISERROR(SEARCH("@itc.edu.co",V67)),"El responsable no tiene correo institucional",IF(ISERROR(SEARCH(Z67,INDEX(Catalogos!$Z$5:$Z$25,MATCH(AA67,L_IMP,0)))),"La dimensión no corresponde al indicador de impacto","OK")))))))</f>
        <v/>
      </c>
    </row>
    <row r="68" ht="210" customHeight="1" s="23">
      <c r="A68" s="80">
        <f>Base_OAPDI!A65</f>
        <v/>
      </c>
      <c r="B68" s="80">
        <f>Base_OAPDI!B65</f>
        <v/>
      </c>
      <c r="C68" s="80">
        <f>Base_OAPDI!D65</f>
        <v/>
      </c>
      <c r="D68" s="80">
        <f>Base_OAPDI!E65</f>
        <v/>
      </c>
      <c r="E68" s="80">
        <f>Base_OAPDI!F65</f>
        <v/>
      </c>
      <c r="F68" s="80">
        <f>Base_OAPDI!G65</f>
        <v/>
      </c>
      <c r="G68" s="80">
        <f>Base_OAPDI!H65</f>
        <v/>
      </c>
      <c r="H68" s="80">
        <f>Base_OAPDI!I65</f>
        <v/>
      </c>
      <c r="I68" s="80">
        <f>Base_OAPDI!J65</f>
        <v/>
      </c>
      <c r="J68" s="80">
        <f>Base_OAPDI!K65</f>
        <v/>
      </c>
      <c r="K68" s="80">
        <f>Base_OAPDI!L65</f>
        <v/>
      </c>
      <c r="L68" s="80">
        <f>Base_OAPDI!N65</f>
        <v/>
      </c>
      <c r="M68" s="80">
        <f>Base_OAPDI!P65</f>
        <v/>
      </c>
      <c r="N68" s="80">
        <f>Base_OAPDI!Q65</f>
        <v/>
      </c>
      <c r="O68" s="80">
        <f>Base_OAPDI!R65</f>
        <v/>
      </c>
      <c r="P68" s="80">
        <f>Base_OAPDI!S65</f>
        <v/>
      </c>
      <c r="Q68" s="81" t="n"/>
      <c r="R68" s="81" t="n"/>
      <c r="S68" s="81" t="n"/>
      <c r="T68" s="82" t="n"/>
      <c r="U68" s="82" t="n"/>
      <c r="V68" s="81" t="n"/>
      <c r="W68" s="81" t="n"/>
      <c r="X68" s="81" t="n"/>
      <c r="Y68" s="81" t="n"/>
      <c r="Z68" s="81" t="n"/>
      <c r="AA68" s="81" t="n"/>
      <c r="AB68" s="80">
        <f>IF(AA68="","",INDEX(Catalogos!$Y$5:$Y$25,MATCH(AA68,L_IMP,0)))</f>
        <v/>
      </c>
      <c r="AC68" s="81" t="n"/>
      <c r="AD68" s="81" t="n"/>
      <c r="AE68" s="81" t="n"/>
      <c r="AF68" s="83">
        <f>IF(Q68="","Pendiente por formular",IF(OR(S68="",T68="",U68="",V68="",W68="",X68="",Z68="",AA68=""),"Incompleta: faltan campos obligatorios",IF(OR(NOT(ISNUMBER(T68)),NOT(ISNUMBER(U68))),"Fecha inválida",IF(U68&lt;T68,"La fecha de fin es anterior a la de inicio",IF(OR(YEAR(T68)&lt;&gt;2027,YEAR(U68)&lt;&gt;2027),"Fechas fuera de la vigencia 2027",IF(ISERROR(SEARCH("@itc.edu.co",V68)),"El responsable no tiene correo institucional",IF(ISERROR(SEARCH(Z68,INDEX(Catalogos!$Z$5:$Z$25,MATCH(AA68,L_IMP,0)))),"La dimensión no corresponde al indicador de impacto","OK")))))))</f>
        <v/>
      </c>
    </row>
    <row r="69" ht="90" customHeight="1" s="23">
      <c r="A69" s="80">
        <f>Base_OAPDI!A66</f>
        <v/>
      </c>
      <c r="B69" s="80">
        <f>Base_OAPDI!B66</f>
        <v/>
      </c>
      <c r="C69" s="80">
        <f>Base_OAPDI!D66</f>
        <v/>
      </c>
      <c r="D69" s="80">
        <f>Base_OAPDI!E66</f>
        <v/>
      </c>
      <c r="E69" s="80">
        <f>Base_OAPDI!F66</f>
        <v/>
      </c>
      <c r="F69" s="80">
        <f>Base_OAPDI!G66</f>
        <v/>
      </c>
      <c r="G69" s="80">
        <f>Base_OAPDI!H66</f>
        <v/>
      </c>
      <c r="H69" s="80">
        <f>Base_OAPDI!I66</f>
        <v/>
      </c>
      <c r="I69" s="80">
        <f>Base_OAPDI!J66</f>
        <v/>
      </c>
      <c r="J69" s="80">
        <f>Base_OAPDI!K66</f>
        <v/>
      </c>
      <c r="K69" s="80">
        <f>Base_OAPDI!L66</f>
        <v/>
      </c>
      <c r="L69" s="80">
        <f>Base_OAPDI!N66</f>
        <v/>
      </c>
      <c r="M69" s="80">
        <f>Base_OAPDI!P66</f>
        <v/>
      </c>
      <c r="N69" s="80">
        <f>Base_OAPDI!Q66</f>
        <v/>
      </c>
      <c r="O69" s="80">
        <f>Base_OAPDI!R66</f>
        <v/>
      </c>
      <c r="P69" s="80">
        <f>Base_OAPDI!S66</f>
        <v/>
      </c>
      <c r="Q69" s="81" t="n"/>
      <c r="R69" s="81" t="n"/>
      <c r="S69" s="81" t="n"/>
      <c r="T69" s="82" t="n"/>
      <c r="U69" s="82" t="n"/>
      <c r="V69" s="81" t="n"/>
      <c r="W69" s="81" t="n"/>
      <c r="X69" s="81" t="n"/>
      <c r="Y69" s="81" t="n"/>
      <c r="Z69" s="81" t="n"/>
      <c r="AA69" s="81" t="n"/>
      <c r="AB69" s="80">
        <f>IF(AA69="","",INDEX(Catalogos!$Y$5:$Y$25,MATCH(AA69,L_IMP,0)))</f>
        <v/>
      </c>
      <c r="AC69" s="81" t="n"/>
      <c r="AD69" s="81" t="n"/>
      <c r="AE69" s="81" t="n"/>
      <c r="AF69" s="83">
        <f>IF(Q69="","Pendiente por formular",IF(OR(S69="",T69="",U69="",V69="",W69="",X69="",Z69="",AA69=""),"Incompleta: faltan campos obligatorios",IF(OR(NOT(ISNUMBER(T69)),NOT(ISNUMBER(U69))),"Fecha inválida",IF(U69&lt;T69,"La fecha de fin es anterior a la de inicio",IF(OR(YEAR(T69)&lt;&gt;2027,YEAR(U69)&lt;&gt;2027),"Fechas fuera de la vigencia 2027",IF(ISERROR(SEARCH("@itc.edu.co",V69)),"El responsable no tiene correo institucional",IF(ISERROR(SEARCH(Z69,INDEX(Catalogos!$Z$5:$Z$25,MATCH(AA69,L_IMP,0)))),"La dimensión no corresponde al indicador de impacto","OK")))))))</f>
        <v/>
      </c>
    </row>
    <row r="70" ht="240" customHeight="1" s="23">
      <c r="A70" s="80">
        <f>Base_OAPDI!A67</f>
        <v/>
      </c>
      <c r="B70" s="80">
        <f>Base_OAPDI!B67</f>
        <v/>
      </c>
      <c r="C70" s="80">
        <f>Base_OAPDI!D67</f>
        <v/>
      </c>
      <c r="D70" s="80">
        <f>Base_OAPDI!E67</f>
        <v/>
      </c>
      <c r="E70" s="80">
        <f>Base_OAPDI!F67</f>
        <v/>
      </c>
      <c r="F70" s="80">
        <f>Base_OAPDI!G67</f>
        <v/>
      </c>
      <c r="G70" s="80">
        <f>Base_OAPDI!H67</f>
        <v/>
      </c>
      <c r="H70" s="80">
        <f>Base_OAPDI!I67</f>
        <v/>
      </c>
      <c r="I70" s="80">
        <f>Base_OAPDI!J67</f>
        <v/>
      </c>
      <c r="J70" s="80">
        <f>Base_OAPDI!K67</f>
        <v/>
      </c>
      <c r="K70" s="80">
        <f>Base_OAPDI!L67</f>
        <v/>
      </c>
      <c r="L70" s="80">
        <f>Base_OAPDI!N67</f>
        <v/>
      </c>
      <c r="M70" s="80">
        <f>Base_OAPDI!P67</f>
        <v/>
      </c>
      <c r="N70" s="80">
        <f>Base_OAPDI!Q67</f>
        <v/>
      </c>
      <c r="O70" s="80">
        <f>Base_OAPDI!R67</f>
        <v/>
      </c>
      <c r="P70" s="80">
        <f>Base_OAPDI!S67</f>
        <v/>
      </c>
      <c r="Q70" s="81" t="n"/>
      <c r="R70" s="81" t="n"/>
      <c r="S70" s="81" t="n"/>
      <c r="T70" s="82" t="n"/>
      <c r="U70" s="82" t="n"/>
      <c r="V70" s="81" t="n"/>
      <c r="W70" s="81" t="n"/>
      <c r="X70" s="81" t="n"/>
      <c r="Y70" s="81" t="n"/>
      <c r="Z70" s="81" t="n"/>
      <c r="AA70" s="81" t="n"/>
      <c r="AB70" s="80">
        <f>IF(AA70="","",INDEX(Catalogos!$Y$5:$Y$25,MATCH(AA70,L_IMP,0)))</f>
        <v/>
      </c>
      <c r="AC70" s="81" t="n"/>
      <c r="AD70" s="81" t="n"/>
      <c r="AE70" s="81" t="n"/>
      <c r="AF70" s="83">
        <f>IF(Q70="","Pendiente por formular",IF(OR(S70="",T70="",U70="",V70="",W70="",X70="",Z70="",AA70=""),"Incompleta: faltan campos obligatorios",IF(OR(NOT(ISNUMBER(T70)),NOT(ISNUMBER(U70))),"Fecha inválida",IF(U70&lt;T70,"La fecha de fin es anterior a la de inicio",IF(OR(YEAR(T70)&lt;&gt;2027,YEAR(U70)&lt;&gt;2027),"Fechas fuera de la vigencia 2027",IF(ISERROR(SEARCH("@itc.edu.co",V70)),"El responsable no tiene correo institucional",IF(ISERROR(SEARCH(Z70,INDEX(Catalogos!$Z$5:$Z$25,MATCH(AA70,L_IMP,0)))),"La dimensión no corresponde al indicador de impacto","OK")))))))</f>
        <v/>
      </c>
    </row>
    <row r="71" ht="180" customHeight="1" s="23">
      <c r="A71" s="80">
        <f>Base_OAPDI!A68</f>
        <v/>
      </c>
      <c r="B71" s="80">
        <f>Base_OAPDI!B68</f>
        <v/>
      </c>
      <c r="C71" s="80">
        <f>Base_OAPDI!D68</f>
        <v/>
      </c>
      <c r="D71" s="80">
        <f>Base_OAPDI!E68</f>
        <v/>
      </c>
      <c r="E71" s="80">
        <f>Base_OAPDI!F68</f>
        <v/>
      </c>
      <c r="F71" s="80">
        <f>Base_OAPDI!G68</f>
        <v/>
      </c>
      <c r="G71" s="80">
        <f>Base_OAPDI!H68</f>
        <v/>
      </c>
      <c r="H71" s="80">
        <f>Base_OAPDI!I68</f>
        <v/>
      </c>
      <c r="I71" s="80">
        <f>Base_OAPDI!J68</f>
        <v/>
      </c>
      <c r="J71" s="80">
        <f>Base_OAPDI!K68</f>
        <v/>
      </c>
      <c r="K71" s="80">
        <f>Base_OAPDI!L68</f>
        <v/>
      </c>
      <c r="L71" s="80">
        <f>Base_OAPDI!N68</f>
        <v/>
      </c>
      <c r="M71" s="80">
        <f>Base_OAPDI!P68</f>
        <v/>
      </c>
      <c r="N71" s="80">
        <f>Base_OAPDI!Q68</f>
        <v/>
      </c>
      <c r="O71" s="80">
        <f>Base_OAPDI!R68</f>
        <v/>
      </c>
      <c r="P71" s="80">
        <f>Base_OAPDI!S68</f>
        <v/>
      </c>
      <c r="Q71" s="81" t="n"/>
      <c r="R71" s="81" t="n"/>
      <c r="S71" s="81" t="n"/>
      <c r="T71" s="82" t="n"/>
      <c r="U71" s="82" t="n"/>
      <c r="V71" s="81" t="n"/>
      <c r="W71" s="81" t="n"/>
      <c r="X71" s="81" t="n"/>
      <c r="Y71" s="81" t="n"/>
      <c r="Z71" s="81" t="n"/>
      <c r="AA71" s="81" t="n"/>
      <c r="AB71" s="80">
        <f>IF(AA71="","",INDEX(Catalogos!$Y$5:$Y$25,MATCH(AA71,L_IMP,0)))</f>
        <v/>
      </c>
      <c r="AC71" s="81" t="n"/>
      <c r="AD71" s="81" t="n"/>
      <c r="AE71" s="81" t="n"/>
      <c r="AF71" s="83">
        <f>IF(Q71="","Pendiente por formular",IF(OR(S71="",T71="",U71="",V71="",W71="",X71="",Z71="",AA71=""),"Incompleta: faltan campos obligatorios",IF(OR(NOT(ISNUMBER(T71)),NOT(ISNUMBER(U71))),"Fecha inválida",IF(U71&lt;T71,"La fecha de fin es anterior a la de inicio",IF(OR(YEAR(T71)&lt;&gt;2027,YEAR(U71)&lt;&gt;2027),"Fechas fuera de la vigencia 2027",IF(ISERROR(SEARCH("@itc.edu.co",V71)),"El responsable no tiene correo institucional",IF(ISERROR(SEARCH(Z71,INDEX(Catalogos!$Z$5:$Z$25,MATCH(AA71,L_IMP,0)))),"La dimensión no corresponde al indicador de impacto","OK")))))))</f>
        <v/>
      </c>
    </row>
    <row r="72" ht="120" customHeight="1" s="23">
      <c r="A72" s="80">
        <f>Base_OAPDI!A69</f>
        <v/>
      </c>
      <c r="B72" s="80">
        <f>Base_OAPDI!B69</f>
        <v/>
      </c>
      <c r="C72" s="80">
        <f>Base_OAPDI!D69</f>
        <v/>
      </c>
      <c r="D72" s="80">
        <f>Base_OAPDI!E69</f>
        <v/>
      </c>
      <c r="E72" s="80">
        <f>Base_OAPDI!F69</f>
        <v/>
      </c>
      <c r="F72" s="80">
        <f>Base_OAPDI!G69</f>
        <v/>
      </c>
      <c r="G72" s="80">
        <f>Base_OAPDI!H69</f>
        <v/>
      </c>
      <c r="H72" s="80">
        <f>Base_OAPDI!I69</f>
        <v/>
      </c>
      <c r="I72" s="80">
        <f>Base_OAPDI!J69</f>
        <v/>
      </c>
      <c r="J72" s="80">
        <f>Base_OAPDI!K69</f>
        <v/>
      </c>
      <c r="K72" s="80">
        <f>Base_OAPDI!L69</f>
        <v/>
      </c>
      <c r="L72" s="80">
        <f>Base_OAPDI!N69</f>
        <v/>
      </c>
      <c r="M72" s="80">
        <f>Base_OAPDI!P69</f>
        <v/>
      </c>
      <c r="N72" s="80">
        <f>Base_OAPDI!Q69</f>
        <v/>
      </c>
      <c r="O72" s="80">
        <f>Base_OAPDI!R69</f>
        <v/>
      </c>
      <c r="P72" s="80">
        <f>Base_OAPDI!S69</f>
        <v/>
      </c>
      <c r="Q72" s="81" t="n"/>
      <c r="R72" s="81" t="n"/>
      <c r="S72" s="81" t="n"/>
      <c r="T72" s="82" t="n"/>
      <c r="U72" s="82" t="n"/>
      <c r="V72" s="81" t="n"/>
      <c r="W72" s="81" t="n"/>
      <c r="X72" s="81" t="n"/>
      <c r="Y72" s="81" t="n"/>
      <c r="Z72" s="81" t="n"/>
      <c r="AA72" s="81" t="n"/>
      <c r="AB72" s="80">
        <f>IF(AA72="","",INDEX(Catalogos!$Y$5:$Y$25,MATCH(AA72,L_IMP,0)))</f>
        <v/>
      </c>
      <c r="AC72" s="81" t="n"/>
      <c r="AD72" s="81" t="n"/>
      <c r="AE72" s="81" t="n"/>
      <c r="AF72" s="83">
        <f>IF(Q72="","Pendiente por formular",IF(OR(S72="",T72="",U72="",V72="",W72="",X72="",Z72="",AA72=""),"Incompleta: faltan campos obligatorios",IF(OR(NOT(ISNUMBER(T72)),NOT(ISNUMBER(U72))),"Fecha inválida",IF(U72&lt;T72,"La fecha de fin es anterior a la de inicio",IF(OR(YEAR(T72)&lt;&gt;2027,YEAR(U72)&lt;&gt;2027),"Fechas fuera de la vigencia 2027",IF(ISERROR(SEARCH("@itc.edu.co",V72)),"El responsable no tiene correo institucional",IF(ISERROR(SEARCH(Z72,INDEX(Catalogos!$Z$5:$Z$25,MATCH(AA72,L_IMP,0)))),"La dimensión no corresponde al indicador de impacto","OK")))))))</f>
        <v/>
      </c>
    </row>
    <row r="73" ht="150" customHeight="1" s="23">
      <c r="A73" s="80">
        <f>Base_OAPDI!A70</f>
        <v/>
      </c>
      <c r="B73" s="80">
        <f>Base_OAPDI!B70</f>
        <v/>
      </c>
      <c r="C73" s="80">
        <f>Base_OAPDI!D70</f>
        <v/>
      </c>
      <c r="D73" s="80">
        <f>Base_OAPDI!E70</f>
        <v/>
      </c>
      <c r="E73" s="80">
        <f>Base_OAPDI!F70</f>
        <v/>
      </c>
      <c r="F73" s="80">
        <f>Base_OAPDI!G70</f>
        <v/>
      </c>
      <c r="G73" s="80">
        <f>Base_OAPDI!H70</f>
        <v/>
      </c>
      <c r="H73" s="80">
        <f>Base_OAPDI!I70</f>
        <v/>
      </c>
      <c r="I73" s="80">
        <f>Base_OAPDI!J70</f>
        <v/>
      </c>
      <c r="J73" s="80">
        <f>Base_OAPDI!K70</f>
        <v/>
      </c>
      <c r="K73" s="80">
        <f>Base_OAPDI!L70</f>
        <v/>
      </c>
      <c r="L73" s="80">
        <f>Base_OAPDI!N70</f>
        <v/>
      </c>
      <c r="M73" s="80">
        <f>Base_OAPDI!P70</f>
        <v/>
      </c>
      <c r="N73" s="80">
        <f>Base_OAPDI!Q70</f>
        <v/>
      </c>
      <c r="O73" s="80">
        <f>Base_OAPDI!R70</f>
        <v/>
      </c>
      <c r="P73" s="80">
        <f>Base_OAPDI!S70</f>
        <v/>
      </c>
      <c r="Q73" s="81" t="n"/>
      <c r="R73" s="81" t="n"/>
      <c r="S73" s="81" t="n"/>
      <c r="T73" s="82" t="n"/>
      <c r="U73" s="82" t="n"/>
      <c r="V73" s="81" t="n"/>
      <c r="W73" s="81" t="n"/>
      <c r="X73" s="81" t="n"/>
      <c r="Y73" s="81" t="n"/>
      <c r="Z73" s="81" t="n"/>
      <c r="AA73" s="81" t="n"/>
      <c r="AB73" s="80">
        <f>IF(AA73="","",INDEX(Catalogos!$Y$5:$Y$25,MATCH(AA73,L_IMP,0)))</f>
        <v/>
      </c>
      <c r="AC73" s="81" t="n"/>
      <c r="AD73" s="81" t="n"/>
      <c r="AE73" s="81" t="n"/>
      <c r="AF73" s="83">
        <f>IF(Q73="","Pendiente por formular",IF(OR(S73="",T73="",U73="",V73="",W73="",X73="",Z73="",AA73=""),"Incompleta: faltan campos obligatorios",IF(OR(NOT(ISNUMBER(T73)),NOT(ISNUMBER(U73))),"Fecha inválida",IF(U73&lt;T73,"La fecha de fin es anterior a la de inicio",IF(OR(YEAR(T73)&lt;&gt;2027,YEAR(U73)&lt;&gt;2027),"Fechas fuera de la vigencia 2027",IF(ISERROR(SEARCH("@itc.edu.co",V73)),"El responsable no tiene correo institucional",IF(ISERROR(SEARCH(Z73,INDEX(Catalogos!$Z$5:$Z$25,MATCH(AA73,L_IMP,0)))),"La dimensión no corresponde al indicador de impacto","OK")))))))</f>
        <v/>
      </c>
    </row>
    <row r="74" ht="120" customHeight="1" s="23">
      <c r="A74" s="80">
        <f>Base_OAPDI!A71</f>
        <v/>
      </c>
      <c r="B74" s="80">
        <f>Base_OAPDI!B71</f>
        <v/>
      </c>
      <c r="C74" s="80">
        <f>Base_OAPDI!D71</f>
        <v/>
      </c>
      <c r="D74" s="80">
        <f>Base_OAPDI!E71</f>
        <v/>
      </c>
      <c r="E74" s="80">
        <f>Base_OAPDI!F71</f>
        <v/>
      </c>
      <c r="F74" s="80">
        <f>Base_OAPDI!G71</f>
        <v/>
      </c>
      <c r="G74" s="80">
        <f>Base_OAPDI!H71</f>
        <v/>
      </c>
      <c r="H74" s="80">
        <f>Base_OAPDI!I71</f>
        <v/>
      </c>
      <c r="I74" s="80">
        <f>Base_OAPDI!J71</f>
        <v/>
      </c>
      <c r="J74" s="80">
        <f>Base_OAPDI!K71</f>
        <v/>
      </c>
      <c r="K74" s="80">
        <f>Base_OAPDI!L71</f>
        <v/>
      </c>
      <c r="L74" s="80">
        <f>Base_OAPDI!N71</f>
        <v/>
      </c>
      <c r="M74" s="80">
        <f>Base_OAPDI!P71</f>
        <v/>
      </c>
      <c r="N74" s="80">
        <f>Base_OAPDI!Q71</f>
        <v/>
      </c>
      <c r="O74" s="80">
        <f>Base_OAPDI!R71</f>
        <v/>
      </c>
      <c r="P74" s="80">
        <f>Base_OAPDI!S71</f>
        <v/>
      </c>
      <c r="Q74" s="81" t="n"/>
      <c r="R74" s="81" t="n"/>
      <c r="S74" s="81" t="n"/>
      <c r="T74" s="82" t="n"/>
      <c r="U74" s="82" t="n"/>
      <c r="V74" s="81" t="n"/>
      <c r="W74" s="81" t="n"/>
      <c r="X74" s="81" t="n"/>
      <c r="Y74" s="81" t="n"/>
      <c r="Z74" s="81" t="n"/>
      <c r="AA74" s="81" t="n"/>
      <c r="AB74" s="80">
        <f>IF(AA74="","",INDEX(Catalogos!$Y$5:$Y$25,MATCH(AA74,L_IMP,0)))</f>
        <v/>
      </c>
      <c r="AC74" s="81" t="n"/>
      <c r="AD74" s="81" t="n"/>
      <c r="AE74" s="81" t="n"/>
      <c r="AF74" s="83">
        <f>IF(Q74="","Pendiente por formular",IF(OR(S74="",T74="",U74="",V74="",W74="",X74="",Z74="",AA74=""),"Incompleta: faltan campos obligatorios",IF(OR(NOT(ISNUMBER(T74)),NOT(ISNUMBER(U74))),"Fecha inválida",IF(U74&lt;T74,"La fecha de fin es anterior a la de inicio",IF(OR(YEAR(T74)&lt;&gt;2027,YEAR(U74)&lt;&gt;2027),"Fechas fuera de la vigencia 2027",IF(ISERROR(SEARCH("@itc.edu.co",V74)),"El responsable no tiene correo institucional",IF(ISERROR(SEARCH(Z74,INDEX(Catalogos!$Z$5:$Z$25,MATCH(AA74,L_IMP,0)))),"La dimensión no corresponde al indicador de impacto","OK")))))))</f>
        <v/>
      </c>
    </row>
    <row r="75" ht="34" customHeight="1" s="23">
      <c r="A75" s="79" t="inlineStr">
        <is>
          <t>Eje estratégico 2. Investigación y producción técnico científica. Objetivo estratégico del eje: Generar y fortalecer las capacidades técnico científica y de innovación de la ETITC mediante la consolidación de la investigación aplicada, la generación de alianzas estratégicas y la integración de la innovación con la formación académica.</t>
        </is>
      </c>
    </row>
    <row r="76" ht="105" customHeight="1" s="23">
      <c r="A76" s="80">
        <f>Base_OAPDI!A72</f>
        <v/>
      </c>
      <c r="B76" s="80">
        <f>Base_OAPDI!B72</f>
        <v/>
      </c>
      <c r="C76" s="80">
        <f>Base_OAPDI!D72</f>
        <v/>
      </c>
      <c r="D76" s="80">
        <f>Base_OAPDI!E72</f>
        <v/>
      </c>
      <c r="E76" s="80">
        <f>Base_OAPDI!F72</f>
        <v/>
      </c>
      <c r="F76" s="80">
        <f>Base_OAPDI!G72</f>
        <v/>
      </c>
      <c r="G76" s="80">
        <f>Base_OAPDI!H72</f>
        <v/>
      </c>
      <c r="H76" s="80">
        <f>Base_OAPDI!I72</f>
        <v/>
      </c>
      <c r="I76" s="80">
        <f>Base_OAPDI!J72</f>
        <v/>
      </c>
      <c r="J76" s="80">
        <f>Base_OAPDI!K72</f>
        <v/>
      </c>
      <c r="K76" s="80">
        <f>Base_OAPDI!L72</f>
        <v/>
      </c>
      <c r="L76" s="80">
        <f>Base_OAPDI!N72</f>
        <v/>
      </c>
      <c r="M76" s="80">
        <f>Base_OAPDI!P72</f>
        <v/>
      </c>
      <c r="N76" s="80">
        <f>Base_OAPDI!Q72</f>
        <v/>
      </c>
      <c r="O76" s="80">
        <f>Base_OAPDI!R72</f>
        <v/>
      </c>
      <c r="P76" s="80">
        <f>Base_OAPDI!S72</f>
        <v/>
      </c>
      <c r="Q76" s="81" t="n"/>
      <c r="R76" s="81" t="n"/>
      <c r="S76" s="81" t="n"/>
      <c r="T76" s="82" t="n"/>
      <c r="U76" s="82" t="n"/>
      <c r="V76" s="81" t="n"/>
      <c r="W76" s="81" t="n"/>
      <c r="X76" s="81" t="n"/>
      <c r="Y76" s="81" t="n"/>
      <c r="Z76" s="81" t="n"/>
      <c r="AA76" s="81" t="n"/>
      <c r="AB76" s="80">
        <f>IF(AA76="","",INDEX(Catalogos!$Y$5:$Y$25,MATCH(AA76,L_IMP,0)))</f>
        <v/>
      </c>
      <c r="AC76" s="81" t="n"/>
      <c r="AD76" s="81" t="n"/>
      <c r="AE76" s="81" t="n"/>
      <c r="AF76" s="83">
        <f>IF(Q76="","Pendiente por formular",IF(OR(S76="",T76="",U76="",V76="",W76="",X76="",Z76="",AA76=""),"Incompleta: faltan campos obligatorios",IF(OR(NOT(ISNUMBER(T76)),NOT(ISNUMBER(U76))),"Fecha inválida",IF(U76&lt;T76,"La fecha de fin es anterior a la de inicio",IF(OR(YEAR(T76)&lt;&gt;2027,YEAR(U76)&lt;&gt;2027),"Fechas fuera de la vigencia 2027",IF(ISERROR(SEARCH("@itc.edu.co",V76)),"El responsable no tiene correo institucional",IF(ISERROR(SEARCH(Z76,INDEX(Catalogos!$Z$5:$Z$25,MATCH(AA76,L_IMP,0)))),"La dimensión no corresponde al indicador de impacto","OK")))))))</f>
        <v/>
      </c>
    </row>
    <row r="77" ht="150" customHeight="1" s="23">
      <c r="A77" s="80">
        <f>Base_OAPDI!A73</f>
        <v/>
      </c>
      <c r="B77" s="80">
        <f>Base_OAPDI!B73</f>
        <v/>
      </c>
      <c r="C77" s="80">
        <f>Base_OAPDI!D73</f>
        <v/>
      </c>
      <c r="D77" s="80">
        <f>Base_OAPDI!E73</f>
        <v/>
      </c>
      <c r="E77" s="80">
        <f>Base_OAPDI!F73</f>
        <v/>
      </c>
      <c r="F77" s="80">
        <f>Base_OAPDI!G73</f>
        <v/>
      </c>
      <c r="G77" s="80">
        <f>Base_OAPDI!H73</f>
        <v/>
      </c>
      <c r="H77" s="80">
        <f>Base_OAPDI!I73</f>
        <v/>
      </c>
      <c r="I77" s="80">
        <f>Base_OAPDI!J73</f>
        <v/>
      </c>
      <c r="J77" s="80">
        <f>Base_OAPDI!K73</f>
        <v/>
      </c>
      <c r="K77" s="80">
        <f>Base_OAPDI!L73</f>
        <v/>
      </c>
      <c r="L77" s="80">
        <f>Base_OAPDI!N73</f>
        <v/>
      </c>
      <c r="M77" s="80">
        <f>Base_OAPDI!P73</f>
        <v/>
      </c>
      <c r="N77" s="80">
        <f>Base_OAPDI!Q73</f>
        <v/>
      </c>
      <c r="O77" s="80">
        <f>Base_OAPDI!R73</f>
        <v/>
      </c>
      <c r="P77" s="80">
        <f>Base_OAPDI!S73</f>
        <v/>
      </c>
      <c r="Q77" s="81" t="n"/>
      <c r="R77" s="81" t="n"/>
      <c r="S77" s="81" t="n"/>
      <c r="T77" s="82" t="n"/>
      <c r="U77" s="82" t="n"/>
      <c r="V77" s="81" t="n"/>
      <c r="W77" s="81" t="n"/>
      <c r="X77" s="81" t="n"/>
      <c r="Y77" s="81" t="n"/>
      <c r="Z77" s="81" t="n"/>
      <c r="AA77" s="81" t="n"/>
      <c r="AB77" s="80">
        <f>IF(AA77="","",INDEX(Catalogos!$Y$5:$Y$25,MATCH(AA77,L_IMP,0)))</f>
        <v/>
      </c>
      <c r="AC77" s="81" t="n"/>
      <c r="AD77" s="81" t="n"/>
      <c r="AE77" s="81" t="n"/>
      <c r="AF77" s="83">
        <f>IF(Q77="","Pendiente por formular",IF(OR(S77="",T77="",U77="",V77="",W77="",X77="",Z77="",AA77=""),"Incompleta: faltan campos obligatorios",IF(OR(NOT(ISNUMBER(T77)),NOT(ISNUMBER(U77))),"Fecha inválida",IF(U77&lt;T77,"La fecha de fin es anterior a la de inicio",IF(OR(YEAR(T77)&lt;&gt;2027,YEAR(U77)&lt;&gt;2027),"Fechas fuera de la vigencia 2027",IF(ISERROR(SEARCH("@itc.edu.co",V77)),"El responsable no tiene correo institucional",IF(ISERROR(SEARCH(Z77,INDEX(Catalogos!$Z$5:$Z$25,MATCH(AA77,L_IMP,0)))),"La dimensión no corresponde al indicador de impacto","OK")))))))</f>
        <v/>
      </c>
    </row>
    <row r="78" ht="225" customHeight="1" s="23">
      <c r="A78" s="80">
        <f>Base_OAPDI!A74</f>
        <v/>
      </c>
      <c r="B78" s="80">
        <f>Base_OAPDI!B74</f>
        <v/>
      </c>
      <c r="C78" s="80">
        <f>Base_OAPDI!D74</f>
        <v/>
      </c>
      <c r="D78" s="80">
        <f>Base_OAPDI!E74</f>
        <v/>
      </c>
      <c r="E78" s="80">
        <f>Base_OAPDI!F74</f>
        <v/>
      </c>
      <c r="F78" s="80">
        <f>Base_OAPDI!G74</f>
        <v/>
      </c>
      <c r="G78" s="80">
        <f>Base_OAPDI!H74</f>
        <v/>
      </c>
      <c r="H78" s="80">
        <f>Base_OAPDI!I74</f>
        <v/>
      </c>
      <c r="I78" s="80">
        <f>Base_OAPDI!J74</f>
        <v/>
      </c>
      <c r="J78" s="80">
        <f>Base_OAPDI!K74</f>
        <v/>
      </c>
      <c r="K78" s="80">
        <f>Base_OAPDI!L74</f>
        <v/>
      </c>
      <c r="L78" s="80">
        <f>Base_OAPDI!N74</f>
        <v/>
      </c>
      <c r="M78" s="80">
        <f>Base_OAPDI!P74</f>
        <v/>
      </c>
      <c r="N78" s="80">
        <f>Base_OAPDI!Q74</f>
        <v/>
      </c>
      <c r="O78" s="80">
        <f>Base_OAPDI!R74</f>
        <v/>
      </c>
      <c r="P78" s="80">
        <f>Base_OAPDI!S74</f>
        <v/>
      </c>
      <c r="Q78" s="81" t="n"/>
      <c r="R78" s="81" t="n"/>
      <c r="S78" s="81" t="n"/>
      <c r="T78" s="82" t="n"/>
      <c r="U78" s="82" t="n"/>
      <c r="V78" s="81" t="n"/>
      <c r="W78" s="81" t="n"/>
      <c r="X78" s="81" t="n"/>
      <c r="Y78" s="81" t="n"/>
      <c r="Z78" s="81" t="n"/>
      <c r="AA78" s="81" t="n"/>
      <c r="AB78" s="80">
        <f>IF(AA78="","",INDEX(Catalogos!$Y$5:$Y$25,MATCH(AA78,L_IMP,0)))</f>
        <v/>
      </c>
      <c r="AC78" s="81" t="n"/>
      <c r="AD78" s="81" t="n"/>
      <c r="AE78" s="81" t="n"/>
      <c r="AF78" s="83">
        <f>IF(Q78="","Pendiente por formular",IF(OR(S78="",T78="",U78="",V78="",W78="",X78="",Z78="",AA78=""),"Incompleta: faltan campos obligatorios",IF(OR(NOT(ISNUMBER(T78)),NOT(ISNUMBER(U78))),"Fecha inválida",IF(U78&lt;T78,"La fecha de fin es anterior a la de inicio",IF(OR(YEAR(T78)&lt;&gt;2027,YEAR(U78)&lt;&gt;2027),"Fechas fuera de la vigencia 2027",IF(ISERROR(SEARCH("@itc.edu.co",V78)),"El responsable no tiene correo institucional",IF(ISERROR(SEARCH(Z78,INDEX(Catalogos!$Z$5:$Z$25,MATCH(AA78,L_IMP,0)))),"La dimensión no corresponde al indicador de impacto","OK")))))))</f>
        <v/>
      </c>
    </row>
    <row r="79" ht="105" customHeight="1" s="23">
      <c r="A79" s="80">
        <f>Base_OAPDI!A75</f>
        <v/>
      </c>
      <c r="B79" s="80">
        <f>Base_OAPDI!B75</f>
        <v/>
      </c>
      <c r="C79" s="80">
        <f>Base_OAPDI!D75</f>
        <v/>
      </c>
      <c r="D79" s="80">
        <f>Base_OAPDI!E75</f>
        <v/>
      </c>
      <c r="E79" s="80">
        <f>Base_OAPDI!F75</f>
        <v/>
      </c>
      <c r="F79" s="80">
        <f>Base_OAPDI!G75</f>
        <v/>
      </c>
      <c r="G79" s="80">
        <f>Base_OAPDI!H75</f>
        <v/>
      </c>
      <c r="H79" s="80">
        <f>Base_OAPDI!I75</f>
        <v/>
      </c>
      <c r="I79" s="80">
        <f>Base_OAPDI!J75</f>
        <v/>
      </c>
      <c r="J79" s="80">
        <f>Base_OAPDI!K75</f>
        <v/>
      </c>
      <c r="K79" s="80">
        <f>Base_OAPDI!L75</f>
        <v/>
      </c>
      <c r="L79" s="80">
        <f>Base_OAPDI!N75</f>
        <v/>
      </c>
      <c r="M79" s="80">
        <f>Base_OAPDI!P75</f>
        <v/>
      </c>
      <c r="N79" s="80">
        <f>Base_OAPDI!Q75</f>
        <v/>
      </c>
      <c r="O79" s="80">
        <f>Base_OAPDI!R75</f>
        <v/>
      </c>
      <c r="P79" s="80">
        <f>Base_OAPDI!S75</f>
        <v/>
      </c>
      <c r="Q79" s="81" t="n"/>
      <c r="R79" s="81" t="n"/>
      <c r="S79" s="81" t="n"/>
      <c r="T79" s="82" t="n"/>
      <c r="U79" s="82" t="n"/>
      <c r="V79" s="81" t="n"/>
      <c r="W79" s="81" t="n"/>
      <c r="X79" s="81" t="n"/>
      <c r="Y79" s="81" t="n"/>
      <c r="Z79" s="81" t="n"/>
      <c r="AA79" s="81" t="n"/>
      <c r="AB79" s="80">
        <f>IF(AA79="","",INDEX(Catalogos!$Y$5:$Y$25,MATCH(AA79,L_IMP,0)))</f>
        <v/>
      </c>
      <c r="AC79" s="81" t="n"/>
      <c r="AD79" s="81" t="n"/>
      <c r="AE79" s="81" t="n"/>
      <c r="AF79" s="83">
        <f>IF(Q79="","Pendiente por formular",IF(OR(S79="",T79="",U79="",V79="",W79="",X79="",Z79="",AA79=""),"Incompleta: faltan campos obligatorios",IF(OR(NOT(ISNUMBER(T79)),NOT(ISNUMBER(U79))),"Fecha inválida",IF(U79&lt;T79,"La fecha de fin es anterior a la de inicio",IF(OR(YEAR(T79)&lt;&gt;2027,YEAR(U79)&lt;&gt;2027),"Fechas fuera de la vigencia 2027",IF(ISERROR(SEARCH("@itc.edu.co",V79)),"El responsable no tiene correo institucional",IF(ISERROR(SEARCH(Z79,INDEX(Catalogos!$Z$5:$Z$25,MATCH(AA79,L_IMP,0)))),"La dimensión no corresponde al indicador de impacto","OK")))))))</f>
        <v/>
      </c>
    </row>
    <row r="80" ht="195" customHeight="1" s="23">
      <c r="A80" s="80">
        <f>Base_OAPDI!A76</f>
        <v/>
      </c>
      <c r="B80" s="80">
        <f>Base_OAPDI!B76</f>
        <v/>
      </c>
      <c r="C80" s="80">
        <f>Base_OAPDI!D76</f>
        <v/>
      </c>
      <c r="D80" s="80">
        <f>Base_OAPDI!E76</f>
        <v/>
      </c>
      <c r="E80" s="80">
        <f>Base_OAPDI!F76</f>
        <v/>
      </c>
      <c r="F80" s="80">
        <f>Base_OAPDI!G76</f>
        <v/>
      </c>
      <c r="G80" s="80">
        <f>Base_OAPDI!H76</f>
        <v/>
      </c>
      <c r="H80" s="80">
        <f>Base_OAPDI!I76</f>
        <v/>
      </c>
      <c r="I80" s="80">
        <f>Base_OAPDI!J76</f>
        <v/>
      </c>
      <c r="J80" s="80">
        <f>Base_OAPDI!K76</f>
        <v/>
      </c>
      <c r="K80" s="80">
        <f>Base_OAPDI!L76</f>
        <v/>
      </c>
      <c r="L80" s="80">
        <f>Base_OAPDI!N76</f>
        <v/>
      </c>
      <c r="M80" s="80">
        <f>Base_OAPDI!P76</f>
        <v/>
      </c>
      <c r="N80" s="80">
        <f>Base_OAPDI!Q76</f>
        <v/>
      </c>
      <c r="O80" s="80">
        <f>Base_OAPDI!R76</f>
        <v/>
      </c>
      <c r="P80" s="80">
        <f>Base_OAPDI!S76</f>
        <v/>
      </c>
      <c r="Q80" s="81" t="n"/>
      <c r="R80" s="81" t="n"/>
      <c r="S80" s="81" t="n"/>
      <c r="T80" s="82" t="n"/>
      <c r="U80" s="82" t="n"/>
      <c r="V80" s="81" t="n"/>
      <c r="W80" s="81" t="n"/>
      <c r="X80" s="81" t="n"/>
      <c r="Y80" s="81" t="n"/>
      <c r="Z80" s="81" t="n"/>
      <c r="AA80" s="81" t="n"/>
      <c r="AB80" s="80">
        <f>IF(AA80="","",INDEX(Catalogos!$Y$5:$Y$25,MATCH(AA80,L_IMP,0)))</f>
        <v/>
      </c>
      <c r="AC80" s="81" t="n"/>
      <c r="AD80" s="81" t="n"/>
      <c r="AE80" s="81" t="n"/>
      <c r="AF80" s="83">
        <f>IF(Q80="","Pendiente por formular",IF(OR(S80="",T80="",U80="",V80="",W80="",X80="",Z80="",AA80=""),"Incompleta: faltan campos obligatorios",IF(OR(NOT(ISNUMBER(T80)),NOT(ISNUMBER(U80))),"Fecha inválida",IF(U80&lt;T80,"La fecha de fin es anterior a la de inicio",IF(OR(YEAR(T80)&lt;&gt;2027,YEAR(U80)&lt;&gt;2027),"Fechas fuera de la vigencia 2027",IF(ISERROR(SEARCH("@itc.edu.co",V80)),"El responsable no tiene correo institucional",IF(ISERROR(SEARCH(Z80,INDEX(Catalogos!$Z$5:$Z$25,MATCH(AA80,L_IMP,0)))),"La dimensión no corresponde al indicador de impacto","OK")))))))</f>
        <v/>
      </c>
    </row>
    <row r="81" ht="105" customHeight="1" s="23">
      <c r="A81" s="80">
        <f>Base_OAPDI!A77</f>
        <v/>
      </c>
      <c r="B81" s="80">
        <f>Base_OAPDI!B77</f>
        <v/>
      </c>
      <c r="C81" s="80">
        <f>Base_OAPDI!D77</f>
        <v/>
      </c>
      <c r="D81" s="80">
        <f>Base_OAPDI!E77</f>
        <v/>
      </c>
      <c r="E81" s="80">
        <f>Base_OAPDI!F77</f>
        <v/>
      </c>
      <c r="F81" s="80">
        <f>Base_OAPDI!G77</f>
        <v/>
      </c>
      <c r="G81" s="80">
        <f>Base_OAPDI!H77</f>
        <v/>
      </c>
      <c r="H81" s="80">
        <f>Base_OAPDI!I77</f>
        <v/>
      </c>
      <c r="I81" s="80">
        <f>Base_OAPDI!J77</f>
        <v/>
      </c>
      <c r="J81" s="80">
        <f>Base_OAPDI!K77</f>
        <v/>
      </c>
      <c r="K81" s="80">
        <f>Base_OAPDI!L77</f>
        <v/>
      </c>
      <c r="L81" s="80">
        <f>Base_OAPDI!N77</f>
        <v/>
      </c>
      <c r="M81" s="80">
        <f>Base_OAPDI!P77</f>
        <v/>
      </c>
      <c r="N81" s="80">
        <f>Base_OAPDI!Q77</f>
        <v/>
      </c>
      <c r="O81" s="80">
        <f>Base_OAPDI!R77</f>
        <v/>
      </c>
      <c r="P81" s="80">
        <f>Base_OAPDI!S77</f>
        <v/>
      </c>
      <c r="Q81" s="81" t="n"/>
      <c r="R81" s="81" t="n"/>
      <c r="S81" s="81" t="n"/>
      <c r="T81" s="82" t="n"/>
      <c r="U81" s="82" t="n"/>
      <c r="V81" s="81" t="n"/>
      <c r="W81" s="81" t="n"/>
      <c r="X81" s="81" t="n"/>
      <c r="Y81" s="81" t="n"/>
      <c r="Z81" s="81" t="n"/>
      <c r="AA81" s="81" t="n"/>
      <c r="AB81" s="80">
        <f>IF(AA81="","",INDEX(Catalogos!$Y$5:$Y$25,MATCH(AA81,L_IMP,0)))</f>
        <v/>
      </c>
      <c r="AC81" s="81" t="n"/>
      <c r="AD81" s="81" t="n"/>
      <c r="AE81" s="81" t="n"/>
      <c r="AF81" s="83">
        <f>IF(Q81="","Pendiente por formular",IF(OR(S81="",T81="",U81="",V81="",W81="",X81="",Z81="",AA81=""),"Incompleta: faltan campos obligatorios",IF(OR(NOT(ISNUMBER(T81)),NOT(ISNUMBER(U81))),"Fecha inválida",IF(U81&lt;T81,"La fecha de fin es anterior a la de inicio",IF(OR(YEAR(T81)&lt;&gt;2027,YEAR(U81)&lt;&gt;2027),"Fechas fuera de la vigencia 2027",IF(ISERROR(SEARCH("@itc.edu.co",V81)),"El responsable no tiene correo institucional",IF(ISERROR(SEARCH(Z81,INDEX(Catalogos!$Z$5:$Z$25,MATCH(AA81,L_IMP,0)))),"La dimensión no corresponde al indicador de impacto","OK")))))))</f>
        <v/>
      </c>
    </row>
    <row r="82" ht="180" customHeight="1" s="23">
      <c r="A82" s="80">
        <f>Base_OAPDI!A78</f>
        <v/>
      </c>
      <c r="B82" s="80">
        <f>Base_OAPDI!B78</f>
        <v/>
      </c>
      <c r="C82" s="80">
        <f>Base_OAPDI!D78</f>
        <v/>
      </c>
      <c r="D82" s="80">
        <f>Base_OAPDI!E78</f>
        <v/>
      </c>
      <c r="E82" s="80">
        <f>Base_OAPDI!F78</f>
        <v/>
      </c>
      <c r="F82" s="80">
        <f>Base_OAPDI!G78</f>
        <v/>
      </c>
      <c r="G82" s="80">
        <f>Base_OAPDI!H78</f>
        <v/>
      </c>
      <c r="H82" s="80">
        <f>Base_OAPDI!I78</f>
        <v/>
      </c>
      <c r="I82" s="80">
        <f>Base_OAPDI!J78</f>
        <v/>
      </c>
      <c r="J82" s="80">
        <f>Base_OAPDI!K78</f>
        <v/>
      </c>
      <c r="K82" s="80">
        <f>Base_OAPDI!L78</f>
        <v/>
      </c>
      <c r="L82" s="80">
        <f>Base_OAPDI!N78</f>
        <v/>
      </c>
      <c r="M82" s="80">
        <f>Base_OAPDI!P78</f>
        <v/>
      </c>
      <c r="N82" s="80">
        <f>Base_OAPDI!Q78</f>
        <v/>
      </c>
      <c r="O82" s="80">
        <f>Base_OAPDI!R78</f>
        <v/>
      </c>
      <c r="P82" s="80">
        <f>Base_OAPDI!S78</f>
        <v/>
      </c>
      <c r="Q82" s="81" t="n"/>
      <c r="R82" s="81" t="n"/>
      <c r="S82" s="81" t="n"/>
      <c r="T82" s="82" t="n"/>
      <c r="U82" s="82" t="n"/>
      <c r="V82" s="81" t="n"/>
      <c r="W82" s="81" t="n"/>
      <c r="X82" s="81" t="n"/>
      <c r="Y82" s="81" t="n"/>
      <c r="Z82" s="81" t="n"/>
      <c r="AA82" s="81" t="n"/>
      <c r="AB82" s="80">
        <f>IF(AA82="","",INDEX(Catalogos!$Y$5:$Y$25,MATCH(AA82,L_IMP,0)))</f>
        <v/>
      </c>
      <c r="AC82" s="81" t="n"/>
      <c r="AD82" s="81" t="n"/>
      <c r="AE82" s="81" t="n"/>
      <c r="AF82" s="83">
        <f>IF(Q82="","Pendiente por formular",IF(OR(S82="",T82="",U82="",V82="",W82="",X82="",Z82="",AA82=""),"Incompleta: faltan campos obligatorios",IF(OR(NOT(ISNUMBER(T82)),NOT(ISNUMBER(U82))),"Fecha inválida",IF(U82&lt;T82,"La fecha de fin es anterior a la de inicio",IF(OR(YEAR(T82)&lt;&gt;2027,YEAR(U82)&lt;&gt;2027),"Fechas fuera de la vigencia 2027",IF(ISERROR(SEARCH("@itc.edu.co",V82)),"El responsable no tiene correo institucional",IF(ISERROR(SEARCH(Z82,INDEX(Catalogos!$Z$5:$Z$25,MATCH(AA82,L_IMP,0)))),"La dimensión no corresponde al indicador de impacto","OK")))))))</f>
        <v/>
      </c>
    </row>
    <row r="83" ht="90" customHeight="1" s="23">
      <c r="A83" s="80">
        <f>Base_OAPDI!A79</f>
        <v/>
      </c>
      <c r="B83" s="80">
        <f>Base_OAPDI!B79</f>
        <v/>
      </c>
      <c r="C83" s="80">
        <f>Base_OAPDI!D79</f>
        <v/>
      </c>
      <c r="D83" s="80">
        <f>Base_OAPDI!E79</f>
        <v/>
      </c>
      <c r="E83" s="80">
        <f>Base_OAPDI!F79</f>
        <v/>
      </c>
      <c r="F83" s="80">
        <f>Base_OAPDI!G79</f>
        <v/>
      </c>
      <c r="G83" s="80">
        <f>Base_OAPDI!H79</f>
        <v/>
      </c>
      <c r="H83" s="80">
        <f>Base_OAPDI!I79</f>
        <v/>
      </c>
      <c r="I83" s="80">
        <f>Base_OAPDI!J79</f>
        <v/>
      </c>
      <c r="J83" s="80">
        <f>Base_OAPDI!K79</f>
        <v/>
      </c>
      <c r="K83" s="80">
        <f>Base_OAPDI!L79</f>
        <v/>
      </c>
      <c r="L83" s="80">
        <f>Base_OAPDI!N79</f>
        <v/>
      </c>
      <c r="M83" s="80">
        <f>Base_OAPDI!P79</f>
        <v/>
      </c>
      <c r="N83" s="80">
        <f>Base_OAPDI!Q79</f>
        <v/>
      </c>
      <c r="O83" s="80">
        <f>Base_OAPDI!R79</f>
        <v/>
      </c>
      <c r="P83" s="80">
        <f>Base_OAPDI!S79</f>
        <v/>
      </c>
      <c r="Q83" s="81" t="n"/>
      <c r="R83" s="81" t="n"/>
      <c r="S83" s="81" t="n"/>
      <c r="T83" s="82" t="n"/>
      <c r="U83" s="82" t="n"/>
      <c r="V83" s="81" t="n"/>
      <c r="W83" s="81" t="n"/>
      <c r="X83" s="81" t="n"/>
      <c r="Y83" s="81" t="n"/>
      <c r="Z83" s="81" t="n"/>
      <c r="AA83" s="81" t="n"/>
      <c r="AB83" s="80">
        <f>IF(AA83="","",INDEX(Catalogos!$Y$5:$Y$25,MATCH(AA83,L_IMP,0)))</f>
        <v/>
      </c>
      <c r="AC83" s="81" t="n"/>
      <c r="AD83" s="81" t="n"/>
      <c r="AE83" s="81" t="n"/>
      <c r="AF83" s="83">
        <f>IF(Q83="","Pendiente por formular",IF(OR(S83="",T83="",U83="",V83="",W83="",X83="",Z83="",AA83=""),"Incompleta: faltan campos obligatorios",IF(OR(NOT(ISNUMBER(T83)),NOT(ISNUMBER(U83))),"Fecha inválida",IF(U83&lt;T83,"La fecha de fin es anterior a la de inicio",IF(OR(YEAR(T83)&lt;&gt;2027,YEAR(U83)&lt;&gt;2027),"Fechas fuera de la vigencia 2027",IF(ISERROR(SEARCH("@itc.edu.co",V83)),"El responsable no tiene correo institucional",IF(ISERROR(SEARCH(Z83,INDEX(Catalogos!$Z$5:$Z$25,MATCH(AA83,L_IMP,0)))),"La dimensión no corresponde al indicador de impacto","OK")))))))</f>
        <v/>
      </c>
    </row>
    <row r="84" ht="180" customHeight="1" s="23">
      <c r="A84" s="80">
        <f>Base_OAPDI!A80</f>
        <v/>
      </c>
      <c r="B84" s="80">
        <f>Base_OAPDI!B80</f>
        <v/>
      </c>
      <c r="C84" s="80">
        <f>Base_OAPDI!D80</f>
        <v/>
      </c>
      <c r="D84" s="80">
        <f>Base_OAPDI!E80</f>
        <v/>
      </c>
      <c r="E84" s="80">
        <f>Base_OAPDI!F80</f>
        <v/>
      </c>
      <c r="F84" s="80">
        <f>Base_OAPDI!G80</f>
        <v/>
      </c>
      <c r="G84" s="80">
        <f>Base_OAPDI!H80</f>
        <v/>
      </c>
      <c r="H84" s="80">
        <f>Base_OAPDI!I80</f>
        <v/>
      </c>
      <c r="I84" s="80">
        <f>Base_OAPDI!J80</f>
        <v/>
      </c>
      <c r="J84" s="80">
        <f>Base_OAPDI!K80</f>
        <v/>
      </c>
      <c r="K84" s="80">
        <f>Base_OAPDI!L80</f>
        <v/>
      </c>
      <c r="L84" s="80">
        <f>Base_OAPDI!N80</f>
        <v/>
      </c>
      <c r="M84" s="80">
        <f>Base_OAPDI!P80</f>
        <v/>
      </c>
      <c r="N84" s="80">
        <f>Base_OAPDI!Q80</f>
        <v/>
      </c>
      <c r="O84" s="80">
        <f>Base_OAPDI!R80</f>
        <v/>
      </c>
      <c r="P84" s="80">
        <f>Base_OAPDI!S80</f>
        <v/>
      </c>
      <c r="Q84" s="81" t="n"/>
      <c r="R84" s="81" t="n"/>
      <c r="S84" s="81" t="n"/>
      <c r="T84" s="82" t="n"/>
      <c r="U84" s="82" t="n"/>
      <c r="V84" s="81" t="n"/>
      <c r="W84" s="81" t="n"/>
      <c r="X84" s="81" t="n"/>
      <c r="Y84" s="81" t="n"/>
      <c r="Z84" s="81" t="n"/>
      <c r="AA84" s="81" t="n"/>
      <c r="AB84" s="80">
        <f>IF(AA84="","",INDEX(Catalogos!$Y$5:$Y$25,MATCH(AA84,L_IMP,0)))</f>
        <v/>
      </c>
      <c r="AC84" s="81" t="n"/>
      <c r="AD84" s="81" t="n"/>
      <c r="AE84" s="81" t="n"/>
      <c r="AF84" s="83">
        <f>IF(Q84="","Pendiente por formular",IF(OR(S84="",T84="",U84="",V84="",W84="",X84="",Z84="",AA84=""),"Incompleta: faltan campos obligatorios",IF(OR(NOT(ISNUMBER(T84)),NOT(ISNUMBER(U84))),"Fecha inválida",IF(U84&lt;T84,"La fecha de fin es anterior a la de inicio",IF(OR(YEAR(T84)&lt;&gt;2027,YEAR(U84)&lt;&gt;2027),"Fechas fuera de la vigencia 2027",IF(ISERROR(SEARCH("@itc.edu.co",V84)),"El responsable no tiene correo institucional",IF(ISERROR(SEARCH(Z84,INDEX(Catalogos!$Z$5:$Z$25,MATCH(AA84,L_IMP,0)))),"La dimensión no corresponde al indicador de impacto","OK")))))))</f>
        <v/>
      </c>
    </row>
    <row r="85" ht="75" customHeight="1" s="23">
      <c r="A85" s="80">
        <f>Base_OAPDI!A81</f>
        <v/>
      </c>
      <c r="B85" s="80">
        <f>Base_OAPDI!B81</f>
        <v/>
      </c>
      <c r="C85" s="80">
        <f>Base_OAPDI!D81</f>
        <v/>
      </c>
      <c r="D85" s="80">
        <f>Base_OAPDI!E81</f>
        <v/>
      </c>
      <c r="E85" s="80">
        <f>Base_OAPDI!F81</f>
        <v/>
      </c>
      <c r="F85" s="80">
        <f>Base_OAPDI!G81</f>
        <v/>
      </c>
      <c r="G85" s="80">
        <f>Base_OAPDI!H81</f>
        <v/>
      </c>
      <c r="H85" s="80">
        <f>Base_OAPDI!I81</f>
        <v/>
      </c>
      <c r="I85" s="80">
        <f>Base_OAPDI!J81</f>
        <v/>
      </c>
      <c r="J85" s="80">
        <f>Base_OAPDI!K81</f>
        <v/>
      </c>
      <c r="K85" s="80">
        <f>Base_OAPDI!L81</f>
        <v/>
      </c>
      <c r="L85" s="80">
        <f>Base_OAPDI!N81</f>
        <v/>
      </c>
      <c r="M85" s="80">
        <f>Base_OAPDI!P81</f>
        <v/>
      </c>
      <c r="N85" s="80">
        <f>Base_OAPDI!Q81</f>
        <v/>
      </c>
      <c r="O85" s="80">
        <f>Base_OAPDI!R81</f>
        <v/>
      </c>
      <c r="P85" s="80">
        <f>Base_OAPDI!S81</f>
        <v/>
      </c>
      <c r="Q85" s="81" t="n"/>
      <c r="R85" s="81" t="n"/>
      <c r="S85" s="81" t="n"/>
      <c r="T85" s="82" t="n"/>
      <c r="U85" s="82" t="n"/>
      <c r="V85" s="81" t="n"/>
      <c r="W85" s="81" t="n"/>
      <c r="X85" s="81" t="n"/>
      <c r="Y85" s="81" t="n"/>
      <c r="Z85" s="81" t="n"/>
      <c r="AA85" s="81" t="n"/>
      <c r="AB85" s="80">
        <f>IF(AA85="","",INDEX(Catalogos!$Y$5:$Y$25,MATCH(AA85,L_IMP,0)))</f>
        <v/>
      </c>
      <c r="AC85" s="81" t="n"/>
      <c r="AD85" s="81" t="n"/>
      <c r="AE85" s="81" t="n"/>
      <c r="AF85" s="83">
        <f>IF(Q85="","Pendiente por formular",IF(OR(S85="",T85="",U85="",V85="",W85="",X85="",Z85="",AA85=""),"Incompleta: faltan campos obligatorios",IF(OR(NOT(ISNUMBER(T85)),NOT(ISNUMBER(U85))),"Fecha inválida",IF(U85&lt;T85,"La fecha de fin es anterior a la de inicio",IF(OR(YEAR(T85)&lt;&gt;2027,YEAR(U85)&lt;&gt;2027),"Fechas fuera de la vigencia 2027",IF(ISERROR(SEARCH("@itc.edu.co",V85)),"El responsable no tiene correo institucional",IF(ISERROR(SEARCH(Z85,INDEX(Catalogos!$Z$5:$Z$25,MATCH(AA85,L_IMP,0)))),"La dimensión no corresponde al indicador de impacto","OK")))))))</f>
        <v/>
      </c>
    </row>
    <row r="86" ht="195" customHeight="1" s="23">
      <c r="A86" s="80">
        <f>Base_OAPDI!A82</f>
        <v/>
      </c>
      <c r="B86" s="80">
        <f>Base_OAPDI!B82</f>
        <v/>
      </c>
      <c r="C86" s="80">
        <f>Base_OAPDI!D82</f>
        <v/>
      </c>
      <c r="D86" s="80">
        <f>Base_OAPDI!E82</f>
        <v/>
      </c>
      <c r="E86" s="80">
        <f>Base_OAPDI!F82</f>
        <v/>
      </c>
      <c r="F86" s="80">
        <f>Base_OAPDI!G82</f>
        <v/>
      </c>
      <c r="G86" s="80">
        <f>Base_OAPDI!H82</f>
        <v/>
      </c>
      <c r="H86" s="80">
        <f>Base_OAPDI!I82</f>
        <v/>
      </c>
      <c r="I86" s="80">
        <f>Base_OAPDI!J82</f>
        <v/>
      </c>
      <c r="J86" s="80">
        <f>Base_OAPDI!K82</f>
        <v/>
      </c>
      <c r="K86" s="80">
        <f>Base_OAPDI!L82</f>
        <v/>
      </c>
      <c r="L86" s="80">
        <f>Base_OAPDI!N82</f>
        <v/>
      </c>
      <c r="M86" s="80">
        <f>Base_OAPDI!P82</f>
        <v/>
      </c>
      <c r="N86" s="80">
        <f>Base_OAPDI!Q82</f>
        <v/>
      </c>
      <c r="O86" s="80">
        <f>Base_OAPDI!R82</f>
        <v/>
      </c>
      <c r="P86" s="80">
        <f>Base_OAPDI!S82</f>
        <v/>
      </c>
      <c r="Q86" s="81" t="n"/>
      <c r="R86" s="81" t="n"/>
      <c r="S86" s="81" t="n"/>
      <c r="T86" s="82" t="n"/>
      <c r="U86" s="82" t="n"/>
      <c r="V86" s="81" t="n"/>
      <c r="W86" s="81" t="n"/>
      <c r="X86" s="81" t="n"/>
      <c r="Y86" s="81" t="n"/>
      <c r="Z86" s="81" t="n"/>
      <c r="AA86" s="81" t="n"/>
      <c r="AB86" s="80">
        <f>IF(AA86="","",INDEX(Catalogos!$Y$5:$Y$25,MATCH(AA86,L_IMP,0)))</f>
        <v/>
      </c>
      <c r="AC86" s="81" t="n"/>
      <c r="AD86" s="81" t="n"/>
      <c r="AE86" s="81" t="n"/>
      <c r="AF86" s="83">
        <f>IF(Q86="","Pendiente por formular",IF(OR(S86="",T86="",U86="",V86="",W86="",X86="",Z86="",AA86=""),"Incompleta: faltan campos obligatorios",IF(OR(NOT(ISNUMBER(T86)),NOT(ISNUMBER(U86))),"Fecha inválida",IF(U86&lt;T86,"La fecha de fin es anterior a la de inicio",IF(OR(YEAR(T86)&lt;&gt;2027,YEAR(U86)&lt;&gt;2027),"Fechas fuera de la vigencia 2027",IF(ISERROR(SEARCH("@itc.edu.co",V86)),"El responsable no tiene correo institucional",IF(ISERROR(SEARCH(Z86,INDEX(Catalogos!$Z$5:$Z$25,MATCH(AA86,L_IMP,0)))),"La dimensión no corresponde al indicador de impacto","OK")))))))</f>
        <v/>
      </c>
    </row>
    <row r="87" ht="165" customHeight="1" s="23">
      <c r="A87" s="80">
        <f>Base_OAPDI!A83</f>
        <v/>
      </c>
      <c r="B87" s="80">
        <f>Base_OAPDI!B83</f>
        <v/>
      </c>
      <c r="C87" s="80">
        <f>Base_OAPDI!D83</f>
        <v/>
      </c>
      <c r="D87" s="80">
        <f>Base_OAPDI!E83</f>
        <v/>
      </c>
      <c r="E87" s="80">
        <f>Base_OAPDI!F83</f>
        <v/>
      </c>
      <c r="F87" s="80">
        <f>Base_OAPDI!G83</f>
        <v/>
      </c>
      <c r="G87" s="80">
        <f>Base_OAPDI!H83</f>
        <v/>
      </c>
      <c r="H87" s="80">
        <f>Base_OAPDI!I83</f>
        <v/>
      </c>
      <c r="I87" s="80">
        <f>Base_OAPDI!J83</f>
        <v/>
      </c>
      <c r="J87" s="80">
        <f>Base_OAPDI!K83</f>
        <v/>
      </c>
      <c r="K87" s="80">
        <f>Base_OAPDI!L83</f>
        <v/>
      </c>
      <c r="L87" s="80">
        <f>Base_OAPDI!N83</f>
        <v/>
      </c>
      <c r="M87" s="80">
        <f>Base_OAPDI!P83</f>
        <v/>
      </c>
      <c r="N87" s="80">
        <f>Base_OAPDI!Q83</f>
        <v/>
      </c>
      <c r="O87" s="80">
        <f>Base_OAPDI!R83</f>
        <v/>
      </c>
      <c r="P87" s="80">
        <f>Base_OAPDI!S83</f>
        <v/>
      </c>
      <c r="Q87" s="81" t="n"/>
      <c r="R87" s="81" t="n"/>
      <c r="S87" s="81" t="n"/>
      <c r="T87" s="82" t="n"/>
      <c r="U87" s="82" t="n"/>
      <c r="V87" s="81" t="n"/>
      <c r="W87" s="81" t="n"/>
      <c r="X87" s="81" t="n"/>
      <c r="Y87" s="81" t="n"/>
      <c r="Z87" s="81" t="n"/>
      <c r="AA87" s="81" t="n"/>
      <c r="AB87" s="80">
        <f>IF(AA87="","",INDEX(Catalogos!$Y$5:$Y$25,MATCH(AA87,L_IMP,0)))</f>
        <v/>
      </c>
      <c r="AC87" s="81" t="n"/>
      <c r="AD87" s="81" t="n"/>
      <c r="AE87" s="81" t="n"/>
      <c r="AF87" s="83">
        <f>IF(Q87="","Pendiente por formular",IF(OR(S87="",T87="",U87="",V87="",W87="",X87="",Z87="",AA87=""),"Incompleta: faltan campos obligatorios",IF(OR(NOT(ISNUMBER(T87)),NOT(ISNUMBER(U87))),"Fecha inválida",IF(U87&lt;T87,"La fecha de fin es anterior a la de inicio",IF(OR(YEAR(T87)&lt;&gt;2027,YEAR(U87)&lt;&gt;2027),"Fechas fuera de la vigencia 2027",IF(ISERROR(SEARCH("@itc.edu.co",V87)),"El responsable no tiene correo institucional",IF(ISERROR(SEARCH(Z87,INDEX(Catalogos!$Z$5:$Z$25,MATCH(AA87,L_IMP,0)))),"La dimensión no corresponde al indicador de impacto","OK")))))))</f>
        <v/>
      </c>
    </row>
    <row r="88" ht="120" customHeight="1" s="23">
      <c r="A88" s="80">
        <f>Base_OAPDI!A84</f>
        <v/>
      </c>
      <c r="B88" s="80">
        <f>Base_OAPDI!B84</f>
        <v/>
      </c>
      <c r="C88" s="80">
        <f>Base_OAPDI!D84</f>
        <v/>
      </c>
      <c r="D88" s="80">
        <f>Base_OAPDI!E84</f>
        <v/>
      </c>
      <c r="E88" s="80">
        <f>Base_OAPDI!F84</f>
        <v/>
      </c>
      <c r="F88" s="80">
        <f>Base_OAPDI!G84</f>
        <v/>
      </c>
      <c r="G88" s="80">
        <f>Base_OAPDI!H84</f>
        <v/>
      </c>
      <c r="H88" s="80">
        <f>Base_OAPDI!I84</f>
        <v/>
      </c>
      <c r="I88" s="80">
        <f>Base_OAPDI!J84</f>
        <v/>
      </c>
      <c r="J88" s="80">
        <f>Base_OAPDI!K84</f>
        <v/>
      </c>
      <c r="K88" s="80">
        <f>Base_OAPDI!L84</f>
        <v/>
      </c>
      <c r="L88" s="80">
        <f>Base_OAPDI!N84</f>
        <v/>
      </c>
      <c r="M88" s="80">
        <f>Base_OAPDI!P84</f>
        <v/>
      </c>
      <c r="N88" s="80">
        <f>Base_OAPDI!Q84</f>
        <v/>
      </c>
      <c r="O88" s="80">
        <f>Base_OAPDI!R84</f>
        <v/>
      </c>
      <c r="P88" s="80">
        <f>Base_OAPDI!S84</f>
        <v/>
      </c>
      <c r="Q88" s="81" t="n"/>
      <c r="R88" s="81" t="n"/>
      <c r="S88" s="81" t="n"/>
      <c r="T88" s="82" t="n"/>
      <c r="U88" s="82" t="n"/>
      <c r="V88" s="81" t="n"/>
      <c r="W88" s="81" t="n"/>
      <c r="X88" s="81" t="n"/>
      <c r="Y88" s="81" t="n"/>
      <c r="Z88" s="81" t="n"/>
      <c r="AA88" s="81" t="n"/>
      <c r="AB88" s="80">
        <f>IF(AA88="","",INDEX(Catalogos!$Y$5:$Y$25,MATCH(AA88,L_IMP,0)))</f>
        <v/>
      </c>
      <c r="AC88" s="81" t="n"/>
      <c r="AD88" s="81" t="n"/>
      <c r="AE88" s="81" t="n"/>
      <c r="AF88" s="83">
        <f>IF(Q88="","Pendiente por formular",IF(OR(S88="",T88="",U88="",V88="",W88="",X88="",Z88="",AA88=""),"Incompleta: faltan campos obligatorios",IF(OR(NOT(ISNUMBER(T88)),NOT(ISNUMBER(U88))),"Fecha inválida",IF(U88&lt;T88,"La fecha de fin es anterior a la de inicio",IF(OR(YEAR(T88)&lt;&gt;2027,YEAR(U88)&lt;&gt;2027),"Fechas fuera de la vigencia 2027",IF(ISERROR(SEARCH("@itc.edu.co",V88)),"El responsable no tiene correo institucional",IF(ISERROR(SEARCH(Z88,INDEX(Catalogos!$Z$5:$Z$25,MATCH(AA88,L_IMP,0)))),"La dimensión no corresponde al indicador de impacto","OK")))))))</f>
        <v/>
      </c>
    </row>
    <row r="89" ht="260" customHeight="1" s="23">
      <c r="A89" s="80">
        <f>Base_OAPDI!A85</f>
        <v/>
      </c>
      <c r="B89" s="80">
        <f>Base_OAPDI!B85</f>
        <v/>
      </c>
      <c r="C89" s="80">
        <f>Base_OAPDI!D85</f>
        <v/>
      </c>
      <c r="D89" s="80">
        <f>Base_OAPDI!E85</f>
        <v/>
      </c>
      <c r="E89" s="80">
        <f>Base_OAPDI!F85</f>
        <v/>
      </c>
      <c r="F89" s="80">
        <f>Base_OAPDI!G85</f>
        <v/>
      </c>
      <c r="G89" s="80">
        <f>Base_OAPDI!H85</f>
        <v/>
      </c>
      <c r="H89" s="80">
        <f>Base_OAPDI!I85</f>
        <v/>
      </c>
      <c r="I89" s="80">
        <f>Base_OAPDI!J85</f>
        <v/>
      </c>
      <c r="J89" s="80">
        <f>Base_OAPDI!K85</f>
        <v/>
      </c>
      <c r="K89" s="80">
        <f>Base_OAPDI!L85</f>
        <v/>
      </c>
      <c r="L89" s="80">
        <f>Base_OAPDI!N85</f>
        <v/>
      </c>
      <c r="M89" s="80">
        <f>Base_OAPDI!P85</f>
        <v/>
      </c>
      <c r="N89" s="80">
        <f>Base_OAPDI!Q85</f>
        <v/>
      </c>
      <c r="O89" s="80">
        <f>Base_OAPDI!R85</f>
        <v/>
      </c>
      <c r="P89" s="80">
        <f>Base_OAPDI!S85</f>
        <v/>
      </c>
      <c r="Q89" s="81" t="n"/>
      <c r="R89" s="81" t="n"/>
      <c r="S89" s="81" t="n"/>
      <c r="T89" s="82" t="n"/>
      <c r="U89" s="82" t="n"/>
      <c r="V89" s="81" t="n"/>
      <c r="W89" s="81" t="n"/>
      <c r="X89" s="81" t="n"/>
      <c r="Y89" s="81" t="n"/>
      <c r="Z89" s="81" t="n"/>
      <c r="AA89" s="81" t="n"/>
      <c r="AB89" s="80">
        <f>IF(AA89="","",INDEX(Catalogos!$Y$5:$Y$25,MATCH(AA89,L_IMP,0)))</f>
        <v/>
      </c>
      <c r="AC89" s="81" t="n"/>
      <c r="AD89" s="81" t="n"/>
      <c r="AE89" s="81" t="n"/>
      <c r="AF89" s="83">
        <f>IF(Q89="","Pendiente por formular",IF(OR(S89="",T89="",U89="",V89="",W89="",X89="",Z89="",AA89=""),"Incompleta: faltan campos obligatorios",IF(OR(NOT(ISNUMBER(T89)),NOT(ISNUMBER(U89))),"Fecha inválida",IF(U89&lt;T89,"La fecha de fin es anterior a la de inicio",IF(OR(YEAR(T89)&lt;&gt;2027,YEAR(U89)&lt;&gt;2027),"Fechas fuera de la vigencia 2027",IF(ISERROR(SEARCH("@itc.edu.co",V89)),"El responsable no tiene correo institucional",IF(ISERROR(SEARCH(Z89,INDEX(Catalogos!$Z$5:$Z$25,MATCH(AA89,L_IMP,0)))),"La dimensión no corresponde al indicador de impacto","OK")))))))</f>
        <v/>
      </c>
    </row>
    <row r="90" ht="255" customHeight="1" s="23">
      <c r="A90" s="80">
        <f>Base_OAPDI!A86</f>
        <v/>
      </c>
      <c r="B90" s="80">
        <f>Base_OAPDI!B86</f>
        <v/>
      </c>
      <c r="C90" s="80">
        <f>Base_OAPDI!D86</f>
        <v/>
      </c>
      <c r="D90" s="80">
        <f>Base_OAPDI!E86</f>
        <v/>
      </c>
      <c r="E90" s="80">
        <f>Base_OAPDI!F86</f>
        <v/>
      </c>
      <c r="F90" s="80">
        <f>Base_OAPDI!G86</f>
        <v/>
      </c>
      <c r="G90" s="80">
        <f>Base_OAPDI!H86</f>
        <v/>
      </c>
      <c r="H90" s="80">
        <f>Base_OAPDI!I86</f>
        <v/>
      </c>
      <c r="I90" s="80">
        <f>Base_OAPDI!J86</f>
        <v/>
      </c>
      <c r="J90" s="80">
        <f>Base_OAPDI!K86</f>
        <v/>
      </c>
      <c r="K90" s="80">
        <f>Base_OAPDI!L86</f>
        <v/>
      </c>
      <c r="L90" s="80">
        <f>Base_OAPDI!N86</f>
        <v/>
      </c>
      <c r="M90" s="80">
        <f>Base_OAPDI!P86</f>
        <v/>
      </c>
      <c r="N90" s="80">
        <f>Base_OAPDI!Q86</f>
        <v/>
      </c>
      <c r="O90" s="80">
        <f>Base_OAPDI!R86</f>
        <v/>
      </c>
      <c r="P90" s="80">
        <f>Base_OAPDI!S86</f>
        <v/>
      </c>
      <c r="Q90" s="81" t="n"/>
      <c r="R90" s="81" t="n"/>
      <c r="S90" s="81" t="n"/>
      <c r="T90" s="82" t="n"/>
      <c r="U90" s="82" t="n"/>
      <c r="V90" s="81" t="n"/>
      <c r="W90" s="81" t="n"/>
      <c r="X90" s="81" t="n"/>
      <c r="Y90" s="81" t="n"/>
      <c r="Z90" s="81" t="n"/>
      <c r="AA90" s="81" t="n"/>
      <c r="AB90" s="80">
        <f>IF(AA90="","",INDEX(Catalogos!$Y$5:$Y$25,MATCH(AA90,L_IMP,0)))</f>
        <v/>
      </c>
      <c r="AC90" s="81" t="n"/>
      <c r="AD90" s="81" t="n"/>
      <c r="AE90" s="81" t="n"/>
      <c r="AF90" s="83">
        <f>IF(Q90="","Pendiente por formular",IF(OR(S90="",T90="",U90="",V90="",W90="",X90="",Z90="",AA90=""),"Incompleta: faltan campos obligatorios",IF(OR(NOT(ISNUMBER(T90)),NOT(ISNUMBER(U90))),"Fecha inválida",IF(U90&lt;T90,"La fecha de fin es anterior a la de inicio",IF(OR(YEAR(T90)&lt;&gt;2027,YEAR(U90)&lt;&gt;2027),"Fechas fuera de la vigencia 2027",IF(ISERROR(SEARCH("@itc.edu.co",V90)),"El responsable no tiene correo institucional",IF(ISERROR(SEARCH(Z90,INDEX(Catalogos!$Z$5:$Z$25,MATCH(AA90,L_IMP,0)))),"La dimensión no corresponde al indicador de impacto","OK")))))))</f>
        <v/>
      </c>
    </row>
    <row r="91" ht="90" customHeight="1" s="23">
      <c r="A91" s="80">
        <f>Base_OAPDI!A87</f>
        <v/>
      </c>
      <c r="B91" s="80">
        <f>Base_OAPDI!B87</f>
        <v/>
      </c>
      <c r="C91" s="80">
        <f>Base_OAPDI!D87</f>
        <v/>
      </c>
      <c r="D91" s="80">
        <f>Base_OAPDI!E87</f>
        <v/>
      </c>
      <c r="E91" s="80">
        <f>Base_OAPDI!F87</f>
        <v/>
      </c>
      <c r="F91" s="80">
        <f>Base_OAPDI!G87</f>
        <v/>
      </c>
      <c r="G91" s="80">
        <f>Base_OAPDI!H87</f>
        <v/>
      </c>
      <c r="H91" s="80">
        <f>Base_OAPDI!I87</f>
        <v/>
      </c>
      <c r="I91" s="80">
        <f>Base_OAPDI!J87</f>
        <v/>
      </c>
      <c r="J91" s="80">
        <f>Base_OAPDI!K87</f>
        <v/>
      </c>
      <c r="K91" s="80">
        <f>Base_OAPDI!L87</f>
        <v/>
      </c>
      <c r="L91" s="80">
        <f>Base_OAPDI!N87</f>
        <v/>
      </c>
      <c r="M91" s="80">
        <f>Base_OAPDI!P87</f>
        <v/>
      </c>
      <c r="N91" s="80">
        <f>Base_OAPDI!Q87</f>
        <v/>
      </c>
      <c r="O91" s="80">
        <f>Base_OAPDI!R87</f>
        <v/>
      </c>
      <c r="P91" s="80">
        <f>Base_OAPDI!S87</f>
        <v/>
      </c>
      <c r="Q91" s="81" t="n"/>
      <c r="R91" s="81" t="n"/>
      <c r="S91" s="81" t="n"/>
      <c r="T91" s="82" t="n"/>
      <c r="U91" s="82" t="n"/>
      <c r="V91" s="81" t="n"/>
      <c r="W91" s="81" t="n"/>
      <c r="X91" s="81" t="n"/>
      <c r="Y91" s="81" t="n"/>
      <c r="Z91" s="81" t="n"/>
      <c r="AA91" s="81" t="n"/>
      <c r="AB91" s="80">
        <f>IF(AA91="","",INDEX(Catalogos!$Y$5:$Y$25,MATCH(AA91,L_IMP,0)))</f>
        <v/>
      </c>
      <c r="AC91" s="81" t="n"/>
      <c r="AD91" s="81" t="n"/>
      <c r="AE91" s="81" t="n"/>
      <c r="AF91" s="83">
        <f>IF(Q91="","Pendiente por formular",IF(OR(S91="",T91="",U91="",V91="",W91="",X91="",Z91="",AA91=""),"Incompleta: faltan campos obligatorios",IF(OR(NOT(ISNUMBER(T91)),NOT(ISNUMBER(U91))),"Fecha inválida",IF(U91&lt;T91,"La fecha de fin es anterior a la de inicio",IF(OR(YEAR(T91)&lt;&gt;2027,YEAR(U91)&lt;&gt;2027),"Fechas fuera de la vigencia 2027",IF(ISERROR(SEARCH("@itc.edu.co",V91)),"El responsable no tiene correo institucional",IF(ISERROR(SEARCH(Z91,INDEX(Catalogos!$Z$5:$Z$25,MATCH(AA91,L_IMP,0)))),"La dimensión no corresponde al indicador de impacto","OK")))))))</f>
        <v/>
      </c>
    </row>
    <row r="92" ht="34" customHeight="1" s="23">
      <c r="A92" s="79" t="inlineStr">
        <is>
          <t>Eje estratégico 3. Extensión y proyección institucional. Objetivo estratégico del eje: Ofrecer programas y servicios innovadores y de alta calidad que respondan eficazmente a las necesidades del sector productivo y social, promoviendo su bienestar y su desarrollo sostenible.</t>
        </is>
      </c>
    </row>
    <row r="93" ht="135" customHeight="1" s="23">
      <c r="A93" s="80">
        <f>Base_OAPDI!A88</f>
        <v/>
      </c>
      <c r="B93" s="80">
        <f>Base_OAPDI!B88</f>
        <v/>
      </c>
      <c r="C93" s="80">
        <f>Base_OAPDI!D88</f>
        <v/>
      </c>
      <c r="D93" s="80">
        <f>Base_OAPDI!E88</f>
        <v/>
      </c>
      <c r="E93" s="80">
        <f>Base_OAPDI!F88</f>
        <v/>
      </c>
      <c r="F93" s="80">
        <f>Base_OAPDI!G88</f>
        <v/>
      </c>
      <c r="G93" s="80">
        <f>Base_OAPDI!H88</f>
        <v/>
      </c>
      <c r="H93" s="80">
        <f>Base_OAPDI!I88</f>
        <v/>
      </c>
      <c r="I93" s="80">
        <f>Base_OAPDI!J88</f>
        <v/>
      </c>
      <c r="J93" s="80">
        <f>Base_OAPDI!K88</f>
        <v/>
      </c>
      <c r="K93" s="80">
        <f>Base_OAPDI!L88</f>
        <v/>
      </c>
      <c r="L93" s="80">
        <f>Base_OAPDI!N88</f>
        <v/>
      </c>
      <c r="M93" s="80">
        <f>Base_OAPDI!P88</f>
        <v/>
      </c>
      <c r="N93" s="80">
        <f>Base_OAPDI!Q88</f>
        <v/>
      </c>
      <c r="O93" s="80">
        <f>Base_OAPDI!R88</f>
        <v/>
      </c>
      <c r="P93" s="80">
        <f>Base_OAPDI!S88</f>
        <v/>
      </c>
      <c r="Q93" s="81" t="n"/>
      <c r="R93" s="81" t="n"/>
      <c r="S93" s="81" t="n"/>
      <c r="T93" s="82" t="n"/>
      <c r="U93" s="82" t="n"/>
      <c r="V93" s="81" t="n"/>
      <c r="W93" s="81" t="n"/>
      <c r="X93" s="81" t="n"/>
      <c r="Y93" s="81" t="n"/>
      <c r="Z93" s="81" t="n"/>
      <c r="AA93" s="81" t="n"/>
      <c r="AB93" s="80">
        <f>IF(AA93="","",INDEX(Catalogos!$Y$5:$Y$25,MATCH(AA93,L_IMP,0)))</f>
        <v/>
      </c>
      <c r="AC93" s="81" t="n"/>
      <c r="AD93" s="81" t="n"/>
      <c r="AE93" s="81" t="n"/>
      <c r="AF93" s="83">
        <f>IF(Q93="","Pendiente por formular",IF(OR(S93="",T93="",U93="",V93="",W93="",X93="",Z93="",AA93=""),"Incompleta: faltan campos obligatorios",IF(OR(NOT(ISNUMBER(T93)),NOT(ISNUMBER(U93))),"Fecha inválida",IF(U93&lt;T93,"La fecha de fin es anterior a la de inicio",IF(OR(YEAR(T93)&lt;&gt;2027,YEAR(U93)&lt;&gt;2027),"Fechas fuera de la vigencia 2027",IF(ISERROR(SEARCH("@itc.edu.co",V93)),"El responsable no tiene correo institucional",IF(ISERROR(SEARCH(Z93,INDEX(Catalogos!$Z$5:$Z$25,MATCH(AA93,L_IMP,0)))),"La dimensión no corresponde al indicador de impacto","OK")))))))</f>
        <v/>
      </c>
    </row>
    <row r="94" ht="60" customHeight="1" s="23">
      <c r="A94" s="80">
        <f>Base_OAPDI!A89</f>
        <v/>
      </c>
      <c r="B94" s="80">
        <f>Base_OAPDI!B89</f>
        <v/>
      </c>
      <c r="C94" s="80">
        <f>Base_OAPDI!D89</f>
        <v/>
      </c>
      <c r="D94" s="80">
        <f>Base_OAPDI!E89</f>
        <v/>
      </c>
      <c r="E94" s="80">
        <f>Base_OAPDI!F89</f>
        <v/>
      </c>
      <c r="F94" s="80">
        <f>Base_OAPDI!G89</f>
        <v/>
      </c>
      <c r="G94" s="80">
        <f>Base_OAPDI!H89</f>
        <v/>
      </c>
      <c r="H94" s="80">
        <f>Base_OAPDI!I89</f>
        <v/>
      </c>
      <c r="I94" s="80">
        <f>Base_OAPDI!J89</f>
        <v/>
      </c>
      <c r="J94" s="80">
        <f>Base_OAPDI!K89</f>
        <v/>
      </c>
      <c r="K94" s="80">
        <f>Base_OAPDI!L89</f>
        <v/>
      </c>
      <c r="L94" s="80">
        <f>Base_OAPDI!N89</f>
        <v/>
      </c>
      <c r="M94" s="80">
        <f>Base_OAPDI!P89</f>
        <v/>
      </c>
      <c r="N94" s="80">
        <f>Base_OAPDI!Q89</f>
        <v/>
      </c>
      <c r="O94" s="80">
        <f>Base_OAPDI!R89</f>
        <v/>
      </c>
      <c r="P94" s="80">
        <f>Base_OAPDI!S89</f>
        <v/>
      </c>
      <c r="Q94" s="81" t="n"/>
      <c r="R94" s="81" t="n"/>
      <c r="S94" s="81" t="n"/>
      <c r="T94" s="82" t="n"/>
      <c r="U94" s="82" t="n"/>
      <c r="V94" s="81" t="n"/>
      <c r="W94" s="81" t="n"/>
      <c r="X94" s="81" t="n"/>
      <c r="Y94" s="81" t="n"/>
      <c r="Z94" s="81" t="n"/>
      <c r="AA94" s="81" t="n"/>
      <c r="AB94" s="80">
        <f>IF(AA94="","",INDEX(Catalogos!$Y$5:$Y$25,MATCH(AA94,L_IMP,0)))</f>
        <v/>
      </c>
      <c r="AC94" s="81" t="n"/>
      <c r="AD94" s="81" t="n"/>
      <c r="AE94" s="81" t="n"/>
      <c r="AF94" s="83">
        <f>IF(Q94="","Pendiente por formular",IF(OR(S94="",T94="",U94="",V94="",W94="",X94="",Z94="",AA94=""),"Incompleta: faltan campos obligatorios",IF(OR(NOT(ISNUMBER(T94)),NOT(ISNUMBER(U94))),"Fecha inválida",IF(U94&lt;T94,"La fecha de fin es anterior a la de inicio",IF(OR(YEAR(T94)&lt;&gt;2027,YEAR(U94)&lt;&gt;2027),"Fechas fuera de la vigencia 2027",IF(ISERROR(SEARCH("@itc.edu.co",V94)),"El responsable no tiene correo institucional",IF(ISERROR(SEARCH(Z94,INDEX(Catalogos!$Z$5:$Z$25,MATCH(AA94,L_IMP,0)))),"La dimensión no corresponde al indicador de impacto","OK")))))))</f>
        <v/>
      </c>
    </row>
    <row r="95" ht="180" customHeight="1" s="23">
      <c r="A95" s="80">
        <f>Base_OAPDI!A90</f>
        <v/>
      </c>
      <c r="B95" s="80">
        <f>Base_OAPDI!B90</f>
        <v/>
      </c>
      <c r="C95" s="80">
        <f>Base_OAPDI!D90</f>
        <v/>
      </c>
      <c r="D95" s="80">
        <f>Base_OAPDI!E90</f>
        <v/>
      </c>
      <c r="E95" s="80">
        <f>Base_OAPDI!F90</f>
        <v/>
      </c>
      <c r="F95" s="80">
        <f>Base_OAPDI!G90</f>
        <v/>
      </c>
      <c r="G95" s="80">
        <f>Base_OAPDI!H90</f>
        <v/>
      </c>
      <c r="H95" s="80">
        <f>Base_OAPDI!I90</f>
        <v/>
      </c>
      <c r="I95" s="80">
        <f>Base_OAPDI!J90</f>
        <v/>
      </c>
      <c r="J95" s="80">
        <f>Base_OAPDI!K90</f>
        <v/>
      </c>
      <c r="K95" s="80">
        <f>Base_OAPDI!L90</f>
        <v/>
      </c>
      <c r="L95" s="80">
        <f>Base_OAPDI!N90</f>
        <v/>
      </c>
      <c r="M95" s="80">
        <f>Base_OAPDI!P90</f>
        <v/>
      </c>
      <c r="N95" s="80">
        <f>Base_OAPDI!Q90</f>
        <v/>
      </c>
      <c r="O95" s="80">
        <f>Base_OAPDI!R90</f>
        <v/>
      </c>
      <c r="P95" s="80">
        <f>Base_OAPDI!S90</f>
        <v/>
      </c>
      <c r="Q95" s="81" t="n"/>
      <c r="R95" s="81" t="n"/>
      <c r="S95" s="81" t="n"/>
      <c r="T95" s="82" t="n"/>
      <c r="U95" s="82" t="n"/>
      <c r="V95" s="81" t="n"/>
      <c r="W95" s="81" t="n"/>
      <c r="X95" s="81" t="n"/>
      <c r="Y95" s="81" t="n"/>
      <c r="Z95" s="81" t="n"/>
      <c r="AA95" s="81" t="n"/>
      <c r="AB95" s="80">
        <f>IF(AA95="","",INDEX(Catalogos!$Y$5:$Y$25,MATCH(AA95,L_IMP,0)))</f>
        <v/>
      </c>
      <c r="AC95" s="81" t="n"/>
      <c r="AD95" s="81" t="n"/>
      <c r="AE95" s="81" t="n"/>
      <c r="AF95" s="83">
        <f>IF(Q95="","Pendiente por formular",IF(OR(S95="",T95="",U95="",V95="",W95="",X95="",Z95="",AA95=""),"Incompleta: faltan campos obligatorios",IF(OR(NOT(ISNUMBER(T95)),NOT(ISNUMBER(U95))),"Fecha inválida",IF(U95&lt;T95,"La fecha de fin es anterior a la de inicio",IF(OR(YEAR(T95)&lt;&gt;2027,YEAR(U95)&lt;&gt;2027),"Fechas fuera de la vigencia 2027",IF(ISERROR(SEARCH("@itc.edu.co",V95)),"El responsable no tiene correo institucional",IF(ISERROR(SEARCH(Z95,INDEX(Catalogos!$Z$5:$Z$25,MATCH(AA95,L_IMP,0)))),"La dimensión no corresponde al indicador de impacto","OK")))))))</f>
        <v/>
      </c>
    </row>
    <row r="96" ht="120" customHeight="1" s="23">
      <c r="A96" s="80">
        <f>Base_OAPDI!A91</f>
        <v/>
      </c>
      <c r="B96" s="80">
        <f>Base_OAPDI!B91</f>
        <v/>
      </c>
      <c r="C96" s="80">
        <f>Base_OAPDI!D91</f>
        <v/>
      </c>
      <c r="D96" s="80">
        <f>Base_OAPDI!E91</f>
        <v/>
      </c>
      <c r="E96" s="80">
        <f>Base_OAPDI!F91</f>
        <v/>
      </c>
      <c r="F96" s="80">
        <f>Base_OAPDI!G91</f>
        <v/>
      </c>
      <c r="G96" s="80">
        <f>Base_OAPDI!H91</f>
        <v/>
      </c>
      <c r="H96" s="80">
        <f>Base_OAPDI!I91</f>
        <v/>
      </c>
      <c r="I96" s="80">
        <f>Base_OAPDI!J91</f>
        <v/>
      </c>
      <c r="J96" s="80">
        <f>Base_OAPDI!K91</f>
        <v/>
      </c>
      <c r="K96" s="80">
        <f>Base_OAPDI!L91</f>
        <v/>
      </c>
      <c r="L96" s="80">
        <f>Base_OAPDI!N91</f>
        <v/>
      </c>
      <c r="M96" s="80">
        <f>Base_OAPDI!P91</f>
        <v/>
      </c>
      <c r="N96" s="80">
        <f>Base_OAPDI!Q91</f>
        <v/>
      </c>
      <c r="O96" s="80">
        <f>Base_OAPDI!R91</f>
        <v/>
      </c>
      <c r="P96" s="80">
        <f>Base_OAPDI!S91</f>
        <v/>
      </c>
      <c r="Q96" s="81" t="n"/>
      <c r="R96" s="81" t="n"/>
      <c r="S96" s="81" t="n"/>
      <c r="T96" s="82" t="n"/>
      <c r="U96" s="82" t="n"/>
      <c r="V96" s="81" t="n"/>
      <c r="W96" s="81" t="n"/>
      <c r="X96" s="81" t="n"/>
      <c r="Y96" s="81" t="n"/>
      <c r="Z96" s="81" t="n"/>
      <c r="AA96" s="81" t="n"/>
      <c r="AB96" s="80">
        <f>IF(AA96="","",INDEX(Catalogos!$Y$5:$Y$25,MATCH(AA96,L_IMP,0)))</f>
        <v/>
      </c>
      <c r="AC96" s="81" t="n"/>
      <c r="AD96" s="81" t="n"/>
      <c r="AE96" s="81" t="n"/>
      <c r="AF96" s="83">
        <f>IF(Q96="","Pendiente por formular",IF(OR(S96="",T96="",U96="",V96="",W96="",X96="",Z96="",AA96=""),"Incompleta: faltan campos obligatorios",IF(OR(NOT(ISNUMBER(T96)),NOT(ISNUMBER(U96))),"Fecha inválida",IF(U96&lt;T96,"La fecha de fin es anterior a la de inicio",IF(OR(YEAR(T96)&lt;&gt;2027,YEAR(U96)&lt;&gt;2027),"Fechas fuera de la vigencia 2027",IF(ISERROR(SEARCH("@itc.edu.co",V96)),"El responsable no tiene correo institucional",IF(ISERROR(SEARCH(Z96,INDEX(Catalogos!$Z$5:$Z$25,MATCH(AA96,L_IMP,0)))),"La dimensión no corresponde al indicador de impacto","OK")))))))</f>
        <v/>
      </c>
    </row>
    <row r="97" ht="150" customHeight="1" s="23">
      <c r="A97" s="80">
        <f>Base_OAPDI!A92</f>
        <v/>
      </c>
      <c r="B97" s="80">
        <f>Base_OAPDI!B92</f>
        <v/>
      </c>
      <c r="C97" s="80">
        <f>Base_OAPDI!D92</f>
        <v/>
      </c>
      <c r="D97" s="80">
        <f>Base_OAPDI!E92</f>
        <v/>
      </c>
      <c r="E97" s="80">
        <f>Base_OAPDI!F92</f>
        <v/>
      </c>
      <c r="F97" s="80">
        <f>Base_OAPDI!G92</f>
        <v/>
      </c>
      <c r="G97" s="80">
        <f>Base_OAPDI!H92</f>
        <v/>
      </c>
      <c r="H97" s="80">
        <f>Base_OAPDI!I92</f>
        <v/>
      </c>
      <c r="I97" s="80">
        <f>Base_OAPDI!J92</f>
        <v/>
      </c>
      <c r="J97" s="80">
        <f>Base_OAPDI!K92</f>
        <v/>
      </c>
      <c r="K97" s="80">
        <f>Base_OAPDI!L92</f>
        <v/>
      </c>
      <c r="L97" s="80">
        <f>Base_OAPDI!N92</f>
        <v/>
      </c>
      <c r="M97" s="80">
        <f>Base_OAPDI!P92</f>
        <v/>
      </c>
      <c r="N97" s="80">
        <f>Base_OAPDI!Q92</f>
        <v/>
      </c>
      <c r="O97" s="80">
        <f>Base_OAPDI!R92</f>
        <v/>
      </c>
      <c r="P97" s="80">
        <f>Base_OAPDI!S92</f>
        <v/>
      </c>
      <c r="Q97" s="81" t="n"/>
      <c r="R97" s="81" t="n"/>
      <c r="S97" s="81" t="n"/>
      <c r="T97" s="82" t="n"/>
      <c r="U97" s="82" t="n"/>
      <c r="V97" s="81" t="n"/>
      <c r="W97" s="81" t="n"/>
      <c r="X97" s="81" t="n"/>
      <c r="Y97" s="81" t="n"/>
      <c r="Z97" s="81" t="n"/>
      <c r="AA97" s="81" t="n"/>
      <c r="AB97" s="80">
        <f>IF(AA97="","",INDEX(Catalogos!$Y$5:$Y$25,MATCH(AA97,L_IMP,0)))</f>
        <v/>
      </c>
      <c r="AC97" s="81" t="n"/>
      <c r="AD97" s="81" t="n"/>
      <c r="AE97" s="81" t="n"/>
      <c r="AF97" s="83">
        <f>IF(Q97="","Pendiente por formular",IF(OR(S97="",T97="",U97="",V97="",W97="",X97="",Z97="",AA97=""),"Incompleta: faltan campos obligatorios",IF(OR(NOT(ISNUMBER(T97)),NOT(ISNUMBER(U97))),"Fecha inválida",IF(U97&lt;T97,"La fecha de fin es anterior a la de inicio",IF(OR(YEAR(T97)&lt;&gt;2027,YEAR(U97)&lt;&gt;2027),"Fechas fuera de la vigencia 2027",IF(ISERROR(SEARCH("@itc.edu.co",V97)),"El responsable no tiene correo institucional",IF(ISERROR(SEARCH(Z97,INDEX(Catalogos!$Z$5:$Z$25,MATCH(AA97,L_IMP,0)))),"La dimensión no corresponde al indicador de impacto","OK")))))))</f>
        <v/>
      </c>
    </row>
    <row r="98" ht="225" customHeight="1" s="23">
      <c r="A98" s="80">
        <f>Base_OAPDI!A93</f>
        <v/>
      </c>
      <c r="B98" s="80">
        <f>Base_OAPDI!B93</f>
        <v/>
      </c>
      <c r="C98" s="80">
        <f>Base_OAPDI!D93</f>
        <v/>
      </c>
      <c r="D98" s="80">
        <f>Base_OAPDI!E93</f>
        <v/>
      </c>
      <c r="E98" s="80">
        <f>Base_OAPDI!F93</f>
        <v/>
      </c>
      <c r="F98" s="80">
        <f>Base_OAPDI!G93</f>
        <v/>
      </c>
      <c r="G98" s="80">
        <f>Base_OAPDI!H93</f>
        <v/>
      </c>
      <c r="H98" s="80">
        <f>Base_OAPDI!I93</f>
        <v/>
      </c>
      <c r="I98" s="80">
        <f>Base_OAPDI!J93</f>
        <v/>
      </c>
      <c r="J98" s="80">
        <f>Base_OAPDI!K93</f>
        <v/>
      </c>
      <c r="K98" s="80">
        <f>Base_OAPDI!L93</f>
        <v/>
      </c>
      <c r="L98" s="80">
        <f>Base_OAPDI!N93</f>
        <v/>
      </c>
      <c r="M98" s="80">
        <f>Base_OAPDI!P93</f>
        <v/>
      </c>
      <c r="N98" s="80">
        <f>Base_OAPDI!Q93</f>
        <v/>
      </c>
      <c r="O98" s="80">
        <f>Base_OAPDI!R93</f>
        <v/>
      </c>
      <c r="P98" s="80">
        <f>Base_OAPDI!S93</f>
        <v/>
      </c>
      <c r="Q98" s="81" t="n"/>
      <c r="R98" s="81" t="n"/>
      <c r="S98" s="81" t="n"/>
      <c r="T98" s="82" t="n"/>
      <c r="U98" s="82" t="n"/>
      <c r="V98" s="81" t="n"/>
      <c r="W98" s="81" t="n"/>
      <c r="X98" s="81" t="n"/>
      <c r="Y98" s="81" t="n"/>
      <c r="Z98" s="81" t="n"/>
      <c r="AA98" s="81" t="n"/>
      <c r="AB98" s="80">
        <f>IF(AA98="","",INDEX(Catalogos!$Y$5:$Y$25,MATCH(AA98,L_IMP,0)))</f>
        <v/>
      </c>
      <c r="AC98" s="81" t="n"/>
      <c r="AD98" s="81" t="n"/>
      <c r="AE98" s="81" t="n"/>
      <c r="AF98" s="83">
        <f>IF(Q98="","Pendiente por formular",IF(OR(S98="",T98="",U98="",V98="",W98="",X98="",Z98="",AA98=""),"Incompleta: faltan campos obligatorios",IF(OR(NOT(ISNUMBER(T98)),NOT(ISNUMBER(U98))),"Fecha inválida",IF(U98&lt;T98,"La fecha de fin es anterior a la de inicio",IF(OR(YEAR(T98)&lt;&gt;2027,YEAR(U98)&lt;&gt;2027),"Fechas fuera de la vigencia 2027",IF(ISERROR(SEARCH("@itc.edu.co",V98)),"El responsable no tiene correo institucional",IF(ISERROR(SEARCH(Z98,INDEX(Catalogos!$Z$5:$Z$25,MATCH(AA98,L_IMP,0)))),"La dimensión no corresponde al indicador de impacto","OK")))))))</f>
        <v/>
      </c>
    </row>
    <row r="99" ht="180" customHeight="1" s="23">
      <c r="A99" s="80">
        <f>Base_OAPDI!A94</f>
        <v/>
      </c>
      <c r="B99" s="80">
        <f>Base_OAPDI!B94</f>
        <v/>
      </c>
      <c r="C99" s="80">
        <f>Base_OAPDI!D94</f>
        <v/>
      </c>
      <c r="D99" s="80">
        <f>Base_OAPDI!E94</f>
        <v/>
      </c>
      <c r="E99" s="80">
        <f>Base_OAPDI!F94</f>
        <v/>
      </c>
      <c r="F99" s="80">
        <f>Base_OAPDI!G94</f>
        <v/>
      </c>
      <c r="G99" s="80">
        <f>Base_OAPDI!H94</f>
        <v/>
      </c>
      <c r="H99" s="80">
        <f>Base_OAPDI!I94</f>
        <v/>
      </c>
      <c r="I99" s="80">
        <f>Base_OAPDI!J94</f>
        <v/>
      </c>
      <c r="J99" s="80">
        <f>Base_OAPDI!K94</f>
        <v/>
      </c>
      <c r="K99" s="80">
        <f>Base_OAPDI!L94</f>
        <v/>
      </c>
      <c r="L99" s="80">
        <f>Base_OAPDI!N94</f>
        <v/>
      </c>
      <c r="M99" s="80">
        <f>Base_OAPDI!P94</f>
        <v/>
      </c>
      <c r="N99" s="80">
        <f>Base_OAPDI!Q94</f>
        <v/>
      </c>
      <c r="O99" s="80">
        <f>Base_OAPDI!R94</f>
        <v/>
      </c>
      <c r="P99" s="80">
        <f>Base_OAPDI!S94</f>
        <v/>
      </c>
      <c r="Q99" s="81" t="n"/>
      <c r="R99" s="81" t="n"/>
      <c r="S99" s="81" t="n"/>
      <c r="T99" s="82" t="n"/>
      <c r="U99" s="82" t="n"/>
      <c r="V99" s="81" t="n"/>
      <c r="W99" s="81" t="n"/>
      <c r="X99" s="81" t="n"/>
      <c r="Y99" s="81" t="n"/>
      <c r="Z99" s="81" t="n"/>
      <c r="AA99" s="81" t="n"/>
      <c r="AB99" s="80">
        <f>IF(AA99="","",INDEX(Catalogos!$Y$5:$Y$25,MATCH(AA99,L_IMP,0)))</f>
        <v/>
      </c>
      <c r="AC99" s="81" t="n"/>
      <c r="AD99" s="81" t="n"/>
      <c r="AE99" s="81" t="n"/>
      <c r="AF99" s="83">
        <f>IF(Q99="","Pendiente por formular",IF(OR(S99="",T99="",U99="",V99="",W99="",X99="",Z99="",AA99=""),"Incompleta: faltan campos obligatorios",IF(OR(NOT(ISNUMBER(T99)),NOT(ISNUMBER(U99))),"Fecha inválida",IF(U99&lt;T99,"La fecha de fin es anterior a la de inicio",IF(OR(YEAR(T99)&lt;&gt;2027,YEAR(U99)&lt;&gt;2027),"Fechas fuera de la vigencia 2027",IF(ISERROR(SEARCH("@itc.edu.co",V99)),"El responsable no tiene correo institucional",IF(ISERROR(SEARCH(Z99,INDEX(Catalogos!$Z$5:$Z$25,MATCH(AA99,L_IMP,0)))),"La dimensión no corresponde al indicador de impacto","OK")))))))</f>
        <v/>
      </c>
    </row>
    <row r="100" ht="120" customHeight="1" s="23">
      <c r="A100" s="80">
        <f>Base_OAPDI!A95</f>
        <v/>
      </c>
      <c r="B100" s="80">
        <f>Base_OAPDI!B95</f>
        <v/>
      </c>
      <c r="C100" s="80">
        <f>Base_OAPDI!D95</f>
        <v/>
      </c>
      <c r="D100" s="80">
        <f>Base_OAPDI!E95</f>
        <v/>
      </c>
      <c r="E100" s="80">
        <f>Base_OAPDI!F95</f>
        <v/>
      </c>
      <c r="F100" s="80">
        <f>Base_OAPDI!G95</f>
        <v/>
      </c>
      <c r="G100" s="80">
        <f>Base_OAPDI!H95</f>
        <v/>
      </c>
      <c r="H100" s="80">
        <f>Base_OAPDI!I95</f>
        <v/>
      </c>
      <c r="I100" s="80">
        <f>Base_OAPDI!J95</f>
        <v/>
      </c>
      <c r="J100" s="80">
        <f>Base_OAPDI!K95</f>
        <v/>
      </c>
      <c r="K100" s="80">
        <f>Base_OAPDI!L95</f>
        <v/>
      </c>
      <c r="L100" s="80">
        <f>Base_OAPDI!N95</f>
        <v/>
      </c>
      <c r="M100" s="80">
        <f>Base_OAPDI!P95</f>
        <v/>
      </c>
      <c r="N100" s="80">
        <f>Base_OAPDI!Q95</f>
        <v/>
      </c>
      <c r="O100" s="80">
        <f>Base_OAPDI!R95</f>
        <v/>
      </c>
      <c r="P100" s="80">
        <f>Base_OAPDI!S95</f>
        <v/>
      </c>
      <c r="Q100" s="81" t="n"/>
      <c r="R100" s="81" t="n"/>
      <c r="S100" s="81" t="n"/>
      <c r="T100" s="82" t="n"/>
      <c r="U100" s="82" t="n"/>
      <c r="V100" s="81" t="n"/>
      <c r="W100" s="81" t="n"/>
      <c r="X100" s="81" t="n"/>
      <c r="Y100" s="81" t="n"/>
      <c r="Z100" s="81" t="n"/>
      <c r="AA100" s="81" t="n"/>
      <c r="AB100" s="80">
        <f>IF(AA100="","",INDEX(Catalogos!$Y$5:$Y$25,MATCH(AA100,L_IMP,0)))</f>
        <v/>
      </c>
      <c r="AC100" s="81" t="n"/>
      <c r="AD100" s="81" t="n"/>
      <c r="AE100" s="81" t="n"/>
      <c r="AF100" s="83">
        <f>IF(Q100="","Pendiente por formular",IF(OR(S100="",T100="",U100="",V100="",W100="",X100="",Z100="",AA100=""),"Incompleta: faltan campos obligatorios",IF(OR(NOT(ISNUMBER(T100)),NOT(ISNUMBER(U100))),"Fecha inválida",IF(U100&lt;T100,"La fecha de fin es anterior a la de inicio",IF(OR(YEAR(T100)&lt;&gt;2027,YEAR(U100)&lt;&gt;2027),"Fechas fuera de la vigencia 2027",IF(ISERROR(SEARCH("@itc.edu.co",V100)),"El responsable no tiene correo institucional",IF(ISERROR(SEARCH(Z100,INDEX(Catalogos!$Z$5:$Z$25,MATCH(AA100,L_IMP,0)))),"La dimensión no corresponde al indicador de impacto","OK")))))))</f>
        <v/>
      </c>
    </row>
    <row r="101" ht="210" customHeight="1" s="23">
      <c r="A101" s="80">
        <f>Base_OAPDI!A96</f>
        <v/>
      </c>
      <c r="B101" s="80">
        <f>Base_OAPDI!B96</f>
        <v/>
      </c>
      <c r="C101" s="80">
        <f>Base_OAPDI!D96</f>
        <v/>
      </c>
      <c r="D101" s="80">
        <f>Base_OAPDI!E96</f>
        <v/>
      </c>
      <c r="E101" s="80">
        <f>Base_OAPDI!F96</f>
        <v/>
      </c>
      <c r="F101" s="80">
        <f>Base_OAPDI!G96</f>
        <v/>
      </c>
      <c r="G101" s="80">
        <f>Base_OAPDI!H96</f>
        <v/>
      </c>
      <c r="H101" s="80">
        <f>Base_OAPDI!I96</f>
        <v/>
      </c>
      <c r="I101" s="80">
        <f>Base_OAPDI!J96</f>
        <v/>
      </c>
      <c r="J101" s="80">
        <f>Base_OAPDI!K96</f>
        <v/>
      </c>
      <c r="K101" s="80">
        <f>Base_OAPDI!L96</f>
        <v/>
      </c>
      <c r="L101" s="80">
        <f>Base_OAPDI!N96</f>
        <v/>
      </c>
      <c r="M101" s="80">
        <f>Base_OAPDI!P96</f>
        <v/>
      </c>
      <c r="N101" s="80">
        <f>Base_OAPDI!Q96</f>
        <v/>
      </c>
      <c r="O101" s="80">
        <f>Base_OAPDI!R96</f>
        <v/>
      </c>
      <c r="P101" s="80">
        <f>Base_OAPDI!S96</f>
        <v/>
      </c>
      <c r="Q101" s="81" t="n"/>
      <c r="R101" s="81" t="n"/>
      <c r="S101" s="81" t="n"/>
      <c r="T101" s="82" t="n"/>
      <c r="U101" s="82" t="n"/>
      <c r="V101" s="81" t="n"/>
      <c r="W101" s="81" t="n"/>
      <c r="X101" s="81" t="n"/>
      <c r="Y101" s="81" t="n"/>
      <c r="Z101" s="81" t="n"/>
      <c r="AA101" s="81" t="n"/>
      <c r="AB101" s="80">
        <f>IF(AA101="","",INDEX(Catalogos!$Y$5:$Y$25,MATCH(AA101,L_IMP,0)))</f>
        <v/>
      </c>
      <c r="AC101" s="81" t="n"/>
      <c r="AD101" s="81" t="n"/>
      <c r="AE101" s="81" t="n"/>
      <c r="AF101" s="83">
        <f>IF(Q101="","Pendiente por formular",IF(OR(S101="",T101="",U101="",V101="",W101="",X101="",Z101="",AA101=""),"Incompleta: faltan campos obligatorios",IF(OR(NOT(ISNUMBER(T101)),NOT(ISNUMBER(U101))),"Fecha inválida",IF(U101&lt;T101,"La fecha de fin es anterior a la de inicio",IF(OR(YEAR(T101)&lt;&gt;2027,YEAR(U101)&lt;&gt;2027),"Fechas fuera de la vigencia 2027",IF(ISERROR(SEARCH("@itc.edu.co",V101)),"El responsable no tiene correo institucional",IF(ISERROR(SEARCH(Z101,INDEX(Catalogos!$Z$5:$Z$25,MATCH(AA101,L_IMP,0)))),"La dimensión no corresponde al indicador de impacto","OK")))))))</f>
        <v/>
      </c>
    </row>
    <row r="102" ht="105" customHeight="1" s="23">
      <c r="A102" s="80">
        <f>Base_OAPDI!A97</f>
        <v/>
      </c>
      <c r="B102" s="80">
        <f>Base_OAPDI!B97</f>
        <v/>
      </c>
      <c r="C102" s="80">
        <f>Base_OAPDI!D97</f>
        <v/>
      </c>
      <c r="D102" s="80">
        <f>Base_OAPDI!E97</f>
        <v/>
      </c>
      <c r="E102" s="80">
        <f>Base_OAPDI!F97</f>
        <v/>
      </c>
      <c r="F102" s="80">
        <f>Base_OAPDI!G97</f>
        <v/>
      </c>
      <c r="G102" s="80">
        <f>Base_OAPDI!H97</f>
        <v/>
      </c>
      <c r="H102" s="80">
        <f>Base_OAPDI!I97</f>
        <v/>
      </c>
      <c r="I102" s="80">
        <f>Base_OAPDI!J97</f>
        <v/>
      </c>
      <c r="J102" s="80">
        <f>Base_OAPDI!K97</f>
        <v/>
      </c>
      <c r="K102" s="80">
        <f>Base_OAPDI!L97</f>
        <v/>
      </c>
      <c r="L102" s="80">
        <f>Base_OAPDI!N97</f>
        <v/>
      </c>
      <c r="M102" s="80">
        <f>Base_OAPDI!P97</f>
        <v/>
      </c>
      <c r="N102" s="80">
        <f>Base_OAPDI!Q97</f>
        <v/>
      </c>
      <c r="O102" s="80">
        <f>Base_OAPDI!R97</f>
        <v/>
      </c>
      <c r="P102" s="80">
        <f>Base_OAPDI!S97</f>
        <v/>
      </c>
      <c r="Q102" s="81" t="n"/>
      <c r="R102" s="81" t="n"/>
      <c r="S102" s="81" t="n"/>
      <c r="T102" s="82" t="n"/>
      <c r="U102" s="82" t="n"/>
      <c r="V102" s="81" t="n"/>
      <c r="W102" s="81" t="n"/>
      <c r="X102" s="81" t="n"/>
      <c r="Y102" s="81" t="n"/>
      <c r="Z102" s="81" t="n"/>
      <c r="AA102" s="81" t="n"/>
      <c r="AB102" s="80">
        <f>IF(AA102="","",INDEX(Catalogos!$Y$5:$Y$25,MATCH(AA102,L_IMP,0)))</f>
        <v/>
      </c>
      <c r="AC102" s="81" t="n"/>
      <c r="AD102" s="81" t="n"/>
      <c r="AE102" s="81" t="n"/>
      <c r="AF102" s="83">
        <f>IF(Q102="","Pendiente por formular",IF(OR(S102="",T102="",U102="",V102="",W102="",X102="",Z102="",AA102=""),"Incompleta: faltan campos obligatorios",IF(OR(NOT(ISNUMBER(T102)),NOT(ISNUMBER(U102))),"Fecha inválida",IF(U102&lt;T102,"La fecha de fin es anterior a la de inicio",IF(OR(YEAR(T102)&lt;&gt;2027,YEAR(U102)&lt;&gt;2027),"Fechas fuera de la vigencia 2027",IF(ISERROR(SEARCH("@itc.edu.co",V102)),"El responsable no tiene correo institucional",IF(ISERROR(SEARCH(Z102,INDEX(Catalogos!$Z$5:$Z$25,MATCH(AA102,L_IMP,0)))),"La dimensión no corresponde al indicador de impacto","OK")))))))</f>
        <v/>
      </c>
    </row>
    <row r="103" ht="195" customHeight="1" s="23">
      <c r="A103" s="80">
        <f>Base_OAPDI!A98</f>
        <v/>
      </c>
      <c r="B103" s="80">
        <f>Base_OAPDI!B98</f>
        <v/>
      </c>
      <c r="C103" s="80">
        <f>Base_OAPDI!D98</f>
        <v/>
      </c>
      <c r="D103" s="80">
        <f>Base_OAPDI!E98</f>
        <v/>
      </c>
      <c r="E103" s="80">
        <f>Base_OAPDI!F98</f>
        <v/>
      </c>
      <c r="F103" s="80">
        <f>Base_OAPDI!G98</f>
        <v/>
      </c>
      <c r="G103" s="80">
        <f>Base_OAPDI!H98</f>
        <v/>
      </c>
      <c r="H103" s="80">
        <f>Base_OAPDI!I98</f>
        <v/>
      </c>
      <c r="I103" s="80">
        <f>Base_OAPDI!J98</f>
        <v/>
      </c>
      <c r="J103" s="80">
        <f>Base_OAPDI!K98</f>
        <v/>
      </c>
      <c r="K103" s="80">
        <f>Base_OAPDI!L98</f>
        <v/>
      </c>
      <c r="L103" s="80">
        <f>Base_OAPDI!N98</f>
        <v/>
      </c>
      <c r="M103" s="80">
        <f>Base_OAPDI!P98</f>
        <v/>
      </c>
      <c r="N103" s="80">
        <f>Base_OAPDI!Q98</f>
        <v/>
      </c>
      <c r="O103" s="80">
        <f>Base_OAPDI!R98</f>
        <v/>
      </c>
      <c r="P103" s="80">
        <f>Base_OAPDI!S98</f>
        <v/>
      </c>
      <c r="Q103" s="81" t="n"/>
      <c r="R103" s="81" t="n"/>
      <c r="S103" s="81" t="n"/>
      <c r="T103" s="82" t="n"/>
      <c r="U103" s="82" t="n"/>
      <c r="V103" s="81" t="n"/>
      <c r="W103" s="81" t="n"/>
      <c r="X103" s="81" t="n"/>
      <c r="Y103" s="81" t="n"/>
      <c r="Z103" s="81" t="n"/>
      <c r="AA103" s="81" t="n"/>
      <c r="AB103" s="80">
        <f>IF(AA103="","",INDEX(Catalogos!$Y$5:$Y$25,MATCH(AA103,L_IMP,0)))</f>
        <v/>
      </c>
      <c r="AC103" s="81" t="n"/>
      <c r="AD103" s="81" t="n"/>
      <c r="AE103" s="81" t="n"/>
      <c r="AF103" s="83">
        <f>IF(Q103="","Pendiente por formular",IF(OR(S103="",T103="",U103="",V103="",W103="",X103="",Z103="",AA103=""),"Incompleta: faltan campos obligatorios",IF(OR(NOT(ISNUMBER(T103)),NOT(ISNUMBER(U103))),"Fecha inválida",IF(U103&lt;T103,"La fecha de fin es anterior a la de inicio",IF(OR(YEAR(T103)&lt;&gt;2027,YEAR(U103)&lt;&gt;2027),"Fechas fuera de la vigencia 2027",IF(ISERROR(SEARCH("@itc.edu.co",V103)),"El responsable no tiene correo institucional",IF(ISERROR(SEARCH(Z103,INDEX(Catalogos!$Z$5:$Z$25,MATCH(AA103,L_IMP,0)))),"La dimensión no corresponde al indicador de impacto","OK")))))))</f>
        <v/>
      </c>
    </row>
    <row r="104" ht="195" customHeight="1" s="23">
      <c r="A104" s="80">
        <f>Base_OAPDI!A99</f>
        <v/>
      </c>
      <c r="B104" s="80">
        <f>Base_OAPDI!B99</f>
        <v/>
      </c>
      <c r="C104" s="80">
        <f>Base_OAPDI!D99</f>
        <v/>
      </c>
      <c r="D104" s="80">
        <f>Base_OAPDI!E99</f>
        <v/>
      </c>
      <c r="E104" s="80">
        <f>Base_OAPDI!F99</f>
        <v/>
      </c>
      <c r="F104" s="80">
        <f>Base_OAPDI!G99</f>
        <v/>
      </c>
      <c r="G104" s="80">
        <f>Base_OAPDI!H99</f>
        <v/>
      </c>
      <c r="H104" s="80">
        <f>Base_OAPDI!I99</f>
        <v/>
      </c>
      <c r="I104" s="80">
        <f>Base_OAPDI!J99</f>
        <v/>
      </c>
      <c r="J104" s="80">
        <f>Base_OAPDI!K99</f>
        <v/>
      </c>
      <c r="K104" s="80">
        <f>Base_OAPDI!L99</f>
        <v/>
      </c>
      <c r="L104" s="80">
        <f>Base_OAPDI!N99</f>
        <v/>
      </c>
      <c r="M104" s="80">
        <f>Base_OAPDI!P99</f>
        <v/>
      </c>
      <c r="N104" s="80">
        <f>Base_OAPDI!Q99</f>
        <v/>
      </c>
      <c r="O104" s="80">
        <f>Base_OAPDI!R99</f>
        <v/>
      </c>
      <c r="P104" s="80">
        <f>Base_OAPDI!S99</f>
        <v/>
      </c>
      <c r="Q104" s="81" t="n"/>
      <c r="R104" s="81" t="n"/>
      <c r="S104" s="81" t="n"/>
      <c r="T104" s="82" t="n"/>
      <c r="U104" s="82" t="n"/>
      <c r="V104" s="81" t="n"/>
      <c r="W104" s="81" t="n"/>
      <c r="X104" s="81" t="n"/>
      <c r="Y104" s="81" t="n"/>
      <c r="Z104" s="81" t="n"/>
      <c r="AA104" s="81" t="n"/>
      <c r="AB104" s="80">
        <f>IF(AA104="","",INDEX(Catalogos!$Y$5:$Y$25,MATCH(AA104,L_IMP,0)))</f>
        <v/>
      </c>
      <c r="AC104" s="81" t="n"/>
      <c r="AD104" s="81" t="n"/>
      <c r="AE104" s="81" t="n"/>
      <c r="AF104" s="83">
        <f>IF(Q104="","Pendiente por formular",IF(OR(S104="",T104="",U104="",V104="",W104="",X104="",Z104="",AA104=""),"Incompleta: faltan campos obligatorios",IF(OR(NOT(ISNUMBER(T104)),NOT(ISNUMBER(U104))),"Fecha inválida",IF(U104&lt;T104,"La fecha de fin es anterior a la de inicio",IF(OR(YEAR(T104)&lt;&gt;2027,YEAR(U104)&lt;&gt;2027),"Fechas fuera de la vigencia 2027",IF(ISERROR(SEARCH("@itc.edu.co",V104)),"El responsable no tiene correo institucional",IF(ISERROR(SEARCH(Z104,INDEX(Catalogos!$Z$5:$Z$25,MATCH(AA104,L_IMP,0)))),"La dimensión no corresponde al indicador de impacto","OK")))))))</f>
        <v/>
      </c>
    </row>
    <row r="105" ht="165" customHeight="1" s="23">
      <c r="A105" s="80">
        <f>Base_OAPDI!A100</f>
        <v/>
      </c>
      <c r="B105" s="80">
        <f>Base_OAPDI!B100</f>
        <v/>
      </c>
      <c r="C105" s="80">
        <f>Base_OAPDI!D100</f>
        <v/>
      </c>
      <c r="D105" s="80">
        <f>Base_OAPDI!E100</f>
        <v/>
      </c>
      <c r="E105" s="80">
        <f>Base_OAPDI!F100</f>
        <v/>
      </c>
      <c r="F105" s="80">
        <f>Base_OAPDI!G100</f>
        <v/>
      </c>
      <c r="G105" s="80">
        <f>Base_OAPDI!H100</f>
        <v/>
      </c>
      <c r="H105" s="80">
        <f>Base_OAPDI!I100</f>
        <v/>
      </c>
      <c r="I105" s="80">
        <f>Base_OAPDI!J100</f>
        <v/>
      </c>
      <c r="J105" s="80">
        <f>Base_OAPDI!K100</f>
        <v/>
      </c>
      <c r="K105" s="80">
        <f>Base_OAPDI!L100</f>
        <v/>
      </c>
      <c r="L105" s="80">
        <f>Base_OAPDI!N100</f>
        <v/>
      </c>
      <c r="M105" s="80">
        <f>Base_OAPDI!P100</f>
        <v/>
      </c>
      <c r="N105" s="80">
        <f>Base_OAPDI!Q100</f>
        <v/>
      </c>
      <c r="O105" s="80">
        <f>Base_OAPDI!R100</f>
        <v/>
      </c>
      <c r="P105" s="80">
        <f>Base_OAPDI!S100</f>
        <v/>
      </c>
      <c r="Q105" s="81" t="n"/>
      <c r="R105" s="81" t="n"/>
      <c r="S105" s="81" t="n"/>
      <c r="T105" s="82" t="n"/>
      <c r="U105" s="82" t="n"/>
      <c r="V105" s="81" t="n"/>
      <c r="W105" s="81" t="n"/>
      <c r="X105" s="81" t="n"/>
      <c r="Y105" s="81" t="n"/>
      <c r="Z105" s="81" t="n"/>
      <c r="AA105" s="81" t="n"/>
      <c r="AB105" s="80">
        <f>IF(AA105="","",INDEX(Catalogos!$Y$5:$Y$25,MATCH(AA105,L_IMP,0)))</f>
        <v/>
      </c>
      <c r="AC105" s="81" t="n"/>
      <c r="AD105" s="81" t="n"/>
      <c r="AE105" s="81" t="n"/>
      <c r="AF105" s="83">
        <f>IF(Q105="","Pendiente por formular",IF(OR(S105="",T105="",U105="",V105="",W105="",X105="",Z105="",AA105=""),"Incompleta: faltan campos obligatorios",IF(OR(NOT(ISNUMBER(T105)),NOT(ISNUMBER(U105))),"Fecha inválida",IF(U105&lt;T105,"La fecha de fin es anterior a la de inicio",IF(OR(YEAR(T105)&lt;&gt;2027,YEAR(U105)&lt;&gt;2027),"Fechas fuera de la vigencia 2027",IF(ISERROR(SEARCH("@itc.edu.co",V105)),"El responsable no tiene correo institucional",IF(ISERROR(SEARCH(Z105,INDEX(Catalogos!$Z$5:$Z$25,MATCH(AA105,L_IMP,0)))),"La dimensión no corresponde al indicador de impacto","OK")))))))</f>
        <v/>
      </c>
    </row>
    <row r="106" ht="120" customHeight="1" s="23">
      <c r="A106" s="80">
        <f>Base_OAPDI!A101</f>
        <v/>
      </c>
      <c r="B106" s="80">
        <f>Base_OAPDI!B101</f>
        <v/>
      </c>
      <c r="C106" s="80">
        <f>Base_OAPDI!D101</f>
        <v/>
      </c>
      <c r="D106" s="80">
        <f>Base_OAPDI!E101</f>
        <v/>
      </c>
      <c r="E106" s="80">
        <f>Base_OAPDI!F101</f>
        <v/>
      </c>
      <c r="F106" s="80">
        <f>Base_OAPDI!G101</f>
        <v/>
      </c>
      <c r="G106" s="80">
        <f>Base_OAPDI!H101</f>
        <v/>
      </c>
      <c r="H106" s="80">
        <f>Base_OAPDI!I101</f>
        <v/>
      </c>
      <c r="I106" s="80">
        <f>Base_OAPDI!J101</f>
        <v/>
      </c>
      <c r="J106" s="80">
        <f>Base_OAPDI!K101</f>
        <v/>
      </c>
      <c r="K106" s="80">
        <f>Base_OAPDI!L101</f>
        <v/>
      </c>
      <c r="L106" s="80">
        <f>Base_OAPDI!N101</f>
        <v/>
      </c>
      <c r="M106" s="80">
        <f>Base_OAPDI!P101</f>
        <v/>
      </c>
      <c r="N106" s="80">
        <f>Base_OAPDI!Q101</f>
        <v/>
      </c>
      <c r="O106" s="80">
        <f>Base_OAPDI!R101</f>
        <v/>
      </c>
      <c r="P106" s="80">
        <f>Base_OAPDI!S101</f>
        <v/>
      </c>
      <c r="Q106" s="81" t="n"/>
      <c r="R106" s="81" t="n"/>
      <c r="S106" s="81" t="n"/>
      <c r="T106" s="82" t="n"/>
      <c r="U106" s="82" t="n"/>
      <c r="V106" s="81" t="n"/>
      <c r="W106" s="81" t="n"/>
      <c r="X106" s="81" t="n"/>
      <c r="Y106" s="81" t="n"/>
      <c r="Z106" s="81" t="n"/>
      <c r="AA106" s="81" t="n"/>
      <c r="AB106" s="80">
        <f>IF(AA106="","",INDEX(Catalogos!$Y$5:$Y$25,MATCH(AA106,L_IMP,0)))</f>
        <v/>
      </c>
      <c r="AC106" s="81" t="n"/>
      <c r="AD106" s="81" t="n"/>
      <c r="AE106" s="81" t="n"/>
      <c r="AF106" s="83">
        <f>IF(Q106="","Pendiente por formular",IF(OR(S106="",T106="",U106="",V106="",W106="",X106="",Z106="",AA106=""),"Incompleta: faltan campos obligatorios",IF(OR(NOT(ISNUMBER(T106)),NOT(ISNUMBER(U106))),"Fecha inválida",IF(U106&lt;T106,"La fecha de fin es anterior a la de inicio",IF(OR(YEAR(T106)&lt;&gt;2027,YEAR(U106)&lt;&gt;2027),"Fechas fuera de la vigencia 2027",IF(ISERROR(SEARCH("@itc.edu.co",V106)),"El responsable no tiene correo institucional",IF(ISERROR(SEARCH(Z106,INDEX(Catalogos!$Z$5:$Z$25,MATCH(AA106,L_IMP,0)))),"La dimensión no corresponde al indicador de impacto","OK")))))))</f>
        <v/>
      </c>
    </row>
    <row r="107" ht="120" customHeight="1" s="23">
      <c r="A107" s="80">
        <f>Base_OAPDI!A102</f>
        <v/>
      </c>
      <c r="B107" s="80">
        <f>Base_OAPDI!B102</f>
        <v/>
      </c>
      <c r="C107" s="80">
        <f>Base_OAPDI!D102</f>
        <v/>
      </c>
      <c r="D107" s="80">
        <f>Base_OAPDI!E102</f>
        <v/>
      </c>
      <c r="E107" s="80">
        <f>Base_OAPDI!F102</f>
        <v/>
      </c>
      <c r="F107" s="80">
        <f>Base_OAPDI!G102</f>
        <v/>
      </c>
      <c r="G107" s="80">
        <f>Base_OAPDI!H102</f>
        <v/>
      </c>
      <c r="H107" s="80">
        <f>Base_OAPDI!I102</f>
        <v/>
      </c>
      <c r="I107" s="80">
        <f>Base_OAPDI!J102</f>
        <v/>
      </c>
      <c r="J107" s="80">
        <f>Base_OAPDI!K102</f>
        <v/>
      </c>
      <c r="K107" s="80">
        <f>Base_OAPDI!L102</f>
        <v/>
      </c>
      <c r="L107" s="80">
        <f>Base_OAPDI!N102</f>
        <v/>
      </c>
      <c r="M107" s="80">
        <f>Base_OAPDI!P102</f>
        <v/>
      </c>
      <c r="N107" s="80">
        <f>Base_OAPDI!Q102</f>
        <v/>
      </c>
      <c r="O107" s="80">
        <f>Base_OAPDI!R102</f>
        <v/>
      </c>
      <c r="P107" s="80">
        <f>Base_OAPDI!S102</f>
        <v/>
      </c>
      <c r="Q107" s="81" t="n"/>
      <c r="R107" s="81" t="n"/>
      <c r="S107" s="81" t="n"/>
      <c r="T107" s="82" t="n"/>
      <c r="U107" s="82" t="n"/>
      <c r="V107" s="81" t="n"/>
      <c r="W107" s="81" t="n"/>
      <c r="X107" s="81" t="n"/>
      <c r="Y107" s="81" t="n"/>
      <c r="Z107" s="81" t="n"/>
      <c r="AA107" s="81" t="n"/>
      <c r="AB107" s="80">
        <f>IF(AA107="","",INDEX(Catalogos!$Y$5:$Y$25,MATCH(AA107,L_IMP,0)))</f>
        <v/>
      </c>
      <c r="AC107" s="81" t="n"/>
      <c r="AD107" s="81" t="n"/>
      <c r="AE107" s="81" t="n"/>
      <c r="AF107" s="83">
        <f>IF(Q107="","Pendiente por formular",IF(OR(S107="",T107="",U107="",V107="",W107="",X107="",Z107="",AA107=""),"Incompleta: faltan campos obligatorios",IF(OR(NOT(ISNUMBER(T107)),NOT(ISNUMBER(U107))),"Fecha inválida",IF(U107&lt;T107,"La fecha de fin es anterior a la de inicio",IF(OR(YEAR(T107)&lt;&gt;2027,YEAR(U107)&lt;&gt;2027),"Fechas fuera de la vigencia 2027",IF(ISERROR(SEARCH("@itc.edu.co",V107)),"El responsable no tiene correo institucional",IF(ISERROR(SEARCH(Z107,INDEX(Catalogos!$Z$5:$Z$25,MATCH(AA107,L_IMP,0)))),"La dimensión no corresponde al indicador de impacto","OK")))))))</f>
        <v/>
      </c>
    </row>
    <row r="108" ht="180" customHeight="1" s="23">
      <c r="A108" s="80">
        <f>Base_OAPDI!A103</f>
        <v/>
      </c>
      <c r="B108" s="80">
        <f>Base_OAPDI!B103</f>
        <v/>
      </c>
      <c r="C108" s="80">
        <f>Base_OAPDI!D103</f>
        <v/>
      </c>
      <c r="D108" s="80">
        <f>Base_OAPDI!E103</f>
        <v/>
      </c>
      <c r="E108" s="80">
        <f>Base_OAPDI!F103</f>
        <v/>
      </c>
      <c r="F108" s="80">
        <f>Base_OAPDI!G103</f>
        <v/>
      </c>
      <c r="G108" s="80">
        <f>Base_OAPDI!H103</f>
        <v/>
      </c>
      <c r="H108" s="80">
        <f>Base_OAPDI!I103</f>
        <v/>
      </c>
      <c r="I108" s="80">
        <f>Base_OAPDI!J103</f>
        <v/>
      </c>
      <c r="J108" s="80">
        <f>Base_OAPDI!K103</f>
        <v/>
      </c>
      <c r="K108" s="80">
        <f>Base_OAPDI!L103</f>
        <v/>
      </c>
      <c r="L108" s="80">
        <f>Base_OAPDI!N103</f>
        <v/>
      </c>
      <c r="M108" s="80">
        <f>Base_OAPDI!P103</f>
        <v/>
      </c>
      <c r="N108" s="80">
        <f>Base_OAPDI!Q103</f>
        <v/>
      </c>
      <c r="O108" s="80">
        <f>Base_OAPDI!R103</f>
        <v/>
      </c>
      <c r="P108" s="80">
        <f>Base_OAPDI!S103</f>
        <v/>
      </c>
      <c r="Q108" s="81" t="n"/>
      <c r="R108" s="81" t="n"/>
      <c r="S108" s="81" t="n"/>
      <c r="T108" s="82" t="n"/>
      <c r="U108" s="82" t="n"/>
      <c r="V108" s="81" t="n"/>
      <c r="W108" s="81" t="n"/>
      <c r="X108" s="81" t="n"/>
      <c r="Y108" s="81" t="n"/>
      <c r="Z108" s="81" t="n"/>
      <c r="AA108" s="81" t="n"/>
      <c r="AB108" s="80">
        <f>IF(AA108="","",INDEX(Catalogos!$Y$5:$Y$25,MATCH(AA108,L_IMP,0)))</f>
        <v/>
      </c>
      <c r="AC108" s="81" t="n"/>
      <c r="AD108" s="81" t="n"/>
      <c r="AE108" s="81" t="n"/>
      <c r="AF108" s="83">
        <f>IF(Q108="","Pendiente por formular",IF(OR(S108="",T108="",U108="",V108="",W108="",X108="",Z108="",AA108=""),"Incompleta: faltan campos obligatorios",IF(OR(NOT(ISNUMBER(T108)),NOT(ISNUMBER(U108))),"Fecha inválida",IF(U108&lt;T108,"La fecha de fin es anterior a la de inicio",IF(OR(YEAR(T108)&lt;&gt;2027,YEAR(U108)&lt;&gt;2027),"Fechas fuera de la vigencia 2027",IF(ISERROR(SEARCH("@itc.edu.co",V108)),"El responsable no tiene correo institucional",IF(ISERROR(SEARCH(Z108,INDEX(Catalogos!$Z$5:$Z$25,MATCH(AA108,L_IMP,0)))),"La dimensión no corresponde al indicador de impacto","OK")))))))</f>
        <v/>
      </c>
    </row>
    <row r="109" ht="34" customHeight="1" s="23">
      <c r="A109" s="79" t="inlineStr">
        <is>
          <t>Eje estratégico 4. Transformación institucional. Objetivo estratégico del eje: Pensar la ETITC mediante el desarrollo de sus horizontes de sentido, para que la comunidad contribuya en la transformación de vida de los integrantes de la institución, la sociedad y el planeta.</t>
        </is>
      </c>
    </row>
    <row r="110" ht="105" customHeight="1" s="23">
      <c r="A110" s="80">
        <f>Base_OAPDI!A104</f>
        <v/>
      </c>
      <c r="B110" s="80">
        <f>Base_OAPDI!B104</f>
        <v/>
      </c>
      <c r="C110" s="80">
        <f>Base_OAPDI!D104</f>
        <v/>
      </c>
      <c r="D110" s="80">
        <f>Base_OAPDI!E104</f>
        <v/>
      </c>
      <c r="E110" s="80">
        <f>Base_OAPDI!F104</f>
        <v/>
      </c>
      <c r="F110" s="80">
        <f>Base_OAPDI!G104</f>
        <v/>
      </c>
      <c r="G110" s="80">
        <f>Base_OAPDI!H104</f>
        <v/>
      </c>
      <c r="H110" s="80">
        <f>Base_OAPDI!I104</f>
        <v/>
      </c>
      <c r="I110" s="80">
        <f>Base_OAPDI!J104</f>
        <v/>
      </c>
      <c r="J110" s="80">
        <f>Base_OAPDI!K104</f>
        <v/>
      </c>
      <c r="K110" s="80">
        <f>Base_OAPDI!L104</f>
        <v/>
      </c>
      <c r="L110" s="80">
        <f>Base_OAPDI!N104</f>
        <v/>
      </c>
      <c r="M110" s="80">
        <f>Base_OAPDI!P104</f>
        <v/>
      </c>
      <c r="N110" s="80">
        <f>Base_OAPDI!Q104</f>
        <v/>
      </c>
      <c r="O110" s="80">
        <f>Base_OAPDI!R104</f>
        <v/>
      </c>
      <c r="P110" s="80">
        <f>Base_OAPDI!S104</f>
        <v/>
      </c>
      <c r="Q110" s="81" t="n"/>
      <c r="R110" s="81" t="n"/>
      <c r="S110" s="81" t="n"/>
      <c r="T110" s="82" t="n"/>
      <c r="U110" s="82" t="n"/>
      <c r="V110" s="81" t="n"/>
      <c r="W110" s="81" t="n"/>
      <c r="X110" s="81" t="n"/>
      <c r="Y110" s="81" t="n"/>
      <c r="Z110" s="81" t="n"/>
      <c r="AA110" s="81" t="n"/>
      <c r="AB110" s="80">
        <f>IF(AA110="","",INDEX(Catalogos!$Y$5:$Y$25,MATCH(AA110,L_IMP,0)))</f>
        <v/>
      </c>
      <c r="AC110" s="81" t="n"/>
      <c r="AD110" s="81" t="n"/>
      <c r="AE110" s="81" t="n"/>
      <c r="AF110" s="83">
        <f>IF(Q110="","Pendiente por formular",IF(OR(S110="",T110="",U110="",V110="",W110="",X110="",Z110="",AA110=""),"Incompleta: faltan campos obligatorios",IF(OR(NOT(ISNUMBER(T110)),NOT(ISNUMBER(U110))),"Fecha inválida",IF(U110&lt;T110,"La fecha de fin es anterior a la de inicio",IF(OR(YEAR(T110)&lt;&gt;2027,YEAR(U110)&lt;&gt;2027),"Fechas fuera de la vigencia 2027",IF(ISERROR(SEARCH("@itc.edu.co",V110)),"El responsable no tiene correo institucional",IF(ISERROR(SEARCH(Z110,INDEX(Catalogos!$Z$5:$Z$25,MATCH(AA110,L_IMP,0)))),"La dimensión no corresponde al indicador de impacto","OK")))))))</f>
        <v/>
      </c>
    </row>
    <row r="111" ht="135" customHeight="1" s="23">
      <c r="A111" s="80">
        <f>Base_OAPDI!A105</f>
        <v/>
      </c>
      <c r="B111" s="80">
        <f>Base_OAPDI!B105</f>
        <v/>
      </c>
      <c r="C111" s="80">
        <f>Base_OAPDI!D105</f>
        <v/>
      </c>
      <c r="D111" s="80">
        <f>Base_OAPDI!E105</f>
        <v/>
      </c>
      <c r="E111" s="80">
        <f>Base_OAPDI!F105</f>
        <v/>
      </c>
      <c r="F111" s="80">
        <f>Base_OAPDI!G105</f>
        <v/>
      </c>
      <c r="G111" s="80">
        <f>Base_OAPDI!H105</f>
        <v/>
      </c>
      <c r="H111" s="80">
        <f>Base_OAPDI!I105</f>
        <v/>
      </c>
      <c r="I111" s="80">
        <f>Base_OAPDI!J105</f>
        <v/>
      </c>
      <c r="J111" s="80">
        <f>Base_OAPDI!K105</f>
        <v/>
      </c>
      <c r="K111" s="80">
        <f>Base_OAPDI!L105</f>
        <v/>
      </c>
      <c r="L111" s="80">
        <f>Base_OAPDI!N105</f>
        <v/>
      </c>
      <c r="M111" s="80">
        <f>Base_OAPDI!P105</f>
        <v/>
      </c>
      <c r="N111" s="80">
        <f>Base_OAPDI!Q105</f>
        <v/>
      </c>
      <c r="O111" s="80">
        <f>Base_OAPDI!R105</f>
        <v/>
      </c>
      <c r="P111" s="80">
        <f>Base_OAPDI!S105</f>
        <v/>
      </c>
      <c r="Q111" s="81" t="n"/>
      <c r="R111" s="81" t="n"/>
      <c r="S111" s="81" t="n"/>
      <c r="T111" s="82" t="n"/>
      <c r="U111" s="82" t="n"/>
      <c r="V111" s="81" t="n"/>
      <c r="W111" s="81" t="n"/>
      <c r="X111" s="81" t="n"/>
      <c r="Y111" s="81" t="n"/>
      <c r="Z111" s="81" t="n"/>
      <c r="AA111" s="81" t="n"/>
      <c r="AB111" s="80">
        <f>IF(AA111="","",INDEX(Catalogos!$Y$5:$Y$25,MATCH(AA111,L_IMP,0)))</f>
        <v/>
      </c>
      <c r="AC111" s="81" t="n"/>
      <c r="AD111" s="81" t="n"/>
      <c r="AE111" s="81" t="n"/>
      <c r="AF111" s="83">
        <f>IF(Q111="","Pendiente por formular",IF(OR(S111="",T111="",U111="",V111="",W111="",X111="",Z111="",AA111=""),"Incompleta: faltan campos obligatorios",IF(OR(NOT(ISNUMBER(T111)),NOT(ISNUMBER(U111))),"Fecha inválida",IF(U111&lt;T111,"La fecha de fin es anterior a la de inicio",IF(OR(YEAR(T111)&lt;&gt;2027,YEAR(U111)&lt;&gt;2027),"Fechas fuera de la vigencia 2027",IF(ISERROR(SEARCH("@itc.edu.co",V111)),"El responsable no tiene correo institucional",IF(ISERROR(SEARCH(Z111,INDEX(Catalogos!$Z$5:$Z$25,MATCH(AA111,L_IMP,0)))),"La dimensión no corresponde al indicador de impacto","OK")))))))</f>
        <v/>
      </c>
    </row>
    <row r="112" ht="240" customHeight="1" s="23">
      <c r="A112" s="80">
        <f>Base_OAPDI!A106</f>
        <v/>
      </c>
      <c r="B112" s="80">
        <f>Base_OAPDI!B106</f>
        <v/>
      </c>
      <c r="C112" s="80">
        <f>Base_OAPDI!D106</f>
        <v/>
      </c>
      <c r="D112" s="80">
        <f>Base_OAPDI!E106</f>
        <v/>
      </c>
      <c r="E112" s="80">
        <f>Base_OAPDI!F106</f>
        <v/>
      </c>
      <c r="F112" s="80">
        <f>Base_OAPDI!G106</f>
        <v/>
      </c>
      <c r="G112" s="80">
        <f>Base_OAPDI!H106</f>
        <v/>
      </c>
      <c r="H112" s="80">
        <f>Base_OAPDI!I106</f>
        <v/>
      </c>
      <c r="I112" s="80">
        <f>Base_OAPDI!J106</f>
        <v/>
      </c>
      <c r="J112" s="80">
        <f>Base_OAPDI!K106</f>
        <v/>
      </c>
      <c r="K112" s="80">
        <f>Base_OAPDI!L106</f>
        <v/>
      </c>
      <c r="L112" s="80">
        <f>Base_OAPDI!N106</f>
        <v/>
      </c>
      <c r="M112" s="80">
        <f>Base_OAPDI!P106</f>
        <v/>
      </c>
      <c r="N112" s="80">
        <f>Base_OAPDI!Q106</f>
        <v/>
      </c>
      <c r="O112" s="80">
        <f>Base_OAPDI!R106</f>
        <v/>
      </c>
      <c r="P112" s="80">
        <f>Base_OAPDI!S106</f>
        <v/>
      </c>
      <c r="Q112" s="81" t="n"/>
      <c r="R112" s="81" t="n"/>
      <c r="S112" s="81" t="n"/>
      <c r="T112" s="82" t="n"/>
      <c r="U112" s="82" t="n"/>
      <c r="V112" s="81" t="n"/>
      <c r="W112" s="81" t="n"/>
      <c r="X112" s="81" t="n"/>
      <c r="Y112" s="81" t="n"/>
      <c r="Z112" s="81" t="n"/>
      <c r="AA112" s="81" t="n"/>
      <c r="AB112" s="80">
        <f>IF(AA112="","",INDEX(Catalogos!$Y$5:$Y$25,MATCH(AA112,L_IMP,0)))</f>
        <v/>
      </c>
      <c r="AC112" s="81" t="n"/>
      <c r="AD112" s="81" t="n"/>
      <c r="AE112" s="81" t="n"/>
      <c r="AF112" s="83">
        <f>IF(Q112="","Pendiente por formular",IF(OR(S112="",T112="",U112="",V112="",W112="",X112="",Z112="",AA112=""),"Incompleta: faltan campos obligatorios",IF(OR(NOT(ISNUMBER(T112)),NOT(ISNUMBER(U112))),"Fecha inválida",IF(U112&lt;T112,"La fecha de fin es anterior a la de inicio",IF(OR(YEAR(T112)&lt;&gt;2027,YEAR(U112)&lt;&gt;2027),"Fechas fuera de la vigencia 2027",IF(ISERROR(SEARCH("@itc.edu.co",V112)),"El responsable no tiene correo institucional",IF(ISERROR(SEARCH(Z112,INDEX(Catalogos!$Z$5:$Z$25,MATCH(AA112,L_IMP,0)))),"La dimensión no corresponde al indicador de impacto","OK")))))))</f>
        <v/>
      </c>
    </row>
    <row r="113" ht="180" customHeight="1" s="23">
      <c r="A113" s="80">
        <f>Base_OAPDI!A107</f>
        <v/>
      </c>
      <c r="B113" s="80">
        <f>Base_OAPDI!B107</f>
        <v/>
      </c>
      <c r="C113" s="80">
        <f>Base_OAPDI!D107</f>
        <v/>
      </c>
      <c r="D113" s="80">
        <f>Base_OAPDI!E107</f>
        <v/>
      </c>
      <c r="E113" s="80">
        <f>Base_OAPDI!F107</f>
        <v/>
      </c>
      <c r="F113" s="80">
        <f>Base_OAPDI!G107</f>
        <v/>
      </c>
      <c r="G113" s="80">
        <f>Base_OAPDI!H107</f>
        <v/>
      </c>
      <c r="H113" s="80">
        <f>Base_OAPDI!I107</f>
        <v/>
      </c>
      <c r="I113" s="80">
        <f>Base_OAPDI!J107</f>
        <v/>
      </c>
      <c r="J113" s="80">
        <f>Base_OAPDI!K107</f>
        <v/>
      </c>
      <c r="K113" s="80">
        <f>Base_OAPDI!L107</f>
        <v/>
      </c>
      <c r="L113" s="80">
        <f>Base_OAPDI!N107</f>
        <v/>
      </c>
      <c r="M113" s="80">
        <f>Base_OAPDI!P107</f>
        <v/>
      </c>
      <c r="N113" s="80">
        <f>Base_OAPDI!Q107</f>
        <v/>
      </c>
      <c r="O113" s="80">
        <f>Base_OAPDI!R107</f>
        <v/>
      </c>
      <c r="P113" s="80">
        <f>Base_OAPDI!S107</f>
        <v/>
      </c>
      <c r="Q113" s="81" t="n"/>
      <c r="R113" s="81" t="n"/>
      <c r="S113" s="81" t="n"/>
      <c r="T113" s="82" t="n"/>
      <c r="U113" s="82" t="n"/>
      <c r="V113" s="81" t="n"/>
      <c r="W113" s="81" t="n"/>
      <c r="X113" s="81" t="n"/>
      <c r="Y113" s="81" t="n"/>
      <c r="Z113" s="81" t="n"/>
      <c r="AA113" s="81" t="n"/>
      <c r="AB113" s="80">
        <f>IF(AA113="","",INDEX(Catalogos!$Y$5:$Y$25,MATCH(AA113,L_IMP,0)))</f>
        <v/>
      </c>
      <c r="AC113" s="81" t="n"/>
      <c r="AD113" s="81" t="n"/>
      <c r="AE113" s="81" t="n"/>
      <c r="AF113" s="83">
        <f>IF(Q113="","Pendiente por formular",IF(OR(S113="",T113="",U113="",V113="",W113="",X113="",Z113="",AA113=""),"Incompleta: faltan campos obligatorios",IF(OR(NOT(ISNUMBER(T113)),NOT(ISNUMBER(U113))),"Fecha inválida",IF(U113&lt;T113,"La fecha de fin es anterior a la de inicio",IF(OR(YEAR(T113)&lt;&gt;2027,YEAR(U113)&lt;&gt;2027),"Fechas fuera de la vigencia 2027",IF(ISERROR(SEARCH("@itc.edu.co",V113)),"El responsable no tiene correo institucional",IF(ISERROR(SEARCH(Z113,INDEX(Catalogos!$Z$5:$Z$25,MATCH(AA113,L_IMP,0)))),"La dimensión no corresponde al indicador de impacto","OK")))))))</f>
        <v/>
      </c>
    </row>
    <row r="114" ht="75" customHeight="1" s="23">
      <c r="A114" s="80">
        <f>Base_OAPDI!A108</f>
        <v/>
      </c>
      <c r="B114" s="80">
        <f>Base_OAPDI!B108</f>
        <v/>
      </c>
      <c r="C114" s="80">
        <f>Base_OAPDI!D108</f>
        <v/>
      </c>
      <c r="D114" s="80">
        <f>Base_OAPDI!E108</f>
        <v/>
      </c>
      <c r="E114" s="80">
        <f>Base_OAPDI!F108</f>
        <v/>
      </c>
      <c r="F114" s="80">
        <f>Base_OAPDI!G108</f>
        <v/>
      </c>
      <c r="G114" s="80">
        <f>Base_OAPDI!H108</f>
        <v/>
      </c>
      <c r="H114" s="80">
        <f>Base_OAPDI!I108</f>
        <v/>
      </c>
      <c r="I114" s="80">
        <f>Base_OAPDI!J108</f>
        <v/>
      </c>
      <c r="J114" s="80">
        <f>Base_OAPDI!K108</f>
        <v/>
      </c>
      <c r="K114" s="80">
        <f>Base_OAPDI!L108</f>
        <v/>
      </c>
      <c r="L114" s="80">
        <f>Base_OAPDI!N108</f>
        <v/>
      </c>
      <c r="M114" s="80">
        <f>Base_OAPDI!P108</f>
        <v/>
      </c>
      <c r="N114" s="80">
        <f>Base_OAPDI!Q108</f>
        <v/>
      </c>
      <c r="O114" s="80">
        <f>Base_OAPDI!R108</f>
        <v/>
      </c>
      <c r="P114" s="80">
        <f>Base_OAPDI!S108</f>
        <v/>
      </c>
      <c r="Q114" s="81" t="n"/>
      <c r="R114" s="81" t="n"/>
      <c r="S114" s="81" t="n"/>
      <c r="T114" s="82" t="n"/>
      <c r="U114" s="82" t="n"/>
      <c r="V114" s="81" t="n"/>
      <c r="W114" s="81" t="n"/>
      <c r="X114" s="81" t="n"/>
      <c r="Y114" s="81" t="n"/>
      <c r="Z114" s="81" t="n"/>
      <c r="AA114" s="81" t="n"/>
      <c r="AB114" s="80">
        <f>IF(AA114="","",INDEX(Catalogos!$Y$5:$Y$25,MATCH(AA114,L_IMP,0)))</f>
        <v/>
      </c>
      <c r="AC114" s="81" t="n"/>
      <c r="AD114" s="81" t="n"/>
      <c r="AE114" s="81" t="n"/>
      <c r="AF114" s="83">
        <f>IF(Q114="","Pendiente por formular",IF(OR(S114="",T114="",U114="",V114="",W114="",X114="",Z114="",AA114=""),"Incompleta: faltan campos obligatorios",IF(OR(NOT(ISNUMBER(T114)),NOT(ISNUMBER(U114))),"Fecha inválida",IF(U114&lt;T114,"La fecha de fin es anterior a la de inicio",IF(OR(YEAR(T114)&lt;&gt;2027,YEAR(U114)&lt;&gt;2027),"Fechas fuera de la vigencia 2027",IF(ISERROR(SEARCH("@itc.edu.co",V114)),"El responsable no tiene correo institucional",IF(ISERROR(SEARCH(Z114,INDEX(Catalogos!$Z$5:$Z$25,MATCH(AA114,L_IMP,0)))),"La dimensión no corresponde al indicador de impacto","OK")))))))</f>
        <v/>
      </c>
    </row>
    <row r="115" ht="165" customHeight="1" s="23">
      <c r="A115" s="80">
        <f>Base_OAPDI!A109</f>
        <v/>
      </c>
      <c r="B115" s="80">
        <f>Base_OAPDI!B109</f>
        <v/>
      </c>
      <c r="C115" s="80">
        <f>Base_OAPDI!D109</f>
        <v/>
      </c>
      <c r="D115" s="80">
        <f>Base_OAPDI!E109</f>
        <v/>
      </c>
      <c r="E115" s="80">
        <f>Base_OAPDI!F109</f>
        <v/>
      </c>
      <c r="F115" s="80">
        <f>Base_OAPDI!G109</f>
        <v/>
      </c>
      <c r="G115" s="80">
        <f>Base_OAPDI!H109</f>
        <v/>
      </c>
      <c r="H115" s="80">
        <f>Base_OAPDI!I109</f>
        <v/>
      </c>
      <c r="I115" s="80">
        <f>Base_OAPDI!J109</f>
        <v/>
      </c>
      <c r="J115" s="80">
        <f>Base_OAPDI!K109</f>
        <v/>
      </c>
      <c r="K115" s="80">
        <f>Base_OAPDI!L109</f>
        <v/>
      </c>
      <c r="L115" s="80">
        <f>Base_OAPDI!N109</f>
        <v/>
      </c>
      <c r="M115" s="80">
        <f>Base_OAPDI!P109</f>
        <v/>
      </c>
      <c r="N115" s="80">
        <f>Base_OAPDI!Q109</f>
        <v/>
      </c>
      <c r="O115" s="80">
        <f>Base_OAPDI!R109</f>
        <v/>
      </c>
      <c r="P115" s="80">
        <f>Base_OAPDI!S109</f>
        <v/>
      </c>
      <c r="Q115" s="81" t="n"/>
      <c r="R115" s="81" t="n"/>
      <c r="S115" s="81" t="n"/>
      <c r="T115" s="82" t="n"/>
      <c r="U115" s="82" t="n"/>
      <c r="V115" s="81" t="n"/>
      <c r="W115" s="81" t="n"/>
      <c r="X115" s="81" t="n"/>
      <c r="Y115" s="81" t="n"/>
      <c r="Z115" s="81" t="n"/>
      <c r="AA115" s="81" t="n"/>
      <c r="AB115" s="80">
        <f>IF(AA115="","",INDEX(Catalogos!$Y$5:$Y$25,MATCH(AA115,L_IMP,0)))</f>
        <v/>
      </c>
      <c r="AC115" s="81" t="n"/>
      <c r="AD115" s="81" t="n"/>
      <c r="AE115" s="81" t="n"/>
      <c r="AF115" s="83">
        <f>IF(Q115="","Pendiente por formular",IF(OR(S115="",T115="",U115="",V115="",W115="",X115="",Z115="",AA115=""),"Incompleta: faltan campos obligatorios",IF(OR(NOT(ISNUMBER(T115)),NOT(ISNUMBER(U115))),"Fecha inválida",IF(U115&lt;T115,"La fecha de fin es anterior a la de inicio",IF(OR(YEAR(T115)&lt;&gt;2027,YEAR(U115)&lt;&gt;2027),"Fechas fuera de la vigencia 2027",IF(ISERROR(SEARCH("@itc.edu.co",V115)),"El responsable no tiene correo institucional",IF(ISERROR(SEARCH(Z115,INDEX(Catalogos!$Z$5:$Z$25,MATCH(AA115,L_IMP,0)))),"La dimensión no corresponde al indicador de impacto","OK")))))))</f>
        <v/>
      </c>
    </row>
    <row r="116" ht="105" customHeight="1" s="23">
      <c r="A116" s="80">
        <f>Base_OAPDI!A110</f>
        <v/>
      </c>
      <c r="B116" s="80">
        <f>Base_OAPDI!B110</f>
        <v/>
      </c>
      <c r="C116" s="80">
        <f>Base_OAPDI!D110</f>
        <v/>
      </c>
      <c r="D116" s="80">
        <f>Base_OAPDI!E110</f>
        <v/>
      </c>
      <c r="E116" s="80">
        <f>Base_OAPDI!F110</f>
        <v/>
      </c>
      <c r="F116" s="80">
        <f>Base_OAPDI!G110</f>
        <v/>
      </c>
      <c r="G116" s="80">
        <f>Base_OAPDI!H110</f>
        <v/>
      </c>
      <c r="H116" s="80">
        <f>Base_OAPDI!I110</f>
        <v/>
      </c>
      <c r="I116" s="80">
        <f>Base_OAPDI!J110</f>
        <v/>
      </c>
      <c r="J116" s="80">
        <f>Base_OAPDI!K110</f>
        <v/>
      </c>
      <c r="K116" s="80">
        <f>Base_OAPDI!L110</f>
        <v/>
      </c>
      <c r="L116" s="80">
        <f>Base_OAPDI!N110</f>
        <v/>
      </c>
      <c r="M116" s="80">
        <f>Base_OAPDI!P110</f>
        <v/>
      </c>
      <c r="N116" s="80">
        <f>Base_OAPDI!Q110</f>
        <v/>
      </c>
      <c r="O116" s="80">
        <f>Base_OAPDI!R110</f>
        <v/>
      </c>
      <c r="P116" s="80">
        <f>Base_OAPDI!S110</f>
        <v/>
      </c>
      <c r="Q116" s="81" t="n"/>
      <c r="R116" s="81" t="n"/>
      <c r="S116" s="81" t="n"/>
      <c r="T116" s="82" t="n"/>
      <c r="U116" s="82" t="n"/>
      <c r="V116" s="81" t="n"/>
      <c r="W116" s="81" t="n"/>
      <c r="X116" s="81" t="n"/>
      <c r="Y116" s="81" t="n"/>
      <c r="Z116" s="81" t="n"/>
      <c r="AA116" s="81" t="n"/>
      <c r="AB116" s="80">
        <f>IF(AA116="","",INDEX(Catalogos!$Y$5:$Y$25,MATCH(AA116,L_IMP,0)))</f>
        <v/>
      </c>
      <c r="AC116" s="81" t="n"/>
      <c r="AD116" s="81" t="n"/>
      <c r="AE116" s="81" t="n"/>
      <c r="AF116" s="83">
        <f>IF(Q116="","Pendiente por formular",IF(OR(S116="",T116="",U116="",V116="",W116="",X116="",Z116="",AA116=""),"Incompleta: faltan campos obligatorios",IF(OR(NOT(ISNUMBER(T116)),NOT(ISNUMBER(U116))),"Fecha inválida",IF(U116&lt;T116,"La fecha de fin es anterior a la de inicio",IF(OR(YEAR(T116)&lt;&gt;2027,YEAR(U116)&lt;&gt;2027),"Fechas fuera de la vigencia 2027",IF(ISERROR(SEARCH("@itc.edu.co",V116)),"El responsable no tiene correo institucional",IF(ISERROR(SEARCH(Z116,INDEX(Catalogos!$Z$5:$Z$25,MATCH(AA116,L_IMP,0)))),"La dimensión no corresponde al indicador de impacto","OK")))))))</f>
        <v/>
      </c>
    </row>
    <row r="117" ht="90" customHeight="1" s="23">
      <c r="A117" s="80">
        <f>Base_OAPDI!A111</f>
        <v/>
      </c>
      <c r="B117" s="80">
        <f>Base_OAPDI!B111</f>
        <v/>
      </c>
      <c r="C117" s="80">
        <f>Base_OAPDI!D111</f>
        <v/>
      </c>
      <c r="D117" s="80">
        <f>Base_OAPDI!E111</f>
        <v/>
      </c>
      <c r="E117" s="80">
        <f>Base_OAPDI!F111</f>
        <v/>
      </c>
      <c r="F117" s="80">
        <f>Base_OAPDI!G111</f>
        <v/>
      </c>
      <c r="G117" s="80">
        <f>Base_OAPDI!H111</f>
        <v/>
      </c>
      <c r="H117" s="80">
        <f>Base_OAPDI!I111</f>
        <v/>
      </c>
      <c r="I117" s="80">
        <f>Base_OAPDI!J111</f>
        <v/>
      </c>
      <c r="J117" s="80">
        <f>Base_OAPDI!K111</f>
        <v/>
      </c>
      <c r="K117" s="80">
        <f>Base_OAPDI!L111</f>
        <v/>
      </c>
      <c r="L117" s="80">
        <f>Base_OAPDI!N111</f>
        <v/>
      </c>
      <c r="M117" s="80">
        <f>Base_OAPDI!P111</f>
        <v/>
      </c>
      <c r="N117" s="80">
        <f>Base_OAPDI!Q111</f>
        <v/>
      </c>
      <c r="O117" s="80">
        <f>Base_OAPDI!R111</f>
        <v/>
      </c>
      <c r="P117" s="80">
        <f>Base_OAPDI!S111</f>
        <v/>
      </c>
      <c r="Q117" s="81" t="n"/>
      <c r="R117" s="81" t="n"/>
      <c r="S117" s="81" t="n"/>
      <c r="T117" s="82" t="n"/>
      <c r="U117" s="82" t="n"/>
      <c r="V117" s="81" t="n"/>
      <c r="W117" s="81" t="n"/>
      <c r="X117" s="81" t="n"/>
      <c r="Y117" s="81" t="n"/>
      <c r="Z117" s="81" t="n"/>
      <c r="AA117" s="81" t="n"/>
      <c r="AB117" s="80">
        <f>IF(AA117="","",INDEX(Catalogos!$Y$5:$Y$25,MATCH(AA117,L_IMP,0)))</f>
        <v/>
      </c>
      <c r="AC117" s="81" t="n"/>
      <c r="AD117" s="81" t="n"/>
      <c r="AE117" s="81" t="n"/>
      <c r="AF117" s="83">
        <f>IF(Q117="","Pendiente por formular",IF(OR(S117="",T117="",U117="",V117="",W117="",X117="",Z117="",AA117=""),"Incompleta: faltan campos obligatorios",IF(OR(NOT(ISNUMBER(T117)),NOT(ISNUMBER(U117))),"Fecha inválida",IF(U117&lt;T117,"La fecha de fin es anterior a la de inicio",IF(OR(YEAR(T117)&lt;&gt;2027,YEAR(U117)&lt;&gt;2027),"Fechas fuera de la vigencia 2027",IF(ISERROR(SEARCH("@itc.edu.co",V117)),"El responsable no tiene correo institucional",IF(ISERROR(SEARCH(Z117,INDEX(Catalogos!$Z$5:$Z$25,MATCH(AA117,L_IMP,0)))),"La dimensión no corresponde al indicador de impacto","OK")))))))</f>
        <v/>
      </c>
    </row>
    <row r="118" ht="90" customHeight="1" s="23">
      <c r="A118" s="80">
        <f>Base_OAPDI!A112</f>
        <v/>
      </c>
      <c r="B118" s="80">
        <f>Base_OAPDI!B112</f>
        <v/>
      </c>
      <c r="C118" s="80">
        <f>Base_OAPDI!D112</f>
        <v/>
      </c>
      <c r="D118" s="80">
        <f>Base_OAPDI!E112</f>
        <v/>
      </c>
      <c r="E118" s="80">
        <f>Base_OAPDI!F112</f>
        <v/>
      </c>
      <c r="F118" s="80">
        <f>Base_OAPDI!G112</f>
        <v/>
      </c>
      <c r="G118" s="80">
        <f>Base_OAPDI!H112</f>
        <v/>
      </c>
      <c r="H118" s="80">
        <f>Base_OAPDI!I112</f>
        <v/>
      </c>
      <c r="I118" s="80">
        <f>Base_OAPDI!J112</f>
        <v/>
      </c>
      <c r="J118" s="80">
        <f>Base_OAPDI!K112</f>
        <v/>
      </c>
      <c r="K118" s="80">
        <f>Base_OAPDI!L112</f>
        <v/>
      </c>
      <c r="L118" s="80">
        <f>Base_OAPDI!N112</f>
        <v/>
      </c>
      <c r="M118" s="80">
        <f>Base_OAPDI!P112</f>
        <v/>
      </c>
      <c r="N118" s="80">
        <f>Base_OAPDI!Q112</f>
        <v/>
      </c>
      <c r="O118" s="80">
        <f>Base_OAPDI!R112</f>
        <v/>
      </c>
      <c r="P118" s="80">
        <f>Base_OAPDI!S112</f>
        <v/>
      </c>
      <c r="Q118" s="81" t="n"/>
      <c r="R118" s="81" t="n"/>
      <c r="S118" s="81" t="n"/>
      <c r="T118" s="82" t="n"/>
      <c r="U118" s="82" t="n"/>
      <c r="V118" s="81" t="n"/>
      <c r="W118" s="81" t="n"/>
      <c r="X118" s="81" t="n"/>
      <c r="Y118" s="81" t="n"/>
      <c r="Z118" s="81" t="n"/>
      <c r="AA118" s="81" t="n"/>
      <c r="AB118" s="80">
        <f>IF(AA118="","",INDEX(Catalogos!$Y$5:$Y$25,MATCH(AA118,L_IMP,0)))</f>
        <v/>
      </c>
      <c r="AC118" s="81" t="n"/>
      <c r="AD118" s="81" t="n"/>
      <c r="AE118" s="81" t="n"/>
      <c r="AF118" s="83">
        <f>IF(Q118="","Pendiente por formular",IF(OR(S118="",T118="",U118="",V118="",W118="",X118="",Z118="",AA118=""),"Incompleta: faltan campos obligatorios",IF(OR(NOT(ISNUMBER(T118)),NOT(ISNUMBER(U118))),"Fecha inválida",IF(U118&lt;T118,"La fecha de fin es anterior a la de inicio",IF(OR(YEAR(T118)&lt;&gt;2027,YEAR(U118)&lt;&gt;2027),"Fechas fuera de la vigencia 2027",IF(ISERROR(SEARCH("@itc.edu.co",V118)),"El responsable no tiene correo institucional",IF(ISERROR(SEARCH(Z118,INDEX(Catalogos!$Z$5:$Z$25,MATCH(AA118,L_IMP,0)))),"La dimensión no corresponde al indicador de impacto","OK")))))))</f>
        <v/>
      </c>
    </row>
    <row r="119" ht="75" customHeight="1" s="23">
      <c r="A119" s="80">
        <f>Base_OAPDI!A113</f>
        <v/>
      </c>
      <c r="B119" s="80">
        <f>Base_OAPDI!B113</f>
        <v/>
      </c>
      <c r="C119" s="80">
        <f>Base_OAPDI!D113</f>
        <v/>
      </c>
      <c r="D119" s="80">
        <f>Base_OAPDI!E113</f>
        <v/>
      </c>
      <c r="E119" s="80">
        <f>Base_OAPDI!F113</f>
        <v/>
      </c>
      <c r="F119" s="80">
        <f>Base_OAPDI!G113</f>
        <v/>
      </c>
      <c r="G119" s="80">
        <f>Base_OAPDI!H113</f>
        <v/>
      </c>
      <c r="H119" s="80">
        <f>Base_OAPDI!I113</f>
        <v/>
      </c>
      <c r="I119" s="80">
        <f>Base_OAPDI!J113</f>
        <v/>
      </c>
      <c r="J119" s="80">
        <f>Base_OAPDI!K113</f>
        <v/>
      </c>
      <c r="K119" s="80">
        <f>Base_OAPDI!L113</f>
        <v/>
      </c>
      <c r="L119" s="80">
        <f>Base_OAPDI!N113</f>
        <v/>
      </c>
      <c r="M119" s="80">
        <f>Base_OAPDI!P113</f>
        <v/>
      </c>
      <c r="N119" s="80">
        <f>Base_OAPDI!Q113</f>
        <v/>
      </c>
      <c r="O119" s="80">
        <f>Base_OAPDI!R113</f>
        <v/>
      </c>
      <c r="P119" s="80">
        <f>Base_OAPDI!S113</f>
        <v/>
      </c>
      <c r="Q119" s="81" t="n"/>
      <c r="R119" s="81" t="n"/>
      <c r="S119" s="81" t="n"/>
      <c r="T119" s="82" t="n"/>
      <c r="U119" s="82" t="n"/>
      <c r="V119" s="81" t="n"/>
      <c r="W119" s="81" t="n"/>
      <c r="X119" s="81" t="n"/>
      <c r="Y119" s="81" t="n"/>
      <c r="Z119" s="81" t="n"/>
      <c r="AA119" s="81" t="n"/>
      <c r="AB119" s="80">
        <f>IF(AA119="","",INDEX(Catalogos!$Y$5:$Y$25,MATCH(AA119,L_IMP,0)))</f>
        <v/>
      </c>
      <c r="AC119" s="81" t="n"/>
      <c r="AD119" s="81" t="n"/>
      <c r="AE119" s="81" t="n"/>
      <c r="AF119" s="83">
        <f>IF(Q119="","Pendiente por formular",IF(OR(S119="",T119="",U119="",V119="",W119="",X119="",Z119="",AA119=""),"Incompleta: faltan campos obligatorios",IF(OR(NOT(ISNUMBER(T119)),NOT(ISNUMBER(U119))),"Fecha inválida",IF(U119&lt;T119,"La fecha de fin es anterior a la de inicio",IF(OR(YEAR(T119)&lt;&gt;2027,YEAR(U119)&lt;&gt;2027),"Fechas fuera de la vigencia 2027",IF(ISERROR(SEARCH("@itc.edu.co",V119)),"El responsable no tiene correo institucional",IF(ISERROR(SEARCH(Z119,INDEX(Catalogos!$Z$5:$Z$25,MATCH(AA119,L_IMP,0)))),"La dimensión no corresponde al indicador de impacto","OK")))))))</f>
        <v/>
      </c>
    </row>
    <row r="120" ht="90" customHeight="1" s="23">
      <c r="A120" s="80">
        <f>Base_OAPDI!A114</f>
        <v/>
      </c>
      <c r="B120" s="80">
        <f>Base_OAPDI!B114</f>
        <v/>
      </c>
      <c r="C120" s="80">
        <f>Base_OAPDI!D114</f>
        <v/>
      </c>
      <c r="D120" s="80">
        <f>Base_OAPDI!E114</f>
        <v/>
      </c>
      <c r="E120" s="80">
        <f>Base_OAPDI!F114</f>
        <v/>
      </c>
      <c r="F120" s="80">
        <f>Base_OAPDI!G114</f>
        <v/>
      </c>
      <c r="G120" s="80">
        <f>Base_OAPDI!H114</f>
        <v/>
      </c>
      <c r="H120" s="80">
        <f>Base_OAPDI!I114</f>
        <v/>
      </c>
      <c r="I120" s="80">
        <f>Base_OAPDI!J114</f>
        <v/>
      </c>
      <c r="J120" s="80">
        <f>Base_OAPDI!K114</f>
        <v/>
      </c>
      <c r="K120" s="80">
        <f>Base_OAPDI!L114</f>
        <v/>
      </c>
      <c r="L120" s="80">
        <f>Base_OAPDI!N114</f>
        <v/>
      </c>
      <c r="M120" s="80">
        <f>Base_OAPDI!P114</f>
        <v/>
      </c>
      <c r="N120" s="80">
        <f>Base_OAPDI!Q114</f>
        <v/>
      </c>
      <c r="O120" s="80">
        <f>Base_OAPDI!R114</f>
        <v/>
      </c>
      <c r="P120" s="80">
        <f>Base_OAPDI!S114</f>
        <v/>
      </c>
      <c r="Q120" s="81" t="n"/>
      <c r="R120" s="81" t="n"/>
      <c r="S120" s="81" t="n"/>
      <c r="T120" s="82" t="n"/>
      <c r="U120" s="82" t="n"/>
      <c r="V120" s="81" t="n"/>
      <c r="W120" s="81" t="n"/>
      <c r="X120" s="81" t="n"/>
      <c r="Y120" s="81" t="n"/>
      <c r="Z120" s="81" t="n"/>
      <c r="AA120" s="81" t="n"/>
      <c r="AB120" s="80">
        <f>IF(AA120="","",INDEX(Catalogos!$Y$5:$Y$25,MATCH(AA120,L_IMP,0)))</f>
        <v/>
      </c>
      <c r="AC120" s="81" t="n"/>
      <c r="AD120" s="81" t="n"/>
      <c r="AE120" s="81" t="n"/>
      <c r="AF120" s="83">
        <f>IF(Q120="","Pendiente por formular",IF(OR(S120="",T120="",U120="",V120="",W120="",X120="",Z120="",AA120=""),"Incompleta: faltan campos obligatorios",IF(OR(NOT(ISNUMBER(T120)),NOT(ISNUMBER(U120))),"Fecha inválida",IF(U120&lt;T120,"La fecha de fin es anterior a la de inicio",IF(OR(YEAR(T120)&lt;&gt;2027,YEAR(U120)&lt;&gt;2027),"Fechas fuera de la vigencia 2027",IF(ISERROR(SEARCH("@itc.edu.co",V120)),"El responsable no tiene correo institucional",IF(ISERROR(SEARCH(Z120,INDEX(Catalogos!$Z$5:$Z$25,MATCH(AA120,L_IMP,0)))),"La dimensión no corresponde al indicador de impacto","OK")))))))</f>
        <v/>
      </c>
    </row>
    <row r="121" ht="150" customHeight="1" s="23">
      <c r="A121" s="80">
        <f>Base_OAPDI!A115</f>
        <v/>
      </c>
      <c r="B121" s="80">
        <f>Base_OAPDI!B115</f>
        <v/>
      </c>
      <c r="C121" s="80">
        <f>Base_OAPDI!D115</f>
        <v/>
      </c>
      <c r="D121" s="80">
        <f>Base_OAPDI!E115</f>
        <v/>
      </c>
      <c r="E121" s="80">
        <f>Base_OAPDI!F115</f>
        <v/>
      </c>
      <c r="F121" s="80">
        <f>Base_OAPDI!G115</f>
        <v/>
      </c>
      <c r="G121" s="80">
        <f>Base_OAPDI!H115</f>
        <v/>
      </c>
      <c r="H121" s="80">
        <f>Base_OAPDI!I115</f>
        <v/>
      </c>
      <c r="I121" s="80">
        <f>Base_OAPDI!J115</f>
        <v/>
      </c>
      <c r="J121" s="80">
        <f>Base_OAPDI!K115</f>
        <v/>
      </c>
      <c r="K121" s="80">
        <f>Base_OAPDI!L115</f>
        <v/>
      </c>
      <c r="L121" s="80">
        <f>Base_OAPDI!N115</f>
        <v/>
      </c>
      <c r="M121" s="80">
        <f>Base_OAPDI!P115</f>
        <v/>
      </c>
      <c r="N121" s="80">
        <f>Base_OAPDI!Q115</f>
        <v/>
      </c>
      <c r="O121" s="80">
        <f>Base_OAPDI!R115</f>
        <v/>
      </c>
      <c r="P121" s="80">
        <f>Base_OAPDI!S115</f>
        <v/>
      </c>
      <c r="Q121" s="81" t="n"/>
      <c r="R121" s="81" t="n"/>
      <c r="S121" s="81" t="n"/>
      <c r="T121" s="82" t="n"/>
      <c r="U121" s="82" t="n"/>
      <c r="V121" s="81" t="n"/>
      <c r="W121" s="81" t="n"/>
      <c r="X121" s="81" t="n"/>
      <c r="Y121" s="81" t="n"/>
      <c r="Z121" s="81" t="n"/>
      <c r="AA121" s="81" t="n"/>
      <c r="AB121" s="80">
        <f>IF(AA121="","",INDEX(Catalogos!$Y$5:$Y$25,MATCH(AA121,L_IMP,0)))</f>
        <v/>
      </c>
      <c r="AC121" s="81" t="n"/>
      <c r="AD121" s="81" t="n"/>
      <c r="AE121" s="81" t="n"/>
      <c r="AF121" s="83">
        <f>IF(Q121="","Pendiente por formular",IF(OR(S121="",T121="",U121="",V121="",W121="",X121="",Z121="",AA121=""),"Incompleta: faltan campos obligatorios",IF(OR(NOT(ISNUMBER(T121)),NOT(ISNUMBER(U121))),"Fecha inválida",IF(U121&lt;T121,"La fecha de fin es anterior a la de inicio",IF(OR(YEAR(T121)&lt;&gt;2027,YEAR(U121)&lt;&gt;2027),"Fechas fuera de la vigencia 2027",IF(ISERROR(SEARCH("@itc.edu.co",V121)),"El responsable no tiene correo institucional",IF(ISERROR(SEARCH(Z121,INDEX(Catalogos!$Z$5:$Z$25,MATCH(AA121,L_IMP,0)))),"La dimensión no corresponde al indicador de impacto","OK")))))))</f>
        <v/>
      </c>
    </row>
    <row r="122" ht="105" customHeight="1" s="23">
      <c r="A122" s="80">
        <f>Base_OAPDI!A116</f>
        <v/>
      </c>
      <c r="B122" s="80">
        <f>Base_OAPDI!B116</f>
        <v/>
      </c>
      <c r="C122" s="80">
        <f>Base_OAPDI!D116</f>
        <v/>
      </c>
      <c r="D122" s="80">
        <f>Base_OAPDI!E116</f>
        <v/>
      </c>
      <c r="E122" s="80">
        <f>Base_OAPDI!F116</f>
        <v/>
      </c>
      <c r="F122" s="80">
        <f>Base_OAPDI!G116</f>
        <v/>
      </c>
      <c r="G122" s="80">
        <f>Base_OAPDI!H116</f>
        <v/>
      </c>
      <c r="H122" s="80">
        <f>Base_OAPDI!I116</f>
        <v/>
      </c>
      <c r="I122" s="80">
        <f>Base_OAPDI!J116</f>
        <v/>
      </c>
      <c r="J122" s="80">
        <f>Base_OAPDI!K116</f>
        <v/>
      </c>
      <c r="K122" s="80">
        <f>Base_OAPDI!L116</f>
        <v/>
      </c>
      <c r="L122" s="80">
        <f>Base_OAPDI!N116</f>
        <v/>
      </c>
      <c r="M122" s="80">
        <f>Base_OAPDI!P116</f>
        <v/>
      </c>
      <c r="N122" s="80">
        <f>Base_OAPDI!Q116</f>
        <v/>
      </c>
      <c r="O122" s="80">
        <f>Base_OAPDI!R116</f>
        <v/>
      </c>
      <c r="P122" s="80">
        <f>Base_OAPDI!S116</f>
        <v/>
      </c>
      <c r="Q122" s="81" t="n"/>
      <c r="R122" s="81" t="n"/>
      <c r="S122" s="81" t="n"/>
      <c r="T122" s="82" t="n"/>
      <c r="U122" s="82" t="n"/>
      <c r="V122" s="81" t="n"/>
      <c r="W122" s="81" t="n"/>
      <c r="X122" s="81" t="n"/>
      <c r="Y122" s="81" t="n"/>
      <c r="Z122" s="81" t="n"/>
      <c r="AA122" s="81" t="n"/>
      <c r="AB122" s="80">
        <f>IF(AA122="","",INDEX(Catalogos!$Y$5:$Y$25,MATCH(AA122,L_IMP,0)))</f>
        <v/>
      </c>
      <c r="AC122" s="81" t="n"/>
      <c r="AD122" s="81" t="n"/>
      <c r="AE122" s="81" t="n"/>
      <c r="AF122" s="83">
        <f>IF(Q122="","Pendiente por formular",IF(OR(S122="",T122="",U122="",V122="",W122="",X122="",Z122="",AA122=""),"Incompleta: faltan campos obligatorios",IF(OR(NOT(ISNUMBER(T122)),NOT(ISNUMBER(U122))),"Fecha inválida",IF(U122&lt;T122,"La fecha de fin es anterior a la de inicio",IF(OR(YEAR(T122)&lt;&gt;2027,YEAR(U122)&lt;&gt;2027),"Fechas fuera de la vigencia 2027",IF(ISERROR(SEARCH("@itc.edu.co",V122)),"El responsable no tiene correo institucional",IF(ISERROR(SEARCH(Z122,INDEX(Catalogos!$Z$5:$Z$25,MATCH(AA122,L_IMP,0)))),"La dimensión no corresponde al indicador de impacto","OK")))))))</f>
        <v/>
      </c>
    </row>
    <row r="123" ht="105" customHeight="1" s="23">
      <c r="A123" s="80">
        <f>Base_OAPDI!A117</f>
        <v/>
      </c>
      <c r="B123" s="80">
        <f>Base_OAPDI!B117</f>
        <v/>
      </c>
      <c r="C123" s="80">
        <f>Base_OAPDI!D117</f>
        <v/>
      </c>
      <c r="D123" s="80">
        <f>Base_OAPDI!E117</f>
        <v/>
      </c>
      <c r="E123" s="80">
        <f>Base_OAPDI!F117</f>
        <v/>
      </c>
      <c r="F123" s="80">
        <f>Base_OAPDI!G117</f>
        <v/>
      </c>
      <c r="G123" s="80">
        <f>Base_OAPDI!H117</f>
        <v/>
      </c>
      <c r="H123" s="80">
        <f>Base_OAPDI!I117</f>
        <v/>
      </c>
      <c r="I123" s="80">
        <f>Base_OAPDI!J117</f>
        <v/>
      </c>
      <c r="J123" s="80">
        <f>Base_OAPDI!K117</f>
        <v/>
      </c>
      <c r="K123" s="80">
        <f>Base_OAPDI!L117</f>
        <v/>
      </c>
      <c r="L123" s="80">
        <f>Base_OAPDI!N117</f>
        <v/>
      </c>
      <c r="M123" s="80">
        <f>Base_OAPDI!P117</f>
        <v/>
      </c>
      <c r="N123" s="80">
        <f>Base_OAPDI!Q117</f>
        <v/>
      </c>
      <c r="O123" s="80">
        <f>Base_OAPDI!R117</f>
        <v/>
      </c>
      <c r="P123" s="80">
        <f>Base_OAPDI!S117</f>
        <v/>
      </c>
      <c r="Q123" s="81" t="n"/>
      <c r="R123" s="81" t="n"/>
      <c r="S123" s="81" t="n"/>
      <c r="T123" s="82" t="n"/>
      <c r="U123" s="82" t="n"/>
      <c r="V123" s="81" t="n"/>
      <c r="W123" s="81" t="n"/>
      <c r="X123" s="81" t="n"/>
      <c r="Y123" s="81" t="n"/>
      <c r="Z123" s="81" t="n"/>
      <c r="AA123" s="81" t="n"/>
      <c r="AB123" s="80">
        <f>IF(AA123="","",INDEX(Catalogos!$Y$5:$Y$25,MATCH(AA123,L_IMP,0)))</f>
        <v/>
      </c>
      <c r="AC123" s="81" t="n"/>
      <c r="AD123" s="81" t="n"/>
      <c r="AE123" s="81" t="n"/>
      <c r="AF123" s="83">
        <f>IF(Q123="","Pendiente por formular",IF(OR(S123="",T123="",U123="",V123="",W123="",X123="",Z123="",AA123=""),"Incompleta: faltan campos obligatorios",IF(OR(NOT(ISNUMBER(T123)),NOT(ISNUMBER(U123))),"Fecha inválida",IF(U123&lt;T123,"La fecha de fin es anterior a la de inicio",IF(OR(YEAR(T123)&lt;&gt;2027,YEAR(U123)&lt;&gt;2027),"Fechas fuera de la vigencia 2027",IF(ISERROR(SEARCH("@itc.edu.co",V123)),"El responsable no tiene correo institucional",IF(ISERROR(SEARCH(Z123,INDEX(Catalogos!$Z$5:$Z$25,MATCH(AA123,L_IMP,0)))),"La dimensión no corresponde al indicador de impacto","OK")))))))</f>
        <v/>
      </c>
    </row>
    <row r="124" ht="75" customHeight="1" s="23">
      <c r="A124" s="80">
        <f>Base_OAPDI!A118</f>
        <v/>
      </c>
      <c r="B124" s="80">
        <f>Base_OAPDI!B118</f>
        <v/>
      </c>
      <c r="C124" s="80">
        <f>Base_OAPDI!D118</f>
        <v/>
      </c>
      <c r="D124" s="80">
        <f>Base_OAPDI!E118</f>
        <v/>
      </c>
      <c r="E124" s="80">
        <f>Base_OAPDI!F118</f>
        <v/>
      </c>
      <c r="F124" s="80">
        <f>Base_OAPDI!G118</f>
        <v/>
      </c>
      <c r="G124" s="80">
        <f>Base_OAPDI!H118</f>
        <v/>
      </c>
      <c r="H124" s="80">
        <f>Base_OAPDI!I118</f>
        <v/>
      </c>
      <c r="I124" s="80">
        <f>Base_OAPDI!J118</f>
        <v/>
      </c>
      <c r="J124" s="80">
        <f>Base_OAPDI!K118</f>
        <v/>
      </c>
      <c r="K124" s="80">
        <f>Base_OAPDI!L118</f>
        <v/>
      </c>
      <c r="L124" s="80">
        <f>Base_OAPDI!N118</f>
        <v/>
      </c>
      <c r="M124" s="80">
        <f>Base_OAPDI!P118</f>
        <v/>
      </c>
      <c r="N124" s="80">
        <f>Base_OAPDI!Q118</f>
        <v/>
      </c>
      <c r="O124" s="80">
        <f>Base_OAPDI!R118</f>
        <v/>
      </c>
      <c r="P124" s="80">
        <f>Base_OAPDI!S118</f>
        <v/>
      </c>
      <c r="Q124" s="81" t="n"/>
      <c r="R124" s="81" t="n"/>
      <c r="S124" s="81" t="n"/>
      <c r="T124" s="82" t="n"/>
      <c r="U124" s="82" t="n"/>
      <c r="V124" s="81" t="n"/>
      <c r="W124" s="81" t="n"/>
      <c r="X124" s="81" t="n"/>
      <c r="Y124" s="81" t="n"/>
      <c r="Z124" s="81" t="n"/>
      <c r="AA124" s="81" t="n"/>
      <c r="AB124" s="80">
        <f>IF(AA124="","",INDEX(Catalogos!$Y$5:$Y$25,MATCH(AA124,L_IMP,0)))</f>
        <v/>
      </c>
      <c r="AC124" s="81" t="n"/>
      <c r="AD124" s="81" t="n"/>
      <c r="AE124" s="81" t="n"/>
      <c r="AF124" s="83">
        <f>IF(Q124="","Pendiente por formular",IF(OR(S124="",T124="",U124="",V124="",W124="",X124="",Z124="",AA124=""),"Incompleta: faltan campos obligatorios",IF(OR(NOT(ISNUMBER(T124)),NOT(ISNUMBER(U124))),"Fecha inválida",IF(U124&lt;T124,"La fecha de fin es anterior a la de inicio",IF(OR(YEAR(T124)&lt;&gt;2027,YEAR(U124)&lt;&gt;2027),"Fechas fuera de la vigencia 2027",IF(ISERROR(SEARCH("@itc.edu.co",V124)),"El responsable no tiene correo institucional",IF(ISERROR(SEARCH(Z124,INDEX(Catalogos!$Z$5:$Z$25,MATCH(AA124,L_IMP,0)))),"La dimensión no corresponde al indicador de impacto","OK")))))))</f>
        <v/>
      </c>
    </row>
    <row r="125" ht="165" customHeight="1" s="23">
      <c r="A125" s="80">
        <f>Base_OAPDI!A119</f>
        <v/>
      </c>
      <c r="B125" s="80">
        <f>Base_OAPDI!B119</f>
        <v/>
      </c>
      <c r="C125" s="80">
        <f>Base_OAPDI!D119</f>
        <v/>
      </c>
      <c r="D125" s="80">
        <f>Base_OAPDI!E119</f>
        <v/>
      </c>
      <c r="E125" s="80">
        <f>Base_OAPDI!F119</f>
        <v/>
      </c>
      <c r="F125" s="80">
        <f>Base_OAPDI!G119</f>
        <v/>
      </c>
      <c r="G125" s="80">
        <f>Base_OAPDI!H119</f>
        <v/>
      </c>
      <c r="H125" s="80">
        <f>Base_OAPDI!I119</f>
        <v/>
      </c>
      <c r="I125" s="80">
        <f>Base_OAPDI!J119</f>
        <v/>
      </c>
      <c r="J125" s="80">
        <f>Base_OAPDI!K119</f>
        <v/>
      </c>
      <c r="K125" s="80">
        <f>Base_OAPDI!L119</f>
        <v/>
      </c>
      <c r="L125" s="80">
        <f>Base_OAPDI!N119</f>
        <v/>
      </c>
      <c r="M125" s="80">
        <f>Base_OAPDI!P119</f>
        <v/>
      </c>
      <c r="N125" s="80">
        <f>Base_OAPDI!Q119</f>
        <v/>
      </c>
      <c r="O125" s="80">
        <f>Base_OAPDI!R119</f>
        <v/>
      </c>
      <c r="P125" s="80">
        <f>Base_OAPDI!S119</f>
        <v/>
      </c>
      <c r="Q125" s="81" t="n"/>
      <c r="R125" s="81" t="n"/>
      <c r="S125" s="81" t="n"/>
      <c r="T125" s="82" t="n"/>
      <c r="U125" s="82" t="n"/>
      <c r="V125" s="81" t="n"/>
      <c r="W125" s="81" t="n"/>
      <c r="X125" s="81" t="n"/>
      <c r="Y125" s="81" t="n"/>
      <c r="Z125" s="81" t="n"/>
      <c r="AA125" s="81" t="n"/>
      <c r="AB125" s="80">
        <f>IF(AA125="","",INDEX(Catalogos!$Y$5:$Y$25,MATCH(AA125,L_IMP,0)))</f>
        <v/>
      </c>
      <c r="AC125" s="81" t="n"/>
      <c r="AD125" s="81" t="n"/>
      <c r="AE125" s="81" t="n"/>
      <c r="AF125" s="83">
        <f>IF(Q125="","Pendiente por formular",IF(OR(S125="",T125="",U125="",V125="",W125="",X125="",Z125="",AA125=""),"Incompleta: faltan campos obligatorios",IF(OR(NOT(ISNUMBER(T125)),NOT(ISNUMBER(U125))),"Fecha inválida",IF(U125&lt;T125,"La fecha de fin es anterior a la de inicio",IF(OR(YEAR(T125)&lt;&gt;2027,YEAR(U125)&lt;&gt;2027),"Fechas fuera de la vigencia 2027",IF(ISERROR(SEARCH("@itc.edu.co",V125)),"El responsable no tiene correo institucional",IF(ISERROR(SEARCH(Z125,INDEX(Catalogos!$Z$5:$Z$25,MATCH(AA125,L_IMP,0)))),"La dimensión no corresponde al indicador de impacto","OK")))))))</f>
        <v/>
      </c>
    </row>
    <row r="126" ht="260" customHeight="1" s="23">
      <c r="A126" s="80">
        <f>Base_OAPDI!A120</f>
        <v/>
      </c>
      <c r="B126" s="80">
        <f>Base_OAPDI!B120</f>
        <v/>
      </c>
      <c r="C126" s="80">
        <f>Base_OAPDI!D120</f>
        <v/>
      </c>
      <c r="D126" s="80">
        <f>Base_OAPDI!E120</f>
        <v/>
      </c>
      <c r="E126" s="80">
        <f>Base_OAPDI!F120</f>
        <v/>
      </c>
      <c r="F126" s="80">
        <f>Base_OAPDI!G120</f>
        <v/>
      </c>
      <c r="G126" s="80">
        <f>Base_OAPDI!H120</f>
        <v/>
      </c>
      <c r="H126" s="80">
        <f>Base_OAPDI!I120</f>
        <v/>
      </c>
      <c r="I126" s="80">
        <f>Base_OAPDI!J120</f>
        <v/>
      </c>
      <c r="J126" s="80">
        <f>Base_OAPDI!K120</f>
        <v/>
      </c>
      <c r="K126" s="80">
        <f>Base_OAPDI!L120</f>
        <v/>
      </c>
      <c r="L126" s="80">
        <f>Base_OAPDI!N120</f>
        <v/>
      </c>
      <c r="M126" s="80">
        <f>Base_OAPDI!P120</f>
        <v/>
      </c>
      <c r="N126" s="80">
        <f>Base_OAPDI!Q120</f>
        <v/>
      </c>
      <c r="O126" s="80">
        <f>Base_OAPDI!R120</f>
        <v/>
      </c>
      <c r="P126" s="80">
        <f>Base_OAPDI!S120</f>
        <v/>
      </c>
      <c r="Q126" s="81" t="n"/>
      <c r="R126" s="81" t="n"/>
      <c r="S126" s="81" t="n"/>
      <c r="T126" s="82" t="n"/>
      <c r="U126" s="82" t="n"/>
      <c r="V126" s="81" t="n"/>
      <c r="W126" s="81" t="n"/>
      <c r="X126" s="81" t="n"/>
      <c r="Y126" s="81" t="n"/>
      <c r="Z126" s="81" t="n"/>
      <c r="AA126" s="81" t="n"/>
      <c r="AB126" s="80">
        <f>IF(AA126="","",INDEX(Catalogos!$Y$5:$Y$25,MATCH(AA126,L_IMP,0)))</f>
        <v/>
      </c>
      <c r="AC126" s="81" t="n"/>
      <c r="AD126" s="81" t="n"/>
      <c r="AE126" s="81" t="n"/>
      <c r="AF126" s="83">
        <f>IF(Q126="","Pendiente por formular",IF(OR(S126="",T126="",U126="",V126="",W126="",X126="",Z126="",AA126=""),"Incompleta: faltan campos obligatorios",IF(OR(NOT(ISNUMBER(T126)),NOT(ISNUMBER(U126))),"Fecha inválida",IF(U126&lt;T126,"La fecha de fin es anterior a la de inicio",IF(OR(YEAR(T126)&lt;&gt;2027,YEAR(U126)&lt;&gt;2027),"Fechas fuera de la vigencia 2027",IF(ISERROR(SEARCH("@itc.edu.co",V126)),"El responsable no tiene correo institucional",IF(ISERROR(SEARCH(Z126,INDEX(Catalogos!$Z$5:$Z$25,MATCH(AA126,L_IMP,0)))),"La dimensión no corresponde al indicador de impacto","OK")))))))</f>
        <v/>
      </c>
    </row>
    <row r="127" ht="105" customHeight="1" s="23">
      <c r="A127" s="80">
        <f>Base_OAPDI!A121</f>
        <v/>
      </c>
      <c r="B127" s="80">
        <f>Base_OAPDI!B121</f>
        <v/>
      </c>
      <c r="C127" s="80">
        <f>Base_OAPDI!D121</f>
        <v/>
      </c>
      <c r="D127" s="80">
        <f>Base_OAPDI!E121</f>
        <v/>
      </c>
      <c r="E127" s="80">
        <f>Base_OAPDI!F121</f>
        <v/>
      </c>
      <c r="F127" s="80">
        <f>Base_OAPDI!G121</f>
        <v/>
      </c>
      <c r="G127" s="80">
        <f>Base_OAPDI!H121</f>
        <v/>
      </c>
      <c r="H127" s="80">
        <f>Base_OAPDI!I121</f>
        <v/>
      </c>
      <c r="I127" s="80">
        <f>Base_OAPDI!J121</f>
        <v/>
      </c>
      <c r="J127" s="80">
        <f>Base_OAPDI!K121</f>
        <v/>
      </c>
      <c r="K127" s="80">
        <f>Base_OAPDI!L121</f>
        <v/>
      </c>
      <c r="L127" s="80">
        <f>Base_OAPDI!N121</f>
        <v/>
      </c>
      <c r="M127" s="80">
        <f>Base_OAPDI!P121</f>
        <v/>
      </c>
      <c r="N127" s="80">
        <f>Base_OAPDI!Q121</f>
        <v/>
      </c>
      <c r="O127" s="80">
        <f>Base_OAPDI!R121</f>
        <v/>
      </c>
      <c r="P127" s="80">
        <f>Base_OAPDI!S121</f>
        <v/>
      </c>
      <c r="Q127" s="81" t="n"/>
      <c r="R127" s="81" t="n"/>
      <c r="S127" s="81" t="n"/>
      <c r="T127" s="82" t="n"/>
      <c r="U127" s="82" t="n"/>
      <c r="V127" s="81" t="n"/>
      <c r="W127" s="81" t="n"/>
      <c r="X127" s="81" t="n"/>
      <c r="Y127" s="81" t="n"/>
      <c r="Z127" s="81" t="n"/>
      <c r="AA127" s="81" t="n"/>
      <c r="AB127" s="80">
        <f>IF(AA127="","",INDEX(Catalogos!$Y$5:$Y$25,MATCH(AA127,L_IMP,0)))</f>
        <v/>
      </c>
      <c r="AC127" s="81" t="n"/>
      <c r="AD127" s="81" t="n"/>
      <c r="AE127" s="81" t="n"/>
      <c r="AF127" s="83">
        <f>IF(Q127="","Pendiente por formular",IF(OR(S127="",T127="",U127="",V127="",W127="",X127="",Z127="",AA127=""),"Incompleta: faltan campos obligatorios",IF(OR(NOT(ISNUMBER(T127)),NOT(ISNUMBER(U127))),"Fecha inválida",IF(U127&lt;T127,"La fecha de fin es anterior a la de inicio",IF(OR(YEAR(T127)&lt;&gt;2027,YEAR(U127)&lt;&gt;2027),"Fechas fuera de la vigencia 2027",IF(ISERROR(SEARCH("@itc.edu.co",V127)),"El responsable no tiene correo institucional",IF(ISERROR(SEARCH(Z127,INDEX(Catalogos!$Z$5:$Z$25,MATCH(AA127,L_IMP,0)))),"La dimensión no corresponde al indicador de impacto","OK")))))))</f>
        <v/>
      </c>
    </row>
    <row r="128" ht="105" customHeight="1" s="23">
      <c r="A128" s="80">
        <f>Base_OAPDI!A122</f>
        <v/>
      </c>
      <c r="B128" s="80">
        <f>Base_OAPDI!B122</f>
        <v/>
      </c>
      <c r="C128" s="80">
        <f>Base_OAPDI!D122</f>
        <v/>
      </c>
      <c r="D128" s="80">
        <f>Base_OAPDI!E122</f>
        <v/>
      </c>
      <c r="E128" s="80">
        <f>Base_OAPDI!F122</f>
        <v/>
      </c>
      <c r="F128" s="80">
        <f>Base_OAPDI!G122</f>
        <v/>
      </c>
      <c r="G128" s="80">
        <f>Base_OAPDI!H122</f>
        <v/>
      </c>
      <c r="H128" s="80">
        <f>Base_OAPDI!I122</f>
        <v/>
      </c>
      <c r="I128" s="80">
        <f>Base_OAPDI!J122</f>
        <v/>
      </c>
      <c r="J128" s="80">
        <f>Base_OAPDI!K122</f>
        <v/>
      </c>
      <c r="K128" s="80">
        <f>Base_OAPDI!L122</f>
        <v/>
      </c>
      <c r="L128" s="80">
        <f>Base_OAPDI!N122</f>
        <v/>
      </c>
      <c r="M128" s="80">
        <f>Base_OAPDI!P122</f>
        <v/>
      </c>
      <c r="N128" s="80">
        <f>Base_OAPDI!Q122</f>
        <v/>
      </c>
      <c r="O128" s="80">
        <f>Base_OAPDI!R122</f>
        <v/>
      </c>
      <c r="P128" s="80">
        <f>Base_OAPDI!S122</f>
        <v/>
      </c>
      <c r="Q128" s="81" t="n"/>
      <c r="R128" s="81" t="n"/>
      <c r="S128" s="81" t="n"/>
      <c r="T128" s="82" t="n"/>
      <c r="U128" s="82" t="n"/>
      <c r="V128" s="81" t="n"/>
      <c r="W128" s="81" t="n"/>
      <c r="X128" s="81" t="n"/>
      <c r="Y128" s="81" t="n"/>
      <c r="Z128" s="81" t="n"/>
      <c r="AA128" s="81" t="n"/>
      <c r="AB128" s="80">
        <f>IF(AA128="","",INDEX(Catalogos!$Y$5:$Y$25,MATCH(AA128,L_IMP,0)))</f>
        <v/>
      </c>
      <c r="AC128" s="81" t="n"/>
      <c r="AD128" s="81" t="n"/>
      <c r="AE128" s="81" t="n"/>
      <c r="AF128" s="83">
        <f>IF(Q128="","Pendiente por formular",IF(OR(S128="",T128="",U128="",V128="",W128="",X128="",Z128="",AA128=""),"Incompleta: faltan campos obligatorios",IF(OR(NOT(ISNUMBER(T128)),NOT(ISNUMBER(U128))),"Fecha inválida",IF(U128&lt;T128,"La fecha de fin es anterior a la de inicio",IF(OR(YEAR(T128)&lt;&gt;2027,YEAR(U128)&lt;&gt;2027),"Fechas fuera de la vigencia 2027",IF(ISERROR(SEARCH("@itc.edu.co",V128)),"El responsable no tiene correo institucional",IF(ISERROR(SEARCH(Z128,INDEX(Catalogos!$Z$5:$Z$25,MATCH(AA128,L_IMP,0)))),"La dimensión no corresponde al indicador de impacto","OK")))))))</f>
        <v/>
      </c>
    </row>
    <row r="129" ht="105" customHeight="1" s="23">
      <c r="A129" s="80">
        <f>Base_OAPDI!A123</f>
        <v/>
      </c>
      <c r="B129" s="80">
        <f>Base_OAPDI!B123</f>
        <v/>
      </c>
      <c r="C129" s="80">
        <f>Base_OAPDI!D123</f>
        <v/>
      </c>
      <c r="D129" s="80">
        <f>Base_OAPDI!E123</f>
        <v/>
      </c>
      <c r="E129" s="80">
        <f>Base_OAPDI!F123</f>
        <v/>
      </c>
      <c r="F129" s="80">
        <f>Base_OAPDI!G123</f>
        <v/>
      </c>
      <c r="G129" s="80">
        <f>Base_OAPDI!H123</f>
        <v/>
      </c>
      <c r="H129" s="80">
        <f>Base_OAPDI!I123</f>
        <v/>
      </c>
      <c r="I129" s="80">
        <f>Base_OAPDI!J123</f>
        <v/>
      </c>
      <c r="J129" s="80">
        <f>Base_OAPDI!K123</f>
        <v/>
      </c>
      <c r="K129" s="80">
        <f>Base_OAPDI!L123</f>
        <v/>
      </c>
      <c r="L129" s="80">
        <f>Base_OAPDI!N123</f>
        <v/>
      </c>
      <c r="M129" s="80">
        <f>Base_OAPDI!P123</f>
        <v/>
      </c>
      <c r="N129" s="80">
        <f>Base_OAPDI!Q123</f>
        <v/>
      </c>
      <c r="O129" s="80">
        <f>Base_OAPDI!R123</f>
        <v/>
      </c>
      <c r="P129" s="80">
        <f>Base_OAPDI!S123</f>
        <v/>
      </c>
      <c r="Q129" s="81" t="n"/>
      <c r="R129" s="81" t="n"/>
      <c r="S129" s="81" t="n"/>
      <c r="T129" s="82" t="n"/>
      <c r="U129" s="82" t="n"/>
      <c r="V129" s="81" t="n"/>
      <c r="W129" s="81" t="n"/>
      <c r="X129" s="81" t="n"/>
      <c r="Y129" s="81" t="n"/>
      <c r="Z129" s="81" t="n"/>
      <c r="AA129" s="81" t="n"/>
      <c r="AB129" s="80">
        <f>IF(AA129="","",INDEX(Catalogos!$Y$5:$Y$25,MATCH(AA129,L_IMP,0)))</f>
        <v/>
      </c>
      <c r="AC129" s="81" t="n"/>
      <c r="AD129" s="81" t="n"/>
      <c r="AE129" s="81" t="n"/>
      <c r="AF129" s="83">
        <f>IF(Q129="","Pendiente por formular",IF(OR(S129="",T129="",U129="",V129="",W129="",X129="",Z129="",AA129=""),"Incompleta: faltan campos obligatorios",IF(OR(NOT(ISNUMBER(T129)),NOT(ISNUMBER(U129))),"Fecha inválida",IF(U129&lt;T129,"La fecha de fin es anterior a la de inicio",IF(OR(YEAR(T129)&lt;&gt;2027,YEAR(U129)&lt;&gt;2027),"Fechas fuera de la vigencia 2027",IF(ISERROR(SEARCH("@itc.edu.co",V129)),"El responsable no tiene correo institucional",IF(ISERROR(SEARCH(Z129,INDEX(Catalogos!$Z$5:$Z$25,MATCH(AA129,L_IMP,0)))),"La dimensión no corresponde al indicador de impacto","OK")))))))</f>
        <v/>
      </c>
    </row>
    <row r="130" ht="260" customHeight="1" s="23">
      <c r="A130" s="80">
        <f>Base_OAPDI!A124</f>
        <v/>
      </c>
      <c r="B130" s="80">
        <f>Base_OAPDI!B124</f>
        <v/>
      </c>
      <c r="C130" s="80">
        <f>Base_OAPDI!D124</f>
        <v/>
      </c>
      <c r="D130" s="80">
        <f>Base_OAPDI!E124</f>
        <v/>
      </c>
      <c r="E130" s="80">
        <f>Base_OAPDI!F124</f>
        <v/>
      </c>
      <c r="F130" s="80">
        <f>Base_OAPDI!G124</f>
        <v/>
      </c>
      <c r="G130" s="80">
        <f>Base_OAPDI!H124</f>
        <v/>
      </c>
      <c r="H130" s="80">
        <f>Base_OAPDI!I124</f>
        <v/>
      </c>
      <c r="I130" s="80">
        <f>Base_OAPDI!J124</f>
        <v/>
      </c>
      <c r="J130" s="80">
        <f>Base_OAPDI!K124</f>
        <v/>
      </c>
      <c r="K130" s="80">
        <f>Base_OAPDI!L124</f>
        <v/>
      </c>
      <c r="L130" s="80">
        <f>Base_OAPDI!N124</f>
        <v/>
      </c>
      <c r="M130" s="80">
        <f>Base_OAPDI!P124</f>
        <v/>
      </c>
      <c r="N130" s="80">
        <f>Base_OAPDI!Q124</f>
        <v/>
      </c>
      <c r="O130" s="80">
        <f>Base_OAPDI!R124</f>
        <v/>
      </c>
      <c r="P130" s="80">
        <f>Base_OAPDI!S124</f>
        <v/>
      </c>
      <c r="Q130" s="81" t="n"/>
      <c r="R130" s="81" t="n"/>
      <c r="S130" s="81" t="n"/>
      <c r="T130" s="82" t="n"/>
      <c r="U130" s="82" t="n"/>
      <c r="V130" s="81" t="n"/>
      <c r="W130" s="81" t="n"/>
      <c r="X130" s="81" t="n"/>
      <c r="Y130" s="81" t="n"/>
      <c r="Z130" s="81" t="n"/>
      <c r="AA130" s="81" t="n"/>
      <c r="AB130" s="80">
        <f>IF(AA130="","",INDEX(Catalogos!$Y$5:$Y$25,MATCH(AA130,L_IMP,0)))</f>
        <v/>
      </c>
      <c r="AC130" s="81" t="n"/>
      <c r="AD130" s="81" t="n"/>
      <c r="AE130" s="81" t="n"/>
      <c r="AF130" s="83">
        <f>IF(Q130="","Pendiente por formular",IF(OR(S130="",T130="",U130="",V130="",W130="",X130="",Z130="",AA130=""),"Incompleta: faltan campos obligatorios",IF(OR(NOT(ISNUMBER(T130)),NOT(ISNUMBER(U130))),"Fecha inválida",IF(U130&lt;T130,"La fecha de fin es anterior a la de inicio",IF(OR(YEAR(T130)&lt;&gt;2027,YEAR(U130)&lt;&gt;2027),"Fechas fuera de la vigencia 2027",IF(ISERROR(SEARCH("@itc.edu.co",V130)),"El responsable no tiene correo institucional",IF(ISERROR(SEARCH(Z130,INDEX(Catalogos!$Z$5:$Z$25,MATCH(AA130,L_IMP,0)))),"La dimensión no corresponde al indicador de impacto","OK")))))))</f>
        <v/>
      </c>
    </row>
    <row r="131" ht="75" customHeight="1" s="23">
      <c r="A131" s="80">
        <f>Base_OAPDI!A125</f>
        <v/>
      </c>
      <c r="B131" s="80">
        <f>Base_OAPDI!B125</f>
        <v/>
      </c>
      <c r="C131" s="80">
        <f>Base_OAPDI!D125</f>
        <v/>
      </c>
      <c r="D131" s="80">
        <f>Base_OAPDI!E125</f>
        <v/>
      </c>
      <c r="E131" s="80">
        <f>Base_OAPDI!F125</f>
        <v/>
      </c>
      <c r="F131" s="80">
        <f>Base_OAPDI!G125</f>
        <v/>
      </c>
      <c r="G131" s="80">
        <f>Base_OAPDI!H125</f>
        <v/>
      </c>
      <c r="H131" s="80">
        <f>Base_OAPDI!I125</f>
        <v/>
      </c>
      <c r="I131" s="80">
        <f>Base_OAPDI!J125</f>
        <v/>
      </c>
      <c r="J131" s="80">
        <f>Base_OAPDI!K125</f>
        <v/>
      </c>
      <c r="K131" s="80">
        <f>Base_OAPDI!L125</f>
        <v/>
      </c>
      <c r="L131" s="80">
        <f>Base_OAPDI!N125</f>
        <v/>
      </c>
      <c r="M131" s="80">
        <f>Base_OAPDI!P125</f>
        <v/>
      </c>
      <c r="N131" s="80">
        <f>Base_OAPDI!Q125</f>
        <v/>
      </c>
      <c r="O131" s="80">
        <f>Base_OAPDI!R125</f>
        <v/>
      </c>
      <c r="P131" s="80">
        <f>Base_OAPDI!S125</f>
        <v/>
      </c>
      <c r="Q131" s="81" t="n"/>
      <c r="R131" s="81" t="n"/>
      <c r="S131" s="81" t="n"/>
      <c r="T131" s="82" t="n"/>
      <c r="U131" s="82" t="n"/>
      <c r="V131" s="81" t="n"/>
      <c r="W131" s="81" t="n"/>
      <c r="X131" s="81" t="n"/>
      <c r="Y131" s="81" t="n"/>
      <c r="Z131" s="81" t="n"/>
      <c r="AA131" s="81" t="n"/>
      <c r="AB131" s="80">
        <f>IF(AA131="","",INDEX(Catalogos!$Y$5:$Y$25,MATCH(AA131,L_IMP,0)))</f>
        <v/>
      </c>
      <c r="AC131" s="81" t="n"/>
      <c r="AD131" s="81" t="n"/>
      <c r="AE131" s="81" t="n"/>
      <c r="AF131" s="83">
        <f>IF(Q131="","Pendiente por formular",IF(OR(S131="",T131="",U131="",V131="",W131="",X131="",Z131="",AA131=""),"Incompleta: faltan campos obligatorios",IF(OR(NOT(ISNUMBER(T131)),NOT(ISNUMBER(U131))),"Fecha inválida",IF(U131&lt;T131,"La fecha de fin es anterior a la de inicio",IF(OR(YEAR(T131)&lt;&gt;2027,YEAR(U131)&lt;&gt;2027),"Fechas fuera de la vigencia 2027",IF(ISERROR(SEARCH("@itc.edu.co",V131)),"El responsable no tiene correo institucional",IF(ISERROR(SEARCH(Z131,INDEX(Catalogos!$Z$5:$Z$25,MATCH(AA131,L_IMP,0)))),"La dimensión no corresponde al indicador de impacto","OK")))))))</f>
        <v/>
      </c>
    </row>
    <row r="132" ht="210" customHeight="1" s="23">
      <c r="A132" s="80">
        <f>Base_OAPDI!A126</f>
        <v/>
      </c>
      <c r="B132" s="80">
        <f>Base_OAPDI!B126</f>
        <v/>
      </c>
      <c r="C132" s="80">
        <f>Base_OAPDI!D126</f>
        <v/>
      </c>
      <c r="D132" s="80">
        <f>Base_OAPDI!E126</f>
        <v/>
      </c>
      <c r="E132" s="80">
        <f>Base_OAPDI!F126</f>
        <v/>
      </c>
      <c r="F132" s="80">
        <f>Base_OAPDI!G126</f>
        <v/>
      </c>
      <c r="G132" s="80">
        <f>Base_OAPDI!H126</f>
        <v/>
      </c>
      <c r="H132" s="80">
        <f>Base_OAPDI!I126</f>
        <v/>
      </c>
      <c r="I132" s="80">
        <f>Base_OAPDI!J126</f>
        <v/>
      </c>
      <c r="J132" s="80">
        <f>Base_OAPDI!K126</f>
        <v/>
      </c>
      <c r="K132" s="80">
        <f>Base_OAPDI!L126</f>
        <v/>
      </c>
      <c r="L132" s="80">
        <f>Base_OAPDI!N126</f>
        <v/>
      </c>
      <c r="M132" s="80">
        <f>Base_OAPDI!P126</f>
        <v/>
      </c>
      <c r="N132" s="80">
        <f>Base_OAPDI!Q126</f>
        <v/>
      </c>
      <c r="O132" s="80">
        <f>Base_OAPDI!R126</f>
        <v/>
      </c>
      <c r="P132" s="80">
        <f>Base_OAPDI!S126</f>
        <v/>
      </c>
      <c r="Q132" s="81" t="n"/>
      <c r="R132" s="81" t="n"/>
      <c r="S132" s="81" t="n"/>
      <c r="T132" s="82" t="n"/>
      <c r="U132" s="82" t="n"/>
      <c r="V132" s="81" t="n"/>
      <c r="W132" s="81" t="n"/>
      <c r="X132" s="81" t="n"/>
      <c r="Y132" s="81" t="n"/>
      <c r="Z132" s="81" t="n"/>
      <c r="AA132" s="81" t="n"/>
      <c r="AB132" s="80">
        <f>IF(AA132="","",INDEX(Catalogos!$Y$5:$Y$25,MATCH(AA132,L_IMP,0)))</f>
        <v/>
      </c>
      <c r="AC132" s="81" t="n"/>
      <c r="AD132" s="81" t="n"/>
      <c r="AE132" s="81" t="n"/>
      <c r="AF132" s="83">
        <f>IF(Q132="","Pendiente por formular",IF(OR(S132="",T132="",U132="",V132="",W132="",X132="",Z132="",AA132=""),"Incompleta: faltan campos obligatorios",IF(OR(NOT(ISNUMBER(T132)),NOT(ISNUMBER(U132))),"Fecha inválida",IF(U132&lt;T132,"La fecha de fin es anterior a la de inicio",IF(OR(YEAR(T132)&lt;&gt;2027,YEAR(U132)&lt;&gt;2027),"Fechas fuera de la vigencia 2027",IF(ISERROR(SEARCH("@itc.edu.co",V132)),"El responsable no tiene correo institucional",IF(ISERROR(SEARCH(Z132,INDEX(Catalogos!$Z$5:$Z$25,MATCH(AA132,L_IMP,0)))),"La dimensión no corresponde al indicador de impacto","OK")))))))</f>
        <v/>
      </c>
    </row>
    <row r="133" ht="120" customHeight="1" s="23">
      <c r="A133" s="80">
        <f>Base_OAPDI!A127</f>
        <v/>
      </c>
      <c r="B133" s="80">
        <f>Base_OAPDI!B127</f>
        <v/>
      </c>
      <c r="C133" s="80">
        <f>Base_OAPDI!D127</f>
        <v/>
      </c>
      <c r="D133" s="80">
        <f>Base_OAPDI!E127</f>
        <v/>
      </c>
      <c r="E133" s="80">
        <f>Base_OAPDI!F127</f>
        <v/>
      </c>
      <c r="F133" s="80">
        <f>Base_OAPDI!G127</f>
        <v/>
      </c>
      <c r="G133" s="80">
        <f>Base_OAPDI!H127</f>
        <v/>
      </c>
      <c r="H133" s="80">
        <f>Base_OAPDI!I127</f>
        <v/>
      </c>
      <c r="I133" s="80">
        <f>Base_OAPDI!J127</f>
        <v/>
      </c>
      <c r="J133" s="80">
        <f>Base_OAPDI!K127</f>
        <v/>
      </c>
      <c r="K133" s="80">
        <f>Base_OAPDI!L127</f>
        <v/>
      </c>
      <c r="L133" s="80">
        <f>Base_OAPDI!N127</f>
        <v/>
      </c>
      <c r="M133" s="80">
        <f>Base_OAPDI!P127</f>
        <v/>
      </c>
      <c r="N133" s="80">
        <f>Base_OAPDI!Q127</f>
        <v/>
      </c>
      <c r="O133" s="80">
        <f>Base_OAPDI!R127</f>
        <v/>
      </c>
      <c r="P133" s="80">
        <f>Base_OAPDI!S127</f>
        <v/>
      </c>
      <c r="Q133" s="81" t="n"/>
      <c r="R133" s="81" t="n"/>
      <c r="S133" s="81" t="n"/>
      <c r="T133" s="82" t="n"/>
      <c r="U133" s="82" t="n"/>
      <c r="V133" s="81" t="n"/>
      <c r="W133" s="81" t="n"/>
      <c r="X133" s="81" t="n"/>
      <c r="Y133" s="81" t="n"/>
      <c r="Z133" s="81" t="n"/>
      <c r="AA133" s="81" t="n"/>
      <c r="AB133" s="80">
        <f>IF(AA133="","",INDEX(Catalogos!$Y$5:$Y$25,MATCH(AA133,L_IMP,0)))</f>
        <v/>
      </c>
      <c r="AC133" s="81" t="n"/>
      <c r="AD133" s="81" t="n"/>
      <c r="AE133" s="81" t="n"/>
      <c r="AF133" s="83">
        <f>IF(Q133="","Pendiente por formular",IF(OR(S133="",T133="",U133="",V133="",W133="",X133="",Z133="",AA133=""),"Incompleta: faltan campos obligatorios",IF(OR(NOT(ISNUMBER(T133)),NOT(ISNUMBER(U133))),"Fecha inválida",IF(U133&lt;T133,"La fecha de fin es anterior a la de inicio",IF(OR(YEAR(T133)&lt;&gt;2027,YEAR(U133)&lt;&gt;2027),"Fechas fuera de la vigencia 2027",IF(ISERROR(SEARCH("@itc.edu.co",V133)),"El responsable no tiene correo institucional",IF(ISERROR(SEARCH(Z133,INDEX(Catalogos!$Z$5:$Z$25,MATCH(AA133,L_IMP,0)))),"La dimensión no corresponde al indicador de impacto","OK")))))))</f>
        <v/>
      </c>
    </row>
    <row r="134" ht="120" customHeight="1" s="23">
      <c r="A134" s="80">
        <f>Base_OAPDI!A128</f>
        <v/>
      </c>
      <c r="B134" s="80">
        <f>Base_OAPDI!B128</f>
        <v/>
      </c>
      <c r="C134" s="80">
        <f>Base_OAPDI!D128</f>
        <v/>
      </c>
      <c r="D134" s="80">
        <f>Base_OAPDI!E128</f>
        <v/>
      </c>
      <c r="E134" s="80">
        <f>Base_OAPDI!F128</f>
        <v/>
      </c>
      <c r="F134" s="80">
        <f>Base_OAPDI!G128</f>
        <v/>
      </c>
      <c r="G134" s="80">
        <f>Base_OAPDI!H128</f>
        <v/>
      </c>
      <c r="H134" s="80">
        <f>Base_OAPDI!I128</f>
        <v/>
      </c>
      <c r="I134" s="80">
        <f>Base_OAPDI!J128</f>
        <v/>
      </c>
      <c r="J134" s="80">
        <f>Base_OAPDI!K128</f>
        <v/>
      </c>
      <c r="K134" s="80">
        <f>Base_OAPDI!L128</f>
        <v/>
      </c>
      <c r="L134" s="80">
        <f>Base_OAPDI!N128</f>
        <v/>
      </c>
      <c r="M134" s="80">
        <f>Base_OAPDI!P128</f>
        <v/>
      </c>
      <c r="N134" s="80">
        <f>Base_OAPDI!Q128</f>
        <v/>
      </c>
      <c r="O134" s="80">
        <f>Base_OAPDI!R128</f>
        <v/>
      </c>
      <c r="P134" s="80">
        <f>Base_OAPDI!S128</f>
        <v/>
      </c>
      <c r="Q134" s="81" t="n"/>
      <c r="R134" s="81" t="n"/>
      <c r="S134" s="81" t="n"/>
      <c r="T134" s="82" t="n"/>
      <c r="U134" s="82" t="n"/>
      <c r="V134" s="81" t="n"/>
      <c r="W134" s="81" t="n"/>
      <c r="X134" s="81" t="n"/>
      <c r="Y134" s="81" t="n"/>
      <c r="Z134" s="81" t="n"/>
      <c r="AA134" s="81" t="n"/>
      <c r="AB134" s="80">
        <f>IF(AA134="","",INDEX(Catalogos!$Y$5:$Y$25,MATCH(AA134,L_IMP,0)))</f>
        <v/>
      </c>
      <c r="AC134" s="81" t="n"/>
      <c r="AD134" s="81" t="n"/>
      <c r="AE134" s="81" t="n"/>
      <c r="AF134" s="83">
        <f>IF(Q134="","Pendiente por formular",IF(OR(S134="",T134="",U134="",V134="",W134="",X134="",Z134="",AA134=""),"Incompleta: faltan campos obligatorios",IF(OR(NOT(ISNUMBER(T134)),NOT(ISNUMBER(U134))),"Fecha inválida",IF(U134&lt;T134,"La fecha de fin es anterior a la de inicio",IF(OR(YEAR(T134)&lt;&gt;2027,YEAR(U134)&lt;&gt;2027),"Fechas fuera de la vigencia 2027",IF(ISERROR(SEARCH("@itc.edu.co",V134)),"El responsable no tiene correo institucional",IF(ISERROR(SEARCH(Z134,INDEX(Catalogos!$Z$5:$Z$25,MATCH(AA134,L_IMP,0)))),"La dimensión no corresponde al indicador de impacto","OK")))))))</f>
        <v/>
      </c>
    </row>
    <row r="135" ht="180" customHeight="1" s="23">
      <c r="A135" s="80">
        <f>Base_OAPDI!A129</f>
        <v/>
      </c>
      <c r="B135" s="80">
        <f>Base_OAPDI!B129</f>
        <v/>
      </c>
      <c r="C135" s="80">
        <f>Base_OAPDI!D129</f>
        <v/>
      </c>
      <c r="D135" s="80">
        <f>Base_OAPDI!E129</f>
        <v/>
      </c>
      <c r="E135" s="80">
        <f>Base_OAPDI!F129</f>
        <v/>
      </c>
      <c r="F135" s="80">
        <f>Base_OAPDI!G129</f>
        <v/>
      </c>
      <c r="G135" s="80">
        <f>Base_OAPDI!H129</f>
        <v/>
      </c>
      <c r="H135" s="80">
        <f>Base_OAPDI!I129</f>
        <v/>
      </c>
      <c r="I135" s="80">
        <f>Base_OAPDI!J129</f>
        <v/>
      </c>
      <c r="J135" s="80">
        <f>Base_OAPDI!K129</f>
        <v/>
      </c>
      <c r="K135" s="80">
        <f>Base_OAPDI!L129</f>
        <v/>
      </c>
      <c r="L135" s="80">
        <f>Base_OAPDI!N129</f>
        <v/>
      </c>
      <c r="M135" s="80">
        <f>Base_OAPDI!P129</f>
        <v/>
      </c>
      <c r="N135" s="80">
        <f>Base_OAPDI!Q129</f>
        <v/>
      </c>
      <c r="O135" s="80">
        <f>Base_OAPDI!R129</f>
        <v/>
      </c>
      <c r="P135" s="80">
        <f>Base_OAPDI!S129</f>
        <v/>
      </c>
      <c r="Q135" s="81" t="n"/>
      <c r="R135" s="81" t="n"/>
      <c r="S135" s="81" t="n"/>
      <c r="T135" s="82" t="n"/>
      <c r="U135" s="82" t="n"/>
      <c r="V135" s="81" t="n"/>
      <c r="W135" s="81" t="n"/>
      <c r="X135" s="81" t="n"/>
      <c r="Y135" s="81" t="n"/>
      <c r="Z135" s="81" t="n"/>
      <c r="AA135" s="81" t="n"/>
      <c r="AB135" s="80">
        <f>IF(AA135="","",INDEX(Catalogos!$Y$5:$Y$25,MATCH(AA135,L_IMP,0)))</f>
        <v/>
      </c>
      <c r="AC135" s="81" t="n"/>
      <c r="AD135" s="81" t="n"/>
      <c r="AE135" s="81" t="n"/>
      <c r="AF135" s="83">
        <f>IF(Q135="","Pendiente por formular",IF(OR(S135="",T135="",U135="",V135="",W135="",X135="",Z135="",AA135=""),"Incompleta: faltan campos obligatorios",IF(OR(NOT(ISNUMBER(T135)),NOT(ISNUMBER(U135))),"Fecha inválida",IF(U135&lt;T135,"La fecha de fin es anterior a la de inicio",IF(OR(YEAR(T135)&lt;&gt;2027,YEAR(U135)&lt;&gt;2027),"Fechas fuera de la vigencia 2027",IF(ISERROR(SEARCH("@itc.edu.co",V135)),"El responsable no tiene correo institucional",IF(ISERROR(SEARCH(Z135,INDEX(Catalogos!$Z$5:$Z$25,MATCH(AA135,L_IMP,0)))),"La dimensión no corresponde al indicador de impacto","OK")))))))</f>
        <v/>
      </c>
    </row>
    <row r="136" ht="210" customHeight="1" s="23">
      <c r="A136" s="80">
        <f>Base_OAPDI!A130</f>
        <v/>
      </c>
      <c r="B136" s="80">
        <f>Base_OAPDI!B130</f>
        <v/>
      </c>
      <c r="C136" s="80">
        <f>Base_OAPDI!D130</f>
        <v/>
      </c>
      <c r="D136" s="80">
        <f>Base_OAPDI!E130</f>
        <v/>
      </c>
      <c r="E136" s="80">
        <f>Base_OAPDI!F130</f>
        <v/>
      </c>
      <c r="F136" s="80">
        <f>Base_OAPDI!G130</f>
        <v/>
      </c>
      <c r="G136" s="80">
        <f>Base_OAPDI!H130</f>
        <v/>
      </c>
      <c r="H136" s="80">
        <f>Base_OAPDI!I130</f>
        <v/>
      </c>
      <c r="I136" s="80">
        <f>Base_OAPDI!J130</f>
        <v/>
      </c>
      <c r="J136" s="80">
        <f>Base_OAPDI!K130</f>
        <v/>
      </c>
      <c r="K136" s="80">
        <f>Base_OAPDI!L130</f>
        <v/>
      </c>
      <c r="L136" s="80">
        <f>Base_OAPDI!N130</f>
        <v/>
      </c>
      <c r="M136" s="80">
        <f>Base_OAPDI!P130</f>
        <v/>
      </c>
      <c r="N136" s="80">
        <f>Base_OAPDI!Q130</f>
        <v/>
      </c>
      <c r="O136" s="80">
        <f>Base_OAPDI!R130</f>
        <v/>
      </c>
      <c r="P136" s="80">
        <f>Base_OAPDI!S130</f>
        <v/>
      </c>
      <c r="Q136" s="81" t="n"/>
      <c r="R136" s="81" t="n"/>
      <c r="S136" s="81" t="n"/>
      <c r="T136" s="82" t="n"/>
      <c r="U136" s="82" t="n"/>
      <c r="V136" s="81" t="n"/>
      <c r="W136" s="81" t="n"/>
      <c r="X136" s="81" t="n"/>
      <c r="Y136" s="81" t="n"/>
      <c r="Z136" s="81" t="n"/>
      <c r="AA136" s="81" t="n"/>
      <c r="AB136" s="80">
        <f>IF(AA136="","",INDEX(Catalogos!$Y$5:$Y$25,MATCH(AA136,L_IMP,0)))</f>
        <v/>
      </c>
      <c r="AC136" s="81" t="n"/>
      <c r="AD136" s="81" t="n"/>
      <c r="AE136" s="81" t="n"/>
      <c r="AF136" s="83">
        <f>IF(Q136="","Pendiente por formular",IF(OR(S136="",T136="",U136="",V136="",W136="",X136="",Z136="",AA136=""),"Incompleta: faltan campos obligatorios",IF(OR(NOT(ISNUMBER(T136)),NOT(ISNUMBER(U136))),"Fecha inválida",IF(U136&lt;T136,"La fecha de fin es anterior a la de inicio",IF(OR(YEAR(T136)&lt;&gt;2027,YEAR(U136)&lt;&gt;2027),"Fechas fuera de la vigencia 2027",IF(ISERROR(SEARCH("@itc.edu.co",V136)),"El responsable no tiene correo institucional",IF(ISERROR(SEARCH(Z136,INDEX(Catalogos!$Z$5:$Z$25,MATCH(AA136,L_IMP,0)))),"La dimensión no corresponde al indicador de impacto","OK")))))))</f>
        <v/>
      </c>
    </row>
    <row r="137" ht="75" customHeight="1" s="23">
      <c r="A137" s="80">
        <f>Base_OAPDI!A131</f>
        <v/>
      </c>
      <c r="B137" s="80">
        <f>Base_OAPDI!B131</f>
        <v/>
      </c>
      <c r="C137" s="80">
        <f>Base_OAPDI!D131</f>
        <v/>
      </c>
      <c r="D137" s="80">
        <f>Base_OAPDI!E131</f>
        <v/>
      </c>
      <c r="E137" s="80">
        <f>Base_OAPDI!F131</f>
        <v/>
      </c>
      <c r="F137" s="80">
        <f>Base_OAPDI!G131</f>
        <v/>
      </c>
      <c r="G137" s="80">
        <f>Base_OAPDI!H131</f>
        <v/>
      </c>
      <c r="H137" s="80">
        <f>Base_OAPDI!I131</f>
        <v/>
      </c>
      <c r="I137" s="80">
        <f>Base_OAPDI!J131</f>
        <v/>
      </c>
      <c r="J137" s="80">
        <f>Base_OAPDI!K131</f>
        <v/>
      </c>
      <c r="K137" s="80">
        <f>Base_OAPDI!L131</f>
        <v/>
      </c>
      <c r="L137" s="80">
        <f>Base_OAPDI!N131</f>
        <v/>
      </c>
      <c r="M137" s="80">
        <f>Base_OAPDI!P131</f>
        <v/>
      </c>
      <c r="N137" s="80">
        <f>Base_OAPDI!Q131</f>
        <v/>
      </c>
      <c r="O137" s="80">
        <f>Base_OAPDI!R131</f>
        <v/>
      </c>
      <c r="P137" s="80">
        <f>Base_OAPDI!S131</f>
        <v/>
      </c>
      <c r="Q137" s="81" t="n"/>
      <c r="R137" s="81" t="n"/>
      <c r="S137" s="81" t="n"/>
      <c r="T137" s="82" t="n"/>
      <c r="U137" s="82" t="n"/>
      <c r="V137" s="81" t="n"/>
      <c r="W137" s="81" t="n"/>
      <c r="X137" s="81" t="n"/>
      <c r="Y137" s="81" t="n"/>
      <c r="Z137" s="81" t="n"/>
      <c r="AA137" s="81" t="n"/>
      <c r="AB137" s="80">
        <f>IF(AA137="","",INDEX(Catalogos!$Y$5:$Y$25,MATCH(AA137,L_IMP,0)))</f>
        <v/>
      </c>
      <c r="AC137" s="81" t="n"/>
      <c r="AD137" s="81" t="n"/>
      <c r="AE137" s="81" t="n"/>
      <c r="AF137" s="83">
        <f>IF(Q137="","Pendiente por formular",IF(OR(S137="",T137="",U137="",V137="",W137="",X137="",Z137="",AA137=""),"Incompleta: faltan campos obligatorios",IF(OR(NOT(ISNUMBER(T137)),NOT(ISNUMBER(U137))),"Fecha inválida",IF(U137&lt;T137,"La fecha de fin es anterior a la de inicio",IF(OR(YEAR(T137)&lt;&gt;2027,YEAR(U137)&lt;&gt;2027),"Fechas fuera de la vigencia 2027",IF(ISERROR(SEARCH("@itc.edu.co",V137)),"El responsable no tiene correo institucional",IF(ISERROR(SEARCH(Z137,INDEX(Catalogos!$Z$5:$Z$25,MATCH(AA137,L_IMP,0)))),"La dimensión no corresponde al indicador de impacto","OK")))))))</f>
        <v/>
      </c>
    </row>
    <row r="138" ht="165" customHeight="1" s="23">
      <c r="A138" s="80">
        <f>Base_OAPDI!A132</f>
        <v/>
      </c>
      <c r="B138" s="80">
        <f>Base_OAPDI!B132</f>
        <v/>
      </c>
      <c r="C138" s="80">
        <f>Base_OAPDI!D132</f>
        <v/>
      </c>
      <c r="D138" s="80">
        <f>Base_OAPDI!E132</f>
        <v/>
      </c>
      <c r="E138" s="80">
        <f>Base_OAPDI!F132</f>
        <v/>
      </c>
      <c r="F138" s="80">
        <f>Base_OAPDI!G132</f>
        <v/>
      </c>
      <c r="G138" s="80">
        <f>Base_OAPDI!H132</f>
        <v/>
      </c>
      <c r="H138" s="80">
        <f>Base_OAPDI!I132</f>
        <v/>
      </c>
      <c r="I138" s="80">
        <f>Base_OAPDI!J132</f>
        <v/>
      </c>
      <c r="J138" s="80">
        <f>Base_OAPDI!K132</f>
        <v/>
      </c>
      <c r="K138" s="80">
        <f>Base_OAPDI!L132</f>
        <v/>
      </c>
      <c r="L138" s="80">
        <f>Base_OAPDI!N132</f>
        <v/>
      </c>
      <c r="M138" s="80">
        <f>Base_OAPDI!P132</f>
        <v/>
      </c>
      <c r="N138" s="80">
        <f>Base_OAPDI!Q132</f>
        <v/>
      </c>
      <c r="O138" s="80">
        <f>Base_OAPDI!R132</f>
        <v/>
      </c>
      <c r="P138" s="80">
        <f>Base_OAPDI!S132</f>
        <v/>
      </c>
      <c r="Q138" s="81" t="n"/>
      <c r="R138" s="81" t="n"/>
      <c r="S138" s="81" t="n"/>
      <c r="T138" s="82" t="n"/>
      <c r="U138" s="82" t="n"/>
      <c r="V138" s="81" t="n"/>
      <c r="W138" s="81" t="n"/>
      <c r="X138" s="81" t="n"/>
      <c r="Y138" s="81" t="n"/>
      <c r="Z138" s="81" t="n"/>
      <c r="AA138" s="81" t="n"/>
      <c r="AB138" s="80">
        <f>IF(AA138="","",INDEX(Catalogos!$Y$5:$Y$25,MATCH(AA138,L_IMP,0)))</f>
        <v/>
      </c>
      <c r="AC138" s="81" t="n"/>
      <c r="AD138" s="81" t="n"/>
      <c r="AE138" s="81" t="n"/>
      <c r="AF138" s="83">
        <f>IF(Q138="","Pendiente por formular",IF(OR(S138="",T138="",U138="",V138="",W138="",X138="",Z138="",AA138=""),"Incompleta: faltan campos obligatorios",IF(OR(NOT(ISNUMBER(T138)),NOT(ISNUMBER(U138))),"Fecha inválida",IF(U138&lt;T138,"La fecha de fin es anterior a la de inicio",IF(OR(YEAR(T138)&lt;&gt;2027,YEAR(U138)&lt;&gt;2027),"Fechas fuera de la vigencia 2027",IF(ISERROR(SEARCH("@itc.edu.co",V138)),"El responsable no tiene correo institucional",IF(ISERROR(SEARCH(Z138,INDEX(Catalogos!$Z$5:$Z$25,MATCH(AA138,L_IMP,0)))),"La dimensión no corresponde al indicador de impacto","OK")))))))</f>
        <v/>
      </c>
    </row>
    <row r="139" ht="90" customHeight="1" s="23">
      <c r="A139" s="80">
        <f>Base_OAPDI!A133</f>
        <v/>
      </c>
      <c r="B139" s="80">
        <f>Base_OAPDI!B133</f>
        <v/>
      </c>
      <c r="C139" s="80">
        <f>Base_OAPDI!D133</f>
        <v/>
      </c>
      <c r="D139" s="80">
        <f>Base_OAPDI!E133</f>
        <v/>
      </c>
      <c r="E139" s="80">
        <f>Base_OAPDI!F133</f>
        <v/>
      </c>
      <c r="F139" s="80">
        <f>Base_OAPDI!G133</f>
        <v/>
      </c>
      <c r="G139" s="80">
        <f>Base_OAPDI!H133</f>
        <v/>
      </c>
      <c r="H139" s="80">
        <f>Base_OAPDI!I133</f>
        <v/>
      </c>
      <c r="I139" s="80">
        <f>Base_OAPDI!J133</f>
        <v/>
      </c>
      <c r="J139" s="80">
        <f>Base_OAPDI!K133</f>
        <v/>
      </c>
      <c r="K139" s="80">
        <f>Base_OAPDI!L133</f>
        <v/>
      </c>
      <c r="L139" s="80">
        <f>Base_OAPDI!N133</f>
        <v/>
      </c>
      <c r="M139" s="80">
        <f>Base_OAPDI!P133</f>
        <v/>
      </c>
      <c r="N139" s="80">
        <f>Base_OAPDI!Q133</f>
        <v/>
      </c>
      <c r="O139" s="80">
        <f>Base_OAPDI!R133</f>
        <v/>
      </c>
      <c r="P139" s="80">
        <f>Base_OAPDI!S133</f>
        <v/>
      </c>
      <c r="Q139" s="81" t="n"/>
      <c r="R139" s="81" t="n"/>
      <c r="S139" s="81" t="n"/>
      <c r="T139" s="82" t="n"/>
      <c r="U139" s="82" t="n"/>
      <c r="V139" s="81" t="n"/>
      <c r="W139" s="81" t="n"/>
      <c r="X139" s="81" t="n"/>
      <c r="Y139" s="81" t="n"/>
      <c r="Z139" s="81" t="n"/>
      <c r="AA139" s="81" t="n"/>
      <c r="AB139" s="80">
        <f>IF(AA139="","",INDEX(Catalogos!$Y$5:$Y$25,MATCH(AA139,L_IMP,0)))</f>
        <v/>
      </c>
      <c r="AC139" s="81" t="n"/>
      <c r="AD139" s="81" t="n"/>
      <c r="AE139" s="81" t="n"/>
      <c r="AF139" s="83">
        <f>IF(Q139="","Pendiente por formular",IF(OR(S139="",T139="",U139="",V139="",W139="",X139="",Z139="",AA139=""),"Incompleta: faltan campos obligatorios",IF(OR(NOT(ISNUMBER(T139)),NOT(ISNUMBER(U139))),"Fecha inválida",IF(U139&lt;T139,"La fecha de fin es anterior a la de inicio",IF(OR(YEAR(T139)&lt;&gt;2027,YEAR(U139)&lt;&gt;2027),"Fechas fuera de la vigencia 2027",IF(ISERROR(SEARCH("@itc.edu.co",V139)),"El responsable no tiene correo institucional",IF(ISERROR(SEARCH(Z139,INDEX(Catalogos!$Z$5:$Z$25,MATCH(AA139,L_IMP,0)))),"La dimensión no corresponde al indicador de impacto","OK")))))))</f>
        <v/>
      </c>
    </row>
    <row r="140" ht="165" customHeight="1" s="23">
      <c r="A140" s="80">
        <f>Base_OAPDI!A134</f>
        <v/>
      </c>
      <c r="B140" s="80">
        <f>Base_OAPDI!B134</f>
        <v/>
      </c>
      <c r="C140" s="80">
        <f>Base_OAPDI!D134</f>
        <v/>
      </c>
      <c r="D140" s="80">
        <f>Base_OAPDI!E134</f>
        <v/>
      </c>
      <c r="E140" s="80">
        <f>Base_OAPDI!F134</f>
        <v/>
      </c>
      <c r="F140" s="80">
        <f>Base_OAPDI!G134</f>
        <v/>
      </c>
      <c r="G140" s="80">
        <f>Base_OAPDI!H134</f>
        <v/>
      </c>
      <c r="H140" s="80">
        <f>Base_OAPDI!I134</f>
        <v/>
      </c>
      <c r="I140" s="80">
        <f>Base_OAPDI!J134</f>
        <v/>
      </c>
      <c r="J140" s="80">
        <f>Base_OAPDI!K134</f>
        <v/>
      </c>
      <c r="K140" s="80">
        <f>Base_OAPDI!L134</f>
        <v/>
      </c>
      <c r="L140" s="80">
        <f>Base_OAPDI!N134</f>
        <v/>
      </c>
      <c r="M140" s="80">
        <f>Base_OAPDI!P134</f>
        <v/>
      </c>
      <c r="N140" s="80">
        <f>Base_OAPDI!Q134</f>
        <v/>
      </c>
      <c r="O140" s="80">
        <f>Base_OAPDI!R134</f>
        <v/>
      </c>
      <c r="P140" s="80">
        <f>Base_OAPDI!S134</f>
        <v/>
      </c>
      <c r="Q140" s="81" t="n"/>
      <c r="R140" s="81" t="n"/>
      <c r="S140" s="81" t="n"/>
      <c r="T140" s="82" t="n"/>
      <c r="U140" s="82" t="n"/>
      <c r="V140" s="81" t="n"/>
      <c r="W140" s="81" t="n"/>
      <c r="X140" s="81" t="n"/>
      <c r="Y140" s="81" t="n"/>
      <c r="Z140" s="81" t="n"/>
      <c r="AA140" s="81" t="n"/>
      <c r="AB140" s="80">
        <f>IF(AA140="","",INDEX(Catalogos!$Y$5:$Y$25,MATCH(AA140,L_IMP,0)))</f>
        <v/>
      </c>
      <c r="AC140" s="81" t="n"/>
      <c r="AD140" s="81" t="n"/>
      <c r="AE140" s="81" t="n"/>
      <c r="AF140" s="83">
        <f>IF(Q140="","Pendiente por formular",IF(OR(S140="",T140="",U140="",V140="",W140="",X140="",Z140="",AA140=""),"Incompleta: faltan campos obligatorios",IF(OR(NOT(ISNUMBER(T140)),NOT(ISNUMBER(U140))),"Fecha inválida",IF(U140&lt;T140,"La fecha de fin es anterior a la de inicio",IF(OR(YEAR(T140)&lt;&gt;2027,YEAR(U140)&lt;&gt;2027),"Fechas fuera de la vigencia 2027",IF(ISERROR(SEARCH("@itc.edu.co",V140)),"El responsable no tiene correo institucional",IF(ISERROR(SEARCH(Z140,INDEX(Catalogos!$Z$5:$Z$25,MATCH(AA140,L_IMP,0)))),"La dimensión no corresponde al indicador de impacto","OK")))))))</f>
        <v/>
      </c>
    </row>
    <row r="141" ht="150" customHeight="1" s="23">
      <c r="A141" s="80">
        <f>Base_OAPDI!A135</f>
        <v/>
      </c>
      <c r="B141" s="80">
        <f>Base_OAPDI!B135</f>
        <v/>
      </c>
      <c r="C141" s="80">
        <f>Base_OAPDI!D135</f>
        <v/>
      </c>
      <c r="D141" s="80">
        <f>Base_OAPDI!E135</f>
        <v/>
      </c>
      <c r="E141" s="80">
        <f>Base_OAPDI!F135</f>
        <v/>
      </c>
      <c r="F141" s="80">
        <f>Base_OAPDI!G135</f>
        <v/>
      </c>
      <c r="G141" s="80">
        <f>Base_OAPDI!H135</f>
        <v/>
      </c>
      <c r="H141" s="80">
        <f>Base_OAPDI!I135</f>
        <v/>
      </c>
      <c r="I141" s="80">
        <f>Base_OAPDI!J135</f>
        <v/>
      </c>
      <c r="J141" s="80">
        <f>Base_OAPDI!K135</f>
        <v/>
      </c>
      <c r="K141" s="80">
        <f>Base_OAPDI!L135</f>
        <v/>
      </c>
      <c r="L141" s="80">
        <f>Base_OAPDI!N135</f>
        <v/>
      </c>
      <c r="M141" s="80">
        <f>Base_OAPDI!P135</f>
        <v/>
      </c>
      <c r="N141" s="80">
        <f>Base_OAPDI!Q135</f>
        <v/>
      </c>
      <c r="O141" s="80">
        <f>Base_OAPDI!R135</f>
        <v/>
      </c>
      <c r="P141" s="80">
        <f>Base_OAPDI!S135</f>
        <v/>
      </c>
      <c r="Q141" s="81" t="n"/>
      <c r="R141" s="81" t="n"/>
      <c r="S141" s="81" t="n"/>
      <c r="T141" s="82" t="n"/>
      <c r="U141" s="82" t="n"/>
      <c r="V141" s="81" t="n"/>
      <c r="W141" s="81" t="n"/>
      <c r="X141" s="81" t="n"/>
      <c r="Y141" s="81" t="n"/>
      <c r="Z141" s="81" t="n"/>
      <c r="AA141" s="81" t="n"/>
      <c r="AB141" s="80">
        <f>IF(AA141="","",INDEX(Catalogos!$Y$5:$Y$25,MATCH(AA141,L_IMP,0)))</f>
        <v/>
      </c>
      <c r="AC141" s="81" t="n"/>
      <c r="AD141" s="81" t="n"/>
      <c r="AE141" s="81" t="n"/>
      <c r="AF141" s="83">
        <f>IF(Q141="","Pendiente por formular",IF(OR(S141="",T141="",U141="",V141="",W141="",X141="",Z141="",AA141=""),"Incompleta: faltan campos obligatorios",IF(OR(NOT(ISNUMBER(T141)),NOT(ISNUMBER(U141))),"Fecha inválida",IF(U141&lt;T141,"La fecha de fin es anterior a la de inicio",IF(OR(YEAR(T141)&lt;&gt;2027,YEAR(U141)&lt;&gt;2027),"Fechas fuera de la vigencia 2027",IF(ISERROR(SEARCH("@itc.edu.co",V141)),"El responsable no tiene correo institucional",IF(ISERROR(SEARCH(Z141,INDEX(Catalogos!$Z$5:$Z$25,MATCH(AA141,L_IMP,0)))),"La dimensión no corresponde al indicador de impacto","OK")))))))</f>
        <v/>
      </c>
    </row>
    <row r="142" ht="135" customHeight="1" s="23">
      <c r="A142" s="80">
        <f>Base_OAPDI!A136</f>
        <v/>
      </c>
      <c r="B142" s="80">
        <f>Base_OAPDI!B136</f>
        <v/>
      </c>
      <c r="C142" s="80">
        <f>Base_OAPDI!D136</f>
        <v/>
      </c>
      <c r="D142" s="80">
        <f>Base_OAPDI!E136</f>
        <v/>
      </c>
      <c r="E142" s="80">
        <f>Base_OAPDI!F136</f>
        <v/>
      </c>
      <c r="F142" s="80">
        <f>Base_OAPDI!G136</f>
        <v/>
      </c>
      <c r="G142" s="80">
        <f>Base_OAPDI!H136</f>
        <v/>
      </c>
      <c r="H142" s="80">
        <f>Base_OAPDI!I136</f>
        <v/>
      </c>
      <c r="I142" s="80">
        <f>Base_OAPDI!J136</f>
        <v/>
      </c>
      <c r="J142" s="80">
        <f>Base_OAPDI!K136</f>
        <v/>
      </c>
      <c r="K142" s="80">
        <f>Base_OAPDI!L136</f>
        <v/>
      </c>
      <c r="L142" s="80">
        <f>Base_OAPDI!N136</f>
        <v/>
      </c>
      <c r="M142" s="80">
        <f>Base_OAPDI!P136</f>
        <v/>
      </c>
      <c r="N142" s="80">
        <f>Base_OAPDI!Q136</f>
        <v/>
      </c>
      <c r="O142" s="80">
        <f>Base_OAPDI!R136</f>
        <v/>
      </c>
      <c r="P142" s="80">
        <f>Base_OAPDI!S136</f>
        <v/>
      </c>
      <c r="Q142" s="81" t="n"/>
      <c r="R142" s="81" t="n"/>
      <c r="S142" s="81" t="n"/>
      <c r="T142" s="82" t="n"/>
      <c r="U142" s="82" t="n"/>
      <c r="V142" s="81" t="n"/>
      <c r="W142" s="81" t="n"/>
      <c r="X142" s="81" t="n"/>
      <c r="Y142" s="81" t="n"/>
      <c r="Z142" s="81" t="n"/>
      <c r="AA142" s="81" t="n"/>
      <c r="AB142" s="80">
        <f>IF(AA142="","",INDEX(Catalogos!$Y$5:$Y$25,MATCH(AA142,L_IMP,0)))</f>
        <v/>
      </c>
      <c r="AC142" s="81" t="n"/>
      <c r="AD142" s="81" t="n"/>
      <c r="AE142" s="81" t="n"/>
      <c r="AF142" s="83">
        <f>IF(Q142="","Pendiente por formular",IF(OR(S142="",T142="",U142="",V142="",W142="",X142="",Z142="",AA142=""),"Incompleta: faltan campos obligatorios",IF(OR(NOT(ISNUMBER(T142)),NOT(ISNUMBER(U142))),"Fecha inválida",IF(U142&lt;T142,"La fecha de fin es anterior a la de inicio",IF(OR(YEAR(T142)&lt;&gt;2027,YEAR(U142)&lt;&gt;2027),"Fechas fuera de la vigencia 2027",IF(ISERROR(SEARCH("@itc.edu.co",V142)),"El responsable no tiene correo institucional",IF(ISERROR(SEARCH(Z142,INDEX(Catalogos!$Z$5:$Z$25,MATCH(AA142,L_IMP,0)))),"La dimensión no corresponde al indicador de impacto","OK")))))))</f>
        <v/>
      </c>
    </row>
    <row r="143" ht="165" customHeight="1" s="23">
      <c r="A143" s="80">
        <f>Base_OAPDI!A137</f>
        <v/>
      </c>
      <c r="B143" s="80">
        <f>Base_OAPDI!B137</f>
        <v/>
      </c>
      <c r="C143" s="80">
        <f>Base_OAPDI!D137</f>
        <v/>
      </c>
      <c r="D143" s="80">
        <f>Base_OAPDI!E137</f>
        <v/>
      </c>
      <c r="E143" s="80">
        <f>Base_OAPDI!F137</f>
        <v/>
      </c>
      <c r="F143" s="80">
        <f>Base_OAPDI!G137</f>
        <v/>
      </c>
      <c r="G143" s="80">
        <f>Base_OAPDI!H137</f>
        <v/>
      </c>
      <c r="H143" s="80">
        <f>Base_OAPDI!I137</f>
        <v/>
      </c>
      <c r="I143" s="80">
        <f>Base_OAPDI!J137</f>
        <v/>
      </c>
      <c r="J143" s="80">
        <f>Base_OAPDI!K137</f>
        <v/>
      </c>
      <c r="K143" s="80">
        <f>Base_OAPDI!L137</f>
        <v/>
      </c>
      <c r="L143" s="80">
        <f>Base_OAPDI!N137</f>
        <v/>
      </c>
      <c r="M143" s="80">
        <f>Base_OAPDI!P137</f>
        <v/>
      </c>
      <c r="N143" s="80">
        <f>Base_OAPDI!Q137</f>
        <v/>
      </c>
      <c r="O143" s="80">
        <f>Base_OAPDI!R137</f>
        <v/>
      </c>
      <c r="P143" s="80">
        <f>Base_OAPDI!S137</f>
        <v/>
      </c>
      <c r="Q143" s="81" t="n"/>
      <c r="R143" s="81" t="n"/>
      <c r="S143" s="81" t="n"/>
      <c r="T143" s="82" t="n"/>
      <c r="U143" s="82" t="n"/>
      <c r="V143" s="81" t="n"/>
      <c r="W143" s="81" t="n"/>
      <c r="X143" s="81" t="n"/>
      <c r="Y143" s="81" t="n"/>
      <c r="Z143" s="81" t="n"/>
      <c r="AA143" s="81" t="n"/>
      <c r="AB143" s="80">
        <f>IF(AA143="","",INDEX(Catalogos!$Y$5:$Y$25,MATCH(AA143,L_IMP,0)))</f>
        <v/>
      </c>
      <c r="AC143" s="81" t="n"/>
      <c r="AD143" s="81" t="n"/>
      <c r="AE143" s="81" t="n"/>
      <c r="AF143" s="83">
        <f>IF(Q143="","Pendiente por formular",IF(OR(S143="",T143="",U143="",V143="",W143="",X143="",Z143="",AA143=""),"Incompleta: faltan campos obligatorios",IF(OR(NOT(ISNUMBER(T143)),NOT(ISNUMBER(U143))),"Fecha inválida",IF(U143&lt;T143,"La fecha de fin es anterior a la de inicio",IF(OR(YEAR(T143)&lt;&gt;2027,YEAR(U143)&lt;&gt;2027),"Fechas fuera de la vigencia 2027",IF(ISERROR(SEARCH("@itc.edu.co",V143)),"El responsable no tiene correo institucional",IF(ISERROR(SEARCH(Z143,INDEX(Catalogos!$Z$5:$Z$25,MATCH(AA143,L_IMP,0)))),"La dimensión no corresponde al indicador de impacto","OK")))))))</f>
        <v/>
      </c>
    </row>
    <row r="144" ht="75" customHeight="1" s="23">
      <c r="A144" s="80">
        <f>Base_OAPDI!A138</f>
        <v/>
      </c>
      <c r="B144" s="80">
        <f>Base_OAPDI!B138</f>
        <v/>
      </c>
      <c r="C144" s="80">
        <f>Base_OAPDI!D138</f>
        <v/>
      </c>
      <c r="D144" s="80">
        <f>Base_OAPDI!E138</f>
        <v/>
      </c>
      <c r="E144" s="80">
        <f>Base_OAPDI!F138</f>
        <v/>
      </c>
      <c r="F144" s="80">
        <f>Base_OAPDI!G138</f>
        <v/>
      </c>
      <c r="G144" s="80">
        <f>Base_OAPDI!H138</f>
        <v/>
      </c>
      <c r="H144" s="80">
        <f>Base_OAPDI!I138</f>
        <v/>
      </c>
      <c r="I144" s="80">
        <f>Base_OAPDI!J138</f>
        <v/>
      </c>
      <c r="J144" s="80">
        <f>Base_OAPDI!K138</f>
        <v/>
      </c>
      <c r="K144" s="80">
        <f>Base_OAPDI!L138</f>
        <v/>
      </c>
      <c r="L144" s="80">
        <f>Base_OAPDI!N138</f>
        <v/>
      </c>
      <c r="M144" s="80">
        <f>Base_OAPDI!P138</f>
        <v/>
      </c>
      <c r="N144" s="80">
        <f>Base_OAPDI!Q138</f>
        <v/>
      </c>
      <c r="O144" s="80">
        <f>Base_OAPDI!R138</f>
        <v/>
      </c>
      <c r="P144" s="80">
        <f>Base_OAPDI!S138</f>
        <v/>
      </c>
      <c r="Q144" s="81" t="n"/>
      <c r="R144" s="81" t="n"/>
      <c r="S144" s="81" t="n"/>
      <c r="T144" s="82" t="n"/>
      <c r="U144" s="82" t="n"/>
      <c r="V144" s="81" t="n"/>
      <c r="W144" s="81" t="n"/>
      <c r="X144" s="81" t="n"/>
      <c r="Y144" s="81" t="n"/>
      <c r="Z144" s="81" t="n"/>
      <c r="AA144" s="81" t="n"/>
      <c r="AB144" s="80">
        <f>IF(AA144="","",INDEX(Catalogos!$Y$5:$Y$25,MATCH(AA144,L_IMP,0)))</f>
        <v/>
      </c>
      <c r="AC144" s="81" t="n"/>
      <c r="AD144" s="81" t="n"/>
      <c r="AE144" s="81" t="n"/>
      <c r="AF144" s="83">
        <f>IF(Q144="","Pendiente por formular",IF(OR(S144="",T144="",U144="",V144="",W144="",X144="",Z144="",AA144=""),"Incompleta: faltan campos obligatorios",IF(OR(NOT(ISNUMBER(T144)),NOT(ISNUMBER(U144))),"Fecha inválida",IF(U144&lt;T144,"La fecha de fin es anterior a la de inicio",IF(OR(YEAR(T144)&lt;&gt;2027,YEAR(U144)&lt;&gt;2027),"Fechas fuera de la vigencia 2027",IF(ISERROR(SEARCH("@itc.edu.co",V144)),"El responsable no tiene correo institucional",IF(ISERROR(SEARCH(Z144,INDEX(Catalogos!$Z$5:$Z$25,MATCH(AA144,L_IMP,0)))),"La dimensión no corresponde al indicador de impacto","OK")))))))</f>
        <v/>
      </c>
    </row>
    <row r="145" ht="105" customHeight="1" s="23">
      <c r="A145" s="80">
        <f>Base_OAPDI!A139</f>
        <v/>
      </c>
      <c r="B145" s="80">
        <f>Base_OAPDI!B139</f>
        <v/>
      </c>
      <c r="C145" s="80">
        <f>Base_OAPDI!D139</f>
        <v/>
      </c>
      <c r="D145" s="80">
        <f>Base_OAPDI!E139</f>
        <v/>
      </c>
      <c r="E145" s="80">
        <f>Base_OAPDI!F139</f>
        <v/>
      </c>
      <c r="F145" s="80">
        <f>Base_OAPDI!G139</f>
        <v/>
      </c>
      <c r="G145" s="80">
        <f>Base_OAPDI!H139</f>
        <v/>
      </c>
      <c r="H145" s="80">
        <f>Base_OAPDI!I139</f>
        <v/>
      </c>
      <c r="I145" s="80">
        <f>Base_OAPDI!J139</f>
        <v/>
      </c>
      <c r="J145" s="80">
        <f>Base_OAPDI!K139</f>
        <v/>
      </c>
      <c r="K145" s="80">
        <f>Base_OAPDI!L139</f>
        <v/>
      </c>
      <c r="L145" s="80">
        <f>Base_OAPDI!N139</f>
        <v/>
      </c>
      <c r="M145" s="80">
        <f>Base_OAPDI!P139</f>
        <v/>
      </c>
      <c r="N145" s="80">
        <f>Base_OAPDI!Q139</f>
        <v/>
      </c>
      <c r="O145" s="80">
        <f>Base_OAPDI!R139</f>
        <v/>
      </c>
      <c r="P145" s="80">
        <f>Base_OAPDI!S139</f>
        <v/>
      </c>
      <c r="Q145" s="81" t="n"/>
      <c r="R145" s="81" t="n"/>
      <c r="S145" s="81" t="n"/>
      <c r="T145" s="82" t="n"/>
      <c r="U145" s="82" t="n"/>
      <c r="V145" s="81" t="n"/>
      <c r="W145" s="81" t="n"/>
      <c r="X145" s="81" t="n"/>
      <c r="Y145" s="81" t="n"/>
      <c r="Z145" s="81" t="n"/>
      <c r="AA145" s="81" t="n"/>
      <c r="AB145" s="80">
        <f>IF(AA145="","",INDEX(Catalogos!$Y$5:$Y$25,MATCH(AA145,L_IMP,0)))</f>
        <v/>
      </c>
      <c r="AC145" s="81" t="n"/>
      <c r="AD145" s="81" t="n"/>
      <c r="AE145" s="81" t="n"/>
      <c r="AF145" s="83">
        <f>IF(Q145="","Pendiente por formular",IF(OR(S145="",T145="",U145="",V145="",W145="",X145="",Z145="",AA145=""),"Incompleta: faltan campos obligatorios",IF(OR(NOT(ISNUMBER(T145)),NOT(ISNUMBER(U145))),"Fecha inválida",IF(U145&lt;T145,"La fecha de fin es anterior a la de inicio",IF(OR(YEAR(T145)&lt;&gt;2027,YEAR(U145)&lt;&gt;2027),"Fechas fuera de la vigencia 2027",IF(ISERROR(SEARCH("@itc.edu.co",V145)),"El responsable no tiene correo institucional",IF(ISERROR(SEARCH(Z145,INDEX(Catalogos!$Z$5:$Z$25,MATCH(AA145,L_IMP,0)))),"La dimensión no corresponde al indicador de impacto","OK")))))))</f>
        <v/>
      </c>
    </row>
    <row r="146" ht="105" customHeight="1" s="23">
      <c r="A146" s="80">
        <f>Base_OAPDI!A140</f>
        <v/>
      </c>
      <c r="B146" s="80">
        <f>Base_OAPDI!B140</f>
        <v/>
      </c>
      <c r="C146" s="80">
        <f>Base_OAPDI!D140</f>
        <v/>
      </c>
      <c r="D146" s="80">
        <f>Base_OAPDI!E140</f>
        <v/>
      </c>
      <c r="E146" s="80">
        <f>Base_OAPDI!F140</f>
        <v/>
      </c>
      <c r="F146" s="80">
        <f>Base_OAPDI!G140</f>
        <v/>
      </c>
      <c r="G146" s="80">
        <f>Base_OAPDI!H140</f>
        <v/>
      </c>
      <c r="H146" s="80">
        <f>Base_OAPDI!I140</f>
        <v/>
      </c>
      <c r="I146" s="80">
        <f>Base_OAPDI!J140</f>
        <v/>
      </c>
      <c r="J146" s="80">
        <f>Base_OAPDI!K140</f>
        <v/>
      </c>
      <c r="K146" s="80">
        <f>Base_OAPDI!L140</f>
        <v/>
      </c>
      <c r="L146" s="80">
        <f>Base_OAPDI!N140</f>
        <v/>
      </c>
      <c r="M146" s="80">
        <f>Base_OAPDI!P140</f>
        <v/>
      </c>
      <c r="N146" s="80">
        <f>Base_OAPDI!Q140</f>
        <v/>
      </c>
      <c r="O146" s="80">
        <f>Base_OAPDI!R140</f>
        <v/>
      </c>
      <c r="P146" s="80">
        <f>Base_OAPDI!S140</f>
        <v/>
      </c>
      <c r="Q146" s="81" t="n"/>
      <c r="R146" s="81" t="n"/>
      <c r="S146" s="81" t="n"/>
      <c r="T146" s="82" t="n"/>
      <c r="U146" s="82" t="n"/>
      <c r="V146" s="81" t="n"/>
      <c r="W146" s="81" t="n"/>
      <c r="X146" s="81" t="n"/>
      <c r="Y146" s="81" t="n"/>
      <c r="Z146" s="81" t="n"/>
      <c r="AA146" s="81" t="n"/>
      <c r="AB146" s="80">
        <f>IF(AA146="","",INDEX(Catalogos!$Y$5:$Y$25,MATCH(AA146,L_IMP,0)))</f>
        <v/>
      </c>
      <c r="AC146" s="81" t="n"/>
      <c r="AD146" s="81" t="n"/>
      <c r="AE146" s="81" t="n"/>
      <c r="AF146" s="83">
        <f>IF(Q146="","Pendiente por formular",IF(OR(S146="",T146="",U146="",V146="",W146="",X146="",Z146="",AA146=""),"Incompleta: faltan campos obligatorios",IF(OR(NOT(ISNUMBER(T146)),NOT(ISNUMBER(U146))),"Fecha inválida",IF(U146&lt;T146,"La fecha de fin es anterior a la de inicio",IF(OR(YEAR(T146)&lt;&gt;2027,YEAR(U146)&lt;&gt;2027),"Fechas fuera de la vigencia 2027",IF(ISERROR(SEARCH("@itc.edu.co",V146)),"El responsable no tiene correo institucional",IF(ISERROR(SEARCH(Z146,INDEX(Catalogos!$Z$5:$Z$25,MATCH(AA146,L_IMP,0)))),"La dimensión no corresponde al indicador de impacto","OK")))))))</f>
        <v/>
      </c>
    </row>
    <row r="147" ht="195" customHeight="1" s="23">
      <c r="A147" s="80">
        <f>Base_OAPDI!A141</f>
        <v/>
      </c>
      <c r="B147" s="80">
        <f>Base_OAPDI!B141</f>
        <v/>
      </c>
      <c r="C147" s="80">
        <f>Base_OAPDI!D141</f>
        <v/>
      </c>
      <c r="D147" s="80">
        <f>Base_OAPDI!E141</f>
        <v/>
      </c>
      <c r="E147" s="80">
        <f>Base_OAPDI!F141</f>
        <v/>
      </c>
      <c r="F147" s="80">
        <f>Base_OAPDI!G141</f>
        <v/>
      </c>
      <c r="G147" s="80">
        <f>Base_OAPDI!H141</f>
        <v/>
      </c>
      <c r="H147" s="80">
        <f>Base_OAPDI!I141</f>
        <v/>
      </c>
      <c r="I147" s="80">
        <f>Base_OAPDI!J141</f>
        <v/>
      </c>
      <c r="J147" s="80">
        <f>Base_OAPDI!K141</f>
        <v/>
      </c>
      <c r="K147" s="80">
        <f>Base_OAPDI!L141</f>
        <v/>
      </c>
      <c r="L147" s="80">
        <f>Base_OAPDI!N141</f>
        <v/>
      </c>
      <c r="M147" s="80">
        <f>Base_OAPDI!P141</f>
        <v/>
      </c>
      <c r="N147" s="80">
        <f>Base_OAPDI!Q141</f>
        <v/>
      </c>
      <c r="O147" s="80">
        <f>Base_OAPDI!R141</f>
        <v/>
      </c>
      <c r="P147" s="80">
        <f>Base_OAPDI!S141</f>
        <v/>
      </c>
      <c r="Q147" s="81" t="n"/>
      <c r="R147" s="81" t="n"/>
      <c r="S147" s="81" t="n"/>
      <c r="T147" s="82" t="n"/>
      <c r="U147" s="82" t="n"/>
      <c r="V147" s="81" t="n"/>
      <c r="W147" s="81" t="n"/>
      <c r="X147" s="81" t="n"/>
      <c r="Y147" s="81" t="n"/>
      <c r="Z147" s="81" t="n"/>
      <c r="AA147" s="81" t="n"/>
      <c r="AB147" s="80">
        <f>IF(AA147="","",INDEX(Catalogos!$Y$5:$Y$25,MATCH(AA147,L_IMP,0)))</f>
        <v/>
      </c>
      <c r="AC147" s="81" t="n"/>
      <c r="AD147" s="81" t="n"/>
      <c r="AE147" s="81" t="n"/>
      <c r="AF147" s="83">
        <f>IF(Q147="","Pendiente por formular",IF(OR(S147="",T147="",U147="",V147="",W147="",X147="",Z147="",AA147=""),"Incompleta: faltan campos obligatorios",IF(OR(NOT(ISNUMBER(T147)),NOT(ISNUMBER(U147))),"Fecha inválida",IF(U147&lt;T147,"La fecha de fin es anterior a la de inicio",IF(OR(YEAR(T147)&lt;&gt;2027,YEAR(U147)&lt;&gt;2027),"Fechas fuera de la vigencia 2027",IF(ISERROR(SEARCH("@itc.edu.co",V147)),"El responsable no tiene correo institucional",IF(ISERROR(SEARCH(Z147,INDEX(Catalogos!$Z$5:$Z$25,MATCH(AA147,L_IMP,0)))),"La dimensión no corresponde al indicador de impacto","OK")))))))</f>
        <v/>
      </c>
    </row>
    <row r="148" ht="90" customHeight="1" s="23">
      <c r="A148" s="80">
        <f>Base_OAPDI!A142</f>
        <v/>
      </c>
      <c r="B148" s="80">
        <f>Base_OAPDI!B142</f>
        <v/>
      </c>
      <c r="C148" s="80">
        <f>Base_OAPDI!D142</f>
        <v/>
      </c>
      <c r="D148" s="80">
        <f>Base_OAPDI!E142</f>
        <v/>
      </c>
      <c r="E148" s="80">
        <f>Base_OAPDI!F142</f>
        <v/>
      </c>
      <c r="F148" s="80">
        <f>Base_OAPDI!G142</f>
        <v/>
      </c>
      <c r="G148" s="80">
        <f>Base_OAPDI!H142</f>
        <v/>
      </c>
      <c r="H148" s="80">
        <f>Base_OAPDI!I142</f>
        <v/>
      </c>
      <c r="I148" s="80">
        <f>Base_OAPDI!J142</f>
        <v/>
      </c>
      <c r="J148" s="80">
        <f>Base_OAPDI!K142</f>
        <v/>
      </c>
      <c r="K148" s="80">
        <f>Base_OAPDI!L142</f>
        <v/>
      </c>
      <c r="L148" s="80">
        <f>Base_OAPDI!N142</f>
        <v/>
      </c>
      <c r="M148" s="80">
        <f>Base_OAPDI!P142</f>
        <v/>
      </c>
      <c r="N148" s="80">
        <f>Base_OAPDI!Q142</f>
        <v/>
      </c>
      <c r="O148" s="80">
        <f>Base_OAPDI!R142</f>
        <v/>
      </c>
      <c r="P148" s="80">
        <f>Base_OAPDI!S142</f>
        <v/>
      </c>
      <c r="Q148" s="81" t="n"/>
      <c r="R148" s="81" t="n"/>
      <c r="S148" s="81" t="n"/>
      <c r="T148" s="82" t="n"/>
      <c r="U148" s="82" t="n"/>
      <c r="V148" s="81" t="n"/>
      <c r="W148" s="81" t="n"/>
      <c r="X148" s="81" t="n"/>
      <c r="Y148" s="81" t="n"/>
      <c r="Z148" s="81" t="n"/>
      <c r="AA148" s="81" t="n"/>
      <c r="AB148" s="80">
        <f>IF(AA148="","",INDEX(Catalogos!$Y$5:$Y$25,MATCH(AA148,L_IMP,0)))</f>
        <v/>
      </c>
      <c r="AC148" s="81" t="n"/>
      <c r="AD148" s="81" t="n"/>
      <c r="AE148" s="81" t="n"/>
      <c r="AF148" s="83">
        <f>IF(Q148="","Pendiente por formular",IF(OR(S148="",T148="",U148="",V148="",W148="",X148="",Z148="",AA148=""),"Incompleta: faltan campos obligatorios",IF(OR(NOT(ISNUMBER(T148)),NOT(ISNUMBER(U148))),"Fecha inválida",IF(U148&lt;T148,"La fecha de fin es anterior a la de inicio",IF(OR(YEAR(T148)&lt;&gt;2027,YEAR(U148)&lt;&gt;2027),"Fechas fuera de la vigencia 2027",IF(ISERROR(SEARCH("@itc.edu.co",V148)),"El responsable no tiene correo institucional",IF(ISERROR(SEARCH(Z148,INDEX(Catalogos!$Z$5:$Z$25,MATCH(AA148,L_IMP,0)))),"La dimensión no corresponde al indicador de impacto","OK")))))))</f>
        <v/>
      </c>
    </row>
    <row r="149" ht="105" customHeight="1" s="23">
      <c r="A149" s="80">
        <f>Base_OAPDI!A143</f>
        <v/>
      </c>
      <c r="B149" s="80">
        <f>Base_OAPDI!B143</f>
        <v/>
      </c>
      <c r="C149" s="80">
        <f>Base_OAPDI!D143</f>
        <v/>
      </c>
      <c r="D149" s="80">
        <f>Base_OAPDI!E143</f>
        <v/>
      </c>
      <c r="E149" s="80">
        <f>Base_OAPDI!F143</f>
        <v/>
      </c>
      <c r="F149" s="80">
        <f>Base_OAPDI!G143</f>
        <v/>
      </c>
      <c r="G149" s="80">
        <f>Base_OAPDI!H143</f>
        <v/>
      </c>
      <c r="H149" s="80">
        <f>Base_OAPDI!I143</f>
        <v/>
      </c>
      <c r="I149" s="80">
        <f>Base_OAPDI!J143</f>
        <v/>
      </c>
      <c r="J149" s="80">
        <f>Base_OAPDI!K143</f>
        <v/>
      </c>
      <c r="K149" s="80">
        <f>Base_OAPDI!L143</f>
        <v/>
      </c>
      <c r="L149" s="80">
        <f>Base_OAPDI!N143</f>
        <v/>
      </c>
      <c r="M149" s="80">
        <f>Base_OAPDI!P143</f>
        <v/>
      </c>
      <c r="N149" s="80">
        <f>Base_OAPDI!Q143</f>
        <v/>
      </c>
      <c r="O149" s="80">
        <f>Base_OAPDI!R143</f>
        <v/>
      </c>
      <c r="P149" s="80">
        <f>Base_OAPDI!S143</f>
        <v/>
      </c>
      <c r="Q149" s="81" t="n"/>
      <c r="R149" s="81" t="n"/>
      <c r="S149" s="81" t="n"/>
      <c r="T149" s="82" t="n"/>
      <c r="U149" s="82" t="n"/>
      <c r="V149" s="81" t="n"/>
      <c r="W149" s="81" t="n"/>
      <c r="X149" s="81" t="n"/>
      <c r="Y149" s="81" t="n"/>
      <c r="Z149" s="81" t="n"/>
      <c r="AA149" s="81" t="n"/>
      <c r="AB149" s="80">
        <f>IF(AA149="","",INDEX(Catalogos!$Y$5:$Y$25,MATCH(AA149,L_IMP,0)))</f>
        <v/>
      </c>
      <c r="AC149" s="81" t="n"/>
      <c r="AD149" s="81" t="n"/>
      <c r="AE149" s="81" t="n"/>
      <c r="AF149" s="83">
        <f>IF(Q149="","Pendiente por formular",IF(OR(S149="",T149="",U149="",V149="",W149="",X149="",Z149="",AA149=""),"Incompleta: faltan campos obligatorios",IF(OR(NOT(ISNUMBER(T149)),NOT(ISNUMBER(U149))),"Fecha inválida",IF(U149&lt;T149,"La fecha de fin es anterior a la de inicio",IF(OR(YEAR(T149)&lt;&gt;2027,YEAR(U149)&lt;&gt;2027),"Fechas fuera de la vigencia 2027",IF(ISERROR(SEARCH("@itc.edu.co",V149)),"El responsable no tiene correo institucional",IF(ISERROR(SEARCH(Z149,INDEX(Catalogos!$Z$5:$Z$25,MATCH(AA149,L_IMP,0)))),"La dimensión no corresponde al indicador de impacto","OK")))))))</f>
        <v/>
      </c>
    </row>
    <row r="150" ht="105" customHeight="1" s="23">
      <c r="A150" s="80">
        <f>Base_OAPDI!A144</f>
        <v/>
      </c>
      <c r="B150" s="80">
        <f>Base_OAPDI!B144</f>
        <v/>
      </c>
      <c r="C150" s="80">
        <f>Base_OAPDI!D144</f>
        <v/>
      </c>
      <c r="D150" s="80">
        <f>Base_OAPDI!E144</f>
        <v/>
      </c>
      <c r="E150" s="80">
        <f>Base_OAPDI!F144</f>
        <v/>
      </c>
      <c r="F150" s="80">
        <f>Base_OAPDI!G144</f>
        <v/>
      </c>
      <c r="G150" s="80">
        <f>Base_OAPDI!H144</f>
        <v/>
      </c>
      <c r="H150" s="80">
        <f>Base_OAPDI!I144</f>
        <v/>
      </c>
      <c r="I150" s="80">
        <f>Base_OAPDI!J144</f>
        <v/>
      </c>
      <c r="J150" s="80">
        <f>Base_OAPDI!K144</f>
        <v/>
      </c>
      <c r="K150" s="80">
        <f>Base_OAPDI!L144</f>
        <v/>
      </c>
      <c r="L150" s="80">
        <f>Base_OAPDI!N144</f>
        <v/>
      </c>
      <c r="M150" s="80">
        <f>Base_OAPDI!P144</f>
        <v/>
      </c>
      <c r="N150" s="80">
        <f>Base_OAPDI!Q144</f>
        <v/>
      </c>
      <c r="O150" s="80">
        <f>Base_OAPDI!R144</f>
        <v/>
      </c>
      <c r="P150" s="80">
        <f>Base_OAPDI!S144</f>
        <v/>
      </c>
      <c r="Q150" s="81" t="n"/>
      <c r="R150" s="81" t="n"/>
      <c r="S150" s="81" t="n"/>
      <c r="T150" s="82" t="n"/>
      <c r="U150" s="82" t="n"/>
      <c r="V150" s="81" t="n"/>
      <c r="W150" s="81" t="n"/>
      <c r="X150" s="81" t="n"/>
      <c r="Y150" s="81" t="n"/>
      <c r="Z150" s="81" t="n"/>
      <c r="AA150" s="81" t="n"/>
      <c r="AB150" s="80">
        <f>IF(AA150="","",INDEX(Catalogos!$Y$5:$Y$25,MATCH(AA150,L_IMP,0)))</f>
        <v/>
      </c>
      <c r="AC150" s="81" t="n"/>
      <c r="AD150" s="81" t="n"/>
      <c r="AE150" s="81" t="n"/>
      <c r="AF150" s="83">
        <f>IF(Q150="","Pendiente por formular",IF(OR(S150="",T150="",U150="",V150="",W150="",X150="",Z150="",AA150=""),"Incompleta: faltan campos obligatorios",IF(OR(NOT(ISNUMBER(T150)),NOT(ISNUMBER(U150))),"Fecha inválida",IF(U150&lt;T150,"La fecha de fin es anterior a la de inicio",IF(OR(YEAR(T150)&lt;&gt;2027,YEAR(U150)&lt;&gt;2027),"Fechas fuera de la vigencia 2027",IF(ISERROR(SEARCH("@itc.edu.co",V150)),"El responsable no tiene correo institucional",IF(ISERROR(SEARCH(Z150,INDEX(Catalogos!$Z$5:$Z$25,MATCH(AA150,L_IMP,0)))),"La dimensión no corresponde al indicador de impacto","OK")))))))</f>
        <v/>
      </c>
    </row>
    <row r="151" ht="75" customHeight="1" s="23">
      <c r="A151" s="80">
        <f>Base_OAPDI!A145</f>
        <v/>
      </c>
      <c r="B151" s="80">
        <f>Base_OAPDI!B145</f>
        <v/>
      </c>
      <c r="C151" s="80">
        <f>Base_OAPDI!D145</f>
        <v/>
      </c>
      <c r="D151" s="80">
        <f>Base_OAPDI!E145</f>
        <v/>
      </c>
      <c r="E151" s="80">
        <f>Base_OAPDI!F145</f>
        <v/>
      </c>
      <c r="F151" s="80">
        <f>Base_OAPDI!G145</f>
        <v/>
      </c>
      <c r="G151" s="80">
        <f>Base_OAPDI!H145</f>
        <v/>
      </c>
      <c r="H151" s="80">
        <f>Base_OAPDI!I145</f>
        <v/>
      </c>
      <c r="I151" s="80">
        <f>Base_OAPDI!J145</f>
        <v/>
      </c>
      <c r="J151" s="80">
        <f>Base_OAPDI!K145</f>
        <v/>
      </c>
      <c r="K151" s="80">
        <f>Base_OAPDI!L145</f>
        <v/>
      </c>
      <c r="L151" s="80">
        <f>Base_OAPDI!N145</f>
        <v/>
      </c>
      <c r="M151" s="80">
        <f>Base_OAPDI!P145</f>
        <v/>
      </c>
      <c r="N151" s="80">
        <f>Base_OAPDI!Q145</f>
        <v/>
      </c>
      <c r="O151" s="80">
        <f>Base_OAPDI!R145</f>
        <v/>
      </c>
      <c r="P151" s="80">
        <f>Base_OAPDI!S145</f>
        <v/>
      </c>
      <c r="Q151" s="81" t="n"/>
      <c r="R151" s="81" t="n"/>
      <c r="S151" s="81" t="n"/>
      <c r="T151" s="82" t="n"/>
      <c r="U151" s="82" t="n"/>
      <c r="V151" s="81" t="n"/>
      <c r="W151" s="81" t="n"/>
      <c r="X151" s="81" t="n"/>
      <c r="Y151" s="81" t="n"/>
      <c r="Z151" s="81" t="n"/>
      <c r="AA151" s="81" t="n"/>
      <c r="AB151" s="80">
        <f>IF(AA151="","",INDEX(Catalogos!$Y$5:$Y$25,MATCH(AA151,L_IMP,0)))</f>
        <v/>
      </c>
      <c r="AC151" s="81" t="n"/>
      <c r="AD151" s="81" t="n"/>
      <c r="AE151" s="81" t="n"/>
      <c r="AF151" s="83">
        <f>IF(Q151="","Pendiente por formular",IF(OR(S151="",T151="",U151="",V151="",W151="",X151="",Z151="",AA151=""),"Incompleta: faltan campos obligatorios",IF(OR(NOT(ISNUMBER(T151)),NOT(ISNUMBER(U151))),"Fecha inválida",IF(U151&lt;T151,"La fecha de fin es anterior a la de inicio",IF(OR(YEAR(T151)&lt;&gt;2027,YEAR(U151)&lt;&gt;2027),"Fechas fuera de la vigencia 2027",IF(ISERROR(SEARCH("@itc.edu.co",V151)),"El responsable no tiene correo institucional",IF(ISERROR(SEARCH(Z151,INDEX(Catalogos!$Z$5:$Z$25,MATCH(AA151,L_IMP,0)))),"La dimensión no corresponde al indicador de impacto","OK")))))))</f>
        <v/>
      </c>
    </row>
    <row r="152" ht="90" customHeight="1" s="23">
      <c r="A152" s="80">
        <f>Base_OAPDI!A146</f>
        <v/>
      </c>
      <c r="B152" s="80">
        <f>Base_OAPDI!B146</f>
        <v/>
      </c>
      <c r="C152" s="80">
        <f>Base_OAPDI!D146</f>
        <v/>
      </c>
      <c r="D152" s="80">
        <f>Base_OAPDI!E146</f>
        <v/>
      </c>
      <c r="E152" s="80">
        <f>Base_OAPDI!F146</f>
        <v/>
      </c>
      <c r="F152" s="80">
        <f>Base_OAPDI!G146</f>
        <v/>
      </c>
      <c r="G152" s="80">
        <f>Base_OAPDI!H146</f>
        <v/>
      </c>
      <c r="H152" s="80">
        <f>Base_OAPDI!I146</f>
        <v/>
      </c>
      <c r="I152" s="80">
        <f>Base_OAPDI!J146</f>
        <v/>
      </c>
      <c r="J152" s="80">
        <f>Base_OAPDI!K146</f>
        <v/>
      </c>
      <c r="K152" s="80">
        <f>Base_OAPDI!L146</f>
        <v/>
      </c>
      <c r="L152" s="80">
        <f>Base_OAPDI!N146</f>
        <v/>
      </c>
      <c r="M152" s="80">
        <f>Base_OAPDI!P146</f>
        <v/>
      </c>
      <c r="N152" s="80">
        <f>Base_OAPDI!Q146</f>
        <v/>
      </c>
      <c r="O152" s="80">
        <f>Base_OAPDI!R146</f>
        <v/>
      </c>
      <c r="P152" s="80">
        <f>Base_OAPDI!S146</f>
        <v/>
      </c>
      <c r="Q152" s="81" t="n"/>
      <c r="R152" s="81" t="n"/>
      <c r="S152" s="81" t="n"/>
      <c r="T152" s="82" t="n"/>
      <c r="U152" s="82" t="n"/>
      <c r="V152" s="81" t="n"/>
      <c r="W152" s="81" t="n"/>
      <c r="X152" s="81" t="n"/>
      <c r="Y152" s="81" t="n"/>
      <c r="Z152" s="81" t="n"/>
      <c r="AA152" s="81" t="n"/>
      <c r="AB152" s="80">
        <f>IF(AA152="","",INDEX(Catalogos!$Y$5:$Y$25,MATCH(AA152,L_IMP,0)))</f>
        <v/>
      </c>
      <c r="AC152" s="81" t="n"/>
      <c r="AD152" s="81" t="n"/>
      <c r="AE152" s="81" t="n"/>
      <c r="AF152" s="83">
        <f>IF(Q152="","Pendiente por formular",IF(OR(S152="",T152="",U152="",V152="",W152="",X152="",Z152="",AA152=""),"Incompleta: faltan campos obligatorios",IF(OR(NOT(ISNUMBER(T152)),NOT(ISNUMBER(U152))),"Fecha inválida",IF(U152&lt;T152,"La fecha de fin es anterior a la de inicio",IF(OR(YEAR(T152)&lt;&gt;2027,YEAR(U152)&lt;&gt;2027),"Fechas fuera de la vigencia 2027",IF(ISERROR(SEARCH("@itc.edu.co",V152)),"El responsable no tiene correo institucional",IF(ISERROR(SEARCH(Z152,INDEX(Catalogos!$Z$5:$Z$25,MATCH(AA152,L_IMP,0)))),"La dimensión no corresponde al indicador de impacto","OK")))))))</f>
        <v/>
      </c>
    </row>
    <row r="153" ht="260" customHeight="1" s="23">
      <c r="A153" s="80">
        <f>Base_OAPDI!A147</f>
        <v/>
      </c>
      <c r="B153" s="80">
        <f>Base_OAPDI!B147</f>
        <v/>
      </c>
      <c r="C153" s="80">
        <f>Base_OAPDI!D147</f>
        <v/>
      </c>
      <c r="D153" s="80">
        <f>Base_OAPDI!E147</f>
        <v/>
      </c>
      <c r="E153" s="80">
        <f>Base_OAPDI!F147</f>
        <v/>
      </c>
      <c r="F153" s="80">
        <f>Base_OAPDI!G147</f>
        <v/>
      </c>
      <c r="G153" s="80">
        <f>Base_OAPDI!H147</f>
        <v/>
      </c>
      <c r="H153" s="80">
        <f>Base_OAPDI!I147</f>
        <v/>
      </c>
      <c r="I153" s="80">
        <f>Base_OAPDI!J147</f>
        <v/>
      </c>
      <c r="J153" s="80">
        <f>Base_OAPDI!K147</f>
        <v/>
      </c>
      <c r="K153" s="80">
        <f>Base_OAPDI!L147</f>
        <v/>
      </c>
      <c r="L153" s="80">
        <f>Base_OAPDI!N147</f>
        <v/>
      </c>
      <c r="M153" s="80">
        <f>Base_OAPDI!P147</f>
        <v/>
      </c>
      <c r="N153" s="80">
        <f>Base_OAPDI!Q147</f>
        <v/>
      </c>
      <c r="O153" s="80">
        <f>Base_OAPDI!R147</f>
        <v/>
      </c>
      <c r="P153" s="80">
        <f>Base_OAPDI!S147</f>
        <v/>
      </c>
      <c r="Q153" s="81" t="n"/>
      <c r="R153" s="81" t="n"/>
      <c r="S153" s="81" t="n"/>
      <c r="T153" s="82" t="n"/>
      <c r="U153" s="82" t="n"/>
      <c r="V153" s="81" t="n"/>
      <c r="W153" s="81" t="n"/>
      <c r="X153" s="81" t="n"/>
      <c r="Y153" s="81" t="n"/>
      <c r="Z153" s="81" t="n"/>
      <c r="AA153" s="81" t="n"/>
      <c r="AB153" s="80">
        <f>IF(AA153="","",INDEX(Catalogos!$Y$5:$Y$25,MATCH(AA153,L_IMP,0)))</f>
        <v/>
      </c>
      <c r="AC153" s="81" t="n"/>
      <c r="AD153" s="81" t="n"/>
      <c r="AE153" s="81" t="n"/>
      <c r="AF153" s="83">
        <f>IF(Q153="","Pendiente por formular",IF(OR(S153="",T153="",U153="",V153="",W153="",X153="",Z153="",AA153=""),"Incompleta: faltan campos obligatorios",IF(OR(NOT(ISNUMBER(T153)),NOT(ISNUMBER(U153))),"Fecha inválida",IF(U153&lt;T153,"La fecha de fin es anterior a la de inicio",IF(OR(YEAR(T153)&lt;&gt;2027,YEAR(U153)&lt;&gt;2027),"Fechas fuera de la vigencia 2027",IF(ISERROR(SEARCH("@itc.edu.co",V153)),"El responsable no tiene correo institucional",IF(ISERROR(SEARCH(Z153,INDEX(Catalogos!$Z$5:$Z$25,MATCH(AA153,L_IMP,0)))),"La dimensión no corresponde al indicador de impacto","OK")))))))</f>
        <v/>
      </c>
    </row>
    <row r="154" ht="75" customHeight="1" s="23">
      <c r="A154" s="80">
        <f>Base_OAPDI!A148</f>
        <v/>
      </c>
      <c r="B154" s="80">
        <f>Base_OAPDI!B148</f>
        <v/>
      </c>
      <c r="C154" s="80">
        <f>Base_OAPDI!D148</f>
        <v/>
      </c>
      <c r="D154" s="80">
        <f>Base_OAPDI!E148</f>
        <v/>
      </c>
      <c r="E154" s="80">
        <f>Base_OAPDI!F148</f>
        <v/>
      </c>
      <c r="F154" s="80">
        <f>Base_OAPDI!G148</f>
        <v/>
      </c>
      <c r="G154" s="80">
        <f>Base_OAPDI!H148</f>
        <v/>
      </c>
      <c r="H154" s="80">
        <f>Base_OAPDI!I148</f>
        <v/>
      </c>
      <c r="I154" s="80">
        <f>Base_OAPDI!J148</f>
        <v/>
      </c>
      <c r="J154" s="80">
        <f>Base_OAPDI!K148</f>
        <v/>
      </c>
      <c r="K154" s="80">
        <f>Base_OAPDI!L148</f>
        <v/>
      </c>
      <c r="L154" s="80">
        <f>Base_OAPDI!N148</f>
        <v/>
      </c>
      <c r="M154" s="80">
        <f>Base_OAPDI!P148</f>
        <v/>
      </c>
      <c r="N154" s="80">
        <f>Base_OAPDI!Q148</f>
        <v/>
      </c>
      <c r="O154" s="80">
        <f>Base_OAPDI!R148</f>
        <v/>
      </c>
      <c r="P154" s="80">
        <f>Base_OAPDI!S148</f>
        <v/>
      </c>
      <c r="Q154" s="81" t="n"/>
      <c r="R154" s="81" t="n"/>
      <c r="S154" s="81" t="n"/>
      <c r="T154" s="82" t="n"/>
      <c r="U154" s="82" t="n"/>
      <c r="V154" s="81" t="n"/>
      <c r="W154" s="81" t="n"/>
      <c r="X154" s="81" t="n"/>
      <c r="Y154" s="81" t="n"/>
      <c r="Z154" s="81" t="n"/>
      <c r="AA154" s="81" t="n"/>
      <c r="AB154" s="80">
        <f>IF(AA154="","",INDEX(Catalogos!$Y$5:$Y$25,MATCH(AA154,L_IMP,0)))</f>
        <v/>
      </c>
      <c r="AC154" s="81" t="n"/>
      <c r="AD154" s="81" t="n"/>
      <c r="AE154" s="81" t="n"/>
      <c r="AF154" s="83">
        <f>IF(Q154="","Pendiente por formular",IF(OR(S154="",T154="",U154="",V154="",W154="",X154="",Z154="",AA154=""),"Incompleta: faltan campos obligatorios",IF(OR(NOT(ISNUMBER(T154)),NOT(ISNUMBER(U154))),"Fecha inválida",IF(U154&lt;T154,"La fecha de fin es anterior a la de inicio",IF(OR(YEAR(T154)&lt;&gt;2027,YEAR(U154)&lt;&gt;2027),"Fechas fuera de la vigencia 2027",IF(ISERROR(SEARCH("@itc.edu.co",V154)),"El responsable no tiene correo institucional",IF(ISERROR(SEARCH(Z154,INDEX(Catalogos!$Z$5:$Z$25,MATCH(AA154,L_IMP,0)))),"La dimensión no corresponde al indicador de impacto","OK")))))))</f>
        <v/>
      </c>
    </row>
    <row r="155" ht="120" customHeight="1" s="23">
      <c r="A155" s="80">
        <f>Base_OAPDI!A149</f>
        <v/>
      </c>
      <c r="B155" s="80">
        <f>Base_OAPDI!B149</f>
        <v/>
      </c>
      <c r="C155" s="80">
        <f>Base_OAPDI!D149</f>
        <v/>
      </c>
      <c r="D155" s="80">
        <f>Base_OAPDI!E149</f>
        <v/>
      </c>
      <c r="E155" s="80">
        <f>Base_OAPDI!F149</f>
        <v/>
      </c>
      <c r="F155" s="80">
        <f>Base_OAPDI!G149</f>
        <v/>
      </c>
      <c r="G155" s="80">
        <f>Base_OAPDI!H149</f>
        <v/>
      </c>
      <c r="H155" s="80">
        <f>Base_OAPDI!I149</f>
        <v/>
      </c>
      <c r="I155" s="80">
        <f>Base_OAPDI!J149</f>
        <v/>
      </c>
      <c r="J155" s="80">
        <f>Base_OAPDI!K149</f>
        <v/>
      </c>
      <c r="K155" s="80">
        <f>Base_OAPDI!L149</f>
        <v/>
      </c>
      <c r="L155" s="80">
        <f>Base_OAPDI!N149</f>
        <v/>
      </c>
      <c r="M155" s="80">
        <f>Base_OAPDI!P149</f>
        <v/>
      </c>
      <c r="N155" s="80">
        <f>Base_OAPDI!Q149</f>
        <v/>
      </c>
      <c r="O155" s="80">
        <f>Base_OAPDI!R149</f>
        <v/>
      </c>
      <c r="P155" s="80">
        <f>Base_OAPDI!S149</f>
        <v/>
      </c>
      <c r="Q155" s="81" t="n"/>
      <c r="R155" s="81" t="n"/>
      <c r="S155" s="81" t="n"/>
      <c r="T155" s="82" t="n"/>
      <c r="U155" s="82" t="n"/>
      <c r="V155" s="81" t="n"/>
      <c r="W155" s="81" t="n"/>
      <c r="X155" s="81" t="n"/>
      <c r="Y155" s="81" t="n"/>
      <c r="Z155" s="81" t="n"/>
      <c r="AA155" s="81" t="n"/>
      <c r="AB155" s="80">
        <f>IF(AA155="","",INDEX(Catalogos!$Y$5:$Y$25,MATCH(AA155,L_IMP,0)))</f>
        <v/>
      </c>
      <c r="AC155" s="81" t="n"/>
      <c r="AD155" s="81" t="n"/>
      <c r="AE155" s="81" t="n"/>
      <c r="AF155" s="83">
        <f>IF(Q155="","Pendiente por formular",IF(OR(S155="",T155="",U155="",V155="",W155="",X155="",Z155="",AA155=""),"Incompleta: faltan campos obligatorios",IF(OR(NOT(ISNUMBER(T155)),NOT(ISNUMBER(U155))),"Fecha inválida",IF(U155&lt;T155,"La fecha de fin es anterior a la de inicio",IF(OR(YEAR(T155)&lt;&gt;2027,YEAR(U155)&lt;&gt;2027),"Fechas fuera de la vigencia 2027",IF(ISERROR(SEARCH("@itc.edu.co",V155)),"El responsable no tiene correo institucional",IF(ISERROR(SEARCH(Z155,INDEX(Catalogos!$Z$5:$Z$25,MATCH(AA155,L_IMP,0)))),"La dimensión no corresponde al indicador de impacto","OK")))))))</f>
        <v/>
      </c>
    </row>
    <row r="156" ht="120" customHeight="1" s="23">
      <c r="A156" s="80">
        <f>Base_OAPDI!A150</f>
        <v/>
      </c>
      <c r="B156" s="80">
        <f>Base_OAPDI!B150</f>
        <v/>
      </c>
      <c r="C156" s="80">
        <f>Base_OAPDI!D150</f>
        <v/>
      </c>
      <c r="D156" s="80">
        <f>Base_OAPDI!E150</f>
        <v/>
      </c>
      <c r="E156" s="80">
        <f>Base_OAPDI!F150</f>
        <v/>
      </c>
      <c r="F156" s="80">
        <f>Base_OAPDI!G150</f>
        <v/>
      </c>
      <c r="G156" s="80">
        <f>Base_OAPDI!H150</f>
        <v/>
      </c>
      <c r="H156" s="80">
        <f>Base_OAPDI!I150</f>
        <v/>
      </c>
      <c r="I156" s="80">
        <f>Base_OAPDI!J150</f>
        <v/>
      </c>
      <c r="J156" s="80">
        <f>Base_OAPDI!K150</f>
        <v/>
      </c>
      <c r="K156" s="80">
        <f>Base_OAPDI!L150</f>
        <v/>
      </c>
      <c r="L156" s="80">
        <f>Base_OAPDI!N150</f>
        <v/>
      </c>
      <c r="M156" s="80">
        <f>Base_OAPDI!P150</f>
        <v/>
      </c>
      <c r="N156" s="80">
        <f>Base_OAPDI!Q150</f>
        <v/>
      </c>
      <c r="O156" s="80">
        <f>Base_OAPDI!R150</f>
        <v/>
      </c>
      <c r="P156" s="80">
        <f>Base_OAPDI!S150</f>
        <v/>
      </c>
      <c r="Q156" s="81" t="n"/>
      <c r="R156" s="81" t="n"/>
      <c r="S156" s="81" t="n"/>
      <c r="T156" s="82" t="n"/>
      <c r="U156" s="82" t="n"/>
      <c r="V156" s="81" t="n"/>
      <c r="W156" s="81" t="n"/>
      <c r="X156" s="81" t="n"/>
      <c r="Y156" s="81" t="n"/>
      <c r="Z156" s="81" t="n"/>
      <c r="AA156" s="81" t="n"/>
      <c r="AB156" s="80">
        <f>IF(AA156="","",INDEX(Catalogos!$Y$5:$Y$25,MATCH(AA156,L_IMP,0)))</f>
        <v/>
      </c>
      <c r="AC156" s="81" t="n"/>
      <c r="AD156" s="81" t="n"/>
      <c r="AE156" s="81" t="n"/>
      <c r="AF156" s="83">
        <f>IF(Q156="","Pendiente por formular",IF(OR(S156="",T156="",U156="",V156="",W156="",X156="",Z156="",AA156=""),"Incompleta: faltan campos obligatorios",IF(OR(NOT(ISNUMBER(T156)),NOT(ISNUMBER(U156))),"Fecha inválida",IF(U156&lt;T156,"La fecha de fin es anterior a la de inicio",IF(OR(YEAR(T156)&lt;&gt;2027,YEAR(U156)&lt;&gt;2027),"Fechas fuera de la vigencia 2027",IF(ISERROR(SEARCH("@itc.edu.co",V156)),"El responsable no tiene correo institucional",IF(ISERROR(SEARCH(Z156,INDEX(Catalogos!$Z$5:$Z$25,MATCH(AA156,L_IMP,0)))),"La dimensión no corresponde al indicador de impacto","OK")))))))</f>
        <v/>
      </c>
    </row>
    <row r="157" ht="90" customHeight="1" s="23">
      <c r="A157" s="80">
        <f>Base_OAPDI!A151</f>
        <v/>
      </c>
      <c r="B157" s="80">
        <f>Base_OAPDI!B151</f>
        <v/>
      </c>
      <c r="C157" s="80">
        <f>Base_OAPDI!D151</f>
        <v/>
      </c>
      <c r="D157" s="80">
        <f>Base_OAPDI!E151</f>
        <v/>
      </c>
      <c r="E157" s="80">
        <f>Base_OAPDI!F151</f>
        <v/>
      </c>
      <c r="F157" s="80">
        <f>Base_OAPDI!G151</f>
        <v/>
      </c>
      <c r="G157" s="80">
        <f>Base_OAPDI!H151</f>
        <v/>
      </c>
      <c r="H157" s="80">
        <f>Base_OAPDI!I151</f>
        <v/>
      </c>
      <c r="I157" s="80">
        <f>Base_OAPDI!J151</f>
        <v/>
      </c>
      <c r="J157" s="80">
        <f>Base_OAPDI!K151</f>
        <v/>
      </c>
      <c r="K157" s="80">
        <f>Base_OAPDI!L151</f>
        <v/>
      </c>
      <c r="L157" s="80">
        <f>Base_OAPDI!N151</f>
        <v/>
      </c>
      <c r="M157" s="80">
        <f>Base_OAPDI!P151</f>
        <v/>
      </c>
      <c r="N157" s="80">
        <f>Base_OAPDI!Q151</f>
        <v/>
      </c>
      <c r="O157" s="80">
        <f>Base_OAPDI!R151</f>
        <v/>
      </c>
      <c r="P157" s="80">
        <f>Base_OAPDI!S151</f>
        <v/>
      </c>
      <c r="Q157" s="81" t="n"/>
      <c r="R157" s="81" t="n"/>
      <c r="S157" s="81" t="n"/>
      <c r="T157" s="82" t="n"/>
      <c r="U157" s="82" t="n"/>
      <c r="V157" s="81" t="n"/>
      <c r="W157" s="81" t="n"/>
      <c r="X157" s="81" t="n"/>
      <c r="Y157" s="81" t="n"/>
      <c r="Z157" s="81" t="n"/>
      <c r="AA157" s="81" t="n"/>
      <c r="AB157" s="80">
        <f>IF(AA157="","",INDEX(Catalogos!$Y$5:$Y$25,MATCH(AA157,L_IMP,0)))</f>
        <v/>
      </c>
      <c r="AC157" s="81" t="n"/>
      <c r="AD157" s="81" t="n"/>
      <c r="AE157" s="81" t="n"/>
      <c r="AF157" s="83">
        <f>IF(Q157="","Pendiente por formular",IF(OR(S157="",T157="",U157="",V157="",W157="",X157="",Z157="",AA157=""),"Incompleta: faltan campos obligatorios",IF(OR(NOT(ISNUMBER(T157)),NOT(ISNUMBER(U157))),"Fecha inválida",IF(U157&lt;T157,"La fecha de fin es anterior a la de inicio",IF(OR(YEAR(T157)&lt;&gt;2027,YEAR(U157)&lt;&gt;2027),"Fechas fuera de la vigencia 2027",IF(ISERROR(SEARCH("@itc.edu.co",V157)),"El responsable no tiene correo institucional",IF(ISERROR(SEARCH(Z157,INDEX(Catalogos!$Z$5:$Z$25,MATCH(AA157,L_IMP,0)))),"La dimensión no corresponde al indicador de impacto","OK")))))))</f>
        <v/>
      </c>
    </row>
    <row r="158" ht="135" customHeight="1" s="23">
      <c r="A158" s="80">
        <f>Base_OAPDI!A152</f>
        <v/>
      </c>
      <c r="B158" s="80">
        <f>Base_OAPDI!B152</f>
        <v/>
      </c>
      <c r="C158" s="80">
        <f>Base_OAPDI!D152</f>
        <v/>
      </c>
      <c r="D158" s="80">
        <f>Base_OAPDI!E152</f>
        <v/>
      </c>
      <c r="E158" s="80">
        <f>Base_OAPDI!F152</f>
        <v/>
      </c>
      <c r="F158" s="80">
        <f>Base_OAPDI!G152</f>
        <v/>
      </c>
      <c r="G158" s="80">
        <f>Base_OAPDI!H152</f>
        <v/>
      </c>
      <c r="H158" s="80">
        <f>Base_OAPDI!I152</f>
        <v/>
      </c>
      <c r="I158" s="80">
        <f>Base_OAPDI!J152</f>
        <v/>
      </c>
      <c r="J158" s="80">
        <f>Base_OAPDI!K152</f>
        <v/>
      </c>
      <c r="K158" s="80">
        <f>Base_OAPDI!L152</f>
        <v/>
      </c>
      <c r="L158" s="80">
        <f>Base_OAPDI!N152</f>
        <v/>
      </c>
      <c r="M158" s="80">
        <f>Base_OAPDI!P152</f>
        <v/>
      </c>
      <c r="N158" s="80">
        <f>Base_OAPDI!Q152</f>
        <v/>
      </c>
      <c r="O158" s="80">
        <f>Base_OAPDI!R152</f>
        <v/>
      </c>
      <c r="P158" s="80">
        <f>Base_OAPDI!S152</f>
        <v/>
      </c>
      <c r="Q158" s="81" t="n"/>
      <c r="R158" s="81" t="n"/>
      <c r="S158" s="81" t="n"/>
      <c r="T158" s="82" t="n"/>
      <c r="U158" s="82" t="n"/>
      <c r="V158" s="81" t="n"/>
      <c r="W158" s="81" t="n"/>
      <c r="X158" s="81" t="n"/>
      <c r="Y158" s="81" t="n"/>
      <c r="Z158" s="81" t="n"/>
      <c r="AA158" s="81" t="n"/>
      <c r="AB158" s="80">
        <f>IF(AA158="","",INDEX(Catalogos!$Y$5:$Y$25,MATCH(AA158,L_IMP,0)))</f>
        <v/>
      </c>
      <c r="AC158" s="81" t="n"/>
      <c r="AD158" s="81" t="n"/>
      <c r="AE158" s="81" t="n"/>
      <c r="AF158" s="83">
        <f>IF(Q158="","Pendiente por formular",IF(OR(S158="",T158="",U158="",V158="",W158="",X158="",Z158="",AA158=""),"Incompleta: faltan campos obligatorios",IF(OR(NOT(ISNUMBER(T158)),NOT(ISNUMBER(U158))),"Fecha inválida",IF(U158&lt;T158,"La fecha de fin es anterior a la de inicio",IF(OR(YEAR(T158)&lt;&gt;2027,YEAR(U158)&lt;&gt;2027),"Fechas fuera de la vigencia 2027",IF(ISERROR(SEARCH("@itc.edu.co",V158)),"El responsable no tiene correo institucional",IF(ISERROR(SEARCH(Z158,INDEX(Catalogos!$Z$5:$Z$25,MATCH(AA158,L_IMP,0)))),"La dimensión no corresponde al indicador de impacto","OK")))))))</f>
        <v/>
      </c>
    </row>
    <row r="159" ht="135" customHeight="1" s="23">
      <c r="A159" s="80">
        <f>Base_OAPDI!A153</f>
        <v/>
      </c>
      <c r="B159" s="80">
        <f>Base_OAPDI!B153</f>
        <v/>
      </c>
      <c r="C159" s="80">
        <f>Base_OAPDI!D153</f>
        <v/>
      </c>
      <c r="D159" s="80">
        <f>Base_OAPDI!E153</f>
        <v/>
      </c>
      <c r="E159" s="80">
        <f>Base_OAPDI!F153</f>
        <v/>
      </c>
      <c r="F159" s="80">
        <f>Base_OAPDI!G153</f>
        <v/>
      </c>
      <c r="G159" s="80">
        <f>Base_OAPDI!H153</f>
        <v/>
      </c>
      <c r="H159" s="80">
        <f>Base_OAPDI!I153</f>
        <v/>
      </c>
      <c r="I159" s="80">
        <f>Base_OAPDI!J153</f>
        <v/>
      </c>
      <c r="J159" s="80">
        <f>Base_OAPDI!K153</f>
        <v/>
      </c>
      <c r="K159" s="80">
        <f>Base_OAPDI!L153</f>
        <v/>
      </c>
      <c r="L159" s="80">
        <f>Base_OAPDI!N153</f>
        <v/>
      </c>
      <c r="M159" s="80">
        <f>Base_OAPDI!P153</f>
        <v/>
      </c>
      <c r="N159" s="80">
        <f>Base_OAPDI!Q153</f>
        <v/>
      </c>
      <c r="O159" s="80">
        <f>Base_OAPDI!R153</f>
        <v/>
      </c>
      <c r="P159" s="80">
        <f>Base_OAPDI!S153</f>
        <v/>
      </c>
      <c r="Q159" s="81" t="n"/>
      <c r="R159" s="81" t="n"/>
      <c r="S159" s="81" t="n"/>
      <c r="T159" s="82" t="n"/>
      <c r="U159" s="82" t="n"/>
      <c r="V159" s="81" t="n"/>
      <c r="W159" s="81" t="n"/>
      <c r="X159" s="81" t="n"/>
      <c r="Y159" s="81" t="n"/>
      <c r="Z159" s="81" t="n"/>
      <c r="AA159" s="81" t="n"/>
      <c r="AB159" s="80">
        <f>IF(AA159="","",INDEX(Catalogos!$Y$5:$Y$25,MATCH(AA159,L_IMP,0)))</f>
        <v/>
      </c>
      <c r="AC159" s="81" t="n"/>
      <c r="AD159" s="81" t="n"/>
      <c r="AE159" s="81" t="n"/>
      <c r="AF159" s="83">
        <f>IF(Q159="","Pendiente por formular",IF(OR(S159="",T159="",U159="",V159="",W159="",X159="",Z159="",AA159=""),"Incompleta: faltan campos obligatorios",IF(OR(NOT(ISNUMBER(T159)),NOT(ISNUMBER(U159))),"Fecha inválida",IF(U159&lt;T159,"La fecha de fin es anterior a la de inicio",IF(OR(YEAR(T159)&lt;&gt;2027,YEAR(U159)&lt;&gt;2027),"Fechas fuera de la vigencia 2027",IF(ISERROR(SEARCH("@itc.edu.co",V159)),"El responsable no tiene correo institucional",IF(ISERROR(SEARCH(Z159,INDEX(Catalogos!$Z$5:$Z$25,MATCH(AA159,L_IMP,0)))),"La dimensión no corresponde al indicador de impacto","OK")))))))</f>
        <v/>
      </c>
    </row>
    <row r="160" ht="105" customHeight="1" s="23">
      <c r="A160" s="80">
        <f>Base_OAPDI!A154</f>
        <v/>
      </c>
      <c r="B160" s="80">
        <f>Base_OAPDI!B154</f>
        <v/>
      </c>
      <c r="C160" s="80">
        <f>Base_OAPDI!D154</f>
        <v/>
      </c>
      <c r="D160" s="80">
        <f>Base_OAPDI!E154</f>
        <v/>
      </c>
      <c r="E160" s="80">
        <f>Base_OAPDI!F154</f>
        <v/>
      </c>
      <c r="F160" s="80">
        <f>Base_OAPDI!G154</f>
        <v/>
      </c>
      <c r="G160" s="80">
        <f>Base_OAPDI!H154</f>
        <v/>
      </c>
      <c r="H160" s="80">
        <f>Base_OAPDI!I154</f>
        <v/>
      </c>
      <c r="I160" s="80">
        <f>Base_OAPDI!J154</f>
        <v/>
      </c>
      <c r="J160" s="80">
        <f>Base_OAPDI!K154</f>
        <v/>
      </c>
      <c r="K160" s="80">
        <f>Base_OAPDI!L154</f>
        <v/>
      </c>
      <c r="L160" s="80">
        <f>Base_OAPDI!N154</f>
        <v/>
      </c>
      <c r="M160" s="80">
        <f>Base_OAPDI!P154</f>
        <v/>
      </c>
      <c r="N160" s="80">
        <f>Base_OAPDI!Q154</f>
        <v/>
      </c>
      <c r="O160" s="80">
        <f>Base_OAPDI!R154</f>
        <v/>
      </c>
      <c r="P160" s="80">
        <f>Base_OAPDI!S154</f>
        <v/>
      </c>
      <c r="Q160" s="81" t="n"/>
      <c r="R160" s="81" t="n"/>
      <c r="S160" s="81" t="n"/>
      <c r="T160" s="82" t="n"/>
      <c r="U160" s="82" t="n"/>
      <c r="V160" s="81" t="n"/>
      <c r="W160" s="81" t="n"/>
      <c r="X160" s="81" t="n"/>
      <c r="Y160" s="81" t="n"/>
      <c r="Z160" s="81" t="n"/>
      <c r="AA160" s="81" t="n"/>
      <c r="AB160" s="80">
        <f>IF(AA160="","",INDEX(Catalogos!$Y$5:$Y$25,MATCH(AA160,L_IMP,0)))</f>
        <v/>
      </c>
      <c r="AC160" s="81" t="n"/>
      <c r="AD160" s="81" t="n"/>
      <c r="AE160" s="81" t="n"/>
      <c r="AF160" s="83">
        <f>IF(Q160="","Pendiente por formular",IF(OR(S160="",T160="",U160="",V160="",W160="",X160="",Z160="",AA160=""),"Incompleta: faltan campos obligatorios",IF(OR(NOT(ISNUMBER(T160)),NOT(ISNUMBER(U160))),"Fecha inválida",IF(U160&lt;T160,"La fecha de fin es anterior a la de inicio",IF(OR(YEAR(T160)&lt;&gt;2027,YEAR(U160)&lt;&gt;2027),"Fechas fuera de la vigencia 2027",IF(ISERROR(SEARCH("@itc.edu.co",V160)),"El responsable no tiene correo institucional",IF(ISERROR(SEARCH(Z160,INDEX(Catalogos!$Z$5:$Z$25,MATCH(AA160,L_IMP,0)))),"La dimensión no corresponde al indicador de impacto","OK")))))))</f>
        <v/>
      </c>
    </row>
    <row r="161" ht="105" customHeight="1" s="23">
      <c r="A161" s="80">
        <f>Base_OAPDI!A155</f>
        <v/>
      </c>
      <c r="B161" s="80">
        <f>Base_OAPDI!B155</f>
        <v/>
      </c>
      <c r="C161" s="80">
        <f>Base_OAPDI!D155</f>
        <v/>
      </c>
      <c r="D161" s="80">
        <f>Base_OAPDI!E155</f>
        <v/>
      </c>
      <c r="E161" s="80">
        <f>Base_OAPDI!F155</f>
        <v/>
      </c>
      <c r="F161" s="80">
        <f>Base_OAPDI!G155</f>
        <v/>
      </c>
      <c r="G161" s="80">
        <f>Base_OAPDI!H155</f>
        <v/>
      </c>
      <c r="H161" s="80">
        <f>Base_OAPDI!I155</f>
        <v/>
      </c>
      <c r="I161" s="80">
        <f>Base_OAPDI!J155</f>
        <v/>
      </c>
      <c r="J161" s="80">
        <f>Base_OAPDI!K155</f>
        <v/>
      </c>
      <c r="K161" s="80">
        <f>Base_OAPDI!L155</f>
        <v/>
      </c>
      <c r="L161" s="80">
        <f>Base_OAPDI!N155</f>
        <v/>
      </c>
      <c r="M161" s="80">
        <f>Base_OAPDI!P155</f>
        <v/>
      </c>
      <c r="N161" s="80">
        <f>Base_OAPDI!Q155</f>
        <v/>
      </c>
      <c r="O161" s="80">
        <f>Base_OAPDI!R155</f>
        <v/>
      </c>
      <c r="P161" s="80">
        <f>Base_OAPDI!S155</f>
        <v/>
      </c>
      <c r="Q161" s="81" t="n"/>
      <c r="R161" s="81" t="n"/>
      <c r="S161" s="81" t="n"/>
      <c r="T161" s="82" t="n"/>
      <c r="U161" s="82" t="n"/>
      <c r="V161" s="81" t="n"/>
      <c r="W161" s="81" t="n"/>
      <c r="X161" s="81" t="n"/>
      <c r="Y161" s="81" t="n"/>
      <c r="Z161" s="81" t="n"/>
      <c r="AA161" s="81" t="n"/>
      <c r="AB161" s="80">
        <f>IF(AA161="","",INDEX(Catalogos!$Y$5:$Y$25,MATCH(AA161,L_IMP,0)))</f>
        <v/>
      </c>
      <c r="AC161" s="81" t="n"/>
      <c r="AD161" s="81" t="n"/>
      <c r="AE161" s="81" t="n"/>
      <c r="AF161" s="83">
        <f>IF(Q161="","Pendiente por formular",IF(OR(S161="",T161="",U161="",V161="",W161="",X161="",Z161="",AA161=""),"Incompleta: faltan campos obligatorios",IF(OR(NOT(ISNUMBER(T161)),NOT(ISNUMBER(U161))),"Fecha inválida",IF(U161&lt;T161,"La fecha de fin es anterior a la de inicio",IF(OR(YEAR(T161)&lt;&gt;2027,YEAR(U161)&lt;&gt;2027),"Fechas fuera de la vigencia 2027",IF(ISERROR(SEARCH("@itc.edu.co",V161)),"El responsable no tiene correo institucional",IF(ISERROR(SEARCH(Z161,INDEX(Catalogos!$Z$5:$Z$25,MATCH(AA161,L_IMP,0)))),"La dimensión no corresponde al indicador de impacto","OK")))))))</f>
        <v/>
      </c>
    </row>
    <row r="162" ht="105" customHeight="1" s="23">
      <c r="A162" s="80">
        <f>Base_OAPDI!A156</f>
        <v/>
      </c>
      <c r="B162" s="80">
        <f>Base_OAPDI!B156</f>
        <v/>
      </c>
      <c r="C162" s="80">
        <f>Base_OAPDI!D156</f>
        <v/>
      </c>
      <c r="D162" s="80">
        <f>Base_OAPDI!E156</f>
        <v/>
      </c>
      <c r="E162" s="80">
        <f>Base_OAPDI!F156</f>
        <v/>
      </c>
      <c r="F162" s="80">
        <f>Base_OAPDI!G156</f>
        <v/>
      </c>
      <c r="G162" s="80">
        <f>Base_OAPDI!H156</f>
        <v/>
      </c>
      <c r="H162" s="80">
        <f>Base_OAPDI!I156</f>
        <v/>
      </c>
      <c r="I162" s="80">
        <f>Base_OAPDI!J156</f>
        <v/>
      </c>
      <c r="J162" s="80">
        <f>Base_OAPDI!K156</f>
        <v/>
      </c>
      <c r="K162" s="80">
        <f>Base_OAPDI!L156</f>
        <v/>
      </c>
      <c r="L162" s="80">
        <f>Base_OAPDI!N156</f>
        <v/>
      </c>
      <c r="M162" s="80">
        <f>Base_OAPDI!P156</f>
        <v/>
      </c>
      <c r="N162" s="80">
        <f>Base_OAPDI!Q156</f>
        <v/>
      </c>
      <c r="O162" s="80">
        <f>Base_OAPDI!R156</f>
        <v/>
      </c>
      <c r="P162" s="80">
        <f>Base_OAPDI!S156</f>
        <v/>
      </c>
      <c r="Q162" s="81" t="n"/>
      <c r="R162" s="81" t="n"/>
      <c r="S162" s="81" t="n"/>
      <c r="T162" s="82" t="n"/>
      <c r="U162" s="82" t="n"/>
      <c r="V162" s="81" t="n"/>
      <c r="W162" s="81" t="n"/>
      <c r="X162" s="81" t="n"/>
      <c r="Y162" s="81" t="n"/>
      <c r="Z162" s="81" t="n"/>
      <c r="AA162" s="81" t="n"/>
      <c r="AB162" s="80">
        <f>IF(AA162="","",INDEX(Catalogos!$Y$5:$Y$25,MATCH(AA162,L_IMP,0)))</f>
        <v/>
      </c>
      <c r="AC162" s="81" t="n"/>
      <c r="AD162" s="81" t="n"/>
      <c r="AE162" s="81" t="n"/>
      <c r="AF162" s="83">
        <f>IF(Q162="","Pendiente por formular",IF(OR(S162="",T162="",U162="",V162="",W162="",X162="",Z162="",AA162=""),"Incompleta: faltan campos obligatorios",IF(OR(NOT(ISNUMBER(T162)),NOT(ISNUMBER(U162))),"Fecha inválida",IF(U162&lt;T162,"La fecha de fin es anterior a la de inicio",IF(OR(YEAR(T162)&lt;&gt;2027,YEAR(U162)&lt;&gt;2027),"Fechas fuera de la vigencia 2027",IF(ISERROR(SEARCH("@itc.edu.co",V162)),"El responsable no tiene correo institucional",IF(ISERROR(SEARCH(Z162,INDEX(Catalogos!$Z$5:$Z$25,MATCH(AA162,L_IMP,0)))),"La dimensión no corresponde al indicador de impacto","OK")))))))</f>
        <v/>
      </c>
    </row>
    <row r="163" ht="105" customHeight="1" s="23">
      <c r="A163" s="80">
        <f>Base_OAPDI!A157</f>
        <v/>
      </c>
      <c r="B163" s="80">
        <f>Base_OAPDI!B157</f>
        <v/>
      </c>
      <c r="C163" s="80">
        <f>Base_OAPDI!D157</f>
        <v/>
      </c>
      <c r="D163" s="80">
        <f>Base_OAPDI!E157</f>
        <v/>
      </c>
      <c r="E163" s="80">
        <f>Base_OAPDI!F157</f>
        <v/>
      </c>
      <c r="F163" s="80">
        <f>Base_OAPDI!G157</f>
        <v/>
      </c>
      <c r="G163" s="80">
        <f>Base_OAPDI!H157</f>
        <v/>
      </c>
      <c r="H163" s="80">
        <f>Base_OAPDI!I157</f>
        <v/>
      </c>
      <c r="I163" s="80">
        <f>Base_OAPDI!J157</f>
        <v/>
      </c>
      <c r="J163" s="80">
        <f>Base_OAPDI!K157</f>
        <v/>
      </c>
      <c r="K163" s="80">
        <f>Base_OAPDI!L157</f>
        <v/>
      </c>
      <c r="L163" s="80">
        <f>Base_OAPDI!N157</f>
        <v/>
      </c>
      <c r="M163" s="80">
        <f>Base_OAPDI!P157</f>
        <v/>
      </c>
      <c r="N163" s="80">
        <f>Base_OAPDI!Q157</f>
        <v/>
      </c>
      <c r="O163" s="80">
        <f>Base_OAPDI!R157</f>
        <v/>
      </c>
      <c r="P163" s="80">
        <f>Base_OAPDI!S157</f>
        <v/>
      </c>
      <c r="Q163" s="81" t="n"/>
      <c r="R163" s="81" t="n"/>
      <c r="S163" s="81" t="n"/>
      <c r="T163" s="82" t="n"/>
      <c r="U163" s="82" t="n"/>
      <c r="V163" s="81" t="n"/>
      <c r="W163" s="81" t="n"/>
      <c r="X163" s="81" t="n"/>
      <c r="Y163" s="81" t="n"/>
      <c r="Z163" s="81" t="n"/>
      <c r="AA163" s="81" t="n"/>
      <c r="AB163" s="80">
        <f>IF(AA163="","",INDEX(Catalogos!$Y$5:$Y$25,MATCH(AA163,L_IMP,0)))</f>
        <v/>
      </c>
      <c r="AC163" s="81" t="n"/>
      <c r="AD163" s="81" t="n"/>
      <c r="AE163" s="81" t="n"/>
      <c r="AF163" s="83">
        <f>IF(Q163="","Pendiente por formular",IF(OR(S163="",T163="",U163="",V163="",W163="",X163="",Z163="",AA163=""),"Incompleta: faltan campos obligatorios",IF(OR(NOT(ISNUMBER(T163)),NOT(ISNUMBER(U163))),"Fecha inválida",IF(U163&lt;T163,"La fecha de fin es anterior a la de inicio",IF(OR(YEAR(T163)&lt;&gt;2027,YEAR(U163)&lt;&gt;2027),"Fechas fuera de la vigencia 2027",IF(ISERROR(SEARCH("@itc.edu.co",V163)),"El responsable no tiene correo institucional",IF(ISERROR(SEARCH(Z163,INDEX(Catalogos!$Z$5:$Z$25,MATCH(AA163,L_IMP,0)))),"La dimensión no corresponde al indicador de impacto","OK")))))))</f>
        <v/>
      </c>
    </row>
    <row r="164" ht="165" customHeight="1" s="23">
      <c r="A164" s="80">
        <f>Base_OAPDI!A158</f>
        <v/>
      </c>
      <c r="B164" s="80">
        <f>Base_OAPDI!B158</f>
        <v/>
      </c>
      <c r="C164" s="80">
        <f>Base_OAPDI!D158</f>
        <v/>
      </c>
      <c r="D164" s="80">
        <f>Base_OAPDI!E158</f>
        <v/>
      </c>
      <c r="E164" s="80">
        <f>Base_OAPDI!F158</f>
        <v/>
      </c>
      <c r="F164" s="80">
        <f>Base_OAPDI!G158</f>
        <v/>
      </c>
      <c r="G164" s="80">
        <f>Base_OAPDI!H158</f>
        <v/>
      </c>
      <c r="H164" s="80">
        <f>Base_OAPDI!I158</f>
        <v/>
      </c>
      <c r="I164" s="80">
        <f>Base_OAPDI!J158</f>
        <v/>
      </c>
      <c r="J164" s="80">
        <f>Base_OAPDI!K158</f>
        <v/>
      </c>
      <c r="K164" s="80">
        <f>Base_OAPDI!L158</f>
        <v/>
      </c>
      <c r="L164" s="80">
        <f>Base_OAPDI!N158</f>
        <v/>
      </c>
      <c r="M164" s="80">
        <f>Base_OAPDI!P158</f>
        <v/>
      </c>
      <c r="N164" s="80">
        <f>Base_OAPDI!Q158</f>
        <v/>
      </c>
      <c r="O164" s="80">
        <f>Base_OAPDI!R158</f>
        <v/>
      </c>
      <c r="P164" s="80">
        <f>Base_OAPDI!S158</f>
        <v/>
      </c>
      <c r="Q164" s="81" t="n"/>
      <c r="R164" s="81" t="n"/>
      <c r="S164" s="81" t="n"/>
      <c r="T164" s="82" t="n"/>
      <c r="U164" s="82" t="n"/>
      <c r="V164" s="81" t="n"/>
      <c r="W164" s="81" t="n"/>
      <c r="X164" s="81" t="n"/>
      <c r="Y164" s="81" t="n"/>
      <c r="Z164" s="81" t="n"/>
      <c r="AA164" s="81" t="n"/>
      <c r="AB164" s="80">
        <f>IF(AA164="","",INDEX(Catalogos!$Y$5:$Y$25,MATCH(AA164,L_IMP,0)))</f>
        <v/>
      </c>
      <c r="AC164" s="81" t="n"/>
      <c r="AD164" s="81" t="n"/>
      <c r="AE164" s="81" t="n"/>
      <c r="AF164" s="83">
        <f>IF(Q164="","Pendiente por formular",IF(OR(S164="",T164="",U164="",V164="",W164="",X164="",Z164="",AA164=""),"Incompleta: faltan campos obligatorios",IF(OR(NOT(ISNUMBER(T164)),NOT(ISNUMBER(U164))),"Fecha inválida",IF(U164&lt;T164,"La fecha de fin es anterior a la de inicio",IF(OR(YEAR(T164)&lt;&gt;2027,YEAR(U164)&lt;&gt;2027),"Fechas fuera de la vigencia 2027",IF(ISERROR(SEARCH("@itc.edu.co",V164)),"El responsable no tiene correo institucional",IF(ISERROR(SEARCH(Z164,INDEX(Catalogos!$Z$5:$Z$25,MATCH(AA164,L_IMP,0)))),"La dimensión no corresponde al indicador de impacto","OK")))))))</f>
        <v/>
      </c>
    </row>
    <row r="165" ht="90" customHeight="1" s="23">
      <c r="A165" s="80">
        <f>Base_OAPDI!A159</f>
        <v/>
      </c>
      <c r="B165" s="80">
        <f>Base_OAPDI!B159</f>
        <v/>
      </c>
      <c r="C165" s="80">
        <f>Base_OAPDI!D159</f>
        <v/>
      </c>
      <c r="D165" s="80">
        <f>Base_OAPDI!E159</f>
        <v/>
      </c>
      <c r="E165" s="80">
        <f>Base_OAPDI!F159</f>
        <v/>
      </c>
      <c r="F165" s="80">
        <f>Base_OAPDI!G159</f>
        <v/>
      </c>
      <c r="G165" s="80">
        <f>Base_OAPDI!H159</f>
        <v/>
      </c>
      <c r="H165" s="80">
        <f>Base_OAPDI!I159</f>
        <v/>
      </c>
      <c r="I165" s="80">
        <f>Base_OAPDI!J159</f>
        <v/>
      </c>
      <c r="J165" s="80">
        <f>Base_OAPDI!K159</f>
        <v/>
      </c>
      <c r="K165" s="80">
        <f>Base_OAPDI!L159</f>
        <v/>
      </c>
      <c r="L165" s="80">
        <f>Base_OAPDI!N159</f>
        <v/>
      </c>
      <c r="M165" s="80">
        <f>Base_OAPDI!P159</f>
        <v/>
      </c>
      <c r="N165" s="80">
        <f>Base_OAPDI!Q159</f>
        <v/>
      </c>
      <c r="O165" s="80">
        <f>Base_OAPDI!R159</f>
        <v/>
      </c>
      <c r="P165" s="80">
        <f>Base_OAPDI!S159</f>
        <v/>
      </c>
      <c r="Q165" s="81" t="n"/>
      <c r="R165" s="81" t="n"/>
      <c r="S165" s="81" t="n"/>
      <c r="T165" s="82" t="n"/>
      <c r="U165" s="82" t="n"/>
      <c r="V165" s="81" t="n"/>
      <c r="W165" s="81" t="n"/>
      <c r="X165" s="81" t="n"/>
      <c r="Y165" s="81" t="n"/>
      <c r="Z165" s="81" t="n"/>
      <c r="AA165" s="81" t="n"/>
      <c r="AB165" s="80">
        <f>IF(AA165="","",INDEX(Catalogos!$Y$5:$Y$25,MATCH(AA165,L_IMP,0)))</f>
        <v/>
      </c>
      <c r="AC165" s="81" t="n"/>
      <c r="AD165" s="81" t="n"/>
      <c r="AE165" s="81" t="n"/>
      <c r="AF165" s="83">
        <f>IF(Q165="","Pendiente por formular",IF(OR(S165="",T165="",U165="",V165="",W165="",X165="",Z165="",AA165=""),"Incompleta: faltan campos obligatorios",IF(OR(NOT(ISNUMBER(T165)),NOT(ISNUMBER(U165))),"Fecha inválida",IF(U165&lt;T165,"La fecha de fin es anterior a la de inicio",IF(OR(YEAR(T165)&lt;&gt;2027,YEAR(U165)&lt;&gt;2027),"Fechas fuera de la vigencia 2027",IF(ISERROR(SEARCH("@itc.edu.co",V165)),"El responsable no tiene correo institucional",IF(ISERROR(SEARCH(Z165,INDEX(Catalogos!$Z$5:$Z$25,MATCH(AA165,L_IMP,0)))),"La dimensión no corresponde al indicador de impacto","OK")))))))</f>
        <v/>
      </c>
    </row>
    <row r="166" ht="105" customHeight="1" s="23">
      <c r="A166" s="80">
        <f>Base_OAPDI!A160</f>
        <v/>
      </c>
      <c r="B166" s="80">
        <f>Base_OAPDI!B160</f>
        <v/>
      </c>
      <c r="C166" s="80">
        <f>Base_OAPDI!D160</f>
        <v/>
      </c>
      <c r="D166" s="80">
        <f>Base_OAPDI!E160</f>
        <v/>
      </c>
      <c r="E166" s="80">
        <f>Base_OAPDI!F160</f>
        <v/>
      </c>
      <c r="F166" s="80">
        <f>Base_OAPDI!G160</f>
        <v/>
      </c>
      <c r="G166" s="80">
        <f>Base_OAPDI!H160</f>
        <v/>
      </c>
      <c r="H166" s="80">
        <f>Base_OAPDI!I160</f>
        <v/>
      </c>
      <c r="I166" s="80">
        <f>Base_OAPDI!J160</f>
        <v/>
      </c>
      <c r="J166" s="80">
        <f>Base_OAPDI!K160</f>
        <v/>
      </c>
      <c r="K166" s="80">
        <f>Base_OAPDI!L160</f>
        <v/>
      </c>
      <c r="L166" s="80">
        <f>Base_OAPDI!N160</f>
        <v/>
      </c>
      <c r="M166" s="80">
        <f>Base_OAPDI!P160</f>
        <v/>
      </c>
      <c r="N166" s="80">
        <f>Base_OAPDI!Q160</f>
        <v/>
      </c>
      <c r="O166" s="80">
        <f>Base_OAPDI!R160</f>
        <v/>
      </c>
      <c r="P166" s="80">
        <f>Base_OAPDI!S160</f>
        <v/>
      </c>
      <c r="Q166" s="81" t="n"/>
      <c r="R166" s="81" t="n"/>
      <c r="S166" s="81" t="n"/>
      <c r="T166" s="82" t="n"/>
      <c r="U166" s="82" t="n"/>
      <c r="V166" s="81" t="n"/>
      <c r="W166" s="81" t="n"/>
      <c r="X166" s="81" t="n"/>
      <c r="Y166" s="81" t="n"/>
      <c r="Z166" s="81" t="n"/>
      <c r="AA166" s="81" t="n"/>
      <c r="AB166" s="80">
        <f>IF(AA166="","",INDEX(Catalogos!$Y$5:$Y$25,MATCH(AA166,L_IMP,0)))</f>
        <v/>
      </c>
      <c r="AC166" s="81" t="n"/>
      <c r="AD166" s="81" t="n"/>
      <c r="AE166" s="81" t="n"/>
      <c r="AF166" s="83">
        <f>IF(Q166="","Pendiente por formular",IF(OR(S166="",T166="",U166="",V166="",W166="",X166="",Z166="",AA166=""),"Incompleta: faltan campos obligatorios",IF(OR(NOT(ISNUMBER(T166)),NOT(ISNUMBER(U166))),"Fecha inválida",IF(U166&lt;T166,"La fecha de fin es anterior a la de inicio",IF(OR(YEAR(T166)&lt;&gt;2027,YEAR(U166)&lt;&gt;2027),"Fechas fuera de la vigencia 2027",IF(ISERROR(SEARCH("@itc.edu.co",V166)),"El responsable no tiene correo institucional",IF(ISERROR(SEARCH(Z166,INDEX(Catalogos!$Z$5:$Z$25,MATCH(AA166,L_IMP,0)))),"La dimensión no corresponde al indicador de impacto","OK")))))))</f>
        <v/>
      </c>
    </row>
    <row r="167" ht="34" customHeight="1" s="23">
      <c r="A167" s="79" t="inlineStr">
        <is>
          <t>Eje estratégico 5. Ampliación y modernización de la infraestructura. Objetivo estratégico del eje: Proveer la infraestructura física y tecnológica necesaria para la calidad en la oferta educativa.</t>
        </is>
      </c>
    </row>
    <row r="168" ht="90" customHeight="1" s="23">
      <c r="A168" s="80">
        <f>Base_OAPDI!A161</f>
        <v/>
      </c>
      <c r="B168" s="80">
        <f>Base_OAPDI!B161</f>
        <v/>
      </c>
      <c r="C168" s="80">
        <f>Base_OAPDI!D161</f>
        <v/>
      </c>
      <c r="D168" s="80">
        <f>Base_OAPDI!E161</f>
        <v/>
      </c>
      <c r="E168" s="80">
        <f>Base_OAPDI!F161</f>
        <v/>
      </c>
      <c r="F168" s="80">
        <f>Base_OAPDI!G161</f>
        <v/>
      </c>
      <c r="G168" s="80">
        <f>Base_OAPDI!H161</f>
        <v/>
      </c>
      <c r="H168" s="80">
        <f>Base_OAPDI!I161</f>
        <v/>
      </c>
      <c r="I168" s="80">
        <f>Base_OAPDI!J161</f>
        <v/>
      </c>
      <c r="J168" s="80">
        <f>Base_OAPDI!K161</f>
        <v/>
      </c>
      <c r="K168" s="80">
        <f>Base_OAPDI!L161</f>
        <v/>
      </c>
      <c r="L168" s="80">
        <f>Base_OAPDI!N161</f>
        <v/>
      </c>
      <c r="M168" s="80">
        <f>Base_OAPDI!P161</f>
        <v/>
      </c>
      <c r="N168" s="80">
        <f>Base_OAPDI!Q161</f>
        <v/>
      </c>
      <c r="O168" s="80">
        <f>Base_OAPDI!R161</f>
        <v/>
      </c>
      <c r="P168" s="80">
        <f>Base_OAPDI!S161</f>
        <v/>
      </c>
      <c r="Q168" s="81" t="n"/>
      <c r="R168" s="81" t="n"/>
      <c r="S168" s="81" t="n"/>
      <c r="T168" s="82" t="n"/>
      <c r="U168" s="82" t="n"/>
      <c r="V168" s="81" t="n"/>
      <c r="W168" s="81" t="n"/>
      <c r="X168" s="81" t="n"/>
      <c r="Y168" s="81" t="n"/>
      <c r="Z168" s="81" t="n"/>
      <c r="AA168" s="81" t="n"/>
      <c r="AB168" s="80">
        <f>IF(AA168="","",INDEX(Catalogos!$Y$5:$Y$25,MATCH(AA168,L_IMP,0)))</f>
        <v/>
      </c>
      <c r="AC168" s="81" t="n"/>
      <c r="AD168" s="81" t="n"/>
      <c r="AE168" s="81" t="n"/>
      <c r="AF168" s="83">
        <f>IF(Q168="","Pendiente por formular",IF(OR(S168="",T168="",U168="",V168="",W168="",X168="",Z168="",AA168=""),"Incompleta: faltan campos obligatorios",IF(OR(NOT(ISNUMBER(T168)),NOT(ISNUMBER(U168))),"Fecha inválida",IF(U168&lt;T168,"La fecha de fin es anterior a la de inicio",IF(OR(YEAR(T168)&lt;&gt;2027,YEAR(U168)&lt;&gt;2027),"Fechas fuera de la vigencia 2027",IF(ISERROR(SEARCH("@itc.edu.co",V168)),"El responsable no tiene correo institucional",IF(ISERROR(SEARCH(Z168,INDEX(Catalogos!$Z$5:$Z$25,MATCH(AA168,L_IMP,0)))),"La dimensión no corresponde al indicador de impacto","OK")))))))</f>
        <v/>
      </c>
    </row>
    <row r="169" ht="135" customHeight="1" s="23">
      <c r="A169" s="80">
        <f>Base_OAPDI!A162</f>
        <v/>
      </c>
      <c r="B169" s="80">
        <f>Base_OAPDI!B162</f>
        <v/>
      </c>
      <c r="C169" s="80">
        <f>Base_OAPDI!D162</f>
        <v/>
      </c>
      <c r="D169" s="80">
        <f>Base_OAPDI!E162</f>
        <v/>
      </c>
      <c r="E169" s="80">
        <f>Base_OAPDI!F162</f>
        <v/>
      </c>
      <c r="F169" s="80">
        <f>Base_OAPDI!G162</f>
        <v/>
      </c>
      <c r="G169" s="80">
        <f>Base_OAPDI!H162</f>
        <v/>
      </c>
      <c r="H169" s="80">
        <f>Base_OAPDI!I162</f>
        <v/>
      </c>
      <c r="I169" s="80">
        <f>Base_OAPDI!J162</f>
        <v/>
      </c>
      <c r="J169" s="80">
        <f>Base_OAPDI!K162</f>
        <v/>
      </c>
      <c r="K169" s="80">
        <f>Base_OAPDI!L162</f>
        <v/>
      </c>
      <c r="L169" s="80">
        <f>Base_OAPDI!N162</f>
        <v/>
      </c>
      <c r="M169" s="80">
        <f>Base_OAPDI!P162</f>
        <v/>
      </c>
      <c r="N169" s="80">
        <f>Base_OAPDI!Q162</f>
        <v/>
      </c>
      <c r="O169" s="80">
        <f>Base_OAPDI!R162</f>
        <v/>
      </c>
      <c r="P169" s="80">
        <f>Base_OAPDI!S162</f>
        <v/>
      </c>
      <c r="Q169" s="81" t="n"/>
      <c r="R169" s="81" t="n"/>
      <c r="S169" s="81" t="n"/>
      <c r="T169" s="82" t="n"/>
      <c r="U169" s="82" t="n"/>
      <c r="V169" s="81" t="n"/>
      <c r="W169" s="81" t="n"/>
      <c r="X169" s="81" t="n"/>
      <c r="Y169" s="81" t="n"/>
      <c r="Z169" s="81" t="n"/>
      <c r="AA169" s="81" t="n"/>
      <c r="AB169" s="80">
        <f>IF(AA169="","",INDEX(Catalogos!$Y$5:$Y$25,MATCH(AA169,L_IMP,0)))</f>
        <v/>
      </c>
      <c r="AC169" s="81" t="n"/>
      <c r="AD169" s="81" t="n"/>
      <c r="AE169" s="81" t="n"/>
      <c r="AF169" s="83">
        <f>IF(Q169="","Pendiente por formular",IF(OR(S169="",T169="",U169="",V169="",W169="",X169="",Z169="",AA169=""),"Incompleta: faltan campos obligatorios",IF(OR(NOT(ISNUMBER(T169)),NOT(ISNUMBER(U169))),"Fecha inválida",IF(U169&lt;T169,"La fecha de fin es anterior a la de inicio",IF(OR(YEAR(T169)&lt;&gt;2027,YEAR(U169)&lt;&gt;2027),"Fechas fuera de la vigencia 2027",IF(ISERROR(SEARCH("@itc.edu.co",V169)),"El responsable no tiene correo institucional",IF(ISERROR(SEARCH(Z169,INDEX(Catalogos!$Z$5:$Z$25,MATCH(AA169,L_IMP,0)))),"La dimensión no corresponde al indicador de impacto","OK")))))))</f>
        <v/>
      </c>
    </row>
    <row r="170" ht="75" customHeight="1" s="23">
      <c r="A170" s="80">
        <f>Base_OAPDI!A163</f>
        <v/>
      </c>
      <c r="B170" s="80">
        <f>Base_OAPDI!B163</f>
        <v/>
      </c>
      <c r="C170" s="80">
        <f>Base_OAPDI!D163</f>
        <v/>
      </c>
      <c r="D170" s="80">
        <f>Base_OAPDI!E163</f>
        <v/>
      </c>
      <c r="E170" s="80">
        <f>Base_OAPDI!F163</f>
        <v/>
      </c>
      <c r="F170" s="80">
        <f>Base_OAPDI!G163</f>
        <v/>
      </c>
      <c r="G170" s="80">
        <f>Base_OAPDI!H163</f>
        <v/>
      </c>
      <c r="H170" s="80">
        <f>Base_OAPDI!I163</f>
        <v/>
      </c>
      <c r="I170" s="80">
        <f>Base_OAPDI!J163</f>
        <v/>
      </c>
      <c r="J170" s="80">
        <f>Base_OAPDI!K163</f>
        <v/>
      </c>
      <c r="K170" s="80">
        <f>Base_OAPDI!L163</f>
        <v/>
      </c>
      <c r="L170" s="80">
        <f>Base_OAPDI!N163</f>
        <v/>
      </c>
      <c r="M170" s="80">
        <f>Base_OAPDI!P163</f>
        <v/>
      </c>
      <c r="N170" s="80">
        <f>Base_OAPDI!Q163</f>
        <v/>
      </c>
      <c r="O170" s="80">
        <f>Base_OAPDI!R163</f>
        <v/>
      </c>
      <c r="P170" s="80">
        <f>Base_OAPDI!S163</f>
        <v/>
      </c>
      <c r="Q170" s="81" t="n"/>
      <c r="R170" s="81" t="n"/>
      <c r="S170" s="81" t="n"/>
      <c r="T170" s="82" t="n"/>
      <c r="U170" s="82" t="n"/>
      <c r="V170" s="81" t="n"/>
      <c r="W170" s="81" t="n"/>
      <c r="X170" s="81" t="n"/>
      <c r="Y170" s="81" t="n"/>
      <c r="Z170" s="81" t="n"/>
      <c r="AA170" s="81" t="n"/>
      <c r="AB170" s="80">
        <f>IF(AA170="","",INDEX(Catalogos!$Y$5:$Y$25,MATCH(AA170,L_IMP,0)))</f>
        <v/>
      </c>
      <c r="AC170" s="81" t="n"/>
      <c r="AD170" s="81" t="n"/>
      <c r="AE170" s="81" t="n"/>
      <c r="AF170" s="83">
        <f>IF(Q170="","Pendiente por formular",IF(OR(S170="",T170="",U170="",V170="",W170="",X170="",Z170="",AA170=""),"Incompleta: faltan campos obligatorios",IF(OR(NOT(ISNUMBER(T170)),NOT(ISNUMBER(U170))),"Fecha inválida",IF(U170&lt;T170,"La fecha de fin es anterior a la de inicio",IF(OR(YEAR(T170)&lt;&gt;2027,YEAR(U170)&lt;&gt;2027),"Fechas fuera de la vigencia 2027",IF(ISERROR(SEARCH("@itc.edu.co",V170)),"El responsable no tiene correo institucional",IF(ISERROR(SEARCH(Z170,INDEX(Catalogos!$Z$5:$Z$25,MATCH(AA170,L_IMP,0)))),"La dimensión no corresponde al indicador de impacto","OK")))))))</f>
        <v/>
      </c>
    </row>
    <row r="171" ht="260" customHeight="1" s="23">
      <c r="A171" s="80">
        <f>Base_OAPDI!A164</f>
        <v/>
      </c>
      <c r="B171" s="80">
        <f>Base_OAPDI!B164</f>
        <v/>
      </c>
      <c r="C171" s="80">
        <f>Base_OAPDI!D164</f>
        <v/>
      </c>
      <c r="D171" s="80">
        <f>Base_OAPDI!E164</f>
        <v/>
      </c>
      <c r="E171" s="80">
        <f>Base_OAPDI!F164</f>
        <v/>
      </c>
      <c r="F171" s="80">
        <f>Base_OAPDI!G164</f>
        <v/>
      </c>
      <c r="G171" s="80">
        <f>Base_OAPDI!H164</f>
        <v/>
      </c>
      <c r="H171" s="80">
        <f>Base_OAPDI!I164</f>
        <v/>
      </c>
      <c r="I171" s="80">
        <f>Base_OAPDI!J164</f>
        <v/>
      </c>
      <c r="J171" s="80">
        <f>Base_OAPDI!K164</f>
        <v/>
      </c>
      <c r="K171" s="80">
        <f>Base_OAPDI!L164</f>
        <v/>
      </c>
      <c r="L171" s="80">
        <f>Base_OAPDI!N164</f>
        <v/>
      </c>
      <c r="M171" s="80">
        <f>Base_OAPDI!P164</f>
        <v/>
      </c>
      <c r="N171" s="80">
        <f>Base_OAPDI!Q164</f>
        <v/>
      </c>
      <c r="O171" s="80">
        <f>Base_OAPDI!R164</f>
        <v/>
      </c>
      <c r="P171" s="80">
        <f>Base_OAPDI!S164</f>
        <v/>
      </c>
      <c r="Q171" s="81" t="n"/>
      <c r="R171" s="81" t="n"/>
      <c r="S171" s="81" t="n"/>
      <c r="T171" s="82" t="n"/>
      <c r="U171" s="82" t="n"/>
      <c r="V171" s="81" t="n"/>
      <c r="W171" s="81" t="n"/>
      <c r="X171" s="81" t="n"/>
      <c r="Y171" s="81" t="n"/>
      <c r="Z171" s="81" t="n"/>
      <c r="AA171" s="81" t="n"/>
      <c r="AB171" s="80">
        <f>IF(AA171="","",INDEX(Catalogos!$Y$5:$Y$25,MATCH(AA171,L_IMP,0)))</f>
        <v/>
      </c>
      <c r="AC171" s="81" t="n"/>
      <c r="AD171" s="81" t="n"/>
      <c r="AE171" s="81" t="n"/>
      <c r="AF171" s="83">
        <f>IF(Q171="","Pendiente por formular",IF(OR(S171="",T171="",U171="",V171="",W171="",X171="",Z171="",AA171=""),"Incompleta: faltan campos obligatorios",IF(OR(NOT(ISNUMBER(T171)),NOT(ISNUMBER(U171))),"Fecha inválida",IF(U171&lt;T171,"La fecha de fin es anterior a la de inicio",IF(OR(YEAR(T171)&lt;&gt;2027,YEAR(U171)&lt;&gt;2027),"Fechas fuera de la vigencia 2027",IF(ISERROR(SEARCH("@itc.edu.co",V171)),"El responsable no tiene correo institucional",IF(ISERROR(SEARCH(Z171,INDEX(Catalogos!$Z$5:$Z$25,MATCH(AA171,L_IMP,0)))),"La dimensión no corresponde al indicador de impacto","OK")))))))</f>
        <v/>
      </c>
    </row>
    <row r="172" ht="135" customHeight="1" s="23">
      <c r="A172" s="80">
        <f>Base_OAPDI!A165</f>
        <v/>
      </c>
      <c r="B172" s="80">
        <f>Base_OAPDI!B165</f>
        <v/>
      </c>
      <c r="C172" s="80">
        <f>Base_OAPDI!D165</f>
        <v/>
      </c>
      <c r="D172" s="80">
        <f>Base_OAPDI!E165</f>
        <v/>
      </c>
      <c r="E172" s="80">
        <f>Base_OAPDI!F165</f>
        <v/>
      </c>
      <c r="F172" s="80">
        <f>Base_OAPDI!G165</f>
        <v/>
      </c>
      <c r="G172" s="80">
        <f>Base_OAPDI!H165</f>
        <v/>
      </c>
      <c r="H172" s="80">
        <f>Base_OAPDI!I165</f>
        <v/>
      </c>
      <c r="I172" s="80">
        <f>Base_OAPDI!J165</f>
        <v/>
      </c>
      <c r="J172" s="80">
        <f>Base_OAPDI!K165</f>
        <v/>
      </c>
      <c r="K172" s="80">
        <f>Base_OAPDI!L165</f>
        <v/>
      </c>
      <c r="L172" s="80">
        <f>Base_OAPDI!N165</f>
        <v/>
      </c>
      <c r="M172" s="80">
        <f>Base_OAPDI!P165</f>
        <v/>
      </c>
      <c r="N172" s="80">
        <f>Base_OAPDI!Q165</f>
        <v/>
      </c>
      <c r="O172" s="80">
        <f>Base_OAPDI!R165</f>
        <v/>
      </c>
      <c r="P172" s="80">
        <f>Base_OAPDI!S165</f>
        <v/>
      </c>
      <c r="Q172" s="81" t="n"/>
      <c r="R172" s="81" t="n"/>
      <c r="S172" s="81" t="n"/>
      <c r="T172" s="82" t="n"/>
      <c r="U172" s="82" t="n"/>
      <c r="V172" s="81" t="n"/>
      <c r="W172" s="81" t="n"/>
      <c r="X172" s="81" t="n"/>
      <c r="Y172" s="81" t="n"/>
      <c r="Z172" s="81" t="n"/>
      <c r="AA172" s="81" t="n"/>
      <c r="AB172" s="80">
        <f>IF(AA172="","",INDEX(Catalogos!$Y$5:$Y$25,MATCH(AA172,L_IMP,0)))</f>
        <v/>
      </c>
      <c r="AC172" s="81" t="n"/>
      <c r="AD172" s="81" t="n"/>
      <c r="AE172" s="81" t="n"/>
      <c r="AF172" s="83">
        <f>IF(Q172="","Pendiente por formular",IF(OR(S172="",T172="",U172="",V172="",W172="",X172="",Z172="",AA172=""),"Incompleta: faltan campos obligatorios",IF(OR(NOT(ISNUMBER(T172)),NOT(ISNUMBER(U172))),"Fecha inválida",IF(U172&lt;T172,"La fecha de fin es anterior a la de inicio",IF(OR(YEAR(T172)&lt;&gt;2027,YEAR(U172)&lt;&gt;2027),"Fechas fuera de la vigencia 2027",IF(ISERROR(SEARCH("@itc.edu.co",V172)),"El responsable no tiene correo institucional",IF(ISERROR(SEARCH(Z172,INDEX(Catalogos!$Z$5:$Z$25,MATCH(AA172,L_IMP,0)))),"La dimensión no corresponde al indicador de impacto","OK")))))))</f>
        <v/>
      </c>
    </row>
    <row r="173" ht="225" customHeight="1" s="23">
      <c r="A173" s="80">
        <f>Base_OAPDI!A166</f>
        <v/>
      </c>
      <c r="B173" s="80">
        <f>Base_OAPDI!B166</f>
        <v/>
      </c>
      <c r="C173" s="80">
        <f>Base_OAPDI!D166</f>
        <v/>
      </c>
      <c r="D173" s="80">
        <f>Base_OAPDI!E166</f>
        <v/>
      </c>
      <c r="E173" s="80">
        <f>Base_OAPDI!F166</f>
        <v/>
      </c>
      <c r="F173" s="80">
        <f>Base_OAPDI!G166</f>
        <v/>
      </c>
      <c r="G173" s="80">
        <f>Base_OAPDI!H166</f>
        <v/>
      </c>
      <c r="H173" s="80">
        <f>Base_OAPDI!I166</f>
        <v/>
      </c>
      <c r="I173" s="80">
        <f>Base_OAPDI!J166</f>
        <v/>
      </c>
      <c r="J173" s="80">
        <f>Base_OAPDI!K166</f>
        <v/>
      </c>
      <c r="K173" s="80">
        <f>Base_OAPDI!L166</f>
        <v/>
      </c>
      <c r="L173" s="80">
        <f>Base_OAPDI!N166</f>
        <v/>
      </c>
      <c r="M173" s="80">
        <f>Base_OAPDI!P166</f>
        <v/>
      </c>
      <c r="N173" s="80">
        <f>Base_OAPDI!Q166</f>
        <v/>
      </c>
      <c r="O173" s="80">
        <f>Base_OAPDI!R166</f>
        <v/>
      </c>
      <c r="P173" s="80">
        <f>Base_OAPDI!S166</f>
        <v/>
      </c>
      <c r="Q173" s="81" t="n"/>
      <c r="R173" s="81" t="n"/>
      <c r="S173" s="81" t="n"/>
      <c r="T173" s="82" t="n"/>
      <c r="U173" s="82" t="n"/>
      <c r="V173" s="81" t="n"/>
      <c r="W173" s="81" t="n"/>
      <c r="X173" s="81" t="n"/>
      <c r="Y173" s="81" t="n"/>
      <c r="Z173" s="81" t="n"/>
      <c r="AA173" s="81" t="n"/>
      <c r="AB173" s="80">
        <f>IF(AA173="","",INDEX(Catalogos!$Y$5:$Y$25,MATCH(AA173,L_IMP,0)))</f>
        <v/>
      </c>
      <c r="AC173" s="81" t="n"/>
      <c r="AD173" s="81" t="n"/>
      <c r="AE173" s="81" t="n"/>
      <c r="AF173" s="83">
        <f>IF(Q173="","Pendiente por formular",IF(OR(S173="",T173="",U173="",V173="",W173="",X173="",Z173="",AA173=""),"Incompleta: faltan campos obligatorios",IF(OR(NOT(ISNUMBER(T173)),NOT(ISNUMBER(U173))),"Fecha inválida",IF(U173&lt;T173,"La fecha de fin es anterior a la de inicio",IF(OR(YEAR(T173)&lt;&gt;2027,YEAR(U173)&lt;&gt;2027),"Fechas fuera de la vigencia 2027",IF(ISERROR(SEARCH("@itc.edu.co",V173)),"El responsable no tiene correo institucional",IF(ISERROR(SEARCH(Z173,INDEX(Catalogos!$Z$5:$Z$25,MATCH(AA173,L_IMP,0)))),"La dimensión no corresponde al indicador de impacto","OK")))))))</f>
        <v/>
      </c>
    </row>
    <row r="174" ht="105" customHeight="1" s="23">
      <c r="A174" s="80">
        <f>Base_OAPDI!A167</f>
        <v/>
      </c>
      <c r="B174" s="80">
        <f>Base_OAPDI!B167</f>
        <v/>
      </c>
      <c r="C174" s="80">
        <f>Base_OAPDI!D167</f>
        <v/>
      </c>
      <c r="D174" s="80">
        <f>Base_OAPDI!E167</f>
        <v/>
      </c>
      <c r="E174" s="80">
        <f>Base_OAPDI!F167</f>
        <v/>
      </c>
      <c r="F174" s="80">
        <f>Base_OAPDI!G167</f>
        <v/>
      </c>
      <c r="G174" s="80">
        <f>Base_OAPDI!H167</f>
        <v/>
      </c>
      <c r="H174" s="80">
        <f>Base_OAPDI!I167</f>
        <v/>
      </c>
      <c r="I174" s="80">
        <f>Base_OAPDI!J167</f>
        <v/>
      </c>
      <c r="J174" s="80">
        <f>Base_OAPDI!K167</f>
        <v/>
      </c>
      <c r="K174" s="80">
        <f>Base_OAPDI!L167</f>
        <v/>
      </c>
      <c r="L174" s="80">
        <f>Base_OAPDI!N167</f>
        <v/>
      </c>
      <c r="M174" s="80">
        <f>Base_OAPDI!P167</f>
        <v/>
      </c>
      <c r="N174" s="80">
        <f>Base_OAPDI!Q167</f>
        <v/>
      </c>
      <c r="O174" s="80">
        <f>Base_OAPDI!R167</f>
        <v/>
      </c>
      <c r="P174" s="80">
        <f>Base_OAPDI!S167</f>
        <v/>
      </c>
      <c r="Q174" s="81" t="n"/>
      <c r="R174" s="81" t="n"/>
      <c r="S174" s="81" t="n"/>
      <c r="T174" s="82" t="n"/>
      <c r="U174" s="82" t="n"/>
      <c r="V174" s="81" t="n"/>
      <c r="W174" s="81" t="n"/>
      <c r="X174" s="81" t="n"/>
      <c r="Y174" s="81" t="n"/>
      <c r="Z174" s="81" t="n"/>
      <c r="AA174" s="81" t="n"/>
      <c r="AB174" s="80">
        <f>IF(AA174="","",INDEX(Catalogos!$Y$5:$Y$25,MATCH(AA174,L_IMP,0)))</f>
        <v/>
      </c>
      <c r="AC174" s="81" t="n"/>
      <c r="AD174" s="81" t="n"/>
      <c r="AE174" s="81" t="n"/>
      <c r="AF174" s="83">
        <f>IF(Q174="","Pendiente por formular",IF(OR(S174="",T174="",U174="",V174="",W174="",X174="",Z174="",AA174=""),"Incompleta: faltan campos obligatorios",IF(OR(NOT(ISNUMBER(T174)),NOT(ISNUMBER(U174))),"Fecha inválida",IF(U174&lt;T174,"La fecha de fin es anterior a la de inicio",IF(OR(YEAR(T174)&lt;&gt;2027,YEAR(U174)&lt;&gt;2027),"Fechas fuera de la vigencia 2027",IF(ISERROR(SEARCH("@itc.edu.co",V174)),"El responsable no tiene correo institucional",IF(ISERROR(SEARCH(Z174,INDEX(Catalogos!$Z$5:$Z$25,MATCH(AA174,L_IMP,0)))),"La dimensión no corresponde al indicador de impacto","OK")))))))</f>
        <v/>
      </c>
    </row>
    <row r="175" ht="180" customHeight="1" s="23">
      <c r="A175" s="80">
        <f>Base_OAPDI!A168</f>
        <v/>
      </c>
      <c r="B175" s="80">
        <f>Base_OAPDI!B168</f>
        <v/>
      </c>
      <c r="C175" s="80">
        <f>Base_OAPDI!D168</f>
        <v/>
      </c>
      <c r="D175" s="80">
        <f>Base_OAPDI!E168</f>
        <v/>
      </c>
      <c r="E175" s="80">
        <f>Base_OAPDI!F168</f>
        <v/>
      </c>
      <c r="F175" s="80">
        <f>Base_OAPDI!G168</f>
        <v/>
      </c>
      <c r="G175" s="80">
        <f>Base_OAPDI!H168</f>
        <v/>
      </c>
      <c r="H175" s="80">
        <f>Base_OAPDI!I168</f>
        <v/>
      </c>
      <c r="I175" s="80">
        <f>Base_OAPDI!J168</f>
        <v/>
      </c>
      <c r="J175" s="80">
        <f>Base_OAPDI!K168</f>
        <v/>
      </c>
      <c r="K175" s="80">
        <f>Base_OAPDI!L168</f>
        <v/>
      </c>
      <c r="L175" s="80">
        <f>Base_OAPDI!N168</f>
        <v/>
      </c>
      <c r="M175" s="80">
        <f>Base_OAPDI!P168</f>
        <v/>
      </c>
      <c r="N175" s="80">
        <f>Base_OAPDI!Q168</f>
        <v/>
      </c>
      <c r="O175" s="80">
        <f>Base_OAPDI!R168</f>
        <v/>
      </c>
      <c r="P175" s="80">
        <f>Base_OAPDI!S168</f>
        <v/>
      </c>
      <c r="Q175" s="81" t="n"/>
      <c r="R175" s="81" t="n"/>
      <c r="S175" s="81" t="n"/>
      <c r="T175" s="82" t="n"/>
      <c r="U175" s="82" t="n"/>
      <c r="V175" s="81" t="n"/>
      <c r="W175" s="81" t="n"/>
      <c r="X175" s="81" t="n"/>
      <c r="Y175" s="81" t="n"/>
      <c r="Z175" s="81" t="n"/>
      <c r="AA175" s="81" t="n"/>
      <c r="AB175" s="80">
        <f>IF(AA175="","",INDEX(Catalogos!$Y$5:$Y$25,MATCH(AA175,L_IMP,0)))</f>
        <v/>
      </c>
      <c r="AC175" s="81" t="n"/>
      <c r="AD175" s="81" t="n"/>
      <c r="AE175" s="81" t="n"/>
      <c r="AF175" s="83">
        <f>IF(Q175="","Pendiente por formular",IF(OR(S175="",T175="",U175="",V175="",W175="",X175="",Z175="",AA175=""),"Incompleta: faltan campos obligatorios",IF(OR(NOT(ISNUMBER(T175)),NOT(ISNUMBER(U175))),"Fecha inválida",IF(U175&lt;T175,"La fecha de fin es anterior a la de inicio",IF(OR(YEAR(T175)&lt;&gt;2027,YEAR(U175)&lt;&gt;2027),"Fechas fuera de la vigencia 2027",IF(ISERROR(SEARCH("@itc.edu.co",V175)),"El responsable no tiene correo institucional",IF(ISERROR(SEARCH(Z175,INDEX(Catalogos!$Z$5:$Z$25,MATCH(AA175,L_IMP,0)))),"La dimensión no corresponde al indicador de impacto","OK")))))))</f>
        <v/>
      </c>
    </row>
    <row r="176" ht="150" customHeight="1" s="23">
      <c r="A176" s="80">
        <f>Base_OAPDI!A169</f>
        <v/>
      </c>
      <c r="B176" s="80">
        <f>Base_OAPDI!B169</f>
        <v/>
      </c>
      <c r="C176" s="80">
        <f>Base_OAPDI!D169</f>
        <v/>
      </c>
      <c r="D176" s="80">
        <f>Base_OAPDI!E169</f>
        <v/>
      </c>
      <c r="E176" s="80">
        <f>Base_OAPDI!F169</f>
        <v/>
      </c>
      <c r="F176" s="80">
        <f>Base_OAPDI!G169</f>
        <v/>
      </c>
      <c r="G176" s="80">
        <f>Base_OAPDI!H169</f>
        <v/>
      </c>
      <c r="H176" s="80">
        <f>Base_OAPDI!I169</f>
        <v/>
      </c>
      <c r="I176" s="80">
        <f>Base_OAPDI!J169</f>
        <v/>
      </c>
      <c r="J176" s="80">
        <f>Base_OAPDI!K169</f>
        <v/>
      </c>
      <c r="K176" s="80">
        <f>Base_OAPDI!L169</f>
        <v/>
      </c>
      <c r="L176" s="80">
        <f>Base_OAPDI!N169</f>
        <v/>
      </c>
      <c r="M176" s="80">
        <f>Base_OAPDI!P169</f>
        <v/>
      </c>
      <c r="N176" s="80">
        <f>Base_OAPDI!Q169</f>
        <v/>
      </c>
      <c r="O176" s="80">
        <f>Base_OAPDI!R169</f>
        <v/>
      </c>
      <c r="P176" s="80">
        <f>Base_OAPDI!S169</f>
        <v/>
      </c>
      <c r="Q176" s="81" t="n"/>
      <c r="R176" s="81" t="n"/>
      <c r="S176" s="81" t="n"/>
      <c r="T176" s="82" t="n"/>
      <c r="U176" s="82" t="n"/>
      <c r="V176" s="81" t="n"/>
      <c r="W176" s="81" t="n"/>
      <c r="X176" s="81" t="n"/>
      <c r="Y176" s="81" t="n"/>
      <c r="Z176" s="81" t="n"/>
      <c r="AA176" s="81" t="n"/>
      <c r="AB176" s="80">
        <f>IF(AA176="","",INDEX(Catalogos!$Y$5:$Y$25,MATCH(AA176,L_IMP,0)))</f>
        <v/>
      </c>
      <c r="AC176" s="81" t="n"/>
      <c r="AD176" s="81" t="n"/>
      <c r="AE176" s="81" t="n"/>
      <c r="AF176" s="83">
        <f>IF(Q176="","Pendiente por formular",IF(OR(S176="",T176="",U176="",V176="",W176="",X176="",Z176="",AA176=""),"Incompleta: faltan campos obligatorios",IF(OR(NOT(ISNUMBER(T176)),NOT(ISNUMBER(U176))),"Fecha inválida",IF(U176&lt;T176,"La fecha de fin es anterior a la de inicio",IF(OR(YEAR(T176)&lt;&gt;2027,YEAR(U176)&lt;&gt;2027),"Fechas fuera de la vigencia 2027",IF(ISERROR(SEARCH("@itc.edu.co",V176)),"El responsable no tiene correo institucional",IF(ISERROR(SEARCH(Z176,INDEX(Catalogos!$Z$5:$Z$25,MATCH(AA176,L_IMP,0)))),"La dimensión no corresponde al indicador de impacto","OK")))))))</f>
        <v/>
      </c>
    </row>
    <row r="177" ht="90" customHeight="1" s="23">
      <c r="A177" s="80">
        <f>Base_OAPDI!A170</f>
        <v/>
      </c>
      <c r="B177" s="80">
        <f>Base_OAPDI!B170</f>
        <v/>
      </c>
      <c r="C177" s="80">
        <f>Base_OAPDI!D170</f>
        <v/>
      </c>
      <c r="D177" s="80">
        <f>Base_OAPDI!E170</f>
        <v/>
      </c>
      <c r="E177" s="80">
        <f>Base_OAPDI!F170</f>
        <v/>
      </c>
      <c r="F177" s="80">
        <f>Base_OAPDI!G170</f>
        <v/>
      </c>
      <c r="G177" s="80">
        <f>Base_OAPDI!H170</f>
        <v/>
      </c>
      <c r="H177" s="80">
        <f>Base_OAPDI!I170</f>
        <v/>
      </c>
      <c r="I177" s="80">
        <f>Base_OAPDI!J170</f>
        <v/>
      </c>
      <c r="J177" s="80">
        <f>Base_OAPDI!K170</f>
        <v/>
      </c>
      <c r="K177" s="80">
        <f>Base_OAPDI!L170</f>
        <v/>
      </c>
      <c r="L177" s="80">
        <f>Base_OAPDI!N170</f>
        <v/>
      </c>
      <c r="M177" s="80">
        <f>Base_OAPDI!P170</f>
        <v/>
      </c>
      <c r="N177" s="80">
        <f>Base_OAPDI!Q170</f>
        <v/>
      </c>
      <c r="O177" s="80">
        <f>Base_OAPDI!R170</f>
        <v/>
      </c>
      <c r="P177" s="80">
        <f>Base_OAPDI!S170</f>
        <v/>
      </c>
      <c r="Q177" s="81" t="n"/>
      <c r="R177" s="81" t="n"/>
      <c r="S177" s="81" t="n"/>
      <c r="T177" s="82" t="n"/>
      <c r="U177" s="82" t="n"/>
      <c r="V177" s="81" t="n"/>
      <c r="W177" s="81" t="n"/>
      <c r="X177" s="81" t="n"/>
      <c r="Y177" s="81" t="n"/>
      <c r="Z177" s="81" t="n"/>
      <c r="AA177" s="81" t="n"/>
      <c r="AB177" s="80">
        <f>IF(AA177="","",INDEX(Catalogos!$Y$5:$Y$25,MATCH(AA177,L_IMP,0)))</f>
        <v/>
      </c>
      <c r="AC177" s="81" t="n"/>
      <c r="AD177" s="81" t="n"/>
      <c r="AE177" s="81" t="n"/>
      <c r="AF177" s="83">
        <f>IF(Q177="","Pendiente por formular",IF(OR(S177="",T177="",U177="",V177="",W177="",X177="",Z177="",AA177=""),"Incompleta: faltan campos obligatorios",IF(OR(NOT(ISNUMBER(T177)),NOT(ISNUMBER(U177))),"Fecha inválida",IF(U177&lt;T177,"La fecha de fin es anterior a la de inicio",IF(OR(YEAR(T177)&lt;&gt;2027,YEAR(U177)&lt;&gt;2027),"Fechas fuera de la vigencia 2027",IF(ISERROR(SEARCH("@itc.edu.co",V177)),"El responsable no tiene correo institucional",IF(ISERROR(SEARCH(Z177,INDEX(Catalogos!$Z$5:$Z$25,MATCH(AA177,L_IMP,0)))),"La dimensión no corresponde al indicador de impacto","OK")))))))</f>
        <v/>
      </c>
    </row>
    <row r="178" ht="165" customHeight="1" s="23">
      <c r="A178" s="80">
        <f>Base_OAPDI!A171</f>
        <v/>
      </c>
      <c r="B178" s="80">
        <f>Base_OAPDI!B171</f>
        <v/>
      </c>
      <c r="C178" s="80">
        <f>Base_OAPDI!D171</f>
        <v/>
      </c>
      <c r="D178" s="80">
        <f>Base_OAPDI!E171</f>
        <v/>
      </c>
      <c r="E178" s="80">
        <f>Base_OAPDI!F171</f>
        <v/>
      </c>
      <c r="F178" s="80">
        <f>Base_OAPDI!G171</f>
        <v/>
      </c>
      <c r="G178" s="80">
        <f>Base_OAPDI!H171</f>
        <v/>
      </c>
      <c r="H178" s="80">
        <f>Base_OAPDI!I171</f>
        <v/>
      </c>
      <c r="I178" s="80">
        <f>Base_OAPDI!J171</f>
        <v/>
      </c>
      <c r="J178" s="80">
        <f>Base_OAPDI!K171</f>
        <v/>
      </c>
      <c r="K178" s="80">
        <f>Base_OAPDI!L171</f>
        <v/>
      </c>
      <c r="L178" s="80">
        <f>Base_OAPDI!N171</f>
        <v/>
      </c>
      <c r="M178" s="80">
        <f>Base_OAPDI!P171</f>
        <v/>
      </c>
      <c r="N178" s="80">
        <f>Base_OAPDI!Q171</f>
        <v/>
      </c>
      <c r="O178" s="80">
        <f>Base_OAPDI!R171</f>
        <v/>
      </c>
      <c r="P178" s="80">
        <f>Base_OAPDI!S171</f>
        <v/>
      </c>
      <c r="Q178" s="81" t="n"/>
      <c r="R178" s="81" t="n"/>
      <c r="S178" s="81" t="n"/>
      <c r="T178" s="82" t="n"/>
      <c r="U178" s="82" t="n"/>
      <c r="V178" s="81" t="n"/>
      <c r="W178" s="81" t="n"/>
      <c r="X178" s="81" t="n"/>
      <c r="Y178" s="81" t="n"/>
      <c r="Z178" s="81" t="n"/>
      <c r="AA178" s="81" t="n"/>
      <c r="AB178" s="80">
        <f>IF(AA178="","",INDEX(Catalogos!$Y$5:$Y$25,MATCH(AA178,L_IMP,0)))</f>
        <v/>
      </c>
      <c r="AC178" s="81" t="n"/>
      <c r="AD178" s="81" t="n"/>
      <c r="AE178" s="81" t="n"/>
      <c r="AF178" s="83">
        <f>IF(Q178="","Pendiente por formular",IF(OR(S178="",T178="",U178="",V178="",W178="",X178="",Z178="",AA178=""),"Incompleta: faltan campos obligatorios",IF(OR(NOT(ISNUMBER(T178)),NOT(ISNUMBER(U178))),"Fecha inválida",IF(U178&lt;T178,"La fecha de fin es anterior a la de inicio",IF(OR(YEAR(T178)&lt;&gt;2027,YEAR(U178)&lt;&gt;2027),"Fechas fuera de la vigencia 2027",IF(ISERROR(SEARCH("@itc.edu.co",V178)),"El responsable no tiene correo institucional",IF(ISERROR(SEARCH(Z178,INDEX(Catalogos!$Z$5:$Z$25,MATCH(AA178,L_IMP,0)))),"La dimensión no corresponde al indicador de impacto","OK")))))))</f>
        <v/>
      </c>
    </row>
    <row r="179" ht="195" customHeight="1" s="23">
      <c r="A179" s="80">
        <f>Base_OAPDI!A172</f>
        <v/>
      </c>
      <c r="B179" s="80">
        <f>Base_OAPDI!B172</f>
        <v/>
      </c>
      <c r="C179" s="80">
        <f>Base_OAPDI!D172</f>
        <v/>
      </c>
      <c r="D179" s="80">
        <f>Base_OAPDI!E172</f>
        <v/>
      </c>
      <c r="E179" s="80">
        <f>Base_OAPDI!F172</f>
        <v/>
      </c>
      <c r="F179" s="80">
        <f>Base_OAPDI!G172</f>
        <v/>
      </c>
      <c r="G179" s="80">
        <f>Base_OAPDI!H172</f>
        <v/>
      </c>
      <c r="H179" s="80">
        <f>Base_OAPDI!I172</f>
        <v/>
      </c>
      <c r="I179" s="80">
        <f>Base_OAPDI!J172</f>
        <v/>
      </c>
      <c r="J179" s="80">
        <f>Base_OAPDI!K172</f>
        <v/>
      </c>
      <c r="K179" s="80">
        <f>Base_OAPDI!L172</f>
        <v/>
      </c>
      <c r="L179" s="80">
        <f>Base_OAPDI!N172</f>
        <v/>
      </c>
      <c r="M179" s="80">
        <f>Base_OAPDI!P172</f>
        <v/>
      </c>
      <c r="N179" s="80">
        <f>Base_OAPDI!Q172</f>
        <v/>
      </c>
      <c r="O179" s="80">
        <f>Base_OAPDI!R172</f>
        <v/>
      </c>
      <c r="P179" s="80">
        <f>Base_OAPDI!S172</f>
        <v/>
      </c>
      <c r="Q179" s="81" t="n"/>
      <c r="R179" s="81" t="n"/>
      <c r="S179" s="81" t="n"/>
      <c r="T179" s="82" t="n"/>
      <c r="U179" s="82" t="n"/>
      <c r="V179" s="81" t="n"/>
      <c r="W179" s="81" t="n"/>
      <c r="X179" s="81" t="n"/>
      <c r="Y179" s="81" t="n"/>
      <c r="Z179" s="81" t="n"/>
      <c r="AA179" s="81" t="n"/>
      <c r="AB179" s="80">
        <f>IF(AA179="","",INDEX(Catalogos!$Y$5:$Y$25,MATCH(AA179,L_IMP,0)))</f>
        <v/>
      </c>
      <c r="AC179" s="81" t="n"/>
      <c r="AD179" s="81" t="n"/>
      <c r="AE179" s="81" t="n"/>
      <c r="AF179" s="83">
        <f>IF(Q179="","Pendiente por formular",IF(OR(S179="",T179="",U179="",V179="",W179="",X179="",Z179="",AA179=""),"Incompleta: faltan campos obligatorios",IF(OR(NOT(ISNUMBER(T179)),NOT(ISNUMBER(U179))),"Fecha inválida",IF(U179&lt;T179,"La fecha de fin es anterior a la de inicio",IF(OR(YEAR(T179)&lt;&gt;2027,YEAR(U179)&lt;&gt;2027),"Fechas fuera de la vigencia 2027",IF(ISERROR(SEARCH("@itc.edu.co",V179)),"El responsable no tiene correo institucional",IF(ISERROR(SEARCH(Z179,INDEX(Catalogos!$Z$5:$Z$25,MATCH(AA179,L_IMP,0)))),"La dimensión no corresponde al indicador de impacto","OK")))))))</f>
        <v/>
      </c>
    </row>
    <row r="180" ht="165" customHeight="1" s="23">
      <c r="A180" s="80">
        <f>Base_OAPDI!A173</f>
        <v/>
      </c>
      <c r="B180" s="80">
        <f>Base_OAPDI!B173</f>
        <v/>
      </c>
      <c r="C180" s="80">
        <f>Base_OAPDI!D173</f>
        <v/>
      </c>
      <c r="D180" s="80">
        <f>Base_OAPDI!E173</f>
        <v/>
      </c>
      <c r="E180" s="80">
        <f>Base_OAPDI!F173</f>
        <v/>
      </c>
      <c r="F180" s="80">
        <f>Base_OAPDI!G173</f>
        <v/>
      </c>
      <c r="G180" s="80">
        <f>Base_OAPDI!H173</f>
        <v/>
      </c>
      <c r="H180" s="80">
        <f>Base_OAPDI!I173</f>
        <v/>
      </c>
      <c r="I180" s="80">
        <f>Base_OAPDI!J173</f>
        <v/>
      </c>
      <c r="J180" s="80">
        <f>Base_OAPDI!K173</f>
        <v/>
      </c>
      <c r="K180" s="80">
        <f>Base_OAPDI!L173</f>
        <v/>
      </c>
      <c r="L180" s="80">
        <f>Base_OAPDI!N173</f>
        <v/>
      </c>
      <c r="M180" s="80">
        <f>Base_OAPDI!P173</f>
        <v/>
      </c>
      <c r="N180" s="80">
        <f>Base_OAPDI!Q173</f>
        <v/>
      </c>
      <c r="O180" s="80">
        <f>Base_OAPDI!R173</f>
        <v/>
      </c>
      <c r="P180" s="80">
        <f>Base_OAPDI!S173</f>
        <v/>
      </c>
      <c r="Q180" s="81" t="n"/>
      <c r="R180" s="81" t="n"/>
      <c r="S180" s="81" t="n"/>
      <c r="T180" s="82" t="n"/>
      <c r="U180" s="82" t="n"/>
      <c r="V180" s="81" t="n"/>
      <c r="W180" s="81" t="n"/>
      <c r="X180" s="81" t="n"/>
      <c r="Y180" s="81" t="n"/>
      <c r="Z180" s="81" t="n"/>
      <c r="AA180" s="81" t="n"/>
      <c r="AB180" s="80">
        <f>IF(AA180="","",INDEX(Catalogos!$Y$5:$Y$25,MATCH(AA180,L_IMP,0)))</f>
        <v/>
      </c>
      <c r="AC180" s="81" t="n"/>
      <c r="AD180" s="81" t="n"/>
      <c r="AE180" s="81" t="n"/>
      <c r="AF180" s="83">
        <f>IF(Q180="","Pendiente por formular",IF(OR(S180="",T180="",U180="",V180="",W180="",X180="",Z180="",AA180=""),"Incompleta: faltan campos obligatorios",IF(OR(NOT(ISNUMBER(T180)),NOT(ISNUMBER(U180))),"Fecha inválida",IF(U180&lt;T180,"La fecha de fin es anterior a la de inicio",IF(OR(YEAR(T180)&lt;&gt;2027,YEAR(U180)&lt;&gt;2027),"Fechas fuera de la vigencia 2027",IF(ISERROR(SEARCH("@itc.edu.co",V180)),"El responsable no tiene correo institucional",IF(ISERROR(SEARCH(Z180,INDEX(Catalogos!$Z$5:$Z$25,MATCH(AA180,L_IMP,0)))),"La dimensión no corresponde al indicador de impacto","OK")))))))</f>
        <v/>
      </c>
    </row>
    <row r="181" ht="180" customHeight="1" s="23">
      <c r="A181" s="80">
        <f>Base_OAPDI!A174</f>
        <v/>
      </c>
      <c r="B181" s="80">
        <f>Base_OAPDI!B174</f>
        <v/>
      </c>
      <c r="C181" s="80">
        <f>Base_OAPDI!D174</f>
        <v/>
      </c>
      <c r="D181" s="80">
        <f>Base_OAPDI!E174</f>
        <v/>
      </c>
      <c r="E181" s="80">
        <f>Base_OAPDI!F174</f>
        <v/>
      </c>
      <c r="F181" s="80">
        <f>Base_OAPDI!G174</f>
        <v/>
      </c>
      <c r="G181" s="80">
        <f>Base_OAPDI!H174</f>
        <v/>
      </c>
      <c r="H181" s="80">
        <f>Base_OAPDI!I174</f>
        <v/>
      </c>
      <c r="I181" s="80">
        <f>Base_OAPDI!J174</f>
        <v/>
      </c>
      <c r="J181" s="80">
        <f>Base_OAPDI!K174</f>
        <v/>
      </c>
      <c r="K181" s="80">
        <f>Base_OAPDI!L174</f>
        <v/>
      </c>
      <c r="L181" s="80">
        <f>Base_OAPDI!N174</f>
        <v/>
      </c>
      <c r="M181" s="80">
        <f>Base_OAPDI!P174</f>
        <v/>
      </c>
      <c r="N181" s="80">
        <f>Base_OAPDI!Q174</f>
        <v/>
      </c>
      <c r="O181" s="80">
        <f>Base_OAPDI!R174</f>
        <v/>
      </c>
      <c r="P181" s="80">
        <f>Base_OAPDI!S174</f>
        <v/>
      </c>
      <c r="Q181" s="81" t="n"/>
      <c r="R181" s="81" t="n"/>
      <c r="S181" s="81" t="n"/>
      <c r="T181" s="82" t="n"/>
      <c r="U181" s="82" t="n"/>
      <c r="V181" s="81" t="n"/>
      <c r="W181" s="81" t="n"/>
      <c r="X181" s="81" t="n"/>
      <c r="Y181" s="81" t="n"/>
      <c r="Z181" s="81" t="n"/>
      <c r="AA181" s="81" t="n"/>
      <c r="AB181" s="80">
        <f>IF(AA181="","",INDEX(Catalogos!$Y$5:$Y$25,MATCH(AA181,L_IMP,0)))</f>
        <v/>
      </c>
      <c r="AC181" s="81" t="n"/>
      <c r="AD181" s="81" t="n"/>
      <c r="AE181" s="81" t="n"/>
      <c r="AF181" s="83">
        <f>IF(Q181="","Pendiente por formular",IF(OR(S181="",T181="",U181="",V181="",W181="",X181="",Z181="",AA181=""),"Incompleta: faltan campos obligatorios",IF(OR(NOT(ISNUMBER(T181)),NOT(ISNUMBER(U181))),"Fecha inválida",IF(U181&lt;T181,"La fecha de fin es anterior a la de inicio",IF(OR(YEAR(T181)&lt;&gt;2027,YEAR(U181)&lt;&gt;2027),"Fechas fuera de la vigencia 2027",IF(ISERROR(SEARCH("@itc.edu.co",V181)),"El responsable no tiene correo institucional",IF(ISERROR(SEARCH(Z181,INDEX(Catalogos!$Z$5:$Z$25,MATCH(AA181,L_IMP,0)))),"La dimensión no corresponde al indicador de impacto","OK")))))))</f>
        <v/>
      </c>
    </row>
    <row r="182" ht="60" customHeight="1" s="23">
      <c r="A182" s="80">
        <f>Base_OAPDI!A175</f>
        <v/>
      </c>
      <c r="B182" s="80">
        <f>Base_OAPDI!B175</f>
        <v/>
      </c>
      <c r="C182" s="80">
        <f>Base_OAPDI!D175</f>
        <v/>
      </c>
      <c r="D182" s="80">
        <f>Base_OAPDI!E175</f>
        <v/>
      </c>
      <c r="E182" s="80">
        <f>Base_OAPDI!F175</f>
        <v/>
      </c>
      <c r="F182" s="80">
        <f>Base_OAPDI!G175</f>
        <v/>
      </c>
      <c r="G182" s="80">
        <f>Base_OAPDI!H175</f>
        <v/>
      </c>
      <c r="H182" s="80">
        <f>Base_OAPDI!I175</f>
        <v/>
      </c>
      <c r="I182" s="80">
        <f>Base_OAPDI!J175</f>
        <v/>
      </c>
      <c r="J182" s="80">
        <f>Base_OAPDI!K175</f>
        <v/>
      </c>
      <c r="K182" s="80">
        <f>Base_OAPDI!L175</f>
        <v/>
      </c>
      <c r="L182" s="80">
        <f>Base_OAPDI!N175</f>
        <v/>
      </c>
      <c r="M182" s="80">
        <f>Base_OAPDI!P175</f>
        <v/>
      </c>
      <c r="N182" s="80">
        <f>Base_OAPDI!Q175</f>
        <v/>
      </c>
      <c r="O182" s="80">
        <f>Base_OAPDI!R175</f>
        <v/>
      </c>
      <c r="P182" s="80">
        <f>Base_OAPDI!S175</f>
        <v/>
      </c>
      <c r="Q182" s="81" t="n"/>
      <c r="R182" s="81" t="n"/>
      <c r="S182" s="81" t="n"/>
      <c r="T182" s="82" t="n"/>
      <c r="U182" s="82" t="n"/>
      <c r="V182" s="81" t="n"/>
      <c r="W182" s="81" t="n"/>
      <c r="X182" s="81" t="n"/>
      <c r="Y182" s="81" t="n"/>
      <c r="Z182" s="81" t="n"/>
      <c r="AA182" s="81" t="n"/>
      <c r="AB182" s="80">
        <f>IF(AA182="","",INDEX(Catalogos!$Y$5:$Y$25,MATCH(AA182,L_IMP,0)))</f>
        <v/>
      </c>
      <c r="AC182" s="81" t="n"/>
      <c r="AD182" s="81" t="n"/>
      <c r="AE182" s="81" t="n"/>
      <c r="AF182" s="83">
        <f>IF(Q182="","Pendiente por formular",IF(OR(S182="",T182="",U182="",V182="",W182="",X182="",Z182="",AA182=""),"Incompleta: faltan campos obligatorios",IF(OR(NOT(ISNUMBER(T182)),NOT(ISNUMBER(U182))),"Fecha inválida",IF(U182&lt;T182,"La fecha de fin es anterior a la de inicio",IF(OR(YEAR(T182)&lt;&gt;2027,YEAR(U182)&lt;&gt;2027),"Fechas fuera de la vigencia 2027",IF(ISERROR(SEARCH("@itc.edu.co",V182)),"El responsable no tiene correo institucional",IF(ISERROR(SEARCH(Z182,INDEX(Catalogos!$Z$5:$Z$25,MATCH(AA182,L_IMP,0)))),"La dimensión no corresponde al indicador de impacto","OK")))))))</f>
        <v/>
      </c>
    </row>
    <row r="183" ht="75" customHeight="1" s="23">
      <c r="A183" s="80">
        <f>Base_OAPDI!A176</f>
        <v/>
      </c>
      <c r="B183" s="80">
        <f>Base_OAPDI!B176</f>
        <v/>
      </c>
      <c r="C183" s="80">
        <f>Base_OAPDI!D176</f>
        <v/>
      </c>
      <c r="D183" s="80">
        <f>Base_OAPDI!E176</f>
        <v/>
      </c>
      <c r="E183" s="80">
        <f>Base_OAPDI!F176</f>
        <v/>
      </c>
      <c r="F183" s="80">
        <f>Base_OAPDI!G176</f>
        <v/>
      </c>
      <c r="G183" s="80">
        <f>Base_OAPDI!H176</f>
        <v/>
      </c>
      <c r="H183" s="80">
        <f>Base_OAPDI!I176</f>
        <v/>
      </c>
      <c r="I183" s="80">
        <f>Base_OAPDI!J176</f>
        <v/>
      </c>
      <c r="J183" s="80">
        <f>Base_OAPDI!K176</f>
        <v/>
      </c>
      <c r="K183" s="80">
        <f>Base_OAPDI!L176</f>
        <v/>
      </c>
      <c r="L183" s="80">
        <f>Base_OAPDI!N176</f>
        <v/>
      </c>
      <c r="M183" s="80">
        <f>Base_OAPDI!P176</f>
        <v/>
      </c>
      <c r="N183" s="80">
        <f>Base_OAPDI!Q176</f>
        <v/>
      </c>
      <c r="O183" s="80">
        <f>Base_OAPDI!R176</f>
        <v/>
      </c>
      <c r="P183" s="80">
        <f>Base_OAPDI!S176</f>
        <v/>
      </c>
      <c r="Q183" s="81" t="n"/>
      <c r="R183" s="81" t="n"/>
      <c r="S183" s="81" t="n"/>
      <c r="T183" s="82" t="n"/>
      <c r="U183" s="82" t="n"/>
      <c r="V183" s="81" t="n"/>
      <c r="W183" s="81" t="n"/>
      <c r="X183" s="81" t="n"/>
      <c r="Y183" s="81" t="n"/>
      <c r="Z183" s="81" t="n"/>
      <c r="AA183" s="81" t="n"/>
      <c r="AB183" s="80">
        <f>IF(AA183="","",INDEX(Catalogos!$Y$5:$Y$25,MATCH(AA183,L_IMP,0)))</f>
        <v/>
      </c>
      <c r="AC183" s="81" t="n"/>
      <c r="AD183" s="81" t="n"/>
      <c r="AE183" s="81" t="n"/>
      <c r="AF183" s="83">
        <f>IF(Q183="","Pendiente por formular",IF(OR(S183="",T183="",U183="",V183="",W183="",X183="",Z183="",AA183=""),"Incompleta: faltan campos obligatorios",IF(OR(NOT(ISNUMBER(T183)),NOT(ISNUMBER(U183))),"Fecha inválida",IF(U183&lt;T183,"La fecha de fin es anterior a la de inicio",IF(OR(YEAR(T183)&lt;&gt;2027,YEAR(U183)&lt;&gt;2027),"Fechas fuera de la vigencia 2027",IF(ISERROR(SEARCH("@itc.edu.co",V183)),"El responsable no tiene correo institucional",IF(ISERROR(SEARCH(Z183,INDEX(Catalogos!$Z$5:$Z$25,MATCH(AA183,L_IMP,0)))),"La dimensión no corresponde al indicador de impacto","OK")))))))</f>
        <v/>
      </c>
    </row>
    <row r="184" ht="75" customHeight="1" s="23">
      <c r="A184" s="80">
        <f>Base_OAPDI!A177</f>
        <v/>
      </c>
      <c r="B184" s="80">
        <f>Base_OAPDI!B177</f>
        <v/>
      </c>
      <c r="C184" s="80">
        <f>Base_OAPDI!D177</f>
        <v/>
      </c>
      <c r="D184" s="80">
        <f>Base_OAPDI!E177</f>
        <v/>
      </c>
      <c r="E184" s="80">
        <f>Base_OAPDI!F177</f>
        <v/>
      </c>
      <c r="F184" s="80">
        <f>Base_OAPDI!G177</f>
        <v/>
      </c>
      <c r="G184" s="80">
        <f>Base_OAPDI!H177</f>
        <v/>
      </c>
      <c r="H184" s="80">
        <f>Base_OAPDI!I177</f>
        <v/>
      </c>
      <c r="I184" s="80">
        <f>Base_OAPDI!J177</f>
        <v/>
      </c>
      <c r="J184" s="80">
        <f>Base_OAPDI!K177</f>
        <v/>
      </c>
      <c r="K184" s="80">
        <f>Base_OAPDI!L177</f>
        <v/>
      </c>
      <c r="L184" s="80">
        <f>Base_OAPDI!N177</f>
        <v/>
      </c>
      <c r="M184" s="80">
        <f>Base_OAPDI!P177</f>
        <v/>
      </c>
      <c r="N184" s="80">
        <f>Base_OAPDI!Q177</f>
        <v/>
      </c>
      <c r="O184" s="80">
        <f>Base_OAPDI!R177</f>
        <v/>
      </c>
      <c r="P184" s="80">
        <f>Base_OAPDI!S177</f>
        <v/>
      </c>
      <c r="Q184" s="81" t="n"/>
      <c r="R184" s="81" t="n"/>
      <c r="S184" s="81" t="n"/>
      <c r="T184" s="82" t="n"/>
      <c r="U184" s="82" t="n"/>
      <c r="V184" s="81" t="n"/>
      <c r="W184" s="81" t="n"/>
      <c r="X184" s="81" t="n"/>
      <c r="Y184" s="81" t="n"/>
      <c r="Z184" s="81" t="n"/>
      <c r="AA184" s="81" t="n"/>
      <c r="AB184" s="80">
        <f>IF(AA184="","",INDEX(Catalogos!$Y$5:$Y$25,MATCH(AA184,L_IMP,0)))</f>
        <v/>
      </c>
      <c r="AC184" s="81" t="n"/>
      <c r="AD184" s="81" t="n"/>
      <c r="AE184" s="81" t="n"/>
      <c r="AF184" s="83">
        <f>IF(Q184="","Pendiente por formular",IF(OR(S184="",T184="",U184="",V184="",W184="",X184="",Z184="",AA184=""),"Incompleta: faltan campos obligatorios",IF(OR(NOT(ISNUMBER(T184)),NOT(ISNUMBER(U184))),"Fecha inválida",IF(U184&lt;T184,"La fecha de fin es anterior a la de inicio",IF(OR(YEAR(T184)&lt;&gt;2027,YEAR(U184)&lt;&gt;2027),"Fechas fuera de la vigencia 2027",IF(ISERROR(SEARCH("@itc.edu.co",V184)),"El responsable no tiene correo institucional",IF(ISERROR(SEARCH(Z184,INDEX(Catalogos!$Z$5:$Z$25,MATCH(AA184,L_IMP,0)))),"La dimensión no corresponde al indicador de impacto","OK")))))))</f>
        <v/>
      </c>
    </row>
    <row r="185" ht="150" customHeight="1" s="23">
      <c r="A185" s="80">
        <f>Base_OAPDI!A178</f>
        <v/>
      </c>
      <c r="B185" s="80">
        <f>Base_OAPDI!B178</f>
        <v/>
      </c>
      <c r="C185" s="80">
        <f>Base_OAPDI!D178</f>
        <v/>
      </c>
      <c r="D185" s="80">
        <f>Base_OAPDI!E178</f>
        <v/>
      </c>
      <c r="E185" s="80">
        <f>Base_OAPDI!F178</f>
        <v/>
      </c>
      <c r="F185" s="80">
        <f>Base_OAPDI!G178</f>
        <v/>
      </c>
      <c r="G185" s="80">
        <f>Base_OAPDI!H178</f>
        <v/>
      </c>
      <c r="H185" s="80">
        <f>Base_OAPDI!I178</f>
        <v/>
      </c>
      <c r="I185" s="80">
        <f>Base_OAPDI!J178</f>
        <v/>
      </c>
      <c r="J185" s="80">
        <f>Base_OAPDI!K178</f>
        <v/>
      </c>
      <c r="K185" s="80">
        <f>Base_OAPDI!L178</f>
        <v/>
      </c>
      <c r="L185" s="80">
        <f>Base_OAPDI!N178</f>
        <v/>
      </c>
      <c r="M185" s="80">
        <f>Base_OAPDI!P178</f>
        <v/>
      </c>
      <c r="N185" s="80">
        <f>Base_OAPDI!Q178</f>
        <v/>
      </c>
      <c r="O185" s="80">
        <f>Base_OAPDI!R178</f>
        <v/>
      </c>
      <c r="P185" s="80">
        <f>Base_OAPDI!S178</f>
        <v/>
      </c>
      <c r="Q185" s="81" t="n"/>
      <c r="R185" s="81" t="n"/>
      <c r="S185" s="81" t="n"/>
      <c r="T185" s="82" t="n"/>
      <c r="U185" s="82" t="n"/>
      <c r="V185" s="81" t="n"/>
      <c r="W185" s="81" t="n"/>
      <c r="X185" s="81" t="n"/>
      <c r="Y185" s="81" t="n"/>
      <c r="Z185" s="81" t="n"/>
      <c r="AA185" s="81" t="n"/>
      <c r="AB185" s="80">
        <f>IF(AA185="","",INDEX(Catalogos!$Y$5:$Y$25,MATCH(AA185,L_IMP,0)))</f>
        <v/>
      </c>
      <c r="AC185" s="81" t="n"/>
      <c r="AD185" s="81" t="n"/>
      <c r="AE185" s="81" t="n"/>
      <c r="AF185" s="83">
        <f>IF(Q185="","Pendiente por formular",IF(OR(S185="",T185="",U185="",V185="",W185="",X185="",Z185="",AA185=""),"Incompleta: faltan campos obligatorios",IF(OR(NOT(ISNUMBER(T185)),NOT(ISNUMBER(U185))),"Fecha inválida",IF(U185&lt;T185,"La fecha de fin es anterior a la de inicio",IF(OR(YEAR(T185)&lt;&gt;2027,YEAR(U185)&lt;&gt;2027),"Fechas fuera de la vigencia 2027",IF(ISERROR(SEARCH("@itc.edu.co",V185)),"El responsable no tiene correo institucional",IF(ISERROR(SEARCH(Z185,INDEX(Catalogos!$Z$5:$Z$25,MATCH(AA185,L_IMP,0)))),"La dimensión no corresponde al indicador de impacto","OK")))))))</f>
        <v/>
      </c>
    </row>
    <row r="186" ht="75" customHeight="1" s="23">
      <c r="A186" s="80">
        <f>Base_OAPDI!A179</f>
        <v/>
      </c>
      <c r="B186" s="80">
        <f>Base_OAPDI!B179</f>
        <v/>
      </c>
      <c r="C186" s="80">
        <f>Base_OAPDI!D179</f>
        <v/>
      </c>
      <c r="D186" s="80">
        <f>Base_OAPDI!E179</f>
        <v/>
      </c>
      <c r="E186" s="80">
        <f>Base_OAPDI!F179</f>
        <v/>
      </c>
      <c r="F186" s="80">
        <f>Base_OAPDI!G179</f>
        <v/>
      </c>
      <c r="G186" s="80">
        <f>Base_OAPDI!H179</f>
        <v/>
      </c>
      <c r="H186" s="80">
        <f>Base_OAPDI!I179</f>
        <v/>
      </c>
      <c r="I186" s="80">
        <f>Base_OAPDI!J179</f>
        <v/>
      </c>
      <c r="J186" s="80">
        <f>Base_OAPDI!K179</f>
        <v/>
      </c>
      <c r="K186" s="80">
        <f>Base_OAPDI!L179</f>
        <v/>
      </c>
      <c r="L186" s="80">
        <f>Base_OAPDI!N179</f>
        <v/>
      </c>
      <c r="M186" s="80">
        <f>Base_OAPDI!P179</f>
        <v/>
      </c>
      <c r="N186" s="80">
        <f>Base_OAPDI!Q179</f>
        <v/>
      </c>
      <c r="O186" s="80">
        <f>Base_OAPDI!R179</f>
        <v/>
      </c>
      <c r="P186" s="80">
        <f>Base_OAPDI!S179</f>
        <v/>
      </c>
      <c r="Q186" s="81" t="n"/>
      <c r="R186" s="81" t="n"/>
      <c r="S186" s="81" t="n"/>
      <c r="T186" s="82" t="n"/>
      <c r="U186" s="82" t="n"/>
      <c r="V186" s="81" t="n"/>
      <c r="W186" s="81" t="n"/>
      <c r="X186" s="81" t="n"/>
      <c r="Y186" s="81" t="n"/>
      <c r="Z186" s="81" t="n"/>
      <c r="AA186" s="81" t="n"/>
      <c r="AB186" s="80">
        <f>IF(AA186="","",INDEX(Catalogos!$Y$5:$Y$25,MATCH(AA186,L_IMP,0)))</f>
        <v/>
      </c>
      <c r="AC186" s="81" t="n"/>
      <c r="AD186" s="81" t="n"/>
      <c r="AE186" s="81" t="n"/>
      <c r="AF186" s="83">
        <f>IF(Q186="","Pendiente por formular",IF(OR(S186="",T186="",U186="",V186="",W186="",X186="",Z186="",AA186=""),"Incompleta: faltan campos obligatorios",IF(OR(NOT(ISNUMBER(T186)),NOT(ISNUMBER(U186))),"Fecha inválida",IF(U186&lt;T186,"La fecha de fin es anterior a la de inicio",IF(OR(YEAR(T186)&lt;&gt;2027,YEAR(U186)&lt;&gt;2027),"Fechas fuera de la vigencia 2027",IF(ISERROR(SEARCH("@itc.edu.co",V186)),"El responsable no tiene correo institucional",IF(ISERROR(SEARCH(Z186,INDEX(Catalogos!$Z$5:$Z$25,MATCH(AA186,L_IMP,0)))),"La dimensión no corresponde al indicador de impacto","OK")))))))</f>
        <v/>
      </c>
    </row>
    <row r="187" ht="135" customHeight="1" s="23">
      <c r="A187" s="80">
        <f>Base_OAPDI!A180</f>
        <v/>
      </c>
      <c r="B187" s="80">
        <f>Base_OAPDI!B180</f>
        <v/>
      </c>
      <c r="C187" s="80">
        <f>Base_OAPDI!D180</f>
        <v/>
      </c>
      <c r="D187" s="80">
        <f>Base_OAPDI!E180</f>
        <v/>
      </c>
      <c r="E187" s="80">
        <f>Base_OAPDI!F180</f>
        <v/>
      </c>
      <c r="F187" s="80">
        <f>Base_OAPDI!G180</f>
        <v/>
      </c>
      <c r="G187" s="80">
        <f>Base_OAPDI!H180</f>
        <v/>
      </c>
      <c r="H187" s="80">
        <f>Base_OAPDI!I180</f>
        <v/>
      </c>
      <c r="I187" s="80">
        <f>Base_OAPDI!J180</f>
        <v/>
      </c>
      <c r="J187" s="80">
        <f>Base_OAPDI!K180</f>
        <v/>
      </c>
      <c r="K187" s="80">
        <f>Base_OAPDI!L180</f>
        <v/>
      </c>
      <c r="L187" s="80">
        <f>Base_OAPDI!N180</f>
        <v/>
      </c>
      <c r="M187" s="80">
        <f>Base_OAPDI!P180</f>
        <v/>
      </c>
      <c r="N187" s="80">
        <f>Base_OAPDI!Q180</f>
        <v/>
      </c>
      <c r="O187" s="80">
        <f>Base_OAPDI!R180</f>
        <v/>
      </c>
      <c r="P187" s="80">
        <f>Base_OAPDI!S180</f>
        <v/>
      </c>
      <c r="Q187" s="81" t="n"/>
      <c r="R187" s="81" t="n"/>
      <c r="S187" s="81" t="n"/>
      <c r="T187" s="82" t="n"/>
      <c r="U187" s="82" t="n"/>
      <c r="V187" s="81" t="n"/>
      <c r="W187" s="81" t="n"/>
      <c r="X187" s="81" t="n"/>
      <c r="Y187" s="81" t="n"/>
      <c r="Z187" s="81" t="n"/>
      <c r="AA187" s="81" t="n"/>
      <c r="AB187" s="80">
        <f>IF(AA187="","",INDEX(Catalogos!$Y$5:$Y$25,MATCH(AA187,L_IMP,0)))</f>
        <v/>
      </c>
      <c r="AC187" s="81" t="n"/>
      <c r="AD187" s="81" t="n"/>
      <c r="AE187" s="81" t="n"/>
      <c r="AF187" s="83">
        <f>IF(Q187="","Pendiente por formular",IF(OR(S187="",T187="",U187="",V187="",W187="",X187="",Z187="",AA187=""),"Incompleta: faltan campos obligatorios",IF(OR(NOT(ISNUMBER(T187)),NOT(ISNUMBER(U187))),"Fecha inválida",IF(U187&lt;T187,"La fecha de fin es anterior a la de inicio",IF(OR(YEAR(T187)&lt;&gt;2027,YEAR(U187)&lt;&gt;2027),"Fechas fuera de la vigencia 2027",IF(ISERROR(SEARCH("@itc.edu.co",V187)),"El responsable no tiene correo institucional",IF(ISERROR(SEARCH(Z187,INDEX(Catalogos!$Z$5:$Z$25,MATCH(AA187,L_IMP,0)))),"La dimensión no corresponde al indicador de impacto","OK")))))))</f>
        <v/>
      </c>
    </row>
    <row r="188" ht="120" customHeight="1" s="23">
      <c r="A188" s="80">
        <f>Base_OAPDI!A181</f>
        <v/>
      </c>
      <c r="B188" s="80">
        <f>Base_OAPDI!B181</f>
        <v/>
      </c>
      <c r="C188" s="80">
        <f>Base_OAPDI!D181</f>
        <v/>
      </c>
      <c r="D188" s="80">
        <f>Base_OAPDI!E181</f>
        <v/>
      </c>
      <c r="E188" s="80">
        <f>Base_OAPDI!F181</f>
        <v/>
      </c>
      <c r="F188" s="80">
        <f>Base_OAPDI!G181</f>
        <v/>
      </c>
      <c r="G188" s="80">
        <f>Base_OAPDI!H181</f>
        <v/>
      </c>
      <c r="H188" s="80">
        <f>Base_OAPDI!I181</f>
        <v/>
      </c>
      <c r="I188" s="80">
        <f>Base_OAPDI!J181</f>
        <v/>
      </c>
      <c r="J188" s="80">
        <f>Base_OAPDI!K181</f>
        <v/>
      </c>
      <c r="K188" s="80">
        <f>Base_OAPDI!L181</f>
        <v/>
      </c>
      <c r="L188" s="80">
        <f>Base_OAPDI!N181</f>
        <v/>
      </c>
      <c r="M188" s="80">
        <f>Base_OAPDI!P181</f>
        <v/>
      </c>
      <c r="N188" s="80">
        <f>Base_OAPDI!Q181</f>
        <v/>
      </c>
      <c r="O188" s="80">
        <f>Base_OAPDI!R181</f>
        <v/>
      </c>
      <c r="P188" s="80">
        <f>Base_OAPDI!S181</f>
        <v/>
      </c>
      <c r="Q188" s="81" t="n"/>
      <c r="R188" s="81" t="n"/>
      <c r="S188" s="81" t="n"/>
      <c r="T188" s="82" t="n"/>
      <c r="U188" s="82" t="n"/>
      <c r="V188" s="81" t="n"/>
      <c r="W188" s="81" t="n"/>
      <c r="X188" s="81" t="n"/>
      <c r="Y188" s="81" t="n"/>
      <c r="Z188" s="81" t="n"/>
      <c r="AA188" s="81" t="n"/>
      <c r="AB188" s="80">
        <f>IF(AA188="","",INDEX(Catalogos!$Y$5:$Y$25,MATCH(AA188,L_IMP,0)))</f>
        <v/>
      </c>
      <c r="AC188" s="81" t="n"/>
      <c r="AD188" s="81" t="n"/>
      <c r="AE188" s="81" t="n"/>
      <c r="AF188" s="83">
        <f>IF(Q188="","Pendiente por formular",IF(OR(S188="",T188="",U188="",V188="",W188="",X188="",Z188="",AA188=""),"Incompleta: faltan campos obligatorios",IF(OR(NOT(ISNUMBER(T188)),NOT(ISNUMBER(U188))),"Fecha inválida",IF(U188&lt;T188,"La fecha de fin es anterior a la de inicio",IF(OR(YEAR(T188)&lt;&gt;2027,YEAR(U188)&lt;&gt;2027),"Fechas fuera de la vigencia 2027",IF(ISERROR(SEARCH("@itc.edu.co",V188)),"El responsable no tiene correo institucional",IF(ISERROR(SEARCH(Z188,INDEX(Catalogos!$Z$5:$Z$25,MATCH(AA188,L_IMP,0)))),"La dimensión no corresponde al indicador de impacto","OK")))))))</f>
        <v/>
      </c>
    </row>
    <row r="189" ht="60" customHeight="1" s="23">
      <c r="A189" s="80">
        <f>Base_OAPDI!A182</f>
        <v/>
      </c>
      <c r="B189" s="80">
        <f>Base_OAPDI!B182</f>
        <v/>
      </c>
      <c r="C189" s="80">
        <f>Base_OAPDI!D182</f>
        <v/>
      </c>
      <c r="D189" s="80">
        <f>Base_OAPDI!E182</f>
        <v/>
      </c>
      <c r="E189" s="80">
        <f>Base_OAPDI!F182</f>
        <v/>
      </c>
      <c r="F189" s="80">
        <f>Base_OAPDI!G182</f>
        <v/>
      </c>
      <c r="G189" s="80">
        <f>Base_OAPDI!H182</f>
        <v/>
      </c>
      <c r="H189" s="80">
        <f>Base_OAPDI!I182</f>
        <v/>
      </c>
      <c r="I189" s="80">
        <f>Base_OAPDI!J182</f>
        <v/>
      </c>
      <c r="J189" s="80">
        <f>Base_OAPDI!K182</f>
        <v/>
      </c>
      <c r="K189" s="80">
        <f>Base_OAPDI!L182</f>
        <v/>
      </c>
      <c r="L189" s="80">
        <f>Base_OAPDI!N182</f>
        <v/>
      </c>
      <c r="M189" s="80">
        <f>Base_OAPDI!P182</f>
        <v/>
      </c>
      <c r="N189" s="80">
        <f>Base_OAPDI!Q182</f>
        <v/>
      </c>
      <c r="O189" s="80">
        <f>Base_OAPDI!R182</f>
        <v/>
      </c>
      <c r="P189" s="80">
        <f>Base_OAPDI!S182</f>
        <v/>
      </c>
      <c r="Q189" s="81" t="n"/>
      <c r="R189" s="81" t="n"/>
      <c r="S189" s="81" t="n"/>
      <c r="T189" s="82" t="n"/>
      <c r="U189" s="82" t="n"/>
      <c r="V189" s="81" t="n"/>
      <c r="W189" s="81" t="n"/>
      <c r="X189" s="81" t="n"/>
      <c r="Y189" s="81" t="n"/>
      <c r="Z189" s="81" t="n"/>
      <c r="AA189" s="81" t="n"/>
      <c r="AB189" s="80">
        <f>IF(AA189="","",INDEX(Catalogos!$Y$5:$Y$25,MATCH(AA189,L_IMP,0)))</f>
        <v/>
      </c>
      <c r="AC189" s="81" t="n"/>
      <c r="AD189" s="81" t="n"/>
      <c r="AE189" s="81" t="n"/>
      <c r="AF189" s="83">
        <f>IF(Q189="","Pendiente por formular",IF(OR(S189="",T189="",U189="",V189="",W189="",X189="",Z189="",AA189=""),"Incompleta: faltan campos obligatorios",IF(OR(NOT(ISNUMBER(T189)),NOT(ISNUMBER(U189))),"Fecha inválida",IF(U189&lt;T189,"La fecha de fin es anterior a la de inicio",IF(OR(YEAR(T189)&lt;&gt;2027,YEAR(U189)&lt;&gt;2027),"Fechas fuera de la vigencia 2027",IF(ISERROR(SEARCH("@itc.edu.co",V189)),"El responsable no tiene correo institucional",IF(ISERROR(SEARCH(Z189,INDEX(Catalogos!$Z$5:$Z$25,MATCH(AA189,L_IMP,0)))),"La dimensión no corresponde al indicador de impacto","OK")))))))</f>
        <v/>
      </c>
    </row>
    <row r="190" ht="34" customHeight="1" s="23">
      <c r="A190" s="79" t="inlineStr">
        <is>
          <t>Eje estratégico 6. Cuidado por el bienestar y la vida. Objetivo estratégico del eje: Consolidar una cultura institucional de autocuidado, cuidado del otro, cuidado del ambiente, garantizando espacios seguros, inclusivos y sostenibles para la construcción de un bienestar integral, personal y colectivo.</t>
        </is>
      </c>
    </row>
    <row r="191" ht="195" customHeight="1" s="23">
      <c r="A191" s="80">
        <f>Base_OAPDI!A183</f>
        <v/>
      </c>
      <c r="B191" s="80">
        <f>Base_OAPDI!B183</f>
        <v/>
      </c>
      <c r="C191" s="80">
        <f>Base_OAPDI!D183</f>
        <v/>
      </c>
      <c r="D191" s="80">
        <f>Base_OAPDI!E183</f>
        <v/>
      </c>
      <c r="E191" s="80">
        <f>Base_OAPDI!F183</f>
        <v/>
      </c>
      <c r="F191" s="80">
        <f>Base_OAPDI!G183</f>
        <v/>
      </c>
      <c r="G191" s="80">
        <f>Base_OAPDI!H183</f>
        <v/>
      </c>
      <c r="H191" s="80">
        <f>Base_OAPDI!I183</f>
        <v/>
      </c>
      <c r="I191" s="80">
        <f>Base_OAPDI!J183</f>
        <v/>
      </c>
      <c r="J191" s="80">
        <f>Base_OAPDI!K183</f>
        <v/>
      </c>
      <c r="K191" s="80">
        <f>Base_OAPDI!L183</f>
        <v/>
      </c>
      <c r="L191" s="80">
        <f>Base_OAPDI!N183</f>
        <v/>
      </c>
      <c r="M191" s="80">
        <f>Base_OAPDI!P183</f>
        <v/>
      </c>
      <c r="N191" s="80">
        <f>Base_OAPDI!Q183</f>
        <v/>
      </c>
      <c r="O191" s="80">
        <f>Base_OAPDI!R183</f>
        <v/>
      </c>
      <c r="P191" s="80">
        <f>Base_OAPDI!S183</f>
        <v/>
      </c>
      <c r="Q191" s="81" t="n"/>
      <c r="R191" s="81" t="n"/>
      <c r="S191" s="81" t="n"/>
      <c r="T191" s="82" t="n"/>
      <c r="U191" s="82" t="n"/>
      <c r="V191" s="81" t="n"/>
      <c r="W191" s="81" t="n"/>
      <c r="X191" s="81" t="n"/>
      <c r="Y191" s="81" t="n"/>
      <c r="Z191" s="81" t="n"/>
      <c r="AA191" s="81" t="n"/>
      <c r="AB191" s="80">
        <f>IF(AA191="","",INDEX(Catalogos!$Y$5:$Y$25,MATCH(AA191,L_IMP,0)))</f>
        <v/>
      </c>
      <c r="AC191" s="81" t="n"/>
      <c r="AD191" s="81" t="n"/>
      <c r="AE191" s="81" t="n"/>
      <c r="AF191" s="83">
        <f>IF(Q191="","Pendiente por formular",IF(OR(S191="",T191="",U191="",V191="",W191="",X191="",Z191="",AA191=""),"Incompleta: faltan campos obligatorios",IF(OR(NOT(ISNUMBER(T191)),NOT(ISNUMBER(U191))),"Fecha inválida",IF(U191&lt;T191,"La fecha de fin es anterior a la de inicio",IF(OR(YEAR(T191)&lt;&gt;2027,YEAR(U191)&lt;&gt;2027),"Fechas fuera de la vigencia 2027",IF(ISERROR(SEARCH("@itc.edu.co",V191)),"El responsable no tiene correo institucional",IF(ISERROR(SEARCH(Z191,INDEX(Catalogos!$Z$5:$Z$25,MATCH(AA191,L_IMP,0)))),"La dimensión no corresponde al indicador de impacto","OK")))))))</f>
        <v/>
      </c>
    </row>
    <row r="192" ht="255" customHeight="1" s="23">
      <c r="A192" s="80">
        <f>Base_OAPDI!A184</f>
        <v/>
      </c>
      <c r="B192" s="80">
        <f>Base_OAPDI!B184</f>
        <v/>
      </c>
      <c r="C192" s="80">
        <f>Base_OAPDI!D184</f>
        <v/>
      </c>
      <c r="D192" s="80">
        <f>Base_OAPDI!E184</f>
        <v/>
      </c>
      <c r="E192" s="80">
        <f>Base_OAPDI!F184</f>
        <v/>
      </c>
      <c r="F192" s="80">
        <f>Base_OAPDI!G184</f>
        <v/>
      </c>
      <c r="G192" s="80">
        <f>Base_OAPDI!H184</f>
        <v/>
      </c>
      <c r="H192" s="80">
        <f>Base_OAPDI!I184</f>
        <v/>
      </c>
      <c r="I192" s="80">
        <f>Base_OAPDI!J184</f>
        <v/>
      </c>
      <c r="J192" s="80">
        <f>Base_OAPDI!K184</f>
        <v/>
      </c>
      <c r="K192" s="80">
        <f>Base_OAPDI!L184</f>
        <v/>
      </c>
      <c r="L192" s="80">
        <f>Base_OAPDI!N184</f>
        <v/>
      </c>
      <c r="M192" s="80">
        <f>Base_OAPDI!P184</f>
        <v/>
      </c>
      <c r="N192" s="80">
        <f>Base_OAPDI!Q184</f>
        <v/>
      </c>
      <c r="O192" s="80">
        <f>Base_OAPDI!R184</f>
        <v/>
      </c>
      <c r="P192" s="80">
        <f>Base_OAPDI!S184</f>
        <v/>
      </c>
      <c r="Q192" s="81" t="n"/>
      <c r="R192" s="81" t="n"/>
      <c r="S192" s="81" t="n"/>
      <c r="T192" s="82" t="n"/>
      <c r="U192" s="82" t="n"/>
      <c r="V192" s="81" t="n"/>
      <c r="W192" s="81" t="n"/>
      <c r="X192" s="81" t="n"/>
      <c r="Y192" s="81" t="n"/>
      <c r="Z192" s="81" t="n"/>
      <c r="AA192" s="81" t="n"/>
      <c r="AB192" s="80">
        <f>IF(AA192="","",INDEX(Catalogos!$Y$5:$Y$25,MATCH(AA192,L_IMP,0)))</f>
        <v/>
      </c>
      <c r="AC192" s="81" t="n"/>
      <c r="AD192" s="81" t="n"/>
      <c r="AE192" s="81" t="n"/>
      <c r="AF192" s="83">
        <f>IF(Q192="","Pendiente por formular",IF(OR(S192="",T192="",U192="",V192="",W192="",X192="",Z192="",AA192=""),"Incompleta: faltan campos obligatorios",IF(OR(NOT(ISNUMBER(T192)),NOT(ISNUMBER(U192))),"Fecha inválida",IF(U192&lt;T192,"La fecha de fin es anterior a la de inicio",IF(OR(YEAR(T192)&lt;&gt;2027,YEAR(U192)&lt;&gt;2027),"Fechas fuera de la vigencia 2027",IF(ISERROR(SEARCH("@itc.edu.co",V192)),"El responsable no tiene correo institucional",IF(ISERROR(SEARCH(Z192,INDEX(Catalogos!$Z$5:$Z$25,MATCH(AA192,L_IMP,0)))),"La dimensión no corresponde al indicador de impacto","OK")))))))</f>
        <v/>
      </c>
    </row>
    <row r="193" ht="225" customHeight="1" s="23">
      <c r="A193" s="80">
        <f>Base_OAPDI!A185</f>
        <v/>
      </c>
      <c r="B193" s="80">
        <f>Base_OAPDI!B185</f>
        <v/>
      </c>
      <c r="C193" s="80">
        <f>Base_OAPDI!D185</f>
        <v/>
      </c>
      <c r="D193" s="80">
        <f>Base_OAPDI!E185</f>
        <v/>
      </c>
      <c r="E193" s="80">
        <f>Base_OAPDI!F185</f>
        <v/>
      </c>
      <c r="F193" s="80">
        <f>Base_OAPDI!G185</f>
        <v/>
      </c>
      <c r="G193" s="80">
        <f>Base_OAPDI!H185</f>
        <v/>
      </c>
      <c r="H193" s="80">
        <f>Base_OAPDI!I185</f>
        <v/>
      </c>
      <c r="I193" s="80">
        <f>Base_OAPDI!J185</f>
        <v/>
      </c>
      <c r="J193" s="80">
        <f>Base_OAPDI!K185</f>
        <v/>
      </c>
      <c r="K193" s="80">
        <f>Base_OAPDI!L185</f>
        <v/>
      </c>
      <c r="L193" s="80">
        <f>Base_OAPDI!N185</f>
        <v/>
      </c>
      <c r="M193" s="80">
        <f>Base_OAPDI!P185</f>
        <v/>
      </c>
      <c r="N193" s="80">
        <f>Base_OAPDI!Q185</f>
        <v/>
      </c>
      <c r="O193" s="80">
        <f>Base_OAPDI!R185</f>
        <v/>
      </c>
      <c r="P193" s="80">
        <f>Base_OAPDI!S185</f>
        <v/>
      </c>
      <c r="Q193" s="81" t="n"/>
      <c r="R193" s="81" t="n"/>
      <c r="S193" s="81" t="n"/>
      <c r="T193" s="82" t="n"/>
      <c r="U193" s="82" t="n"/>
      <c r="V193" s="81" t="n"/>
      <c r="W193" s="81" t="n"/>
      <c r="X193" s="81" t="n"/>
      <c r="Y193" s="81" t="n"/>
      <c r="Z193" s="81" t="n"/>
      <c r="AA193" s="81" t="n"/>
      <c r="AB193" s="80">
        <f>IF(AA193="","",INDEX(Catalogos!$Y$5:$Y$25,MATCH(AA193,L_IMP,0)))</f>
        <v/>
      </c>
      <c r="AC193" s="81" t="n"/>
      <c r="AD193" s="81" t="n"/>
      <c r="AE193" s="81" t="n"/>
      <c r="AF193" s="83">
        <f>IF(Q193="","Pendiente por formular",IF(OR(S193="",T193="",U193="",V193="",W193="",X193="",Z193="",AA193=""),"Incompleta: faltan campos obligatorios",IF(OR(NOT(ISNUMBER(T193)),NOT(ISNUMBER(U193))),"Fecha inválida",IF(U193&lt;T193,"La fecha de fin es anterior a la de inicio",IF(OR(YEAR(T193)&lt;&gt;2027,YEAR(U193)&lt;&gt;2027),"Fechas fuera de la vigencia 2027",IF(ISERROR(SEARCH("@itc.edu.co",V193)),"El responsable no tiene correo institucional",IF(ISERROR(SEARCH(Z193,INDEX(Catalogos!$Z$5:$Z$25,MATCH(AA193,L_IMP,0)))),"La dimensión no corresponde al indicador de impacto","OK")))))))</f>
        <v/>
      </c>
    </row>
    <row r="194" ht="75" customHeight="1" s="23">
      <c r="A194" s="80">
        <f>Base_OAPDI!A186</f>
        <v/>
      </c>
      <c r="B194" s="80">
        <f>Base_OAPDI!B186</f>
        <v/>
      </c>
      <c r="C194" s="80">
        <f>Base_OAPDI!D186</f>
        <v/>
      </c>
      <c r="D194" s="80">
        <f>Base_OAPDI!E186</f>
        <v/>
      </c>
      <c r="E194" s="80">
        <f>Base_OAPDI!F186</f>
        <v/>
      </c>
      <c r="F194" s="80">
        <f>Base_OAPDI!G186</f>
        <v/>
      </c>
      <c r="G194" s="80">
        <f>Base_OAPDI!H186</f>
        <v/>
      </c>
      <c r="H194" s="80">
        <f>Base_OAPDI!I186</f>
        <v/>
      </c>
      <c r="I194" s="80">
        <f>Base_OAPDI!J186</f>
        <v/>
      </c>
      <c r="J194" s="80">
        <f>Base_OAPDI!K186</f>
        <v/>
      </c>
      <c r="K194" s="80">
        <f>Base_OAPDI!L186</f>
        <v/>
      </c>
      <c r="L194" s="80">
        <f>Base_OAPDI!N186</f>
        <v/>
      </c>
      <c r="M194" s="80">
        <f>Base_OAPDI!P186</f>
        <v/>
      </c>
      <c r="N194" s="80">
        <f>Base_OAPDI!Q186</f>
        <v/>
      </c>
      <c r="O194" s="80">
        <f>Base_OAPDI!R186</f>
        <v/>
      </c>
      <c r="P194" s="80">
        <f>Base_OAPDI!S186</f>
        <v/>
      </c>
      <c r="Q194" s="81" t="n"/>
      <c r="R194" s="81" t="n"/>
      <c r="S194" s="81" t="n"/>
      <c r="T194" s="82" t="n"/>
      <c r="U194" s="82" t="n"/>
      <c r="V194" s="81" t="n"/>
      <c r="W194" s="81" t="n"/>
      <c r="X194" s="81" t="n"/>
      <c r="Y194" s="81" t="n"/>
      <c r="Z194" s="81" t="n"/>
      <c r="AA194" s="81" t="n"/>
      <c r="AB194" s="80">
        <f>IF(AA194="","",INDEX(Catalogos!$Y$5:$Y$25,MATCH(AA194,L_IMP,0)))</f>
        <v/>
      </c>
      <c r="AC194" s="81" t="n"/>
      <c r="AD194" s="81" t="n"/>
      <c r="AE194" s="81" t="n"/>
      <c r="AF194" s="83">
        <f>IF(Q194="","Pendiente por formular",IF(OR(S194="",T194="",U194="",V194="",W194="",X194="",Z194="",AA194=""),"Incompleta: faltan campos obligatorios",IF(OR(NOT(ISNUMBER(T194)),NOT(ISNUMBER(U194))),"Fecha inválida",IF(U194&lt;T194,"La fecha de fin es anterior a la de inicio",IF(OR(YEAR(T194)&lt;&gt;2027,YEAR(U194)&lt;&gt;2027),"Fechas fuera de la vigencia 2027",IF(ISERROR(SEARCH("@itc.edu.co",V194)),"El responsable no tiene correo institucional",IF(ISERROR(SEARCH(Z194,INDEX(Catalogos!$Z$5:$Z$25,MATCH(AA194,L_IMP,0)))),"La dimensión no corresponde al indicador de impacto","OK")))))))</f>
        <v/>
      </c>
    </row>
    <row r="195" ht="60" customHeight="1" s="23">
      <c r="A195" s="80">
        <f>Base_OAPDI!A187</f>
        <v/>
      </c>
      <c r="B195" s="80">
        <f>Base_OAPDI!B187</f>
        <v/>
      </c>
      <c r="C195" s="80">
        <f>Base_OAPDI!D187</f>
        <v/>
      </c>
      <c r="D195" s="80">
        <f>Base_OAPDI!E187</f>
        <v/>
      </c>
      <c r="E195" s="80">
        <f>Base_OAPDI!F187</f>
        <v/>
      </c>
      <c r="F195" s="80">
        <f>Base_OAPDI!G187</f>
        <v/>
      </c>
      <c r="G195" s="80">
        <f>Base_OAPDI!H187</f>
        <v/>
      </c>
      <c r="H195" s="80">
        <f>Base_OAPDI!I187</f>
        <v/>
      </c>
      <c r="I195" s="80">
        <f>Base_OAPDI!J187</f>
        <v/>
      </c>
      <c r="J195" s="80">
        <f>Base_OAPDI!K187</f>
        <v/>
      </c>
      <c r="K195" s="80">
        <f>Base_OAPDI!L187</f>
        <v/>
      </c>
      <c r="L195" s="80">
        <f>Base_OAPDI!N187</f>
        <v/>
      </c>
      <c r="M195" s="80">
        <f>Base_OAPDI!P187</f>
        <v/>
      </c>
      <c r="N195" s="80">
        <f>Base_OAPDI!Q187</f>
        <v/>
      </c>
      <c r="O195" s="80">
        <f>Base_OAPDI!R187</f>
        <v/>
      </c>
      <c r="P195" s="80">
        <f>Base_OAPDI!S187</f>
        <v/>
      </c>
      <c r="Q195" s="81" t="n"/>
      <c r="R195" s="81" t="n"/>
      <c r="S195" s="81" t="n"/>
      <c r="T195" s="82" t="n"/>
      <c r="U195" s="82" t="n"/>
      <c r="V195" s="81" t="n"/>
      <c r="W195" s="81" t="n"/>
      <c r="X195" s="81" t="n"/>
      <c r="Y195" s="81" t="n"/>
      <c r="Z195" s="81" t="n"/>
      <c r="AA195" s="81" t="n"/>
      <c r="AB195" s="80">
        <f>IF(AA195="","",INDEX(Catalogos!$Y$5:$Y$25,MATCH(AA195,L_IMP,0)))</f>
        <v/>
      </c>
      <c r="AC195" s="81" t="n"/>
      <c r="AD195" s="81" t="n"/>
      <c r="AE195" s="81" t="n"/>
      <c r="AF195" s="83">
        <f>IF(Q195="","Pendiente por formular",IF(OR(S195="",T195="",U195="",V195="",W195="",X195="",Z195="",AA195=""),"Incompleta: faltan campos obligatorios",IF(OR(NOT(ISNUMBER(T195)),NOT(ISNUMBER(U195))),"Fecha inválida",IF(U195&lt;T195,"La fecha de fin es anterior a la de inicio",IF(OR(YEAR(T195)&lt;&gt;2027,YEAR(U195)&lt;&gt;2027),"Fechas fuera de la vigencia 2027",IF(ISERROR(SEARCH("@itc.edu.co",V195)),"El responsable no tiene correo institucional",IF(ISERROR(SEARCH(Z195,INDEX(Catalogos!$Z$5:$Z$25,MATCH(AA195,L_IMP,0)))),"La dimensión no corresponde al indicador de impacto","OK")))))))</f>
        <v/>
      </c>
    </row>
    <row r="196" ht="195" customHeight="1" s="23">
      <c r="A196" s="80">
        <f>Base_OAPDI!A188</f>
        <v/>
      </c>
      <c r="B196" s="80">
        <f>Base_OAPDI!B188</f>
        <v/>
      </c>
      <c r="C196" s="80">
        <f>Base_OAPDI!D188</f>
        <v/>
      </c>
      <c r="D196" s="80">
        <f>Base_OAPDI!E188</f>
        <v/>
      </c>
      <c r="E196" s="80">
        <f>Base_OAPDI!F188</f>
        <v/>
      </c>
      <c r="F196" s="80">
        <f>Base_OAPDI!G188</f>
        <v/>
      </c>
      <c r="G196" s="80">
        <f>Base_OAPDI!H188</f>
        <v/>
      </c>
      <c r="H196" s="80">
        <f>Base_OAPDI!I188</f>
        <v/>
      </c>
      <c r="I196" s="80">
        <f>Base_OAPDI!J188</f>
        <v/>
      </c>
      <c r="J196" s="80">
        <f>Base_OAPDI!K188</f>
        <v/>
      </c>
      <c r="K196" s="80">
        <f>Base_OAPDI!L188</f>
        <v/>
      </c>
      <c r="L196" s="80">
        <f>Base_OAPDI!N188</f>
        <v/>
      </c>
      <c r="M196" s="80">
        <f>Base_OAPDI!P188</f>
        <v/>
      </c>
      <c r="N196" s="80">
        <f>Base_OAPDI!Q188</f>
        <v/>
      </c>
      <c r="O196" s="80">
        <f>Base_OAPDI!R188</f>
        <v/>
      </c>
      <c r="P196" s="80">
        <f>Base_OAPDI!S188</f>
        <v/>
      </c>
      <c r="Q196" s="81" t="n"/>
      <c r="R196" s="81" t="n"/>
      <c r="S196" s="81" t="n"/>
      <c r="T196" s="82" t="n"/>
      <c r="U196" s="82" t="n"/>
      <c r="V196" s="81" t="n"/>
      <c r="W196" s="81" t="n"/>
      <c r="X196" s="81" t="n"/>
      <c r="Y196" s="81" t="n"/>
      <c r="Z196" s="81" t="n"/>
      <c r="AA196" s="81" t="n"/>
      <c r="AB196" s="80">
        <f>IF(AA196="","",INDEX(Catalogos!$Y$5:$Y$25,MATCH(AA196,L_IMP,0)))</f>
        <v/>
      </c>
      <c r="AC196" s="81" t="n"/>
      <c r="AD196" s="81" t="n"/>
      <c r="AE196" s="81" t="n"/>
      <c r="AF196" s="83">
        <f>IF(Q196="","Pendiente por formular",IF(OR(S196="",T196="",U196="",V196="",W196="",X196="",Z196="",AA196=""),"Incompleta: faltan campos obligatorios",IF(OR(NOT(ISNUMBER(T196)),NOT(ISNUMBER(U196))),"Fecha inválida",IF(U196&lt;T196,"La fecha de fin es anterior a la de inicio",IF(OR(YEAR(T196)&lt;&gt;2027,YEAR(U196)&lt;&gt;2027),"Fechas fuera de la vigencia 2027",IF(ISERROR(SEARCH("@itc.edu.co",V196)),"El responsable no tiene correo institucional",IF(ISERROR(SEARCH(Z196,INDEX(Catalogos!$Z$5:$Z$25,MATCH(AA196,L_IMP,0)))),"La dimensión no corresponde al indicador de impacto","OK")))))))</f>
        <v/>
      </c>
    </row>
    <row r="197" ht="260" customHeight="1" s="23">
      <c r="A197" s="80">
        <f>Base_OAPDI!A189</f>
        <v/>
      </c>
      <c r="B197" s="80">
        <f>Base_OAPDI!B189</f>
        <v/>
      </c>
      <c r="C197" s="80">
        <f>Base_OAPDI!D189</f>
        <v/>
      </c>
      <c r="D197" s="80">
        <f>Base_OAPDI!E189</f>
        <v/>
      </c>
      <c r="E197" s="80">
        <f>Base_OAPDI!F189</f>
        <v/>
      </c>
      <c r="F197" s="80">
        <f>Base_OAPDI!G189</f>
        <v/>
      </c>
      <c r="G197" s="80">
        <f>Base_OAPDI!H189</f>
        <v/>
      </c>
      <c r="H197" s="80">
        <f>Base_OAPDI!I189</f>
        <v/>
      </c>
      <c r="I197" s="80">
        <f>Base_OAPDI!J189</f>
        <v/>
      </c>
      <c r="J197" s="80">
        <f>Base_OAPDI!K189</f>
        <v/>
      </c>
      <c r="K197" s="80">
        <f>Base_OAPDI!L189</f>
        <v/>
      </c>
      <c r="L197" s="80">
        <f>Base_OAPDI!N189</f>
        <v/>
      </c>
      <c r="M197" s="80">
        <f>Base_OAPDI!P189</f>
        <v/>
      </c>
      <c r="N197" s="80">
        <f>Base_OAPDI!Q189</f>
        <v/>
      </c>
      <c r="O197" s="80">
        <f>Base_OAPDI!R189</f>
        <v/>
      </c>
      <c r="P197" s="80">
        <f>Base_OAPDI!S189</f>
        <v/>
      </c>
      <c r="Q197" s="81" t="n"/>
      <c r="R197" s="81" t="n"/>
      <c r="S197" s="81" t="n"/>
      <c r="T197" s="82" t="n"/>
      <c r="U197" s="82" t="n"/>
      <c r="V197" s="81" t="n"/>
      <c r="W197" s="81" t="n"/>
      <c r="X197" s="81" t="n"/>
      <c r="Y197" s="81" t="n"/>
      <c r="Z197" s="81" t="n"/>
      <c r="AA197" s="81" t="n"/>
      <c r="AB197" s="80">
        <f>IF(AA197="","",INDEX(Catalogos!$Y$5:$Y$25,MATCH(AA197,L_IMP,0)))</f>
        <v/>
      </c>
      <c r="AC197" s="81" t="n"/>
      <c r="AD197" s="81" t="n"/>
      <c r="AE197" s="81" t="n"/>
      <c r="AF197" s="83">
        <f>IF(Q197="","Pendiente por formular",IF(OR(S197="",T197="",U197="",V197="",W197="",X197="",Z197="",AA197=""),"Incompleta: faltan campos obligatorios",IF(OR(NOT(ISNUMBER(T197)),NOT(ISNUMBER(U197))),"Fecha inválida",IF(U197&lt;T197,"La fecha de fin es anterior a la de inicio",IF(OR(YEAR(T197)&lt;&gt;2027,YEAR(U197)&lt;&gt;2027),"Fechas fuera de la vigencia 2027",IF(ISERROR(SEARCH("@itc.edu.co",V197)),"El responsable no tiene correo institucional",IF(ISERROR(SEARCH(Z197,INDEX(Catalogos!$Z$5:$Z$25,MATCH(AA197,L_IMP,0)))),"La dimensión no corresponde al indicador de impacto","OK")))))))</f>
        <v/>
      </c>
    </row>
    <row r="198" ht="150" customHeight="1" s="23">
      <c r="A198" s="80">
        <f>Base_OAPDI!A190</f>
        <v/>
      </c>
      <c r="B198" s="80">
        <f>Base_OAPDI!B190</f>
        <v/>
      </c>
      <c r="C198" s="80">
        <f>Base_OAPDI!D190</f>
        <v/>
      </c>
      <c r="D198" s="80">
        <f>Base_OAPDI!E190</f>
        <v/>
      </c>
      <c r="E198" s="80">
        <f>Base_OAPDI!F190</f>
        <v/>
      </c>
      <c r="F198" s="80">
        <f>Base_OAPDI!G190</f>
        <v/>
      </c>
      <c r="G198" s="80">
        <f>Base_OAPDI!H190</f>
        <v/>
      </c>
      <c r="H198" s="80">
        <f>Base_OAPDI!I190</f>
        <v/>
      </c>
      <c r="I198" s="80">
        <f>Base_OAPDI!J190</f>
        <v/>
      </c>
      <c r="J198" s="80">
        <f>Base_OAPDI!K190</f>
        <v/>
      </c>
      <c r="K198" s="80">
        <f>Base_OAPDI!L190</f>
        <v/>
      </c>
      <c r="L198" s="80">
        <f>Base_OAPDI!N190</f>
        <v/>
      </c>
      <c r="M198" s="80">
        <f>Base_OAPDI!P190</f>
        <v/>
      </c>
      <c r="N198" s="80">
        <f>Base_OAPDI!Q190</f>
        <v/>
      </c>
      <c r="O198" s="80">
        <f>Base_OAPDI!R190</f>
        <v/>
      </c>
      <c r="P198" s="80">
        <f>Base_OAPDI!S190</f>
        <v/>
      </c>
      <c r="Q198" s="81" t="n"/>
      <c r="R198" s="81" t="n"/>
      <c r="S198" s="81" t="n"/>
      <c r="T198" s="82" t="n"/>
      <c r="U198" s="82" t="n"/>
      <c r="V198" s="81" t="n"/>
      <c r="W198" s="81" t="n"/>
      <c r="X198" s="81" t="n"/>
      <c r="Y198" s="81" t="n"/>
      <c r="Z198" s="81" t="n"/>
      <c r="AA198" s="81" t="n"/>
      <c r="AB198" s="80">
        <f>IF(AA198="","",INDEX(Catalogos!$Y$5:$Y$25,MATCH(AA198,L_IMP,0)))</f>
        <v/>
      </c>
      <c r="AC198" s="81" t="n"/>
      <c r="AD198" s="81" t="n"/>
      <c r="AE198" s="81" t="n"/>
      <c r="AF198" s="83">
        <f>IF(Q198="","Pendiente por formular",IF(OR(S198="",T198="",U198="",V198="",W198="",X198="",Z198="",AA198=""),"Incompleta: faltan campos obligatorios",IF(OR(NOT(ISNUMBER(T198)),NOT(ISNUMBER(U198))),"Fecha inválida",IF(U198&lt;T198,"La fecha de fin es anterior a la de inicio",IF(OR(YEAR(T198)&lt;&gt;2027,YEAR(U198)&lt;&gt;2027),"Fechas fuera de la vigencia 2027",IF(ISERROR(SEARCH("@itc.edu.co",V198)),"El responsable no tiene correo institucional",IF(ISERROR(SEARCH(Z198,INDEX(Catalogos!$Z$5:$Z$25,MATCH(AA198,L_IMP,0)))),"La dimensión no corresponde al indicador de impacto","OK")))))))</f>
        <v/>
      </c>
    </row>
    <row r="199" ht="260" customHeight="1" s="23">
      <c r="A199" s="80">
        <f>Base_OAPDI!A191</f>
        <v/>
      </c>
      <c r="B199" s="80">
        <f>Base_OAPDI!B191</f>
        <v/>
      </c>
      <c r="C199" s="80">
        <f>Base_OAPDI!D191</f>
        <v/>
      </c>
      <c r="D199" s="80">
        <f>Base_OAPDI!E191</f>
        <v/>
      </c>
      <c r="E199" s="80">
        <f>Base_OAPDI!F191</f>
        <v/>
      </c>
      <c r="F199" s="80">
        <f>Base_OAPDI!G191</f>
        <v/>
      </c>
      <c r="G199" s="80">
        <f>Base_OAPDI!H191</f>
        <v/>
      </c>
      <c r="H199" s="80">
        <f>Base_OAPDI!I191</f>
        <v/>
      </c>
      <c r="I199" s="80">
        <f>Base_OAPDI!J191</f>
        <v/>
      </c>
      <c r="J199" s="80">
        <f>Base_OAPDI!K191</f>
        <v/>
      </c>
      <c r="K199" s="80">
        <f>Base_OAPDI!L191</f>
        <v/>
      </c>
      <c r="L199" s="80">
        <f>Base_OAPDI!N191</f>
        <v/>
      </c>
      <c r="M199" s="80">
        <f>Base_OAPDI!P191</f>
        <v/>
      </c>
      <c r="N199" s="80">
        <f>Base_OAPDI!Q191</f>
        <v/>
      </c>
      <c r="O199" s="80">
        <f>Base_OAPDI!R191</f>
        <v/>
      </c>
      <c r="P199" s="80">
        <f>Base_OAPDI!S191</f>
        <v/>
      </c>
      <c r="Q199" s="81" t="n"/>
      <c r="R199" s="81" t="n"/>
      <c r="S199" s="81" t="n"/>
      <c r="T199" s="82" t="n"/>
      <c r="U199" s="82" t="n"/>
      <c r="V199" s="81" t="n"/>
      <c r="W199" s="81" t="n"/>
      <c r="X199" s="81" t="n"/>
      <c r="Y199" s="81" t="n"/>
      <c r="Z199" s="81" t="n"/>
      <c r="AA199" s="81" t="n"/>
      <c r="AB199" s="80">
        <f>IF(AA199="","",INDEX(Catalogos!$Y$5:$Y$25,MATCH(AA199,L_IMP,0)))</f>
        <v/>
      </c>
      <c r="AC199" s="81" t="n"/>
      <c r="AD199" s="81" t="n"/>
      <c r="AE199" s="81" t="n"/>
      <c r="AF199" s="83">
        <f>IF(Q199="","Pendiente por formular",IF(OR(S199="",T199="",U199="",V199="",W199="",X199="",Z199="",AA199=""),"Incompleta: faltan campos obligatorios",IF(OR(NOT(ISNUMBER(T199)),NOT(ISNUMBER(U199))),"Fecha inválida",IF(U199&lt;T199,"La fecha de fin es anterior a la de inicio",IF(OR(YEAR(T199)&lt;&gt;2027,YEAR(U199)&lt;&gt;2027),"Fechas fuera de la vigencia 2027",IF(ISERROR(SEARCH("@itc.edu.co",V199)),"El responsable no tiene correo institucional",IF(ISERROR(SEARCH(Z199,INDEX(Catalogos!$Z$5:$Z$25,MATCH(AA199,L_IMP,0)))),"La dimensión no corresponde al indicador de impacto","OK")))))))</f>
        <v/>
      </c>
    </row>
    <row r="200" ht="105" customHeight="1" s="23">
      <c r="A200" s="80">
        <f>Base_OAPDI!A192</f>
        <v/>
      </c>
      <c r="B200" s="80">
        <f>Base_OAPDI!B192</f>
        <v/>
      </c>
      <c r="C200" s="80">
        <f>Base_OAPDI!D192</f>
        <v/>
      </c>
      <c r="D200" s="80">
        <f>Base_OAPDI!E192</f>
        <v/>
      </c>
      <c r="E200" s="80">
        <f>Base_OAPDI!F192</f>
        <v/>
      </c>
      <c r="F200" s="80">
        <f>Base_OAPDI!G192</f>
        <v/>
      </c>
      <c r="G200" s="80">
        <f>Base_OAPDI!H192</f>
        <v/>
      </c>
      <c r="H200" s="80">
        <f>Base_OAPDI!I192</f>
        <v/>
      </c>
      <c r="I200" s="80">
        <f>Base_OAPDI!J192</f>
        <v/>
      </c>
      <c r="J200" s="80">
        <f>Base_OAPDI!K192</f>
        <v/>
      </c>
      <c r="K200" s="80">
        <f>Base_OAPDI!L192</f>
        <v/>
      </c>
      <c r="L200" s="80">
        <f>Base_OAPDI!N192</f>
        <v/>
      </c>
      <c r="M200" s="80">
        <f>Base_OAPDI!P192</f>
        <v/>
      </c>
      <c r="N200" s="80">
        <f>Base_OAPDI!Q192</f>
        <v/>
      </c>
      <c r="O200" s="80">
        <f>Base_OAPDI!R192</f>
        <v/>
      </c>
      <c r="P200" s="80">
        <f>Base_OAPDI!S192</f>
        <v/>
      </c>
      <c r="Q200" s="81" t="n"/>
      <c r="R200" s="81" t="n"/>
      <c r="S200" s="81" t="n"/>
      <c r="T200" s="82" t="n"/>
      <c r="U200" s="82" t="n"/>
      <c r="V200" s="81" t="n"/>
      <c r="W200" s="81" t="n"/>
      <c r="X200" s="81" t="n"/>
      <c r="Y200" s="81" t="n"/>
      <c r="Z200" s="81" t="n"/>
      <c r="AA200" s="81" t="n"/>
      <c r="AB200" s="80">
        <f>IF(AA200="","",INDEX(Catalogos!$Y$5:$Y$25,MATCH(AA200,L_IMP,0)))</f>
        <v/>
      </c>
      <c r="AC200" s="81" t="n"/>
      <c r="AD200" s="81" t="n"/>
      <c r="AE200" s="81" t="n"/>
      <c r="AF200" s="83">
        <f>IF(Q200="","Pendiente por formular",IF(OR(S200="",T200="",U200="",V200="",W200="",X200="",Z200="",AA200=""),"Incompleta: faltan campos obligatorios",IF(OR(NOT(ISNUMBER(T200)),NOT(ISNUMBER(U200))),"Fecha inválida",IF(U200&lt;T200,"La fecha de fin es anterior a la de inicio",IF(OR(YEAR(T200)&lt;&gt;2027,YEAR(U200)&lt;&gt;2027),"Fechas fuera de la vigencia 2027",IF(ISERROR(SEARCH("@itc.edu.co",V200)),"El responsable no tiene correo institucional",IF(ISERROR(SEARCH(Z200,INDEX(Catalogos!$Z$5:$Z$25,MATCH(AA200,L_IMP,0)))),"La dimensión no corresponde al indicador de impacto","OK")))))))</f>
        <v/>
      </c>
    </row>
    <row r="201" ht="260" customHeight="1" s="23">
      <c r="A201" s="80">
        <f>Base_OAPDI!A193</f>
        <v/>
      </c>
      <c r="B201" s="80">
        <f>Base_OAPDI!B193</f>
        <v/>
      </c>
      <c r="C201" s="80">
        <f>Base_OAPDI!D193</f>
        <v/>
      </c>
      <c r="D201" s="80">
        <f>Base_OAPDI!E193</f>
        <v/>
      </c>
      <c r="E201" s="80">
        <f>Base_OAPDI!F193</f>
        <v/>
      </c>
      <c r="F201" s="80">
        <f>Base_OAPDI!G193</f>
        <v/>
      </c>
      <c r="G201" s="80">
        <f>Base_OAPDI!H193</f>
        <v/>
      </c>
      <c r="H201" s="80">
        <f>Base_OAPDI!I193</f>
        <v/>
      </c>
      <c r="I201" s="80">
        <f>Base_OAPDI!J193</f>
        <v/>
      </c>
      <c r="J201" s="80">
        <f>Base_OAPDI!K193</f>
        <v/>
      </c>
      <c r="K201" s="80">
        <f>Base_OAPDI!L193</f>
        <v/>
      </c>
      <c r="L201" s="80">
        <f>Base_OAPDI!N193</f>
        <v/>
      </c>
      <c r="M201" s="80">
        <f>Base_OAPDI!P193</f>
        <v/>
      </c>
      <c r="N201" s="80">
        <f>Base_OAPDI!Q193</f>
        <v/>
      </c>
      <c r="O201" s="80">
        <f>Base_OAPDI!R193</f>
        <v/>
      </c>
      <c r="P201" s="80">
        <f>Base_OAPDI!S193</f>
        <v/>
      </c>
      <c r="Q201" s="81" t="n"/>
      <c r="R201" s="81" t="n"/>
      <c r="S201" s="81" t="n"/>
      <c r="T201" s="82" t="n"/>
      <c r="U201" s="82" t="n"/>
      <c r="V201" s="81" t="n"/>
      <c r="W201" s="81" t="n"/>
      <c r="X201" s="81" t="n"/>
      <c r="Y201" s="81" t="n"/>
      <c r="Z201" s="81" t="n"/>
      <c r="AA201" s="81" t="n"/>
      <c r="AB201" s="80">
        <f>IF(AA201="","",INDEX(Catalogos!$Y$5:$Y$25,MATCH(AA201,L_IMP,0)))</f>
        <v/>
      </c>
      <c r="AC201" s="81" t="n"/>
      <c r="AD201" s="81" t="n"/>
      <c r="AE201" s="81" t="n"/>
      <c r="AF201" s="83">
        <f>IF(Q201="","Pendiente por formular",IF(OR(S201="",T201="",U201="",V201="",W201="",X201="",Z201="",AA201=""),"Incompleta: faltan campos obligatorios",IF(OR(NOT(ISNUMBER(T201)),NOT(ISNUMBER(U201))),"Fecha inválida",IF(U201&lt;T201,"La fecha de fin es anterior a la de inicio",IF(OR(YEAR(T201)&lt;&gt;2027,YEAR(U201)&lt;&gt;2027),"Fechas fuera de la vigencia 2027",IF(ISERROR(SEARCH("@itc.edu.co",V201)),"El responsable no tiene correo institucional",IF(ISERROR(SEARCH(Z201,INDEX(Catalogos!$Z$5:$Z$25,MATCH(AA201,L_IMP,0)))),"La dimensión no corresponde al indicador de impacto","OK")))))))</f>
        <v/>
      </c>
    </row>
    <row r="202" ht="120" customHeight="1" s="23">
      <c r="A202" s="80">
        <f>Base_OAPDI!A194</f>
        <v/>
      </c>
      <c r="B202" s="80">
        <f>Base_OAPDI!B194</f>
        <v/>
      </c>
      <c r="C202" s="80">
        <f>Base_OAPDI!D194</f>
        <v/>
      </c>
      <c r="D202" s="80">
        <f>Base_OAPDI!E194</f>
        <v/>
      </c>
      <c r="E202" s="80">
        <f>Base_OAPDI!F194</f>
        <v/>
      </c>
      <c r="F202" s="80">
        <f>Base_OAPDI!G194</f>
        <v/>
      </c>
      <c r="G202" s="80">
        <f>Base_OAPDI!H194</f>
        <v/>
      </c>
      <c r="H202" s="80">
        <f>Base_OAPDI!I194</f>
        <v/>
      </c>
      <c r="I202" s="80">
        <f>Base_OAPDI!J194</f>
        <v/>
      </c>
      <c r="J202" s="80">
        <f>Base_OAPDI!K194</f>
        <v/>
      </c>
      <c r="K202" s="80">
        <f>Base_OAPDI!L194</f>
        <v/>
      </c>
      <c r="L202" s="80">
        <f>Base_OAPDI!N194</f>
        <v/>
      </c>
      <c r="M202" s="80">
        <f>Base_OAPDI!P194</f>
        <v/>
      </c>
      <c r="N202" s="80">
        <f>Base_OAPDI!Q194</f>
        <v/>
      </c>
      <c r="O202" s="80">
        <f>Base_OAPDI!R194</f>
        <v/>
      </c>
      <c r="P202" s="80">
        <f>Base_OAPDI!S194</f>
        <v/>
      </c>
      <c r="Q202" s="81" t="n"/>
      <c r="R202" s="81" t="n"/>
      <c r="S202" s="81" t="n"/>
      <c r="T202" s="82" t="n"/>
      <c r="U202" s="82" t="n"/>
      <c r="V202" s="81" t="n"/>
      <c r="W202" s="81" t="n"/>
      <c r="X202" s="81" t="n"/>
      <c r="Y202" s="81" t="n"/>
      <c r="Z202" s="81" t="n"/>
      <c r="AA202" s="81" t="n"/>
      <c r="AB202" s="80">
        <f>IF(AA202="","",INDEX(Catalogos!$Y$5:$Y$25,MATCH(AA202,L_IMP,0)))</f>
        <v/>
      </c>
      <c r="AC202" s="81" t="n"/>
      <c r="AD202" s="81" t="n"/>
      <c r="AE202" s="81" t="n"/>
      <c r="AF202" s="83">
        <f>IF(Q202="","Pendiente por formular",IF(OR(S202="",T202="",U202="",V202="",W202="",X202="",Z202="",AA202=""),"Incompleta: faltan campos obligatorios",IF(OR(NOT(ISNUMBER(T202)),NOT(ISNUMBER(U202))),"Fecha inválida",IF(U202&lt;T202,"La fecha de fin es anterior a la de inicio",IF(OR(YEAR(T202)&lt;&gt;2027,YEAR(U202)&lt;&gt;2027),"Fechas fuera de la vigencia 2027",IF(ISERROR(SEARCH("@itc.edu.co",V202)),"El responsable no tiene correo institucional",IF(ISERROR(SEARCH(Z202,INDEX(Catalogos!$Z$5:$Z$25,MATCH(AA202,L_IMP,0)))),"La dimensión no corresponde al indicador de impacto","OK")))))))</f>
        <v/>
      </c>
    </row>
    <row r="203" ht="90" customHeight="1" s="23">
      <c r="A203" s="80">
        <f>Base_OAPDI!A195</f>
        <v/>
      </c>
      <c r="B203" s="80">
        <f>Base_OAPDI!B195</f>
        <v/>
      </c>
      <c r="C203" s="80">
        <f>Base_OAPDI!D195</f>
        <v/>
      </c>
      <c r="D203" s="80">
        <f>Base_OAPDI!E195</f>
        <v/>
      </c>
      <c r="E203" s="80">
        <f>Base_OAPDI!F195</f>
        <v/>
      </c>
      <c r="F203" s="80">
        <f>Base_OAPDI!G195</f>
        <v/>
      </c>
      <c r="G203" s="80">
        <f>Base_OAPDI!H195</f>
        <v/>
      </c>
      <c r="H203" s="80">
        <f>Base_OAPDI!I195</f>
        <v/>
      </c>
      <c r="I203" s="80">
        <f>Base_OAPDI!J195</f>
        <v/>
      </c>
      <c r="J203" s="80">
        <f>Base_OAPDI!K195</f>
        <v/>
      </c>
      <c r="K203" s="80">
        <f>Base_OAPDI!L195</f>
        <v/>
      </c>
      <c r="L203" s="80">
        <f>Base_OAPDI!N195</f>
        <v/>
      </c>
      <c r="M203" s="80">
        <f>Base_OAPDI!P195</f>
        <v/>
      </c>
      <c r="N203" s="80">
        <f>Base_OAPDI!Q195</f>
        <v/>
      </c>
      <c r="O203" s="80">
        <f>Base_OAPDI!R195</f>
        <v/>
      </c>
      <c r="P203" s="80">
        <f>Base_OAPDI!S195</f>
        <v/>
      </c>
      <c r="Q203" s="81" t="n"/>
      <c r="R203" s="81" t="n"/>
      <c r="S203" s="81" t="n"/>
      <c r="T203" s="82" t="n"/>
      <c r="U203" s="82" t="n"/>
      <c r="V203" s="81" t="n"/>
      <c r="W203" s="81" t="n"/>
      <c r="X203" s="81" t="n"/>
      <c r="Y203" s="81" t="n"/>
      <c r="Z203" s="81" t="n"/>
      <c r="AA203" s="81" t="n"/>
      <c r="AB203" s="80">
        <f>IF(AA203="","",INDEX(Catalogos!$Y$5:$Y$25,MATCH(AA203,L_IMP,0)))</f>
        <v/>
      </c>
      <c r="AC203" s="81" t="n"/>
      <c r="AD203" s="81" t="n"/>
      <c r="AE203" s="81" t="n"/>
      <c r="AF203" s="83">
        <f>IF(Q203="","Pendiente por formular",IF(OR(S203="",T203="",U203="",V203="",W203="",X203="",Z203="",AA203=""),"Incompleta: faltan campos obligatorios",IF(OR(NOT(ISNUMBER(T203)),NOT(ISNUMBER(U203))),"Fecha inválida",IF(U203&lt;T203,"La fecha de fin es anterior a la de inicio",IF(OR(YEAR(T203)&lt;&gt;2027,YEAR(U203)&lt;&gt;2027),"Fechas fuera de la vigencia 2027",IF(ISERROR(SEARCH("@itc.edu.co",V203)),"El responsable no tiene correo institucional",IF(ISERROR(SEARCH(Z203,INDEX(Catalogos!$Z$5:$Z$25,MATCH(AA203,L_IMP,0)))),"La dimensión no corresponde al indicador de impacto","OK")))))))</f>
        <v/>
      </c>
    </row>
    <row r="204" ht="195" customHeight="1" s="23">
      <c r="A204" s="80">
        <f>Base_OAPDI!A196</f>
        <v/>
      </c>
      <c r="B204" s="80">
        <f>Base_OAPDI!B196</f>
        <v/>
      </c>
      <c r="C204" s="80">
        <f>Base_OAPDI!D196</f>
        <v/>
      </c>
      <c r="D204" s="80">
        <f>Base_OAPDI!E196</f>
        <v/>
      </c>
      <c r="E204" s="80">
        <f>Base_OAPDI!F196</f>
        <v/>
      </c>
      <c r="F204" s="80">
        <f>Base_OAPDI!G196</f>
        <v/>
      </c>
      <c r="G204" s="80">
        <f>Base_OAPDI!H196</f>
        <v/>
      </c>
      <c r="H204" s="80">
        <f>Base_OAPDI!I196</f>
        <v/>
      </c>
      <c r="I204" s="80">
        <f>Base_OAPDI!J196</f>
        <v/>
      </c>
      <c r="J204" s="80">
        <f>Base_OAPDI!K196</f>
        <v/>
      </c>
      <c r="K204" s="80">
        <f>Base_OAPDI!L196</f>
        <v/>
      </c>
      <c r="L204" s="80">
        <f>Base_OAPDI!N196</f>
        <v/>
      </c>
      <c r="M204" s="80">
        <f>Base_OAPDI!P196</f>
        <v/>
      </c>
      <c r="N204" s="80">
        <f>Base_OAPDI!Q196</f>
        <v/>
      </c>
      <c r="O204" s="80">
        <f>Base_OAPDI!R196</f>
        <v/>
      </c>
      <c r="P204" s="80">
        <f>Base_OAPDI!S196</f>
        <v/>
      </c>
      <c r="Q204" s="81" t="n"/>
      <c r="R204" s="81" t="n"/>
      <c r="S204" s="81" t="n"/>
      <c r="T204" s="82" t="n"/>
      <c r="U204" s="82" t="n"/>
      <c r="V204" s="81" t="n"/>
      <c r="W204" s="81" t="n"/>
      <c r="X204" s="81" t="n"/>
      <c r="Y204" s="81" t="n"/>
      <c r="Z204" s="81" t="n"/>
      <c r="AA204" s="81" t="n"/>
      <c r="AB204" s="80">
        <f>IF(AA204="","",INDEX(Catalogos!$Y$5:$Y$25,MATCH(AA204,L_IMP,0)))</f>
        <v/>
      </c>
      <c r="AC204" s="81" t="n"/>
      <c r="AD204" s="81" t="n"/>
      <c r="AE204" s="81" t="n"/>
      <c r="AF204" s="83">
        <f>IF(Q204="","Pendiente por formular",IF(OR(S204="",T204="",U204="",V204="",W204="",X204="",Z204="",AA204=""),"Incompleta: faltan campos obligatorios",IF(OR(NOT(ISNUMBER(T204)),NOT(ISNUMBER(U204))),"Fecha inválida",IF(U204&lt;T204,"La fecha de fin es anterior a la de inicio",IF(OR(YEAR(T204)&lt;&gt;2027,YEAR(U204)&lt;&gt;2027),"Fechas fuera de la vigencia 2027",IF(ISERROR(SEARCH("@itc.edu.co",V204)),"El responsable no tiene correo institucional",IF(ISERROR(SEARCH(Z204,INDEX(Catalogos!$Z$5:$Z$25,MATCH(AA204,L_IMP,0)))),"La dimensión no corresponde al indicador de impacto","OK")))))))</f>
        <v/>
      </c>
    </row>
    <row r="205" ht="75" customHeight="1" s="23">
      <c r="A205" s="80">
        <f>Base_OAPDI!A197</f>
        <v/>
      </c>
      <c r="B205" s="80">
        <f>Base_OAPDI!B197</f>
        <v/>
      </c>
      <c r="C205" s="80">
        <f>Base_OAPDI!D197</f>
        <v/>
      </c>
      <c r="D205" s="80">
        <f>Base_OAPDI!E197</f>
        <v/>
      </c>
      <c r="E205" s="80">
        <f>Base_OAPDI!F197</f>
        <v/>
      </c>
      <c r="F205" s="80">
        <f>Base_OAPDI!G197</f>
        <v/>
      </c>
      <c r="G205" s="80">
        <f>Base_OAPDI!H197</f>
        <v/>
      </c>
      <c r="H205" s="80">
        <f>Base_OAPDI!I197</f>
        <v/>
      </c>
      <c r="I205" s="80">
        <f>Base_OAPDI!J197</f>
        <v/>
      </c>
      <c r="J205" s="80">
        <f>Base_OAPDI!K197</f>
        <v/>
      </c>
      <c r="K205" s="80">
        <f>Base_OAPDI!L197</f>
        <v/>
      </c>
      <c r="L205" s="80">
        <f>Base_OAPDI!N197</f>
        <v/>
      </c>
      <c r="M205" s="80">
        <f>Base_OAPDI!P197</f>
        <v/>
      </c>
      <c r="N205" s="80">
        <f>Base_OAPDI!Q197</f>
        <v/>
      </c>
      <c r="O205" s="80">
        <f>Base_OAPDI!R197</f>
        <v/>
      </c>
      <c r="P205" s="80">
        <f>Base_OAPDI!S197</f>
        <v/>
      </c>
      <c r="Q205" s="81" t="n"/>
      <c r="R205" s="81" t="n"/>
      <c r="S205" s="81" t="n"/>
      <c r="T205" s="82" t="n"/>
      <c r="U205" s="82" t="n"/>
      <c r="V205" s="81" t="n"/>
      <c r="W205" s="81" t="n"/>
      <c r="X205" s="81" t="n"/>
      <c r="Y205" s="81" t="n"/>
      <c r="Z205" s="81" t="n"/>
      <c r="AA205" s="81" t="n"/>
      <c r="AB205" s="80">
        <f>IF(AA205="","",INDEX(Catalogos!$Y$5:$Y$25,MATCH(AA205,L_IMP,0)))</f>
        <v/>
      </c>
      <c r="AC205" s="81" t="n"/>
      <c r="AD205" s="81" t="n"/>
      <c r="AE205" s="81" t="n"/>
      <c r="AF205" s="83">
        <f>IF(Q205="","Pendiente por formular",IF(OR(S205="",T205="",U205="",V205="",W205="",X205="",Z205="",AA205=""),"Incompleta: faltan campos obligatorios",IF(OR(NOT(ISNUMBER(T205)),NOT(ISNUMBER(U205))),"Fecha inválida",IF(U205&lt;T205,"La fecha de fin es anterior a la de inicio",IF(OR(YEAR(T205)&lt;&gt;2027,YEAR(U205)&lt;&gt;2027),"Fechas fuera de la vigencia 2027",IF(ISERROR(SEARCH("@itc.edu.co",V205)),"El responsable no tiene correo institucional",IF(ISERROR(SEARCH(Z205,INDEX(Catalogos!$Z$5:$Z$25,MATCH(AA205,L_IMP,0)))),"La dimensión no corresponde al indicador de impacto","OK")))))))</f>
        <v/>
      </c>
    </row>
  </sheetData>
  <sheetProtection selectLockedCells="0" selectUnlockedCells="0" sheet="1" objects="0" insertRows="1" insertHyperlinks="1" autoFilter="0" scenarios="0" formatColumns="0" deleteColumns="1" insertColumns="1" pivotTables="1" deleteRows="1" formatCells="1" formatRows="0" sort="1" password="cc6d"/>
  <mergeCells count="9">
    <mergeCell ref="A5:P5"/>
    <mergeCell ref="A75:AF75"/>
    <mergeCell ref="Q5:AE5"/>
    <mergeCell ref="A167:AF167"/>
    <mergeCell ref="A92:AF92"/>
    <mergeCell ref="A109:AF109"/>
    <mergeCell ref="A7:AF7"/>
    <mergeCell ref="A190:AF190"/>
    <mergeCell ref="A2:P2"/>
  </mergeCells>
  <conditionalFormatting sqref="AF8:AF74">
    <cfRule type="expression" priority="2" dxfId="5">
      <formula>AF8="OK"</formula>
    </cfRule>
    <cfRule type="expression" priority="3" dxfId="6">
      <formula>LEFT(AF8,9)="Pendiente"</formula>
    </cfRule>
    <cfRule type="expression" priority="4" dxfId="7">
      <formula>AND(AF8&lt;&gt;"OK",LEFT(AF8,9)&lt;&gt;"Pendiente")</formula>
    </cfRule>
  </conditionalFormatting>
  <conditionalFormatting sqref="AF76:AF91">
    <cfRule type="expression" priority="2" dxfId="5">
      <formula>AF76="OK"</formula>
    </cfRule>
    <cfRule type="expression" priority="3" dxfId="6">
      <formula>LEFT(AF76,9)="Pendiente"</formula>
    </cfRule>
    <cfRule type="expression" priority="4" dxfId="7">
      <formula>AND(AF76&lt;&gt;"OK",LEFT(AF76,9)&lt;&gt;"Pendiente")</formula>
    </cfRule>
  </conditionalFormatting>
  <conditionalFormatting sqref="AF93:AF108">
    <cfRule type="expression" priority="2" dxfId="5">
      <formula>AF93="OK"</formula>
    </cfRule>
    <cfRule type="expression" priority="3" dxfId="6">
      <formula>LEFT(AF93,9)="Pendiente"</formula>
    </cfRule>
    <cfRule type="expression" priority="4" dxfId="7">
      <formula>AND(AF93&lt;&gt;"OK",LEFT(AF93,9)&lt;&gt;"Pendiente")</formula>
    </cfRule>
  </conditionalFormatting>
  <conditionalFormatting sqref="AF110:AF166">
    <cfRule type="expression" priority="2" dxfId="5">
      <formula>AF110="OK"</formula>
    </cfRule>
    <cfRule type="expression" priority="3" dxfId="6">
      <formula>LEFT(AF110,9)="Pendiente"</formula>
    </cfRule>
    <cfRule type="expression" priority="4" dxfId="7">
      <formula>AND(AF110&lt;&gt;"OK",LEFT(AF110,9)&lt;&gt;"Pendiente")</formula>
    </cfRule>
  </conditionalFormatting>
  <conditionalFormatting sqref="AF168:AF189">
    <cfRule type="expression" priority="2" dxfId="5">
      <formula>AF168="OK"</formula>
    </cfRule>
    <cfRule type="expression" priority="3" dxfId="6">
      <formula>LEFT(AF168,9)="Pendiente"</formula>
    </cfRule>
    <cfRule type="expression" priority="4" dxfId="7">
      <formula>AND(AF168&lt;&gt;"OK",LEFT(AF168,9)&lt;&gt;"Pendiente")</formula>
    </cfRule>
  </conditionalFormatting>
  <conditionalFormatting sqref="AF191:AF205">
    <cfRule type="expression" priority="2" dxfId="5">
      <formula>AF191="OK"</formula>
    </cfRule>
    <cfRule type="expression" priority="3" dxfId="6">
      <formula>LEFT(AF191,9)="Pendiente"</formula>
    </cfRule>
    <cfRule type="expression" priority="4" dxfId="7">
      <formula>AND(AF191&lt;&gt;"OK",LEFT(AF191,9)&lt;&gt;"Pendiente")</formula>
    </cfRule>
  </conditionalFormatting>
  <dataValidations count="30">
    <dataValidation sqref="V8:V74" showDropDown="0" showInputMessage="0" showErrorMessage="1" allowBlank="1" errorTitle="Correo no institucional" error="Escriba el correo institucional (@itc.edu.co) del responsable." type="custom" errorStyle="stop" operator="between">
      <formula1>ISNUMBER(SEARCH("@itc.edu.co",V8))</formula1>
      <formula2>0</formula2>
    </dataValidation>
    <dataValidation sqref="AC8:AC74" showDropDown="0" showInputMessage="0" showErrorMessage="0" allowBlank="1" type="list" errorStyle="stop" operator="between">
      <formula1>L_SINO</formula1>
      <formula2>0</formula2>
    </dataValidation>
    <dataValidation sqref="AA8:AA74" showDropDown="0" showInputMessage="0" showErrorMessage="1" allowBlank="1" errorTitle="Indicador no válido" error="Seleccione un indicador de la Guía Metodológica." type="list" errorStyle="stop" operator="between">
      <formula1>L_IMP</formula1>
      <formula2>0</formula2>
    </dataValidation>
    <dataValidation sqref="Z8:Z74" showDropDown="0" showInputMessage="0" showErrorMessage="0" allowBlank="1" type="list" errorStyle="stop" operator="between">
      <formula1>L_DIM</formula1>
      <formula2>0</formula2>
    </dataValidation>
    <dataValidation sqref="T8:U74" showDropDown="0" showInputMessage="0" showErrorMessage="1" allowBlank="1" errorTitle="Fecha fuera de vigencia" error="Use una fecha entre el 01/01/2027 y el 31/12/2027." type="date" errorStyle="stop" operator="between">
      <formula1>DATE(2027,1,1)</formula1>
      <formula2>DATE(2027,12,31)</formula2>
    </dataValidation>
    <dataValidation sqref="V76:V91" showDropDown="0" showInputMessage="0" showErrorMessage="1" allowBlank="1" errorTitle="Correo no institucional" error="Escriba el correo institucional (@itc.edu.co) del responsable." type="custom" errorStyle="stop" operator="between">
      <formula1>ISNUMBER(SEARCH("@itc.edu.co",V76))</formula1>
      <formula2>0</formula2>
    </dataValidation>
    <dataValidation sqref="AC76:AC91" showDropDown="0" showInputMessage="0" showErrorMessage="0" allowBlank="1" type="list" errorStyle="stop" operator="between">
      <formula1>L_SINO</formula1>
      <formula2>0</formula2>
    </dataValidation>
    <dataValidation sqref="AA76:AA91" showDropDown="0" showInputMessage="0" showErrorMessage="1" allowBlank="1" errorTitle="Indicador no válido" error="Seleccione un indicador de la Guía Metodológica." type="list" errorStyle="stop" operator="between">
      <formula1>L_IMP</formula1>
      <formula2>0</formula2>
    </dataValidation>
    <dataValidation sqref="Z76:Z91" showDropDown="0" showInputMessage="0" showErrorMessage="0" allowBlank="1" type="list" errorStyle="stop" operator="between">
      <formula1>L_DIM</formula1>
      <formula2>0</formula2>
    </dataValidation>
    <dataValidation sqref="T76:U91" showDropDown="0" showInputMessage="0" showErrorMessage="1" allowBlank="1" errorTitle="Fecha fuera de vigencia" error="Use una fecha entre el 01/01/2027 y el 31/12/2027." type="date" errorStyle="stop" operator="between">
      <formula1>DATE(2027,1,1)</formula1>
      <formula2>DATE(2027,12,31)</formula2>
    </dataValidation>
    <dataValidation sqref="V93:V108" showDropDown="0" showInputMessage="0" showErrorMessage="1" allowBlank="1" errorTitle="Correo no institucional" error="Escriba el correo institucional (@itc.edu.co) del responsable." type="custom" errorStyle="stop" operator="between">
      <formula1>ISNUMBER(SEARCH("@itc.edu.co",V93))</formula1>
      <formula2>0</formula2>
    </dataValidation>
    <dataValidation sqref="AC93:AC108" showDropDown="0" showInputMessage="0" showErrorMessage="0" allowBlank="1" type="list" errorStyle="stop" operator="between">
      <formula1>L_SINO</formula1>
      <formula2>0</formula2>
    </dataValidation>
    <dataValidation sqref="AA93:AA108" showDropDown="0" showInputMessage="0" showErrorMessage="1" allowBlank="1" errorTitle="Indicador no válido" error="Seleccione un indicador de la Guía Metodológica." type="list" errorStyle="stop" operator="between">
      <formula1>L_IMP</formula1>
      <formula2>0</formula2>
    </dataValidation>
    <dataValidation sqref="Z93:Z108" showDropDown="0" showInputMessage="0" showErrorMessage="0" allowBlank="1" type="list" errorStyle="stop" operator="between">
      <formula1>L_DIM</formula1>
      <formula2>0</formula2>
    </dataValidation>
    <dataValidation sqref="T93:U108" showDropDown="0" showInputMessage="0" showErrorMessage="1" allowBlank="1" errorTitle="Fecha fuera de vigencia" error="Use una fecha entre el 01/01/2027 y el 31/12/2027." type="date" errorStyle="stop" operator="between">
      <formula1>DATE(2027,1,1)</formula1>
      <formula2>DATE(2027,12,31)</formula2>
    </dataValidation>
    <dataValidation sqref="V110:V166" showDropDown="0" showInputMessage="0" showErrorMessage="1" allowBlank="1" errorTitle="Correo no institucional" error="Escriba el correo institucional (@itc.edu.co) del responsable." type="custom" errorStyle="stop" operator="between">
      <formula1>ISNUMBER(SEARCH("@itc.edu.co",V110))</formula1>
      <formula2>0</formula2>
    </dataValidation>
    <dataValidation sqref="AC110:AC166" showDropDown="0" showInputMessage="0" showErrorMessage="0" allowBlank="1" type="list" errorStyle="stop" operator="between">
      <formula1>L_SINO</formula1>
      <formula2>0</formula2>
    </dataValidation>
    <dataValidation sqref="AA110:AA166" showDropDown="0" showInputMessage="0" showErrorMessage="1" allowBlank="1" errorTitle="Indicador no válido" error="Seleccione un indicador de la Guía Metodológica." type="list" errorStyle="stop" operator="between">
      <formula1>L_IMP</formula1>
      <formula2>0</formula2>
    </dataValidation>
    <dataValidation sqref="Z110:Z166" showDropDown="0" showInputMessage="0" showErrorMessage="0" allowBlank="1" type="list" errorStyle="stop" operator="between">
      <formula1>L_DIM</formula1>
      <formula2>0</formula2>
    </dataValidation>
    <dataValidation sqref="T110:U166" showDropDown="0" showInputMessage="0" showErrorMessage="1" allowBlank="1" errorTitle="Fecha fuera de vigencia" error="Use una fecha entre el 01/01/2027 y el 31/12/2027." type="date" errorStyle="stop" operator="between">
      <formula1>DATE(2027,1,1)</formula1>
      <formula2>DATE(2027,12,31)</formula2>
    </dataValidation>
    <dataValidation sqref="V168:V189" showDropDown="0" showInputMessage="0" showErrorMessage="1" allowBlank="1" errorTitle="Correo no institucional" error="Escriba el correo institucional (@itc.edu.co) del responsable." type="custom" errorStyle="stop" operator="between">
      <formula1>ISNUMBER(SEARCH("@itc.edu.co",V168))</formula1>
      <formula2>0</formula2>
    </dataValidation>
    <dataValidation sqref="AC168:AC189" showDropDown="0" showInputMessage="0" showErrorMessage="0" allowBlank="1" type="list" errorStyle="stop" operator="between">
      <formula1>L_SINO</formula1>
      <formula2>0</formula2>
    </dataValidation>
    <dataValidation sqref="AA168:AA189" showDropDown="0" showInputMessage="0" showErrorMessage="1" allowBlank="1" errorTitle="Indicador no válido" error="Seleccione un indicador de la Guía Metodológica." type="list" errorStyle="stop" operator="between">
      <formula1>L_IMP</formula1>
      <formula2>0</formula2>
    </dataValidation>
    <dataValidation sqref="Z168:Z189" showDropDown="0" showInputMessage="0" showErrorMessage="0" allowBlank="1" type="list" errorStyle="stop" operator="between">
      <formula1>L_DIM</formula1>
      <formula2>0</formula2>
    </dataValidation>
    <dataValidation sqref="T168:U189" showDropDown="0" showInputMessage="0" showErrorMessage="1" allowBlank="1" errorTitle="Fecha fuera de vigencia" error="Use una fecha entre el 01/01/2027 y el 31/12/2027." type="date" errorStyle="stop" operator="between">
      <formula1>DATE(2027,1,1)</formula1>
      <formula2>DATE(2027,12,31)</formula2>
    </dataValidation>
    <dataValidation sqref="V191:V205" showDropDown="0" showInputMessage="0" showErrorMessage="1" allowBlank="1" errorTitle="Correo no institucional" error="Escriba el correo institucional (@itc.edu.co) del responsable." type="custom" errorStyle="stop" operator="between">
      <formula1>ISNUMBER(SEARCH("@itc.edu.co",V191))</formula1>
      <formula2>0</formula2>
    </dataValidation>
    <dataValidation sqref="AC191:AC205" showDropDown="0" showInputMessage="0" showErrorMessage="0" allowBlank="1" type="list" errorStyle="stop" operator="between">
      <formula1>L_SINO</formula1>
      <formula2>0</formula2>
    </dataValidation>
    <dataValidation sqref="AA191:AA205" showDropDown="0" showInputMessage="0" showErrorMessage="1" allowBlank="1" errorTitle="Indicador no válido" error="Seleccione un indicador de la Guía Metodológica." type="list" errorStyle="stop" operator="between">
      <formula1>L_IMP</formula1>
      <formula2>0</formula2>
    </dataValidation>
    <dataValidation sqref="Z191:Z205" showDropDown="0" showInputMessage="0" showErrorMessage="0" allowBlank="1" type="list" errorStyle="stop" operator="between">
      <formula1>L_DIM</formula1>
      <formula2>0</formula2>
    </dataValidation>
    <dataValidation sqref="T191:U205" showDropDown="0" showInputMessage="0" showErrorMessage="1" allowBlank="1" errorTitle="Fecha fuera de vigencia" error="Use una fecha entre el 01/01/2027 y el 31/12/2027." type="date" errorStyle="stop" operator="between">
      <formula1>DATE(2027,1,1)</formula1>
      <formula2>DATE(2027,12,31)</formula2>
    </dataValidation>
  </dataValidations>
  <printOptions horizontalCentered="0"/>
  <pageMargins left="0.75" right="0.75" top="1" bottom="1" header="0.5" footer="0.5"/>
  <pageSetup orientation="portrait" paperSize="9" fitToHeight="1" fitToWidth="1"/>
</worksheet>
</file>

<file path=xl/worksheets/sheet6.xml><?xml version="1.0" encoding="utf-8"?>
<worksheet xmlns="http://schemas.openxmlformats.org/spreadsheetml/2006/main">
  <sheetPr filterMode="0">
    <tabColor rgb="00F0B545"/>
    <outlinePr summaryBelow="1" summaryRight="1"/>
    <pageSetUpPr fitToPage="0"/>
  </sheetPr>
  <dimension ref="A1:W150"/>
  <sheetViews>
    <sheetView showFormulas="0" showGridLines="0" showRowColHeaders="1" showZeros="1" rightToLeft="0" tabSelected="0" showOutlineSymbols="1" defaultGridColor="1"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C4" activeCellId="0" sqref="C4"/>
    </sheetView>
  </sheetViews>
  <sheetFormatPr baseColWidth="8" defaultColWidth="8.66796875" defaultRowHeight="14.25" zeroHeight="0" outlineLevelRow="0"/>
  <cols>
    <col width="6" customWidth="1" style="84" min="1" max="1"/>
    <col width="30" customWidth="1" style="84" min="2" max="3"/>
    <col width="22" customWidth="1" style="84" min="4" max="4"/>
    <col width="26" customWidth="1" style="84" min="5" max="5"/>
    <col width="40" customWidth="1" style="84" min="6" max="6"/>
    <col width="30" customWidth="1" style="84" min="7" max="7"/>
    <col width="32" customWidth="1" style="84" min="8" max="8"/>
    <col width="40" customWidth="1" style="84" min="9" max="9"/>
    <col width="30" customWidth="1" style="84" min="10" max="10"/>
    <col width="12" customWidth="1" style="84" min="11" max="12"/>
    <col width="26" customWidth="1" style="84" min="13" max="13"/>
    <col width="28" customWidth="1" style="84" min="14" max="14"/>
    <col width="12" customWidth="1" style="84" min="15" max="16"/>
    <col width="16" customWidth="1" style="84" min="17" max="17"/>
    <col width="40" customWidth="1" style="84" min="18" max="18"/>
    <col width="30" customWidth="1" style="84" min="19" max="19"/>
    <col width="14" customWidth="1" style="84" min="20" max="20"/>
    <col width="30" customWidth="1" style="84" min="21" max="21"/>
    <col width="28" customWidth="1" style="84" min="22" max="22"/>
    <col width="30" customWidth="1" style="84" min="23" max="23"/>
  </cols>
  <sheetData>
    <row r="1" ht="17.25" customHeight="1" s="23">
      <c r="A1" s="85" t="inlineStr">
        <is>
          <t>Buscador por área funcional y formulación de acciones adicionales, PAA 2027</t>
        </is>
      </c>
    </row>
    <row r="2" ht="30" customHeight="1" s="23">
      <c r="A2" s="86" t="inlineStr">
        <is>
          <t>1) Seleccione su área en la celda amarilla: la tabla muestra las metas que la OAP le asignó y lo que debe aportar en 2027. 2) Formule esas acciones en la hoja del eje indicada. 3) Si necesita acciones adicionales, regístrelas en la sección inferior.</t>
        </is>
      </c>
    </row>
    <row r="3"/>
    <row r="4" ht="14.25" customHeight="1" s="23">
      <c r="B4" s="87" t="inlineStr">
        <is>
          <t>Área funcional:</t>
        </is>
      </c>
      <c r="C4" s="88" t="inlineStr">
        <is>
          <t>A05 · Planeación y Plan de Acción (101)</t>
        </is>
      </c>
      <c r="D4" s="89" t="n"/>
      <c r="E4" s="89" t="n"/>
      <c r="F4" s="89" t="n"/>
      <c r="G4" s="87" t="inlineStr">
        <is>
          <t>Dependencia:</t>
        </is>
      </c>
      <c r="H4" s="87">
        <f>IFERROR(INDEX(Dependencias!$F$5:$F$51,MATCH(LEFT($C$4,3),Dependencias!$E$5:$E$51,0))&amp;" · "&amp;INDEX(Dependencias!$G$5:$G$51,MATCH(LEFT($C$4,3),Dependencias!$E$5:$E$51,0)),"")</f>
        <v/>
      </c>
    </row>
    <row r="5" ht="14.25" customHeight="1" s="23">
      <c r="B5" s="87" t="inlineStr">
        <is>
          <t>Metas asignadas:</t>
        </is>
      </c>
      <c r="C5" s="84">
        <f>COUNTIF(Base_OAPDI!$I$5:$I$197,LEFT($C$4,3))</f>
        <v/>
      </c>
      <c r="G5" s="87" t="inlineStr">
        <is>
          <t>Proceso:</t>
        </is>
      </c>
      <c r="H5" s="84">
        <f>IFERROR(INDEX(Dependencias!$I$5:$I$51,MATCH(LEFT($C$4,3),Dependencias!$E$5:$E$51,0)),"")</f>
        <v/>
      </c>
    </row>
    <row r="6" ht="14.25" customHeight="1" s="23">
      <c r="B6" s="87" t="inlineStr">
        <is>
          <t>Compromisos 2026:</t>
        </is>
      </c>
      <c r="C6" s="84">
        <f>COUNTIF(Compromisos_2026!$F$4:$F$77,LEFT($C$4,3))</f>
        <v/>
      </c>
    </row>
    <row r="7" ht="42" customHeight="1" s="23">
      <c r="A7" s="90" t="inlineStr">
        <is>
          <t>N.°</t>
        </is>
      </c>
      <c r="B7" s="90" t="inlineStr">
        <is>
          <t>Id asignación</t>
        </is>
      </c>
      <c r="C7" s="90" t="inlineStr">
        <is>
          <t>Eje</t>
        </is>
      </c>
      <c r="D7" s="90" t="inlineStr">
        <is>
          <t>Código meta</t>
        </is>
      </c>
      <c r="E7" s="90" t="inlineStr">
        <is>
          <t>Meta estratégica (PDI)</t>
        </is>
      </c>
      <c r="F7" s="90" t="inlineStr">
        <is>
          <t>Meta institucional 2027</t>
        </is>
      </c>
      <c r="G7" s="90" t="inlineStr">
        <is>
          <t>Aporte esperado del área 2027</t>
        </is>
      </c>
      <c r="H7" s="90" t="inlineStr">
        <is>
          <t>Productos 2026</t>
        </is>
      </c>
      <c r="I7" s="90" t="inlineStr">
        <is>
          <t>Pendientes 2026</t>
        </is>
      </c>
      <c r="J7" s="90" t="inlineStr">
        <is>
          <t>Indicadores de impacto sugeridos</t>
        </is>
      </c>
      <c r="K7" s="90" t="inlineStr">
        <is>
          <t>Formular en la hoja</t>
        </is>
      </c>
      <c r="L7" s="90" t="inlineStr">
        <is>
          <t>Compromisos de proyectos</t>
        </is>
      </c>
      <c r="N7" s="90" t="inlineStr">
        <is>
          <t>N.°</t>
        </is>
      </c>
      <c r="O7" s="90" t="inlineStr">
        <is>
          <t>Id</t>
        </is>
      </c>
      <c r="P7" s="90" t="inlineStr">
        <is>
          <t>Proyecto estructurante</t>
        </is>
      </c>
      <c r="Q7" s="90" t="inlineStr">
        <is>
          <t>Compromiso pendiente 2026</t>
        </is>
      </c>
      <c r="R7" s="90" t="inlineStr">
        <is>
          <t>Meta PDI</t>
        </is>
      </c>
      <c r="S7" s="90" t="inlineStr">
        <is>
          <t>Decisión del área</t>
        </is>
      </c>
    </row>
    <row r="8" ht="52.5" customHeight="1" s="23">
      <c r="A8" s="91" t="n">
        <v>1</v>
      </c>
      <c r="B8" s="91">
        <f>IFERROR(INDEX(Base_OAPDI!$A$5:$A$197,MATCH($A8,Base_OAPDI!$U$5:$U$197,0)),"")</f>
        <v/>
      </c>
      <c r="C8" s="91">
        <f>IFERROR(INDEX(Base_OAPDI!$C$5:$C$197,MATCH($A8,Base_OAPDI!$U$5:$U$197,0)),"")</f>
        <v/>
      </c>
      <c r="D8" s="91">
        <f>IFERROR(INDEX(Base_OAPDI!$B$5:$B$197,MATCH($A8,Base_OAPDI!$U$5:$U$197,0)),"")</f>
        <v/>
      </c>
      <c r="E8" s="91">
        <f>IFERROR(INDEX(Base_OAPDI!$E$5:$E$197,MATCH($A8,Base_OAPDI!$U$5:$U$197,0)),"")</f>
        <v/>
      </c>
      <c r="F8" s="91">
        <f>IFERROR(INDEX(Base_OAPDI!$H$5:$H$197,MATCH($A8,Base_OAPDI!$U$5:$U$197,0)),"")</f>
        <v/>
      </c>
      <c r="G8" s="91">
        <f>IFERROR(INDEX(Base_OAPDI!$R$5:$R$197,MATCH($A8,Base_OAPDI!$U$5:$U$197,0)),"")</f>
        <v/>
      </c>
      <c r="H8" s="91">
        <f>IFERROR(INDEX(Base_OAPDI!$N$5:$N$197,MATCH($A8,Base_OAPDI!$U$5:$U$197,0)),"")</f>
        <v/>
      </c>
      <c r="I8" s="91">
        <f>IFERROR(INDEX(Base_OAPDI!$P$5:$P$197,MATCH($A8,Base_OAPDI!$U$5:$U$197,0)),"")</f>
        <v/>
      </c>
      <c r="J8" s="91">
        <f>IFERROR(INDEX(Base_OAPDI!$S$5:$S$197,MATCH($A8,Base_OAPDI!$U$5:$U$197,0)),"")</f>
        <v/>
      </c>
      <c r="K8" s="91">
        <f>IFERROR(INDEX(Base_OAPDI!$T$5:$T$197,MATCH($A8,Base_OAPDI!$U$5:$U$197,0)),"")</f>
        <v/>
      </c>
      <c r="L8" s="91">
        <f>IFERROR(INDEX(Base_OAPDI!$Q$5:$Q$197,MATCH($A8,Base_OAPDI!$U$5:$U$197,0)),"")</f>
        <v/>
      </c>
      <c r="N8" s="91" t="n">
        <v>1</v>
      </c>
      <c r="O8" s="91">
        <f>IFERROR(INDEX(Compromisos_2026!$A$4:$A$77,MATCH($N8,Compromisos_2026!$S$4:$S$77,0))&amp;"","")</f>
        <v/>
      </c>
      <c r="P8" s="91">
        <f>IFERROR(INDEX(Compromisos_2026!$B$4:$B$77,MATCH($N8,Compromisos_2026!$S$4:$S$77,0))&amp;"","")</f>
        <v/>
      </c>
      <c r="Q8" s="91">
        <f>IFERROR(INDEX(Compromisos_2026!$D$4:$D$77,MATCH($N8,Compromisos_2026!$S$4:$S$77,0))&amp;"","")</f>
        <v/>
      </c>
      <c r="R8" s="91">
        <f>IFERROR(INDEX(Compromisos_2026!$I$4:$I$77,MATCH($N8,Compromisos_2026!$S$4:$S$77,0))&amp;"","")</f>
        <v/>
      </c>
      <c r="S8" s="91">
        <f>IFERROR(INDEX(Compromisos_2026!$P$4:$P$77,MATCH($N8,Compromisos_2026!$S$4:$S$77,0))&amp;"","")</f>
        <v/>
      </c>
    </row>
    <row r="9" ht="66" customHeight="1" s="23">
      <c r="A9" s="92" t="n">
        <v>2</v>
      </c>
      <c r="B9" s="92">
        <f>IFERROR(INDEX(Base_OAPDI!$A$5:$A$197,MATCH($A9,Base_OAPDI!$U$5:$U$197,0)),"")</f>
        <v/>
      </c>
      <c r="C9" s="92">
        <f>IFERROR(INDEX(Base_OAPDI!$C$5:$C$197,MATCH($A9,Base_OAPDI!$U$5:$U$197,0)),"")</f>
        <v/>
      </c>
      <c r="D9" s="92">
        <f>IFERROR(INDEX(Base_OAPDI!$B$5:$B$197,MATCH($A9,Base_OAPDI!$U$5:$U$197,0)),"")</f>
        <v/>
      </c>
      <c r="E9" s="92">
        <f>IFERROR(INDEX(Base_OAPDI!$E$5:$E$197,MATCH($A9,Base_OAPDI!$U$5:$U$197,0)),"")</f>
        <v/>
      </c>
      <c r="F9" s="92">
        <f>IFERROR(INDEX(Base_OAPDI!$H$5:$H$197,MATCH($A9,Base_OAPDI!$U$5:$U$197,0)),"")</f>
        <v/>
      </c>
      <c r="G9" s="92">
        <f>IFERROR(INDEX(Base_OAPDI!$R$5:$R$197,MATCH($A9,Base_OAPDI!$U$5:$U$197,0)),"")</f>
        <v/>
      </c>
      <c r="H9" s="92">
        <f>IFERROR(INDEX(Base_OAPDI!$N$5:$N$197,MATCH($A9,Base_OAPDI!$U$5:$U$197,0)),"")</f>
        <v/>
      </c>
      <c r="I9" s="92">
        <f>IFERROR(INDEX(Base_OAPDI!$P$5:$P$197,MATCH($A9,Base_OAPDI!$U$5:$U$197,0)),"")</f>
        <v/>
      </c>
      <c r="J9" s="92">
        <f>IFERROR(INDEX(Base_OAPDI!$S$5:$S$197,MATCH($A9,Base_OAPDI!$U$5:$U$197,0)),"")</f>
        <v/>
      </c>
      <c r="K9" s="92">
        <f>IFERROR(INDEX(Base_OAPDI!$T$5:$T$197,MATCH($A9,Base_OAPDI!$U$5:$U$197,0)),"")</f>
        <v/>
      </c>
      <c r="L9" s="92">
        <f>IFERROR(INDEX(Base_OAPDI!$Q$5:$Q$197,MATCH($A9,Base_OAPDI!$U$5:$U$197,0)),"")</f>
        <v/>
      </c>
      <c r="N9" s="92" t="n">
        <v>2</v>
      </c>
      <c r="O9" s="92">
        <f>IFERROR(INDEX(Compromisos_2026!$A$4:$A$77,MATCH($N9,Compromisos_2026!$S$4:$S$77,0))&amp;"","")</f>
        <v/>
      </c>
      <c r="P9" s="92">
        <f>IFERROR(INDEX(Compromisos_2026!$B$4:$B$77,MATCH($N9,Compromisos_2026!$S$4:$S$77,0))&amp;"","")</f>
        <v/>
      </c>
      <c r="Q9" s="92">
        <f>IFERROR(INDEX(Compromisos_2026!$D$4:$D$77,MATCH($N9,Compromisos_2026!$S$4:$S$77,0))&amp;"","")</f>
        <v/>
      </c>
      <c r="R9" s="92">
        <f>IFERROR(INDEX(Compromisos_2026!$I$4:$I$77,MATCH($N9,Compromisos_2026!$S$4:$S$77,0))&amp;"","")</f>
        <v/>
      </c>
      <c r="S9" s="92">
        <f>IFERROR(INDEX(Compromisos_2026!$P$4:$P$77,MATCH($N9,Compromisos_2026!$S$4:$S$77,0))&amp;"","")</f>
        <v/>
      </c>
    </row>
    <row r="10" ht="14.25" customHeight="1" s="23">
      <c r="A10" s="91" t="n">
        <v>3</v>
      </c>
      <c r="B10" s="91">
        <f>IFERROR(INDEX(Base_OAPDI!$A$5:$A$197,MATCH($A10,Base_OAPDI!$U$5:$U$197,0)),"")</f>
        <v/>
      </c>
      <c r="C10" s="91">
        <f>IFERROR(INDEX(Base_OAPDI!$C$5:$C$197,MATCH($A10,Base_OAPDI!$U$5:$U$197,0)),"")</f>
        <v/>
      </c>
      <c r="D10" s="91">
        <f>IFERROR(INDEX(Base_OAPDI!$B$5:$B$197,MATCH($A10,Base_OAPDI!$U$5:$U$197,0)),"")</f>
        <v/>
      </c>
      <c r="E10" s="91">
        <f>IFERROR(INDEX(Base_OAPDI!$E$5:$E$197,MATCH($A10,Base_OAPDI!$U$5:$U$197,0)),"")</f>
        <v/>
      </c>
      <c r="F10" s="91">
        <f>IFERROR(INDEX(Base_OAPDI!$H$5:$H$197,MATCH($A10,Base_OAPDI!$U$5:$U$197,0)),"")</f>
        <v/>
      </c>
      <c r="G10" s="91">
        <f>IFERROR(INDEX(Base_OAPDI!$R$5:$R$197,MATCH($A10,Base_OAPDI!$U$5:$U$197,0)),"")</f>
        <v/>
      </c>
      <c r="H10" s="91">
        <f>IFERROR(INDEX(Base_OAPDI!$N$5:$N$197,MATCH($A10,Base_OAPDI!$U$5:$U$197,0)),"")</f>
        <v/>
      </c>
      <c r="I10" s="91">
        <f>IFERROR(INDEX(Base_OAPDI!$P$5:$P$197,MATCH($A10,Base_OAPDI!$U$5:$U$197,0)),"")</f>
        <v/>
      </c>
      <c r="J10" s="91">
        <f>IFERROR(INDEX(Base_OAPDI!$S$5:$S$197,MATCH($A10,Base_OAPDI!$U$5:$U$197,0)),"")</f>
        <v/>
      </c>
      <c r="K10" s="91">
        <f>IFERROR(INDEX(Base_OAPDI!$T$5:$T$197,MATCH($A10,Base_OAPDI!$U$5:$U$197,0)),"")</f>
        <v/>
      </c>
      <c r="L10" s="91">
        <f>IFERROR(INDEX(Base_OAPDI!$Q$5:$Q$197,MATCH($A10,Base_OAPDI!$U$5:$U$197,0)),"")</f>
        <v/>
      </c>
      <c r="N10" s="91" t="n">
        <v>3</v>
      </c>
      <c r="O10" s="91">
        <f>IFERROR(INDEX(Compromisos_2026!$A$4:$A$77,MATCH($N10,Compromisos_2026!$S$4:$S$77,0))&amp;"","")</f>
        <v/>
      </c>
      <c r="P10" s="91">
        <f>IFERROR(INDEX(Compromisos_2026!$B$4:$B$77,MATCH($N10,Compromisos_2026!$S$4:$S$77,0))&amp;"","")</f>
        <v/>
      </c>
      <c r="Q10" s="91">
        <f>IFERROR(INDEX(Compromisos_2026!$D$4:$D$77,MATCH($N10,Compromisos_2026!$S$4:$S$77,0))&amp;"","")</f>
        <v/>
      </c>
      <c r="R10" s="91">
        <f>IFERROR(INDEX(Compromisos_2026!$I$4:$I$77,MATCH($N10,Compromisos_2026!$S$4:$S$77,0))&amp;"","")</f>
        <v/>
      </c>
      <c r="S10" s="91">
        <f>IFERROR(INDEX(Compromisos_2026!$P$4:$P$77,MATCH($N10,Compromisos_2026!$S$4:$S$77,0))&amp;"","")</f>
        <v/>
      </c>
    </row>
    <row r="11" ht="14.25" customHeight="1" s="23">
      <c r="A11" s="92" t="n">
        <v>4</v>
      </c>
      <c r="B11" s="92">
        <f>IFERROR(INDEX(Base_OAPDI!$A$5:$A$197,MATCH($A11,Base_OAPDI!$U$5:$U$197,0)),"")</f>
        <v/>
      </c>
      <c r="C11" s="92">
        <f>IFERROR(INDEX(Base_OAPDI!$C$5:$C$197,MATCH($A11,Base_OAPDI!$U$5:$U$197,0)),"")</f>
        <v/>
      </c>
      <c r="D11" s="92">
        <f>IFERROR(INDEX(Base_OAPDI!$B$5:$B$197,MATCH($A11,Base_OAPDI!$U$5:$U$197,0)),"")</f>
        <v/>
      </c>
      <c r="E11" s="92">
        <f>IFERROR(INDEX(Base_OAPDI!$E$5:$E$197,MATCH($A11,Base_OAPDI!$U$5:$U$197,0)),"")</f>
        <v/>
      </c>
      <c r="F11" s="92">
        <f>IFERROR(INDEX(Base_OAPDI!$H$5:$H$197,MATCH($A11,Base_OAPDI!$U$5:$U$197,0)),"")</f>
        <v/>
      </c>
      <c r="G11" s="92">
        <f>IFERROR(INDEX(Base_OAPDI!$R$5:$R$197,MATCH($A11,Base_OAPDI!$U$5:$U$197,0)),"")</f>
        <v/>
      </c>
      <c r="H11" s="92">
        <f>IFERROR(INDEX(Base_OAPDI!$N$5:$N$197,MATCH($A11,Base_OAPDI!$U$5:$U$197,0)),"")</f>
        <v/>
      </c>
      <c r="I11" s="92">
        <f>IFERROR(INDEX(Base_OAPDI!$P$5:$P$197,MATCH($A11,Base_OAPDI!$U$5:$U$197,0)),"")</f>
        <v/>
      </c>
      <c r="J11" s="92">
        <f>IFERROR(INDEX(Base_OAPDI!$S$5:$S$197,MATCH($A11,Base_OAPDI!$U$5:$U$197,0)),"")</f>
        <v/>
      </c>
      <c r="K11" s="92">
        <f>IFERROR(INDEX(Base_OAPDI!$T$5:$T$197,MATCH($A11,Base_OAPDI!$U$5:$U$197,0)),"")</f>
        <v/>
      </c>
      <c r="L11" s="92">
        <f>IFERROR(INDEX(Base_OAPDI!$Q$5:$Q$197,MATCH($A11,Base_OAPDI!$U$5:$U$197,0)),"")</f>
        <v/>
      </c>
      <c r="N11" s="92" t="n">
        <v>4</v>
      </c>
      <c r="O11" s="92">
        <f>IFERROR(INDEX(Compromisos_2026!$A$4:$A$77,MATCH($N11,Compromisos_2026!$S$4:$S$77,0))&amp;"","")</f>
        <v/>
      </c>
      <c r="P11" s="92">
        <f>IFERROR(INDEX(Compromisos_2026!$B$4:$B$77,MATCH($N11,Compromisos_2026!$S$4:$S$77,0))&amp;"","")</f>
        <v/>
      </c>
      <c r="Q11" s="92">
        <f>IFERROR(INDEX(Compromisos_2026!$D$4:$D$77,MATCH($N11,Compromisos_2026!$S$4:$S$77,0))&amp;"","")</f>
        <v/>
      </c>
      <c r="R11" s="92">
        <f>IFERROR(INDEX(Compromisos_2026!$I$4:$I$77,MATCH($N11,Compromisos_2026!$S$4:$S$77,0))&amp;"","")</f>
        <v/>
      </c>
      <c r="S11" s="92">
        <f>IFERROR(INDEX(Compromisos_2026!$P$4:$P$77,MATCH($N11,Compromisos_2026!$S$4:$S$77,0))&amp;"","")</f>
        <v/>
      </c>
    </row>
    <row r="12" ht="14.25" customHeight="1" s="23">
      <c r="A12" s="91" t="n">
        <v>5</v>
      </c>
      <c r="B12" s="91">
        <f>IFERROR(INDEX(Base_OAPDI!$A$5:$A$197,MATCH($A12,Base_OAPDI!$U$5:$U$197,0)),"")</f>
        <v/>
      </c>
      <c r="C12" s="91">
        <f>IFERROR(INDEX(Base_OAPDI!$C$5:$C$197,MATCH($A12,Base_OAPDI!$U$5:$U$197,0)),"")</f>
        <v/>
      </c>
      <c r="D12" s="91">
        <f>IFERROR(INDEX(Base_OAPDI!$B$5:$B$197,MATCH($A12,Base_OAPDI!$U$5:$U$197,0)),"")</f>
        <v/>
      </c>
      <c r="E12" s="91">
        <f>IFERROR(INDEX(Base_OAPDI!$E$5:$E$197,MATCH($A12,Base_OAPDI!$U$5:$U$197,0)),"")</f>
        <v/>
      </c>
      <c r="F12" s="91">
        <f>IFERROR(INDEX(Base_OAPDI!$H$5:$H$197,MATCH($A12,Base_OAPDI!$U$5:$U$197,0)),"")</f>
        <v/>
      </c>
      <c r="G12" s="91">
        <f>IFERROR(INDEX(Base_OAPDI!$R$5:$R$197,MATCH($A12,Base_OAPDI!$U$5:$U$197,0)),"")</f>
        <v/>
      </c>
      <c r="H12" s="91">
        <f>IFERROR(INDEX(Base_OAPDI!$N$5:$N$197,MATCH($A12,Base_OAPDI!$U$5:$U$197,0)),"")</f>
        <v/>
      </c>
      <c r="I12" s="91">
        <f>IFERROR(INDEX(Base_OAPDI!$P$5:$P$197,MATCH($A12,Base_OAPDI!$U$5:$U$197,0)),"")</f>
        <v/>
      </c>
      <c r="J12" s="91">
        <f>IFERROR(INDEX(Base_OAPDI!$S$5:$S$197,MATCH($A12,Base_OAPDI!$U$5:$U$197,0)),"")</f>
        <v/>
      </c>
      <c r="K12" s="91">
        <f>IFERROR(INDEX(Base_OAPDI!$T$5:$T$197,MATCH($A12,Base_OAPDI!$U$5:$U$197,0)),"")</f>
        <v/>
      </c>
      <c r="L12" s="91">
        <f>IFERROR(INDEX(Base_OAPDI!$Q$5:$Q$197,MATCH($A12,Base_OAPDI!$U$5:$U$197,0)),"")</f>
        <v/>
      </c>
      <c r="N12" s="91" t="n">
        <v>5</v>
      </c>
      <c r="O12" s="91">
        <f>IFERROR(INDEX(Compromisos_2026!$A$4:$A$77,MATCH($N12,Compromisos_2026!$S$4:$S$77,0))&amp;"","")</f>
        <v/>
      </c>
      <c r="P12" s="91">
        <f>IFERROR(INDEX(Compromisos_2026!$B$4:$B$77,MATCH($N12,Compromisos_2026!$S$4:$S$77,0))&amp;"","")</f>
        <v/>
      </c>
      <c r="Q12" s="91">
        <f>IFERROR(INDEX(Compromisos_2026!$D$4:$D$77,MATCH($N12,Compromisos_2026!$S$4:$S$77,0))&amp;"","")</f>
        <v/>
      </c>
      <c r="R12" s="91">
        <f>IFERROR(INDEX(Compromisos_2026!$I$4:$I$77,MATCH($N12,Compromisos_2026!$S$4:$S$77,0))&amp;"","")</f>
        <v/>
      </c>
      <c r="S12" s="91">
        <f>IFERROR(INDEX(Compromisos_2026!$P$4:$P$77,MATCH($N12,Compromisos_2026!$S$4:$S$77,0))&amp;"","")</f>
        <v/>
      </c>
    </row>
    <row r="13" ht="14.25" customHeight="1" s="23">
      <c r="A13" s="92" t="n">
        <v>6</v>
      </c>
      <c r="B13" s="92">
        <f>IFERROR(INDEX(Base_OAPDI!$A$5:$A$197,MATCH($A13,Base_OAPDI!$U$5:$U$197,0)),"")</f>
        <v/>
      </c>
      <c r="C13" s="92">
        <f>IFERROR(INDEX(Base_OAPDI!$C$5:$C$197,MATCH($A13,Base_OAPDI!$U$5:$U$197,0)),"")</f>
        <v/>
      </c>
      <c r="D13" s="92">
        <f>IFERROR(INDEX(Base_OAPDI!$B$5:$B$197,MATCH($A13,Base_OAPDI!$U$5:$U$197,0)),"")</f>
        <v/>
      </c>
      <c r="E13" s="92">
        <f>IFERROR(INDEX(Base_OAPDI!$E$5:$E$197,MATCH($A13,Base_OAPDI!$U$5:$U$197,0)),"")</f>
        <v/>
      </c>
      <c r="F13" s="92">
        <f>IFERROR(INDEX(Base_OAPDI!$H$5:$H$197,MATCH($A13,Base_OAPDI!$U$5:$U$197,0)),"")</f>
        <v/>
      </c>
      <c r="G13" s="92">
        <f>IFERROR(INDEX(Base_OAPDI!$R$5:$R$197,MATCH($A13,Base_OAPDI!$U$5:$U$197,0)),"")</f>
        <v/>
      </c>
      <c r="H13" s="92">
        <f>IFERROR(INDEX(Base_OAPDI!$N$5:$N$197,MATCH($A13,Base_OAPDI!$U$5:$U$197,0)),"")</f>
        <v/>
      </c>
      <c r="I13" s="92">
        <f>IFERROR(INDEX(Base_OAPDI!$P$5:$P$197,MATCH($A13,Base_OAPDI!$U$5:$U$197,0)),"")</f>
        <v/>
      </c>
      <c r="J13" s="92">
        <f>IFERROR(INDEX(Base_OAPDI!$S$5:$S$197,MATCH($A13,Base_OAPDI!$U$5:$U$197,0)),"")</f>
        <v/>
      </c>
      <c r="K13" s="92">
        <f>IFERROR(INDEX(Base_OAPDI!$T$5:$T$197,MATCH($A13,Base_OAPDI!$U$5:$U$197,0)),"")</f>
        <v/>
      </c>
      <c r="L13" s="92">
        <f>IFERROR(INDEX(Base_OAPDI!$Q$5:$Q$197,MATCH($A13,Base_OAPDI!$U$5:$U$197,0)),"")</f>
        <v/>
      </c>
      <c r="N13" s="92" t="n">
        <v>6</v>
      </c>
      <c r="O13" s="92">
        <f>IFERROR(INDEX(Compromisos_2026!$A$4:$A$77,MATCH($N13,Compromisos_2026!$S$4:$S$77,0))&amp;"","")</f>
        <v/>
      </c>
      <c r="P13" s="92">
        <f>IFERROR(INDEX(Compromisos_2026!$B$4:$B$77,MATCH($N13,Compromisos_2026!$S$4:$S$77,0))&amp;"","")</f>
        <v/>
      </c>
      <c r="Q13" s="92">
        <f>IFERROR(INDEX(Compromisos_2026!$D$4:$D$77,MATCH($N13,Compromisos_2026!$S$4:$S$77,0))&amp;"","")</f>
        <v/>
      </c>
      <c r="R13" s="92">
        <f>IFERROR(INDEX(Compromisos_2026!$I$4:$I$77,MATCH($N13,Compromisos_2026!$S$4:$S$77,0))&amp;"","")</f>
        <v/>
      </c>
      <c r="S13" s="92">
        <f>IFERROR(INDEX(Compromisos_2026!$P$4:$P$77,MATCH($N13,Compromisos_2026!$S$4:$S$77,0))&amp;"","")</f>
        <v/>
      </c>
    </row>
    <row r="14" ht="14.25" customHeight="1" s="23">
      <c r="A14" s="91" t="n">
        <v>7</v>
      </c>
      <c r="B14" s="91">
        <f>IFERROR(INDEX(Base_OAPDI!$A$5:$A$197,MATCH($A14,Base_OAPDI!$U$5:$U$197,0)),"")</f>
        <v/>
      </c>
      <c r="C14" s="91">
        <f>IFERROR(INDEX(Base_OAPDI!$C$5:$C$197,MATCH($A14,Base_OAPDI!$U$5:$U$197,0)),"")</f>
        <v/>
      </c>
      <c r="D14" s="91">
        <f>IFERROR(INDEX(Base_OAPDI!$B$5:$B$197,MATCH($A14,Base_OAPDI!$U$5:$U$197,0)),"")</f>
        <v/>
      </c>
      <c r="E14" s="91">
        <f>IFERROR(INDEX(Base_OAPDI!$E$5:$E$197,MATCH($A14,Base_OAPDI!$U$5:$U$197,0)),"")</f>
        <v/>
      </c>
      <c r="F14" s="91">
        <f>IFERROR(INDEX(Base_OAPDI!$H$5:$H$197,MATCH($A14,Base_OAPDI!$U$5:$U$197,0)),"")</f>
        <v/>
      </c>
      <c r="G14" s="91">
        <f>IFERROR(INDEX(Base_OAPDI!$R$5:$R$197,MATCH($A14,Base_OAPDI!$U$5:$U$197,0)),"")</f>
        <v/>
      </c>
      <c r="H14" s="91">
        <f>IFERROR(INDEX(Base_OAPDI!$N$5:$N$197,MATCH($A14,Base_OAPDI!$U$5:$U$197,0)),"")</f>
        <v/>
      </c>
      <c r="I14" s="91">
        <f>IFERROR(INDEX(Base_OAPDI!$P$5:$P$197,MATCH($A14,Base_OAPDI!$U$5:$U$197,0)),"")</f>
        <v/>
      </c>
      <c r="J14" s="91">
        <f>IFERROR(INDEX(Base_OAPDI!$S$5:$S$197,MATCH($A14,Base_OAPDI!$U$5:$U$197,0)),"")</f>
        <v/>
      </c>
      <c r="K14" s="91">
        <f>IFERROR(INDEX(Base_OAPDI!$T$5:$T$197,MATCH($A14,Base_OAPDI!$U$5:$U$197,0)),"")</f>
        <v/>
      </c>
      <c r="L14" s="91">
        <f>IFERROR(INDEX(Base_OAPDI!$Q$5:$Q$197,MATCH($A14,Base_OAPDI!$U$5:$U$197,0)),"")</f>
        <v/>
      </c>
      <c r="N14" s="91" t="n">
        <v>7</v>
      </c>
      <c r="O14" s="91">
        <f>IFERROR(INDEX(Compromisos_2026!$A$4:$A$77,MATCH($N14,Compromisos_2026!$S$4:$S$77,0))&amp;"","")</f>
        <v/>
      </c>
      <c r="P14" s="91">
        <f>IFERROR(INDEX(Compromisos_2026!$B$4:$B$77,MATCH($N14,Compromisos_2026!$S$4:$S$77,0))&amp;"","")</f>
        <v/>
      </c>
      <c r="Q14" s="91">
        <f>IFERROR(INDEX(Compromisos_2026!$D$4:$D$77,MATCH($N14,Compromisos_2026!$S$4:$S$77,0))&amp;"","")</f>
        <v/>
      </c>
      <c r="R14" s="91">
        <f>IFERROR(INDEX(Compromisos_2026!$I$4:$I$77,MATCH($N14,Compromisos_2026!$S$4:$S$77,0))&amp;"","")</f>
        <v/>
      </c>
      <c r="S14" s="91">
        <f>IFERROR(INDEX(Compromisos_2026!$P$4:$P$77,MATCH($N14,Compromisos_2026!$S$4:$S$77,0))&amp;"","")</f>
        <v/>
      </c>
    </row>
    <row r="15" ht="14.25" customHeight="1" s="23">
      <c r="A15" s="92" t="n">
        <v>8</v>
      </c>
      <c r="B15" s="92">
        <f>IFERROR(INDEX(Base_OAPDI!$A$5:$A$197,MATCH($A15,Base_OAPDI!$U$5:$U$197,0)),"")</f>
        <v/>
      </c>
      <c r="C15" s="92">
        <f>IFERROR(INDEX(Base_OAPDI!$C$5:$C$197,MATCH($A15,Base_OAPDI!$U$5:$U$197,0)),"")</f>
        <v/>
      </c>
      <c r="D15" s="92">
        <f>IFERROR(INDEX(Base_OAPDI!$B$5:$B$197,MATCH($A15,Base_OAPDI!$U$5:$U$197,0)),"")</f>
        <v/>
      </c>
      <c r="E15" s="92">
        <f>IFERROR(INDEX(Base_OAPDI!$E$5:$E$197,MATCH($A15,Base_OAPDI!$U$5:$U$197,0)),"")</f>
        <v/>
      </c>
      <c r="F15" s="92">
        <f>IFERROR(INDEX(Base_OAPDI!$H$5:$H$197,MATCH($A15,Base_OAPDI!$U$5:$U$197,0)),"")</f>
        <v/>
      </c>
      <c r="G15" s="92">
        <f>IFERROR(INDEX(Base_OAPDI!$R$5:$R$197,MATCH($A15,Base_OAPDI!$U$5:$U$197,0)),"")</f>
        <v/>
      </c>
      <c r="H15" s="92">
        <f>IFERROR(INDEX(Base_OAPDI!$N$5:$N$197,MATCH($A15,Base_OAPDI!$U$5:$U$197,0)),"")</f>
        <v/>
      </c>
      <c r="I15" s="92">
        <f>IFERROR(INDEX(Base_OAPDI!$P$5:$P$197,MATCH($A15,Base_OAPDI!$U$5:$U$197,0)),"")</f>
        <v/>
      </c>
      <c r="J15" s="92">
        <f>IFERROR(INDEX(Base_OAPDI!$S$5:$S$197,MATCH($A15,Base_OAPDI!$U$5:$U$197,0)),"")</f>
        <v/>
      </c>
      <c r="K15" s="92">
        <f>IFERROR(INDEX(Base_OAPDI!$T$5:$T$197,MATCH($A15,Base_OAPDI!$U$5:$U$197,0)),"")</f>
        <v/>
      </c>
      <c r="L15" s="92">
        <f>IFERROR(INDEX(Base_OAPDI!$Q$5:$Q$197,MATCH($A15,Base_OAPDI!$U$5:$U$197,0)),"")</f>
        <v/>
      </c>
      <c r="N15" s="92" t="n">
        <v>8</v>
      </c>
      <c r="O15" s="92">
        <f>IFERROR(INDEX(Compromisos_2026!$A$4:$A$77,MATCH($N15,Compromisos_2026!$S$4:$S$77,0))&amp;"","")</f>
        <v/>
      </c>
      <c r="P15" s="92">
        <f>IFERROR(INDEX(Compromisos_2026!$B$4:$B$77,MATCH($N15,Compromisos_2026!$S$4:$S$77,0))&amp;"","")</f>
        <v/>
      </c>
      <c r="Q15" s="92">
        <f>IFERROR(INDEX(Compromisos_2026!$D$4:$D$77,MATCH($N15,Compromisos_2026!$S$4:$S$77,0))&amp;"","")</f>
        <v/>
      </c>
      <c r="R15" s="92">
        <f>IFERROR(INDEX(Compromisos_2026!$I$4:$I$77,MATCH($N15,Compromisos_2026!$S$4:$S$77,0))&amp;"","")</f>
        <v/>
      </c>
      <c r="S15" s="92">
        <f>IFERROR(INDEX(Compromisos_2026!$P$4:$P$77,MATCH($N15,Compromisos_2026!$S$4:$S$77,0))&amp;"","")</f>
        <v/>
      </c>
    </row>
    <row r="16" ht="14.25" customHeight="1" s="23">
      <c r="A16" s="91" t="n">
        <v>9</v>
      </c>
      <c r="B16" s="91">
        <f>IFERROR(INDEX(Base_OAPDI!$A$5:$A$197,MATCH($A16,Base_OAPDI!$U$5:$U$197,0)),"")</f>
        <v/>
      </c>
      <c r="C16" s="91">
        <f>IFERROR(INDEX(Base_OAPDI!$C$5:$C$197,MATCH($A16,Base_OAPDI!$U$5:$U$197,0)),"")</f>
        <v/>
      </c>
      <c r="D16" s="91">
        <f>IFERROR(INDEX(Base_OAPDI!$B$5:$B$197,MATCH($A16,Base_OAPDI!$U$5:$U$197,0)),"")</f>
        <v/>
      </c>
      <c r="E16" s="91">
        <f>IFERROR(INDEX(Base_OAPDI!$E$5:$E$197,MATCH($A16,Base_OAPDI!$U$5:$U$197,0)),"")</f>
        <v/>
      </c>
      <c r="F16" s="91">
        <f>IFERROR(INDEX(Base_OAPDI!$H$5:$H$197,MATCH($A16,Base_OAPDI!$U$5:$U$197,0)),"")</f>
        <v/>
      </c>
      <c r="G16" s="91">
        <f>IFERROR(INDEX(Base_OAPDI!$R$5:$R$197,MATCH($A16,Base_OAPDI!$U$5:$U$197,0)),"")</f>
        <v/>
      </c>
      <c r="H16" s="91">
        <f>IFERROR(INDEX(Base_OAPDI!$N$5:$N$197,MATCH($A16,Base_OAPDI!$U$5:$U$197,0)),"")</f>
        <v/>
      </c>
      <c r="I16" s="91">
        <f>IFERROR(INDEX(Base_OAPDI!$P$5:$P$197,MATCH($A16,Base_OAPDI!$U$5:$U$197,0)),"")</f>
        <v/>
      </c>
      <c r="J16" s="91">
        <f>IFERROR(INDEX(Base_OAPDI!$S$5:$S$197,MATCH($A16,Base_OAPDI!$U$5:$U$197,0)),"")</f>
        <v/>
      </c>
      <c r="K16" s="91">
        <f>IFERROR(INDEX(Base_OAPDI!$T$5:$T$197,MATCH($A16,Base_OAPDI!$U$5:$U$197,0)),"")</f>
        <v/>
      </c>
      <c r="L16" s="91">
        <f>IFERROR(INDEX(Base_OAPDI!$Q$5:$Q$197,MATCH($A16,Base_OAPDI!$U$5:$U$197,0)),"")</f>
        <v/>
      </c>
      <c r="N16" s="91" t="n">
        <v>9</v>
      </c>
      <c r="O16" s="91">
        <f>IFERROR(INDEX(Compromisos_2026!$A$4:$A$77,MATCH($N16,Compromisos_2026!$S$4:$S$77,0))&amp;"","")</f>
        <v/>
      </c>
      <c r="P16" s="91">
        <f>IFERROR(INDEX(Compromisos_2026!$B$4:$B$77,MATCH($N16,Compromisos_2026!$S$4:$S$77,0))&amp;"","")</f>
        <v/>
      </c>
      <c r="Q16" s="91">
        <f>IFERROR(INDEX(Compromisos_2026!$D$4:$D$77,MATCH($N16,Compromisos_2026!$S$4:$S$77,0))&amp;"","")</f>
        <v/>
      </c>
      <c r="R16" s="91">
        <f>IFERROR(INDEX(Compromisos_2026!$I$4:$I$77,MATCH($N16,Compromisos_2026!$S$4:$S$77,0))&amp;"","")</f>
        <v/>
      </c>
      <c r="S16" s="91">
        <f>IFERROR(INDEX(Compromisos_2026!$P$4:$P$77,MATCH($N16,Compromisos_2026!$S$4:$S$77,0))&amp;"","")</f>
        <v/>
      </c>
    </row>
    <row r="17" ht="14.25" customHeight="1" s="23">
      <c r="A17" s="92" t="n">
        <v>10</v>
      </c>
      <c r="B17" s="92">
        <f>IFERROR(INDEX(Base_OAPDI!$A$5:$A$197,MATCH($A17,Base_OAPDI!$U$5:$U$197,0)),"")</f>
        <v/>
      </c>
      <c r="C17" s="92">
        <f>IFERROR(INDEX(Base_OAPDI!$C$5:$C$197,MATCH($A17,Base_OAPDI!$U$5:$U$197,0)),"")</f>
        <v/>
      </c>
      <c r="D17" s="92">
        <f>IFERROR(INDEX(Base_OAPDI!$B$5:$B$197,MATCH($A17,Base_OAPDI!$U$5:$U$197,0)),"")</f>
        <v/>
      </c>
      <c r="E17" s="92">
        <f>IFERROR(INDEX(Base_OAPDI!$E$5:$E$197,MATCH($A17,Base_OAPDI!$U$5:$U$197,0)),"")</f>
        <v/>
      </c>
      <c r="F17" s="92">
        <f>IFERROR(INDEX(Base_OAPDI!$H$5:$H$197,MATCH($A17,Base_OAPDI!$U$5:$U$197,0)),"")</f>
        <v/>
      </c>
      <c r="G17" s="92">
        <f>IFERROR(INDEX(Base_OAPDI!$R$5:$R$197,MATCH($A17,Base_OAPDI!$U$5:$U$197,0)),"")</f>
        <v/>
      </c>
      <c r="H17" s="92">
        <f>IFERROR(INDEX(Base_OAPDI!$N$5:$N$197,MATCH($A17,Base_OAPDI!$U$5:$U$197,0)),"")</f>
        <v/>
      </c>
      <c r="I17" s="92">
        <f>IFERROR(INDEX(Base_OAPDI!$P$5:$P$197,MATCH($A17,Base_OAPDI!$U$5:$U$197,0)),"")</f>
        <v/>
      </c>
      <c r="J17" s="92">
        <f>IFERROR(INDEX(Base_OAPDI!$S$5:$S$197,MATCH($A17,Base_OAPDI!$U$5:$U$197,0)),"")</f>
        <v/>
      </c>
      <c r="K17" s="92">
        <f>IFERROR(INDEX(Base_OAPDI!$T$5:$T$197,MATCH($A17,Base_OAPDI!$U$5:$U$197,0)),"")</f>
        <v/>
      </c>
      <c r="L17" s="92">
        <f>IFERROR(INDEX(Base_OAPDI!$Q$5:$Q$197,MATCH($A17,Base_OAPDI!$U$5:$U$197,0)),"")</f>
        <v/>
      </c>
      <c r="N17" s="92" t="n">
        <v>10</v>
      </c>
      <c r="O17" s="92">
        <f>IFERROR(INDEX(Compromisos_2026!$A$4:$A$77,MATCH($N17,Compromisos_2026!$S$4:$S$77,0))&amp;"","")</f>
        <v/>
      </c>
      <c r="P17" s="92">
        <f>IFERROR(INDEX(Compromisos_2026!$B$4:$B$77,MATCH($N17,Compromisos_2026!$S$4:$S$77,0))&amp;"","")</f>
        <v/>
      </c>
      <c r="Q17" s="92">
        <f>IFERROR(INDEX(Compromisos_2026!$D$4:$D$77,MATCH($N17,Compromisos_2026!$S$4:$S$77,0))&amp;"","")</f>
        <v/>
      </c>
      <c r="R17" s="92">
        <f>IFERROR(INDEX(Compromisos_2026!$I$4:$I$77,MATCH($N17,Compromisos_2026!$S$4:$S$77,0))&amp;"","")</f>
        <v/>
      </c>
      <c r="S17" s="92">
        <f>IFERROR(INDEX(Compromisos_2026!$P$4:$P$77,MATCH($N17,Compromisos_2026!$S$4:$S$77,0))&amp;"","")</f>
        <v/>
      </c>
    </row>
    <row r="18" ht="14.25" customHeight="1" s="23">
      <c r="A18" s="91" t="n">
        <v>11</v>
      </c>
      <c r="B18" s="91">
        <f>IFERROR(INDEX(Base_OAPDI!$A$5:$A$197,MATCH($A18,Base_OAPDI!$U$5:$U$197,0)),"")</f>
        <v/>
      </c>
      <c r="C18" s="91">
        <f>IFERROR(INDEX(Base_OAPDI!$C$5:$C$197,MATCH($A18,Base_OAPDI!$U$5:$U$197,0)),"")</f>
        <v/>
      </c>
      <c r="D18" s="91">
        <f>IFERROR(INDEX(Base_OAPDI!$B$5:$B$197,MATCH($A18,Base_OAPDI!$U$5:$U$197,0)),"")</f>
        <v/>
      </c>
      <c r="E18" s="91">
        <f>IFERROR(INDEX(Base_OAPDI!$E$5:$E$197,MATCH($A18,Base_OAPDI!$U$5:$U$197,0)),"")</f>
        <v/>
      </c>
      <c r="F18" s="91">
        <f>IFERROR(INDEX(Base_OAPDI!$H$5:$H$197,MATCH($A18,Base_OAPDI!$U$5:$U$197,0)),"")</f>
        <v/>
      </c>
      <c r="G18" s="91">
        <f>IFERROR(INDEX(Base_OAPDI!$R$5:$R$197,MATCH($A18,Base_OAPDI!$U$5:$U$197,0)),"")</f>
        <v/>
      </c>
      <c r="H18" s="91">
        <f>IFERROR(INDEX(Base_OAPDI!$N$5:$N$197,MATCH($A18,Base_OAPDI!$U$5:$U$197,0)),"")</f>
        <v/>
      </c>
      <c r="I18" s="91">
        <f>IFERROR(INDEX(Base_OAPDI!$P$5:$P$197,MATCH($A18,Base_OAPDI!$U$5:$U$197,0)),"")</f>
        <v/>
      </c>
      <c r="J18" s="91">
        <f>IFERROR(INDEX(Base_OAPDI!$S$5:$S$197,MATCH($A18,Base_OAPDI!$U$5:$U$197,0)),"")</f>
        <v/>
      </c>
      <c r="K18" s="91">
        <f>IFERROR(INDEX(Base_OAPDI!$T$5:$T$197,MATCH($A18,Base_OAPDI!$U$5:$U$197,0)),"")</f>
        <v/>
      </c>
      <c r="L18" s="91">
        <f>IFERROR(INDEX(Base_OAPDI!$Q$5:$Q$197,MATCH($A18,Base_OAPDI!$U$5:$U$197,0)),"")</f>
        <v/>
      </c>
      <c r="N18" s="91" t="n">
        <v>11</v>
      </c>
      <c r="O18" s="91">
        <f>IFERROR(INDEX(Compromisos_2026!$A$4:$A$77,MATCH($N18,Compromisos_2026!$S$4:$S$77,0))&amp;"","")</f>
        <v/>
      </c>
      <c r="P18" s="91">
        <f>IFERROR(INDEX(Compromisos_2026!$B$4:$B$77,MATCH($N18,Compromisos_2026!$S$4:$S$77,0))&amp;"","")</f>
        <v/>
      </c>
      <c r="Q18" s="91">
        <f>IFERROR(INDEX(Compromisos_2026!$D$4:$D$77,MATCH($N18,Compromisos_2026!$S$4:$S$77,0))&amp;"","")</f>
        <v/>
      </c>
      <c r="R18" s="91">
        <f>IFERROR(INDEX(Compromisos_2026!$I$4:$I$77,MATCH($N18,Compromisos_2026!$S$4:$S$77,0))&amp;"","")</f>
        <v/>
      </c>
      <c r="S18" s="91">
        <f>IFERROR(INDEX(Compromisos_2026!$P$4:$P$77,MATCH($N18,Compromisos_2026!$S$4:$S$77,0))&amp;"","")</f>
        <v/>
      </c>
    </row>
    <row r="19" ht="14.25" customHeight="1" s="23">
      <c r="A19" s="92" t="n">
        <v>12</v>
      </c>
      <c r="B19" s="92">
        <f>IFERROR(INDEX(Base_OAPDI!$A$5:$A$197,MATCH($A19,Base_OAPDI!$U$5:$U$197,0)),"")</f>
        <v/>
      </c>
      <c r="C19" s="92">
        <f>IFERROR(INDEX(Base_OAPDI!$C$5:$C$197,MATCH($A19,Base_OAPDI!$U$5:$U$197,0)),"")</f>
        <v/>
      </c>
      <c r="D19" s="92">
        <f>IFERROR(INDEX(Base_OAPDI!$B$5:$B$197,MATCH($A19,Base_OAPDI!$U$5:$U$197,0)),"")</f>
        <v/>
      </c>
      <c r="E19" s="92">
        <f>IFERROR(INDEX(Base_OAPDI!$E$5:$E$197,MATCH($A19,Base_OAPDI!$U$5:$U$197,0)),"")</f>
        <v/>
      </c>
      <c r="F19" s="92">
        <f>IFERROR(INDEX(Base_OAPDI!$H$5:$H$197,MATCH($A19,Base_OAPDI!$U$5:$U$197,0)),"")</f>
        <v/>
      </c>
      <c r="G19" s="92">
        <f>IFERROR(INDEX(Base_OAPDI!$R$5:$R$197,MATCH($A19,Base_OAPDI!$U$5:$U$197,0)),"")</f>
        <v/>
      </c>
      <c r="H19" s="92">
        <f>IFERROR(INDEX(Base_OAPDI!$N$5:$N$197,MATCH($A19,Base_OAPDI!$U$5:$U$197,0)),"")</f>
        <v/>
      </c>
      <c r="I19" s="92">
        <f>IFERROR(INDEX(Base_OAPDI!$P$5:$P$197,MATCH($A19,Base_OAPDI!$U$5:$U$197,0)),"")</f>
        <v/>
      </c>
      <c r="J19" s="92">
        <f>IFERROR(INDEX(Base_OAPDI!$S$5:$S$197,MATCH($A19,Base_OAPDI!$U$5:$U$197,0)),"")</f>
        <v/>
      </c>
      <c r="K19" s="92">
        <f>IFERROR(INDEX(Base_OAPDI!$T$5:$T$197,MATCH($A19,Base_OAPDI!$U$5:$U$197,0)),"")</f>
        <v/>
      </c>
      <c r="L19" s="92">
        <f>IFERROR(INDEX(Base_OAPDI!$Q$5:$Q$197,MATCH($A19,Base_OAPDI!$U$5:$U$197,0)),"")</f>
        <v/>
      </c>
      <c r="N19" s="92" t="n">
        <v>12</v>
      </c>
      <c r="O19" s="92">
        <f>IFERROR(INDEX(Compromisos_2026!$A$4:$A$77,MATCH($N19,Compromisos_2026!$S$4:$S$77,0))&amp;"","")</f>
        <v/>
      </c>
      <c r="P19" s="92">
        <f>IFERROR(INDEX(Compromisos_2026!$B$4:$B$77,MATCH($N19,Compromisos_2026!$S$4:$S$77,0))&amp;"","")</f>
        <v/>
      </c>
      <c r="Q19" s="92">
        <f>IFERROR(INDEX(Compromisos_2026!$D$4:$D$77,MATCH($N19,Compromisos_2026!$S$4:$S$77,0))&amp;"","")</f>
        <v/>
      </c>
      <c r="R19" s="92">
        <f>IFERROR(INDEX(Compromisos_2026!$I$4:$I$77,MATCH($N19,Compromisos_2026!$S$4:$S$77,0))&amp;"","")</f>
        <v/>
      </c>
      <c r="S19" s="92">
        <f>IFERROR(INDEX(Compromisos_2026!$P$4:$P$77,MATCH($N19,Compromisos_2026!$S$4:$S$77,0))&amp;"","")</f>
        <v/>
      </c>
    </row>
    <row r="20" ht="14.25" customHeight="1" s="23">
      <c r="A20" s="91" t="n">
        <v>13</v>
      </c>
      <c r="B20" s="91">
        <f>IFERROR(INDEX(Base_OAPDI!$A$5:$A$197,MATCH($A20,Base_OAPDI!$U$5:$U$197,0)),"")</f>
        <v/>
      </c>
      <c r="C20" s="91">
        <f>IFERROR(INDEX(Base_OAPDI!$C$5:$C$197,MATCH($A20,Base_OAPDI!$U$5:$U$197,0)),"")</f>
        <v/>
      </c>
      <c r="D20" s="91">
        <f>IFERROR(INDEX(Base_OAPDI!$B$5:$B$197,MATCH($A20,Base_OAPDI!$U$5:$U$197,0)),"")</f>
        <v/>
      </c>
      <c r="E20" s="91">
        <f>IFERROR(INDEX(Base_OAPDI!$E$5:$E$197,MATCH($A20,Base_OAPDI!$U$5:$U$197,0)),"")</f>
        <v/>
      </c>
      <c r="F20" s="91">
        <f>IFERROR(INDEX(Base_OAPDI!$H$5:$H$197,MATCH($A20,Base_OAPDI!$U$5:$U$197,0)),"")</f>
        <v/>
      </c>
      <c r="G20" s="91">
        <f>IFERROR(INDEX(Base_OAPDI!$R$5:$R$197,MATCH($A20,Base_OAPDI!$U$5:$U$197,0)),"")</f>
        <v/>
      </c>
      <c r="H20" s="91">
        <f>IFERROR(INDEX(Base_OAPDI!$N$5:$N$197,MATCH($A20,Base_OAPDI!$U$5:$U$197,0)),"")</f>
        <v/>
      </c>
      <c r="I20" s="91">
        <f>IFERROR(INDEX(Base_OAPDI!$P$5:$P$197,MATCH($A20,Base_OAPDI!$U$5:$U$197,0)),"")</f>
        <v/>
      </c>
      <c r="J20" s="91">
        <f>IFERROR(INDEX(Base_OAPDI!$S$5:$S$197,MATCH($A20,Base_OAPDI!$U$5:$U$197,0)),"")</f>
        <v/>
      </c>
      <c r="K20" s="91">
        <f>IFERROR(INDEX(Base_OAPDI!$T$5:$T$197,MATCH($A20,Base_OAPDI!$U$5:$U$197,0)),"")</f>
        <v/>
      </c>
      <c r="L20" s="91">
        <f>IFERROR(INDEX(Base_OAPDI!$Q$5:$Q$197,MATCH($A20,Base_OAPDI!$U$5:$U$197,0)),"")</f>
        <v/>
      </c>
      <c r="N20" s="91" t="n">
        <v>13</v>
      </c>
      <c r="O20" s="91">
        <f>IFERROR(INDEX(Compromisos_2026!$A$4:$A$77,MATCH($N20,Compromisos_2026!$S$4:$S$77,0))&amp;"","")</f>
        <v/>
      </c>
      <c r="P20" s="91">
        <f>IFERROR(INDEX(Compromisos_2026!$B$4:$B$77,MATCH($N20,Compromisos_2026!$S$4:$S$77,0))&amp;"","")</f>
        <v/>
      </c>
      <c r="Q20" s="91">
        <f>IFERROR(INDEX(Compromisos_2026!$D$4:$D$77,MATCH($N20,Compromisos_2026!$S$4:$S$77,0))&amp;"","")</f>
        <v/>
      </c>
      <c r="R20" s="91">
        <f>IFERROR(INDEX(Compromisos_2026!$I$4:$I$77,MATCH($N20,Compromisos_2026!$S$4:$S$77,0))&amp;"","")</f>
        <v/>
      </c>
      <c r="S20" s="91">
        <f>IFERROR(INDEX(Compromisos_2026!$P$4:$P$77,MATCH($N20,Compromisos_2026!$S$4:$S$77,0))&amp;"","")</f>
        <v/>
      </c>
    </row>
    <row r="21" ht="14.25" customHeight="1" s="23">
      <c r="A21" s="92" t="n">
        <v>14</v>
      </c>
      <c r="B21" s="92">
        <f>IFERROR(INDEX(Base_OAPDI!$A$5:$A$197,MATCH($A21,Base_OAPDI!$U$5:$U$197,0)),"")</f>
        <v/>
      </c>
      <c r="C21" s="92">
        <f>IFERROR(INDEX(Base_OAPDI!$C$5:$C$197,MATCH($A21,Base_OAPDI!$U$5:$U$197,0)),"")</f>
        <v/>
      </c>
      <c r="D21" s="92">
        <f>IFERROR(INDEX(Base_OAPDI!$B$5:$B$197,MATCH($A21,Base_OAPDI!$U$5:$U$197,0)),"")</f>
        <v/>
      </c>
      <c r="E21" s="92">
        <f>IFERROR(INDEX(Base_OAPDI!$E$5:$E$197,MATCH($A21,Base_OAPDI!$U$5:$U$197,0)),"")</f>
        <v/>
      </c>
      <c r="F21" s="92">
        <f>IFERROR(INDEX(Base_OAPDI!$H$5:$H$197,MATCH($A21,Base_OAPDI!$U$5:$U$197,0)),"")</f>
        <v/>
      </c>
      <c r="G21" s="92">
        <f>IFERROR(INDEX(Base_OAPDI!$R$5:$R$197,MATCH($A21,Base_OAPDI!$U$5:$U$197,0)),"")</f>
        <v/>
      </c>
      <c r="H21" s="92">
        <f>IFERROR(INDEX(Base_OAPDI!$N$5:$N$197,MATCH($A21,Base_OAPDI!$U$5:$U$197,0)),"")</f>
        <v/>
      </c>
      <c r="I21" s="92">
        <f>IFERROR(INDEX(Base_OAPDI!$P$5:$P$197,MATCH($A21,Base_OAPDI!$U$5:$U$197,0)),"")</f>
        <v/>
      </c>
      <c r="J21" s="92">
        <f>IFERROR(INDEX(Base_OAPDI!$S$5:$S$197,MATCH($A21,Base_OAPDI!$U$5:$U$197,0)),"")</f>
        <v/>
      </c>
      <c r="K21" s="92">
        <f>IFERROR(INDEX(Base_OAPDI!$T$5:$T$197,MATCH($A21,Base_OAPDI!$U$5:$U$197,0)),"")</f>
        <v/>
      </c>
      <c r="L21" s="92">
        <f>IFERROR(INDEX(Base_OAPDI!$Q$5:$Q$197,MATCH($A21,Base_OAPDI!$U$5:$U$197,0)),"")</f>
        <v/>
      </c>
      <c r="N21" s="92" t="n">
        <v>14</v>
      </c>
      <c r="O21" s="92">
        <f>IFERROR(INDEX(Compromisos_2026!$A$4:$A$77,MATCH($N21,Compromisos_2026!$S$4:$S$77,0))&amp;"","")</f>
        <v/>
      </c>
      <c r="P21" s="92">
        <f>IFERROR(INDEX(Compromisos_2026!$B$4:$B$77,MATCH($N21,Compromisos_2026!$S$4:$S$77,0))&amp;"","")</f>
        <v/>
      </c>
      <c r="Q21" s="92">
        <f>IFERROR(INDEX(Compromisos_2026!$D$4:$D$77,MATCH($N21,Compromisos_2026!$S$4:$S$77,0))&amp;"","")</f>
        <v/>
      </c>
      <c r="R21" s="92">
        <f>IFERROR(INDEX(Compromisos_2026!$I$4:$I$77,MATCH($N21,Compromisos_2026!$S$4:$S$77,0))&amp;"","")</f>
        <v/>
      </c>
      <c r="S21" s="92">
        <f>IFERROR(INDEX(Compromisos_2026!$P$4:$P$77,MATCH($N21,Compromisos_2026!$S$4:$S$77,0))&amp;"","")</f>
        <v/>
      </c>
    </row>
    <row r="22" ht="14.25" customHeight="1" s="23">
      <c r="A22" s="91" t="n">
        <v>15</v>
      </c>
      <c r="B22" s="91">
        <f>IFERROR(INDEX(Base_OAPDI!$A$5:$A$197,MATCH($A22,Base_OAPDI!$U$5:$U$197,0)),"")</f>
        <v/>
      </c>
      <c r="C22" s="91">
        <f>IFERROR(INDEX(Base_OAPDI!$C$5:$C$197,MATCH($A22,Base_OAPDI!$U$5:$U$197,0)),"")</f>
        <v/>
      </c>
      <c r="D22" s="91">
        <f>IFERROR(INDEX(Base_OAPDI!$B$5:$B$197,MATCH($A22,Base_OAPDI!$U$5:$U$197,0)),"")</f>
        <v/>
      </c>
      <c r="E22" s="91">
        <f>IFERROR(INDEX(Base_OAPDI!$E$5:$E$197,MATCH($A22,Base_OAPDI!$U$5:$U$197,0)),"")</f>
        <v/>
      </c>
      <c r="F22" s="91">
        <f>IFERROR(INDEX(Base_OAPDI!$H$5:$H$197,MATCH($A22,Base_OAPDI!$U$5:$U$197,0)),"")</f>
        <v/>
      </c>
      <c r="G22" s="91">
        <f>IFERROR(INDEX(Base_OAPDI!$R$5:$R$197,MATCH($A22,Base_OAPDI!$U$5:$U$197,0)),"")</f>
        <v/>
      </c>
      <c r="H22" s="91">
        <f>IFERROR(INDEX(Base_OAPDI!$N$5:$N$197,MATCH($A22,Base_OAPDI!$U$5:$U$197,0)),"")</f>
        <v/>
      </c>
      <c r="I22" s="91">
        <f>IFERROR(INDEX(Base_OAPDI!$P$5:$P$197,MATCH($A22,Base_OAPDI!$U$5:$U$197,0)),"")</f>
        <v/>
      </c>
      <c r="J22" s="91">
        <f>IFERROR(INDEX(Base_OAPDI!$S$5:$S$197,MATCH($A22,Base_OAPDI!$U$5:$U$197,0)),"")</f>
        <v/>
      </c>
      <c r="K22" s="91">
        <f>IFERROR(INDEX(Base_OAPDI!$T$5:$T$197,MATCH($A22,Base_OAPDI!$U$5:$U$197,0)),"")</f>
        <v/>
      </c>
      <c r="L22" s="91">
        <f>IFERROR(INDEX(Base_OAPDI!$Q$5:$Q$197,MATCH($A22,Base_OAPDI!$U$5:$U$197,0)),"")</f>
        <v/>
      </c>
      <c r="N22" s="91" t="n">
        <v>15</v>
      </c>
      <c r="O22" s="91">
        <f>IFERROR(INDEX(Compromisos_2026!$A$4:$A$77,MATCH($N22,Compromisos_2026!$S$4:$S$77,0))&amp;"","")</f>
        <v/>
      </c>
      <c r="P22" s="91">
        <f>IFERROR(INDEX(Compromisos_2026!$B$4:$B$77,MATCH($N22,Compromisos_2026!$S$4:$S$77,0))&amp;"","")</f>
        <v/>
      </c>
      <c r="Q22" s="91">
        <f>IFERROR(INDEX(Compromisos_2026!$D$4:$D$77,MATCH($N22,Compromisos_2026!$S$4:$S$77,0))&amp;"","")</f>
        <v/>
      </c>
      <c r="R22" s="91">
        <f>IFERROR(INDEX(Compromisos_2026!$I$4:$I$77,MATCH($N22,Compromisos_2026!$S$4:$S$77,0))&amp;"","")</f>
        <v/>
      </c>
      <c r="S22" s="91">
        <f>IFERROR(INDEX(Compromisos_2026!$P$4:$P$77,MATCH($N22,Compromisos_2026!$S$4:$S$77,0))&amp;"","")</f>
        <v/>
      </c>
    </row>
    <row r="23" ht="14.25" customHeight="1" s="23">
      <c r="A23" s="92" t="n">
        <v>16</v>
      </c>
      <c r="B23" s="92">
        <f>IFERROR(INDEX(Base_OAPDI!$A$5:$A$197,MATCH($A23,Base_OAPDI!$U$5:$U$197,0)),"")</f>
        <v/>
      </c>
      <c r="C23" s="92">
        <f>IFERROR(INDEX(Base_OAPDI!$C$5:$C$197,MATCH($A23,Base_OAPDI!$U$5:$U$197,0)),"")</f>
        <v/>
      </c>
      <c r="D23" s="92">
        <f>IFERROR(INDEX(Base_OAPDI!$B$5:$B$197,MATCH($A23,Base_OAPDI!$U$5:$U$197,0)),"")</f>
        <v/>
      </c>
      <c r="E23" s="92">
        <f>IFERROR(INDEX(Base_OAPDI!$E$5:$E$197,MATCH($A23,Base_OAPDI!$U$5:$U$197,0)),"")</f>
        <v/>
      </c>
      <c r="F23" s="92">
        <f>IFERROR(INDEX(Base_OAPDI!$H$5:$H$197,MATCH($A23,Base_OAPDI!$U$5:$U$197,0)),"")</f>
        <v/>
      </c>
      <c r="G23" s="92">
        <f>IFERROR(INDEX(Base_OAPDI!$R$5:$R$197,MATCH($A23,Base_OAPDI!$U$5:$U$197,0)),"")</f>
        <v/>
      </c>
      <c r="H23" s="92">
        <f>IFERROR(INDEX(Base_OAPDI!$N$5:$N$197,MATCH($A23,Base_OAPDI!$U$5:$U$197,0)),"")</f>
        <v/>
      </c>
      <c r="I23" s="92">
        <f>IFERROR(INDEX(Base_OAPDI!$P$5:$P$197,MATCH($A23,Base_OAPDI!$U$5:$U$197,0)),"")</f>
        <v/>
      </c>
      <c r="J23" s="92">
        <f>IFERROR(INDEX(Base_OAPDI!$S$5:$S$197,MATCH($A23,Base_OAPDI!$U$5:$U$197,0)),"")</f>
        <v/>
      </c>
      <c r="K23" s="92">
        <f>IFERROR(INDEX(Base_OAPDI!$T$5:$T$197,MATCH($A23,Base_OAPDI!$U$5:$U$197,0)),"")</f>
        <v/>
      </c>
      <c r="L23" s="92">
        <f>IFERROR(INDEX(Base_OAPDI!$Q$5:$Q$197,MATCH($A23,Base_OAPDI!$U$5:$U$197,0)),"")</f>
        <v/>
      </c>
      <c r="N23" s="92" t="n">
        <v>16</v>
      </c>
      <c r="O23" s="92">
        <f>IFERROR(INDEX(Compromisos_2026!$A$4:$A$77,MATCH($N23,Compromisos_2026!$S$4:$S$77,0))&amp;"","")</f>
        <v/>
      </c>
      <c r="P23" s="92">
        <f>IFERROR(INDEX(Compromisos_2026!$B$4:$B$77,MATCH($N23,Compromisos_2026!$S$4:$S$77,0))&amp;"","")</f>
        <v/>
      </c>
      <c r="Q23" s="92">
        <f>IFERROR(INDEX(Compromisos_2026!$D$4:$D$77,MATCH($N23,Compromisos_2026!$S$4:$S$77,0))&amp;"","")</f>
        <v/>
      </c>
      <c r="R23" s="92">
        <f>IFERROR(INDEX(Compromisos_2026!$I$4:$I$77,MATCH($N23,Compromisos_2026!$S$4:$S$77,0))&amp;"","")</f>
        <v/>
      </c>
      <c r="S23" s="92">
        <f>IFERROR(INDEX(Compromisos_2026!$P$4:$P$77,MATCH($N23,Compromisos_2026!$S$4:$S$77,0))&amp;"","")</f>
        <v/>
      </c>
    </row>
    <row r="24" ht="14.25" customHeight="1" s="23">
      <c r="A24" s="91" t="n">
        <v>17</v>
      </c>
      <c r="B24" s="91">
        <f>IFERROR(INDEX(Base_OAPDI!$A$5:$A$197,MATCH($A24,Base_OAPDI!$U$5:$U$197,0)),"")</f>
        <v/>
      </c>
      <c r="C24" s="91">
        <f>IFERROR(INDEX(Base_OAPDI!$C$5:$C$197,MATCH($A24,Base_OAPDI!$U$5:$U$197,0)),"")</f>
        <v/>
      </c>
      <c r="D24" s="91">
        <f>IFERROR(INDEX(Base_OAPDI!$B$5:$B$197,MATCH($A24,Base_OAPDI!$U$5:$U$197,0)),"")</f>
        <v/>
      </c>
      <c r="E24" s="91">
        <f>IFERROR(INDEX(Base_OAPDI!$E$5:$E$197,MATCH($A24,Base_OAPDI!$U$5:$U$197,0)),"")</f>
        <v/>
      </c>
      <c r="F24" s="91">
        <f>IFERROR(INDEX(Base_OAPDI!$H$5:$H$197,MATCH($A24,Base_OAPDI!$U$5:$U$197,0)),"")</f>
        <v/>
      </c>
      <c r="G24" s="91">
        <f>IFERROR(INDEX(Base_OAPDI!$R$5:$R$197,MATCH($A24,Base_OAPDI!$U$5:$U$197,0)),"")</f>
        <v/>
      </c>
      <c r="H24" s="91">
        <f>IFERROR(INDEX(Base_OAPDI!$N$5:$N$197,MATCH($A24,Base_OAPDI!$U$5:$U$197,0)),"")</f>
        <v/>
      </c>
      <c r="I24" s="91">
        <f>IFERROR(INDEX(Base_OAPDI!$P$5:$P$197,MATCH($A24,Base_OAPDI!$U$5:$U$197,0)),"")</f>
        <v/>
      </c>
      <c r="J24" s="91">
        <f>IFERROR(INDEX(Base_OAPDI!$S$5:$S$197,MATCH($A24,Base_OAPDI!$U$5:$U$197,0)),"")</f>
        <v/>
      </c>
      <c r="K24" s="91">
        <f>IFERROR(INDEX(Base_OAPDI!$T$5:$T$197,MATCH($A24,Base_OAPDI!$U$5:$U$197,0)),"")</f>
        <v/>
      </c>
      <c r="L24" s="91">
        <f>IFERROR(INDEX(Base_OAPDI!$Q$5:$Q$197,MATCH($A24,Base_OAPDI!$U$5:$U$197,0)),"")</f>
        <v/>
      </c>
      <c r="N24" s="91" t="n">
        <v>17</v>
      </c>
      <c r="O24" s="91">
        <f>IFERROR(INDEX(Compromisos_2026!$A$4:$A$77,MATCH($N24,Compromisos_2026!$S$4:$S$77,0))&amp;"","")</f>
        <v/>
      </c>
      <c r="P24" s="91">
        <f>IFERROR(INDEX(Compromisos_2026!$B$4:$B$77,MATCH($N24,Compromisos_2026!$S$4:$S$77,0))&amp;"","")</f>
        <v/>
      </c>
      <c r="Q24" s="91">
        <f>IFERROR(INDEX(Compromisos_2026!$D$4:$D$77,MATCH($N24,Compromisos_2026!$S$4:$S$77,0))&amp;"","")</f>
        <v/>
      </c>
      <c r="R24" s="91">
        <f>IFERROR(INDEX(Compromisos_2026!$I$4:$I$77,MATCH($N24,Compromisos_2026!$S$4:$S$77,0))&amp;"","")</f>
        <v/>
      </c>
      <c r="S24" s="91">
        <f>IFERROR(INDEX(Compromisos_2026!$P$4:$P$77,MATCH($N24,Compromisos_2026!$S$4:$S$77,0))&amp;"","")</f>
        <v/>
      </c>
    </row>
    <row r="25" ht="14.25" customHeight="1" s="23">
      <c r="A25" s="92" t="n">
        <v>18</v>
      </c>
      <c r="B25" s="92">
        <f>IFERROR(INDEX(Base_OAPDI!$A$5:$A$197,MATCH($A25,Base_OAPDI!$U$5:$U$197,0)),"")</f>
        <v/>
      </c>
      <c r="C25" s="92">
        <f>IFERROR(INDEX(Base_OAPDI!$C$5:$C$197,MATCH($A25,Base_OAPDI!$U$5:$U$197,0)),"")</f>
        <v/>
      </c>
      <c r="D25" s="92">
        <f>IFERROR(INDEX(Base_OAPDI!$B$5:$B$197,MATCH($A25,Base_OAPDI!$U$5:$U$197,0)),"")</f>
        <v/>
      </c>
      <c r="E25" s="92">
        <f>IFERROR(INDEX(Base_OAPDI!$E$5:$E$197,MATCH($A25,Base_OAPDI!$U$5:$U$197,0)),"")</f>
        <v/>
      </c>
      <c r="F25" s="92">
        <f>IFERROR(INDEX(Base_OAPDI!$H$5:$H$197,MATCH($A25,Base_OAPDI!$U$5:$U$197,0)),"")</f>
        <v/>
      </c>
      <c r="G25" s="92">
        <f>IFERROR(INDEX(Base_OAPDI!$R$5:$R$197,MATCH($A25,Base_OAPDI!$U$5:$U$197,0)),"")</f>
        <v/>
      </c>
      <c r="H25" s="92">
        <f>IFERROR(INDEX(Base_OAPDI!$N$5:$N$197,MATCH($A25,Base_OAPDI!$U$5:$U$197,0)),"")</f>
        <v/>
      </c>
      <c r="I25" s="92">
        <f>IFERROR(INDEX(Base_OAPDI!$P$5:$P$197,MATCH($A25,Base_OAPDI!$U$5:$U$197,0)),"")</f>
        <v/>
      </c>
      <c r="J25" s="92">
        <f>IFERROR(INDEX(Base_OAPDI!$S$5:$S$197,MATCH($A25,Base_OAPDI!$U$5:$U$197,0)),"")</f>
        <v/>
      </c>
      <c r="K25" s="92">
        <f>IFERROR(INDEX(Base_OAPDI!$T$5:$T$197,MATCH($A25,Base_OAPDI!$U$5:$U$197,0)),"")</f>
        <v/>
      </c>
      <c r="L25" s="92">
        <f>IFERROR(INDEX(Base_OAPDI!$Q$5:$Q$197,MATCH($A25,Base_OAPDI!$U$5:$U$197,0)),"")</f>
        <v/>
      </c>
      <c r="N25" s="92" t="n">
        <v>18</v>
      </c>
      <c r="O25" s="92">
        <f>IFERROR(INDEX(Compromisos_2026!$A$4:$A$77,MATCH($N25,Compromisos_2026!$S$4:$S$77,0))&amp;"","")</f>
        <v/>
      </c>
      <c r="P25" s="92">
        <f>IFERROR(INDEX(Compromisos_2026!$B$4:$B$77,MATCH($N25,Compromisos_2026!$S$4:$S$77,0))&amp;"","")</f>
        <v/>
      </c>
      <c r="Q25" s="92">
        <f>IFERROR(INDEX(Compromisos_2026!$D$4:$D$77,MATCH($N25,Compromisos_2026!$S$4:$S$77,0))&amp;"","")</f>
        <v/>
      </c>
      <c r="R25" s="92">
        <f>IFERROR(INDEX(Compromisos_2026!$I$4:$I$77,MATCH($N25,Compromisos_2026!$S$4:$S$77,0))&amp;"","")</f>
        <v/>
      </c>
      <c r="S25" s="92">
        <f>IFERROR(INDEX(Compromisos_2026!$P$4:$P$77,MATCH($N25,Compromisos_2026!$S$4:$S$77,0))&amp;"","")</f>
        <v/>
      </c>
    </row>
    <row r="26" ht="14.25" customHeight="1" s="23">
      <c r="A26" s="91" t="n">
        <v>19</v>
      </c>
      <c r="B26" s="91">
        <f>IFERROR(INDEX(Base_OAPDI!$A$5:$A$197,MATCH($A26,Base_OAPDI!$U$5:$U$197,0)),"")</f>
        <v/>
      </c>
      <c r="C26" s="91">
        <f>IFERROR(INDEX(Base_OAPDI!$C$5:$C$197,MATCH($A26,Base_OAPDI!$U$5:$U$197,0)),"")</f>
        <v/>
      </c>
      <c r="D26" s="91">
        <f>IFERROR(INDEX(Base_OAPDI!$B$5:$B$197,MATCH($A26,Base_OAPDI!$U$5:$U$197,0)),"")</f>
        <v/>
      </c>
      <c r="E26" s="91">
        <f>IFERROR(INDEX(Base_OAPDI!$E$5:$E$197,MATCH($A26,Base_OAPDI!$U$5:$U$197,0)),"")</f>
        <v/>
      </c>
      <c r="F26" s="91">
        <f>IFERROR(INDEX(Base_OAPDI!$H$5:$H$197,MATCH($A26,Base_OAPDI!$U$5:$U$197,0)),"")</f>
        <v/>
      </c>
      <c r="G26" s="91">
        <f>IFERROR(INDEX(Base_OAPDI!$R$5:$R$197,MATCH($A26,Base_OAPDI!$U$5:$U$197,0)),"")</f>
        <v/>
      </c>
      <c r="H26" s="91">
        <f>IFERROR(INDEX(Base_OAPDI!$N$5:$N$197,MATCH($A26,Base_OAPDI!$U$5:$U$197,0)),"")</f>
        <v/>
      </c>
      <c r="I26" s="91">
        <f>IFERROR(INDEX(Base_OAPDI!$P$5:$P$197,MATCH($A26,Base_OAPDI!$U$5:$U$197,0)),"")</f>
        <v/>
      </c>
      <c r="J26" s="91">
        <f>IFERROR(INDEX(Base_OAPDI!$S$5:$S$197,MATCH($A26,Base_OAPDI!$U$5:$U$197,0)),"")</f>
        <v/>
      </c>
      <c r="K26" s="91">
        <f>IFERROR(INDEX(Base_OAPDI!$T$5:$T$197,MATCH($A26,Base_OAPDI!$U$5:$U$197,0)),"")</f>
        <v/>
      </c>
      <c r="L26" s="91">
        <f>IFERROR(INDEX(Base_OAPDI!$Q$5:$Q$197,MATCH($A26,Base_OAPDI!$U$5:$U$197,0)),"")</f>
        <v/>
      </c>
      <c r="N26" s="91" t="n">
        <v>19</v>
      </c>
      <c r="O26" s="91">
        <f>IFERROR(INDEX(Compromisos_2026!$A$4:$A$77,MATCH($N26,Compromisos_2026!$S$4:$S$77,0))&amp;"","")</f>
        <v/>
      </c>
      <c r="P26" s="91">
        <f>IFERROR(INDEX(Compromisos_2026!$B$4:$B$77,MATCH($N26,Compromisos_2026!$S$4:$S$77,0))&amp;"","")</f>
        <v/>
      </c>
      <c r="Q26" s="91">
        <f>IFERROR(INDEX(Compromisos_2026!$D$4:$D$77,MATCH($N26,Compromisos_2026!$S$4:$S$77,0))&amp;"","")</f>
        <v/>
      </c>
      <c r="R26" s="91">
        <f>IFERROR(INDEX(Compromisos_2026!$I$4:$I$77,MATCH($N26,Compromisos_2026!$S$4:$S$77,0))&amp;"","")</f>
        <v/>
      </c>
      <c r="S26" s="91">
        <f>IFERROR(INDEX(Compromisos_2026!$P$4:$P$77,MATCH($N26,Compromisos_2026!$S$4:$S$77,0))&amp;"","")</f>
        <v/>
      </c>
    </row>
    <row r="27" ht="14.25" customHeight="1" s="23">
      <c r="A27" s="92" t="n">
        <v>20</v>
      </c>
      <c r="B27" s="92">
        <f>IFERROR(INDEX(Base_OAPDI!$A$5:$A$197,MATCH($A27,Base_OAPDI!$U$5:$U$197,0)),"")</f>
        <v/>
      </c>
      <c r="C27" s="92">
        <f>IFERROR(INDEX(Base_OAPDI!$C$5:$C$197,MATCH($A27,Base_OAPDI!$U$5:$U$197,0)),"")</f>
        <v/>
      </c>
      <c r="D27" s="92">
        <f>IFERROR(INDEX(Base_OAPDI!$B$5:$B$197,MATCH($A27,Base_OAPDI!$U$5:$U$197,0)),"")</f>
        <v/>
      </c>
      <c r="E27" s="92">
        <f>IFERROR(INDEX(Base_OAPDI!$E$5:$E$197,MATCH($A27,Base_OAPDI!$U$5:$U$197,0)),"")</f>
        <v/>
      </c>
      <c r="F27" s="92">
        <f>IFERROR(INDEX(Base_OAPDI!$H$5:$H$197,MATCH($A27,Base_OAPDI!$U$5:$U$197,0)),"")</f>
        <v/>
      </c>
      <c r="G27" s="92">
        <f>IFERROR(INDEX(Base_OAPDI!$R$5:$R$197,MATCH($A27,Base_OAPDI!$U$5:$U$197,0)),"")</f>
        <v/>
      </c>
      <c r="H27" s="92">
        <f>IFERROR(INDEX(Base_OAPDI!$N$5:$N$197,MATCH($A27,Base_OAPDI!$U$5:$U$197,0)),"")</f>
        <v/>
      </c>
      <c r="I27" s="92">
        <f>IFERROR(INDEX(Base_OAPDI!$P$5:$P$197,MATCH($A27,Base_OAPDI!$U$5:$U$197,0)),"")</f>
        <v/>
      </c>
      <c r="J27" s="92">
        <f>IFERROR(INDEX(Base_OAPDI!$S$5:$S$197,MATCH($A27,Base_OAPDI!$U$5:$U$197,0)),"")</f>
        <v/>
      </c>
      <c r="K27" s="92">
        <f>IFERROR(INDEX(Base_OAPDI!$T$5:$T$197,MATCH($A27,Base_OAPDI!$U$5:$U$197,0)),"")</f>
        <v/>
      </c>
      <c r="L27" s="92">
        <f>IFERROR(INDEX(Base_OAPDI!$Q$5:$Q$197,MATCH($A27,Base_OAPDI!$U$5:$U$197,0)),"")</f>
        <v/>
      </c>
      <c r="N27" s="92" t="n">
        <v>20</v>
      </c>
      <c r="O27" s="92">
        <f>IFERROR(INDEX(Compromisos_2026!$A$4:$A$77,MATCH($N27,Compromisos_2026!$S$4:$S$77,0))&amp;"","")</f>
        <v/>
      </c>
      <c r="P27" s="92">
        <f>IFERROR(INDEX(Compromisos_2026!$B$4:$B$77,MATCH($N27,Compromisos_2026!$S$4:$S$77,0))&amp;"","")</f>
        <v/>
      </c>
      <c r="Q27" s="92">
        <f>IFERROR(INDEX(Compromisos_2026!$D$4:$D$77,MATCH($N27,Compromisos_2026!$S$4:$S$77,0))&amp;"","")</f>
        <v/>
      </c>
      <c r="R27" s="92">
        <f>IFERROR(INDEX(Compromisos_2026!$I$4:$I$77,MATCH($N27,Compromisos_2026!$S$4:$S$77,0))&amp;"","")</f>
        <v/>
      </c>
      <c r="S27" s="92">
        <f>IFERROR(INDEX(Compromisos_2026!$P$4:$P$77,MATCH($N27,Compromisos_2026!$S$4:$S$77,0))&amp;"","")</f>
        <v/>
      </c>
    </row>
    <row r="28" ht="14.25" customHeight="1" s="23">
      <c r="A28" s="91" t="n">
        <v>21</v>
      </c>
      <c r="B28" s="91">
        <f>IFERROR(INDEX(Base_OAPDI!$A$5:$A$197,MATCH($A28,Base_OAPDI!$U$5:$U$197,0)),"")</f>
        <v/>
      </c>
      <c r="C28" s="91">
        <f>IFERROR(INDEX(Base_OAPDI!$C$5:$C$197,MATCH($A28,Base_OAPDI!$U$5:$U$197,0)),"")</f>
        <v/>
      </c>
      <c r="D28" s="91">
        <f>IFERROR(INDEX(Base_OAPDI!$B$5:$B$197,MATCH($A28,Base_OAPDI!$U$5:$U$197,0)),"")</f>
        <v/>
      </c>
      <c r="E28" s="91">
        <f>IFERROR(INDEX(Base_OAPDI!$E$5:$E$197,MATCH($A28,Base_OAPDI!$U$5:$U$197,0)),"")</f>
        <v/>
      </c>
      <c r="F28" s="91">
        <f>IFERROR(INDEX(Base_OAPDI!$H$5:$H$197,MATCH($A28,Base_OAPDI!$U$5:$U$197,0)),"")</f>
        <v/>
      </c>
      <c r="G28" s="91">
        <f>IFERROR(INDEX(Base_OAPDI!$R$5:$R$197,MATCH($A28,Base_OAPDI!$U$5:$U$197,0)),"")</f>
        <v/>
      </c>
      <c r="H28" s="91">
        <f>IFERROR(INDEX(Base_OAPDI!$N$5:$N$197,MATCH($A28,Base_OAPDI!$U$5:$U$197,0)),"")</f>
        <v/>
      </c>
      <c r="I28" s="91">
        <f>IFERROR(INDEX(Base_OAPDI!$P$5:$P$197,MATCH($A28,Base_OAPDI!$U$5:$U$197,0)),"")</f>
        <v/>
      </c>
      <c r="J28" s="91">
        <f>IFERROR(INDEX(Base_OAPDI!$S$5:$S$197,MATCH($A28,Base_OAPDI!$U$5:$U$197,0)),"")</f>
        <v/>
      </c>
      <c r="K28" s="91">
        <f>IFERROR(INDEX(Base_OAPDI!$T$5:$T$197,MATCH($A28,Base_OAPDI!$U$5:$U$197,0)),"")</f>
        <v/>
      </c>
      <c r="L28" s="91">
        <f>IFERROR(INDEX(Base_OAPDI!$Q$5:$Q$197,MATCH($A28,Base_OAPDI!$U$5:$U$197,0)),"")</f>
        <v/>
      </c>
      <c r="N28" s="91" t="n">
        <v>21</v>
      </c>
      <c r="O28" s="91">
        <f>IFERROR(INDEX(Compromisos_2026!$A$4:$A$77,MATCH($N28,Compromisos_2026!$S$4:$S$77,0))&amp;"","")</f>
        <v/>
      </c>
      <c r="P28" s="91">
        <f>IFERROR(INDEX(Compromisos_2026!$B$4:$B$77,MATCH($N28,Compromisos_2026!$S$4:$S$77,0))&amp;"","")</f>
        <v/>
      </c>
      <c r="Q28" s="91">
        <f>IFERROR(INDEX(Compromisos_2026!$D$4:$D$77,MATCH($N28,Compromisos_2026!$S$4:$S$77,0))&amp;"","")</f>
        <v/>
      </c>
      <c r="R28" s="91">
        <f>IFERROR(INDEX(Compromisos_2026!$I$4:$I$77,MATCH($N28,Compromisos_2026!$S$4:$S$77,0))&amp;"","")</f>
        <v/>
      </c>
      <c r="S28" s="91">
        <f>IFERROR(INDEX(Compromisos_2026!$P$4:$P$77,MATCH($N28,Compromisos_2026!$S$4:$S$77,0))&amp;"","")</f>
        <v/>
      </c>
    </row>
    <row r="29" ht="14.25" customHeight="1" s="23">
      <c r="A29" s="92" t="n">
        <v>22</v>
      </c>
      <c r="B29" s="92">
        <f>IFERROR(INDEX(Base_OAPDI!$A$5:$A$197,MATCH($A29,Base_OAPDI!$U$5:$U$197,0)),"")</f>
        <v/>
      </c>
      <c r="C29" s="92">
        <f>IFERROR(INDEX(Base_OAPDI!$C$5:$C$197,MATCH($A29,Base_OAPDI!$U$5:$U$197,0)),"")</f>
        <v/>
      </c>
      <c r="D29" s="92">
        <f>IFERROR(INDEX(Base_OAPDI!$B$5:$B$197,MATCH($A29,Base_OAPDI!$U$5:$U$197,0)),"")</f>
        <v/>
      </c>
      <c r="E29" s="92">
        <f>IFERROR(INDEX(Base_OAPDI!$E$5:$E$197,MATCH($A29,Base_OAPDI!$U$5:$U$197,0)),"")</f>
        <v/>
      </c>
      <c r="F29" s="92">
        <f>IFERROR(INDEX(Base_OAPDI!$H$5:$H$197,MATCH($A29,Base_OAPDI!$U$5:$U$197,0)),"")</f>
        <v/>
      </c>
      <c r="G29" s="92">
        <f>IFERROR(INDEX(Base_OAPDI!$R$5:$R$197,MATCH($A29,Base_OAPDI!$U$5:$U$197,0)),"")</f>
        <v/>
      </c>
      <c r="H29" s="92">
        <f>IFERROR(INDEX(Base_OAPDI!$N$5:$N$197,MATCH($A29,Base_OAPDI!$U$5:$U$197,0)),"")</f>
        <v/>
      </c>
      <c r="I29" s="92">
        <f>IFERROR(INDEX(Base_OAPDI!$P$5:$P$197,MATCH($A29,Base_OAPDI!$U$5:$U$197,0)),"")</f>
        <v/>
      </c>
      <c r="J29" s="92">
        <f>IFERROR(INDEX(Base_OAPDI!$S$5:$S$197,MATCH($A29,Base_OAPDI!$U$5:$U$197,0)),"")</f>
        <v/>
      </c>
      <c r="K29" s="92">
        <f>IFERROR(INDEX(Base_OAPDI!$T$5:$T$197,MATCH($A29,Base_OAPDI!$U$5:$U$197,0)),"")</f>
        <v/>
      </c>
      <c r="L29" s="92">
        <f>IFERROR(INDEX(Base_OAPDI!$Q$5:$Q$197,MATCH($A29,Base_OAPDI!$U$5:$U$197,0)),"")</f>
        <v/>
      </c>
      <c r="N29" s="92" t="n">
        <v>22</v>
      </c>
      <c r="O29" s="92">
        <f>IFERROR(INDEX(Compromisos_2026!$A$4:$A$77,MATCH($N29,Compromisos_2026!$S$4:$S$77,0))&amp;"","")</f>
        <v/>
      </c>
      <c r="P29" s="92">
        <f>IFERROR(INDEX(Compromisos_2026!$B$4:$B$77,MATCH($N29,Compromisos_2026!$S$4:$S$77,0))&amp;"","")</f>
        <v/>
      </c>
      <c r="Q29" s="92">
        <f>IFERROR(INDEX(Compromisos_2026!$D$4:$D$77,MATCH($N29,Compromisos_2026!$S$4:$S$77,0))&amp;"","")</f>
        <v/>
      </c>
      <c r="R29" s="92">
        <f>IFERROR(INDEX(Compromisos_2026!$I$4:$I$77,MATCH($N29,Compromisos_2026!$S$4:$S$77,0))&amp;"","")</f>
        <v/>
      </c>
      <c r="S29" s="92">
        <f>IFERROR(INDEX(Compromisos_2026!$P$4:$P$77,MATCH($N29,Compromisos_2026!$S$4:$S$77,0))&amp;"","")</f>
        <v/>
      </c>
    </row>
    <row r="30" ht="14.25" customHeight="1" s="23">
      <c r="A30" s="91" t="n">
        <v>23</v>
      </c>
      <c r="B30" s="91">
        <f>IFERROR(INDEX(Base_OAPDI!$A$5:$A$197,MATCH($A30,Base_OAPDI!$U$5:$U$197,0)),"")</f>
        <v/>
      </c>
      <c r="C30" s="91">
        <f>IFERROR(INDEX(Base_OAPDI!$C$5:$C$197,MATCH($A30,Base_OAPDI!$U$5:$U$197,0)),"")</f>
        <v/>
      </c>
      <c r="D30" s="91">
        <f>IFERROR(INDEX(Base_OAPDI!$B$5:$B$197,MATCH($A30,Base_OAPDI!$U$5:$U$197,0)),"")</f>
        <v/>
      </c>
      <c r="E30" s="91">
        <f>IFERROR(INDEX(Base_OAPDI!$E$5:$E$197,MATCH($A30,Base_OAPDI!$U$5:$U$197,0)),"")</f>
        <v/>
      </c>
      <c r="F30" s="91">
        <f>IFERROR(INDEX(Base_OAPDI!$H$5:$H$197,MATCH($A30,Base_OAPDI!$U$5:$U$197,0)),"")</f>
        <v/>
      </c>
      <c r="G30" s="91">
        <f>IFERROR(INDEX(Base_OAPDI!$R$5:$R$197,MATCH($A30,Base_OAPDI!$U$5:$U$197,0)),"")</f>
        <v/>
      </c>
      <c r="H30" s="91">
        <f>IFERROR(INDEX(Base_OAPDI!$N$5:$N$197,MATCH($A30,Base_OAPDI!$U$5:$U$197,0)),"")</f>
        <v/>
      </c>
      <c r="I30" s="91">
        <f>IFERROR(INDEX(Base_OAPDI!$P$5:$P$197,MATCH($A30,Base_OAPDI!$U$5:$U$197,0)),"")</f>
        <v/>
      </c>
      <c r="J30" s="91">
        <f>IFERROR(INDEX(Base_OAPDI!$S$5:$S$197,MATCH($A30,Base_OAPDI!$U$5:$U$197,0)),"")</f>
        <v/>
      </c>
      <c r="K30" s="91">
        <f>IFERROR(INDEX(Base_OAPDI!$T$5:$T$197,MATCH($A30,Base_OAPDI!$U$5:$U$197,0)),"")</f>
        <v/>
      </c>
      <c r="L30" s="91">
        <f>IFERROR(INDEX(Base_OAPDI!$Q$5:$Q$197,MATCH($A30,Base_OAPDI!$U$5:$U$197,0)),"")</f>
        <v/>
      </c>
      <c r="N30" s="91" t="n">
        <v>23</v>
      </c>
      <c r="O30" s="91">
        <f>IFERROR(INDEX(Compromisos_2026!$A$4:$A$77,MATCH($N30,Compromisos_2026!$S$4:$S$77,0))&amp;"","")</f>
        <v/>
      </c>
      <c r="P30" s="91">
        <f>IFERROR(INDEX(Compromisos_2026!$B$4:$B$77,MATCH($N30,Compromisos_2026!$S$4:$S$77,0))&amp;"","")</f>
        <v/>
      </c>
      <c r="Q30" s="91">
        <f>IFERROR(INDEX(Compromisos_2026!$D$4:$D$77,MATCH($N30,Compromisos_2026!$S$4:$S$77,0))&amp;"","")</f>
        <v/>
      </c>
      <c r="R30" s="91">
        <f>IFERROR(INDEX(Compromisos_2026!$I$4:$I$77,MATCH($N30,Compromisos_2026!$S$4:$S$77,0))&amp;"","")</f>
        <v/>
      </c>
      <c r="S30" s="91">
        <f>IFERROR(INDEX(Compromisos_2026!$P$4:$P$77,MATCH($N30,Compromisos_2026!$S$4:$S$77,0))&amp;"","")</f>
        <v/>
      </c>
    </row>
    <row r="31" ht="14.25" customHeight="1" s="23">
      <c r="A31" s="92" t="n">
        <v>24</v>
      </c>
      <c r="B31" s="92">
        <f>IFERROR(INDEX(Base_OAPDI!$A$5:$A$197,MATCH($A31,Base_OAPDI!$U$5:$U$197,0)),"")</f>
        <v/>
      </c>
      <c r="C31" s="92">
        <f>IFERROR(INDEX(Base_OAPDI!$C$5:$C$197,MATCH($A31,Base_OAPDI!$U$5:$U$197,0)),"")</f>
        <v/>
      </c>
      <c r="D31" s="92">
        <f>IFERROR(INDEX(Base_OAPDI!$B$5:$B$197,MATCH($A31,Base_OAPDI!$U$5:$U$197,0)),"")</f>
        <v/>
      </c>
      <c r="E31" s="92">
        <f>IFERROR(INDEX(Base_OAPDI!$E$5:$E$197,MATCH($A31,Base_OAPDI!$U$5:$U$197,0)),"")</f>
        <v/>
      </c>
      <c r="F31" s="92">
        <f>IFERROR(INDEX(Base_OAPDI!$H$5:$H$197,MATCH($A31,Base_OAPDI!$U$5:$U$197,0)),"")</f>
        <v/>
      </c>
      <c r="G31" s="92">
        <f>IFERROR(INDEX(Base_OAPDI!$R$5:$R$197,MATCH($A31,Base_OAPDI!$U$5:$U$197,0)),"")</f>
        <v/>
      </c>
      <c r="H31" s="92">
        <f>IFERROR(INDEX(Base_OAPDI!$N$5:$N$197,MATCH($A31,Base_OAPDI!$U$5:$U$197,0)),"")</f>
        <v/>
      </c>
      <c r="I31" s="92">
        <f>IFERROR(INDEX(Base_OAPDI!$P$5:$P$197,MATCH($A31,Base_OAPDI!$U$5:$U$197,0)),"")</f>
        <v/>
      </c>
      <c r="J31" s="92">
        <f>IFERROR(INDEX(Base_OAPDI!$S$5:$S$197,MATCH($A31,Base_OAPDI!$U$5:$U$197,0)),"")</f>
        <v/>
      </c>
      <c r="K31" s="92">
        <f>IFERROR(INDEX(Base_OAPDI!$T$5:$T$197,MATCH($A31,Base_OAPDI!$U$5:$U$197,0)),"")</f>
        <v/>
      </c>
      <c r="L31" s="92">
        <f>IFERROR(INDEX(Base_OAPDI!$Q$5:$Q$197,MATCH($A31,Base_OAPDI!$U$5:$U$197,0)),"")</f>
        <v/>
      </c>
      <c r="N31" s="92" t="n">
        <v>24</v>
      </c>
      <c r="O31" s="92">
        <f>IFERROR(INDEX(Compromisos_2026!$A$4:$A$77,MATCH($N31,Compromisos_2026!$S$4:$S$77,0))&amp;"","")</f>
        <v/>
      </c>
      <c r="P31" s="92">
        <f>IFERROR(INDEX(Compromisos_2026!$B$4:$B$77,MATCH($N31,Compromisos_2026!$S$4:$S$77,0))&amp;"","")</f>
        <v/>
      </c>
      <c r="Q31" s="92">
        <f>IFERROR(INDEX(Compromisos_2026!$D$4:$D$77,MATCH($N31,Compromisos_2026!$S$4:$S$77,0))&amp;"","")</f>
        <v/>
      </c>
      <c r="R31" s="92">
        <f>IFERROR(INDEX(Compromisos_2026!$I$4:$I$77,MATCH($N31,Compromisos_2026!$S$4:$S$77,0))&amp;"","")</f>
        <v/>
      </c>
      <c r="S31" s="92">
        <f>IFERROR(INDEX(Compromisos_2026!$P$4:$P$77,MATCH($N31,Compromisos_2026!$S$4:$S$77,0))&amp;"","")</f>
        <v/>
      </c>
    </row>
    <row r="32" ht="14.25" customHeight="1" s="23">
      <c r="A32" s="91" t="n">
        <v>25</v>
      </c>
      <c r="B32" s="91">
        <f>IFERROR(INDEX(Base_OAPDI!$A$5:$A$197,MATCH($A32,Base_OAPDI!$U$5:$U$197,0)),"")</f>
        <v/>
      </c>
      <c r="C32" s="91">
        <f>IFERROR(INDEX(Base_OAPDI!$C$5:$C$197,MATCH($A32,Base_OAPDI!$U$5:$U$197,0)),"")</f>
        <v/>
      </c>
      <c r="D32" s="91">
        <f>IFERROR(INDEX(Base_OAPDI!$B$5:$B$197,MATCH($A32,Base_OAPDI!$U$5:$U$197,0)),"")</f>
        <v/>
      </c>
      <c r="E32" s="91">
        <f>IFERROR(INDEX(Base_OAPDI!$E$5:$E$197,MATCH($A32,Base_OAPDI!$U$5:$U$197,0)),"")</f>
        <v/>
      </c>
      <c r="F32" s="91">
        <f>IFERROR(INDEX(Base_OAPDI!$H$5:$H$197,MATCH($A32,Base_OAPDI!$U$5:$U$197,0)),"")</f>
        <v/>
      </c>
      <c r="G32" s="91">
        <f>IFERROR(INDEX(Base_OAPDI!$R$5:$R$197,MATCH($A32,Base_OAPDI!$U$5:$U$197,0)),"")</f>
        <v/>
      </c>
      <c r="H32" s="91">
        <f>IFERROR(INDEX(Base_OAPDI!$N$5:$N$197,MATCH($A32,Base_OAPDI!$U$5:$U$197,0)),"")</f>
        <v/>
      </c>
      <c r="I32" s="91">
        <f>IFERROR(INDEX(Base_OAPDI!$P$5:$P$197,MATCH($A32,Base_OAPDI!$U$5:$U$197,0)),"")</f>
        <v/>
      </c>
      <c r="J32" s="91">
        <f>IFERROR(INDEX(Base_OAPDI!$S$5:$S$197,MATCH($A32,Base_OAPDI!$U$5:$U$197,0)),"")</f>
        <v/>
      </c>
      <c r="K32" s="91">
        <f>IFERROR(INDEX(Base_OAPDI!$T$5:$T$197,MATCH($A32,Base_OAPDI!$U$5:$U$197,0)),"")</f>
        <v/>
      </c>
      <c r="L32" s="91">
        <f>IFERROR(INDEX(Base_OAPDI!$Q$5:$Q$197,MATCH($A32,Base_OAPDI!$U$5:$U$197,0)),"")</f>
        <v/>
      </c>
      <c r="N32" s="91" t="n">
        <v>25</v>
      </c>
      <c r="O32" s="91">
        <f>IFERROR(INDEX(Compromisos_2026!$A$4:$A$77,MATCH($N32,Compromisos_2026!$S$4:$S$77,0))&amp;"","")</f>
        <v/>
      </c>
      <c r="P32" s="91">
        <f>IFERROR(INDEX(Compromisos_2026!$B$4:$B$77,MATCH($N32,Compromisos_2026!$S$4:$S$77,0))&amp;"","")</f>
        <v/>
      </c>
      <c r="Q32" s="91">
        <f>IFERROR(INDEX(Compromisos_2026!$D$4:$D$77,MATCH($N32,Compromisos_2026!$S$4:$S$77,0))&amp;"","")</f>
        <v/>
      </c>
      <c r="R32" s="91">
        <f>IFERROR(INDEX(Compromisos_2026!$I$4:$I$77,MATCH($N32,Compromisos_2026!$S$4:$S$77,0))&amp;"","")</f>
        <v/>
      </c>
      <c r="S32" s="91">
        <f>IFERROR(INDEX(Compromisos_2026!$P$4:$P$77,MATCH($N32,Compromisos_2026!$S$4:$S$77,0))&amp;"","")</f>
        <v/>
      </c>
    </row>
    <row r="33" ht="14.25" customHeight="1" s="23">
      <c r="A33" s="92" t="n">
        <v>26</v>
      </c>
      <c r="B33" s="92">
        <f>IFERROR(INDEX(Base_OAPDI!$A$5:$A$197,MATCH($A33,Base_OAPDI!$U$5:$U$197,0)),"")</f>
        <v/>
      </c>
      <c r="C33" s="92">
        <f>IFERROR(INDEX(Base_OAPDI!$C$5:$C$197,MATCH($A33,Base_OAPDI!$U$5:$U$197,0)),"")</f>
        <v/>
      </c>
      <c r="D33" s="92">
        <f>IFERROR(INDEX(Base_OAPDI!$B$5:$B$197,MATCH($A33,Base_OAPDI!$U$5:$U$197,0)),"")</f>
        <v/>
      </c>
      <c r="E33" s="92">
        <f>IFERROR(INDEX(Base_OAPDI!$E$5:$E$197,MATCH($A33,Base_OAPDI!$U$5:$U$197,0)),"")</f>
        <v/>
      </c>
      <c r="F33" s="92">
        <f>IFERROR(INDEX(Base_OAPDI!$H$5:$H$197,MATCH($A33,Base_OAPDI!$U$5:$U$197,0)),"")</f>
        <v/>
      </c>
      <c r="G33" s="92">
        <f>IFERROR(INDEX(Base_OAPDI!$R$5:$R$197,MATCH($A33,Base_OAPDI!$U$5:$U$197,0)),"")</f>
        <v/>
      </c>
      <c r="H33" s="92">
        <f>IFERROR(INDEX(Base_OAPDI!$N$5:$N$197,MATCH($A33,Base_OAPDI!$U$5:$U$197,0)),"")</f>
        <v/>
      </c>
      <c r="I33" s="92">
        <f>IFERROR(INDEX(Base_OAPDI!$P$5:$P$197,MATCH($A33,Base_OAPDI!$U$5:$U$197,0)),"")</f>
        <v/>
      </c>
      <c r="J33" s="92">
        <f>IFERROR(INDEX(Base_OAPDI!$S$5:$S$197,MATCH($A33,Base_OAPDI!$U$5:$U$197,0)),"")</f>
        <v/>
      </c>
      <c r="K33" s="92">
        <f>IFERROR(INDEX(Base_OAPDI!$T$5:$T$197,MATCH($A33,Base_OAPDI!$U$5:$U$197,0)),"")</f>
        <v/>
      </c>
      <c r="L33" s="92">
        <f>IFERROR(INDEX(Base_OAPDI!$Q$5:$Q$197,MATCH($A33,Base_OAPDI!$U$5:$U$197,0)),"")</f>
        <v/>
      </c>
      <c r="N33" s="93" t="inlineStr">
        <is>
          <t>La decisión sobre cada compromiso se registra en la hoja Compromisos_2026.</t>
        </is>
      </c>
    </row>
    <row r="34" ht="14.25" customHeight="1" s="23">
      <c r="A34" s="91" t="n">
        <v>27</v>
      </c>
      <c r="B34" s="91">
        <f>IFERROR(INDEX(Base_OAPDI!$A$5:$A$197,MATCH($A34,Base_OAPDI!$U$5:$U$197,0)),"")</f>
        <v/>
      </c>
      <c r="C34" s="91">
        <f>IFERROR(INDEX(Base_OAPDI!$C$5:$C$197,MATCH($A34,Base_OAPDI!$U$5:$U$197,0)),"")</f>
        <v/>
      </c>
      <c r="D34" s="91">
        <f>IFERROR(INDEX(Base_OAPDI!$B$5:$B$197,MATCH($A34,Base_OAPDI!$U$5:$U$197,0)),"")</f>
        <v/>
      </c>
      <c r="E34" s="91">
        <f>IFERROR(INDEX(Base_OAPDI!$E$5:$E$197,MATCH($A34,Base_OAPDI!$U$5:$U$197,0)),"")</f>
        <v/>
      </c>
      <c r="F34" s="91">
        <f>IFERROR(INDEX(Base_OAPDI!$H$5:$H$197,MATCH($A34,Base_OAPDI!$U$5:$U$197,0)),"")</f>
        <v/>
      </c>
      <c r="G34" s="91">
        <f>IFERROR(INDEX(Base_OAPDI!$R$5:$R$197,MATCH($A34,Base_OAPDI!$U$5:$U$197,0)),"")</f>
        <v/>
      </c>
      <c r="H34" s="91">
        <f>IFERROR(INDEX(Base_OAPDI!$N$5:$N$197,MATCH($A34,Base_OAPDI!$U$5:$U$197,0)),"")</f>
        <v/>
      </c>
      <c r="I34" s="91">
        <f>IFERROR(INDEX(Base_OAPDI!$P$5:$P$197,MATCH($A34,Base_OAPDI!$U$5:$U$197,0)),"")</f>
        <v/>
      </c>
      <c r="J34" s="91">
        <f>IFERROR(INDEX(Base_OAPDI!$S$5:$S$197,MATCH($A34,Base_OAPDI!$U$5:$U$197,0)),"")</f>
        <v/>
      </c>
      <c r="K34" s="91">
        <f>IFERROR(INDEX(Base_OAPDI!$T$5:$T$197,MATCH($A34,Base_OAPDI!$U$5:$U$197,0)),"")</f>
        <v/>
      </c>
      <c r="L34" s="91">
        <f>IFERROR(INDEX(Base_OAPDI!$Q$5:$Q$197,MATCH($A34,Base_OAPDI!$U$5:$U$197,0)),"")</f>
        <v/>
      </c>
    </row>
    <row r="35" ht="14.25" customHeight="1" s="23">
      <c r="A35" s="92" t="n">
        <v>28</v>
      </c>
      <c r="B35" s="92">
        <f>IFERROR(INDEX(Base_OAPDI!$A$5:$A$197,MATCH($A35,Base_OAPDI!$U$5:$U$197,0)),"")</f>
        <v/>
      </c>
      <c r="C35" s="92">
        <f>IFERROR(INDEX(Base_OAPDI!$C$5:$C$197,MATCH($A35,Base_OAPDI!$U$5:$U$197,0)),"")</f>
        <v/>
      </c>
      <c r="D35" s="92">
        <f>IFERROR(INDEX(Base_OAPDI!$B$5:$B$197,MATCH($A35,Base_OAPDI!$U$5:$U$197,0)),"")</f>
        <v/>
      </c>
      <c r="E35" s="92">
        <f>IFERROR(INDEX(Base_OAPDI!$E$5:$E$197,MATCH($A35,Base_OAPDI!$U$5:$U$197,0)),"")</f>
        <v/>
      </c>
      <c r="F35" s="92">
        <f>IFERROR(INDEX(Base_OAPDI!$H$5:$H$197,MATCH($A35,Base_OAPDI!$U$5:$U$197,0)),"")</f>
        <v/>
      </c>
      <c r="G35" s="92">
        <f>IFERROR(INDEX(Base_OAPDI!$R$5:$R$197,MATCH($A35,Base_OAPDI!$U$5:$U$197,0)),"")</f>
        <v/>
      </c>
      <c r="H35" s="92">
        <f>IFERROR(INDEX(Base_OAPDI!$N$5:$N$197,MATCH($A35,Base_OAPDI!$U$5:$U$197,0)),"")</f>
        <v/>
      </c>
      <c r="I35" s="92">
        <f>IFERROR(INDEX(Base_OAPDI!$P$5:$P$197,MATCH($A35,Base_OAPDI!$U$5:$U$197,0)),"")</f>
        <v/>
      </c>
      <c r="J35" s="92">
        <f>IFERROR(INDEX(Base_OAPDI!$S$5:$S$197,MATCH($A35,Base_OAPDI!$U$5:$U$197,0)),"")</f>
        <v/>
      </c>
      <c r="K35" s="92">
        <f>IFERROR(INDEX(Base_OAPDI!$T$5:$T$197,MATCH($A35,Base_OAPDI!$U$5:$U$197,0)),"")</f>
        <v/>
      </c>
      <c r="L35" s="92">
        <f>IFERROR(INDEX(Base_OAPDI!$Q$5:$Q$197,MATCH($A35,Base_OAPDI!$U$5:$U$197,0)),"")</f>
        <v/>
      </c>
    </row>
    <row r="36" ht="14.25" customHeight="1" s="23">
      <c r="A36" s="91" t="n">
        <v>29</v>
      </c>
      <c r="B36" s="91">
        <f>IFERROR(INDEX(Base_OAPDI!$A$5:$A$197,MATCH($A36,Base_OAPDI!$U$5:$U$197,0)),"")</f>
        <v/>
      </c>
      <c r="C36" s="91">
        <f>IFERROR(INDEX(Base_OAPDI!$C$5:$C$197,MATCH($A36,Base_OAPDI!$U$5:$U$197,0)),"")</f>
        <v/>
      </c>
      <c r="D36" s="91">
        <f>IFERROR(INDEX(Base_OAPDI!$B$5:$B$197,MATCH($A36,Base_OAPDI!$U$5:$U$197,0)),"")</f>
        <v/>
      </c>
      <c r="E36" s="91">
        <f>IFERROR(INDEX(Base_OAPDI!$E$5:$E$197,MATCH($A36,Base_OAPDI!$U$5:$U$197,0)),"")</f>
        <v/>
      </c>
      <c r="F36" s="91">
        <f>IFERROR(INDEX(Base_OAPDI!$H$5:$H$197,MATCH($A36,Base_OAPDI!$U$5:$U$197,0)),"")</f>
        <v/>
      </c>
      <c r="G36" s="91">
        <f>IFERROR(INDEX(Base_OAPDI!$R$5:$R$197,MATCH($A36,Base_OAPDI!$U$5:$U$197,0)),"")</f>
        <v/>
      </c>
      <c r="H36" s="91">
        <f>IFERROR(INDEX(Base_OAPDI!$N$5:$N$197,MATCH($A36,Base_OAPDI!$U$5:$U$197,0)),"")</f>
        <v/>
      </c>
      <c r="I36" s="91">
        <f>IFERROR(INDEX(Base_OAPDI!$P$5:$P$197,MATCH($A36,Base_OAPDI!$U$5:$U$197,0)),"")</f>
        <v/>
      </c>
      <c r="J36" s="91">
        <f>IFERROR(INDEX(Base_OAPDI!$S$5:$S$197,MATCH($A36,Base_OAPDI!$U$5:$U$197,0)),"")</f>
        <v/>
      </c>
      <c r="K36" s="91">
        <f>IFERROR(INDEX(Base_OAPDI!$T$5:$T$197,MATCH($A36,Base_OAPDI!$U$5:$U$197,0)),"")</f>
        <v/>
      </c>
      <c r="L36" s="91">
        <f>IFERROR(INDEX(Base_OAPDI!$Q$5:$Q$197,MATCH($A36,Base_OAPDI!$U$5:$U$197,0)),"")</f>
        <v/>
      </c>
    </row>
    <row r="37" ht="14.25" customHeight="1" s="23">
      <c r="A37" s="92" t="n">
        <v>30</v>
      </c>
      <c r="B37" s="92">
        <f>IFERROR(INDEX(Base_OAPDI!$A$5:$A$197,MATCH($A37,Base_OAPDI!$U$5:$U$197,0)),"")</f>
        <v/>
      </c>
      <c r="C37" s="92">
        <f>IFERROR(INDEX(Base_OAPDI!$C$5:$C$197,MATCH($A37,Base_OAPDI!$U$5:$U$197,0)),"")</f>
        <v/>
      </c>
      <c r="D37" s="92">
        <f>IFERROR(INDEX(Base_OAPDI!$B$5:$B$197,MATCH($A37,Base_OAPDI!$U$5:$U$197,0)),"")</f>
        <v/>
      </c>
      <c r="E37" s="92">
        <f>IFERROR(INDEX(Base_OAPDI!$E$5:$E$197,MATCH($A37,Base_OAPDI!$U$5:$U$197,0)),"")</f>
        <v/>
      </c>
      <c r="F37" s="92">
        <f>IFERROR(INDEX(Base_OAPDI!$H$5:$H$197,MATCH($A37,Base_OAPDI!$U$5:$U$197,0)),"")</f>
        <v/>
      </c>
      <c r="G37" s="92">
        <f>IFERROR(INDEX(Base_OAPDI!$R$5:$R$197,MATCH($A37,Base_OAPDI!$U$5:$U$197,0)),"")</f>
        <v/>
      </c>
      <c r="H37" s="92">
        <f>IFERROR(INDEX(Base_OAPDI!$N$5:$N$197,MATCH($A37,Base_OAPDI!$U$5:$U$197,0)),"")</f>
        <v/>
      </c>
      <c r="I37" s="92">
        <f>IFERROR(INDEX(Base_OAPDI!$P$5:$P$197,MATCH($A37,Base_OAPDI!$U$5:$U$197,0)),"")</f>
        <v/>
      </c>
      <c r="J37" s="92">
        <f>IFERROR(INDEX(Base_OAPDI!$S$5:$S$197,MATCH($A37,Base_OAPDI!$U$5:$U$197,0)),"")</f>
        <v/>
      </c>
      <c r="K37" s="92">
        <f>IFERROR(INDEX(Base_OAPDI!$T$5:$T$197,MATCH($A37,Base_OAPDI!$U$5:$U$197,0)),"")</f>
        <v/>
      </c>
      <c r="L37" s="92">
        <f>IFERROR(INDEX(Base_OAPDI!$Q$5:$Q$197,MATCH($A37,Base_OAPDI!$U$5:$U$197,0)),"")</f>
        <v/>
      </c>
    </row>
    <row r="38" ht="14.25" customHeight="1" s="23">
      <c r="A38" s="91" t="n">
        <v>31</v>
      </c>
      <c r="B38" s="91">
        <f>IFERROR(INDEX(Base_OAPDI!$A$5:$A$197,MATCH($A38,Base_OAPDI!$U$5:$U$197,0)),"")</f>
        <v/>
      </c>
      <c r="C38" s="91">
        <f>IFERROR(INDEX(Base_OAPDI!$C$5:$C$197,MATCH($A38,Base_OAPDI!$U$5:$U$197,0)),"")</f>
        <v/>
      </c>
      <c r="D38" s="91">
        <f>IFERROR(INDEX(Base_OAPDI!$B$5:$B$197,MATCH($A38,Base_OAPDI!$U$5:$U$197,0)),"")</f>
        <v/>
      </c>
      <c r="E38" s="91">
        <f>IFERROR(INDEX(Base_OAPDI!$E$5:$E$197,MATCH($A38,Base_OAPDI!$U$5:$U$197,0)),"")</f>
        <v/>
      </c>
      <c r="F38" s="91">
        <f>IFERROR(INDEX(Base_OAPDI!$H$5:$H$197,MATCH($A38,Base_OAPDI!$U$5:$U$197,0)),"")</f>
        <v/>
      </c>
      <c r="G38" s="91">
        <f>IFERROR(INDEX(Base_OAPDI!$R$5:$R$197,MATCH($A38,Base_OAPDI!$U$5:$U$197,0)),"")</f>
        <v/>
      </c>
      <c r="H38" s="91">
        <f>IFERROR(INDEX(Base_OAPDI!$N$5:$N$197,MATCH($A38,Base_OAPDI!$U$5:$U$197,0)),"")</f>
        <v/>
      </c>
      <c r="I38" s="91">
        <f>IFERROR(INDEX(Base_OAPDI!$P$5:$P$197,MATCH($A38,Base_OAPDI!$U$5:$U$197,0)),"")</f>
        <v/>
      </c>
      <c r="J38" s="91">
        <f>IFERROR(INDEX(Base_OAPDI!$S$5:$S$197,MATCH($A38,Base_OAPDI!$U$5:$U$197,0)),"")</f>
        <v/>
      </c>
      <c r="K38" s="91">
        <f>IFERROR(INDEX(Base_OAPDI!$T$5:$T$197,MATCH($A38,Base_OAPDI!$U$5:$U$197,0)),"")</f>
        <v/>
      </c>
      <c r="L38" s="91">
        <f>IFERROR(INDEX(Base_OAPDI!$Q$5:$Q$197,MATCH($A38,Base_OAPDI!$U$5:$U$197,0)),"")</f>
        <v/>
      </c>
    </row>
    <row r="39" ht="14.25" customHeight="1" s="23">
      <c r="A39" s="92" t="n">
        <v>32</v>
      </c>
      <c r="B39" s="92">
        <f>IFERROR(INDEX(Base_OAPDI!$A$5:$A$197,MATCH($A39,Base_OAPDI!$U$5:$U$197,0)),"")</f>
        <v/>
      </c>
      <c r="C39" s="92">
        <f>IFERROR(INDEX(Base_OAPDI!$C$5:$C$197,MATCH($A39,Base_OAPDI!$U$5:$U$197,0)),"")</f>
        <v/>
      </c>
      <c r="D39" s="92">
        <f>IFERROR(INDEX(Base_OAPDI!$B$5:$B$197,MATCH($A39,Base_OAPDI!$U$5:$U$197,0)),"")</f>
        <v/>
      </c>
      <c r="E39" s="92">
        <f>IFERROR(INDEX(Base_OAPDI!$E$5:$E$197,MATCH($A39,Base_OAPDI!$U$5:$U$197,0)),"")</f>
        <v/>
      </c>
      <c r="F39" s="92">
        <f>IFERROR(INDEX(Base_OAPDI!$H$5:$H$197,MATCH($A39,Base_OAPDI!$U$5:$U$197,0)),"")</f>
        <v/>
      </c>
      <c r="G39" s="92">
        <f>IFERROR(INDEX(Base_OAPDI!$R$5:$R$197,MATCH($A39,Base_OAPDI!$U$5:$U$197,0)),"")</f>
        <v/>
      </c>
      <c r="H39" s="92">
        <f>IFERROR(INDEX(Base_OAPDI!$N$5:$N$197,MATCH($A39,Base_OAPDI!$U$5:$U$197,0)),"")</f>
        <v/>
      </c>
      <c r="I39" s="92">
        <f>IFERROR(INDEX(Base_OAPDI!$P$5:$P$197,MATCH($A39,Base_OAPDI!$U$5:$U$197,0)),"")</f>
        <v/>
      </c>
      <c r="J39" s="92">
        <f>IFERROR(INDEX(Base_OAPDI!$S$5:$S$197,MATCH($A39,Base_OAPDI!$U$5:$U$197,0)),"")</f>
        <v/>
      </c>
      <c r="K39" s="92">
        <f>IFERROR(INDEX(Base_OAPDI!$T$5:$T$197,MATCH($A39,Base_OAPDI!$U$5:$U$197,0)),"")</f>
        <v/>
      </c>
      <c r="L39" s="92">
        <f>IFERROR(INDEX(Base_OAPDI!$Q$5:$Q$197,MATCH($A39,Base_OAPDI!$U$5:$U$197,0)),"")</f>
        <v/>
      </c>
    </row>
    <row r="40" ht="14.25" customHeight="1" s="23">
      <c r="A40" s="91" t="n">
        <v>33</v>
      </c>
      <c r="B40" s="91">
        <f>IFERROR(INDEX(Base_OAPDI!$A$5:$A$197,MATCH($A40,Base_OAPDI!$U$5:$U$197,0)),"")</f>
        <v/>
      </c>
      <c r="C40" s="91">
        <f>IFERROR(INDEX(Base_OAPDI!$C$5:$C$197,MATCH($A40,Base_OAPDI!$U$5:$U$197,0)),"")</f>
        <v/>
      </c>
      <c r="D40" s="91">
        <f>IFERROR(INDEX(Base_OAPDI!$B$5:$B$197,MATCH($A40,Base_OAPDI!$U$5:$U$197,0)),"")</f>
        <v/>
      </c>
      <c r="E40" s="91">
        <f>IFERROR(INDEX(Base_OAPDI!$E$5:$E$197,MATCH($A40,Base_OAPDI!$U$5:$U$197,0)),"")</f>
        <v/>
      </c>
      <c r="F40" s="91">
        <f>IFERROR(INDEX(Base_OAPDI!$H$5:$H$197,MATCH($A40,Base_OAPDI!$U$5:$U$197,0)),"")</f>
        <v/>
      </c>
      <c r="G40" s="91">
        <f>IFERROR(INDEX(Base_OAPDI!$R$5:$R$197,MATCH($A40,Base_OAPDI!$U$5:$U$197,0)),"")</f>
        <v/>
      </c>
      <c r="H40" s="91">
        <f>IFERROR(INDEX(Base_OAPDI!$N$5:$N$197,MATCH($A40,Base_OAPDI!$U$5:$U$197,0)),"")</f>
        <v/>
      </c>
      <c r="I40" s="91">
        <f>IFERROR(INDEX(Base_OAPDI!$P$5:$P$197,MATCH($A40,Base_OAPDI!$U$5:$U$197,0)),"")</f>
        <v/>
      </c>
      <c r="J40" s="91">
        <f>IFERROR(INDEX(Base_OAPDI!$S$5:$S$197,MATCH($A40,Base_OAPDI!$U$5:$U$197,0)),"")</f>
        <v/>
      </c>
      <c r="K40" s="91">
        <f>IFERROR(INDEX(Base_OAPDI!$T$5:$T$197,MATCH($A40,Base_OAPDI!$U$5:$U$197,0)),"")</f>
        <v/>
      </c>
      <c r="L40" s="91">
        <f>IFERROR(INDEX(Base_OAPDI!$Q$5:$Q$197,MATCH($A40,Base_OAPDI!$U$5:$U$197,0)),"")</f>
        <v/>
      </c>
    </row>
    <row r="41" ht="14.25" customHeight="1" s="23">
      <c r="A41" s="92" t="n">
        <v>34</v>
      </c>
      <c r="B41" s="92">
        <f>IFERROR(INDEX(Base_OAPDI!$A$5:$A$197,MATCH($A41,Base_OAPDI!$U$5:$U$197,0)),"")</f>
        <v/>
      </c>
      <c r="C41" s="92">
        <f>IFERROR(INDEX(Base_OAPDI!$C$5:$C$197,MATCH($A41,Base_OAPDI!$U$5:$U$197,0)),"")</f>
        <v/>
      </c>
      <c r="D41" s="92">
        <f>IFERROR(INDEX(Base_OAPDI!$B$5:$B$197,MATCH($A41,Base_OAPDI!$U$5:$U$197,0)),"")</f>
        <v/>
      </c>
      <c r="E41" s="92">
        <f>IFERROR(INDEX(Base_OAPDI!$E$5:$E$197,MATCH($A41,Base_OAPDI!$U$5:$U$197,0)),"")</f>
        <v/>
      </c>
      <c r="F41" s="92">
        <f>IFERROR(INDEX(Base_OAPDI!$H$5:$H$197,MATCH($A41,Base_OAPDI!$U$5:$U$197,0)),"")</f>
        <v/>
      </c>
      <c r="G41" s="92">
        <f>IFERROR(INDEX(Base_OAPDI!$R$5:$R$197,MATCH($A41,Base_OAPDI!$U$5:$U$197,0)),"")</f>
        <v/>
      </c>
      <c r="H41" s="92">
        <f>IFERROR(INDEX(Base_OAPDI!$N$5:$N$197,MATCH($A41,Base_OAPDI!$U$5:$U$197,0)),"")</f>
        <v/>
      </c>
      <c r="I41" s="92">
        <f>IFERROR(INDEX(Base_OAPDI!$P$5:$P$197,MATCH($A41,Base_OAPDI!$U$5:$U$197,0)),"")</f>
        <v/>
      </c>
      <c r="J41" s="92">
        <f>IFERROR(INDEX(Base_OAPDI!$S$5:$S$197,MATCH($A41,Base_OAPDI!$U$5:$U$197,0)),"")</f>
        <v/>
      </c>
      <c r="K41" s="92">
        <f>IFERROR(INDEX(Base_OAPDI!$T$5:$T$197,MATCH($A41,Base_OAPDI!$U$5:$U$197,0)),"")</f>
        <v/>
      </c>
      <c r="L41" s="92">
        <f>IFERROR(INDEX(Base_OAPDI!$Q$5:$Q$197,MATCH($A41,Base_OAPDI!$U$5:$U$197,0)),"")</f>
        <v/>
      </c>
    </row>
    <row r="42" ht="14.25" customHeight="1" s="23">
      <c r="A42" s="91" t="n">
        <v>35</v>
      </c>
      <c r="B42" s="91">
        <f>IFERROR(INDEX(Base_OAPDI!$A$5:$A$197,MATCH($A42,Base_OAPDI!$U$5:$U$197,0)),"")</f>
        <v/>
      </c>
      <c r="C42" s="91">
        <f>IFERROR(INDEX(Base_OAPDI!$C$5:$C$197,MATCH($A42,Base_OAPDI!$U$5:$U$197,0)),"")</f>
        <v/>
      </c>
      <c r="D42" s="91">
        <f>IFERROR(INDEX(Base_OAPDI!$B$5:$B$197,MATCH($A42,Base_OAPDI!$U$5:$U$197,0)),"")</f>
        <v/>
      </c>
      <c r="E42" s="91">
        <f>IFERROR(INDEX(Base_OAPDI!$E$5:$E$197,MATCH($A42,Base_OAPDI!$U$5:$U$197,0)),"")</f>
        <v/>
      </c>
      <c r="F42" s="91">
        <f>IFERROR(INDEX(Base_OAPDI!$H$5:$H$197,MATCH($A42,Base_OAPDI!$U$5:$U$197,0)),"")</f>
        <v/>
      </c>
      <c r="G42" s="91">
        <f>IFERROR(INDEX(Base_OAPDI!$R$5:$R$197,MATCH($A42,Base_OAPDI!$U$5:$U$197,0)),"")</f>
        <v/>
      </c>
      <c r="H42" s="91">
        <f>IFERROR(INDEX(Base_OAPDI!$N$5:$N$197,MATCH($A42,Base_OAPDI!$U$5:$U$197,0)),"")</f>
        <v/>
      </c>
      <c r="I42" s="91">
        <f>IFERROR(INDEX(Base_OAPDI!$P$5:$P$197,MATCH($A42,Base_OAPDI!$U$5:$U$197,0)),"")</f>
        <v/>
      </c>
      <c r="J42" s="91">
        <f>IFERROR(INDEX(Base_OAPDI!$S$5:$S$197,MATCH($A42,Base_OAPDI!$U$5:$U$197,0)),"")</f>
        <v/>
      </c>
      <c r="K42" s="91">
        <f>IFERROR(INDEX(Base_OAPDI!$T$5:$T$197,MATCH($A42,Base_OAPDI!$U$5:$U$197,0)),"")</f>
        <v/>
      </c>
      <c r="L42" s="91">
        <f>IFERROR(INDEX(Base_OAPDI!$Q$5:$Q$197,MATCH($A42,Base_OAPDI!$U$5:$U$197,0)),"")</f>
        <v/>
      </c>
    </row>
    <row r="43" ht="14.25" customHeight="1" s="23">
      <c r="A43" s="92" t="n">
        <v>36</v>
      </c>
      <c r="B43" s="92">
        <f>IFERROR(INDEX(Base_OAPDI!$A$5:$A$197,MATCH($A43,Base_OAPDI!$U$5:$U$197,0)),"")</f>
        <v/>
      </c>
      <c r="C43" s="92">
        <f>IFERROR(INDEX(Base_OAPDI!$C$5:$C$197,MATCH($A43,Base_OAPDI!$U$5:$U$197,0)),"")</f>
        <v/>
      </c>
      <c r="D43" s="92">
        <f>IFERROR(INDEX(Base_OAPDI!$B$5:$B$197,MATCH($A43,Base_OAPDI!$U$5:$U$197,0)),"")</f>
        <v/>
      </c>
      <c r="E43" s="92">
        <f>IFERROR(INDEX(Base_OAPDI!$E$5:$E$197,MATCH($A43,Base_OAPDI!$U$5:$U$197,0)),"")</f>
        <v/>
      </c>
      <c r="F43" s="92">
        <f>IFERROR(INDEX(Base_OAPDI!$H$5:$H$197,MATCH($A43,Base_OAPDI!$U$5:$U$197,0)),"")</f>
        <v/>
      </c>
      <c r="G43" s="92">
        <f>IFERROR(INDEX(Base_OAPDI!$R$5:$R$197,MATCH($A43,Base_OAPDI!$U$5:$U$197,0)),"")</f>
        <v/>
      </c>
      <c r="H43" s="92">
        <f>IFERROR(INDEX(Base_OAPDI!$N$5:$N$197,MATCH($A43,Base_OAPDI!$U$5:$U$197,0)),"")</f>
        <v/>
      </c>
      <c r="I43" s="92">
        <f>IFERROR(INDEX(Base_OAPDI!$P$5:$P$197,MATCH($A43,Base_OAPDI!$U$5:$U$197,0)),"")</f>
        <v/>
      </c>
      <c r="J43" s="92">
        <f>IFERROR(INDEX(Base_OAPDI!$S$5:$S$197,MATCH($A43,Base_OAPDI!$U$5:$U$197,0)),"")</f>
        <v/>
      </c>
      <c r="K43" s="92">
        <f>IFERROR(INDEX(Base_OAPDI!$T$5:$T$197,MATCH($A43,Base_OAPDI!$U$5:$U$197,0)),"")</f>
        <v/>
      </c>
      <c r="L43" s="92">
        <f>IFERROR(INDEX(Base_OAPDI!$Q$5:$Q$197,MATCH($A43,Base_OAPDI!$U$5:$U$197,0)),"")</f>
        <v/>
      </c>
    </row>
    <row r="44" ht="14.25" customHeight="1" s="23">
      <c r="A44" s="91" t="n">
        <v>37</v>
      </c>
      <c r="B44" s="91">
        <f>IFERROR(INDEX(Base_OAPDI!$A$5:$A$197,MATCH($A44,Base_OAPDI!$U$5:$U$197,0)),"")</f>
        <v/>
      </c>
      <c r="C44" s="91">
        <f>IFERROR(INDEX(Base_OAPDI!$C$5:$C$197,MATCH($A44,Base_OAPDI!$U$5:$U$197,0)),"")</f>
        <v/>
      </c>
      <c r="D44" s="91">
        <f>IFERROR(INDEX(Base_OAPDI!$B$5:$B$197,MATCH($A44,Base_OAPDI!$U$5:$U$197,0)),"")</f>
        <v/>
      </c>
      <c r="E44" s="91">
        <f>IFERROR(INDEX(Base_OAPDI!$E$5:$E$197,MATCH($A44,Base_OAPDI!$U$5:$U$197,0)),"")</f>
        <v/>
      </c>
      <c r="F44" s="91">
        <f>IFERROR(INDEX(Base_OAPDI!$H$5:$H$197,MATCH($A44,Base_OAPDI!$U$5:$U$197,0)),"")</f>
        <v/>
      </c>
      <c r="G44" s="91">
        <f>IFERROR(INDEX(Base_OAPDI!$R$5:$R$197,MATCH($A44,Base_OAPDI!$U$5:$U$197,0)),"")</f>
        <v/>
      </c>
      <c r="H44" s="91">
        <f>IFERROR(INDEX(Base_OAPDI!$N$5:$N$197,MATCH($A44,Base_OAPDI!$U$5:$U$197,0)),"")</f>
        <v/>
      </c>
      <c r="I44" s="91">
        <f>IFERROR(INDEX(Base_OAPDI!$P$5:$P$197,MATCH($A44,Base_OAPDI!$U$5:$U$197,0)),"")</f>
        <v/>
      </c>
      <c r="J44" s="91">
        <f>IFERROR(INDEX(Base_OAPDI!$S$5:$S$197,MATCH($A44,Base_OAPDI!$U$5:$U$197,0)),"")</f>
        <v/>
      </c>
      <c r="K44" s="91">
        <f>IFERROR(INDEX(Base_OAPDI!$T$5:$T$197,MATCH($A44,Base_OAPDI!$U$5:$U$197,0)),"")</f>
        <v/>
      </c>
      <c r="L44" s="91">
        <f>IFERROR(INDEX(Base_OAPDI!$Q$5:$Q$197,MATCH($A44,Base_OAPDI!$U$5:$U$197,0)),"")</f>
        <v/>
      </c>
    </row>
    <row r="45" ht="14.25" customHeight="1" s="23">
      <c r="A45" s="92" t="n">
        <v>38</v>
      </c>
      <c r="B45" s="92">
        <f>IFERROR(INDEX(Base_OAPDI!$A$5:$A$197,MATCH($A45,Base_OAPDI!$U$5:$U$197,0)),"")</f>
        <v/>
      </c>
      <c r="C45" s="92">
        <f>IFERROR(INDEX(Base_OAPDI!$C$5:$C$197,MATCH($A45,Base_OAPDI!$U$5:$U$197,0)),"")</f>
        <v/>
      </c>
      <c r="D45" s="92">
        <f>IFERROR(INDEX(Base_OAPDI!$B$5:$B$197,MATCH($A45,Base_OAPDI!$U$5:$U$197,0)),"")</f>
        <v/>
      </c>
      <c r="E45" s="92">
        <f>IFERROR(INDEX(Base_OAPDI!$E$5:$E$197,MATCH($A45,Base_OAPDI!$U$5:$U$197,0)),"")</f>
        <v/>
      </c>
      <c r="F45" s="92">
        <f>IFERROR(INDEX(Base_OAPDI!$H$5:$H$197,MATCH($A45,Base_OAPDI!$U$5:$U$197,0)),"")</f>
        <v/>
      </c>
      <c r="G45" s="92">
        <f>IFERROR(INDEX(Base_OAPDI!$R$5:$R$197,MATCH($A45,Base_OAPDI!$U$5:$U$197,0)),"")</f>
        <v/>
      </c>
      <c r="H45" s="92">
        <f>IFERROR(INDEX(Base_OAPDI!$N$5:$N$197,MATCH($A45,Base_OAPDI!$U$5:$U$197,0)),"")</f>
        <v/>
      </c>
      <c r="I45" s="92">
        <f>IFERROR(INDEX(Base_OAPDI!$P$5:$P$197,MATCH($A45,Base_OAPDI!$U$5:$U$197,0)),"")</f>
        <v/>
      </c>
      <c r="J45" s="92">
        <f>IFERROR(INDEX(Base_OAPDI!$S$5:$S$197,MATCH($A45,Base_OAPDI!$U$5:$U$197,0)),"")</f>
        <v/>
      </c>
      <c r="K45" s="92">
        <f>IFERROR(INDEX(Base_OAPDI!$T$5:$T$197,MATCH($A45,Base_OAPDI!$U$5:$U$197,0)),"")</f>
        <v/>
      </c>
      <c r="L45" s="92">
        <f>IFERROR(INDEX(Base_OAPDI!$Q$5:$Q$197,MATCH($A45,Base_OAPDI!$U$5:$U$197,0)),"")</f>
        <v/>
      </c>
    </row>
    <row r="46" ht="14.25" customHeight="1" s="23">
      <c r="A46" s="91" t="n">
        <v>39</v>
      </c>
      <c r="B46" s="91">
        <f>IFERROR(INDEX(Base_OAPDI!$A$5:$A$197,MATCH($A46,Base_OAPDI!$U$5:$U$197,0)),"")</f>
        <v/>
      </c>
      <c r="C46" s="91">
        <f>IFERROR(INDEX(Base_OAPDI!$C$5:$C$197,MATCH($A46,Base_OAPDI!$U$5:$U$197,0)),"")</f>
        <v/>
      </c>
      <c r="D46" s="91">
        <f>IFERROR(INDEX(Base_OAPDI!$B$5:$B$197,MATCH($A46,Base_OAPDI!$U$5:$U$197,0)),"")</f>
        <v/>
      </c>
      <c r="E46" s="91">
        <f>IFERROR(INDEX(Base_OAPDI!$E$5:$E$197,MATCH($A46,Base_OAPDI!$U$5:$U$197,0)),"")</f>
        <v/>
      </c>
      <c r="F46" s="91">
        <f>IFERROR(INDEX(Base_OAPDI!$H$5:$H$197,MATCH($A46,Base_OAPDI!$U$5:$U$197,0)),"")</f>
        <v/>
      </c>
      <c r="G46" s="91">
        <f>IFERROR(INDEX(Base_OAPDI!$R$5:$R$197,MATCH($A46,Base_OAPDI!$U$5:$U$197,0)),"")</f>
        <v/>
      </c>
      <c r="H46" s="91">
        <f>IFERROR(INDEX(Base_OAPDI!$N$5:$N$197,MATCH($A46,Base_OAPDI!$U$5:$U$197,0)),"")</f>
        <v/>
      </c>
      <c r="I46" s="91">
        <f>IFERROR(INDEX(Base_OAPDI!$P$5:$P$197,MATCH($A46,Base_OAPDI!$U$5:$U$197,0)),"")</f>
        <v/>
      </c>
      <c r="J46" s="91">
        <f>IFERROR(INDEX(Base_OAPDI!$S$5:$S$197,MATCH($A46,Base_OAPDI!$U$5:$U$197,0)),"")</f>
        <v/>
      </c>
      <c r="K46" s="91">
        <f>IFERROR(INDEX(Base_OAPDI!$T$5:$T$197,MATCH($A46,Base_OAPDI!$U$5:$U$197,0)),"")</f>
        <v/>
      </c>
      <c r="L46" s="91">
        <f>IFERROR(INDEX(Base_OAPDI!$Q$5:$Q$197,MATCH($A46,Base_OAPDI!$U$5:$U$197,0)),"")</f>
        <v/>
      </c>
    </row>
    <row r="47" ht="14.25" customHeight="1" s="23">
      <c r="A47" s="92" t="n">
        <v>40</v>
      </c>
      <c r="B47" s="92">
        <f>IFERROR(INDEX(Base_OAPDI!$A$5:$A$197,MATCH($A47,Base_OAPDI!$U$5:$U$197,0)),"")</f>
        <v/>
      </c>
      <c r="C47" s="92">
        <f>IFERROR(INDEX(Base_OAPDI!$C$5:$C$197,MATCH($A47,Base_OAPDI!$U$5:$U$197,0)),"")</f>
        <v/>
      </c>
      <c r="D47" s="92">
        <f>IFERROR(INDEX(Base_OAPDI!$B$5:$B$197,MATCH($A47,Base_OAPDI!$U$5:$U$197,0)),"")</f>
        <v/>
      </c>
      <c r="E47" s="92">
        <f>IFERROR(INDEX(Base_OAPDI!$E$5:$E$197,MATCH($A47,Base_OAPDI!$U$5:$U$197,0)),"")</f>
        <v/>
      </c>
      <c r="F47" s="92">
        <f>IFERROR(INDEX(Base_OAPDI!$H$5:$H$197,MATCH($A47,Base_OAPDI!$U$5:$U$197,0)),"")</f>
        <v/>
      </c>
      <c r="G47" s="92">
        <f>IFERROR(INDEX(Base_OAPDI!$R$5:$R$197,MATCH($A47,Base_OAPDI!$U$5:$U$197,0)),"")</f>
        <v/>
      </c>
      <c r="H47" s="92">
        <f>IFERROR(INDEX(Base_OAPDI!$N$5:$N$197,MATCH($A47,Base_OAPDI!$U$5:$U$197,0)),"")</f>
        <v/>
      </c>
      <c r="I47" s="92">
        <f>IFERROR(INDEX(Base_OAPDI!$P$5:$P$197,MATCH($A47,Base_OAPDI!$U$5:$U$197,0)),"")</f>
        <v/>
      </c>
      <c r="J47" s="92">
        <f>IFERROR(INDEX(Base_OAPDI!$S$5:$S$197,MATCH($A47,Base_OAPDI!$U$5:$U$197,0)),"")</f>
        <v/>
      </c>
      <c r="K47" s="92">
        <f>IFERROR(INDEX(Base_OAPDI!$T$5:$T$197,MATCH($A47,Base_OAPDI!$U$5:$U$197,0)),"")</f>
        <v/>
      </c>
      <c r="L47" s="92">
        <f>IFERROR(INDEX(Base_OAPDI!$Q$5:$Q$197,MATCH($A47,Base_OAPDI!$U$5:$U$197,0)),"")</f>
        <v/>
      </c>
    </row>
    <row r="48"/>
    <row r="49" ht="15" customHeight="1" s="23">
      <c r="A49" s="94" t="inlineStr">
        <is>
          <t>ACCIONES ADICIONALES DEL ÁREA (diligenciar)</t>
        </is>
      </c>
    </row>
    <row r="50" ht="42" customHeight="1" s="23">
      <c r="A50" s="95" t="inlineStr">
        <is>
          <t>N.°</t>
        </is>
      </c>
      <c r="B50" s="95" t="inlineStr">
        <is>
          <t>Área funcional (lista)</t>
        </is>
      </c>
      <c r="C50" s="95" t="inlineStr">
        <is>
          <t>Código de meta PDI (lista)</t>
        </is>
      </c>
      <c r="D50" s="95" t="inlineStr">
        <is>
          <t>Eje</t>
        </is>
      </c>
      <c r="E50" s="95" t="inlineStr">
        <is>
          <t>Línea</t>
        </is>
      </c>
      <c r="F50" s="95" t="inlineStr">
        <is>
          <t>Meta estratégica (PDI)</t>
        </is>
      </c>
      <c r="G50" s="95" t="inlineStr">
        <is>
          <t>Origen de la acción</t>
        </is>
      </c>
      <c r="H50" s="95" t="inlineStr">
        <is>
          <t>Nombre de la acción</t>
        </is>
      </c>
      <c r="I50" s="95" t="inlineStr">
        <is>
          <t>Descripción de la acción</t>
        </is>
      </c>
      <c r="J50" s="95" t="inlineStr">
        <is>
          <t>Producto esperado</t>
        </is>
      </c>
      <c r="K50" s="95" t="inlineStr">
        <is>
          <t>Fecha de inicio (dd/mm/aaaa)</t>
        </is>
      </c>
      <c r="L50" s="95" t="inlineStr">
        <is>
          <t>Fecha de fin (dd/mm/aaaa)</t>
        </is>
      </c>
      <c r="M50" s="95" t="inlineStr">
        <is>
          <t>Responsable (correo institucional)</t>
        </is>
      </c>
      <c r="N50" s="95" t="inlineStr">
        <is>
          <t>Indicador de seguimiento</t>
        </is>
      </c>
      <c r="O50" s="95" t="inlineStr">
        <is>
          <t>Meta 2027 de la acción</t>
        </is>
      </c>
      <c r="P50" s="95" t="inlineStr">
        <is>
          <t>Unidad de medida</t>
        </is>
      </c>
      <c r="Q50" s="95" t="inlineStr">
        <is>
          <t>Dimensión de impacto</t>
        </is>
      </c>
      <c r="R50" s="95" t="inlineStr">
        <is>
          <t>Indicador de impacto (Guía Metodológica)</t>
        </is>
      </c>
      <c r="S50" s="95" t="inlineStr">
        <is>
          <t>Categoría de impacto (automática)</t>
        </is>
      </c>
      <c r="T50" s="95" t="inlineStr">
        <is>
          <t>¿Retoma un compromiso pendiente 2026?</t>
        </is>
      </c>
      <c r="U50" s="95" t="inlineStr">
        <is>
          <t>Evidencia verificable</t>
        </is>
      </c>
      <c r="V50" s="95" t="inlineStr">
        <is>
          <t>Observaciones</t>
        </is>
      </c>
      <c r="W50" s="90" t="inlineStr">
        <is>
          <t>Alerta de consistencia</t>
        </is>
      </c>
    </row>
    <row r="51" ht="14.25" customHeight="1" s="23">
      <c r="A51" s="92" t="n">
        <v>1</v>
      </c>
      <c r="B51" s="96" t="n"/>
      <c r="C51" s="96" t="n"/>
      <c r="D51" s="92">
        <f>IF(C51="","",INDEX(Catalogos!$C$5:$C$49,MATCH(LEFT(C51,7),Catalogos!$A$5:$A$49,0)))</f>
        <v/>
      </c>
      <c r="E51" s="92">
        <f>IF(C51="","",INDEX(Catalogos!$D$5:$D$49,MATCH(LEFT(C51,7),Catalogos!$A$5:$A$49,0))&amp;" "&amp;INDEX(Catalogos!$E$5:$E$49,MATCH(LEFT(C51,7),Catalogos!$A$5:$A$49,0)))</f>
        <v/>
      </c>
      <c r="F51" s="92">
        <f>IF(C51="","",INDEX(Catalogos!$F$5:$F$49,MATCH(LEFT(C51,7),Catalogos!$A$5:$A$49,0)))</f>
        <v/>
      </c>
      <c r="G51" s="96" t="n"/>
      <c r="H51" s="96" t="n"/>
      <c r="I51" s="96" t="n"/>
      <c r="J51" s="96" t="n"/>
      <c r="K51" s="97" t="n"/>
      <c r="L51" s="97" t="n"/>
      <c r="M51" s="96" t="n"/>
      <c r="N51" s="96" t="n"/>
      <c r="O51" s="96" t="n"/>
      <c r="P51" s="96" t="n"/>
      <c r="Q51" s="96" t="n"/>
      <c r="R51" s="96" t="n"/>
      <c r="S51" s="92">
        <f>IF(R51="","",INDEX(Catalogos!$Y$5:$Y$25,MATCH(R51,L_IMP,0)))</f>
        <v/>
      </c>
      <c r="T51" s="96" t="n"/>
      <c r="U51" s="96" t="n"/>
      <c r="V51" s="96" t="n"/>
      <c r="W51" s="91">
        <f>IF(H51="","Pendiente por formular",IF(OR(J51="",K51="",L51="",M51="",N51="",O51="",Q51="",R51="",B51="",C51="",G51=""),"Incompleta: faltan campos obligatorios",IF(OR(NOT(ISNUMBER(K51)),NOT(ISNUMBER(L51))),"Fecha inválida",IF(L51&lt;K51,"La fecha de fin es anterior a la de inicio",IF(OR(YEAR(K51)&lt;&gt;2027,YEAR(L51)&lt;&gt;2027),"Fechas fuera de la vigencia 2027",IF(ISERROR(SEARCH("@itc.edu.co",M51)),"El responsable no tiene correo institucional",IF(ISERROR(SEARCH(Q51,INDEX(Catalogos!$Z$5:$Z$25,MATCH(R51,L_IMP,0)))),"La dimensión no corresponde al indicador de impacto","OK")))))))</f>
        <v/>
      </c>
    </row>
    <row r="52" ht="14.25" customHeight="1" s="23">
      <c r="A52" s="92" t="n">
        <v>2</v>
      </c>
      <c r="B52" s="96" t="n"/>
      <c r="C52" s="96" t="n"/>
      <c r="D52" s="92">
        <f>IF(C52="","",INDEX(Catalogos!$C$5:$C$49,MATCH(LEFT(C52,7),Catalogos!$A$5:$A$49,0)))</f>
        <v/>
      </c>
      <c r="E52" s="92">
        <f>IF(C52="","",INDEX(Catalogos!$D$5:$D$49,MATCH(LEFT(C52,7),Catalogos!$A$5:$A$49,0))&amp;" "&amp;INDEX(Catalogos!$E$5:$E$49,MATCH(LEFT(C52,7),Catalogos!$A$5:$A$49,0)))</f>
        <v/>
      </c>
      <c r="F52" s="92">
        <f>IF(C52="","",INDEX(Catalogos!$F$5:$F$49,MATCH(LEFT(C52,7),Catalogos!$A$5:$A$49,0)))</f>
        <v/>
      </c>
      <c r="G52" s="96" t="n"/>
      <c r="H52" s="96" t="n"/>
      <c r="I52" s="96" t="n"/>
      <c r="J52" s="96" t="n"/>
      <c r="K52" s="97" t="n"/>
      <c r="L52" s="97" t="n"/>
      <c r="M52" s="96" t="n"/>
      <c r="N52" s="96" t="n"/>
      <c r="O52" s="96" t="n"/>
      <c r="P52" s="96" t="n"/>
      <c r="Q52" s="96" t="n"/>
      <c r="R52" s="96" t="n"/>
      <c r="S52" s="92">
        <f>IF(R52="","",INDEX(Catalogos!$Y$5:$Y$25,MATCH(R52,L_IMP,0)))</f>
        <v/>
      </c>
      <c r="T52" s="96" t="n"/>
      <c r="U52" s="96" t="n"/>
      <c r="V52" s="96" t="n"/>
      <c r="W52" s="91">
        <f>IF(H52="","Pendiente por formular",IF(OR(J52="",K52="",L52="",M52="",N52="",O52="",Q52="",R52="",B52="",C52="",G52=""),"Incompleta: faltan campos obligatorios",IF(OR(NOT(ISNUMBER(K52)),NOT(ISNUMBER(L52))),"Fecha inválida",IF(L52&lt;K52,"La fecha de fin es anterior a la de inicio",IF(OR(YEAR(K52)&lt;&gt;2027,YEAR(L52)&lt;&gt;2027),"Fechas fuera de la vigencia 2027",IF(ISERROR(SEARCH("@itc.edu.co",M52)),"El responsable no tiene correo institucional",IF(ISERROR(SEARCH(Q52,INDEX(Catalogos!$Z$5:$Z$25,MATCH(R52,L_IMP,0)))),"La dimensión no corresponde al indicador de impacto","OK")))))))</f>
        <v/>
      </c>
    </row>
    <row r="53" ht="14.25" customHeight="1" s="23">
      <c r="A53" s="92" t="n">
        <v>3</v>
      </c>
      <c r="B53" s="96" t="n"/>
      <c r="C53" s="96" t="n"/>
      <c r="D53" s="92">
        <f>IF(C53="","",INDEX(Catalogos!$C$5:$C$49,MATCH(LEFT(C53,7),Catalogos!$A$5:$A$49,0)))</f>
        <v/>
      </c>
      <c r="E53" s="92">
        <f>IF(C53="","",INDEX(Catalogos!$D$5:$D$49,MATCH(LEFT(C53,7),Catalogos!$A$5:$A$49,0))&amp;" "&amp;INDEX(Catalogos!$E$5:$E$49,MATCH(LEFT(C53,7),Catalogos!$A$5:$A$49,0)))</f>
        <v/>
      </c>
      <c r="F53" s="92">
        <f>IF(C53="","",INDEX(Catalogos!$F$5:$F$49,MATCH(LEFT(C53,7),Catalogos!$A$5:$A$49,0)))</f>
        <v/>
      </c>
      <c r="G53" s="96" t="n"/>
      <c r="H53" s="96" t="n"/>
      <c r="I53" s="96" t="n"/>
      <c r="J53" s="96" t="n"/>
      <c r="K53" s="97" t="n"/>
      <c r="L53" s="97" t="n"/>
      <c r="M53" s="96" t="n"/>
      <c r="N53" s="96" t="n"/>
      <c r="O53" s="96" t="n"/>
      <c r="P53" s="96" t="n"/>
      <c r="Q53" s="96" t="n"/>
      <c r="R53" s="96" t="n"/>
      <c r="S53" s="92">
        <f>IF(R53="","",INDEX(Catalogos!$Y$5:$Y$25,MATCH(R53,L_IMP,0)))</f>
        <v/>
      </c>
      <c r="T53" s="96" t="n"/>
      <c r="U53" s="96" t="n"/>
      <c r="V53" s="96" t="n"/>
      <c r="W53" s="91">
        <f>IF(H53="","Pendiente por formular",IF(OR(J53="",K53="",L53="",M53="",N53="",O53="",Q53="",R53="",B53="",C53="",G53=""),"Incompleta: faltan campos obligatorios",IF(OR(NOT(ISNUMBER(K53)),NOT(ISNUMBER(L53))),"Fecha inválida",IF(L53&lt;K53,"La fecha de fin es anterior a la de inicio",IF(OR(YEAR(K53)&lt;&gt;2027,YEAR(L53)&lt;&gt;2027),"Fechas fuera de la vigencia 2027",IF(ISERROR(SEARCH("@itc.edu.co",M53)),"El responsable no tiene correo institucional",IF(ISERROR(SEARCH(Q53,INDEX(Catalogos!$Z$5:$Z$25,MATCH(R53,L_IMP,0)))),"La dimensión no corresponde al indicador de impacto","OK")))))))</f>
        <v/>
      </c>
    </row>
    <row r="54" ht="14.25" customHeight="1" s="23">
      <c r="A54" s="92" t="n">
        <v>4</v>
      </c>
      <c r="B54" s="96" t="n"/>
      <c r="C54" s="96" t="n"/>
      <c r="D54" s="92">
        <f>IF(C54="","",INDEX(Catalogos!$C$5:$C$49,MATCH(LEFT(C54,7),Catalogos!$A$5:$A$49,0)))</f>
        <v/>
      </c>
      <c r="E54" s="92">
        <f>IF(C54="","",INDEX(Catalogos!$D$5:$D$49,MATCH(LEFT(C54,7),Catalogos!$A$5:$A$49,0))&amp;" "&amp;INDEX(Catalogos!$E$5:$E$49,MATCH(LEFT(C54,7),Catalogos!$A$5:$A$49,0)))</f>
        <v/>
      </c>
      <c r="F54" s="92">
        <f>IF(C54="","",INDEX(Catalogos!$F$5:$F$49,MATCH(LEFT(C54,7),Catalogos!$A$5:$A$49,0)))</f>
        <v/>
      </c>
      <c r="G54" s="96" t="n"/>
      <c r="H54" s="96" t="n"/>
      <c r="I54" s="96" t="n"/>
      <c r="J54" s="96" t="n"/>
      <c r="K54" s="97" t="n"/>
      <c r="L54" s="97" t="n"/>
      <c r="M54" s="96" t="n"/>
      <c r="N54" s="96" t="n"/>
      <c r="O54" s="96" t="n"/>
      <c r="P54" s="96" t="n"/>
      <c r="Q54" s="96" t="n"/>
      <c r="R54" s="96" t="n"/>
      <c r="S54" s="92">
        <f>IF(R54="","",INDEX(Catalogos!$Y$5:$Y$25,MATCH(R54,L_IMP,0)))</f>
        <v/>
      </c>
      <c r="T54" s="96" t="n"/>
      <c r="U54" s="96" t="n"/>
      <c r="V54" s="96" t="n"/>
      <c r="W54" s="91">
        <f>IF(H54="","Pendiente por formular",IF(OR(J54="",K54="",L54="",M54="",N54="",O54="",Q54="",R54="",B54="",C54="",G54=""),"Incompleta: faltan campos obligatorios",IF(OR(NOT(ISNUMBER(K54)),NOT(ISNUMBER(L54))),"Fecha inválida",IF(L54&lt;K54,"La fecha de fin es anterior a la de inicio",IF(OR(YEAR(K54)&lt;&gt;2027,YEAR(L54)&lt;&gt;2027),"Fechas fuera de la vigencia 2027",IF(ISERROR(SEARCH("@itc.edu.co",M54)),"El responsable no tiene correo institucional",IF(ISERROR(SEARCH(Q54,INDEX(Catalogos!$Z$5:$Z$25,MATCH(R54,L_IMP,0)))),"La dimensión no corresponde al indicador de impacto","OK")))))))</f>
        <v/>
      </c>
    </row>
    <row r="55" ht="14.25" customHeight="1" s="23">
      <c r="A55" s="92" t="n">
        <v>5</v>
      </c>
      <c r="B55" s="96" t="n"/>
      <c r="C55" s="96" t="n"/>
      <c r="D55" s="92">
        <f>IF(C55="","",INDEX(Catalogos!$C$5:$C$49,MATCH(LEFT(C55,7),Catalogos!$A$5:$A$49,0)))</f>
        <v/>
      </c>
      <c r="E55" s="92">
        <f>IF(C55="","",INDEX(Catalogos!$D$5:$D$49,MATCH(LEFT(C55,7),Catalogos!$A$5:$A$49,0))&amp;" "&amp;INDEX(Catalogos!$E$5:$E$49,MATCH(LEFT(C55,7),Catalogos!$A$5:$A$49,0)))</f>
        <v/>
      </c>
      <c r="F55" s="92">
        <f>IF(C55="","",INDEX(Catalogos!$F$5:$F$49,MATCH(LEFT(C55,7),Catalogos!$A$5:$A$49,0)))</f>
        <v/>
      </c>
      <c r="G55" s="96" t="n"/>
      <c r="H55" s="96" t="n"/>
      <c r="I55" s="96" t="n"/>
      <c r="J55" s="96" t="n"/>
      <c r="K55" s="97" t="n"/>
      <c r="L55" s="97" t="n"/>
      <c r="M55" s="96" t="n"/>
      <c r="N55" s="96" t="n"/>
      <c r="O55" s="96" t="n"/>
      <c r="P55" s="96" t="n"/>
      <c r="Q55" s="96" t="n"/>
      <c r="R55" s="96" t="n"/>
      <c r="S55" s="92">
        <f>IF(R55="","",INDEX(Catalogos!$Y$5:$Y$25,MATCH(R55,L_IMP,0)))</f>
        <v/>
      </c>
      <c r="T55" s="96" t="n"/>
      <c r="U55" s="96" t="n"/>
      <c r="V55" s="96" t="n"/>
      <c r="W55" s="91">
        <f>IF(H55="","Pendiente por formular",IF(OR(J55="",K55="",L55="",M55="",N55="",O55="",Q55="",R55="",B55="",C55="",G55=""),"Incompleta: faltan campos obligatorios",IF(OR(NOT(ISNUMBER(K55)),NOT(ISNUMBER(L55))),"Fecha inválida",IF(L55&lt;K55,"La fecha de fin es anterior a la de inicio",IF(OR(YEAR(K55)&lt;&gt;2027,YEAR(L55)&lt;&gt;2027),"Fechas fuera de la vigencia 2027",IF(ISERROR(SEARCH("@itc.edu.co",M55)),"El responsable no tiene correo institucional",IF(ISERROR(SEARCH(Q55,INDEX(Catalogos!$Z$5:$Z$25,MATCH(R55,L_IMP,0)))),"La dimensión no corresponde al indicador de impacto","OK")))))))</f>
        <v/>
      </c>
    </row>
    <row r="56" ht="14.25" customHeight="1" s="23">
      <c r="A56" s="92" t="n">
        <v>6</v>
      </c>
      <c r="B56" s="96" t="n"/>
      <c r="C56" s="96" t="n"/>
      <c r="D56" s="92">
        <f>IF(C56="","",INDEX(Catalogos!$C$5:$C$49,MATCH(LEFT(C56,7),Catalogos!$A$5:$A$49,0)))</f>
        <v/>
      </c>
      <c r="E56" s="92">
        <f>IF(C56="","",INDEX(Catalogos!$D$5:$D$49,MATCH(LEFT(C56,7),Catalogos!$A$5:$A$49,0))&amp;" "&amp;INDEX(Catalogos!$E$5:$E$49,MATCH(LEFT(C56,7),Catalogos!$A$5:$A$49,0)))</f>
        <v/>
      </c>
      <c r="F56" s="92">
        <f>IF(C56="","",INDEX(Catalogos!$F$5:$F$49,MATCH(LEFT(C56,7),Catalogos!$A$5:$A$49,0)))</f>
        <v/>
      </c>
      <c r="G56" s="96" t="n"/>
      <c r="H56" s="96" t="n"/>
      <c r="I56" s="96" t="n"/>
      <c r="J56" s="96" t="n"/>
      <c r="K56" s="97" t="n"/>
      <c r="L56" s="97" t="n"/>
      <c r="M56" s="96" t="n"/>
      <c r="N56" s="96" t="n"/>
      <c r="O56" s="96" t="n"/>
      <c r="P56" s="96" t="n"/>
      <c r="Q56" s="96" t="n"/>
      <c r="R56" s="96" t="n"/>
      <c r="S56" s="92">
        <f>IF(R56="","",INDEX(Catalogos!$Y$5:$Y$25,MATCH(R56,L_IMP,0)))</f>
        <v/>
      </c>
      <c r="T56" s="96" t="n"/>
      <c r="U56" s="96" t="n"/>
      <c r="V56" s="96" t="n"/>
      <c r="W56" s="91">
        <f>IF(H56="","Pendiente por formular",IF(OR(J56="",K56="",L56="",M56="",N56="",O56="",Q56="",R56="",B56="",C56="",G56=""),"Incompleta: faltan campos obligatorios",IF(OR(NOT(ISNUMBER(K56)),NOT(ISNUMBER(L56))),"Fecha inválida",IF(L56&lt;K56,"La fecha de fin es anterior a la de inicio",IF(OR(YEAR(K56)&lt;&gt;2027,YEAR(L56)&lt;&gt;2027),"Fechas fuera de la vigencia 2027",IF(ISERROR(SEARCH("@itc.edu.co",M56)),"El responsable no tiene correo institucional",IF(ISERROR(SEARCH(Q56,INDEX(Catalogos!$Z$5:$Z$25,MATCH(R56,L_IMP,0)))),"La dimensión no corresponde al indicador de impacto","OK")))))))</f>
        <v/>
      </c>
    </row>
    <row r="57" ht="14.25" customHeight="1" s="23">
      <c r="A57" s="92" t="n">
        <v>7</v>
      </c>
      <c r="B57" s="96" t="n"/>
      <c r="C57" s="96" t="n"/>
      <c r="D57" s="92">
        <f>IF(C57="","",INDEX(Catalogos!$C$5:$C$49,MATCH(LEFT(C57,7),Catalogos!$A$5:$A$49,0)))</f>
        <v/>
      </c>
      <c r="E57" s="92">
        <f>IF(C57="","",INDEX(Catalogos!$D$5:$D$49,MATCH(LEFT(C57,7),Catalogos!$A$5:$A$49,0))&amp;" "&amp;INDEX(Catalogos!$E$5:$E$49,MATCH(LEFT(C57,7),Catalogos!$A$5:$A$49,0)))</f>
        <v/>
      </c>
      <c r="F57" s="92">
        <f>IF(C57="","",INDEX(Catalogos!$F$5:$F$49,MATCH(LEFT(C57,7),Catalogos!$A$5:$A$49,0)))</f>
        <v/>
      </c>
      <c r="G57" s="96" t="n"/>
      <c r="H57" s="96" t="n"/>
      <c r="I57" s="96" t="n"/>
      <c r="J57" s="96" t="n"/>
      <c r="K57" s="97" t="n"/>
      <c r="L57" s="97" t="n"/>
      <c r="M57" s="96" t="n"/>
      <c r="N57" s="96" t="n"/>
      <c r="O57" s="96" t="n"/>
      <c r="P57" s="96" t="n"/>
      <c r="Q57" s="96" t="n"/>
      <c r="R57" s="96" t="n"/>
      <c r="S57" s="92">
        <f>IF(R57="","",INDEX(Catalogos!$Y$5:$Y$25,MATCH(R57,L_IMP,0)))</f>
        <v/>
      </c>
      <c r="T57" s="96" t="n"/>
      <c r="U57" s="96" t="n"/>
      <c r="V57" s="96" t="n"/>
      <c r="W57" s="91">
        <f>IF(H57="","Pendiente por formular",IF(OR(J57="",K57="",L57="",M57="",N57="",O57="",Q57="",R57="",B57="",C57="",G57=""),"Incompleta: faltan campos obligatorios",IF(OR(NOT(ISNUMBER(K57)),NOT(ISNUMBER(L57))),"Fecha inválida",IF(L57&lt;K57,"La fecha de fin es anterior a la de inicio",IF(OR(YEAR(K57)&lt;&gt;2027,YEAR(L57)&lt;&gt;2027),"Fechas fuera de la vigencia 2027",IF(ISERROR(SEARCH("@itc.edu.co",M57)),"El responsable no tiene correo institucional",IF(ISERROR(SEARCH(Q57,INDEX(Catalogos!$Z$5:$Z$25,MATCH(R57,L_IMP,0)))),"La dimensión no corresponde al indicador de impacto","OK")))))))</f>
        <v/>
      </c>
    </row>
    <row r="58" ht="14.25" customHeight="1" s="23">
      <c r="A58" s="92" t="n">
        <v>8</v>
      </c>
      <c r="B58" s="96" t="n"/>
      <c r="C58" s="96" t="n"/>
      <c r="D58" s="92">
        <f>IF(C58="","",INDEX(Catalogos!$C$5:$C$49,MATCH(LEFT(C58,7),Catalogos!$A$5:$A$49,0)))</f>
        <v/>
      </c>
      <c r="E58" s="92">
        <f>IF(C58="","",INDEX(Catalogos!$D$5:$D$49,MATCH(LEFT(C58,7),Catalogos!$A$5:$A$49,0))&amp;" "&amp;INDEX(Catalogos!$E$5:$E$49,MATCH(LEFT(C58,7),Catalogos!$A$5:$A$49,0)))</f>
        <v/>
      </c>
      <c r="F58" s="92">
        <f>IF(C58="","",INDEX(Catalogos!$F$5:$F$49,MATCH(LEFT(C58,7),Catalogos!$A$5:$A$49,0)))</f>
        <v/>
      </c>
      <c r="G58" s="96" t="n"/>
      <c r="H58" s="96" t="n"/>
      <c r="I58" s="96" t="n"/>
      <c r="J58" s="96" t="n"/>
      <c r="K58" s="97" t="n"/>
      <c r="L58" s="97" t="n"/>
      <c r="M58" s="96" t="n"/>
      <c r="N58" s="96" t="n"/>
      <c r="O58" s="96" t="n"/>
      <c r="P58" s="96" t="n"/>
      <c r="Q58" s="96" t="n"/>
      <c r="R58" s="96" t="n"/>
      <c r="S58" s="92">
        <f>IF(R58="","",INDEX(Catalogos!$Y$5:$Y$25,MATCH(R58,L_IMP,0)))</f>
        <v/>
      </c>
      <c r="T58" s="96" t="n"/>
      <c r="U58" s="96" t="n"/>
      <c r="V58" s="96" t="n"/>
      <c r="W58" s="91">
        <f>IF(H58="","Pendiente por formular",IF(OR(J58="",K58="",L58="",M58="",N58="",O58="",Q58="",R58="",B58="",C58="",G58=""),"Incompleta: faltan campos obligatorios",IF(OR(NOT(ISNUMBER(K58)),NOT(ISNUMBER(L58))),"Fecha inválida",IF(L58&lt;K58,"La fecha de fin es anterior a la de inicio",IF(OR(YEAR(K58)&lt;&gt;2027,YEAR(L58)&lt;&gt;2027),"Fechas fuera de la vigencia 2027",IF(ISERROR(SEARCH("@itc.edu.co",M58)),"El responsable no tiene correo institucional",IF(ISERROR(SEARCH(Q58,INDEX(Catalogos!$Z$5:$Z$25,MATCH(R58,L_IMP,0)))),"La dimensión no corresponde al indicador de impacto","OK")))))))</f>
        <v/>
      </c>
    </row>
    <row r="59" ht="14.25" customHeight="1" s="23">
      <c r="A59" s="92" t="n">
        <v>9</v>
      </c>
      <c r="B59" s="96" t="n"/>
      <c r="C59" s="96" t="n"/>
      <c r="D59" s="92">
        <f>IF(C59="","",INDEX(Catalogos!$C$5:$C$49,MATCH(LEFT(C59,7),Catalogos!$A$5:$A$49,0)))</f>
        <v/>
      </c>
      <c r="E59" s="92">
        <f>IF(C59="","",INDEX(Catalogos!$D$5:$D$49,MATCH(LEFT(C59,7),Catalogos!$A$5:$A$49,0))&amp;" "&amp;INDEX(Catalogos!$E$5:$E$49,MATCH(LEFT(C59,7),Catalogos!$A$5:$A$49,0)))</f>
        <v/>
      </c>
      <c r="F59" s="92">
        <f>IF(C59="","",INDEX(Catalogos!$F$5:$F$49,MATCH(LEFT(C59,7),Catalogos!$A$5:$A$49,0)))</f>
        <v/>
      </c>
      <c r="G59" s="96" t="n"/>
      <c r="H59" s="96" t="n"/>
      <c r="I59" s="96" t="n"/>
      <c r="J59" s="96" t="n"/>
      <c r="K59" s="97" t="n"/>
      <c r="L59" s="97" t="n"/>
      <c r="M59" s="96" t="n"/>
      <c r="N59" s="96" t="n"/>
      <c r="O59" s="96" t="n"/>
      <c r="P59" s="96" t="n"/>
      <c r="Q59" s="96" t="n"/>
      <c r="R59" s="96" t="n"/>
      <c r="S59" s="92">
        <f>IF(R59="","",INDEX(Catalogos!$Y$5:$Y$25,MATCH(R59,L_IMP,0)))</f>
        <v/>
      </c>
      <c r="T59" s="96" t="n"/>
      <c r="U59" s="96" t="n"/>
      <c r="V59" s="96" t="n"/>
      <c r="W59" s="91">
        <f>IF(H59="","Pendiente por formular",IF(OR(J59="",K59="",L59="",M59="",N59="",O59="",Q59="",R59="",B59="",C59="",G59=""),"Incompleta: faltan campos obligatorios",IF(OR(NOT(ISNUMBER(K59)),NOT(ISNUMBER(L59))),"Fecha inválida",IF(L59&lt;K59,"La fecha de fin es anterior a la de inicio",IF(OR(YEAR(K59)&lt;&gt;2027,YEAR(L59)&lt;&gt;2027),"Fechas fuera de la vigencia 2027",IF(ISERROR(SEARCH("@itc.edu.co",M59)),"El responsable no tiene correo institucional",IF(ISERROR(SEARCH(Q59,INDEX(Catalogos!$Z$5:$Z$25,MATCH(R59,L_IMP,0)))),"La dimensión no corresponde al indicador de impacto","OK")))))))</f>
        <v/>
      </c>
    </row>
    <row r="60" ht="14.25" customHeight="1" s="23">
      <c r="A60" s="92" t="n">
        <v>10</v>
      </c>
      <c r="B60" s="96" t="n"/>
      <c r="C60" s="96" t="n"/>
      <c r="D60" s="92">
        <f>IF(C60="","",INDEX(Catalogos!$C$5:$C$49,MATCH(LEFT(C60,7),Catalogos!$A$5:$A$49,0)))</f>
        <v/>
      </c>
      <c r="E60" s="92">
        <f>IF(C60="","",INDEX(Catalogos!$D$5:$D$49,MATCH(LEFT(C60,7),Catalogos!$A$5:$A$49,0))&amp;" "&amp;INDEX(Catalogos!$E$5:$E$49,MATCH(LEFT(C60,7),Catalogos!$A$5:$A$49,0)))</f>
        <v/>
      </c>
      <c r="F60" s="92">
        <f>IF(C60="","",INDEX(Catalogos!$F$5:$F$49,MATCH(LEFT(C60,7),Catalogos!$A$5:$A$49,0)))</f>
        <v/>
      </c>
      <c r="G60" s="96" t="n"/>
      <c r="H60" s="96" t="n"/>
      <c r="I60" s="96" t="n"/>
      <c r="J60" s="96" t="n"/>
      <c r="K60" s="97" t="n"/>
      <c r="L60" s="97" t="n"/>
      <c r="M60" s="96" t="n"/>
      <c r="N60" s="96" t="n"/>
      <c r="O60" s="96" t="n"/>
      <c r="P60" s="96" t="n"/>
      <c r="Q60" s="96" t="n"/>
      <c r="R60" s="96" t="n"/>
      <c r="S60" s="92">
        <f>IF(R60="","",INDEX(Catalogos!$Y$5:$Y$25,MATCH(R60,L_IMP,0)))</f>
        <v/>
      </c>
      <c r="T60" s="96" t="n"/>
      <c r="U60" s="96" t="n"/>
      <c r="V60" s="96" t="n"/>
      <c r="W60" s="91">
        <f>IF(H60="","Pendiente por formular",IF(OR(J60="",K60="",L60="",M60="",N60="",O60="",Q60="",R60="",B60="",C60="",G60=""),"Incompleta: faltan campos obligatorios",IF(OR(NOT(ISNUMBER(K60)),NOT(ISNUMBER(L60))),"Fecha inválida",IF(L60&lt;K60,"La fecha de fin es anterior a la de inicio",IF(OR(YEAR(K60)&lt;&gt;2027,YEAR(L60)&lt;&gt;2027),"Fechas fuera de la vigencia 2027",IF(ISERROR(SEARCH("@itc.edu.co",M60)),"El responsable no tiene correo institucional",IF(ISERROR(SEARCH(Q60,INDEX(Catalogos!$Z$5:$Z$25,MATCH(R60,L_IMP,0)))),"La dimensión no corresponde al indicador de impacto","OK")))))))</f>
        <v/>
      </c>
    </row>
    <row r="61" ht="14.25" customHeight="1" s="23">
      <c r="A61" s="92" t="n">
        <v>11</v>
      </c>
      <c r="B61" s="96" t="n"/>
      <c r="C61" s="96" t="n"/>
      <c r="D61" s="92">
        <f>IF(C61="","",INDEX(Catalogos!$C$5:$C$49,MATCH(LEFT(C61,7),Catalogos!$A$5:$A$49,0)))</f>
        <v/>
      </c>
      <c r="E61" s="92">
        <f>IF(C61="","",INDEX(Catalogos!$D$5:$D$49,MATCH(LEFT(C61,7),Catalogos!$A$5:$A$49,0))&amp;" "&amp;INDEX(Catalogos!$E$5:$E$49,MATCH(LEFT(C61,7),Catalogos!$A$5:$A$49,0)))</f>
        <v/>
      </c>
      <c r="F61" s="92">
        <f>IF(C61="","",INDEX(Catalogos!$F$5:$F$49,MATCH(LEFT(C61,7),Catalogos!$A$5:$A$49,0)))</f>
        <v/>
      </c>
      <c r="G61" s="96" t="n"/>
      <c r="H61" s="96" t="n"/>
      <c r="I61" s="96" t="n"/>
      <c r="J61" s="96" t="n"/>
      <c r="K61" s="97" t="n"/>
      <c r="L61" s="97" t="n"/>
      <c r="M61" s="96" t="n"/>
      <c r="N61" s="96" t="n"/>
      <c r="O61" s="96" t="n"/>
      <c r="P61" s="96" t="n"/>
      <c r="Q61" s="96" t="n"/>
      <c r="R61" s="96" t="n"/>
      <c r="S61" s="92">
        <f>IF(R61="","",INDEX(Catalogos!$Y$5:$Y$25,MATCH(R61,L_IMP,0)))</f>
        <v/>
      </c>
      <c r="T61" s="96" t="n"/>
      <c r="U61" s="96" t="n"/>
      <c r="V61" s="96" t="n"/>
      <c r="W61" s="91">
        <f>IF(H61="","Pendiente por formular",IF(OR(J61="",K61="",L61="",M61="",N61="",O61="",Q61="",R61="",B61="",C61="",G61=""),"Incompleta: faltan campos obligatorios",IF(OR(NOT(ISNUMBER(K61)),NOT(ISNUMBER(L61))),"Fecha inválida",IF(L61&lt;K61,"La fecha de fin es anterior a la de inicio",IF(OR(YEAR(K61)&lt;&gt;2027,YEAR(L61)&lt;&gt;2027),"Fechas fuera de la vigencia 2027",IF(ISERROR(SEARCH("@itc.edu.co",M61)),"El responsable no tiene correo institucional",IF(ISERROR(SEARCH(Q61,INDEX(Catalogos!$Z$5:$Z$25,MATCH(R61,L_IMP,0)))),"La dimensión no corresponde al indicador de impacto","OK")))))))</f>
        <v/>
      </c>
    </row>
    <row r="62" ht="14.25" customHeight="1" s="23">
      <c r="A62" s="92" t="n">
        <v>12</v>
      </c>
      <c r="B62" s="96" t="n"/>
      <c r="C62" s="96" t="n"/>
      <c r="D62" s="92">
        <f>IF(C62="","",INDEX(Catalogos!$C$5:$C$49,MATCH(LEFT(C62,7),Catalogos!$A$5:$A$49,0)))</f>
        <v/>
      </c>
      <c r="E62" s="92">
        <f>IF(C62="","",INDEX(Catalogos!$D$5:$D$49,MATCH(LEFT(C62,7),Catalogos!$A$5:$A$49,0))&amp;" "&amp;INDEX(Catalogos!$E$5:$E$49,MATCH(LEFT(C62,7),Catalogos!$A$5:$A$49,0)))</f>
        <v/>
      </c>
      <c r="F62" s="92">
        <f>IF(C62="","",INDEX(Catalogos!$F$5:$F$49,MATCH(LEFT(C62,7),Catalogos!$A$5:$A$49,0)))</f>
        <v/>
      </c>
      <c r="G62" s="96" t="n"/>
      <c r="H62" s="96" t="n"/>
      <c r="I62" s="96" t="n"/>
      <c r="J62" s="96" t="n"/>
      <c r="K62" s="97" t="n"/>
      <c r="L62" s="97" t="n"/>
      <c r="M62" s="96" t="n"/>
      <c r="N62" s="96" t="n"/>
      <c r="O62" s="96" t="n"/>
      <c r="P62" s="96" t="n"/>
      <c r="Q62" s="96" t="n"/>
      <c r="R62" s="96" t="n"/>
      <c r="S62" s="92">
        <f>IF(R62="","",INDEX(Catalogos!$Y$5:$Y$25,MATCH(R62,L_IMP,0)))</f>
        <v/>
      </c>
      <c r="T62" s="96" t="n"/>
      <c r="U62" s="96" t="n"/>
      <c r="V62" s="96" t="n"/>
      <c r="W62" s="91">
        <f>IF(H62="","Pendiente por formular",IF(OR(J62="",K62="",L62="",M62="",N62="",O62="",Q62="",R62="",B62="",C62="",G62=""),"Incompleta: faltan campos obligatorios",IF(OR(NOT(ISNUMBER(K62)),NOT(ISNUMBER(L62))),"Fecha inválida",IF(L62&lt;K62,"La fecha de fin es anterior a la de inicio",IF(OR(YEAR(K62)&lt;&gt;2027,YEAR(L62)&lt;&gt;2027),"Fechas fuera de la vigencia 2027",IF(ISERROR(SEARCH("@itc.edu.co",M62)),"El responsable no tiene correo institucional",IF(ISERROR(SEARCH(Q62,INDEX(Catalogos!$Z$5:$Z$25,MATCH(R62,L_IMP,0)))),"La dimensión no corresponde al indicador de impacto","OK")))))))</f>
        <v/>
      </c>
    </row>
    <row r="63" ht="14.25" customHeight="1" s="23">
      <c r="A63" s="92" t="n">
        <v>13</v>
      </c>
      <c r="B63" s="96" t="n"/>
      <c r="C63" s="96" t="n"/>
      <c r="D63" s="92">
        <f>IF(C63="","",INDEX(Catalogos!$C$5:$C$49,MATCH(LEFT(C63,7),Catalogos!$A$5:$A$49,0)))</f>
        <v/>
      </c>
      <c r="E63" s="92">
        <f>IF(C63="","",INDEX(Catalogos!$D$5:$D$49,MATCH(LEFT(C63,7),Catalogos!$A$5:$A$49,0))&amp;" "&amp;INDEX(Catalogos!$E$5:$E$49,MATCH(LEFT(C63,7),Catalogos!$A$5:$A$49,0)))</f>
        <v/>
      </c>
      <c r="F63" s="92">
        <f>IF(C63="","",INDEX(Catalogos!$F$5:$F$49,MATCH(LEFT(C63,7),Catalogos!$A$5:$A$49,0)))</f>
        <v/>
      </c>
      <c r="G63" s="96" t="n"/>
      <c r="H63" s="96" t="n"/>
      <c r="I63" s="96" t="n"/>
      <c r="J63" s="96" t="n"/>
      <c r="K63" s="97" t="n"/>
      <c r="L63" s="97" t="n"/>
      <c r="M63" s="96" t="n"/>
      <c r="N63" s="96" t="n"/>
      <c r="O63" s="96" t="n"/>
      <c r="P63" s="96" t="n"/>
      <c r="Q63" s="96" t="n"/>
      <c r="R63" s="96" t="n"/>
      <c r="S63" s="92">
        <f>IF(R63="","",INDEX(Catalogos!$Y$5:$Y$25,MATCH(R63,L_IMP,0)))</f>
        <v/>
      </c>
      <c r="T63" s="96" t="n"/>
      <c r="U63" s="96" t="n"/>
      <c r="V63" s="96" t="n"/>
      <c r="W63" s="91">
        <f>IF(H63="","Pendiente por formular",IF(OR(J63="",K63="",L63="",M63="",N63="",O63="",Q63="",R63="",B63="",C63="",G63=""),"Incompleta: faltan campos obligatorios",IF(OR(NOT(ISNUMBER(K63)),NOT(ISNUMBER(L63))),"Fecha inválida",IF(L63&lt;K63,"La fecha de fin es anterior a la de inicio",IF(OR(YEAR(K63)&lt;&gt;2027,YEAR(L63)&lt;&gt;2027),"Fechas fuera de la vigencia 2027",IF(ISERROR(SEARCH("@itc.edu.co",M63)),"El responsable no tiene correo institucional",IF(ISERROR(SEARCH(Q63,INDEX(Catalogos!$Z$5:$Z$25,MATCH(R63,L_IMP,0)))),"La dimensión no corresponde al indicador de impacto","OK")))))))</f>
        <v/>
      </c>
    </row>
    <row r="64" ht="14.25" customHeight="1" s="23">
      <c r="A64" s="92" t="n">
        <v>14</v>
      </c>
      <c r="B64" s="96" t="n"/>
      <c r="C64" s="96" t="n"/>
      <c r="D64" s="92">
        <f>IF(C64="","",INDEX(Catalogos!$C$5:$C$49,MATCH(LEFT(C64,7),Catalogos!$A$5:$A$49,0)))</f>
        <v/>
      </c>
      <c r="E64" s="92">
        <f>IF(C64="","",INDEX(Catalogos!$D$5:$D$49,MATCH(LEFT(C64,7),Catalogos!$A$5:$A$49,0))&amp;" "&amp;INDEX(Catalogos!$E$5:$E$49,MATCH(LEFT(C64,7),Catalogos!$A$5:$A$49,0)))</f>
        <v/>
      </c>
      <c r="F64" s="92">
        <f>IF(C64="","",INDEX(Catalogos!$F$5:$F$49,MATCH(LEFT(C64,7),Catalogos!$A$5:$A$49,0)))</f>
        <v/>
      </c>
      <c r="G64" s="96" t="n"/>
      <c r="H64" s="96" t="n"/>
      <c r="I64" s="96" t="n"/>
      <c r="J64" s="96" t="n"/>
      <c r="K64" s="97" t="n"/>
      <c r="L64" s="97" t="n"/>
      <c r="M64" s="96" t="n"/>
      <c r="N64" s="96" t="n"/>
      <c r="O64" s="96" t="n"/>
      <c r="P64" s="96" t="n"/>
      <c r="Q64" s="96" t="n"/>
      <c r="R64" s="96" t="n"/>
      <c r="S64" s="92">
        <f>IF(R64="","",INDEX(Catalogos!$Y$5:$Y$25,MATCH(R64,L_IMP,0)))</f>
        <v/>
      </c>
      <c r="T64" s="96" t="n"/>
      <c r="U64" s="96" t="n"/>
      <c r="V64" s="96" t="n"/>
      <c r="W64" s="91">
        <f>IF(H64="","Pendiente por formular",IF(OR(J64="",K64="",L64="",M64="",N64="",O64="",Q64="",R64="",B64="",C64="",G64=""),"Incompleta: faltan campos obligatorios",IF(OR(NOT(ISNUMBER(K64)),NOT(ISNUMBER(L64))),"Fecha inválida",IF(L64&lt;K64,"La fecha de fin es anterior a la de inicio",IF(OR(YEAR(K64)&lt;&gt;2027,YEAR(L64)&lt;&gt;2027),"Fechas fuera de la vigencia 2027",IF(ISERROR(SEARCH("@itc.edu.co",M64)),"El responsable no tiene correo institucional",IF(ISERROR(SEARCH(Q64,INDEX(Catalogos!$Z$5:$Z$25,MATCH(R64,L_IMP,0)))),"La dimensión no corresponde al indicador de impacto","OK")))))))</f>
        <v/>
      </c>
    </row>
    <row r="65" ht="14.25" customHeight="1" s="23">
      <c r="A65" s="92" t="n">
        <v>15</v>
      </c>
      <c r="B65" s="96" t="n"/>
      <c r="C65" s="96" t="n"/>
      <c r="D65" s="92">
        <f>IF(C65="","",INDEX(Catalogos!$C$5:$C$49,MATCH(LEFT(C65,7),Catalogos!$A$5:$A$49,0)))</f>
        <v/>
      </c>
      <c r="E65" s="92">
        <f>IF(C65="","",INDEX(Catalogos!$D$5:$D$49,MATCH(LEFT(C65,7),Catalogos!$A$5:$A$49,0))&amp;" "&amp;INDEX(Catalogos!$E$5:$E$49,MATCH(LEFT(C65,7),Catalogos!$A$5:$A$49,0)))</f>
        <v/>
      </c>
      <c r="F65" s="92">
        <f>IF(C65="","",INDEX(Catalogos!$F$5:$F$49,MATCH(LEFT(C65,7),Catalogos!$A$5:$A$49,0)))</f>
        <v/>
      </c>
      <c r="G65" s="96" t="n"/>
      <c r="H65" s="96" t="n"/>
      <c r="I65" s="96" t="n"/>
      <c r="J65" s="96" t="n"/>
      <c r="K65" s="97" t="n"/>
      <c r="L65" s="97" t="n"/>
      <c r="M65" s="96" t="n"/>
      <c r="N65" s="96" t="n"/>
      <c r="O65" s="96" t="n"/>
      <c r="P65" s="96" t="n"/>
      <c r="Q65" s="96" t="n"/>
      <c r="R65" s="96" t="n"/>
      <c r="S65" s="92">
        <f>IF(R65="","",INDEX(Catalogos!$Y$5:$Y$25,MATCH(R65,L_IMP,0)))</f>
        <v/>
      </c>
      <c r="T65" s="96" t="n"/>
      <c r="U65" s="96" t="n"/>
      <c r="V65" s="96" t="n"/>
      <c r="W65" s="91">
        <f>IF(H65="","Pendiente por formular",IF(OR(J65="",K65="",L65="",M65="",N65="",O65="",Q65="",R65="",B65="",C65="",G65=""),"Incompleta: faltan campos obligatorios",IF(OR(NOT(ISNUMBER(K65)),NOT(ISNUMBER(L65))),"Fecha inválida",IF(L65&lt;K65,"La fecha de fin es anterior a la de inicio",IF(OR(YEAR(K65)&lt;&gt;2027,YEAR(L65)&lt;&gt;2027),"Fechas fuera de la vigencia 2027",IF(ISERROR(SEARCH("@itc.edu.co",M65)),"El responsable no tiene correo institucional",IF(ISERROR(SEARCH(Q65,INDEX(Catalogos!$Z$5:$Z$25,MATCH(R65,L_IMP,0)))),"La dimensión no corresponde al indicador de impacto","OK")))))))</f>
        <v/>
      </c>
    </row>
    <row r="66" ht="14.25" customHeight="1" s="23">
      <c r="A66" s="92" t="n">
        <v>16</v>
      </c>
      <c r="B66" s="96" t="n"/>
      <c r="C66" s="96" t="n"/>
      <c r="D66" s="92">
        <f>IF(C66="","",INDEX(Catalogos!$C$5:$C$49,MATCH(LEFT(C66,7),Catalogos!$A$5:$A$49,0)))</f>
        <v/>
      </c>
      <c r="E66" s="92">
        <f>IF(C66="","",INDEX(Catalogos!$D$5:$D$49,MATCH(LEFT(C66,7),Catalogos!$A$5:$A$49,0))&amp;" "&amp;INDEX(Catalogos!$E$5:$E$49,MATCH(LEFT(C66,7),Catalogos!$A$5:$A$49,0)))</f>
        <v/>
      </c>
      <c r="F66" s="92">
        <f>IF(C66="","",INDEX(Catalogos!$F$5:$F$49,MATCH(LEFT(C66,7),Catalogos!$A$5:$A$49,0)))</f>
        <v/>
      </c>
      <c r="G66" s="96" t="n"/>
      <c r="H66" s="96" t="n"/>
      <c r="I66" s="96" t="n"/>
      <c r="J66" s="96" t="n"/>
      <c r="K66" s="97" t="n"/>
      <c r="L66" s="97" t="n"/>
      <c r="M66" s="96" t="n"/>
      <c r="N66" s="96" t="n"/>
      <c r="O66" s="96" t="n"/>
      <c r="P66" s="96" t="n"/>
      <c r="Q66" s="96" t="n"/>
      <c r="R66" s="96" t="n"/>
      <c r="S66" s="92">
        <f>IF(R66="","",INDEX(Catalogos!$Y$5:$Y$25,MATCH(R66,L_IMP,0)))</f>
        <v/>
      </c>
      <c r="T66" s="96" t="n"/>
      <c r="U66" s="96" t="n"/>
      <c r="V66" s="96" t="n"/>
      <c r="W66" s="91">
        <f>IF(H66="","Pendiente por formular",IF(OR(J66="",K66="",L66="",M66="",N66="",O66="",Q66="",R66="",B66="",C66="",G66=""),"Incompleta: faltan campos obligatorios",IF(OR(NOT(ISNUMBER(K66)),NOT(ISNUMBER(L66))),"Fecha inválida",IF(L66&lt;K66,"La fecha de fin es anterior a la de inicio",IF(OR(YEAR(K66)&lt;&gt;2027,YEAR(L66)&lt;&gt;2027),"Fechas fuera de la vigencia 2027",IF(ISERROR(SEARCH("@itc.edu.co",M66)),"El responsable no tiene correo institucional",IF(ISERROR(SEARCH(Q66,INDEX(Catalogos!$Z$5:$Z$25,MATCH(R66,L_IMP,0)))),"La dimensión no corresponde al indicador de impacto","OK")))))))</f>
        <v/>
      </c>
    </row>
    <row r="67" ht="14.25" customHeight="1" s="23">
      <c r="A67" s="92" t="n">
        <v>17</v>
      </c>
      <c r="B67" s="96" t="n"/>
      <c r="C67" s="96" t="n"/>
      <c r="D67" s="92">
        <f>IF(C67="","",INDEX(Catalogos!$C$5:$C$49,MATCH(LEFT(C67,7),Catalogos!$A$5:$A$49,0)))</f>
        <v/>
      </c>
      <c r="E67" s="92">
        <f>IF(C67="","",INDEX(Catalogos!$D$5:$D$49,MATCH(LEFT(C67,7),Catalogos!$A$5:$A$49,0))&amp;" "&amp;INDEX(Catalogos!$E$5:$E$49,MATCH(LEFT(C67,7),Catalogos!$A$5:$A$49,0)))</f>
        <v/>
      </c>
      <c r="F67" s="92">
        <f>IF(C67="","",INDEX(Catalogos!$F$5:$F$49,MATCH(LEFT(C67,7),Catalogos!$A$5:$A$49,0)))</f>
        <v/>
      </c>
      <c r="G67" s="96" t="n"/>
      <c r="H67" s="96" t="n"/>
      <c r="I67" s="96" t="n"/>
      <c r="J67" s="96" t="n"/>
      <c r="K67" s="97" t="n"/>
      <c r="L67" s="97" t="n"/>
      <c r="M67" s="96" t="n"/>
      <c r="N67" s="96" t="n"/>
      <c r="O67" s="96" t="n"/>
      <c r="P67" s="96" t="n"/>
      <c r="Q67" s="96" t="n"/>
      <c r="R67" s="96" t="n"/>
      <c r="S67" s="92">
        <f>IF(R67="","",INDEX(Catalogos!$Y$5:$Y$25,MATCH(R67,L_IMP,0)))</f>
        <v/>
      </c>
      <c r="T67" s="96" t="n"/>
      <c r="U67" s="96" t="n"/>
      <c r="V67" s="96" t="n"/>
      <c r="W67" s="91">
        <f>IF(H67="","Pendiente por formular",IF(OR(J67="",K67="",L67="",M67="",N67="",O67="",Q67="",R67="",B67="",C67="",G67=""),"Incompleta: faltan campos obligatorios",IF(OR(NOT(ISNUMBER(K67)),NOT(ISNUMBER(L67))),"Fecha inválida",IF(L67&lt;K67,"La fecha de fin es anterior a la de inicio",IF(OR(YEAR(K67)&lt;&gt;2027,YEAR(L67)&lt;&gt;2027),"Fechas fuera de la vigencia 2027",IF(ISERROR(SEARCH("@itc.edu.co",M67)),"El responsable no tiene correo institucional",IF(ISERROR(SEARCH(Q67,INDEX(Catalogos!$Z$5:$Z$25,MATCH(R67,L_IMP,0)))),"La dimensión no corresponde al indicador de impacto","OK")))))))</f>
        <v/>
      </c>
    </row>
    <row r="68" ht="14.25" customHeight="1" s="23">
      <c r="A68" s="92" t="n">
        <v>18</v>
      </c>
      <c r="B68" s="96" t="n"/>
      <c r="C68" s="96" t="n"/>
      <c r="D68" s="92">
        <f>IF(C68="","",INDEX(Catalogos!$C$5:$C$49,MATCH(LEFT(C68,7),Catalogos!$A$5:$A$49,0)))</f>
        <v/>
      </c>
      <c r="E68" s="92">
        <f>IF(C68="","",INDEX(Catalogos!$D$5:$D$49,MATCH(LEFT(C68,7),Catalogos!$A$5:$A$49,0))&amp;" "&amp;INDEX(Catalogos!$E$5:$E$49,MATCH(LEFT(C68,7),Catalogos!$A$5:$A$49,0)))</f>
        <v/>
      </c>
      <c r="F68" s="92">
        <f>IF(C68="","",INDEX(Catalogos!$F$5:$F$49,MATCH(LEFT(C68,7),Catalogos!$A$5:$A$49,0)))</f>
        <v/>
      </c>
      <c r="G68" s="96" t="n"/>
      <c r="H68" s="96" t="n"/>
      <c r="I68" s="96" t="n"/>
      <c r="J68" s="96" t="n"/>
      <c r="K68" s="97" t="n"/>
      <c r="L68" s="97" t="n"/>
      <c r="M68" s="96" t="n"/>
      <c r="N68" s="96" t="n"/>
      <c r="O68" s="96" t="n"/>
      <c r="P68" s="96" t="n"/>
      <c r="Q68" s="96" t="n"/>
      <c r="R68" s="96" t="n"/>
      <c r="S68" s="92">
        <f>IF(R68="","",INDEX(Catalogos!$Y$5:$Y$25,MATCH(R68,L_IMP,0)))</f>
        <v/>
      </c>
      <c r="T68" s="96" t="n"/>
      <c r="U68" s="96" t="n"/>
      <c r="V68" s="96" t="n"/>
      <c r="W68" s="91">
        <f>IF(H68="","Pendiente por formular",IF(OR(J68="",K68="",L68="",M68="",N68="",O68="",Q68="",R68="",B68="",C68="",G68=""),"Incompleta: faltan campos obligatorios",IF(OR(NOT(ISNUMBER(K68)),NOT(ISNUMBER(L68))),"Fecha inválida",IF(L68&lt;K68,"La fecha de fin es anterior a la de inicio",IF(OR(YEAR(K68)&lt;&gt;2027,YEAR(L68)&lt;&gt;2027),"Fechas fuera de la vigencia 2027",IF(ISERROR(SEARCH("@itc.edu.co",M68)),"El responsable no tiene correo institucional",IF(ISERROR(SEARCH(Q68,INDEX(Catalogos!$Z$5:$Z$25,MATCH(R68,L_IMP,0)))),"La dimensión no corresponde al indicador de impacto","OK")))))))</f>
        <v/>
      </c>
    </row>
    <row r="69" ht="14.25" customHeight="1" s="23">
      <c r="A69" s="92" t="n">
        <v>19</v>
      </c>
      <c r="B69" s="96" t="n"/>
      <c r="C69" s="96" t="n"/>
      <c r="D69" s="92">
        <f>IF(C69="","",INDEX(Catalogos!$C$5:$C$49,MATCH(LEFT(C69,7),Catalogos!$A$5:$A$49,0)))</f>
        <v/>
      </c>
      <c r="E69" s="92">
        <f>IF(C69="","",INDEX(Catalogos!$D$5:$D$49,MATCH(LEFT(C69,7),Catalogos!$A$5:$A$49,0))&amp;" "&amp;INDEX(Catalogos!$E$5:$E$49,MATCH(LEFT(C69,7),Catalogos!$A$5:$A$49,0)))</f>
        <v/>
      </c>
      <c r="F69" s="92">
        <f>IF(C69="","",INDEX(Catalogos!$F$5:$F$49,MATCH(LEFT(C69,7),Catalogos!$A$5:$A$49,0)))</f>
        <v/>
      </c>
      <c r="G69" s="96" t="n"/>
      <c r="H69" s="96" t="n"/>
      <c r="I69" s="96" t="n"/>
      <c r="J69" s="96" t="n"/>
      <c r="K69" s="97" t="n"/>
      <c r="L69" s="97" t="n"/>
      <c r="M69" s="96" t="n"/>
      <c r="N69" s="96" t="n"/>
      <c r="O69" s="96" t="n"/>
      <c r="P69" s="96" t="n"/>
      <c r="Q69" s="96" t="n"/>
      <c r="R69" s="96" t="n"/>
      <c r="S69" s="92">
        <f>IF(R69="","",INDEX(Catalogos!$Y$5:$Y$25,MATCH(R69,L_IMP,0)))</f>
        <v/>
      </c>
      <c r="T69" s="96" t="n"/>
      <c r="U69" s="96" t="n"/>
      <c r="V69" s="96" t="n"/>
      <c r="W69" s="91">
        <f>IF(H69="","Pendiente por formular",IF(OR(J69="",K69="",L69="",M69="",N69="",O69="",Q69="",R69="",B69="",C69="",G69=""),"Incompleta: faltan campos obligatorios",IF(OR(NOT(ISNUMBER(K69)),NOT(ISNUMBER(L69))),"Fecha inválida",IF(L69&lt;K69,"La fecha de fin es anterior a la de inicio",IF(OR(YEAR(K69)&lt;&gt;2027,YEAR(L69)&lt;&gt;2027),"Fechas fuera de la vigencia 2027",IF(ISERROR(SEARCH("@itc.edu.co",M69)),"El responsable no tiene correo institucional",IF(ISERROR(SEARCH(Q69,INDEX(Catalogos!$Z$5:$Z$25,MATCH(R69,L_IMP,0)))),"La dimensión no corresponde al indicador de impacto","OK")))))))</f>
        <v/>
      </c>
    </row>
    <row r="70" ht="14.25" customHeight="1" s="23">
      <c r="A70" s="92" t="n">
        <v>20</v>
      </c>
      <c r="B70" s="96" t="n"/>
      <c r="C70" s="96" t="n"/>
      <c r="D70" s="92">
        <f>IF(C70="","",INDEX(Catalogos!$C$5:$C$49,MATCH(LEFT(C70,7),Catalogos!$A$5:$A$49,0)))</f>
        <v/>
      </c>
      <c r="E70" s="92">
        <f>IF(C70="","",INDEX(Catalogos!$D$5:$D$49,MATCH(LEFT(C70,7),Catalogos!$A$5:$A$49,0))&amp;" "&amp;INDEX(Catalogos!$E$5:$E$49,MATCH(LEFT(C70,7),Catalogos!$A$5:$A$49,0)))</f>
        <v/>
      </c>
      <c r="F70" s="92">
        <f>IF(C70="","",INDEX(Catalogos!$F$5:$F$49,MATCH(LEFT(C70,7),Catalogos!$A$5:$A$49,0)))</f>
        <v/>
      </c>
      <c r="G70" s="96" t="n"/>
      <c r="H70" s="96" t="n"/>
      <c r="I70" s="96" t="n"/>
      <c r="J70" s="96" t="n"/>
      <c r="K70" s="97" t="n"/>
      <c r="L70" s="97" t="n"/>
      <c r="M70" s="96" t="n"/>
      <c r="N70" s="96" t="n"/>
      <c r="O70" s="96" t="n"/>
      <c r="P70" s="96" t="n"/>
      <c r="Q70" s="96" t="n"/>
      <c r="R70" s="96" t="n"/>
      <c r="S70" s="92">
        <f>IF(R70="","",INDEX(Catalogos!$Y$5:$Y$25,MATCH(R70,L_IMP,0)))</f>
        <v/>
      </c>
      <c r="T70" s="96" t="n"/>
      <c r="U70" s="96" t="n"/>
      <c r="V70" s="96" t="n"/>
      <c r="W70" s="91">
        <f>IF(H70="","Pendiente por formular",IF(OR(J70="",K70="",L70="",M70="",N70="",O70="",Q70="",R70="",B70="",C70="",G70=""),"Incompleta: faltan campos obligatorios",IF(OR(NOT(ISNUMBER(K70)),NOT(ISNUMBER(L70))),"Fecha inválida",IF(L70&lt;K70,"La fecha de fin es anterior a la de inicio",IF(OR(YEAR(K70)&lt;&gt;2027,YEAR(L70)&lt;&gt;2027),"Fechas fuera de la vigencia 2027",IF(ISERROR(SEARCH("@itc.edu.co",M70)),"El responsable no tiene correo institucional",IF(ISERROR(SEARCH(Q70,INDEX(Catalogos!$Z$5:$Z$25,MATCH(R70,L_IMP,0)))),"La dimensión no corresponde al indicador de impacto","OK")))))))</f>
        <v/>
      </c>
    </row>
    <row r="71" ht="14.25" customHeight="1" s="23">
      <c r="A71" s="92" t="n">
        <v>21</v>
      </c>
      <c r="B71" s="96" t="n"/>
      <c r="C71" s="96" t="n"/>
      <c r="D71" s="92">
        <f>IF(C71="","",INDEX(Catalogos!$C$5:$C$49,MATCH(LEFT(C71,7),Catalogos!$A$5:$A$49,0)))</f>
        <v/>
      </c>
      <c r="E71" s="92">
        <f>IF(C71="","",INDEX(Catalogos!$D$5:$D$49,MATCH(LEFT(C71,7),Catalogos!$A$5:$A$49,0))&amp;" "&amp;INDEX(Catalogos!$E$5:$E$49,MATCH(LEFT(C71,7),Catalogos!$A$5:$A$49,0)))</f>
        <v/>
      </c>
      <c r="F71" s="92">
        <f>IF(C71="","",INDEX(Catalogos!$F$5:$F$49,MATCH(LEFT(C71,7),Catalogos!$A$5:$A$49,0)))</f>
        <v/>
      </c>
      <c r="G71" s="96" t="n"/>
      <c r="H71" s="96" t="n"/>
      <c r="I71" s="96" t="n"/>
      <c r="J71" s="96" t="n"/>
      <c r="K71" s="97" t="n"/>
      <c r="L71" s="97" t="n"/>
      <c r="M71" s="96" t="n"/>
      <c r="N71" s="96" t="n"/>
      <c r="O71" s="96" t="n"/>
      <c r="P71" s="96" t="n"/>
      <c r="Q71" s="96" t="n"/>
      <c r="R71" s="96" t="n"/>
      <c r="S71" s="92">
        <f>IF(R71="","",INDEX(Catalogos!$Y$5:$Y$25,MATCH(R71,L_IMP,0)))</f>
        <v/>
      </c>
      <c r="T71" s="96" t="n"/>
      <c r="U71" s="96" t="n"/>
      <c r="V71" s="96" t="n"/>
      <c r="W71" s="91">
        <f>IF(H71="","Pendiente por formular",IF(OR(J71="",K71="",L71="",M71="",N71="",O71="",Q71="",R71="",B71="",C71="",G71=""),"Incompleta: faltan campos obligatorios",IF(OR(NOT(ISNUMBER(K71)),NOT(ISNUMBER(L71))),"Fecha inválida",IF(L71&lt;K71,"La fecha de fin es anterior a la de inicio",IF(OR(YEAR(K71)&lt;&gt;2027,YEAR(L71)&lt;&gt;2027),"Fechas fuera de la vigencia 2027",IF(ISERROR(SEARCH("@itc.edu.co",M71)),"El responsable no tiene correo institucional",IF(ISERROR(SEARCH(Q71,INDEX(Catalogos!$Z$5:$Z$25,MATCH(R71,L_IMP,0)))),"La dimensión no corresponde al indicador de impacto","OK")))))))</f>
        <v/>
      </c>
    </row>
    <row r="72" ht="14.25" customHeight="1" s="23">
      <c r="A72" s="92" t="n">
        <v>22</v>
      </c>
      <c r="B72" s="96" t="n"/>
      <c r="C72" s="96" t="n"/>
      <c r="D72" s="92">
        <f>IF(C72="","",INDEX(Catalogos!$C$5:$C$49,MATCH(LEFT(C72,7),Catalogos!$A$5:$A$49,0)))</f>
        <v/>
      </c>
      <c r="E72" s="92">
        <f>IF(C72="","",INDEX(Catalogos!$D$5:$D$49,MATCH(LEFT(C72,7),Catalogos!$A$5:$A$49,0))&amp;" "&amp;INDEX(Catalogos!$E$5:$E$49,MATCH(LEFT(C72,7),Catalogos!$A$5:$A$49,0)))</f>
        <v/>
      </c>
      <c r="F72" s="92">
        <f>IF(C72="","",INDEX(Catalogos!$F$5:$F$49,MATCH(LEFT(C72,7),Catalogos!$A$5:$A$49,0)))</f>
        <v/>
      </c>
      <c r="G72" s="96" t="n"/>
      <c r="H72" s="96" t="n"/>
      <c r="I72" s="96" t="n"/>
      <c r="J72" s="96" t="n"/>
      <c r="K72" s="97" t="n"/>
      <c r="L72" s="97" t="n"/>
      <c r="M72" s="96" t="n"/>
      <c r="N72" s="96" t="n"/>
      <c r="O72" s="96" t="n"/>
      <c r="P72" s="96" t="n"/>
      <c r="Q72" s="96" t="n"/>
      <c r="R72" s="96" t="n"/>
      <c r="S72" s="92">
        <f>IF(R72="","",INDEX(Catalogos!$Y$5:$Y$25,MATCH(R72,L_IMP,0)))</f>
        <v/>
      </c>
      <c r="T72" s="96" t="n"/>
      <c r="U72" s="96" t="n"/>
      <c r="V72" s="96" t="n"/>
      <c r="W72" s="91">
        <f>IF(H72="","Pendiente por formular",IF(OR(J72="",K72="",L72="",M72="",N72="",O72="",Q72="",R72="",B72="",C72="",G72=""),"Incompleta: faltan campos obligatorios",IF(OR(NOT(ISNUMBER(K72)),NOT(ISNUMBER(L72))),"Fecha inválida",IF(L72&lt;K72,"La fecha de fin es anterior a la de inicio",IF(OR(YEAR(K72)&lt;&gt;2027,YEAR(L72)&lt;&gt;2027),"Fechas fuera de la vigencia 2027",IF(ISERROR(SEARCH("@itc.edu.co",M72)),"El responsable no tiene correo institucional",IF(ISERROR(SEARCH(Q72,INDEX(Catalogos!$Z$5:$Z$25,MATCH(R72,L_IMP,0)))),"La dimensión no corresponde al indicador de impacto","OK")))))))</f>
        <v/>
      </c>
    </row>
    <row r="73" ht="14.25" customHeight="1" s="23">
      <c r="A73" s="92" t="n">
        <v>23</v>
      </c>
      <c r="B73" s="96" t="n"/>
      <c r="C73" s="96" t="n"/>
      <c r="D73" s="92">
        <f>IF(C73="","",INDEX(Catalogos!$C$5:$C$49,MATCH(LEFT(C73,7),Catalogos!$A$5:$A$49,0)))</f>
        <v/>
      </c>
      <c r="E73" s="92">
        <f>IF(C73="","",INDEX(Catalogos!$D$5:$D$49,MATCH(LEFT(C73,7),Catalogos!$A$5:$A$49,0))&amp;" "&amp;INDEX(Catalogos!$E$5:$E$49,MATCH(LEFT(C73,7),Catalogos!$A$5:$A$49,0)))</f>
        <v/>
      </c>
      <c r="F73" s="92">
        <f>IF(C73="","",INDEX(Catalogos!$F$5:$F$49,MATCH(LEFT(C73,7),Catalogos!$A$5:$A$49,0)))</f>
        <v/>
      </c>
      <c r="G73" s="96" t="n"/>
      <c r="H73" s="96" t="n"/>
      <c r="I73" s="96" t="n"/>
      <c r="J73" s="96" t="n"/>
      <c r="K73" s="97" t="n"/>
      <c r="L73" s="97" t="n"/>
      <c r="M73" s="96" t="n"/>
      <c r="N73" s="96" t="n"/>
      <c r="O73" s="96" t="n"/>
      <c r="P73" s="96" t="n"/>
      <c r="Q73" s="96" t="n"/>
      <c r="R73" s="96" t="n"/>
      <c r="S73" s="92">
        <f>IF(R73="","",INDEX(Catalogos!$Y$5:$Y$25,MATCH(R73,L_IMP,0)))</f>
        <v/>
      </c>
      <c r="T73" s="96" t="n"/>
      <c r="U73" s="96" t="n"/>
      <c r="V73" s="96" t="n"/>
      <c r="W73" s="91">
        <f>IF(H73="","Pendiente por formular",IF(OR(J73="",K73="",L73="",M73="",N73="",O73="",Q73="",R73="",B73="",C73="",G73=""),"Incompleta: faltan campos obligatorios",IF(OR(NOT(ISNUMBER(K73)),NOT(ISNUMBER(L73))),"Fecha inválida",IF(L73&lt;K73,"La fecha de fin es anterior a la de inicio",IF(OR(YEAR(K73)&lt;&gt;2027,YEAR(L73)&lt;&gt;2027),"Fechas fuera de la vigencia 2027",IF(ISERROR(SEARCH("@itc.edu.co",M73)),"El responsable no tiene correo institucional",IF(ISERROR(SEARCH(Q73,INDEX(Catalogos!$Z$5:$Z$25,MATCH(R73,L_IMP,0)))),"La dimensión no corresponde al indicador de impacto","OK")))))))</f>
        <v/>
      </c>
    </row>
    <row r="74" ht="14.25" customHeight="1" s="23">
      <c r="A74" s="92" t="n">
        <v>24</v>
      </c>
      <c r="B74" s="96" t="n"/>
      <c r="C74" s="96" t="n"/>
      <c r="D74" s="92">
        <f>IF(C74="","",INDEX(Catalogos!$C$5:$C$49,MATCH(LEFT(C74,7),Catalogos!$A$5:$A$49,0)))</f>
        <v/>
      </c>
      <c r="E74" s="92">
        <f>IF(C74="","",INDEX(Catalogos!$D$5:$D$49,MATCH(LEFT(C74,7),Catalogos!$A$5:$A$49,0))&amp;" "&amp;INDEX(Catalogos!$E$5:$E$49,MATCH(LEFT(C74,7),Catalogos!$A$5:$A$49,0)))</f>
        <v/>
      </c>
      <c r="F74" s="92">
        <f>IF(C74="","",INDEX(Catalogos!$F$5:$F$49,MATCH(LEFT(C74,7),Catalogos!$A$5:$A$49,0)))</f>
        <v/>
      </c>
      <c r="G74" s="96" t="n"/>
      <c r="H74" s="96" t="n"/>
      <c r="I74" s="96" t="n"/>
      <c r="J74" s="96" t="n"/>
      <c r="K74" s="97" t="n"/>
      <c r="L74" s="97" t="n"/>
      <c r="M74" s="96" t="n"/>
      <c r="N74" s="96" t="n"/>
      <c r="O74" s="96" t="n"/>
      <c r="P74" s="96" t="n"/>
      <c r="Q74" s="96" t="n"/>
      <c r="R74" s="96" t="n"/>
      <c r="S74" s="92">
        <f>IF(R74="","",INDEX(Catalogos!$Y$5:$Y$25,MATCH(R74,L_IMP,0)))</f>
        <v/>
      </c>
      <c r="T74" s="96" t="n"/>
      <c r="U74" s="96" t="n"/>
      <c r="V74" s="96" t="n"/>
      <c r="W74" s="91">
        <f>IF(H74="","Pendiente por formular",IF(OR(J74="",K74="",L74="",M74="",N74="",O74="",Q74="",R74="",B74="",C74="",G74=""),"Incompleta: faltan campos obligatorios",IF(OR(NOT(ISNUMBER(K74)),NOT(ISNUMBER(L74))),"Fecha inválida",IF(L74&lt;K74,"La fecha de fin es anterior a la de inicio",IF(OR(YEAR(K74)&lt;&gt;2027,YEAR(L74)&lt;&gt;2027),"Fechas fuera de la vigencia 2027",IF(ISERROR(SEARCH("@itc.edu.co",M74)),"El responsable no tiene correo institucional",IF(ISERROR(SEARCH(Q74,INDEX(Catalogos!$Z$5:$Z$25,MATCH(R74,L_IMP,0)))),"La dimensión no corresponde al indicador de impacto","OK")))))))</f>
        <v/>
      </c>
    </row>
    <row r="75" ht="14.25" customHeight="1" s="23">
      <c r="A75" s="92" t="n">
        <v>25</v>
      </c>
      <c r="B75" s="96" t="n"/>
      <c r="C75" s="96" t="n"/>
      <c r="D75" s="92">
        <f>IF(C75="","",INDEX(Catalogos!$C$5:$C$49,MATCH(LEFT(C75,7),Catalogos!$A$5:$A$49,0)))</f>
        <v/>
      </c>
      <c r="E75" s="92">
        <f>IF(C75="","",INDEX(Catalogos!$D$5:$D$49,MATCH(LEFT(C75,7),Catalogos!$A$5:$A$49,0))&amp;" "&amp;INDEX(Catalogos!$E$5:$E$49,MATCH(LEFT(C75,7),Catalogos!$A$5:$A$49,0)))</f>
        <v/>
      </c>
      <c r="F75" s="92">
        <f>IF(C75="","",INDEX(Catalogos!$F$5:$F$49,MATCH(LEFT(C75,7),Catalogos!$A$5:$A$49,0)))</f>
        <v/>
      </c>
      <c r="G75" s="96" t="n"/>
      <c r="H75" s="96" t="n"/>
      <c r="I75" s="96" t="n"/>
      <c r="J75" s="96" t="n"/>
      <c r="K75" s="97" t="n"/>
      <c r="L75" s="97" t="n"/>
      <c r="M75" s="96" t="n"/>
      <c r="N75" s="96" t="n"/>
      <c r="O75" s="96" t="n"/>
      <c r="P75" s="96" t="n"/>
      <c r="Q75" s="96" t="n"/>
      <c r="R75" s="96" t="n"/>
      <c r="S75" s="92">
        <f>IF(R75="","",INDEX(Catalogos!$Y$5:$Y$25,MATCH(R75,L_IMP,0)))</f>
        <v/>
      </c>
      <c r="T75" s="96" t="n"/>
      <c r="U75" s="96" t="n"/>
      <c r="V75" s="96" t="n"/>
      <c r="W75" s="91">
        <f>IF(H75="","Pendiente por formular",IF(OR(J75="",K75="",L75="",M75="",N75="",O75="",Q75="",R75="",B75="",C75="",G75=""),"Incompleta: faltan campos obligatorios",IF(OR(NOT(ISNUMBER(K75)),NOT(ISNUMBER(L75))),"Fecha inválida",IF(L75&lt;K75,"La fecha de fin es anterior a la de inicio",IF(OR(YEAR(K75)&lt;&gt;2027,YEAR(L75)&lt;&gt;2027),"Fechas fuera de la vigencia 2027",IF(ISERROR(SEARCH("@itc.edu.co",M75)),"El responsable no tiene correo institucional",IF(ISERROR(SEARCH(Q75,INDEX(Catalogos!$Z$5:$Z$25,MATCH(R75,L_IMP,0)))),"La dimensión no corresponde al indicador de impacto","OK")))))))</f>
        <v/>
      </c>
    </row>
    <row r="76" ht="14.25" customHeight="1" s="23">
      <c r="A76" s="92" t="n">
        <v>26</v>
      </c>
      <c r="B76" s="96" t="n"/>
      <c r="C76" s="96" t="n"/>
      <c r="D76" s="92">
        <f>IF(C76="","",INDEX(Catalogos!$C$5:$C$49,MATCH(LEFT(C76,7),Catalogos!$A$5:$A$49,0)))</f>
        <v/>
      </c>
      <c r="E76" s="92">
        <f>IF(C76="","",INDEX(Catalogos!$D$5:$D$49,MATCH(LEFT(C76,7),Catalogos!$A$5:$A$49,0))&amp;" "&amp;INDEX(Catalogos!$E$5:$E$49,MATCH(LEFT(C76,7),Catalogos!$A$5:$A$49,0)))</f>
        <v/>
      </c>
      <c r="F76" s="92">
        <f>IF(C76="","",INDEX(Catalogos!$F$5:$F$49,MATCH(LEFT(C76,7),Catalogos!$A$5:$A$49,0)))</f>
        <v/>
      </c>
      <c r="G76" s="96" t="n"/>
      <c r="H76" s="96" t="n"/>
      <c r="I76" s="96" t="n"/>
      <c r="J76" s="96" t="n"/>
      <c r="K76" s="97" t="n"/>
      <c r="L76" s="97" t="n"/>
      <c r="M76" s="96" t="n"/>
      <c r="N76" s="96" t="n"/>
      <c r="O76" s="96" t="n"/>
      <c r="P76" s="96" t="n"/>
      <c r="Q76" s="96" t="n"/>
      <c r="R76" s="96" t="n"/>
      <c r="S76" s="92">
        <f>IF(R76="","",INDEX(Catalogos!$Y$5:$Y$25,MATCH(R76,L_IMP,0)))</f>
        <v/>
      </c>
      <c r="T76" s="96" t="n"/>
      <c r="U76" s="96" t="n"/>
      <c r="V76" s="96" t="n"/>
      <c r="W76" s="91">
        <f>IF(H76="","Pendiente por formular",IF(OR(J76="",K76="",L76="",M76="",N76="",O76="",Q76="",R76="",B76="",C76="",G76=""),"Incompleta: faltan campos obligatorios",IF(OR(NOT(ISNUMBER(K76)),NOT(ISNUMBER(L76))),"Fecha inválida",IF(L76&lt;K76,"La fecha de fin es anterior a la de inicio",IF(OR(YEAR(K76)&lt;&gt;2027,YEAR(L76)&lt;&gt;2027),"Fechas fuera de la vigencia 2027",IF(ISERROR(SEARCH("@itc.edu.co",M76)),"El responsable no tiene correo institucional",IF(ISERROR(SEARCH(Q76,INDEX(Catalogos!$Z$5:$Z$25,MATCH(R76,L_IMP,0)))),"La dimensión no corresponde al indicador de impacto","OK")))))))</f>
        <v/>
      </c>
    </row>
    <row r="77" ht="14.25" customHeight="1" s="23">
      <c r="A77" s="92" t="n">
        <v>27</v>
      </c>
      <c r="B77" s="96" t="n"/>
      <c r="C77" s="96" t="n"/>
      <c r="D77" s="92">
        <f>IF(C77="","",INDEX(Catalogos!$C$5:$C$49,MATCH(LEFT(C77,7),Catalogos!$A$5:$A$49,0)))</f>
        <v/>
      </c>
      <c r="E77" s="92">
        <f>IF(C77="","",INDEX(Catalogos!$D$5:$D$49,MATCH(LEFT(C77,7),Catalogos!$A$5:$A$49,0))&amp;" "&amp;INDEX(Catalogos!$E$5:$E$49,MATCH(LEFT(C77,7),Catalogos!$A$5:$A$49,0)))</f>
        <v/>
      </c>
      <c r="F77" s="92">
        <f>IF(C77="","",INDEX(Catalogos!$F$5:$F$49,MATCH(LEFT(C77,7),Catalogos!$A$5:$A$49,0)))</f>
        <v/>
      </c>
      <c r="G77" s="96" t="n"/>
      <c r="H77" s="96" t="n"/>
      <c r="I77" s="96" t="n"/>
      <c r="J77" s="96" t="n"/>
      <c r="K77" s="97" t="n"/>
      <c r="L77" s="97" t="n"/>
      <c r="M77" s="96" t="n"/>
      <c r="N77" s="96" t="n"/>
      <c r="O77" s="96" t="n"/>
      <c r="P77" s="96" t="n"/>
      <c r="Q77" s="96" t="n"/>
      <c r="R77" s="96" t="n"/>
      <c r="S77" s="92">
        <f>IF(R77="","",INDEX(Catalogos!$Y$5:$Y$25,MATCH(R77,L_IMP,0)))</f>
        <v/>
      </c>
      <c r="T77" s="96" t="n"/>
      <c r="U77" s="96" t="n"/>
      <c r="V77" s="96" t="n"/>
      <c r="W77" s="91">
        <f>IF(H77="","Pendiente por formular",IF(OR(J77="",K77="",L77="",M77="",N77="",O77="",Q77="",R77="",B77="",C77="",G77=""),"Incompleta: faltan campos obligatorios",IF(OR(NOT(ISNUMBER(K77)),NOT(ISNUMBER(L77))),"Fecha inválida",IF(L77&lt;K77,"La fecha de fin es anterior a la de inicio",IF(OR(YEAR(K77)&lt;&gt;2027,YEAR(L77)&lt;&gt;2027),"Fechas fuera de la vigencia 2027",IF(ISERROR(SEARCH("@itc.edu.co",M77)),"El responsable no tiene correo institucional",IF(ISERROR(SEARCH(Q77,INDEX(Catalogos!$Z$5:$Z$25,MATCH(R77,L_IMP,0)))),"La dimensión no corresponde al indicador de impacto","OK")))))))</f>
        <v/>
      </c>
    </row>
    <row r="78" ht="14.25" customHeight="1" s="23">
      <c r="A78" s="92" t="n">
        <v>28</v>
      </c>
      <c r="B78" s="96" t="n"/>
      <c r="C78" s="96" t="n"/>
      <c r="D78" s="92">
        <f>IF(C78="","",INDEX(Catalogos!$C$5:$C$49,MATCH(LEFT(C78,7),Catalogos!$A$5:$A$49,0)))</f>
        <v/>
      </c>
      <c r="E78" s="92">
        <f>IF(C78="","",INDEX(Catalogos!$D$5:$D$49,MATCH(LEFT(C78,7),Catalogos!$A$5:$A$49,0))&amp;" "&amp;INDEX(Catalogos!$E$5:$E$49,MATCH(LEFT(C78,7),Catalogos!$A$5:$A$49,0)))</f>
        <v/>
      </c>
      <c r="F78" s="92">
        <f>IF(C78="","",INDEX(Catalogos!$F$5:$F$49,MATCH(LEFT(C78,7),Catalogos!$A$5:$A$49,0)))</f>
        <v/>
      </c>
      <c r="G78" s="96" t="n"/>
      <c r="H78" s="96" t="n"/>
      <c r="I78" s="96" t="n"/>
      <c r="J78" s="96" t="n"/>
      <c r="K78" s="97" t="n"/>
      <c r="L78" s="97" t="n"/>
      <c r="M78" s="96" t="n"/>
      <c r="N78" s="96" t="n"/>
      <c r="O78" s="96" t="n"/>
      <c r="P78" s="96" t="n"/>
      <c r="Q78" s="96" t="n"/>
      <c r="R78" s="96" t="n"/>
      <c r="S78" s="92">
        <f>IF(R78="","",INDEX(Catalogos!$Y$5:$Y$25,MATCH(R78,L_IMP,0)))</f>
        <v/>
      </c>
      <c r="T78" s="96" t="n"/>
      <c r="U78" s="96" t="n"/>
      <c r="V78" s="96" t="n"/>
      <c r="W78" s="91">
        <f>IF(H78="","Pendiente por formular",IF(OR(J78="",K78="",L78="",M78="",N78="",O78="",Q78="",R78="",B78="",C78="",G78=""),"Incompleta: faltan campos obligatorios",IF(OR(NOT(ISNUMBER(K78)),NOT(ISNUMBER(L78))),"Fecha inválida",IF(L78&lt;K78,"La fecha de fin es anterior a la de inicio",IF(OR(YEAR(K78)&lt;&gt;2027,YEAR(L78)&lt;&gt;2027),"Fechas fuera de la vigencia 2027",IF(ISERROR(SEARCH("@itc.edu.co",M78)),"El responsable no tiene correo institucional",IF(ISERROR(SEARCH(Q78,INDEX(Catalogos!$Z$5:$Z$25,MATCH(R78,L_IMP,0)))),"La dimensión no corresponde al indicador de impacto","OK")))))))</f>
        <v/>
      </c>
    </row>
    <row r="79" ht="14.25" customHeight="1" s="23">
      <c r="A79" s="92" t="n">
        <v>29</v>
      </c>
      <c r="B79" s="96" t="n"/>
      <c r="C79" s="96" t="n"/>
      <c r="D79" s="92">
        <f>IF(C79="","",INDEX(Catalogos!$C$5:$C$49,MATCH(LEFT(C79,7),Catalogos!$A$5:$A$49,0)))</f>
        <v/>
      </c>
      <c r="E79" s="92">
        <f>IF(C79="","",INDEX(Catalogos!$D$5:$D$49,MATCH(LEFT(C79,7),Catalogos!$A$5:$A$49,0))&amp;" "&amp;INDEX(Catalogos!$E$5:$E$49,MATCH(LEFT(C79,7),Catalogos!$A$5:$A$49,0)))</f>
        <v/>
      </c>
      <c r="F79" s="92">
        <f>IF(C79="","",INDEX(Catalogos!$F$5:$F$49,MATCH(LEFT(C79,7),Catalogos!$A$5:$A$49,0)))</f>
        <v/>
      </c>
      <c r="G79" s="96" t="n"/>
      <c r="H79" s="96" t="n"/>
      <c r="I79" s="96" t="n"/>
      <c r="J79" s="96" t="n"/>
      <c r="K79" s="97" t="n"/>
      <c r="L79" s="97" t="n"/>
      <c r="M79" s="96" t="n"/>
      <c r="N79" s="96" t="n"/>
      <c r="O79" s="96" t="n"/>
      <c r="P79" s="96" t="n"/>
      <c r="Q79" s="96" t="n"/>
      <c r="R79" s="96" t="n"/>
      <c r="S79" s="92">
        <f>IF(R79="","",INDEX(Catalogos!$Y$5:$Y$25,MATCH(R79,L_IMP,0)))</f>
        <v/>
      </c>
      <c r="T79" s="96" t="n"/>
      <c r="U79" s="96" t="n"/>
      <c r="V79" s="96" t="n"/>
      <c r="W79" s="91">
        <f>IF(H79="","Pendiente por formular",IF(OR(J79="",K79="",L79="",M79="",N79="",O79="",Q79="",R79="",B79="",C79="",G79=""),"Incompleta: faltan campos obligatorios",IF(OR(NOT(ISNUMBER(K79)),NOT(ISNUMBER(L79))),"Fecha inválida",IF(L79&lt;K79,"La fecha de fin es anterior a la de inicio",IF(OR(YEAR(K79)&lt;&gt;2027,YEAR(L79)&lt;&gt;2027),"Fechas fuera de la vigencia 2027",IF(ISERROR(SEARCH("@itc.edu.co",M79)),"El responsable no tiene correo institucional",IF(ISERROR(SEARCH(Q79,INDEX(Catalogos!$Z$5:$Z$25,MATCH(R79,L_IMP,0)))),"La dimensión no corresponde al indicador de impacto","OK")))))))</f>
        <v/>
      </c>
    </row>
    <row r="80" ht="14.25" customHeight="1" s="23">
      <c r="A80" s="92" t="n">
        <v>30</v>
      </c>
      <c r="B80" s="96" t="n"/>
      <c r="C80" s="96" t="n"/>
      <c r="D80" s="92">
        <f>IF(C80="","",INDEX(Catalogos!$C$5:$C$49,MATCH(LEFT(C80,7),Catalogos!$A$5:$A$49,0)))</f>
        <v/>
      </c>
      <c r="E80" s="92">
        <f>IF(C80="","",INDEX(Catalogos!$D$5:$D$49,MATCH(LEFT(C80,7),Catalogos!$A$5:$A$49,0))&amp;" "&amp;INDEX(Catalogos!$E$5:$E$49,MATCH(LEFT(C80,7),Catalogos!$A$5:$A$49,0)))</f>
        <v/>
      </c>
      <c r="F80" s="92">
        <f>IF(C80="","",INDEX(Catalogos!$F$5:$F$49,MATCH(LEFT(C80,7),Catalogos!$A$5:$A$49,0)))</f>
        <v/>
      </c>
      <c r="G80" s="96" t="n"/>
      <c r="H80" s="96" t="n"/>
      <c r="I80" s="96" t="n"/>
      <c r="J80" s="96" t="n"/>
      <c r="K80" s="97" t="n"/>
      <c r="L80" s="97" t="n"/>
      <c r="M80" s="96" t="n"/>
      <c r="N80" s="96" t="n"/>
      <c r="O80" s="96" t="n"/>
      <c r="P80" s="96" t="n"/>
      <c r="Q80" s="96" t="n"/>
      <c r="R80" s="96" t="n"/>
      <c r="S80" s="92">
        <f>IF(R80="","",INDEX(Catalogos!$Y$5:$Y$25,MATCH(R80,L_IMP,0)))</f>
        <v/>
      </c>
      <c r="T80" s="96" t="n"/>
      <c r="U80" s="96" t="n"/>
      <c r="V80" s="96" t="n"/>
      <c r="W80" s="91">
        <f>IF(H80="","Pendiente por formular",IF(OR(J80="",K80="",L80="",M80="",N80="",O80="",Q80="",R80="",B80="",C80="",G80=""),"Incompleta: faltan campos obligatorios",IF(OR(NOT(ISNUMBER(K80)),NOT(ISNUMBER(L80))),"Fecha inválida",IF(L80&lt;K80,"La fecha de fin es anterior a la de inicio",IF(OR(YEAR(K80)&lt;&gt;2027,YEAR(L80)&lt;&gt;2027),"Fechas fuera de la vigencia 2027",IF(ISERROR(SEARCH("@itc.edu.co",M80)),"El responsable no tiene correo institucional",IF(ISERROR(SEARCH(Q80,INDEX(Catalogos!$Z$5:$Z$25,MATCH(R80,L_IMP,0)))),"La dimensión no corresponde al indicador de impacto","OK")))))))</f>
        <v/>
      </c>
    </row>
    <row r="81" ht="14.25" customHeight="1" s="23">
      <c r="A81" s="92" t="n">
        <v>31</v>
      </c>
      <c r="B81" s="96" t="n"/>
      <c r="C81" s="96" t="n"/>
      <c r="D81" s="92">
        <f>IF(C81="","",INDEX(Catalogos!$C$5:$C$49,MATCH(LEFT(C81,7),Catalogos!$A$5:$A$49,0)))</f>
        <v/>
      </c>
      <c r="E81" s="92">
        <f>IF(C81="","",INDEX(Catalogos!$D$5:$D$49,MATCH(LEFT(C81,7),Catalogos!$A$5:$A$49,0))&amp;" "&amp;INDEX(Catalogos!$E$5:$E$49,MATCH(LEFT(C81,7),Catalogos!$A$5:$A$49,0)))</f>
        <v/>
      </c>
      <c r="F81" s="92">
        <f>IF(C81="","",INDEX(Catalogos!$F$5:$F$49,MATCH(LEFT(C81,7),Catalogos!$A$5:$A$49,0)))</f>
        <v/>
      </c>
      <c r="G81" s="96" t="n"/>
      <c r="H81" s="96" t="n"/>
      <c r="I81" s="96" t="n"/>
      <c r="J81" s="96" t="n"/>
      <c r="K81" s="97" t="n"/>
      <c r="L81" s="97" t="n"/>
      <c r="M81" s="96" t="n"/>
      <c r="N81" s="96" t="n"/>
      <c r="O81" s="96" t="n"/>
      <c r="P81" s="96" t="n"/>
      <c r="Q81" s="96" t="n"/>
      <c r="R81" s="96" t="n"/>
      <c r="S81" s="92">
        <f>IF(R81="","",INDEX(Catalogos!$Y$5:$Y$25,MATCH(R81,L_IMP,0)))</f>
        <v/>
      </c>
      <c r="T81" s="96" t="n"/>
      <c r="U81" s="96" t="n"/>
      <c r="V81" s="96" t="n"/>
      <c r="W81" s="91">
        <f>IF(H81="","Pendiente por formular",IF(OR(J81="",K81="",L81="",M81="",N81="",O81="",Q81="",R81="",B81="",C81="",G81=""),"Incompleta: faltan campos obligatorios",IF(OR(NOT(ISNUMBER(K81)),NOT(ISNUMBER(L81))),"Fecha inválida",IF(L81&lt;K81,"La fecha de fin es anterior a la de inicio",IF(OR(YEAR(K81)&lt;&gt;2027,YEAR(L81)&lt;&gt;2027),"Fechas fuera de la vigencia 2027",IF(ISERROR(SEARCH("@itc.edu.co",M81)),"El responsable no tiene correo institucional",IF(ISERROR(SEARCH(Q81,INDEX(Catalogos!$Z$5:$Z$25,MATCH(R81,L_IMP,0)))),"La dimensión no corresponde al indicador de impacto","OK")))))))</f>
        <v/>
      </c>
    </row>
    <row r="82" ht="14.25" customHeight="1" s="23">
      <c r="A82" s="92" t="n">
        <v>32</v>
      </c>
      <c r="B82" s="96" t="n"/>
      <c r="C82" s="96" t="n"/>
      <c r="D82" s="92">
        <f>IF(C82="","",INDEX(Catalogos!$C$5:$C$49,MATCH(LEFT(C82,7),Catalogos!$A$5:$A$49,0)))</f>
        <v/>
      </c>
      <c r="E82" s="92">
        <f>IF(C82="","",INDEX(Catalogos!$D$5:$D$49,MATCH(LEFT(C82,7),Catalogos!$A$5:$A$49,0))&amp;" "&amp;INDEX(Catalogos!$E$5:$E$49,MATCH(LEFT(C82,7),Catalogos!$A$5:$A$49,0)))</f>
        <v/>
      </c>
      <c r="F82" s="92">
        <f>IF(C82="","",INDEX(Catalogos!$F$5:$F$49,MATCH(LEFT(C82,7),Catalogos!$A$5:$A$49,0)))</f>
        <v/>
      </c>
      <c r="G82" s="96" t="n"/>
      <c r="H82" s="96" t="n"/>
      <c r="I82" s="96" t="n"/>
      <c r="J82" s="96" t="n"/>
      <c r="K82" s="97" t="n"/>
      <c r="L82" s="97" t="n"/>
      <c r="M82" s="96" t="n"/>
      <c r="N82" s="96" t="n"/>
      <c r="O82" s="96" t="n"/>
      <c r="P82" s="96" t="n"/>
      <c r="Q82" s="96" t="n"/>
      <c r="R82" s="96" t="n"/>
      <c r="S82" s="92">
        <f>IF(R82="","",INDEX(Catalogos!$Y$5:$Y$25,MATCH(R82,L_IMP,0)))</f>
        <v/>
      </c>
      <c r="T82" s="96" t="n"/>
      <c r="U82" s="96" t="n"/>
      <c r="V82" s="96" t="n"/>
      <c r="W82" s="91">
        <f>IF(H82="","Pendiente por formular",IF(OR(J82="",K82="",L82="",M82="",N82="",O82="",Q82="",R82="",B82="",C82="",G82=""),"Incompleta: faltan campos obligatorios",IF(OR(NOT(ISNUMBER(K82)),NOT(ISNUMBER(L82))),"Fecha inválida",IF(L82&lt;K82,"La fecha de fin es anterior a la de inicio",IF(OR(YEAR(K82)&lt;&gt;2027,YEAR(L82)&lt;&gt;2027),"Fechas fuera de la vigencia 2027",IF(ISERROR(SEARCH("@itc.edu.co",M82)),"El responsable no tiene correo institucional",IF(ISERROR(SEARCH(Q82,INDEX(Catalogos!$Z$5:$Z$25,MATCH(R82,L_IMP,0)))),"La dimensión no corresponde al indicador de impacto","OK")))))))</f>
        <v/>
      </c>
    </row>
    <row r="83" ht="14.25" customHeight="1" s="23">
      <c r="A83" s="92" t="n">
        <v>33</v>
      </c>
      <c r="B83" s="96" t="n"/>
      <c r="C83" s="96" t="n"/>
      <c r="D83" s="92">
        <f>IF(C83="","",INDEX(Catalogos!$C$5:$C$49,MATCH(LEFT(C83,7),Catalogos!$A$5:$A$49,0)))</f>
        <v/>
      </c>
      <c r="E83" s="92">
        <f>IF(C83="","",INDEX(Catalogos!$D$5:$D$49,MATCH(LEFT(C83,7),Catalogos!$A$5:$A$49,0))&amp;" "&amp;INDEX(Catalogos!$E$5:$E$49,MATCH(LEFT(C83,7),Catalogos!$A$5:$A$49,0)))</f>
        <v/>
      </c>
      <c r="F83" s="92">
        <f>IF(C83="","",INDEX(Catalogos!$F$5:$F$49,MATCH(LEFT(C83,7),Catalogos!$A$5:$A$49,0)))</f>
        <v/>
      </c>
      <c r="G83" s="96" t="n"/>
      <c r="H83" s="96" t="n"/>
      <c r="I83" s="96" t="n"/>
      <c r="J83" s="96" t="n"/>
      <c r="K83" s="97" t="n"/>
      <c r="L83" s="97" t="n"/>
      <c r="M83" s="96" t="n"/>
      <c r="N83" s="96" t="n"/>
      <c r="O83" s="96" t="n"/>
      <c r="P83" s="96" t="n"/>
      <c r="Q83" s="96" t="n"/>
      <c r="R83" s="96" t="n"/>
      <c r="S83" s="92">
        <f>IF(R83="","",INDEX(Catalogos!$Y$5:$Y$25,MATCH(R83,L_IMP,0)))</f>
        <v/>
      </c>
      <c r="T83" s="96" t="n"/>
      <c r="U83" s="96" t="n"/>
      <c r="V83" s="96" t="n"/>
      <c r="W83" s="91">
        <f>IF(H83="","Pendiente por formular",IF(OR(J83="",K83="",L83="",M83="",N83="",O83="",Q83="",R83="",B83="",C83="",G83=""),"Incompleta: faltan campos obligatorios",IF(OR(NOT(ISNUMBER(K83)),NOT(ISNUMBER(L83))),"Fecha inválida",IF(L83&lt;K83,"La fecha de fin es anterior a la de inicio",IF(OR(YEAR(K83)&lt;&gt;2027,YEAR(L83)&lt;&gt;2027),"Fechas fuera de la vigencia 2027",IF(ISERROR(SEARCH("@itc.edu.co",M83)),"El responsable no tiene correo institucional",IF(ISERROR(SEARCH(Q83,INDEX(Catalogos!$Z$5:$Z$25,MATCH(R83,L_IMP,0)))),"La dimensión no corresponde al indicador de impacto","OK")))))))</f>
        <v/>
      </c>
    </row>
    <row r="84" ht="14.25" customHeight="1" s="23">
      <c r="A84" s="92" t="n">
        <v>34</v>
      </c>
      <c r="B84" s="96" t="n"/>
      <c r="C84" s="96" t="n"/>
      <c r="D84" s="92">
        <f>IF(C84="","",INDEX(Catalogos!$C$5:$C$49,MATCH(LEFT(C84,7),Catalogos!$A$5:$A$49,0)))</f>
        <v/>
      </c>
      <c r="E84" s="92">
        <f>IF(C84="","",INDEX(Catalogos!$D$5:$D$49,MATCH(LEFT(C84,7),Catalogos!$A$5:$A$49,0))&amp;" "&amp;INDEX(Catalogos!$E$5:$E$49,MATCH(LEFT(C84,7),Catalogos!$A$5:$A$49,0)))</f>
        <v/>
      </c>
      <c r="F84" s="92">
        <f>IF(C84="","",INDEX(Catalogos!$F$5:$F$49,MATCH(LEFT(C84,7),Catalogos!$A$5:$A$49,0)))</f>
        <v/>
      </c>
      <c r="G84" s="96" t="n"/>
      <c r="H84" s="96" t="n"/>
      <c r="I84" s="96" t="n"/>
      <c r="J84" s="96" t="n"/>
      <c r="K84" s="97" t="n"/>
      <c r="L84" s="97" t="n"/>
      <c r="M84" s="96" t="n"/>
      <c r="N84" s="96" t="n"/>
      <c r="O84" s="96" t="n"/>
      <c r="P84" s="96" t="n"/>
      <c r="Q84" s="96" t="n"/>
      <c r="R84" s="96" t="n"/>
      <c r="S84" s="92">
        <f>IF(R84="","",INDEX(Catalogos!$Y$5:$Y$25,MATCH(R84,L_IMP,0)))</f>
        <v/>
      </c>
      <c r="T84" s="96" t="n"/>
      <c r="U84" s="96" t="n"/>
      <c r="V84" s="96" t="n"/>
      <c r="W84" s="91">
        <f>IF(H84="","Pendiente por formular",IF(OR(J84="",K84="",L84="",M84="",N84="",O84="",Q84="",R84="",B84="",C84="",G84=""),"Incompleta: faltan campos obligatorios",IF(OR(NOT(ISNUMBER(K84)),NOT(ISNUMBER(L84))),"Fecha inválida",IF(L84&lt;K84,"La fecha de fin es anterior a la de inicio",IF(OR(YEAR(K84)&lt;&gt;2027,YEAR(L84)&lt;&gt;2027),"Fechas fuera de la vigencia 2027",IF(ISERROR(SEARCH("@itc.edu.co",M84)),"El responsable no tiene correo institucional",IF(ISERROR(SEARCH(Q84,INDEX(Catalogos!$Z$5:$Z$25,MATCH(R84,L_IMP,0)))),"La dimensión no corresponde al indicador de impacto","OK")))))))</f>
        <v/>
      </c>
    </row>
    <row r="85" ht="14.25" customHeight="1" s="23">
      <c r="A85" s="92" t="n">
        <v>35</v>
      </c>
      <c r="B85" s="96" t="n"/>
      <c r="C85" s="96" t="n"/>
      <c r="D85" s="92">
        <f>IF(C85="","",INDEX(Catalogos!$C$5:$C$49,MATCH(LEFT(C85,7),Catalogos!$A$5:$A$49,0)))</f>
        <v/>
      </c>
      <c r="E85" s="92">
        <f>IF(C85="","",INDEX(Catalogos!$D$5:$D$49,MATCH(LEFT(C85,7),Catalogos!$A$5:$A$49,0))&amp;" "&amp;INDEX(Catalogos!$E$5:$E$49,MATCH(LEFT(C85,7),Catalogos!$A$5:$A$49,0)))</f>
        <v/>
      </c>
      <c r="F85" s="92">
        <f>IF(C85="","",INDEX(Catalogos!$F$5:$F$49,MATCH(LEFT(C85,7),Catalogos!$A$5:$A$49,0)))</f>
        <v/>
      </c>
      <c r="G85" s="96" t="n"/>
      <c r="H85" s="96" t="n"/>
      <c r="I85" s="96" t="n"/>
      <c r="J85" s="96" t="n"/>
      <c r="K85" s="97" t="n"/>
      <c r="L85" s="97" t="n"/>
      <c r="M85" s="96" t="n"/>
      <c r="N85" s="96" t="n"/>
      <c r="O85" s="96" t="n"/>
      <c r="P85" s="96" t="n"/>
      <c r="Q85" s="96" t="n"/>
      <c r="R85" s="96" t="n"/>
      <c r="S85" s="92">
        <f>IF(R85="","",INDEX(Catalogos!$Y$5:$Y$25,MATCH(R85,L_IMP,0)))</f>
        <v/>
      </c>
      <c r="T85" s="96" t="n"/>
      <c r="U85" s="96" t="n"/>
      <c r="V85" s="96" t="n"/>
      <c r="W85" s="91">
        <f>IF(H85="","Pendiente por formular",IF(OR(J85="",K85="",L85="",M85="",N85="",O85="",Q85="",R85="",B85="",C85="",G85=""),"Incompleta: faltan campos obligatorios",IF(OR(NOT(ISNUMBER(K85)),NOT(ISNUMBER(L85))),"Fecha inválida",IF(L85&lt;K85,"La fecha de fin es anterior a la de inicio",IF(OR(YEAR(K85)&lt;&gt;2027,YEAR(L85)&lt;&gt;2027),"Fechas fuera de la vigencia 2027",IF(ISERROR(SEARCH("@itc.edu.co",M85)),"El responsable no tiene correo institucional",IF(ISERROR(SEARCH(Q85,INDEX(Catalogos!$Z$5:$Z$25,MATCH(R85,L_IMP,0)))),"La dimensión no corresponde al indicador de impacto","OK")))))))</f>
        <v/>
      </c>
    </row>
    <row r="86" ht="14.25" customHeight="1" s="23">
      <c r="A86" s="92" t="n">
        <v>36</v>
      </c>
      <c r="B86" s="96" t="n"/>
      <c r="C86" s="96" t="n"/>
      <c r="D86" s="92">
        <f>IF(C86="","",INDEX(Catalogos!$C$5:$C$49,MATCH(LEFT(C86,7),Catalogos!$A$5:$A$49,0)))</f>
        <v/>
      </c>
      <c r="E86" s="92">
        <f>IF(C86="","",INDEX(Catalogos!$D$5:$D$49,MATCH(LEFT(C86,7),Catalogos!$A$5:$A$49,0))&amp;" "&amp;INDEX(Catalogos!$E$5:$E$49,MATCH(LEFT(C86,7),Catalogos!$A$5:$A$49,0)))</f>
        <v/>
      </c>
      <c r="F86" s="92">
        <f>IF(C86="","",INDEX(Catalogos!$F$5:$F$49,MATCH(LEFT(C86,7),Catalogos!$A$5:$A$49,0)))</f>
        <v/>
      </c>
      <c r="G86" s="96" t="n"/>
      <c r="H86" s="96" t="n"/>
      <c r="I86" s="96" t="n"/>
      <c r="J86" s="96" t="n"/>
      <c r="K86" s="97" t="n"/>
      <c r="L86" s="97" t="n"/>
      <c r="M86" s="96" t="n"/>
      <c r="N86" s="96" t="n"/>
      <c r="O86" s="96" t="n"/>
      <c r="P86" s="96" t="n"/>
      <c r="Q86" s="96" t="n"/>
      <c r="R86" s="96" t="n"/>
      <c r="S86" s="92">
        <f>IF(R86="","",INDEX(Catalogos!$Y$5:$Y$25,MATCH(R86,L_IMP,0)))</f>
        <v/>
      </c>
      <c r="T86" s="96" t="n"/>
      <c r="U86" s="96" t="n"/>
      <c r="V86" s="96" t="n"/>
      <c r="W86" s="91">
        <f>IF(H86="","Pendiente por formular",IF(OR(J86="",K86="",L86="",M86="",N86="",O86="",Q86="",R86="",B86="",C86="",G86=""),"Incompleta: faltan campos obligatorios",IF(OR(NOT(ISNUMBER(K86)),NOT(ISNUMBER(L86))),"Fecha inválida",IF(L86&lt;K86,"La fecha de fin es anterior a la de inicio",IF(OR(YEAR(K86)&lt;&gt;2027,YEAR(L86)&lt;&gt;2027),"Fechas fuera de la vigencia 2027",IF(ISERROR(SEARCH("@itc.edu.co",M86)),"El responsable no tiene correo institucional",IF(ISERROR(SEARCH(Q86,INDEX(Catalogos!$Z$5:$Z$25,MATCH(R86,L_IMP,0)))),"La dimensión no corresponde al indicador de impacto","OK")))))))</f>
        <v/>
      </c>
    </row>
    <row r="87" ht="14.25" customHeight="1" s="23">
      <c r="A87" s="92" t="n">
        <v>37</v>
      </c>
      <c r="B87" s="96" t="n"/>
      <c r="C87" s="96" t="n"/>
      <c r="D87" s="92">
        <f>IF(C87="","",INDEX(Catalogos!$C$5:$C$49,MATCH(LEFT(C87,7),Catalogos!$A$5:$A$49,0)))</f>
        <v/>
      </c>
      <c r="E87" s="92">
        <f>IF(C87="","",INDEX(Catalogos!$D$5:$D$49,MATCH(LEFT(C87,7),Catalogos!$A$5:$A$49,0))&amp;" "&amp;INDEX(Catalogos!$E$5:$E$49,MATCH(LEFT(C87,7),Catalogos!$A$5:$A$49,0)))</f>
        <v/>
      </c>
      <c r="F87" s="92">
        <f>IF(C87="","",INDEX(Catalogos!$F$5:$F$49,MATCH(LEFT(C87,7),Catalogos!$A$5:$A$49,0)))</f>
        <v/>
      </c>
      <c r="G87" s="96" t="n"/>
      <c r="H87" s="96" t="n"/>
      <c r="I87" s="96" t="n"/>
      <c r="J87" s="96" t="n"/>
      <c r="K87" s="97" t="n"/>
      <c r="L87" s="97" t="n"/>
      <c r="M87" s="96" t="n"/>
      <c r="N87" s="96" t="n"/>
      <c r="O87" s="96" t="n"/>
      <c r="P87" s="96" t="n"/>
      <c r="Q87" s="96" t="n"/>
      <c r="R87" s="96" t="n"/>
      <c r="S87" s="92">
        <f>IF(R87="","",INDEX(Catalogos!$Y$5:$Y$25,MATCH(R87,L_IMP,0)))</f>
        <v/>
      </c>
      <c r="T87" s="96" t="n"/>
      <c r="U87" s="96" t="n"/>
      <c r="V87" s="96" t="n"/>
      <c r="W87" s="91">
        <f>IF(H87="","Pendiente por formular",IF(OR(J87="",K87="",L87="",M87="",N87="",O87="",Q87="",R87="",B87="",C87="",G87=""),"Incompleta: faltan campos obligatorios",IF(OR(NOT(ISNUMBER(K87)),NOT(ISNUMBER(L87))),"Fecha inválida",IF(L87&lt;K87,"La fecha de fin es anterior a la de inicio",IF(OR(YEAR(K87)&lt;&gt;2027,YEAR(L87)&lt;&gt;2027),"Fechas fuera de la vigencia 2027",IF(ISERROR(SEARCH("@itc.edu.co",M87)),"El responsable no tiene correo institucional",IF(ISERROR(SEARCH(Q87,INDEX(Catalogos!$Z$5:$Z$25,MATCH(R87,L_IMP,0)))),"La dimensión no corresponde al indicador de impacto","OK")))))))</f>
        <v/>
      </c>
    </row>
    <row r="88" ht="14.25" customHeight="1" s="23">
      <c r="A88" s="92" t="n">
        <v>38</v>
      </c>
      <c r="B88" s="96" t="n"/>
      <c r="C88" s="96" t="n"/>
      <c r="D88" s="92">
        <f>IF(C88="","",INDEX(Catalogos!$C$5:$C$49,MATCH(LEFT(C88,7),Catalogos!$A$5:$A$49,0)))</f>
        <v/>
      </c>
      <c r="E88" s="92">
        <f>IF(C88="","",INDEX(Catalogos!$D$5:$D$49,MATCH(LEFT(C88,7),Catalogos!$A$5:$A$49,0))&amp;" "&amp;INDEX(Catalogos!$E$5:$E$49,MATCH(LEFT(C88,7),Catalogos!$A$5:$A$49,0)))</f>
        <v/>
      </c>
      <c r="F88" s="92">
        <f>IF(C88="","",INDEX(Catalogos!$F$5:$F$49,MATCH(LEFT(C88,7),Catalogos!$A$5:$A$49,0)))</f>
        <v/>
      </c>
      <c r="G88" s="96" t="n"/>
      <c r="H88" s="96" t="n"/>
      <c r="I88" s="96" t="n"/>
      <c r="J88" s="96" t="n"/>
      <c r="K88" s="97" t="n"/>
      <c r="L88" s="97" t="n"/>
      <c r="M88" s="96" t="n"/>
      <c r="N88" s="96" t="n"/>
      <c r="O88" s="96" t="n"/>
      <c r="P88" s="96" t="n"/>
      <c r="Q88" s="96" t="n"/>
      <c r="R88" s="96" t="n"/>
      <c r="S88" s="92">
        <f>IF(R88="","",INDEX(Catalogos!$Y$5:$Y$25,MATCH(R88,L_IMP,0)))</f>
        <v/>
      </c>
      <c r="T88" s="96" t="n"/>
      <c r="U88" s="96" t="n"/>
      <c r="V88" s="96" t="n"/>
      <c r="W88" s="91">
        <f>IF(H88="","Pendiente por formular",IF(OR(J88="",K88="",L88="",M88="",N88="",O88="",Q88="",R88="",B88="",C88="",G88=""),"Incompleta: faltan campos obligatorios",IF(OR(NOT(ISNUMBER(K88)),NOT(ISNUMBER(L88))),"Fecha inválida",IF(L88&lt;K88,"La fecha de fin es anterior a la de inicio",IF(OR(YEAR(K88)&lt;&gt;2027,YEAR(L88)&lt;&gt;2027),"Fechas fuera de la vigencia 2027",IF(ISERROR(SEARCH("@itc.edu.co",M88)),"El responsable no tiene correo institucional",IF(ISERROR(SEARCH(Q88,INDEX(Catalogos!$Z$5:$Z$25,MATCH(R88,L_IMP,0)))),"La dimensión no corresponde al indicador de impacto","OK")))))))</f>
        <v/>
      </c>
    </row>
    <row r="89" ht="14.25" customHeight="1" s="23">
      <c r="A89" s="92" t="n">
        <v>39</v>
      </c>
      <c r="B89" s="96" t="n"/>
      <c r="C89" s="96" t="n"/>
      <c r="D89" s="92">
        <f>IF(C89="","",INDEX(Catalogos!$C$5:$C$49,MATCH(LEFT(C89,7),Catalogos!$A$5:$A$49,0)))</f>
        <v/>
      </c>
      <c r="E89" s="92">
        <f>IF(C89="","",INDEX(Catalogos!$D$5:$D$49,MATCH(LEFT(C89,7),Catalogos!$A$5:$A$49,0))&amp;" "&amp;INDEX(Catalogos!$E$5:$E$49,MATCH(LEFT(C89,7),Catalogos!$A$5:$A$49,0)))</f>
        <v/>
      </c>
      <c r="F89" s="92">
        <f>IF(C89="","",INDEX(Catalogos!$F$5:$F$49,MATCH(LEFT(C89,7),Catalogos!$A$5:$A$49,0)))</f>
        <v/>
      </c>
      <c r="G89" s="96" t="n"/>
      <c r="H89" s="96" t="n"/>
      <c r="I89" s="96" t="n"/>
      <c r="J89" s="96" t="n"/>
      <c r="K89" s="97" t="n"/>
      <c r="L89" s="97" t="n"/>
      <c r="M89" s="96" t="n"/>
      <c r="N89" s="96" t="n"/>
      <c r="O89" s="96" t="n"/>
      <c r="P89" s="96" t="n"/>
      <c r="Q89" s="96" t="n"/>
      <c r="R89" s="96" t="n"/>
      <c r="S89" s="92">
        <f>IF(R89="","",INDEX(Catalogos!$Y$5:$Y$25,MATCH(R89,L_IMP,0)))</f>
        <v/>
      </c>
      <c r="T89" s="96" t="n"/>
      <c r="U89" s="96" t="n"/>
      <c r="V89" s="96" t="n"/>
      <c r="W89" s="91">
        <f>IF(H89="","Pendiente por formular",IF(OR(J89="",K89="",L89="",M89="",N89="",O89="",Q89="",R89="",B89="",C89="",G89=""),"Incompleta: faltan campos obligatorios",IF(OR(NOT(ISNUMBER(K89)),NOT(ISNUMBER(L89))),"Fecha inválida",IF(L89&lt;K89,"La fecha de fin es anterior a la de inicio",IF(OR(YEAR(K89)&lt;&gt;2027,YEAR(L89)&lt;&gt;2027),"Fechas fuera de la vigencia 2027",IF(ISERROR(SEARCH("@itc.edu.co",M89)),"El responsable no tiene correo institucional",IF(ISERROR(SEARCH(Q89,INDEX(Catalogos!$Z$5:$Z$25,MATCH(R89,L_IMP,0)))),"La dimensión no corresponde al indicador de impacto","OK")))))))</f>
        <v/>
      </c>
    </row>
    <row r="90" ht="14.25" customHeight="1" s="23">
      <c r="A90" s="92" t="n">
        <v>40</v>
      </c>
      <c r="B90" s="96" t="n"/>
      <c r="C90" s="96" t="n"/>
      <c r="D90" s="92">
        <f>IF(C90="","",INDEX(Catalogos!$C$5:$C$49,MATCH(LEFT(C90,7),Catalogos!$A$5:$A$49,0)))</f>
        <v/>
      </c>
      <c r="E90" s="92">
        <f>IF(C90="","",INDEX(Catalogos!$D$5:$D$49,MATCH(LEFT(C90,7),Catalogos!$A$5:$A$49,0))&amp;" "&amp;INDEX(Catalogos!$E$5:$E$49,MATCH(LEFT(C90,7),Catalogos!$A$5:$A$49,0)))</f>
        <v/>
      </c>
      <c r="F90" s="92">
        <f>IF(C90="","",INDEX(Catalogos!$F$5:$F$49,MATCH(LEFT(C90,7),Catalogos!$A$5:$A$49,0)))</f>
        <v/>
      </c>
      <c r="G90" s="96" t="n"/>
      <c r="H90" s="96" t="n"/>
      <c r="I90" s="96" t="n"/>
      <c r="J90" s="96" t="n"/>
      <c r="K90" s="97" t="n"/>
      <c r="L90" s="97" t="n"/>
      <c r="M90" s="96" t="n"/>
      <c r="N90" s="96" t="n"/>
      <c r="O90" s="96" t="n"/>
      <c r="P90" s="96" t="n"/>
      <c r="Q90" s="96" t="n"/>
      <c r="R90" s="96" t="n"/>
      <c r="S90" s="92">
        <f>IF(R90="","",INDEX(Catalogos!$Y$5:$Y$25,MATCH(R90,L_IMP,0)))</f>
        <v/>
      </c>
      <c r="T90" s="96" t="n"/>
      <c r="U90" s="96" t="n"/>
      <c r="V90" s="96" t="n"/>
      <c r="W90" s="91">
        <f>IF(H90="","Pendiente por formular",IF(OR(J90="",K90="",L90="",M90="",N90="",O90="",Q90="",R90="",B90="",C90="",G90=""),"Incompleta: faltan campos obligatorios",IF(OR(NOT(ISNUMBER(K90)),NOT(ISNUMBER(L90))),"Fecha inválida",IF(L90&lt;K90,"La fecha de fin es anterior a la de inicio",IF(OR(YEAR(K90)&lt;&gt;2027,YEAR(L90)&lt;&gt;2027),"Fechas fuera de la vigencia 2027",IF(ISERROR(SEARCH("@itc.edu.co",M90)),"El responsable no tiene correo institucional",IF(ISERROR(SEARCH(Q90,INDEX(Catalogos!$Z$5:$Z$25,MATCH(R90,L_IMP,0)))),"La dimensión no corresponde al indicador de impacto","OK")))))))</f>
        <v/>
      </c>
    </row>
    <row r="91" ht="14.25" customHeight="1" s="23">
      <c r="A91" s="92" t="n">
        <v>41</v>
      </c>
      <c r="B91" s="96" t="n"/>
      <c r="C91" s="96" t="n"/>
      <c r="D91" s="92">
        <f>IF(C91="","",INDEX(Catalogos!$C$5:$C$49,MATCH(LEFT(C91,7),Catalogos!$A$5:$A$49,0)))</f>
        <v/>
      </c>
      <c r="E91" s="92">
        <f>IF(C91="","",INDEX(Catalogos!$D$5:$D$49,MATCH(LEFT(C91,7),Catalogos!$A$5:$A$49,0))&amp;" "&amp;INDEX(Catalogos!$E$5:$E$49,MATCH(LEFT(C91,7),Catalogos!$A$5:$A$49,0)))</f>
        <v/>
      </c>
      <c r="F91" s="92">
        <f>IF(C91="","",INDEX(Catalogos!$F$5:$F$49,MATCH(LEFT(C91,7),Catalogos!$A$5:$A$49,0)))</f>
        <v/>
      </c>
      <c r="G91" s="96" t="n"/>
      <c r="H91" s="96" t="n"/>
      <c r="I91" s="96" t="n"/>
      <c r="J91" s="96" t="n"/>
      <c r="K91" s="97" t="n"/>
      <c r="L91" s="97" t="n"/>
      <c r="M91" s="96" t="n"/>
      <c r="N91" s="96" t="n"/>
      <c r="O91" s="96" t="n"/>
      <c r="P91" s="96" t="n"/>
      <c r="Q91" s="96" t="n"/>
      <c r="R91" s="96" t="n"/>
      <c r="S91" s="92">
        <f>IF(R91="","",INDEX(Catalogos!$Y$5:$Y$25,MATCH(R91,L_IMP,0)))</f>
        <v/>
      </c>
      <c r="T91" s="96" t="n"/>
      <c r="U91" s="96" t="n"/>
      <c r="V91" s="96" t="n"/>
      <c r="W91" s="91">
        <f>IF(H91="","Pendiente por formular",IF(OR(J91="",K91="",L91="",M91="",N91="",O91="",Q91="",R91="",B91="",C91="",G91=""),"Incompleta: faltan campos obligatorios",IF(OR(NOT(ISNUMBER(K91)),NOT(ISNUMBER(L91))),"Fecha inválida",IF(L91&lt;K91,"La fecha de fin es anterior a la de inicio",IF(OR(YEAR(K91)&lt;&gt;2027,YEAR(L91)&lt;&gt;2027),"Fechas fuera de la vigencia 2027",IF(ISERROR(SEARCH("@itc.edu.co",M91)),"El responsable no tiene correo institucional",IF(ISERROR(SEARCH(Q91,INDEX(Catalogos!$Z$5:$Z$25,MATCH(R91,L_IMP,0)))),"La dimensión no corresponde al indicador de impacto","OK")))))))</f>
        <v/>
      </c>
    </row>
    <row r="92" ht="14.25" customHeight="1" s="23">
      <c r="A92" s="92" t="n">
        <v>42</v>
      </c>
      <c r="B92" s="96" t="n"/>
      <c r="C92" s="96" t="n"/>
      <c r="D92" s="92">
        <f>IF(C92="","",INDEX(Catalogos!$C$5:$C$49,MATCH(LEFT(C92,7),Catalogos!$A$5:$A$49,0)))</f>
        <v/>
      </c>
      <c r="E92" s="92">
        <f>IF(C92="","",INDEX(Catalogos!$D$5:$D$49,MATCH(LEFT(C92,7),Catalogos!$A$5:$A$49,0))&amp;" "&amp;INDEX(Catalogos!$E$5:$E$49,MATCH(LEFT(C92,7),Catalogos!$A$5:$A$49,0)))</f>
        <v/>
      </c>
      <c r="F92" s="92">
        <f>IF(C92="","",INDEX(Catalogos!$F$5:$F$49,MATCH(LEFT(C92,7),Catalogos!$A$5:$A$49,0)))</f>
        <v/>
      </c>
      <c r="G92" s="96" t="n"/>
      <c r="H92" s="96" t="n"/>
      <c r="I92" s="96" t="n"/>
      <c r="J92" s="96" t="n"/>
      <c r="K92" s="97" t="n"/>
      <c r="L92" s="97" t="n"/>
      <c r="M92" s="96" t="n"/>
      <c r="N92" s="96" t="n"/>
      <c r="O92" s="96" t="n"/>
      <c r="P92" s="96" t="n"/>
      <c r="Q92" s="96" t="n"/>
      <c r="R92" s="96" t="n"/>
      <c r="S92" s="92">
        <f>IF(R92="","",INDEX(Catalogos!$Y$5:$Y$25,MATCH(R92,L_IMP,0)))</f>
        <v/>
      </c>
      <c r="T92" s="96" t="n"/>
      <c r="U92" s="96" t="n"/>
      <c r="V92" s="96" t="n"/>
      <c r="W92" s="91">
        <f>IF(H92="","Pendiente por formular",IF(OR(J92="",K92="",L92="",M92="",N92="",O92="",Q92="",R92="",B92="",C92="",G92=""),"Incompleta: faltan campos obligatorios",IF(OR(NOT(ISNUMBER(K92)),NOT(ISNUMBER(L92))),"Fecha inválida",IF(L92&lt;K92,"La fecha de fin es anterior a la de inicio",IF(OR(YEAR(K92)&lt;&gt;2027,YEAR(L92)&lt;&gt;2027),"Fechas fuera de la vigencia 2027",IF(ISERROR(SEARCH("@itc.edu.co",M92)),"El responsable no tiene correo institucional",IF(ISERROR(SEARCH(Q92,INDEX(Catalogos!$Z$5:$Z$25,MATCH(R92,L_IMP,0)))),"La dimensión no corresponde al indicador de impacto","OK")))))))</f>
        <v/>
      </c>
    </row>
    <row r="93" ht="14.25" customHeight="1" s="23">
      <c r="A93" s="92" t="n">
        <v>43</v>
      </c>
      <c r="B93" s="96" t="n"/>
      <c r="C93" s="96" t="n"/>
      <c r="D93" s="92">
        <f>IF(C93="","",INDEX(Catalogos!$C$5:$C$49,MATCH(LEFT(C93,7),Catalogos!$A$5:$A$49,0)))</f>
        <v/>
      </c>
      <c r="E93" s="92">
        <f>IF(C93="","",INDEX(Catalogos!$D$5:$D$49,MATCH(LEFT(C93,7),Catalogos!$A$5:$A$49,0))&amp;" "&amp;INDEX(Catalogos!$E$5:$E$49,MATCH(LEFT(C93,7),Catalogos!$A$5:$A$49,0)))</f>
        <v/>
      </c>
      <c r="F93" s="92">
        <f>IF(C93="","",INDEX(Catalogos!$F$5:$F$49,MATCH(LEFT(C93,7),Catalogos!$A$5:$A$49,0)))</f>
        <v/>
      </c>
      <c r="G93" s="96" t="n"/>
      <c r="H93" s="96" t="n"/>
      <c r="I93" s="96" t="n"/>
      <c r="J93" s="96" t="n"/>
      <c r="K93" s="97" t="n"/>
      <c r="L93" s="97" t="n"/>
      <c r="M93" s="96" t="n"/>
      <c r="N93" s="96" t="n"/>
      <c r="O93" s="96" t="n"/>
      <c r="P93" s="96" t="n"/>
      <c r="Q93" s="96" t="n"/>
      <c r="R93" s="96" t="n"/>
      <c r="S93" s="92">
        <f>IF(R93="","",INDEX(Catalogos!$Y$5:$Y$25,MATCH(R93,L_IMP,0)))</f>
        <v/>
      </c>
      <c r="T93" s="96" t="n"/>
      <c r="U93" s="96" t="n"/>
      <c r="V93" s="96" t="n"/>
      <c r="W93" s="91">
        <f>IF(H93="","Pendiente por formular",IF(OR(J93="",K93="",L93="",M93="",N93="",O93="",Q93="",R93="",B93="",C93="",G93=""),"Incompleta: faltan campos obligatorios",IF(OR(NOT(ISNUMBER(K93)),NOT(ISNUMBER(L93))),"Fecha inválida",IF(L93&lt;K93,"La fecha de fin es anterior a la de inicio",IF(OR(YEAR(K93)&lt;&gt;2027,YEAR(L93)&lt;&gt;2027),"Fechas fuera de la vigencia 2027",IF(ISERROR(SEARCH("@itc.edu.co",M93)),"El responsable no tiene correo institucional",IF(ISERROR(SEARCH(Q93,INDEX(Catalogos!$Z$5:$Z$25,MATCH(R93,L_IMP,0)))),"La dimensión no corresponde al indicador de impacto","OK")))))))</f>
        <v/>
      </c>
    </row>
    <row r="94" ht="14.25" customHeight="1" s="23">
      <c r="A94" s="92" t="n">
        <v>44</v>
      </c>
      <c r="B94" s="96" t="n"/>
      <c r="C94" s="96" t="n"/>
      <c r="D94" s="92">
        <f>IF(C94="","",INDEX(Catalogos!$C$5:$C$49,MATCH(LEFT(C94,7),Catalogos!$A$5:$A$49,0)))</f>
        <v/>
      </c>
      <c r="E94" s="92">
        <f>IF(C94="","",INDEX(Catalogos!$D$5:$D$49,MATCH(LEFT(C94,7),Catalogos!$A$5:$A$49,0))&amp;" "&amp;INDEX(Catalogos!$E$5:$E$49,MATCH(LEFT(C94,7),Catalogos!$A$5:$A$49,0)))</f>
        <v/>
      </c>
      <c r="F94" s="92">
        <f>IF(C94="","",INDEX(Catalogos!$F$5:$F$49,MATCH(LEFT(C94,7),Catalogos!$A$5:$A$49,0)))</f>
        <v/>
      </c>
      <c r="G94" s="96" t="n"/>
      <c r="H94" s="96" t="n"/>
      <c r="I94" s="96" t="n"/>
      <c r="J94" s="96" t="n"/>
      <c r="K94" s="97" t="n"/>
      <c r="L94" s="97" t="n"/>
      <c r="M94" s="96" t="n"/>
      <c r="N94" s="96" t="n"/>
      <c r="O94" s="96" t="n"/>
      <c r="P94" s="96" t="n"/>
      <c r="Q94" s="96" t="n"/>
      <c r="R94" s="96" t="n"/>
      <c r="S94" s="92">
        <f>IF(R94="","",INDEX(Catalogos!$Y$5:$Y$25,MATCH(R94,L_IMP,0)))</f>
        <v/>
      </c>
      <c r="T94" s="96" t="n"/>
      <c r="U94" s="96" t="n"/>
      <c r="V94" s="96" t="n"/>
      <c r="W94" s="91">
        <f>IF(H94="","Pendiente por formular",IF(OR(J94="",K94="",L94="",M94="",N94="",O94="",Q94="",R94="",B94="",C94="",G94=""),"Incompleta: faltan campos obligatorios",IF(OR(NOT(ISNUMBER(K94)),NOT(ISNUMBER(L94))),"Fecha inválida",IF(L94&lt;K94,"La fecha de fin es anterior a la de inicio",IF(OR(YEAR(K94)&lt;&gt;2027,YEAR(L94)&lt;&gt;2027),"Fechas fuera de la vigencia 2027",IF(ISERROR(SEARCH("@itc.edu.co",M94)),"El responsable no tiene correo institucional",IF(ISERROR(SEARCH(Q94,INDEX(Catalogos!$Z$5:$Z$25,MATCH(R94,L_IMP,0)))),"La dimensión no corresponde al indicador de impacto","OK")))))))</f>
        <v/>
      </c>
    </row>
    <row r="95" ht="14.25" customHeight="1" s="23">
      <c r="A95" s="92" t="n">
        <v>45</v>
      </c>
      <c r="B95" s="96" t="n"/>
      <c r="C95" s="96" t="n"/>
      <c r="D95" s="92">
        <f>IF(C95="","",INDEX(Catalogos!$C$5:$C$49,MATCH(LEFT(C95,7),Catalogos!$A$5:$A$49,0)))</f>
        <v/>
      </c>
      <c r="E95" s="92">
        <f>IF(C95="","",INDEX(Catalogos!$D$5:$D$49,MATCH(LEFT(C95,7),Catalogos!$A$5:$A$49,0))&amp;" "&amp;INDEX(Catalogos!$E$5:$E$49,MATCH(LEFT(C95,7),Catalogos!$A$5:$A$49,0)))</f>
        <v/>
      </c>
      <c r="F95" s="92">
        <f>IF(C95="","",INDEX(Catalogos!$F$5:$F$49,MATCH(LEFT(C95,7),Catalogos!$A$5:$A$49,0)))</f>
        <v/>
      </c>
      <c r="G95" s="96" t="n"/>
      <c r="H95" s="96" t="n"/>
      <c r="I95" s="96" t="n"/>
      <c r="J95" s="96" t="n"/>
      <c r="K95" s="97" t="n"/>
      <c r="L95" s="97" t="n"/>
      <c r="M95" s="96" t="n"/>
      <c r="N95" s="96" t="n"/>
      <c r="O95" s="96" t="n"/>
      <c r="P95" s="96" t="n"/>
      <c r="Q95" s="96" t="n"/>
      <c r="R95" s="96" t="n"/>
      <c r="S95" s="92">
        <f>IF(R95="","",INDEX(Catalogos!$Y$5:$Y$25,MATCH(R95,L_IMP,0)))</f>
        <v/>
      </c>
      <c r="T95" s="96" t="n"/>
      <c r="U95" s="96" t="n"/>
      <c r="V95" s="96" t="n"/>
      <c r="W95" s="91">
        <f>IF(H95="","Pendiente por formular",IF(OR(J95="",K95="",L95="",M95="",N95="",O95="",Q95="",R95="",B95="",C95="",G95=""),"Incompleta: faltan campos obligatorios",IF(OR(NOT(ISNUMBER(K95)),NOT(ISNUMBER(L95))),"Fecha inválida",IF(L95&lt;K95,"La fecha de fin es anterior a la de inicio",IF(OR(YEAR(K95)&lt;&gt;2027,YEAR(L95)&lt;&gt;2027),"Fechas fuera de la vigencia 2027",IF(ISERROR(SEARCH("@itc.edu.co",M95)),"El responsable no tiene correo institucional",IF(ISERROR(SEARCH(Q95,INDEX(Catalogos!$Z$5:$Z$25,MATCH(R95,L_IMP,0)))),"La dimensión no corresponde al indicador de impacto","OK")))))))</f>
        <v/>
      </c>
    </row>
    <row r="96" ht="14.25" customHeight="1" s="23">
      <c r="A96" s="92" t="n">
        <v>46</v>
      </c>
      <c r="B96" s="96" t="n"/>
      <c r="C96" s="96" t="n"/>
      <c r="D96" s="92">
        <f>IF(C96="","",INDEX(Catalogos!$C$5:$C$49,MATCH(LEFT(C96,7),Catalogos!$A$5:$A$49,0)))</f>
        <v/>
      </c>
      <c r="E96" s="92">
        <f>IF(C96="","",INDEX(Catalogos!$D$5:$D$49,MATCH(LEFT(C96,7),Catalogos!$A$5:$A$49,0))&amp;" "&amp;INDEX(Catalogos!$E$5:$E$49,MATCH(LEFT(C96,7),Catalogos!$A$5:$A$49,0)))</f>
        <v/>
      </c>
      <c r="F96" s="92">
        <f>IF(C96="","",INDEX(Catalogos!$F$5:$F$49,MATCH(LEFT(C96,7),Catalogos!$A$5:$A$49,0)))</f>
        <v/>
      </c>
      <c r="G96" s="96" t="n"/>
      <c r="H96" s="96" t="n"/>
      <c r="I96" s="96" t="n"/>
      <c r="J96" s="96" t="n"/>
      <c r="K96" s="97" t="n"/>
      <c r="L96" s="97" t="n"/>
      <c r="M96" s="96" t="n"/>
      <c r="N96" s="96" t="n"/>
      <c r="O96" s="96" t="n"/>
      <c r="P96" s="96" t="n"/>
      <c r="Q96" s="96" t="n"/>
      <c r="R96" s="96" t="n"/>
      <c r="S96" s="92">
        <f>IF(R96="","",INDEX(Catalogos!$Y$5:$Y$25,MATCH(R96,L_IMP,0)))</f>
        <v/>
      </c>
      <c r="T96" s="96" t="n"/>
      <c r="U96" s="96" t="n"/>
      <c r="V96" s="96" t="n"/>
      <c r="W96" s="91">
        <f>IF(H96="","Pendiente por formular",IF(OR(J96="",K96="",L96="",M96="",N96="",O96="",Q96="",R96="",B96="",C96="",G96=""),"Incompleta: faltan campos obligatorios",IF(OR(NOT(ISNUMBER(K96)),NOT(ISNUMBER(L96))),"Fecha inválida",IF(L96&lt;K96,"La fecha de fin es anterior a la de inicio",IF(OR(YEAR(K96)&lt;&gt;2027,YEAR(L96)&lt;&gt;2027),"Fechas fuera de la vigencia 2027",IF(ISERROR(SEARCH("@itc.edu.co",M96)),"El responsable no tiene correo institucional",IF(ISERROR(SEARCH(Q96,INDEX(Catalogos!$Z$5:$Z$25,MATCH(R96,L_IMP,0)))),"La dimensión no corresponde al indicador de impacto","OK")))))))</f>
        <v/>
      </c>
    </row>
    <row r="97" ht="14.25" customHeight="1" s="23">
      <c r="A97" s="92" t="n">
        <v>47</v>
      </c>
      <c r="B97" s="96" t="n"/>
      <c r="C97" s="96" t="n"/>
      <c r="D97" s="92">
        <f>IF(C97="","",INDEX(Catalogos!$C$5:$C$49,MATCH(LEFT(C97,7),Catalogos!$A$5:$A$49,0)))</f>
        <v/>
      </c>
      <c r="E97" s="92">
        <f>IF(C97="","",INDEX(Catalogos!$D$5:$D$49,MATCH(LEFT(C97,7),Catalogos!$A$5:$A$49,0))&amp;" "&amp;INDEX(Catalogos!$E$5:$E$49,MATCH(LEFT(C97,7),Catalogos!$A$5:$A$49,0)))</f>
        <v/>
      </c>
      <c r="F97" s="92">
        <f>IF(C97="","",INDEX(Catalogos!$F$5:$F$49,MATCH(LEFT(C97,7),Catalogos!$A$5:$A$49,0)))</f>
        <v/>
      </c>
      <c r="G97" s="96" t="n"/>
      <c r="H97" s="96" t="n"/>
      <c r="I97" s="96" t="n"/>
      <c r="J97" s="96" t="n"/>
      <c r="K97" s="97" t="n"/>
      <c r="L97" s="97" t="n"/>
      <c r="M97" s="96" t="n"/>
      <c r="N97" s="96" t="n"/>
      <c r="O97" s="96" t="n"/>
      <c r="P97" s="96" t="n"/>
      <c r="Q97" s="96" t="n"/>
      <c r="R97" s="96" t="n"/>
      <c r="S97" s="92">
        <f>IF(R97="","",INDEX(Catalogos!$Y$5:$Y$25,MATCH(R97,L_IMP,0)))</f>
        <v/>
      </c>
      <c r="T97" s="96" t="n"/>
      <c r="U97" s="96" t="n"/>
      <c r="V97" s="96" t="n"/>
      <c r="W97" s="91">
        <f>IF(H97="","Pendiente por formular",IF(OR(J97="",K97="",L97="",M97="",N97="",O97="",Q97="",R97="",B97="",C97="",G97=""),"Incompleta: faltan campos obligatorios",IF(OR(NOT(ISNUMBER(K97)),NOT(ISNUMBER(L97))),"Fecha inválida",IF(L97&lt;K97,"La fecha de fin es anterior a la de inicio",IF(OR(YEAR(K97)&lt;&gt;2027,YEAR(L97)&lt;&gt;2027),"Fechas fuera de la vigencia 2027",IF(ISERROR(SEARCH("@itc.edu.co",M97)),"El responsable no tiene correo institucional",IF(ISERROR(SEARCH(Q97,INDEX(Catalogos!$Z$5:$Z$25,MATCH(R97,L_IMP,0)))),"La dimensión no corresponde al indicador de impacto","OK")))))))</f>
        <v/>
      </c>
    </row>
    <row r="98" ht="14.25" customHeight="1" s="23">
      <c r="A98" s="92" t="n">
        <v>48</v>
      </c>
      <c r="B98" s="96" t="n"/>
      <c r="C98" s="96" t="n"/>
      <c r="D98" s="92">
        <f>IF(C98="","",INDEX(Catalogos!$C$5:$C$49,MATCH(LEFT(C98,7),Catalogos!$A$5:$A$49,0)))</f>
        <v/>
      </c>
      <c r="E98" s="92">
        <f>IF(C98="","",INDEX(Catalogos!$D$5:$D$49,MATCH(LEFT(C98,7),Catalogos!$A$5:$A$49,0))&amp;" "&amp;INDEX(Catalogos!$E$5:$E$49,MATCH(LEFT(C98,7),Catalogos!$A$5:$A$49,0)))</f>
        <v/>
      </c>
      <c r="F98" s="92">
        <f>IF(C98="","",INDEX(Catalogos!$F$5:$F$49,MATCH(LEFT(C98,7),Catalogos!$A$5:$A$49,0)))</f>
        <v/>
      </c>
      <c r="G98" s="96" t="n"/>
      <c r="H98" s="96" t="n"/>
      <c r="I98" s="96" t="n"/>
      <c r="J98" s="96" t="n"/>
      <c r="K98" s="97" t="n"/>
      <c r="L98" s="97" t="n"/>
      <c r="M98" s="96" t="n"/>
      <c r="N98" s="96" t="n"/>
      <c r="O98" s="96" t="n"/>
      <c r="P98" s="96" t="n"/>
      <c r="Q98" s="96" t="n"/>
      <c r="R98" s="96" t="n"/>
      <c r="S98" s="92">
        <f>IF(R98="","",INDEX(Catalogos!$Y$5:$Y$25,MATCH(R98,L_IMP,0)))</f>
        <v/>
      </c>
      <c r="T98" s="96" t="n"/>
      <c r="U98" s="96" t="n"/>
      <c r="V98" s="96" t="n"/>
      <c r="W98" s="91">
        <f>IF(H98="","Pendiente por formular",IF(OR(J98="",K98="",L98="",M98="",N98="",O98="",Q98="",R98="",B98="",C98="",G98=""),"Incompleta: faltan campos obligatorios",IF(OR(NOT(ISNUMBER(K98)),NOT(ISNUMBER(L98))),"Fecha inválida",IF(L98&lt;K98,"La fecha de fin es anterior a la de inicio",IF(OR(YEAR(K98)&lt;&gt;2027,YEAR(L98)&lt;&gt;2027),"Fechas fuera de la vigencia 2027",IF(ISERROR(SEARCH("@itc.edu.co",M98)),"El responsable no tiene correo institucional",IF(ISERROR(SEARCH(Q98,INDEX(Catalogos!$Z$5:$Z$25,MATCH(R98,L_IMP,0)))),"La dimensión no corresponde al indicador de impacto","OK")))))))</f>
        <v/>
      </c>
    </row>
    <row r="99" ht="14.25" customHeight="1" s="23">
      <c r="A99" s="92" t="n">
        <v>49</v>
      </c>
      <c r="B99" s="96" t="n"/>
      <c r="C99" s="96" t="n"/>
      <c r="D99" s="92">
        <f>IF(C99="","",INDEX(Catalogos!$C$5:$C$49,MATCH(LEFT(C99,7),Catalogos!$A$5:$A$49,0)))</f>
        <v/>
      </c>
      <c r="E99" s="92">
        <f>IF(C99="","",INDEX(Catalogos!$D$5:$D$49,MATCH(LEFT(C99,7),Catalogos!$A$5:$A$49,0))&amp;" "&amp;INDEX(Catalogos!$E$5:$E$49,MATCH(LEFT(C99,7),Catalogos!$A$5:$A$49,0)))</f>
        <v/>
      </c>
      <c r="F99" s="92">
        <f>IF(C99="","",INDEX(Catalogos!$F$5:$F$49,MATCH(LEFT(C99,7),Catalogos!$A$5:$A$49,0)))</f>
        <v/>
      </c>
      <c r="G99" s="96" t="n"/>
      <c r="H99" s="96" t="n"/>
      <c r="I99" s="96" t="n"/>
      <c r="J99" s="96" t="n"/>
      <c r="K99" s="97" t="n"/>
      <c r="L99" s="97" t="n"/>
      <c r="M99" s="96" t="n"/>
      <c r="N99" s="96" t="n"/>
      <c r="O99" s="96" t="n"/>
      <c r="P99" s="96" t="n"/>
      <c r="Q99" s="96" t="n"/>
      <c r="R99" s="96" t="n"/>
      <c r="S99" s="92">
        <f>IF(R99="","",INDEX(Catalogos!$Y$5:$Y$25,MATCH(R99,L_IMP,0)))</f>
        <v/>
      </c>
      <c r="T99" s="96" t="n"/>
      <c r="U99" s="96" t="n"/>
      <c r="V99" s="96" t="n"/>
      <c r="W99" s="91">
        <f>IF(H99="","Pendiente por formular",IF(OR(J99="",K99="",L99="",M99="",N99="",O99="",Q99="",R99="",B99="",C99="",G99=""),"Incompleta: faltan campos obligatorios",IF(OR(NOT(ISNUMBER(K99)),NOT(ISNUMBER(L99))),"Fecha inválida",IF(L99&lt;K99,"La fecha de fin es anterior a la de inicio",IF(OR(YEAR(K99)&lt;&gt;2027,YEAR(L99)&lt;&gt;2027),"Fechas fuera de la vigencia 2027",IF(ISERROR(SEARCH("@itc.edu.co",M99)),"El responsable no tiene correo institucional",IF(ISERROR(SEARCH(Q99,INDEX(Catalogos!$Z$5:$Z$25,MATCH(R99,L_IMP,0)))),"La dimensión no corresponde al indicador de impacto","OK")))))))</f>
        <v/>
      </c>
    </row>
    <row r="100" ht="14.25" customHeight="1" s="23">
      <c r="A100" s="92" t="n">
        <v>50</v>
      </c>
      <c r="B100" s="96" t="n"/>
      <c r="C100" s="96" t="n"/>
      <c r="D100" s="92">
        <f>IF(C100="","",INDEX(Catalogos!$C$5:$C$49,MATCH(LEFT(C100,7),Catalogos!$A$5:$A$49,0)))</f>
        <v/>
      </c>
      <c r="E100" s="92">
        <f>IF(C100="","",INDEX(Catalogos!$D$5:$D$49,MATCH(LEFT(C100,7),Catalogos!$A$5:$A$49,0))&amp;" "&amp;INDEX(Catalogos!$E$5:$E$49,MATCH(LEFT(C100,7),Catalogos!$A$5:$A$49,0)))</f>
        <v/>
      </c>
      <c r="F100" s="92">
        <f>IF(C100="","",INDEX(Catalogos!$F$5:$F$49,MATCH(LEFT(C100,7),Catalogos!$A$5:$A$49,0)))</f>
        <v/>
      </c>
      <c r="G100" s="96" t="n"/>
      <c r="H100" s="96" t="n"/>
      <c r="I100" s="96" t="n"/>
      <c r="J100" s="96" t="n"/>
      <c r="K100" s="97" t="n"/>
      <c r="L100" s="97" t="n"/>
      <c r="M100" s="96" t="n"/>
      <c r="N100" s="96" t="n"/>
      <c r="O100" s="96" t="n"/>
      <c r="P100" s="96" t="n"/>
      <c r="Q100" s="96" t="n"/>
      <c r="R100" s="96" t="n"/>
      <c r="S100" s="92">
        <f>IF(R100="","",INDEX(Catalogos!$Y$5:$Y$25,MATCH(R100,L_IMP,0)))</f>
        <v/>
      </c>
      <c r="T100" s="96" t="n"/>
      <c r="U100" s="96" t="n"/>
      <c r="V100" s="96" t="n"/>
      <c r="W100" s="91">
        <f>IF(H100="","Pendiente por formular",IF(OR(J100="",K100="",L100="",M100="",N100="",O100="",Q100="",R100="",B100="",C100="",G100=""),"Incompleta: faltan campos obligatorios",IF(OR(NOT(ISNUMBER(K100)),NOT(ISNUMBER(L100))),"Fecha inválida",IF(L100&lt;K100,"La fecha de fin es anterior a la de inicio",IF(OR(YEAR(K100)&lt;&gt;2027,YEAR(L100)&lt;&gt;2027),"Fechas fuera de la vigencia 2027",IF(ISERROR(SEARCH("@itc.edu.co",M100)),"El responsable no tiene correo institucional",IF(ISERROR(SEARCH(Q100,INDEX(Catalogos!$Z$5:$Z$25,MATCH(R100,L_IMP,0)))),"La dimensión no corresponde al indicador de impacto","OK")))))))</f>
        <v/>
      </c>
    </row>
    <row r="101" ht="14.25" customHeight="1" s="23">
      <c r="A101" s="92" t="n">
        <v>51</v>
      </c>
      <c r="B101" s="96" t="n"/>
      <c r="C101" s="96" t="n"/>
      <c r="D101" s="92">
        <f>IF(C101="","",INDEX(Catalogos!$C$5:$C$49,MATCH(LEFT(C101,7),Catalogos!$A$5:$A$49,0)))</f>
        <v/>
      </c>
      <c r="E101" s="92">
        <f>IF(C101="","",INDEX(Catalogos!$D$5:$D$49,MATCH(LEFT(C101,7),Catalogos!$A$5:$A$49,0))&amp;" "&amp;INDEX(Catalogos!$E$5:$E$49,MATCH(LEFT(C101,7),Catalogos!$A$5:$A$49,0)))</f>
        <v/>
      </c>
      <c r="F101" s="92">
        <f>IF(C101="","",INDEX(Catalogos!$F$5:$F$49,MATCH(LEFT(C101,7),Catalogos!$A$5:$A$49,0)))</f>
        <v/>
      </c>
      <c r="G101" s="96" t="n"/>
      <c r="H101" s="96" t="n"/>
      <c r="I101" s="96" t="n"/>
      <c r="J101" s="96" t="n"/>
      <c r="K101" s="97" t="n"/>
      <c r="L101" s="97" t="n"/>
      <c r="M101" s="96" t="n"/>
      <c r="N101" s="96" t="n"/>
      <c r="O101" s="96" t="n"/>
      <c r="P101" s="96" t="n"/>
      <c r="Q101" s="96" t="n"/>
      <c r="R101" s="96" t="n"/>
      <c r="S101" s="92">
        <f>IF(R101="","",INDEX(Catalogos!$Y$5:$Y$25,MATCH(R101,L_IMP,0)))</f>
        <v/>
      </c>
      <c r="T101" s="96" t="n"/>
      <c r="U101" s="96" t="n"/>
      <c r="V101" s="96" t="n"/>
      <c r="W101" s="91">
        <f>IF(H101="","Pendiente por formular",IF(OR(J101="",K101="",L101="",M101="",N101="",O101="",Q101="",R101="",B101="",C101="",G101=""),"Incompleta: faltan campos obligatorios",IF(OR(NOT(ISNUMBER(K101)),NOT(ISNUMBER(L101))),"Fecha inválida",IF(L101&lt;K101,"La fecha de fin es anterior a la de inicio",IF(OR(YEAR(K101)&lt;&gt;2027,YEAR(L101)&lt;&gt;2027),"Fechas fuera de la vigencia 2027",IF(ISERROR(SEARCH("@itc.edu.co",M101)),"El responsable no tiene correo institucional",IF(ISERROR(SEARCH(Q101,INDEX(Catalogos!$Z$5:$Z$25,MATCH(R101,L_IMP,0)))),"La dimensión no corresponde al indicador de impacto","OK")))))))</f>
        <v/>
      </c>
    </row>
    <row r="102" ht="14.25" customHeight="1" s="23">
      <c r="A102" s="92" t="n">
        <v>52</v>
      </c>
      <c r="B102" s="96" t="n"/>
      <c r="C102" s="96" t="n"/>
      <c r="D102" s="92">
        <f>IF(C102="","",INDEX(Catalogos!$C$5:$C$49,MATCH(LEFT(C102,7),Catalogos!$A$5:$A$49,0)))</f>
        <v/>
      </c>
      <c r="E102" s="92">
        <f>IF(C102="","",INDEX(Catalogos!$D$5:$D$49,MATCH(LEFT(C102,7),Catalogos!$A$5:$A$49,0))&amp;" "&amp;INDEX(Catalogos!$E$5:$E$49,MATCH(LEFT(C102,7),Catalogos!$A$5:$A$49,0)))</f>
        <v/>
      </c>
      <c r="F102" s="92">
        <f>IF(C102="","",INDEX(Catalogos!$F$5:$F$49,MATCH(LEFT(C102,7),Catalogos!$A$5:$A$49,0)))</f>
        <v/>
      </c>
      <c r="G102" s="96" t="n"/>
      <c r="H102" s="96" t="n"/>
      <c r="I102" s="96" t="n"/>
      <c r="J102" s="96" t="n"/>
      <c r="K102" s="97" t="n"/>
      <c r="L102" s="97" t="n"/>
      <c r="M102" s="96" t="n"/>
      <c r="N102" s="96" t="n"/>
      <c r="O102" s="96" t="n"/>
      <c r="P102" s="96" t="n"/>
      <c r="Q102" s="96" t="n"/>
      <c r="R102" s="96" t="n"/>
      <c r="S102" s="92">
        <f>IF(R102="","",INDEX(Catalogos!$Y$5:$Y$25,MATCH(R102,L_IMP,0)))</f>
        <v/>
      </c>
      <c r="T102" s="96" t="n"/>
      <c r="U102" s="96" t="n"/>
      <c r="V102" s="96" t="n"/>
      <c r="W102" s="91">
        <f>IF(H102="","Pendiente por formular",IF(OR(J102="",K102="",L102="",M102="",N102="",O102="",Q102="",R102="",B102="",C102="",G102=""),"Incompleta: faltan campos obligatorios",IF(OR(NOT(ISNUMBER(K102)),NOT(ISNUMBER(L102))),"Fecha inválida",IF(L102&lt;K102,"La fecha de fin es anterior a la de inicio",IF(OR(YEAR(K102)&lt;&gt;2027,YEAR(L102)&lt;&gt;2027),"Fechas fuera de la vigencia 2027",IF(ISERROR(SEARCH("@itc.edu.co",M102)),"El responsable no tiene correo institucional",IF(ISERROR(SEARCH(Q102,INDEX(Catalogos!$Z$5:$Z$25,MATCH(R102,L_IMP,0)))),"La dimensión no corresponde al indicador de impacto","OK")))))))</f>
        <v/>
      </c>
    </row>
    <row r="103" ht="14.25" customHeight="1" s="23">
      <c r="A103" s="92" t="n">
        <v>53</v>
      </c>
      <c r="B103" s="96" t="n"/>
      <c r="C103" s="96" t="n"/>
      <c r="D103" s="92">
        <f>IF(C103="","",INDEX(Catalogos!$C$5:$C$49,MATCH(LEFT(C103,7),Catalogos!$A$5:$A$49,0)))</f>
        <v/>
      </c>
      <c r="E103" s="92">
        <f>IF(C103="","",INDEX(Catalogos!$D$5:$D$49,MATCH(LEFT(C103,7),Catalogos!$A$5:$A$49,0))&amp;" "&amp;INDEX(Catalogos!$E$5:$E$49,MATCH(LEFT(C103,7),Catalogos!$A$5:$A$49,0)))</f>
        <v/>
      </c>
      <c r="F103" s="92">
        <f>IF(C103="","",INDEX(Catalogos!$F$5:$F$49,MATCH(LEFT(C103,7),Catalogos!$A$5:$A$49,0)))</f>
        <v/>
      </c>
      <c r="G103" s="96" t="n"/>
      <c r="H103" s="96" t="n"/>
      <c r="I103" s="96" t="n"/>
      <c r="J103" s="96" t="n"/>
      <c r="K103" s="97" t="n"/>
      <c r="L103" s="97" t="n"/>
      <c r="M103" s="96" t="n"/>
      <c r="N103" s="96" t="n"/>
      <c r="O103" s="96" t="n"/>
      <c r="P103" s="96" t="n"/>
      <c r="Q103" s="96" t="n"/>
      <c r="R103" s="96" t="n"/>
      <c r="S103" s="92">
        <f>IF(R103="","",INDEX(Catalogos!$Y$5:$Y$25,MATCH(R103,L_IMP,0)))</f>
        <v/>
      </c>
      <c r="T103" s="96" t="n"/>
      <c r="U103" s="96" t="n"/>
      <c r="V103" s="96" t="n"/>
      <c r="W103" s="91">
        <f>IF(H103="","Pendiente por formular",IF(OR(J103="",K103="",L103="",M103="",N103="",O103="",Q103="",R103="",B103="",C103="",G103=""),"Incompleta: faltan campos obligatorios",IF(OR(NOT(ISNUMBER(K103)),NOT(ISNUMBER(L103))),"Fecha inválida",IF(L103&lt;K103,"La fecha de fin es anterior a la de inicio",IF(OR(YEAR(K103)&lt;&gt;2027,YEAR(L103)&lt;&gt;2027),"Fechas fuera de la vigencia 2027",IF(ISERROR(SEARCH("@itc.edu.co",M103)),"El responsable no tiene correo institucional",IF(ISERROR(SEARCH(Q103,INDEX(Catalogos!$Z$5:$Z$25,MATCH(R103,L_IMP,0)))),"La dimensión no corresponde al indicador de impacto","OK")))))))</f>
        <v/>
      </c>
    </row>
    <row r="104" ht="14.25" customHeight="1" s="23">
      <c r="A104" s="92" t="n">
        <v>54</v>
      </c>
      <c r="B104" s="96" t="n"/>
      <c r="C104" s="96" t="n"/>
      <c r="D104" s="92">
        <f>IF(C104="","",INDEX(Catalogos!$C$5:$C$49,MATCH(LEFT(C104,7),Catalogos!$A$5:$A$49,0)))</f>
        <v/>
      </c>
      <c r="E104" s="92">
        <f>IF(C104="","",INDEX(Catalogos!$D$5:$D$49,MATCH(LEFT(C104,7),Catalogos!$A$5:$A$49,0))&amp;" "&amp;INDEX(Catalogos!$E$5:$E$49,MATCH(LEFT(C104,7),Catalogos!$A$5:$A$49,0)))</f>
        <v/>
      </c>
      <c r="F104" s="92">
        <f>IF(C104="","",INDEX(Catalogos!$F$5:$F$49,MATCH(LEFT(C104,7),Catalogos!$A$5:$A$49,0)))</f>
        <v/>
      </c>
      <c r="G104" s="96" t="n"/>
      <c r="H104" s="96" t="n"/>
      <c r="I104" s="96" t="n"/>
      <c r="J104" s="96" t="n"/>
      <c r="K104" s="97" t="n"/>
      <c r="L104" s="97" t="n"/>
      <c r="M104" s="96" t="n"/>
      <c r="N104" s="96" t="n"/>
      <c r="O104" s="96" t="n"/>
      <c r="P104" s="96" t="n"/>
      <c r="Q104" s="96" t="n"/>
      <c r="R104" s="96" t="n"/>
      <c r="S104" s="92">
        <f>IF(R104="","",INDEX(Catalogos!$Y$5:$Y$25,MATCH(R104,L_IMP,0)))</f>
        <v/>
      </c>
      <c r="T104" s="96" t="n"/>
      <c r="U104" s="96" t="n"/>
      <c r="V104" s="96" t="n"/>
      <c r="W104" s="91">
        <f>IF(H104="","Pendiente por formular",IF(OR(J104="",K104="",L104="",M104="",N104="",O104="",Q104="",R104="",B104="",C104="",G104=""),"Incompleta: faltan campos obligatorios",IF(OR(NOT(ISNUMBER(K104)),NOT(ISNUMBER(L104))),"Fecha inválida",IF(L104&lt;K104,"La fecha de fin es anterior a la de inicio",IF(OR(YEAR(K104)&lt;&gt;2027,YEAR(L104)&lt;&gt;2027),"Fechas fuera de la vigencia 2027",IF(ISERROR(SEARCH("@itc.edu.co",M104)),"El responsable no tiene correo institucional",IF(ISERROR(SEARCH(Q104,INDEX(Catalogos!$Z$5:$Z$25,MATCH(R104,L_IMP,0)))),"La dimensión no corresponde al indicador de impacto","OK")))))))</f>
        <v/>
      </c>
    </row>
    <row r="105" ht="14.25" customHeight="1" s="23">
      <c r="A105" s="92" t="n">
        <v>55</v>
      </c>
      <c r="B105" s="96" t="n"/>
      <c r="C105" s="96" t="n"/>
      <c r="D105" s="92">
        <f>IF(C105="","",INDEX(Catalogos!$C$5:$C$49,MATCH(LEFT(C105,7),Catalogos!$A$5:$A$49,0)))</f>
        <v/>
      </c>
      <c r="E105" s="92">
        <f>IF(C105="","",INDEX(Catalogos!$D$5:$D$49,MATCH(LEFT(C105,7),Catalogos!$A$5:$A$49,0))&amp;" "&amp;INDEX(Catalogos!$E$5:$E$49,MATCH(LEFT(C105,7),Catalogos!$A$5:$A$49,0)))</f>
        <v/>
      </c>
      <c r="F105" s="92">
        <f>IF(C105="","",INDEX(Catalogos!$F$5:$F$49,MATCH(LEFT(C105,7),Catalogos!$A$5:$A$49,0)))</f>
        <v/>
      </c>
      <c r="G105" s="96" t="n"/>
      <c r="H105" s="96" t="n"/>
      <c r="I105" s="96" t="n"/>
      <c r="J105" s="96" t="n"/>
      <c r="K105" s="97" t="n"/>
      <c r="L105" s="97" t="n"/>
      <c r="M105" s="96" t="n"/>
      <c r="N105" s="96" t="n"/>
      <c r="O105" s="96" t="n"/>
      <c r="P105" s="96" t="n"/>
      <c r="Q105" s="96" t="n"/>
      <c r="R105" s="96" t="n"/>
      <c r="S105" s="92">
        <f>IF(R105="","",INDEX(Catalogos!$Y$5:$Y$25,MATCH(R105,L_IMP,0)))</f>
        <v/>
      </c>
      <c r="T105" s="96" t="n"/>
      <c r="U105" s="96" t="n"/>
      <c r="V105" s="96" t="n"/>
      <c r="W105" s="91">
        <f>IF(H105="","Pendiente por formular",IF(OR(J105="",K105="",L105="",M105="",N105="",O105="",Q105="",R105="",B105="",C105="",G105=""),"Incompleta: faltan campos obligatorios",IF(OR(NOT(ISNUMBER(K105)),NOT(ISNUMBER(L105))),"Fecha inválida",IF(L105&lt;K105,"La fecha de fin es anterior a la de inicio",IF(OR(YEAR(K105)&lt;&gt;2027,YEAR(L105)&lt;&gt;2027),"Fechas fuera de la vigencia 2027",IF(ISERROR(SEARCH("@itc.edu.co",M105)),"El responsable no tiene correo institucional",IF(ISERROR(SEARCH(Q105,INDEX(Catalogos!$Z$5:$Z$25,MATCH(R105,L_IMP,0)))),"La dimensión no corresponde al indicador de impacto","OK")))))))</f>
        <v/>
      </c>
    </row>
    <row r="106" ht="14.25" customHeight="1" s="23">
      <c r="A106" s="92" t="n">
        <v>56</v>
      </c>
      <c r="B106" s="96" t="n"/>
      <c r="C106" s="96" t="n"/>
      <c r="D106" s="92">
        <f>IF(C106="","",INDEX(Catalogos!$C$5:$C$49,MATCH(LEFT(C106,7),Catalogos!$A$5:$A$49,0)))</f>
        <v/>
      </c>
      <c r="E106" s="92">
        <f>IF(C106="","",INDEX(Catalogos!$D$5:$D$49,MATCH(LEFT(C106,7),Catalogos!$A$5:$A$49,0))&amp;" "&amp;INDEX(Catalogos!$E$5:$E$49,MATCH(LEFT(C106,7),Catalogos!$A$5:$A$49,0)))</f>
        <v/>
      </c>
      <c r="F106" s="92">
        <f>IF(C106="","",INDEX(Catalogos!$F$5:$F$49,MATCH(LEFT(C106,7),Catalogos!$A$5:$A$49,0)))</f>
        <v/>
      </c>
      <c r="G106" s="96" t="n"/>
      <c r="H106" s="96" t="n"/>
      <c r="I106" s="96" t="n"/>
      <c r="J106" s="96" t="n"/>
      <c r="K106" s="97" t="n"/>
      <c r="L106" s="97" t="n"/>
      <c r="M106" s="96" t="n"/>
      <c r="N106" s="96" t="n"/>
      <c r="O106" s="96" t="n"/>
      <c r="P106" s="96" t="n"/>
      <c r="Q106" s="96" t="n"/>
      <c r="R106" s="96" t="n"/>
      <c r="S106" s="92">
        <f>IF(R106="","",INDEX(Catalogos!$Y$5:$Y$25,MATCH(R106,L_IMP,0)))</f>
        <v/>
      </c>
      <c r="T106" s="96" t="n"/>
      <c r="U106" s="96" t="n"/>
      <c r="V106" s="96" t="n"/>
      <c r="W106" s="91">
        <f>IF(H106="","Pendiente por formular",IF(OR(J106="",K106="",L106="",M106="",N106="",O106="",Q106="",R106="",B106="",C106="",G106=""),"Incompleta: faltan campos obligatorios",IF(OR(NOT(ISNUMBER(K106)),NOT(ISNUMBER(L106))),"Fecha inválida",IF(L106&lt;K106,"La fecha de fin es anterior a la de inicio",IF(OR(YEAR(K106)&lt;&gt;2027,YEAR(L106)&lt;&gt;2027),"Fechas fuera de la vigencia 2027",IF(ISERROR(SEARCH("@itc.edu.co",M106)),"El responsable no tiene correo institucional",IF(ISERROR(SEARCH(Q106,INDEX(Catalogos!$Z$5:$Z$25,MATCH(R106,L_IMP,0)))),"La dimensión no corresponde al indicador de impacto","OK")))))))</f>
        <v/>
      </c>
    </row>
    <row r="107" ht="14.25" customHeight="1" s="23">
      <c r="A107" s="92" t="n">
        <v>57</v>
      </c>
      <c r="B107" s="96" t="n"/>
      <c r="C107" s="96" t="n"/>
      <c r="D107" s="92">
        <f>IF(C107="","",INDEX(Catalogos!$C$5:$C$49,MATCH(LEFT(C107,7),Catalogos!$A$5:$A$49,0)))</f>
        <v/>
      </c>
      <c r="E107" s="92">
        <f>IF(C107="","",INDEX(Catalogos!$D$5:$D$49,MATCH(LEFT(C107,7),Catalogos!$A$5:$A$49,0))&amp;" "&amp;INDEX(Catalogos!$E$5:$E$49,MATCH(LEFT(C107,7),Catalogos!$A$5:$A$49,0)))</f>
        <v/>
      </c>
      <c r="F107" s="92">
        <f>IF(C107="","",INDEX(Catalogos!$F$5:$F$49,MATCH(LEFT(C107,7),Catalogos!$A$5:$A$49,0)))</f>
        <v/>
      </c>
      <c r="G107" s="96" t="n"/>
      <c r="H107" s="96" t="n"/>
      <c r="I107" s="96" t="n"/>
      <c r="J107" s="96" t="n"/>
      <c r="K107" s="97" t="n"/>
      <c r="L107" s="97" t="n"/>
      <c r="M107" s="96" t="n"/>
      <c r="N107" s="96" t="n"/>
      <c r="O107" s="96" t="n"/>
      <c r="P107" s="96" t="n"/>
      <c r="Q107" s="96" t="n"/>
      <c r="R107" s="96" t="n"/>
      <c r="S107" s="92">
        <f>IF(R107="","",INDEX(Catalogos!$Y$5:$Y$25,MATCH(R107,L_IMP,0)))</f>
        <v/>
      </c>
      <c r="T107" s="96" t="n"/>
      <c r="U107" s="96" t="n"/>
      <c r="V107" s="96" t="n"/>
      <c r="W107" s="91">
        <f>IF(H107="","Pendiente por formular",IF(OR(J107="",K107="",L107="",M107="",N107="",O107="",Q107="",R107="",B107="",C107="",G107=""),"Incompleta: faltan campos obligatorios",IF(OR(NOT(ISNUMBER(K107)),NOT(ISNUMBER(L107))),"Fecha inválida",IF(L107&lt;K107,"La fecha de fin es anterior a la de inicio",IF(OR(YEAR(K107)&lt;&gt;2027,YEAR(L107)&lt;&gt;2027),"Fechas fuera de la vigencia 2027",IF(ISERROR(SEARCH("@itc.edu.co",M107)),"El responsable no tiene correo institucional",IF(ISERROR(SEARCH(Q107,INDEX(Catalogos!$Z$5:$Z$25,MATCH(R107,L_IMP,0)))),"La dimensión no corresponde al indicador de impacto","OK")))))))</f>
        <v/>
      </c>
    </row>
    <row r="108" ht="14.25" customHeight="1" s="23">
      <c r="A108" s="92" t="n">
        <v>58</v>
      </c>
      <c r="B108" s="96" t="n"/>
      <c r="C108" s="96" t="n"/>
      <c r="D108" s="92">
        <f>IF(C108="","",INDEX(Catalogos!$C$5:$C$49,MATCH(LEFT(C108,7),Catalogos!$A$5:$A$49,0)))</f>
        <v/>
      </c>
      <c r="E108" s="92">
        <f>IF(C108="","",INDEX(Catalogos!$D$5:$D$49,MATCH(LEFT(C108,7),Catalogos!$A$5:$A$49,0))&amp;" "&amp;INDEX(Catalogos!$E$5:$E$49,MATCH(LEFT(C108,7),Catalogos!$A$5:$A$49,0)))</f>
        <v/>
      </c>
      <c r="F108" s="92">
        <f>IF(C108="","",INDEX(Catalogos!$F$5:$F$49,MATCH(LEFT(C108,7),Catalogos!$A$5:$A$49,0)))</f>
        <v/>
      </c>
      <c r="G108" s="96" t="n"/>
      <c r="H108" s="96" t="n"/>
      <c r="I108" s="96" t="n"/>
      <c r="J108" s="96" t="n"/>
      <c r="K108" s="97" t="n"/>
      <c r="L108" s="97" t="n"/>
      <c r="M108" s="96" t="n"/>
      <c r="N108" s="96" t="n"/>
      <c r="O108" s="96" t="n"/>
      <c r="P108" s="96" t="n"/>
      <c r="Q108" s="96" t="n"/>
      <c r="R108" s="96" t="n"/>
      <c r="S108" s="92">
        <f>IF(R108="","",INDEX(Catalogos!$Y$5:$Y$25,MATCH(R108,L_IMP,0)))</f>
        <v/>
      </c>
      <c r="T108" s="96" t="n"/>
      <c r="U108" s="96" t="n"/>
      <c r="V108" s="96" t="n"/>
      <c r="W108" s="91">
        <f>IF(H108="","Pendiente por formular",IF(OR(J108="",K108="",L108="",M108="",N108="",O108="",Q108="",R108="",B108="",C108="",G108=""),"Incompleta: faltan campos obligatorios",IF(OR(NOT(ISNUMBER(K108)),NOT(ISNUMBER(L108))),"Fecha inválida",IF(L108&lt;K108,"La fecha de fin es anterior a la de inicio",IF(OR(YEAR(K108)&lt;&gt;2027,YEAR(L108)&lt;&gt;2027),"Fechas fuera de la vigencia 2027",IF(ISERROR(SEARCH("@itc.edu.co",M108)),"El responsable no tiene correo institucional",IF(ISERROR(SEARCH(Q108,INDEX(Catalogos!$Z$5:$Z$25,MATCH(R108,L_IMP,0)))),"La dimensión no corresponde al indicador de impacto","OK")))))))</f>
        <v/>
      </c>
    </row>
    <row r="109" ht="14.25" customHeight="1" s="23">
      <c r="A109" s="92" t="n">
        <v>59</v>
      </c>
      <c r="B109" s="96" t="n"/>
      <c r="C109" s="96" t="n"/>
      <c r="D109" s="92">
        <f>IF(C109="","",INDEX(Catalogos!$C$5:$C$49,MATCH(LEFT(C109,7),Catalogos!$A$5:$A$49,0)))</f>
        <v/>
      </c>
      <c r="E109" s="92">
        <f>IF(C109="","",INDEX(Catalogos!$D$5:$D$49,MATCH(LEFT(C109,7),Catalogos!$A$5:$A$49,0))&amp;" "&amp;INDEX(Catalogos!$E$5:$E$49,MATCH(LEFT(C109,7),Catalogos!$A$5:$A$49,0)))</f>
        <v/>
      </c>
      <c r="F109" s="92">
        <f>IF(C109="","",INDEX(Catalogos!$F$5:$F$49,MATCH(LEFT(C109,7),Catalogos!$A$5:$A$49,0)))</f>
        <v/>
      </c>
      <c r="G109" s="96" t="n"/>
      <c r="H109" s="96" t="n"/>
      <c r="I109" s="96" t="n"/>
      <c r="J109" s="96" t="n"/>
      <c r="K109" s="97" t="n"/>
      <c r="L109" s="97" t="n"/>
      <c r="M109" s="96" t="n"/>
      <c r="N109" s="96" t="n"/>
      <c r="O109" s="96" t="n"/>
      <c r="P109" s="96" t="n"/>
      <c r="Q109" s="96" t="n"/>
      <c r="R109" s="96" t="n"/>
      <c r="S109" s="92">
        <f>IF(R109="","",INDEX(Catalogos!$Y$5:$Y$25,MATCH(R109,L_IMP,0)))</f>
        <v/>
      </c>
      <c r="T109" s="96" t="n"/>
      <c r="U109" s="96" t="n"/>
      <c r="V109" s="96" t="n"/>
      <c r="W109" s="91">
        <f>IF(H109="","Pendiente por formular",IF(OR(J109="",K109="",L109="",M109="",N109="",O109="",Q109="",R109="",B109="",C109="",G109=""),"Incompleta: faltan campos obligatorios",IF(OR(NOT(ISNUMBER(K109)),NOT(ISNUMBER(L109))),"Fecha inválida",IF(L109&lt;K109,"La fecha de fin es anterior a la de inicio",IF(OR(YEAR(K109)&lt;&gt;2027,YEAR(L109)&lt;&gt;2027),"Fechas fuera de la vigencia 2027",IF(ISERROR(SEARCH("@itc.edu.co",M109)),"El responsable no tiene correo institucional",IF(ISERROR(SEARCH(Q109,INDEX(Catalogos!$Z$5:$Z$25,MATCH(R109,L_IMP,0)))),"La dimensión no corresponde al indicador de impacto","OK")))))))</f>
        <v/>
      </c>
    </row>
    <row r="110" ht="14.25" customHeight="1" s="23">
      <c r="A110" s="92" t="n">
        <v>60</v>
      </c>
      <c r="B110" s="96" t="n"/>
      <c r="C110" s="96" t="n"/>
      <c r="D110" s="92">
        <f>IF(C110="","",INDEX(Catalogos!$C$5:$C$49,MATCH(LEFT(C110,7),Catalogos!$A$5:$A$49,0)))</f>
        <v/>
      </c>
      <c r="E110" s="92">
        <f>IF(C110="","",INDEX(Catalogos!$D$5:$D$49,MATCH(LEFT(C110,7),Catalogos!$A$5:$A$49,0))&amp;" "&amp;INDEX(Catalogos!$E$5:$E$49,MATCH(LEFT(C110,7),Catalogos!$A$5:$A$49,0)))</f>
        <v/>
      </c>
      <c r="F110" s="92">
        <f>IF(C110="","",INDEX(Catalogos!$F$5:$F$49,MATCH(LEFT(C110,7),Catalogos!$A$5:$A$49,0)))</f>
        <v/>
      </c>
      <c r="G110" s="96" t="n"/>
      <c r="H110" s="96" t="n"/>
      <c r="I110" s="96" t="n"/>
      <c r="J110" s="96" t="n"/>
      <c r="K110" s="97" t="n"/>
      <c r="L110" s="97" t="n"/>
      <c r="M110" s="96" t="n"/>
      <c r="N110" s="96" t="n"/>
      <c r="O110" s="96" t="n"/>
      <c r="P110" s="96" t="n"/>
      <c r="Q110" s="96" t="n"/>
      <c r="R110" s="96" t="n"/>
      <c r="S110" s="92">
        <f>IF(R110="","",INDEX(Catalogos!$Y$5:$Y$25,MATCH(R110,L_IMP,0)))</f>
        <v/>
      </c>
      <c r="T110" s="96" t="n"/>
      <c r="U110" s="96" t="n"/>
      <c r="V110" s="96" t="n"/>
      <c r="W110" s="91">
        <f>IF(H110="","Pendiente por formular",IF(OR(J110="",K110="",L110="",M110="",N110="",O110="",Q110="",R110="",B110="",C110="",G110=""),"Incompleta: faltan campos obligatorios",IF(OR(NOT(ISNUMBER(K110)),NOT(ISNUMBER(L110))),"Fecha inválida",IF(L110&lt;K110,"La fecha de fin es anterior a la de inicio",IF(OR(YEAR(K110)&lt;&gt;2027,YEAR(L110)&lt;&gt;2027),"Fechas fuera de la vigencia 2027",IF(ISERROR(SEARCH("@itc.edu.co",M110)),"El responsable no tiene correo institucional",IF(ISERROR(SEARCH(Q110,INDEX(Catalogos!$Z$5:$Z$25,MATCH(R110,L_IMP,0)))),"La dimensión no corresponde al indicador de impacto","OK")))))))</f>
        <v/>
      </c>
    </row>
    <row r="111" ht="14.25" customHeight="1" s="23">
      <c r="A111" s="92" t="n">
        <v>61</v>
      </c>
      <c r="B111" s="96" t="n"/>
      <c r="C111" s="96" t="n"/>
      <c r="D111" s="92">
        <f>IF(C111="","",INDEX(Catalogos!$C$5:$C$49,MATCH(LEFT(C111,7),Catalogos!$A$5:$A$49,0)))</f>
        <v/>
      </c>
      <c r="E111" s="92">
        <f>IF(C111="","",INDEX(Catalogos!$D$5:$D$49,MATCH(LEFT(C111,7),Catalogos!$A$5:$A$49,0))&amp;" "&amp;INDEX(Catalogos!$E$5:$E$49,MATCH(LEFT(C111,7),Catalogos!$A$5:$A$49,0)))</f>
        <v/>
      </c>
      <c r="F111" s="92">
        <f>IF(C111="","",INDEX(Catalogos!$F$5:$F$49,MATCH(LEFT(C111,7),Catalogos!$A$5:$A$49,0)))</f>
        <v/>
      </c>
      <c r="G111" s="96" t="n"/>
      <c r="H111" s="96" t="n"/>
      <c r="I111" s="96" t="n"/>
      <c r="J111" s="96" t="n"/>
      <c r="K111" s="97" t="n"/>
      <c r="L111" s="97" t="n"/>
      <c r="M111" s="96" t="n"/>
      <c r="N111" s="96" t="n"/>
      <c r="O111" s="96" t="n"/>
      <c r="P111" s="96" t="n"/>
      <c r="Q111" s="96" t="n"/>
      <c r="R111" s="96" t="n"/>
      <c r="S111" s="92">
        <f>IF(R111="","",INDEX(Catalogos!$Y$5:$Y$25,MATCH(R111,L_IMP,0)))</f>
        <v/>
      </c>
      <c r="T111" s="96" t="n"/>
      <c r="U111" s="96" t="n"/>
      <c r="V111" s="96" t="n"/>
      <c r="W111" s="91">
        <f>IF(H111="","Pendiente por formular",IF(OR(J111="",K111="",L111="",M111="",N111="",O111="",Q111="",R111="",B111="",C111="",G111=""),"Incompleta: faltan campos obligatorios",IF(OR(NOT(ISNUMBER(K111)),NOT(ISNUMBER(L111))),"Fecha inválida",IF(L111&lt;K111,"La fecha de fin es anterior a la de inicio",IF(OR(YEAR(K111)&lt;&gt;2027,YEAR(L111)&lt;&gt;2027),"Fechas fuera de la vigencia 2027",IF(ISERROR(SEARCH("@itc.edu.co",M111)),"El responsable no tiene correo institucional",IF(ISERROR(SEARCH(Q111,INDEX(Catalogos!$Z$5:$Z$25,MATCH(R111,L_IMP,0)))),"La dimensión no corresponde al indicador de impacto","OK")))))))</f>
        <v/>
      </c>
    </row>
    <row r="112" ht="14.25" customHeight="1" s="23">
      <c r="A112" s="92" t="n">
        <v>62</v>
      </c>
      <c r="B112" s="96" t="n"/>
      <c r="C112" s="96" t="n"/>
      <c r="D112" s="92">
        <f>IF(C112="","",INDEX(Catalogos!$C$5:$C$49,MATCH(LEFT(C112,7),Catalogos!$A$5:$A$49,0)))</f>
        <v/>
      </c>
      <c r="E112" s="92">
        <f>IF(C112="","",INDEX(Catalogos!$D$5:$D$49,MATCH(LEFT(C112,7),Catalogos!$A$5:$A$49,0))&amp;" "&amp;INDEX(Catalogos!$E$5:$E$49,MATCH(LEFT(C112,7),Catalogos!$A$5:$A$49,0)))</f>
        <v/>
      </c>
      <c r="F112" s="92">
        <f>IF(C112="","",INDEX(Catalogos!$F$5:$F$49,MATCH(LEFT(C112,7),Catalogos!$A$5:$A$49,0)))</f>
        <v/>
      </c>
      <c r="G112" s="96" t="n"/>
      <c r="H112" s="96" t="n"/>
      <c r="I112" s="96" t="n"/>
      <c r="J112" s="96" t="n"/>
      <c r="K112" s="97" t="n"/>
      <c r="L112" s="97" t="n"/>
      <c r="M112" s="96" t="n"/>
      <c r="N112" s="96" t="n"/>
      <c r="O112" s="96" t="n"/>
      <c r="P112" s="96" t="n"/>
      <c r="Q112" s="96" t="n"/>
      <c r="R112" s="96" t="n"/>
      <c r="S112" s="92">
        <f>IF(R112="","",INDEX(Catalogos!$Y$5:$Y$25,MATCH(R112,L_IMP,0)))</f>
        <v/>
      </c>
      <c r="T112" s="96" t="n"/>
      <c r="U112" s="96" t="n"/>
      <c r="V112" s="96" t="n"/>
      <c r="W112" s="91">
        <f>IF(H112="","Pendiente por formular",IF(OR(J112="",K112="",L112="",M112="",N112="",O112="",Q112="",R112="",B112="",C112="",G112=""),"Incompleta: faltan campos obligatorios",IF(OR(NOT(ISNUMBER(K112)),NOT(ISNUMBER(L112))),"Fecha inválida",IF(L112&lt;K112,"La fecha de fin es anterior a la de inicio",IF(OR(YEAR(K112)&lt;&gt;2027,YEAR(L112)&lt;&gt;2027),"Fechas fuera de la vigencia 2027",IF(ISERROR(SEARCH("@itc.edu.co",M112)),"El responsable no tiene correo institucional",IF(ISERROR(SEARCH(Q112,INDEX(Catalogos!$Z$5:$Z$25,MATCH(R112,L_IMP,0)))),"La dimensión no corresponde al indicador de impacto","OK")))))))</f>
        <v/>
      </c>
    </row>
    <row r="113" ht="14.25" customHeight="1" s="23">
      <c r="A113" s="92" t="n">
        <v>63</v>
      </c>
      <c r="B113" s="96" t="n"/>
      <c r="C113" s="96" t="n"/>
      <c r="D113" s="92">
        <f>IF(C113="","",INDEX(Catalogos!$C$5:$C$49,MATCH(LEFT(C113,7),Catalogos!$A$5:$A$49,0)))</f>
        <v/>
      </c>
      <c r="E113" s="92">
        <f>IF(C113="","",INDEX(Catalogos!$D$5:$D$49,MATCH(LEFT(C113,7),Catalogos!$A$5:$A$49,0))&amp;" "&amp;INDEX(Catalogos!$E$5:$E$49,MATCH(LEFT(C113,7),Catalogos!$A$5:$A$49,0)))</f>
        <v/>
      </c>
      <c r="F113" s="92">
        <f>IF(C113="","",INDEX(Catalogos!$F$5:$F$49,MATCH(LEFT(C113,7),Catalogos!$A$5:$A$49,0)))</f>
        <v/>
      </c>
      <c r="G113" s="96" t="n"/>
      <c r="H113" s="96" t="n"/>
      <c r="I113" s="96" t="n"/>
      <c r="J113" s="96" t="n"/>
      <c r="K113" s="97" t="n"/>
      <c r="L113" s="97" t="n"/>
      <c r="M113" s="96" t="n"/>
      <c r="N113" s="96" t="n"/>
      <c r="O113" s="96" t="n"/>
      <c r="P113" s="96" t="n"/>
      <c r="Q113" s="96" t="n"/>
      <c r="R113" s="96" t="n"/>
      <c r="S113" s="92">
        <f>IF(R113="","",INDEX(Catalogos!$Y$5:$Y$25,MATCH(R113,L_IMP,0)))</f>
        <v/>
      </c>
      <c r="T113" s="96" t="n"/>
      <c r="U113" s="96" t="n"/>
      <c r="V113" s="96" t="n"/>
      <c r="W113" s="91">
        <f>IF(H113="","Pendiente por formular",IF(OR(J113="",K113="",L113="",M113="",N113="",O113="",Q113="",R113="",B113="",C113="",G113=""),"Incompleta: faltan campos obligatorios",IF(OR(NOT(ISNUMBER(K113)),NOT(ISNUMBER(L113))),"Fecha inválida",IF(L113&lt;K113,"La fecha de fin es anterior a la de inicio",IF(OR(YEAR(K113)&lt;&gt;2027,YEAR(L113)&lt;&gt;2027),"Fechas fuera de la vigencia 2027",IF(ISERROR(SEARCH("@itc.edu.co",M113)),"El responsable no tiene correo institucional",IF(ISERROR(SEARCH(Q113,INDEX(Catalogos!$Z$5:$Z$25,MATCH(R113,L_IMP,0)))),"La dimensión no corresponde al indicador de impacto","OK")))))))</f>
        <v/>
      </c>
    </row>
    <row r="114" ht="14.25" customHeight="1" s="23">
      <c r="A114" s="92" t="n">
        <v>64</v>
      </c>
      <c r="B114" s="96" t="n"/>
      <c r="C114" s="96" t="n"/>
      <c r="D114" s="92">
        <f>IF(C114="","",INDEX(Catalogos!$C$5:$C$49,MATCH(LEFT(C114,7),Catalogos!$A$5:$A$49,0)))</f>
        <v/>
      </c>
      <c r="E114" s="92">
        <f>IF(C114="","",INDEX(Catalogos!$D$5:$D$49,MATCH(LEFT(C114,7),Catalogos!$A$5:$A$49,0))&amp;" "&amp;INDEX(Catalogos!$E$5:$E$49,MATCH(LEFT(C114,7),Catalogos!$A$5:$A$49,0)))</f>
        <v/>
      </c>
      <c r="F114" s="92">
        <f>IF(C114="","",INDEX(Catalogos!$F$5:$F$49,MATCH(LEFT(C114,7),Catalogos!$A$5:$A$49,0)))</f>
        <v/>
      </c>
      <c r="G114" s="96" t="n"/>
      <c r="H114" s="96" t="n"/>
      <c r="I114" s="96" t="n"/>
      <c r="J114" s="96" t="n"/>
      <c r="K114" s="97" t="n"/>
      <c r="L114" s="97" t="n"/>
      <c r="M114" s="96" t="n"/>
      <c r="N114" s="96" t="n"/>
      <c r="O114" s="96" t="n"/>
      <c r="P114" s="96" t="n"/>
      <c r="Q114" s="96" t="n"/>
      <c r="R114" s="96" t="n"/>
      <c r="S114" s="92">
        <f>IF(R114="","",INDEX(Catalogos!$Y$5:$Y$25,MATCH(R114,L_IMP,0)))</f>
        <v/>
      </c>
      <c r="T114" s="96" t="n"/>
      <c r="U114" s="96" t="n"/>
      <c r="V114" s="96" t="n"/>
      <c r="W114" s="91">
        <f>IF(H114="","Pendiente por formular",IF(OR(J114="",K114="",L114="",M114="",N114="",O114="",Q114="",R114="",B114="",C114="",G114=""),"Incompleta: faltan campos obligatorios",IF(OR(NOT(ISNUMBER(K114)),NOT(ISNUMBER(L114))),"Fecha inválida",IF(L114&lt;K114,"La fecha de fin es anterior a la de inicio",IF(OR(YEAR(K114)&lt;&gt;2027,YEAR(L114)&lt;&gt;2027),"Fechas fuera de la vigencia 2027",IF(ISERROR(SEARCH("@itc.edu.co",M114)),"El responsable no tiene correo institucional",IF(ISERROR(SEARCH(Q114,INDEX(Catalogos!$Z$5:$Z$25,MATCH(R114,L_IMP,0)))),"La dimensión no corresponde al indicador de impacto","OK")))))))</f>
        <v/>
      </c>
    </row>
    <row r="115" ht="14.25" customHeight="1" s="23">
      <c r="A115" s="92" t="n">
        <v>65</v>
      </c>
      <c r="B115" s="96" t="n"/>
      <c r="C115" s="96" t="n"/>
      <c r="D115" s="92">
        <f>IF(C115="","",INDEX(Catalogos!$C$5:$C$49,MATCH(LEFT(C115,7),Catalogos!$A$5:$A$49,0)))</f>
        <v/>
      </c>
      <c r="E115" s="92">
        <f>IF(C115="","",INDEX(Catalogos!$D$5:$D$49,MATCH(LEFT(C115,7),Catalogos!$A$5:$A$49,0))&amp;" "&amp;INDEX(Catalogos!$E$5:$E$49,MATCH(LEFT(C115,7),Catalogos!$A$5:$A$49,0)))</f>
        <v/>
      </c>
      <c r="F115" s="92">
        <f>IF(C115="","",INDEX(Catalogos!$F$5:$F$49,MATCH(LEFT(C115,7),Catalogos!$A$5:$A$49,0)))</f>
        <v/>
      </c>
      <c r="G115" s="96" t="n"/>
      <c r="H115" s="96" t="n"/>
      <c r="I115" s="96" t="n"/>
      <c r="J115" s="96" t="n"/>
      <c r="K115" s="97" t="n"/>
      <c r="L115" s="97" t="n"/>
      <c r="M115" s="96" t="n"/>
      <c r="N115" s="96" t="n"/>
      <c r="O115" s="96" t="n"/>
      <c r="P115" s="96" t="n"/>
      <c r="Q115" s="96" t="n"/>
      <c r="R115" s="96" t="n"/>
      <c r="S115" s="92">
        <f>IF(R115="","",INDEX(Catalogos!$Y$5:$Y$25,MATCH(R115,L_IMP,0)))</f>
        <v/>
      </c>
      <c r="T115" s="96" t="n"/>
      <c r="U115" s="96" t="n"/>
      <c r="V115" s="96" t="n"/>
      <c r="W115" s="91">
        <f>IF(H115="","Pendiente por formular",IF(OR(J115="",K115="",L115="",M115="",N115="",O115="",Q115="",R115="",B115="",C115="",G115=""),"Incompleta: faltan campos obligatorios",IF(OR(NOT(ISNUMBER(K115)),NOT(ISNUMBER(L115))),"Fecha inválida",IF(L115&lt;K115,"La fecha de fin es anterior a la de inicio",IF(OR(YEAR(K115)&lt;&gt;2027,YEAR(L115)&lt;&gt;2027),"Fechas fuera de la vigencia 2027",IF(ISERROR(SEARCH("@itc.edu.co",M115)),"El responsable no tiene correo institucional",IF(ISERROR(SEARCH(Q115,INDEX(Catalogos!$Z$5:$Z$25,MATCH(R115,L_IMP,0)))),"La dimensión no corresponde al indicador de impacto","OK")))))))</f>
        <v/>
      </c>
    </row>
    <row r="116" ht="14.25" customHeight="1" s="23">
      <c r="A116" s="92" t="n">
        <v>66</v>
      </c>
      <c r="B116" s="96" t="n"/>
      <c r="C116" s="96" t="n"/>
      <c r="D116" s="92">
        <f>IF(C116="","",INDEX(Catalogos!$C$5:$C$49,MATCH(LEFT(C116,7),Catalogos!$A$5:$A$49,0)))</f>
        <v/>
      </c>
      <c r="E116" s="92">
        <f>IF(C116="","",INDEX(Catalogos!$D$5:$D$49,MATCH(LEFT(C116,7),Catalogos!$A$5:$A$49,0))&amp;" "&amp;INDEX(Catalogos!$E$5:$E$49,MATCH(LEFT(C116,7),Catalogos!$A$5:$A$49,0)))</f>
        <v/>
      </c>
      <c r="F116" s="92">
        <f>IF(C116="","",INDEX(Catalogos!$F$5:$F$49,MATCH(LEFT(C116,7),Catalogos!$A$5:$A$49,0)))</f>
        <v/>
      </c>
      <c r="G116" s="96" t="n"/>
      <c r="H116" s="96" t="n"/>
      <c r="I116" s="96" t="n"/>
      <c r="J116" s="96" t="n"/>
      <c r="K116" s="97" t="n"/>
      <c r="L116" s="97" t="n"/>
      <c r="M116" s="96" t="n"/>
      <c r="N116" s="96" t="n"/>
      <c r="O116" s="96" t="n"/>
      <c r="P116" s="96" t="n"/>
      <c r="Q116" s="96" t="n"/>
      <c r="R116" s="96" t="n"/>
      <c r="S116" s="92">
        <f>IF(R116="","",INDEX(Catalogos!$Y$5:$Y$25,MATCH(R116,L_IMP,0)))</f>
        <v/>
      </c>
      <c r="T116" s="96" t="n"/>
      <c r="U116" s="96" t="n"/>
      <c r="V116" s="96" t="n"/>
      <c r="W116" s="91">
        <f>IF(H116="","Pendiente por formular",IF(OR(J116="",K116="",L116="",M116="",N116="",O116="",Q116="",R116="",B116="",C116="",G116=""),"Incompleta: faltan campos obligatorios",IF(OR(NOT(ISNUMBER(K116)),NOT(ISNUMBER(L116))),"Fecha inválida",IF(L116&lt;K116,"La fecha de fin es anterior a la de inicio",IF(OR(YEAR(K116)&lt;&gt;2027,YEAR(L116)&lt;&gt;2027),"Fechas fuera de la vigencia 2027",IF(ISERROR(SEARCH("@itc.edu.co",M116)),"El responsable no tiene correo institucional",IF(ISERROR(SEARCH(Q116,INDEX(Catalogos!$Z$5:$Z$25,MATCH(R116,L_IMP,0)))),"La dimensión no corresponde al indicador de impacto","OK")))))))</f>
        <v/>
      </c>
    </row>
    <row r="117" ht="14.25" customHeight="1" s="23">
      <c r="A117" s="92" t="n">
        <v>67</v>
      </c>
      <c r="B117" s="96" t="n"/>
      <c r="C117" s="96" t="n"/>
      <c r="D117" s="92">
        <f>IF(C117="","",INDEX(Catalogos!$C$5:$C$49,MATCH(LEFT(C117,7),Catalogos!$A$5:$A$49,0)))</f>
        <v/>
      </c>
      <c r="E117" s="92">
        <f>IF(C117="","",INDEX(Catalogos!$D$5:$D$49,MATCH(LEFT(C117,7),Catalogos!$A$5:$A$49,0))&amp;" "&amp;INDEX(Catalogos!$E$5:$E$49,MATCH(LEFT(C117,7),Catalogos!$A$5:$A$49,0)))</f>
        <v/>
      </c>
      <c r="F117" s="92">
        <f>IF(C117="","",INDEX(Catalogos!$F$5:$F$49,MATCH(LEFT(C117,7),Catalogos!$A$5:$A$49,0)))</f>
        <v/>
      </c>
      <c r="G117" s="96" t="n"/>
      <c r="H117" s="96" t="n"/>
      <c r="I117" s="96" t="n"/>
      <c r="J117" s="96" t="n"/>
      <c r="K117" s="97" t="n"/>
      <c r="L117" s="97" t="n"/>
      <c r="M117" s="96" t="n"/>
      <c r="N117" s="96" t="n"/>
      <c r="O117" s="96" t="n"/>
      <c r="P117" s="96" t="n"/>
      <c r="Q117" s="96" t="n"/>
      <c r="R117" s="96" t="n"/>
      <c r="S117" s="92">
        <f>IF(R117="","",INDEX(Catalogos!$Y$5:$Y$25,MATCH(R117,L_IMP,0)))</f>
        <v/>
      </c>
      <c r="T117" s="96" t="n"/>
      <c r="U117" s="96" t="n"/>
      <c r="V117" s="96" t="n"/>
      <c r="W117" s="91">
        <f>IF(H117="","Pendiente por formular",IF(OR(J117="",K117="",L117="",M117="",N117="",O117="",Q117="",R117="",B117="",C117="",G117=""),"Incompleta: faltan campos obligatorios",IF(OR(NOT(ISNUMBER(K117)),NOT(ISNUMBER(L117))),"Fecha inválida",IF(L117&lt;K117,"La fecha de fin es anterior a la de inicio",IF(OR(YEAR(K117)&lt;&gt;2027,YEAR(L117)&lt;&gt;2027),"Fechas fuera de la vigencia 2027",IF(ISERROR(SEARCH("@itc.edu.co",M117)),"El responsable no tiene correo institucional",IF(ISERROR(SEARCH(Q117,INDEX(Catalogos!$Z$5:$Z$25,MATCH(R117,L_IMP,0)))),"La dimensión no corresponde al indicador de impacto","OK")))))))</f>
        <v/>
      </c>
    </row>
    <row r="118" ht="14.25" customHeight="1" s="23">
      <c r="A118" s="92" t="n">
        <v>68</v>
      </c>
      <c r="B118" s="96" t="n"/>
      <c r="C118" s="96" t="n"/>
      <c r="D118" s="92">
        <f>IF(C118="","",INDEX(Catalogos!$C$5:$C$49,MATCH(LEFT(C118,7),Catalogos!$A$5:$A$49,0)))</f>
        <v/>
      </c>
      <c r="E118" s="92">
        <f>IF(C118="","",INDEX(Catalogos!$D$5:$D$49,MATCH(LEFT(C118,7),Catalogos!$A$5:$A$49,0))&amp;" "&amp;INDEX(Catalogos!$E$5:$E$49,MATCH(LEFT(C118,7),Catalogos!$A$5:$A$49,0)))</f>
        <v/>
      </c>
      <c r="F118" s="92">
        <f>IF(C118="","",INDEX(Catalogos!$F$5:$F$49,MATCH(LEFT(C118,7),Catalogos!$A$5:$A$49,0)))</f>
        <v/>
      </c>
      <c r="G118" s="96" t="n"/>
      <c r="H118" s="96" t="n"/>
      <c r="I118" s="96" t="n"/>
      <c r="J118" s="96" t="n"/>
      <c r="K118" s="97" t="n"/>
      <c r="L118" s="97" t="n"/>
      <c r="M118" s="96" t="n"/>
      <c r="N118" s="96" t="n"/>
      <c r="O118" s="96" t="n"/>
      <c r="P118" s="96" t="n"/>
      <c r="Q118" s="96" t="n"/>
      <c r="R118" s="96" t="n"/>
      <c r="S118" s="92">
        <f>IF(R118="","",INDEX(Catalogos!$Y$5:$Y$25,MATCH(R118,L_IMP,0)))</f>
        <v/>
      </c>
      <c r="T118" s="96" t="n"/>
      <c r="U118" s="96" t="n"/>
      <c r="V118" s="96" t="n"/>
      <c r="W118" s="91">
        <f>IF(H118="","Pendiente por formular",IF(OR(J118="",K118="",L118="",M118="",N118="",O118="",Q118="",R118="",B118="",C118="",G118=""),"Incompleta: faltan campos obligatorios",IF(OR(NOT(ISNUMBER(K118)),NOT(ISNUMBER(L118))),"Fecha inválida",IF(L118&lt;K118,"La fecha de fin es anterior a la de inicio",IF(OR(YEAR(K118)&lt;&gt;2027,YEAR(L118)&lt;&gt;2027),"Fechas fuera de la vigencia 2027",IF(ISERROR(SEARCH("@itc.edu.co",M118)),"El responsable no tiene correo institucional",IF(ISERROR(SEARCH(Q118,INDEX(Catalogos!$Z$5:$Z$25,MATCH(R118,L_IMP,0)))),"La dimensión no corresponde al indicador de impacto","OK")))))))</f>
        <v/>
      </c>
    </row>
    <row r="119" ht="14.25" customHeight="1" s="23">
      <c r="A119" s="92" t="n">
        <v>69</v>
      </c>
      <c r="B119" s="96" t="n"/>
      <c r="C119" s="96" t="n"/>
      <c r="D119" s="92">
        <f>IF(C119="","",INDEX(Catalogos!$C$5:$C$49,MATCH(LEFT(C119,7),Catalogos!$A$5:$A$49,0)))</f>
        <v/>
      </c>
      <c r="E119" s="92">
        <f>IF(C119="","",INDEX(Catalogos!$D$5:$D$49,MATCH(LEFT(C119,7),Catalogos!$A$5:$A$49,0))&amp;" "&amp;INDEX(Catalogos!$E$5:$E$49,MATCH(LEFT(C119,7),Catalogos!$A$5:$A$49,0)))</f>
        <v/>
      </c>
      <c r="F119" s="92">
        <f>IF(C119="","",INDEX(Catalogos!$F$5:$F$49,MATCH(LEFT(C119,7),Catalogos!$A$5:$A$49,0)))</f>
        <v/>
      </c>
      <c r="G119" s="96" t="n"/>
      <c r="H119" s="96" t="n"/>
      <c r="I119" s="96" t="n"/>
      <c r="J119" s="96" t="n"/>
      <c r="K119" s="97" t="n"/>
      <c r="L119" s="97" t="n"/>
      <c r="M119" s="96" t="n"/>
      <c r="N119" s="96" t="n"/>
      <c r="O119" s="96" t="n"/>
      <c r="P119" s="96" t="n"/>
      <c r="Q119" s="96" t="n"/>
      <c r="R119" s="96" t="n"/>
      <c r="S119" s="92">
        <f>IF(R119="","",INDEX(Catalogos!$Y$5:$Y$25,MATCH(R119,L_IMP,0)))</f>
        <v/>
      </c>
      <c r="T119" s="96" t="n"/>
      <c r="U119" s="96" t="n"/>
      <c r="V119" s="96" t="n"/>
      <c r="W119" s="91">
        <f>IF(H119="","Pendiente por formular",IF(OR(J119="",K119="",L119="",M119="",N119="",O119="",Q119="",R119="",B119="",C119="",G119=""),"Incompleta: faltan campos obligatorios",IF(OR(NOT(ISNUMBER(K119)),NOT(ISNUMBER(L119))),"Fecha inválida",IF(L119&lt;K119,"La fecha de fin es anterior a la de inicio",IF(OR(YEAR(K119)&lt;&gt;2027,YEAR(L119)&lt;&gt;2027),"Fechas fuera de la vigencia 2027",IF(ISERROR(SEARCH("@itc.edu.co",M119)),"El responsable no tiene correo institucional",IF(ISERROR(SEARCH(Q119,INDEX(Catalogos!$Z$5:$Z$25,MATCH(R119,L_IMP,0)))),"La dimensión no corresponde al indicador de impacto","OK")))))))</f>
        <v/>
      </c>
    </row>
    <row r="120" ht="14.25" customHeight="1" s="23">
      <c r="A120" s="92" t="n">
        <v>70</v>
      </c>
      <c r="B120" s="96" t="n"/>
      <c r="C120" s="96" t="n"/>
      <c r="D120" s="92">
        <f>IF(C120="","",INDEX(Catalogos!$C$5:$C$49,MATCH(LEFT(C120,7),Catalogos!$A$5:$A$49,0)))</f>
        <v/>
      </c>
      <c r="E120" s="92">
        <f>IF(C120="","",INDEX(Catalogos!$D$5:$D$49,MATCH(LEFT(C120,7),Catalogos!$A$5:$A$49,0))&amp;" "&amp;INDEX(Catalogos!$E$5:$E$49,MATCH(LEFT(C120,7),Catalogos!$A$5:$A$49,0)))</f>
        <v/>
      </c>
      <c r="F120" s="92">
        <f>IF(C120="","",INDEX(Catalogos!$F$5:$F$49,MATCH(LEFT(C120,7),Catalogos!$A$5:$A$49,0)))</f>
        <v/>
      </c>
      <c r="G120" s="96" t="n"/>
      <c r="H120" s="96" t="n"/>
      <c r="I120" s="96" t="n"/>
      <c r="J120" s="96" t="n"/>
      <c r="K120" s="97" t="n"/>
      <c r="L120" s="97" t="n"/>
      <c r="M120" s="96" t="n"/>
      <c r="N120" s="96" t="n"/>
      <c r="O120" s="96" t="n"/>
      <c r="P120" s="96" t="n"/>
      <c r="Q120" s="96" t="n"/>
      <c r="R120" s="96" t="n"/>
      <c r="S120" s="92">
        <f>IF(R120="","",INDEX(Catalogos!$Y$5:$Y$25,MATCH(R120,L_IMP,0)))</f>
        <v/>
      </c>
      <c r="T120" s="96" t="n"/>
      <c r="U120" s="96" t="n"/>
      <c r="V120" s="96" t="n"/>
      <c r="W120" s="91">
        <f>IF(H120="","Pendiente por formular",IF(OR(J120="",K120="",L120="",M120="",N120="",O120="",Q120="",R120="",B120="",C120="",G120=""),"Incompleta: faltan campos obligatorios",IF(OR(NOT(ISNUMBER(K120)),NOT(ISNUMBER(L120))),"Fecha inválida",IF(L120&lt;K120,"La fecha de fin es anterior a la de inicio",IF(OR(YEAR(K120)&lt;&gt;2027,YEAR(L120)&lt;&gt;2027),"Fechas fuera de la vigencia 2027",IF(ISERROR(SEARCH("@itc.edu.co",M120)),"El responsable no tiene correo institucional",IF(ISERROR(SEARCH(Q120,INDEX(Catalogos!$Z$5:$Z$25,MATCH(R120,L_IMP,0)))),"La dimensión no corresponde al indicador de impacto","OK")))))))</f>
        <v/>
      </c>
    </row>
    <row r="121" ht="14.25" customHeight="1" s="23">
      <c r="A121" s="92" t="n">
        <v>71</v>
      </c>
      <c r="B121" s="96" t="n"/>
      <c r="C121" s="96" t="n"/>
      <c r="D121" s="92">
        <f>IF(C121="","",INDEX(Catalogos!$C$5:$C$49,MATCH(LEFT(C121,7),Catalogos!$A$5:$A$49,0)))</f>
        <v/>
      </c>
      <c r="E121" s="92">
        <f>IF(C121="","",INDEX(Catalogos!$D$5:$D$49,MATCH(LEFT(C121,7),Catalogos!$A$5:$A$49,0))&amp;" "&amp;INDEX(Catalogos!$E$5:$E$49,MATCH(LEFT(C121,7),Catalogos!$A$5:$A$49,0)))</f>
        <v/>
      </c>
      <c r="F121" s="92">
        <f>IF(C121="","",INDEX(Catalogos!$F$5:$F$49,MATCH(LEFT(C121,7),Catalogos!$A$5:$A$49,0)))</f>
        <v/>
      </c>
      <c r="G121" s="96" t="n"/>
      <c r="H121" s="96" t="n"/>
      <c r="I121" s="96" t="n"/>
      <c r="J121" s="96" t="n"/>
      <c r="K121" s="97" t="n"/>
      <c r="L121" s="97" t="n"/>
      <c r="M121" s="96" t="n"/>
      <c r="N121" s="96" t="n"/>
      <c r="O121" s="96" t="n"/>
      <c r="P121" s="96" t="n"/>
      <c r="Q121" s="96" t="n"/>
      <c r="R121" s="96" t="n"/>
      <c r="S121" s="92">
        <f>IF(R121="","",INDEX(Catalogos!$Y$5:$Y$25,MATCH(R121,L_IMP,0)))</f>
        <v/>
      </c>
      <c r="T121" s="96" t="n"/>
      <c r="U121" s="96" t="n"/>
      <c r="V121" s="96" t="n"/>
      <c r="W121" s="91">
        <f>IF(H121="","Pendiente por formular",IF(OR(J121="",K121="",L121="",M121="",N121="",O121="",Q121="",R121="",B121="",C121="",G121=""),"Incompleta: faltan campos obligatorios",IF(OR(NOT(ISNUMBER(K121)),NOT(ISNUMBER(L121))),"Fecha inválida",IF(L121&lt;K121,"La fecha de fin es anterior a la de inicio",IF(OR(YEAR(K121)&lt;&gt;2027,YEAR(L121)&lt;&gt;2027),"Fechas fuera de la vigencia 2027",IF(ISERROR(SEARCH("@itc.edu.co",M121)),"El responsable no tiene correo institucional",IF(ISERROR(SEARCH(Q121,INDEX(Catalogos!$Z$5:$Z$25,MATCH(R121,L_IMP,0)))),"La dimensión no corresponde al indicador de impacto","OK")))))))</f>
        <v/>
      </c>
    </row>
    <row r="122" ht="14.25" customHeight="1" s="23">
      <c r="A122" s="92" t="n">
        <v>72</v>
      </c>
      <c r="B122" s="96" t="n"/>
      <c r="C122" s="96" t="n"/>
      <c r="D122" s="92">
        <f>IF(C122="","",INDEX(Catalogos!$C$5:$C$49,MATCH(LEFT(C122,7),Catalogos!$A$5:$A$49,0)))</f>
        <v/>
      </c>
      <c r="E122" s="92">
        <f>IF(C122="","",INDEX(Catalogos!$D$5:$D$49,MATCH(LEFT(C122,7),Catalogos!$A$5:$A$49,0))&amp;" "&amp;INDEX(Catalogos!$E$5:$E$49,MATCH(LEFT(C122,7),Catalogos!$A$5:$A$49,0)))</f>
        <v/>
      </c>
      <c r="F122" s="92">
        <f>IF(C122="","",INDEX(Catalogos!$F$5:$F$49,MATCH(LEFT(C122,7),Catalogos!$A$5:$A$49,0)))</f>
        <v/>
      </c>
      <c r="G122" s="96" t="n"/>
      <c r="H122" s="96" t="n"/>
      <c r="I122" s="96" t="n"/>
      <c r="J122" s="96" t="n"/>
      <c r="K122" s="97" t="n"/>
      <c r="L122" s="97" t="n"/>
      <c r="M122" s="96" t="n"/>
      <c r="N122" s="96" t="n"/>
      <c r="O122" s="96" t="n"/>
      <c r="P122" s="96" t="n"/>
      <c r="Q122" s="96" t="n"/>
      <c r="R122" s="96" t="n"/>
      <c r="S122" s="92">
        <f>IF(R122="","",INDEX(Catalogos!$Y$5:$Y$25,MATCH(R122,L_IMP,0)))</f>
        <v/>
      </c>
      <c r="T122" s="96" t="n"/>
      <c r="U122" s="96" t="n"/>
      <c r="V122" s="96" t="n"/>
      <c r="W122" s="91">
        <f>IF(H122="","Pendiente por formular",IF(OR(J122="",K122="",L122="",M122="",N122="",O122="",Q122="",R122="",B122="",C122="",G122=""),"Incompleta: faltan campos obligatorios",IF(OR(NOT(ISNUMBER(K122)),NOT(ISNUMBER(L122))),"Fecha inválida",IF(L122&lt;K122,"La fecha de fin es anterior a la de inicio",IF(OR(YEAR(K122)&lt;&gt;2027,YEAR(L122)&lt;&gt;2027),"Fechas fuera de la vigencia 2027",IF(ISERROR(SEARCH("@itc.edu.co",M122)),"El responsable no tiene correo institucional",IF(ISERROR(SEARCH(Q122,INDEX(Catalogos!$Z$5:$Z$25,MATCH(R122,L_IMP,0)))),"La dimensión no corresponde al indicador de impacto","OK")))))))</f>
        <v/>
      </c>
    </row>
    <row r="123" ht="14.25" customHeight="1" s="23">
      <c r="A123" s="92" t="n">
        <v>73</v>
      </c>
      <c r="B123" s="96" t="n"/>
      <c r="C123" s="96" t="n"/>
      <c r="D123" s="92">
        <f>IF(C123="","",INDEX(Catalogos!$C$5:$C$49,MATCH(LEFT(C123,7),Catalogos!$A$5:$A$49,0)))</f>
        <v/>
      </c>
      <c r="E123" s="92">
        <f>IF(C123="","",INDEX(Catalogos!$D$5:$D$49,MATCH(LEFT(C123,7),Catalogos!$A$5:$A$49,0))&amp;" "&amp;INDEX(Catalogos!$E$5:$E$49,MATCH(LEFT(C123,7),Catalogos!$A$5:$A$49,0)))</f>
        <v/>
      </c>
      <c r="F123" s="92">
        <f>IF(C123="","",INDEX(Catalogos!$F$5:$F$49,MATCH(LEFT(C123,7),Catalogos!$A$5:$A$49,0)))</f>
        <v/>
      </c>
      <c r="G123" s="96" t="n"/>
      <c r="H123" s="96" t="n"/>
      <c r="I123" s="96" t="n"/>
      <c r="J123" s="96" t="n"/>
      <c r="K123" s="97" t="n"/>
      <c r="L123" s="97" t="n"/>
      <c r="M123" s="96" t="n"/>
      <c r="N123" s="96" t="n"/>
      <c r="O123" s="96" t="n"/>
      <c r="P123" s="96" t="n"/>
      <c r="Q123" s="96" t="n"/>
      <c r="R123" s="96" t="n"/>
      <c r="S123" s="92">
        <f>IF(R123="","",INDEX(Catalogos!$Y$5:$Y$25,MATCH(R123,L_IMP,0)))</f>
        <v/>
      </c>
      <c r="T123" s="96" t="n"/>
      <c r="U123" s="96" t="n"/>
      <c r="V123" s="96" t="n"/>
      <c r="W123" s="91">
        <f>IF(H123="","Pendiente por formular",IF(OR(J123="",K123="",L123="",M123="",N123="",O123="",Q123="",R123="",B123="",C123="",G123=""),"Incompleta: faltan campos obligatorios",IF(OR(NOT(ISNUMBER(K123)),NOT(ISNUMBER(L123))),"Fecha inválida",IF(L123&lt;K123,"La fecha de fin es anterior a la de inicio",IF(OR(YEAR(K123)&lt;&gt;2027,YEAR(L123)&lt;&gt;2027),"Fechas fuera de la vigencia 2027",IF(ISERROR(SEARCH("@itc.edu.co",M123)),"El responsable no tiene correo institucional",IF(ISERROR(SEARCH(Q123,INDEX(Catalogos!$Z$5:$Z$25,MATCH(R123,L_IMP,0)))),"La dimensión no corresponde al indicador de impacto","OK")))))))</f>
        <v/>
      </c>
    </row>
    <row r="124" ht="14.25" customHeight="1" s="23">
      <c r="A124" s="92" t="n">
        <v>74</v>
      </c>
      <c r="B124" s="96" t="n"/>
      <c r="C124" s="96" t="n"/>
      <c r="D124" s="92">
        <f>IF(C124="","",INDEX(Catalogos!$C$5:$C$49,MATCH(LEFT(C124,7),Catalogos!$A$5:$A$49,0)))</f>
        <v/>
      </c>
      <c r="E124" s="92">
        <f>IF(C124="","",INDEX(Catalogos!$D$5:$D$49,MATCH(LEFT(C124,7),Catalogos!$A$5:$A$49,0))&amp;" "&amp;INDEX(Catalogos!$E$5:$E$49,MATCH(LEFT(C124,7),Catalogos!$A$5:$A$49,0)))</f>
        <v/>
      </c>
      <c r="F124" s="92">
        <f>IF(C124="","",INDEX(Catalogos!$F$5:$F$49,MATCH(LEFT(C124,7),Catalogos!$A$5:$A$49,0)))</f>
        <v/>
      </c>
      <c r="G124" s="96" t="n"/>
      <c r="H124" s="96" t="n"/>
      <c r="I124" s="96" t="n"/>
      <c r="J124" s="96" t="n"/>
      <c r="K124" s="97" t="n"/>
      <c r="L124" s="97" t="n"/>
      <c r="M124" s="96" t="n"/>
      <c r="N124" s="96" t="n"/>
      <c r="O124" s="96" t="n"/>
      <c r="P124" s="96" t="n"/>
      <c r="Q124" s="96" t="n"/>
      <c r="R124" s="96" t="n"/>
      <c r="S124" s="92">
        <f>IF(R124="","",INDEX(Catalogos!$Y$5:$Y$25,MATCH(R124,L_IMP,0)))</f>
        <v/>
      </c>
      <c r="T124" s="96" t="n"/>
      <c r="U124" s="96" t="n"/>
      <c r="V124" s="96" t="n"/>
      <c r="W124" s="91">
        <f>IF(H124="","Pendiente por formular",IF(OR(J124="",K124="",L124="",M124="",N124="",O124="",Q124="",R124="",B124="",C124="",G124=""),"Incompleta: faltan campos obligatorios",IF(OR(NOT(ISNUMBER(K124)),NOT(ISNUMBER(L124))),"Fecha inválida",IF(L124&lt;K124,"La fecha de fin es anterior a la de inicio",IF(OR(YEAR(K124)&lt;&gt;2027,YEAR(L124)&lt;&gt;2027),"Fechas fuera de la vigencia 2027",IF(ISERROR(SEARCH("@itc.edu.co",M124)),"El responsable no tiene correo institucional",IF(ISERROR(SEARCH(Q124,INDEX(Catalogos!$Z$5:$Z$25,MATCH(R124,L_IMP,0)))),"La dimensión no corresponde al indicador de impacto","OK")))))))</f>
        <v/>
      </c>
    </row>
    <row r="125" ht="14.25" customHeight="1" s="23">
      <c r="A125" s="92" t="n">
        <v>75</v>
      </c>
      <c r="B125" s="96" t="n"/>
      <c r="C125" s="96" t="n"/>
      <c r="D125" s="92">
        <f>IF(C125="","",INDEX(Catalogos!$C$5:$C$49,MATCH(LEFT(C125,7),Catalogos!$A$5:$A$49,0)))</f>
        <v/>
      </c>
      <c r="E125" s="92">
        <f>IF(C125="","",INDEX(Catalogos!$D$5:$D$49,MATCH(LEFT(C125,7),Catalogos!$A$5:$A$49,0))&amp;" "&amp;INDEX(Catalogos!$E$5:$E$49,MATCH(LEFT(C125,7),Catalogos!$A$5:$A$49,0)))</f>
        <v/>
      </c>
      <c r="F125" s="92">
        <f>IF(C125="","",INDEX(Catalogos!$F$5:$F$49,MATCH(LEFT(C125,7),Catalogos!$A$5:$A$49,0)))</f>
        <v/>
      </c>
      <c r="G125" s="96" t="n"/>
      <c r="H125" s="96" t="n"/>
      <c r="I125" s="96" t="n"/>
      <c r="J125" s="96" t="n"/>
      <c r="K125" s="97" t="n"/>
      <c r="L125" s="97" t="n"/>
      <c r="M125" s="96" t="n"/>
      <c r="N125" s="96" t="n"/>
      <c r="O125" s="96" t="n"/>
      <c r="P125" s="96" t="n"/>
      <c r="Q125" s="96" t="n"/>
      <c r="R125" s="96" t="n"/>
      <c r="S125" s="92">
        <f>IF(R125="","",INDEX(Catalogos!$Y$5:$Y$25,MATCH(R125,L_IMP,0)))</f>
        <v/>
      </c>
      <c r="T125" s="96" t="n"/>
      <c r="U125" s="96" t="n"/>
      <c r="V125" s="96" t="n"/>
      <c r="W125" s="91">
        <f>IF(H125="","Pendiente por formular",IF(OR(J125="",K125="",L125="",M125="",N125="",O125="",Q125="",R125="",B125="",C125="",G125=""),"Incompleta: faltan campos obligatorios",IF(OR(NOT(ISNUMBER(K125)),NOT(ISNUMBER(L125))),"Fecha inválida",IF(L125&lt;K125,"La fecha de fin es anterior a la de inicio",IF(OR(YEAR(K125)&lt;&gt;2027,YEAR(L125)&lt;&gt;2027),"Fechas fuera de la vigencia 2027",IF(ISERROR(SEARCH("@itc.edu.co",M125)),"El responsable no tiene correo institucional",IF(ISERROR(SEARCH(Q125,INDEX(Catalogos!$Z$5:$Z$25,MATCH(R125,L_IMP,0)))),"La dimensión no corresponde al indicador de impacto","OK")))))))</f>
        <v/>
      </c>
    </row>
    <row r="126" ht="14.25" customHeight="1" s="23">
      <c r="A126" s="92" t="n">
        <v>76</v>
      </c>
      <c r="B126" s="96" t="n"/>
      <c r="C126" s="96" t="n"/>
      <c r="D126" s="92">
        <f>IF(C126="","",INDEX(Catalogos!$C$5:$C$49,MATCH(LEFT(C126,7),Catalogos!$A$5:$A$49,0)))</f>
        <v/>
      </c>
      <c r="E126" s="92">
        <f>IF(C126="","",INDEX(Catalogos!$D$5:$D$49,MATCH(LEFT(C126,7),Catalogos!$A$5:$A$49,0))&amp;" "&amp;INDEX(Catalogos!$E$5:$E$49,MATCH(LEFT(C126,7),Catalogos!$A$5:$A$49,0)))</f>
        <v/>
      </c>
      <c r="F126" s="92">
        <f>IF(C126="","",INDEX(Catalogos!$F$5:$F$49,MATCH(LEFT(C126,7),Catalogos!$A$5:$A$49,0)))</f>
        <v/>
      </c>
      <c r="G126" s="96" t="n"/>
      <c r="H126" s="96" t="n"/>
      <c r="I126" s="96" t="n"/>
      <c r="J126" s="96" t="n"/>
      <c r="K126" s="97" t="n"/>
      <c r="L126" s="97" t="n"/>
      <c r="M126" s="96" t="n"/>
      <c r="N126" s="96" t="n"/>
      <c r="O126" s="96" t="n"/>
      <c r="P126" s="96" t="n"/>
      <c r="Q126" s="96" t="n"/>
      <c r="R126" s="96" t="n"/>
      <c r="S126" s="92">
        <f>IF(R126="","",INDEX(Catalogos!$Y$5:$Y$25,MATCH(R126,L_IMP,0)))</f>
        <v/>
      </c>
      <c r="T126" s="96" t="n"/>
      <c r="U126" s="96" t="n"/>
      <c r="V126" s="96" t="n"/>
      <c r="W126" s="91">
        <f>IF(H126="","Pendiente por formular",IF(OR(J126="",K126="",L126="",M126="",N126="",O126="",Q126="",R126="",B126="",C126="",G126=""),"Incompleta: faltan campos obligatorios",IF(OR(NOT(ISNUMBER(K126)),NOT(ISNUMBER(L126))),"Fecha inválida",IF(L126&lt;K126,"La fecha de fin es anterior a la de inicio",IF(OR(YEAR(K126)&lt;&gt;2027,YEAR(L126)&lt;&gt;2027),"Fechas fuera de la vigencia 2027",IF(ISERROR(SEARCH("@itc.edu.co",M126)),"El responsable no tiene correo institucional",IF(ISERROR(SEARCH(Q126,INDEX(Catalogos!$Z$5:$Z$25,MATCH(R126,L_IMP,0)))),"La dimensión no corresponde al indicador de impacto","OK")))))))</f>
        <v/>
      </c>
    </row>
    <row r="127" ht="14.25" customHeight="1" s="23">
      <c r="A127" s="92" t="n">
        <v>77</v>
      </c>
      <c r="B127" s="96" t="n"/>
      <c r="C127" s="96" t="n"/>
      <c r="D127" s="92">
        <f>IF(C127="","",INDEX(Catalogos!$C$5:$C$49,MATCH(LEFT(C127,7),Catalogos!$A$5:$A$49,0)))</f>
        <v/>
      </c>
      <c r="E127" s="92">
        <f>IF(C127="","",INDEX(Catalogos!$D$5:$D$49,MATCH(LEFT(C127,7),Catalogos!$A$5:$A$49,0))&amp;" "&amp;INDEX(Catalogos!$E$5:$E$49,MATCH(LEFT(C127,7),Catalogos!$A$5:$A$49,0)))</f>
        <v/>
      </c>
      <c r="F127" s="92">
        <f>IF(C127="","",INDEX(Catalogos!$F$5:$F$49,MATCH(LEFT(C127,7),Catalogos!$A$5:$A$49,0)))</f>
        <v/>
      </c>
      <c r="G127" s="96" t="n"/>
      <c r="H127" s="96" t="n"/>
      <c r="I127" s="96" t="n"/>
      <c r="J127" s="96" t="n"/>
      <c r="K127" s="97" t="n"/>
      <c r="L127" s="97" t="n"/>
      <c r="M127" s="96" t="n"/>
      <c r="N127" s="96" t="n"/>
      <c r="O127" s="96" t="n"/>
      <c r="P127" s="96" t="n"/>
      <c r="Q127" s="96" t="n"/>
      <c r="R127" s="96" t="n"/>
      <c r="S127" s="92">
        <f>IF(R127="","",INDEX(Catalogos!$Y$5:$Y$25,MATCH(R127,L_IMP,0)))</f>
        <v/>
      </c>
      <c r="T127" s="96" t="n"/>
      <c r="U127" s="96" t="n"/>
      <c r="V127" s="96" t="n"/>
      <c r="W127" s="91">
        <f>IF(H127="","Pendiente por formular",IF(OR(J127="",K127="",L127="",M127="",N127="",O127="",Q127="",R127="",B127="",C127="",G127=""),"Incompleta: faltan campos obligatorios",IF(OR(NOT(ISNUMBER(K127)),NOT(ISNUMBER(L127))),"Fecha inválida",IF(L127&lt;K127,"La fecha de fin es anterior a la de inicio",IF(OR(YEAR(K127)&lt;&gt;2027,YEAR(L127)&lt;&gt;2027),"Fechas fuera de la vigencia 2027",IF(ISERROR(SEARCH("@itc.edu.co",M127)),"El responsable no tiene correo institucional",IF(ISERROR(SEARCH(Q127,INDEX(Catalogos!$Z$5:$Z$25,MATCH(R127,L_IMP,0)))),"La dimensión no corresponde al indicador de impacto","OK")))))))</f>
        <v/>
      </c>
    </row>
    <row r="128" ht="14.25" customHeight="1" s="23">
      <c r="A128" s="92" t="n">
        <v>78</v>
      </c>
      <c r="B128" s="96" t="n"/>
      <c r="C128" s="96" t="n"/>
      <c r="D128" s="92">
        <f>IF(C128="","",INDEX(Catalogos!$C$5:$C$49,MATCH(LEFT(C128,7),Catalogos!$A$5:$A$49,0)))</f>
        <v/>
      </c>
      <c r="E128" s="92">
        <f>IF(C128="","",INDEX(Catalogos!$D$5:$D$49,MATCH(LEFT(C128,7),Catalogos!$A$5:$A$49,0))&amp;" "&amp;INDEX(Catalogos!$E$5:$E$49,MATCH(LEFT(C128,7),Catalogos!$A$5:$A$49,0)))</f>
        <v/>
      </c>
      <c r="F128" s="92">
        <f>IF(C128="","",INDEX(Catalogos!$F$5:$F$49,MATCH(LEFT(C128,7),Catalogos!$A$5:$A$49,0)))</f>
        <v/>
      </c>
      <c r="G128" s="96" t="n"/>
      <c r="H128" s="96" t="n"/>
      <c r="I128" s="96" t="n"/>
      <c r="J128" s="96" t="n"/>
      <c r="K128" s="97" t="n"/>
      <c r="L128" s="97" t="n"/>
      <c r="M128" s="96" t="n"/>
      <c r="N128" s="96" t="n"/>
      <c r="O128" s="96" t="n"/>
      <c r="P128" s="96" t="n"/>
      <c r="Q128" s="96" t="n"/>
      <c r="R128" s="96" t="n"/>
      <c r="S128" s="92">
        <f>IF(R128="","",INDEX(Catalogos!$Y$5:$Y$25,MATCH(R128,L_IMP,0)))</f>
        <v/>
      </c>
      <c r="T128" s="96" t="n"/>
      <c r="U128" s="96" t="n"/>
      <c r="V128" s="96" t="n"/>
      <c r="W128" s="91">
        <f>IF(H128="","Pendiente por formular",IF(OR(J128="",K128="",L128="",M128="",N128="",O128="",Q128="",R128="",B128="",C128="",G128=""),"Incompleta: faltan campos obligatorios",IF(OR(NOT(ISNUMBER(K128)),NOT(ISNUMBER(L128))),"Fecha inválida",IF(L128&lt;K128,"La fecha de fin es anterior a la de inicio",IF(OR(YEAR(K128)&lt;&gt;2027,YEAR(L128)&lt;&gt;2027),"Fechas fuera de la vigencia 2027",IF(ISERROR(SEARCH("@itc.edu.co",M128)),"El responsable no tiene correo institucional",IF(ISERROR(SEARCH(Q128,INDEX(Catalogos!$Z$5:$Z$25,MATCH(R128,L_IMP,0)))),"La dimensión no corresponde al indicador de impacto","OK")))))))</f>
        <v/>
      </c>
    </row>
    <row r="129" ht="14.25" customHeight="1" s="23">
      <c r="A129" s="92" t="n">
        <v>79</v>
      </c>
      <c r="B129" s="96" t="n"/>
      <c r="C129" s="96" t="n"/>
      <c r="D129" s="92">
        <f>IF(C129="","",INDEX(Catalogos!$C$5:$C$49,MATCH(LEFT(C129,7),Catalogos!$A$5:$A$49,0)))</f>
        <v/>
      </c>
      <c r="E129" s="92">
        <f>IF(C129="","",INDEX(Catalogos!$D$5:$D$49,MATCH(LEFT(C129,7),Catalogos!$A$5:$A$49,0))&amp;" "&amp;INDEX(Catalogos!$E$5:$E$49,MATCH(LEFT(C129,7),Catalogos!$A$5:$A$49,0)))</f>
        <v/>
      </c>
      <c r="F129" s="92">
        <f>IF(C129="","",INDEX(Catalogos!$F$5:$F$49,MATCH(LEFT(C129,7),Catalogos!$A$5:$A$49,0)))</f>
        <v/>
      </c>
      <c r="G129" s="96" t="n"/>
      <c r="H129" s="96" t="n"/>
      <c r="I129" s="96" t="n"/>
      <c r="J129" s="96" t="n"/>
      <c r="K129" s="97" t="n"/>
      <c r="L129" s="97" t="n"/>
      <c r="M129" s="96" t="n"/>
      <c r="N129" s="96" t="n"/>
      <c r="O129" s="96" t="n"/>
      <c r="P129" s="96" t="n"/>
      <c r="Q129" s="96" t="n"/>
      <c r="R129" s="96" t="n"/>
      <c r="S129" s="92">
        <f>IF(R129="","",INDEX(Catalogos!$Y$5:$Y$25,MATCH(R129,L_IMP,0)))</f>
        <v/>
      </c>
      <c r="T129" s="96" t="n"/>
      <c r="U129" s="96" t="n"/>
      <c r="V129" s="96" t="n"/>
      <c r="W129" s="91">
        <f>IF(H129="","Pendiente por formular",IF(OR(J129="",K129="",L129="",M129="",N129="",O129="",Q129="",R129="",B129="",C129="",G129=""),"Incompleta: faltan campos obligatorios",IF(OR(NOT(ISNUMBER(K129)),NOT(ISNUMBER(L129))),"Fecha inválida",IF(L129&lt;K129,"La fecha de fin es anterior a la de inicio",IF(OR(YEAR(K129)&lt;&gt;2027,YEAR(L129)&lt;&gt;2027),"Fechas fuera de la vigencia 2027",IF(ISERROR(SEARCH("@itc.edu.co",M129)),"El responsable no tiene correo institucional",IF(ISERROR(SEARCH(Q129,INDEX(Catalogos!$Z$5:$Z$25,MATCH(R129,L_IMP,0)))),"La dimensión no corresponde al indicador de impacto","OK")))))))</f>
        <v/>
      </c>
    </row>
    <row r="130" ht="14.25" customHeight="1" s="23">
      <c r="A130" s="92" t="n">
        <v>80</v>
      </c>
      <c r="B130" s="96" t="n"/>
      <c r="C130" s="96" t="n"/>
      <c r="D130" s="92">
        <f>IF(C130="","",INDEX(Catalogos!$C$5:$C$49,MATCH(LEFT(C130,7),Catalogos!$A$5:$A$49,0)))</f>
        <v/>
      </c>
      <c r="E130" s="92">
        <f>IF(C130="","",INDEX(Catalogos!$D$5:$D$49,MATCH(LEFT(C130,7),Catalogos!$A$5:$A$49,0))&amp;" "&amp;INDEX(Catalogos!$E$5:$E$49,MATCH(LEFT(C130,7),Catalogos!$A$5:$A$49,0)))</f>
        <v/>
      </c>
      <c r="F130" s="92">
        <f>IF(C130="","",INDEX(Catalogos!$F$5:$F$49,MATCH(LEFT(C130,7),Catalogos!$A$5:$A$49,0)))</f>
        <v/>
      </c>
      <c r="G130" s="96" t="n"/>
      <c r="H130" s="96" t="n"/>
      <c r="I130" s="96" t="n"/>
      <c r="J130" s="96" t="n"/>
      <c r="K130" s="97" t="n"/>
      <c r="L130" s="97" t="n"/>
      <c r="M130" s="96" t="n"/>
      <c r="N130" s="96" t="n"/>
      <c r="O130" s="96" t="n"/>
      <c r="P130" s="96" t="n"/>
      <c r="Q130" s="96" t="n"/>
      <c r="R130" s="96" t="n"/>
      <c r="S130" s="92">
        <f>IF(R130="","",INDEX(Catalogos!$Y$5:$Y$25,MATCH(R130,L_IMP,0)))</f>
        <v/>
      </c>
      <c r="T130" s="96" t="n"/>
      <c r="U130" s="96" t="n"/>
      <c r="V130" s="96" t="n"/>
      <c r="W130" s="91">
        <f>IF(H130="","Pendiente por formular",IF(OR(J130="",K130="",L130="",M130="",N130="",O130="",Q130="",R130="",B130="",C130="",G130=""),"Incompleta: faltan campos obligatorios",IF(OR(NOT(ISNUMBER(K130)),NOT(ISNUMBER(L130))),"Fecha inválida",IF(L130&lt;K130,"La fecha de fin es anterior a la de inicio",IF(OR(YEAR(K130)&lt;&gt;2027,YEAR(L130)&lt;&gt;2027),"Fechas fuera de la vigencia 2027",IF(ISERROR(SEARCH("@itc.edu.co",M130)),"El responsable no tiene correo institucional",IF(ISERROR(SEARCH(Q130,INDEX(Catalogos!$Z$5:$Z$25,MATCH(R130,L_IMP,0)))),"La dimensión no corresponde al indicador de impacto","OK")))))))</f>
        <v/>
      </c>
    </row>
    <row r="131" ht="14.25" customHeight="1" s="23">
      <c r="A131" s="92" t="n">
        <v>81</v>
      </c>
      <c r="B131" s="96" t="n"/>
      <c r="C131" s="96" t="n"/>
      <c r="D131" s="92">
        <f>IF(C131="","",INDEX(Catalogos!$C$5:$C$49,MATCH(LEFT(C131,7),Catalogos!$A$5:$A$49,0)))</f>
        <v/>
      </c>
      <c r="E131" s="92">
        <f>IF(C131="","",INDEX(Catalogos!$D$5:$D$49,MATCH(LEFT(C131,7),Catalogos!$A$5:$A$49,0))&amp;" "&amp;INDEX(Catalogos!$E$5:$E$49,MATCH(LEFT(C131,7),Catalogos!$A$5:$A$49,0)))</f>
        <v/>
      </c>
      <c r="F131" s="92">
        <f>IF(C131="","",INDEX(Catalogos!$F$5:$F$49,MATCH(LEFT(C131,7),Catalogos!$A$5:$A$49,0)))</f>
        <v/>
      </c>
      <c r="G131" s="96" t="n"/>
      <c r="H131" s="96" t="n"/>
      <c r="I131" s="96" t="n"/>
      <c r="J131" s="96" t="n"/>
      <c r="K131" s="97" t="n"/>
      <c r="L131" s="97" t="n"/>
      <c r="M131" s="96" t="n"/>
      <c r="N131" s="96" t="n"/>
      <c r="O131" s="96" t="n"/>
      <c r="P131" s="96" t="n"/>
      <c r="Q131" s="96" t="n"/>
      <c r="R131" s="96" t="n"/>
      <c r="S131" s="92">
        <f>IF(R131="","",INDEX(Catalogos!$Y$5:$Y$25,MATCH(R131,L_IMP,0)))</f>
        <v/>
      </c>
      <c r="T131" s="96" t="n"/>
      <c r="U131" s="96" t="n"/>
      <c r="V131" s="96" t="n"/>
      <c r="W131" s="91">
        <f>IF(H131="","Pendiente por formular",IF(OR(J131="",K131="",L131="",M131="",N131="",O131="",Q131="",R131="",B131="",C131="",G131=""),"Incompleta: faltan campos obligatorios",IF(OR(NOT(ISNUMBER(K131)),NOT(ISNUMBER(L131))),"Fecha inválida",IF(L131&lt;K131,"La fecha de fin es anterior a la de inicio",IF(OR(YEAR(K131)&lt;&gt;2027,YEAR(L131)&lt;&gt;2027),"Fechas fuera de la vigencia 2027",IF(ISERROR(SEARCH("@itc.edu.co",M131)),"El responsable no tiene correo institucional",IF(ISERROR(SEARCH(Q131,INDEX(Catalogos!$Z$5:$Z$25,MATCH(R131,L_IMP,0)))),"La dimensión no corresponde al indicador de impacto","OK")))))))</f>
        <v/>
      </c>
    </row>
    <row r="132" ht="14.25" customHeight="1" s="23">
      <c r="A132" s="92" t="n">
        <v>82</v>
      </c>
      <c r="B132" s="96" t="n"/>
      <c r="C132" s="96" t="n"/>
      <c r="D132" s="92">
        <f>IF(C132="","",INDEX(Catalogos!$C$5:$C$49,MATCH(LEFT(C132,7),Catalogos!$A$5:$A$49,0)))</f>
        <v/>
      </c>
      <c r="E132" s="92">
        <f>IF(C132="","",INDEX(Catalogos!$D$5:$D$49,MATCH(LEFT(C132,7),Catalogos!$A$5:$A$49,0))&amp;" "&amp;INDEX(Catalogos!$E$5:$E$49,MATCH(LEFT(C132,7),Catalogos!$A$5:$A$49,0)))</f>
        <v/>
      </c>
      <c r="F132" s="92">
        <f>IF(C132="","",INDEX(Catalogos!$F$5:$F$49,MATCH(LEFT(C132,7),Catalogos!$A$5:$A$49,0)))</f>
        <v/>
      </c>
      <c r="G132" s="96" t="n"/>
      <c r="H132" s="96" t="n"/>
      <c r="I132" s="96" t="n"/>
      <c r="J132" s="96" t="n"/>
      <c r="K132" s="97" t="n"/>
      <c r="L132" s="97" t="n"/>
      <c r="M132" s="96" t="n"/>
      <c r="N132" s="96" t="n"/>
      <c r="O132" s="96" t="n"/>
      <c r="P132" s="96" t="n"/>
      <c r="Q132" s="96" t="n"/>
      <c r="R132" s="96" t="n"/>
      <c r="S132" s="92">
        <f>IF(R132="","",INDEX(Catalogos!$Y$5:$Y$25,MATCH(R132,L_IMP,0)))</f>
        <v/>
      </c>
      <c r="T132" s="96" t="n"/>
      <c r="U132" s="96" t="n"/>
      <c r="V132" s="96" t="n"/>
      <c r="W132" s="91">
        <f>IF(H132="","Pendiente por formular",IF(OR(J132="",K132="",L132="",M132="",N132="",O132="",Q132="",R132="",B132="",C132="",G132=""),"Incompleta: faltan campos obligatorios",IF(OR(NOT(ISNUMBER(K132)),NOT(ISNUMBER(L132))),"Fecha inválida",IF(L132&lt;K132,"La fecha de fin es anterior a la de inicio",IF(OR(YEAR(K132)&lt;&gt;2027,YEAR(L132)&lt;&gt;2027),"Fechas fuera de la vigencia 2027",IF(ISERROR(SEARCH("@itc.edu.co",M132)),"El responsable no tiene correo institucional",IF(ISERROR(SEARCH(Q132,INDEX(Catalogos!$Z$5:$Z$25,MATCH(R132,L_IMP,0)))),"La dimensión no corresponde al indicador de impacto","OK")))))))</f>
        <v/>
      </c>
    </row>
    <row r="133" ht="14.25" customHeight="1" s="23">
      <c r="A133" s="92" t="n">
        <v>83</v>
      </c>
      <c r="B133" s="96" t="n"/>
      <c r="C133" s="96" t="n"/>
      <c r="D133" s="92">
        <f>IF(C133="","",INDEX(Catalogos!$C$5:$C$49,MATCH(LEFT(C133,7),Catalogos!$A$5:$A$49,0)))</f>
        <v/>
      </c>
      <c r="E133" s="92">
        <f>IF(C133="","",INDEX(Catalogos!$D$5:$D$49,MATCH(LEFT(C133,7),Catalogos!$A$5:$A$49,0))&amp;" "&amp;INDEX(Catalogos!$E$5:$E$49,MATCH(LEFT(C133,7),Catalogos!$A$5:$A$49,0)))</f>
        <v/>
      </c>
      <c r="F133" s="92">
        <f>IF(C133="","",INDEX(Catalogos!$F$5:$F$49,MATCH(LEFT(C133,7),Catalogos!$A$5:$A$49,0)))</f>
        <v/>
      </c>
      <c r="G133" s="96" t="n"/>
      <c r="H133" s="96" t="n"/>
      <c r="I133" s="96" t="n"/>
      <c r="J133" s="96" t="n"/>
      <c r="K133" s="97" t="n"/>
      <c r="L133" s="97" t="n"/>
      <c r="M133" s="96" t="n"/>
      <c r="N133" s="96" t="n"/>
      <c r="O133" s="96" t="n"/>
      <c r="P133" s="96" t="n"/>
      <c r="Q133" s="96" t="n"/>
      <c r="R133" s="96" t="n"/>
      <c r="S133" s="92">
        <f>IF(R133="","",INDEX(Catalogos!$Y$5:$Y$25,MATCH(R133,L_IMP,0)))</f>
        <v/>
      </c>
      <c r="T133" s="96" t="n"/>
      <c r="U133" s="96" t="n"/>
      <c r="V133" s="96" t="n"/>
      <c r="W133" s="91">
        <f>IF(H133="","Pendiente por formular",IF(OR(J133="",K133="",L133="",M133="",N133="",O133="",Q133="",R133="",B133="",C133="",G133=""),"Incompleta: faltan campos obligatorios",IF(OR(NOT(ISNUMBER(K133)),NOT(ISNUMBER(L133))),"Fecha inválida",IF(L133&lt;K133,"La fecha de fin es anterior a la de inicio",IF(OR(YEAR(K133)&lt;&gt;2027,YEAR(L133)&lt;&gt;2027),"Fechas fuera de la vigencia 2027",IF(ISERROR(SEARCH("@itc.edu.co",M133)),"El responsable no tiene correo institucional",IF(ISERROR(SEARCH(Q133,INDEX(Catalogos!$Z$5:$Z$25,MATCH(R133,L_IMP,0)))),"La dimensión no corresponde al indicador de impacto","OK")))))))</f>
        <v/>
      </c>
    </row>
    <row r="134" ht="14.25" customHeight="1" s="23">
      <c r="A134" s="92" t="n">
        <v>84</v>
      </c>
      <c r="B134" s="96" t="n"/>
      <c r="C134" s="96" t="n"/>
      <c r="D134" s="92">
        <f>IF(C134="","",INDEX(Catalogos!$C$5:$C$49,MATCH(LEFT(C134,7),Catalogos!$A$5:$A$49,0)))</f>
        <v/>
      </c>
      <c r="E134" s="92">
        <f>IF(C134="","",INDEX(Catalogos!$D$5:$D$49,MATCH(LEFT(C134,7),Catalogos!$A$5:$A$49,0))&amp;" "&amp;INDEX(Catalogos!$E$5:$E$49,MATCH(LEFT(C134,7),Catalogos!$A$5:$A$49,0)))</f>
        <v/>
      </c>
      <c r="F134" s="92">
        <f>IF(C134="","",INDEX(Catalogos!$F$5:$F$49,MATCH(LEFT(C134,7),Catalogos!$A$5:$A$49,0)))</f>
        <v/>
      </c>
      <c r="G134" s="96" t="n"/>
      <c r="H134" s="96" t="n"/>
      <c r="I134" s="96" t="n"/>
      <c r="J134" s="96" t="n"/>
      <c r="K134" s="97" t="n"/>
      <c r="L134" s="97" t="n"/>
      <c r="M134" s="96" t="n"/>
      <c r="N134" s="96" t="n"/>
      <c r="O134" s="96" t="n"/>
      <c r="P134" s="96" t="n"/>
      <c r="Q134" s="96" t="n"/>
      <c r="R134" s="96" t="n"/>
      <c r="S134" s="92">
        <f>IF(R134="","",INDEX(Catalogos!$Y$5:$Y$25,MATCH(R134,L_IMP,0)))</f>
        <v/>
      </c>
      <c r="T134" s="96" t="n"/>
      <c r="U134" s="96" t="n"/>
      <c r="V134" s="96" t="n"/>
      <c r="W134" s="91">
        <f>IF(H134="","Pendiente por formular",IF(OR(J134="",K134="",L134="",M134="",N134="",O134="",Q134="",R134="",B134="",C134="",G134=""),"Incompleta: faltan campos obligatorios",IF(OR(NOT(ISNUMBER(K134)),NOT(ISNUMBER(L134))),"Fecha inválida",IF(L134&lt;K134,"La fecha de fin es anterior a la de inicio",IF(OR(YEAR(K134)&lt;&gt;2027,YEAR(L134)&lt;&gt;2027),"Fechas fuera de la vigencia 2027",IF(ISERROR(SEARCH("@itc.edu.co",M134)),"El responsable no tiene correo institucional",IF(ISERROR(SEARCH(Q134,INDEX(Catalogos!$Z$5:$Z$25,MATCH(R134,L_IMP,0)))),"La dimensión no corresponde al indicador de impacto","OK")))))))</f>
        <v/>
      </c>
    </row>
    <row r="135" ht="14.25" customHeight="1" s="23">
      <c r="A135" s="92" t="n">
        <v>85</v>
      </c>
      <c r="B135" s="96" t="n"/>
      <c r="C135" s="96" t="n"/>
      <c r="D135" s="92">
        <f>IF(C135="","",INDEX(Catalogos!$C$5:$C$49,MATCH(LEFT(C135,7),Catalogos!$A$5:$A$49,0)))</f>
        <v/>
      </c>
      <c r="E135" s="92">
        <f>IF(C135="","",INDEX(Catalogos!$D$5:$D$49,MATCH(LEFT(C135,7),Catalogos!$A$5:$A$49,0))&amp;" "&amp;INDEX(Catalogos!$E$5:$E$49,MATCH(LEFT(C135,7),Catalogos!$A$5:$A$49,0)))</f>
        <v/>
      </c>
      <c r="F135" s="92">
        <f>IF(C135="","",INDEX(Catalogos!$F$5:$F$49,MATCH(LEFT(C135,7),Catalogos!$A$5:$A$49,0)))</f>
        <v/>
      </c>
      <c r="G135" s="96" t="n"/>
      <c r="H135" s="96" t="n"/>
      <c r="I135" s="96" t="n"/>
      <c r="J135" s="96" t="n"/>
      <c r="K135" s="97" t="n"/>
      <c r="L135" s="97" t="n"/>
      <c r="M135" s="96" t="n"/>
      <c r="N135" s="96" t="n"/>
      <c r="O135" s="96" t="n"/>
      <c r="P135" s="96" t="n"/>
      <c r="Q135" s="96" t="n"/>
      <c r="R135" s="96" t="n"/>
      <c r="S135" s="92">
        <f>IF(R135="","",INDEX(Catalogos!$Y$5:$Y$25,MATCH(R135,L_IMP,0)))</f>
        <v/>
      </c>
      <c r="T135" s="96" t="n"/>
      <c r="U135" s="96" t="n"/>
      <c r="V135" s="96" t="n"/>
      <c r="W135" s="91">
        <f>IF(H135="","Pendiente por formular",IF(OR(J135="",K135="",L135="",M135="",N135="",O135="",Q135="",R135="",B135="",C135="",G135=""),"Incompleta: faltan campos obligatorios",IF(OR(NOT(ISNUMBER(K135)),NOT(ISNUMBER(L135))),"Fecha inválida",IF(L135&lt;K135,"La fecha de fin es anterior a la de inicio",IF(OR(YEAR(K135)&lt;&gt;2027,YEAR(L135)&lt;&gt;2027),"Fechas fuera de la vigencia 2027",IF(ISERROR(SEARCH("@itc.edu.co",M135)),"El responsable no tiene correo institucional",IF(ISERROR(SEARCH(Q135,INDEX(Catalogos!$Z$5:$Z$25,MATCH(R135,L_IMP,0)))),"La dimensión no corresponde al indicador de impacto","OK")))))))</f>
        <v/>
      </c>
    </row>
    <row r="136" ht="14.25" customHeight="1" s="23">
      <c r="A136" s="92" t="n">
        <v>86</v>
      </c>
      <c r="B136" s="96" t="n"/>
      <c r="C136" s="96" t="n"/>
      <c r="D136" s="92">
        <f>IF(C136="","",INDEX(Catalogos!$C$5:$C$49,MATCH(LEFT(C136,7),Catalogos!$A$5:$A$49,0)))</f>
        <v/>
      </c>
      <c r="E136" s="92">
        <f>IF(C136="","",INDEX(Catalogos!$D$5:$D$49,MATCH(LEFT(C136,7),Catalogos!$A$5:$A$49,0))&amp;" "&amp;INDEX(Catalogos!$E$5:$E$49,MATCH(LEFT(C136,7),Catalogos!$A$5:$A$49,0)))</f>
        <v/>
      </c>
      <c r="F136" s="92">
        <f>IF(C136="","",INDEX(Catalogos!$F$5:$F$49,MATCH(LEFT(C136,7),Catalogos!$A$5:$A$49,0)))</f>
        <v/>
      </c>
      <c r="G136" s="96" t="n"/>
      <c r="H136" s="96" t="n"/>
      <c r="I136" s="96" t="n"/>
      <c r="J136" s="96" t="n"/>
      <c r="K136" s="97" t="n"/>
      <c r="L136" s="97" t="n"/>
      <c r="M136" s="96" t="n"/>
      <c r="N136" s="96" t="n"/>
      <c r="O136" s="96" t="n"/>
      <c r="P136" s="96" t="n"/>
      <c r="Q136" s="96" t="n"/>
      <c r="R136" s="96" t="n"/>
      <c r="S136" s="92">
        <f>IF(R136="","",INDEX(Catalogos!$Y$5:$Y$25,MATCH(R136,L_IMP,0)))</f>
        <v/>
      </c>
      <c r="T136" s="96" t="n"/>
      <c r="U136" s="96" t="n"/>
      <c r="V136" s="96" t="n"/>
      <c r="W136" s="91">
        <f>IF(H136="","Pendiente por formular",IF(OR(J136="",K136="",L136="",M136="",N136="",O136="",Q136="",R136="",B136="",C136="",G136=""),"Incompleta: faltan campos obligatorios",IF(OR(NOT(ISNUMBER(K136)),NOT(ISNUMBER(L136))),"Fecha inválida",IF(L136&lt;K136,"La fecha de fin es anterior a la de inicio",IF(OR(YEAR(K136)&lt;&gt;2027,YEAR(L136)&lt;&gt;2027),"Fechas fuera de la vigencia 2027",IF(ISERROR(SEARCH("@itc.edu.co",M136)),"El responsable no tiene correo institucional",IF(ISERROR(SEARCH(Q136,INDEX(Catalogos!$Z$5:$Z$25,MATCH(R136,L_IMP,0)))),"La dimensión no corresponde al indicador de impacto","OK")))))))</f>
        <v/>
      </c>
    </row>
    <row r="137" ht="14.25" customHeight="1" s="23">
      <c r="A137" s="92" t="n">
        <v>87</v>
      </c>
      <c r="B137" s="96" t="n"/>
      <c r="C137" s="96" t="n"/>
      <c r="D137" s="92">
        <f>IF(C137="","",INDEX(Catalogos!$C$5:$C$49,MATCH(LEFT(C137,7),Catalogos!$A$5:$A$49,0)))</f>
        <v/>
      </c>
      <c r="E137" s="92">
        <f>IF(C137="","",INDEX(Catalogos!$D$5:$D$49,MATCH(LEFT(C137,7),Catalogos!$A$5:$A$49,0))&amp;" "&amp;INDEX(Catalogos!$E$5:$E$49,MATCH(LEFT(C137,7),Catalogos!$A$5:$A$49,0)))</f>
        <v/>
      </c>
      <c r="F137" s="92">
        <f>IF(C137="","",INDEX(Catalogos!$F$5:$F$49,MATCH(LEFT(C137,7),Catalogos!$A$5:$A$49,0)))</f>
        <v/>
      </c>
      <c r="G137" s="96" t="n"/>
      <c r="H137" s="96" t="n"/>
      <c r="I137" s="96" t="n"/>
      <c r="J137" s="96" t="n"/>
      <c r="K137" s="97" t="n"/>
      <c r="L137" s="97" t="n"/>
      <c r="M137" s="96" t="n"/>
      <c r="N137" s="96" t="n"/>
      <c r="O137" s="96" t="n"/>
      <c r="P137" s="96" t="n"/>
      <c r="Q137" s="96" t="n"/>
      <c r="R137" s="96" t="n"/>
      <c r="S137" s="92">
        <f>IF(R137="","",INDEX(Catalogos!$Y$5:$Y$25,MATCH(R137,L_IMP,0)))</f>
        <v/>
      </c>
      <c r="T137" s="96" t="n"/>
      <c r="U137" s="96" t="n"/>
      <c r="V137" s="96" t="n"/>
      <c r="W137" s="91">
        <f>IF(H137="","Pendiente por formular",IF(OR(J137="",K137="",L137="",M137="",N137="",O137="",Q137="",R137="",B137="",C137="",G137=""),"Incompleta: faltan campos obligatorios",IF(OR(NOT(ISNUMBER(K137)),NOT(ISNUMBER(L137))),"Fecha inválida",IF(L137&lt;K137,"La fecha de fin es anterior a la de inicio",IF(OR(YEAR(K137)&lt;&gt;2027,YEAR(L137)&lt;&gt;2027),"Fechas fuera de la vigencia 2027",IF(ISERROR(SEARCH("@itc.edu.co",M137)),"El responsable no tiene correo institucional",IF(ISERROR(SEARCH(Q137,INDEX(Catalogos!$Z$5:$Z$25,MATCH(R137,L_IMP,0)))),"La dimensión no corresponde al indicador de impacto","OK")))))))</f>
        <v/>
      </c>
    </row>
    <row r="138" ht="14.25" customHeight="1" s="23">
      <c r="A138" s="92" t="n">
        <v>88</v>
      </c>
      <c r="B138" s="96" t="n"/>
      <c r="C138" s="96" t="n"/>
      <c r="D138" s="92">
        <f>IF(C138="","",INDEX(Catalogos!$C$5:$C$49,MATCH(LEFT(C138,7),Catalogos!$A$5:$A$49,0)))</f>
        <v/>
      </c>
      <c r="E138" s="92">
        <f>IF(C138="","",INDEX(Catalogos!$D$5:$D$49,MATCH(LEFT(C138,7),Catalogos!$A$5:$A$49,0))&amp;" "&amp;INDEX(Catalogos!$E$5:$E$49,MATCH(LEFT(C138,7),Catalogos!$A$5:$A$49,0)))</f>
        <v/>
      </c>
      <c r="F138" s="92">
        <f>IF(C138="","",INDEX(Catalogos!$F$5:$F$49,MATCH(LEFT(C138,7),Catalogos!$A$5:$A$49,0)))</f>
        <v/>
      </c>
      <c r="G138" s="96" t="n"/>
      <c r="H138" s="96" t="n"/>
      <c r="I138" s="96" t="n"/>
      <c r="J138" s="96" t="n"/>
      <c r="K138" s="97" t="n"/>
      <c r="L138" s="97" t="n"/>
      <c r="M138" s="96" t="n"/>
      <c r="N138" s="96" t="n"/>
      <c r="O138" s="96" t="n"/>
      <c r="P138" s="96" t="n"/>
      <c r="Q138" s="96" t="n"/>
      <c r="R138" s="96" t="n"/>
      <c r="S138" s="92">
        <f>IF(R138="","",INDEX(Catalogos!$Y$5:$Y$25,MATCH(R138,L_IMP,0)))</f>
        <v/>
      </c>
      <c r="T138" s="96" t="n"/>
      <c r="U138" s="96" t="n"/>
      <c r="V138" s="96" t="n"/>
      <c r="W138" s="91">
        <f>IF(H138="","Pendiente por formular",IF(OR(J138="",K138="",L138="",M138="",N138="",O138="",Q138="",R138="",B138="",C138="",G138=""),"Incompleta: faltan campos obligatorios",IF(OR(NOT(ISNUMBER(K138)),NOT(ISNUMBER(L138))),"Fecha inválida",IF(L138&lt;K138,"La fecha de fin es anterior a la de inicio",IF(OR(YEAR(K138)&lt;&gt;2027,YEAR(L138)&lt;&gt;2027),"Fechas fuera de la vigencia 2027",IF(ISERROR(SEARCH("@itc.edu.co",M138)),"El responsable no tiene correo institucional",IF(ISERROR(SEARCH(Q138,INDEX(Catalogos!$Z$5:$Z$25,MATCH(R138,L_IMP,0)))),"La dimensión no corresponde al indicador de impacto","OK")))))))</f>
        <v/>
      </c>
    </row>
    <row r="139" ht="14.25" customHeight="1" s="23">
      <c r="A139" s="92" t="n">
        <v>89</v>
      </c>
      <c r="B139" s="96" t="n"/>
      <c r="C139" s="96" t="n"/>
      <c r="D139" s="92">
        <f>IF(C139="","",INDEX(Catalogos!$C$5:$C$49,MATCH(LEFT(C139,7),Catalogos!$A$5:$A$49,0)))</f>
        <v/>
      </c>
      <c r="E139" s="92">
        <f>IF(C139="","",INDEX(Catalogos!$D$5:$D$49,MATCH(LEFT(C139,7),Catalogos!$A$5:$A$49,0))&amp;" "&amp;INDEX(Catalogos!$E$5:$E$49,MATCH(LEFT(C139,7),Catalogos!$A$5:$A$49,0)))</f>
        <v/>
      </c>
      <c r="F139" s="92">
        <f>IF(C139="","",INDEX(Catalogos!$F$5:$F$49,MATCH(LEFT(C139,7),Catalogos!$A$5:$A$49,0)))</f>
        <v/>
      </c>
      <c r="G139" s="96" t="n"/>
      <c r="H139" s="96" t="n"/>
      <c r="I139" s="96" t="n"/>
      <c r="J139" s="96" t="n"/>
      <c r="K139" s="97" t="n"/>
      <c r="L139" s="97" t="n"/>
      <c r="M139" s="96" t="n"/>
      <c r="N139" s="96" t="n"/>
      <c r="O139" s="96" t="n"/>
      <c r="P139" s="96" t="n"/>
      <c r="Q139" s="96" t="n"/>
      <c r="R139" s="96" t="n"/>
      <c r="S139" s="92">
        <f>IF(R139="","",INDEX(Catalogos!$Y$5:$Y$25,MATCH(R139,L_IMP,0)))</f>
        <v/>
      </c>
      <c r="T139" s="96" t="n"/>
      <c r="U139" s="96" t="n"/>
      <c r="V139" s="96" t="n"/>
      <c r="W139" s="91">
        <f>IF(H139="","Pendiente por formular",IF(OR(J139="",K139="",L139="",M139="",N139="",O139="",Q139="",R139="",B139="",C139="",G139=""),"Incompleta: faltan campos obligatorios",IF(OR(NOT(ISNUMBER(K139)),NOT(ISNUMBER(L139))),"Fecha inválida",IF(L139&lt;K139,"La fecha de fin es anterior a la de inicio",IF(OR(YEAR(K139)&lt;&gt;2027,YEAR(L139)&lt;&gt;2027),"Fechas fuera de la vigencia 2027",IF(ISERROR(SEARCH("@itc.edu.co",M139)),"El responsable no tiene correo institucional",IF(ISERROR(SEARCH(Q139,INDEX(Catalogos!$Z$5:$Z$25,MATCH(R139,L_IMP,0)))),"La dimensión no corresponde al indicador de impacto","OK")))))))</f>
        <v/>
      </c>
    </row>
    <row r="140" ht="14.25" customHeight="1" s="23">
      <c r="A140" s="92" t="n">
        <v>90</v>
      </c>
      <c r="B140" s="96" t="n"/>
      <c r="C140" s="96" t="n"/>
      <c r="D140" s="92">
        <f>IF(C140="","",INDEX(Catalogos!$C$5:$C$49,MATCH(LEFT(C140,7),Catalogos!$A$5:$A$49,0)))</f>
        <v/>
      </c>
      <c r="E140" s="92">
        <f>IF(C140="","",INDEX(Catalogos!$D$5:$D$49,MATCH(LEFT(C140,7),Catalogos!$A$5:$A$49,0))&amp;" "&amp;INDEX(Catalogos!$E$5:$E$49,MATCH(LEFT(C140,7),Catalogos!$A$5:$A$49,0)))</f>
        <v/>
      </c>
      <c r="F140" s="92">
        <f>IF(C140="","",INDEX(Catalogos!$F$5:$F$49,MATCH(LEFT(C140,7),Catalogos!$A$5:$A$49,0)))</f>
        <v/>
      </c>
      <c r="G140" s="96" t="n"/>
      <c r="H140" s="96" t="n"/>
      <c r="I140" s="96" t="n"/>
      <c r="J140" s="96" t="n"/>
      <c r="K140" s="97" t="n"/>
      <c r="L140" s="97" t="n"/>
      <c r="M140" s="96" t="n"/>
      <c r="N140" s="96" t="n"/>
      <c r="O140" s="96" t="n"/>
      <c r="P140" s="96" t="n"/>
      <c r="Q140" s="96" t="n"/>
      <c r="R140" s="96" t="n"/>
      <c r="S140" s="92">
        <f>IF(R140="","",INDEX(Catalogos!$Y$5:$Y$25,MATCH(R140,L_IMP,0)))</f>
        <v/>
      </c>
      <c r="T140" s="96" t="n"/>
      <c r="U140" s="96" t="n"/>
      <c r="V140" s="96" t="n"/>
      <c r="W140" s="91">
        <f>IF(H140="","Pendiente por formular",IF(OR(J140="",K140="",L140="",M140="",N140="",O140="",Q140="",R140="",B140="",C140="",G140=""),"Incompleta: faltan campos obligatorios",IF(OR(NOT(ISNUMBER(K140)),NOT(ISNUMBER(L140))),"Fecha inválida",IF(L140&lt;K140,"La fecha de fin es anterior a la de inicio",IF(OR(YEAR(K140)&lt;&gt;2027,YEAR(L140)&lt;&gt;2027),"Fechas fuera de la vigencia 2027",IF(ISERROR(SEARCH("@itc.edu.co",M140)),"El responsable no tiene correo institucional",IF(ISERROR(SEARCH(Q140,INDEX(Catalogos!$Z$5:$Z$25,MATCH(R140,L_IMP,0)))),"La dimensión no corresponde al indicador de impacto","OK")))))))</f>
        <v/>
      </c>
    </row>
    <row r="141" ht="14.25" customHeight="1" s="23">
      <c r="A141" s="92" t="n">
        <v>91</v>
      </c>
      <c r="B141" s="96" t="n"/>
      <c r="C141" s="96" t="n"/>
      <c r="D141" s="92">
        <f>IF(C141="","",INDEX(Catalogos!$C$5:$C$49,MATCH(LEFT(C141,7),Catalogos!$A$5:$A$49,0)))</f>
        <v/>
      </c>
      <c r="E141" s="92">
        <f>IF(C141="","",INDEX(Catalogos!$D$5:$D$49,MATCH(LEFT(C141,7),Catalogos!$A$5:$A$49,0))&amp;" "&amp;INDEX(Catalogos!$E$5:$E$49,MATCH(LEFT(C141,7),Catalogos!$A$5:$A$49,0)))</f>
        <v/>
      </c>
      <c r="F141" s="92">
        <f>IF(C141="","",INDEX(Catalogos!$F$5:$F$49,MATCH(LEFT(C141,7),Catalogos!$A$5:$A$49,0)))</f>
        <v/>
      </c>
      <c r="G141" s="96" t="n"/>
      <c r="H141" s="96" t="n"/>
      <c r="I141" s="96" t="n"/>
      <c r="J141" s="96" t="n"/>
      <c r="K141" s="97" t="n"/>
      <c r="L141" s="97" t="n"/>
      <c r="M141" s="96" t="n"/>
      <c r="N141" s="96" t="n"/>
      <c r="O141" s="96" t="n"/>
      <c r="P141" s="96" t="n"/>
      <c r="Q141" s="96" t="n"/>
      <c r="R141" s="96" t="n"/>
      <c r="S141" s="92">
        <f>IF(R141="","",INDEX(Catalogos!$Y$5:$Y$25,MATCH(R141,L_IMP,0)))</f>
        <v/>
      </c>
      <c r="T141" s="96" t="n"/>
      <c r="U141" s="96" t="n"/>
      <c r="V141" s="96" t="n"/>
      <c r="W141" s="91">
        <f>IF(H141="","Pendiente por formular",IF(OR(J141="",K141="",L141="",M141="",N141="",O141="",Q141="",R141="",B141="",C141="",G141=""),"Incompleta: faltan campos obligatorios",IF(OR(NOT(ISNUMBER(K141)),NOT(ISNUMBER(L141))),"Fecha inválida",IF(L141&lt;K141,"La fecha de fin es anterior a la de inicio",IF(OR(YEAR(K141)&lt;&gt;2027,YEAR(L141)&lt;&gt;2027),"Fechas fuera de la vigencia 2027",IF(ISERROR(SEARCH("@itc.edu.co",M141)),"El responsable no tiene correo institucional",IF(ISERROR(SEARCH(Q141,INDEX(Catalogos!$Z$5:$Z$25,MATCH(R141,L_IMP,0)))),"La dimensión no corresponde al indicador de impacto","OK")))))))</f>
        <v/>
      </c>
    </row>
    <row r="142" ht="14.25" customHeight="1" s="23">
      <c r="A142" s="92" t="n">
        <v>92</v>
      </c>
      <c r="B142" s="96" t="n"/>
      <c r="C142" s="96" t="n"/>
      <c r="D142" s="92">
        <f>IF(C142="","",INDEX(Catalogos!$C$5:$C$49,MATCH(LEFT(C142,7),Catalogos!$A$5:$A$49,0)))</f>
        <v/>
      </c>
      <c r="E142" s="92">
        <f>IF(C142="","",INDEX(Catalogos!$D$5:$D$49,MATCH(LEFT(C142,7),Catalogos!$A$5:$A$49,0))&amp;" "&amp;INDEX(Catalogos!$E$5:$E$49,MATCH(LEFT(C142,7),Catalogos!$A$5:$A$49,0)))</f>
        <v/>
      </c>
      <c r="F142" s="92">
        <f>IF(C142="","",INDEX(Catalogos!$F$5:$F$49,MATCH(LEFT(C142,7),Catalogos!$A$5:$A$49,0)))</f>
        <v/>
      </c>
      <c r="G142" s="96" t="n"/>
      <c r="H142" s="96" t="n"/>
      <c r="I142" s="96" t="n"/>
      <c r="J142" s="96" t="n"/>
      <c r="K142" s="97" t="n"/>
      <c r="L142" s="97" t="n"/>
      <c r="M142" s="96" t="n"/>
      <c r="N142" s="96" t="n"/>
      <c r="O142" s="96" t="n"/>
      <c r="P142" s="96" t="n"/>
      <c r="Q142" s="96" t="n"/>
      <c r="R142" s="96" t="n"/>
      <c r="S142" s="92">
        <f>IF(R142="","",INDEX(Catalogos!$Y$5:$Y$25,MATCH(R142,L_IMP,0)))</f>
        <v/>
      </c>
      <c r="T142" s="96" t="n"/>
      <c r="U142" s="96" t="n"/>
      <c r="V142" s="96" t="n"/>
      <c r="W142" s="91">
        <f>IF(H142="","Pendiente por formular",IF(OR(J142="",K142="",L142="",M142="",N142="",O142="",Q142="",R142="",B142="",C142="",G142=""),"Incompleta: faltan campos obligatorios",IF(OR(NOT(ISNUMBER(K142)),NOT(ISNUMBER(L142))),"Fecha inválida",IF(L142&lt;K142,"La fecha de fin es anterior a la de inicio",IF(OR(YEAR(K142)&lt;&gt;2027,YEAR(L142)&lt;&gt;2027),"Fechas fuera de la vigencia 2027",IF(ISERROR(SEARCH("@itc.edu.co",M142)),"El responsable no tiene correo institucional",IF(ISERROR(SEARCH(Q142,INDEX(Catalogos!$Z$5:$Z$25,MATCH(R142,L_IMP,0)))),"La dimensión no corresponde al indicador de impacto","OK")))))))</f>
        <v/>
      </c>
    </row>
    <row r="143" ht="14.25" customHeight="1" s="23">
      <c r="A143" s="92" t="n">
        <v>93</v>
      </c>
      <c r="B143" s="96" t="n"/>
      <c r="C143" s="96" t="n"/>
      <c r="D143" s="92">
        <f>IF(C143="","",INDEX(Catalogos!$C$5:$C$49,MATCH(LEFT(C143,7),Catalogos!$A$5:$A$49,0)))</f>
        <v/>
      </c>
      <c r="E143" s="92">
        <f>IF(C143="","",INDEX(Catalogos!$D$5:$D$49,MATCH(LEFT(C143,7),Catalogos!$A$5:$A$49,0))&amp;" "&amp;INDEX(Catalogos!$E$5:$E$49,MATCH(LEFT(C143,7),Catalogos!$A$5:$A$49,0)))</f>
        <v/>
      </c>
      <c r="F143" s="92">
        <f>IF(C143="","",INDEX(Catalogos!$F$5:$F$49,MATCH(LEFT(C143,7),Catalogos!$A$5:$A$49,0)))</f>
        <v/>
      </c>
      <c r="G143" s="96" t="n"/>
      <c r="H143" s="96" t="n"/>
      <c r="I143" s="96" t="n"/>
      <c r="J143" s="96" t="n"/>
      <c r="K143" s="97" t="n"/>
      <c r="L143" s="97" t="n"/>
      <c r="M143" s="96" t="n"/>
      <c r="N143" s="96" t="n"/>
      <c r="O143" s="96" t="n"/>
      <c r="P143" s="96" t="n"/>
      <c r="Q143" s="96" t="n"/>
      <c r="R143" s="96" t="n"/>
      <c r="S143" s="92">
        <f>IF(R143="","",INDEX(Catalogos!$Y$5:$Y$25,MATCH(R143,L_IMP,0)))</f>
        <v/>
      </c>
      <c r="T143" s="96" t="n"/>
      <c r="U143" s="96" t="n"/>
      <c r="V143" s="96" t="n"/>
      <c r="W143" s="91">
        <f>IF(H143="","Pendiente por formular",IF(OR(J143="",K143="",L143="",M143="",N143="",O143="",Q143="",R143="",B143="",C143="",G143=""),"Incompleta: faltan campos obligatorios",IF(OR(NOT(ISNUMBER(K143)),NOT(ISNUMBER(L143))),"Fecha inválida",IF(L143&lt;K143,"La fecha de fin es anterior a la de inicio",IF(OR(YEAR(K143)&lt;&gt;2027,YEAR(L143)&lt;&gt;2027),"Fechas fuera de la vigencia 2027",IF(ISERROR(SEARCH("@itc.edu.co",M143)),"El responsable no tiene correo institucional",IF(ISERROR(SEARCH(Q143,INDEX(Catalogos!$Z$5:$Z$25,MATCH(R143,L_IMP,0)))),"La dimensión no corresponde al indicador de impacto","OK")))))))</f>
        <v/>
      </c>
    </row>
    <row r="144" ht="14.25" customHeight="1" s="23">
      <c r="A144" s="92" t="n">
        <v>94</v>
      </c>
      <c r="B144" s="96" t="n"/>
      <c r="C144" s="96" t="n"/>
      <c r="D144" s="92">
        <f>IF(C144="","",INDEX(Catalogos!$C$5:$C$49,MATCH(LEFT(C144,7),Catalogos!$A$5:$A$49,0)))</f>
        <v/>
      </c>
      <c r="E144" s="92">
        <f>IF(C144="","",INDEX(Catalogos!$D$5:$D$49,MATCH(LEFT(C144,7),Catalogos!$A$5:$A$49,0))&amp;" "&amp;INDEX(Catalogos!$E$5:$E$49,MATCH(LEFT(C144,7),Catalogos!$A$5:$A$49,0)))</f>
        <v/>
      </c>
      <c r="F144" s="92">
        <f>IF(C144="","",INDEX(Catalogos!$F$5:$F$49,MATCH(LEFT(C144,7),Catalogos!$A$5:$A$49,0)))</f>
        <v/>
      </c>
      <c r="G144" s="96" t="n"/>
      <c r="H144" s="96" t="n"/>
      <c r="I144" s="96" t="n"/>
      <c r="J144" s="96" t="n"/>
      <c r="K144" s="97" t="n"/>
      <c r="L144" s="97" t="n"/>
      <c r="M144" s="96" t="n"/>
      <c r="N144" s="96" t="n"/>
      <c r="O144" s="96" t="n"/>
      <c r="P144" s="96" t="n"/>
      <c r="Q144" s="96" t="n"/>
      <c r="R144" s="96" t="n"/>
      <c r="S144" s="92">
        <f>IF(R144="","",INDEX(Catalogos!$Y$5:$Y$25,MATCH(R144,L_IMP,0)))</f>
        <v/>
      </c>
      <c r="T144" s="96" t="n"/>
      <c r="U144" s="96" t="n"/>
      <c r="V144" s="96" t="n"/>
      <c r="W144" s="91">
        <f>IF(H144="","Pendiente por formular",IF(OR(J144="",K144="",L144="",M144="",N144="",O144="",Q144="",R144="",B144="",C144="",G144=""),"Incompleta: faltan campos obligatorios",IF(OR(NOT(ISNUMBER(K144)),NOT(ISNUMBER(L144))),"Fecha inválida",IF(L144&lt;K144,"La fecha de fin es anterior a la de inicio",IF(OR(YEAR(K144)&lt;&gt;2027,YEAR(L144)&lt;&gt;2027),"Fechas fuera de la vigencia 2027",IF(ISERROR(SEARCH("@itc.edu.co",M144)),"El responsable no tiene correo institucional",IF(ISERROR(SEARCH(Q144,INDEX(Catalogos!$Z$5:$Z$25,MATCH(R144,L_IMP,0)))),"La dimensión no corresponde al indicador de impacto","OK")))))))</f>
        <v/>
      </c>
    </row>
    <row r="145" ht="14.25" customHeight="1" s="23">
      <c r="A145" s="92" t="n">
        <v>95</v>
      </c>
      <c r="B145" s="96" t="n"/>
      <c r="C145" s="96" t="n"/>
      <c r="D145" s="92">
        <f>IF(C145="","",INDEX(Catalogos!$C$5:$C$49,MATCH(LEFT(C145,7),Catalogos!$A$5:$A$49,0)))</f>
        <v/>
      </c>
      <c r="E145" s="92">
        <f>IF(C145="","",INDEX(Catalogos!$D$5:$D$49,MATCH(LEFT(C145,7),Catalogos!$A$5:$A$49,0))&amp;" "&amp;INDEX(Catalogos!$E$5:$E$49,MATCH(LEFT(C145,7),Catalogos!$A$5:$A$49,0)))</f>
        <v/>
      </c>
      <c r="F145" s="92">
        <f>IF(C145="","",INDEX(Catalogos!$F$5:$F$49,MATCH(LEFT(C145,7),Catalogos!$A$5:$A$49,0)))</f>
        <v/>
      </c>
      <c r="G145" s="96" t="n"/>
      <c r="H145" s="96" t="n"/>
      <c r="I145" s="96" t="n"/>
      <c r="J145" s="96" t="n"/>
      <c r="K145" s="97" t="n"/>
      <c r="L145" s="97" t="n"/>
      <c r="M145" s="96" t="n"/>
      <c r="N145" s="96" t="n"/>
      <c r="O145" s="96" t="n"/>
      <c r="P145" s="96" t="n"/>
      <c r="Q145" s="96" t="n"/>
      <c r="R145" s="96" t="n"/>
      <c r="S145" s="92">
        <f>IF(R145="","",INDEX(Catalogos!$Y$5:$Y$25,MATCH(R145,L_IMP,0)))</f>
        <v/>
      </c>
      <c r="T145" s="96" t="n"/>
      <c r="U145" s="96" t="n"/>
      <c r="V145" s="96" t="n"/>
      <c r="W145" s="91">
        <f>IF(H145="","Pendiente por formular",IF(OR(J145="",K145="",L145="",M145="",N145="",O145="",Q145="",R145="",B145="",C145="",G145=""),"Incompleta: faltan campos obligatorios",IF(OR(NOT(ISNUMBER(K145)),NOT(ISNUMBER(L145))),"Fecha inválida",IF(L145&lt;K145,"La fecha de fin es anterior a la de inicio",IF(OR(YEAR(K145)&lt;&gt;2027,YEAR(L145)&lt;&gt;2027),"Fechas fuera de la vigencia 2027",IF(ISERROR(SEARCH("@itc.edu.co",M145)),"El responsable no tiene correo institucional",IF(ISERROR(SEARCH(Q145,INDEX(Catalogos!$Z$5:$Z$25,MATCH(R145,L_IMP,0)))),"La dimensión no corresponde al indicador de impacto","OK")))))))</f>
        <v/>
      </c>
    </row>
    <row r="146" ht="14.25" customHeight="1" s="23">
      <c r="A146" s="92" t="n">
        <v>96</v>
      </c>
      <c r="B146" s="96" t="n"/>
      <c r="C146" s="96" t="n"/>
      <c r="D146" s="92">
        <f>IF(C146="","",INDEX(Catalogos!$C$5:$C$49,MATCH(LEFT(C146,7),Catalogos!$A$5:$A$49,0)))</f>
        <v/>
      </c>
      <c r="E146" s="92">
        <f>IF(C146="","",INDEX(Catalogos!$D$5:$D$49,MATCH(LEFT(C146,7),Catalogos!$A$5:$A$49,0))&amp;" "&amp;INDEX(Catalogos!$E$5:$E$49,MATCH(LEFT(C146,7),Catalogos!$A$5:$A$49,0)))</f>
        <v/>
      </c>
      <c r="F146" s="92">
        <f>IF(C146="","",INDEX(Catalogos!$F$5:$F$49,MATCH(LEFT(C146,7),Catalogos!$A$5:$A$49,0)))</f>
        <v/>
      </c>
      <c r="G146" s="96" t="n"/>
      <c r="H146" s="96" t="n"/>
      <c r="I146" s="96" t="n"/>
      <c r="J146" s="96" t="n"/>
      <c r="K146" s="97" t="n"/>
      <c r="L146" s="97" t="n"/>
      <c r="M146" s="96" t="n"/>
      <c r="N146" s="96" t="n"/>
      <c r="O146" s="96" t="n"/>
      <c r="P146" s="96" t="n"/>
      <c r="Q146" s="96" t="n"/>
      <c r="R146" s="96" t="n"/>
      <c r="S146" s="92">
        <f>IF(R146="","",INDEX(Catalogos!$Y$5:$Y$25,MATCH(R146,L_IMP,0)))</f>
        <v/>
      </c>
      <c r="T146" s="96" t="n"/>
      <c r="U146" s="96" t="n"/>
      <c r="V146" s="96" t="n"/>
      <c r="W146" s="91">
        <f>IF(H146="","Pendiente por formular",IF(OR(J146="",K146="",L146="",M146="",N146="",O146="",Q146="",R146="",B146="",C146="",G146=""),"Incompleta: faltan campos obligatorios",IF(OR(NOT(ISNUMBER(K146)),NOT(ISNUMBER(L146))),"Fecha inválida",IF(L146&lt;K146,"La fecha de fin es anterior a la de inicio",IF(OR(YEAR(K146)&lt;&gt;2027,YEAR(L146)&lt;&gt;2027),"Fechas fuera de la vigencia 2027",IF(ISERROR(SEARCH("@itc.edu.co",M146)),"El responsable no tiene correo institucional",IF(ISERROR(SEARCH(Q146,INDEX(Catalogos!$Z$5:$Z$25,MATCH(R146,L_IMP,0)))),"La dimensión no corresponde al indicador de impacto","OK")))))))</f>
        <v/>
      </c>
    </row>
    <row r="147" ht="14.25" customHeight="1" s="23">
      <c r="A147" s="92" t="n">
        <v>97</v>
      </c>
      <c r="B147" s="96" t="n"/>
      <c r="C147" s="96" t="n"/>
      <c r="D147" s="92">
        <f>IF(C147="","",INDEX(Catalogos!$C$5:$C$49,MATCH(LEFT(C147,7),Catalogos!$A$5:$A$49,0)))</f>
        <v/>
      </c>
      <c r="E147" s="92">
        <f>IF(C147="","",INDEX(Catalogos!$D$5:$D$49,MATCH(LEFT(C147,7),Catalogos!$A$5:$A$49,0))&amp;" "&amp;INDEX(Catalogos!$E$5:$E$49,MATCH(LEFT(C147,7),Catalogos!$A$5:$A$49,0)))</f>
        <v/>
      </c>
      <c r="F147" s="92">
        <f>IF(C147="","",INDEX(Catalogos!$F$5:$F$49,MATCH(LEFT(C147,7),Catalogos!$A$5:$A$49,0)))</f>
        <v/>
      </c>
      <c r="G147" s="96" t="n"/>
      <c r="H147" s="96" t="n"/>
      <c r="I147" s="96" t="n"/>
      <c r="J147" s="96" t="n"/>
      <c r="K147" s="97" t="n"/>
      <c r="L147" s="97" t="n"/>
      <c r="M147" s="96" t="n"/>
      <c r="N147" s="96" t="n"/>
      <c r="O147" s="96" t="n"/>
      <c r="P147" s="96" t="n"/>
      <c r="Q147" s="96" t="n"/>
      <c r="R147" s="96" t="n"/>
      <c r="S147" s="92">
        <f>IF(R147="","",INDEX(Catalogos!$Y$5:$Y$25,MATCH(R147,L_IMP,0)))</f>
        <v/>
      </c>
      <c r="T147" s="96" t="n"/>
      <c r="U147" s="96" t="n"/>
      <c r="V147" s="96" t="n"/>
      <c r="W147" s="91">
        <f>IF(H147="","Pendiente por formular",IF(OR(J147="",K147="",L147="",M147="",N147="",O147="",Q147="",R147="",B147="",C147="",G147=""),"Incompleta: faltan campos obligatorios",IF(OR(NOT(ISNUMBER(K147)),NOT(ISNUMBER(L147))),"Fecha inválida",IF(L147&lt;K147,"La fecha de fin es anterior a la de inicio",IF(OR(YEAR(K147)&lt;&gt;2027,YEAR(L147)&lt;&gt;2027),"Fechas fuera de la vigencia 2027",IF(ISERROR(SEARCH("@itc.edu.co",M147)),"El responsable no tiene correo institucional",IF(ISERROR(SEARCH(Q147,INDEX(Catalogos!$Z$5:$Z$25,MATCH(R147,L_IMP,0)))),"La dimensión no corresponde al indicador de impacto","OK")))))))</f>
        <v/>
      </c>
    </row>
    <row r="148" ht="14.25" customHeight="1" s="23">
      <c r="A148" s="92" t="n">
        <v>98</v>
      </c>
      <c r="B148" s="96" t="n"/>
      <c r="C148" s="96" t="n"/>
      <c r="D148" s="92">
        <f>IF(C148="","",INDEX(Catalogos!$C$5:$C$49,MATCH(LEFT(C148,7),Catalogos!$A$5:$A$49,0)))</f>
        <v/>
      </c>
      <c r="E148" s="92">
        <f>IF(C148="","",INDEX(Catalogos!$D$5:$D$49,MATCH(LEFT(C148,7),Catalogos!$A$5:$A$49,0))&amp;" "&amp;INDEX(Catalogos!$E$5:$E$49,MATCH(LEFT(C148,7),Catalogos!$A$5:$A$49,0)))</f>
        <v/>
      </c>
      <c r="F148" s="92">
        <f>IF(C148="","",INDEX(Catalogos!$F$5:$F$49,MATCH(LEFT(C148,7),Catalogos!$A$5:$A$49,0)))</f>
        <v/>
      </c>
      <c r="G148" s="96" t="n"/>
      <c r="H148" s="96" t="n"/>
      <c r="I148" s="96" t="n"/>
      <c r="J148" s="96" t="n"/>
      <c r="K148" s="97" t="n"/>
      <c r="L148" s="97" t="n"/>
      <c r="M148" s="96" t="n"/>
      <c r="N148" s="96" t="n"/>
      <c r="O148" s="96" t="n"/>
      <c r="P148" s="96" t="n"/>
      <c r="Q148" s="96" t="n"/>
      <c r="R148" s="96" t="n"/>
      <c r="S148" s="92">
        <f>IF(R148="","",INDEX(Catalogos!$Y$5:$Y$25,MATCH(R148,L_IMP,0)))</f>
        <v/>
      </c>
      <c r="T148" s="96" t="n"/>
      <c r="U148" s="96" t="n"/>
      <c r="V148" s="96" t="n"/>
      <c r="W148" s="91">
        <f>IF(H148="","Pendiente por formular",IF(OR(J148="",K148="",L148="",M148="",N148="",O148="",Q148="",R148="",B148="",C148="",G148=""),"Incompleta: faltan campos obligatorios",IF(OR(NOT(ISNUMBER(K148)),NOT(ISNUMBER(L148))),"Fecha inválida",IF(L148&lt;K148,"La fecha de fin es anterior a la de inicio",IF(OR(YEAR(K148)&lt;&gt;2027,YEAR(L148)&lt;&gt;2027),"Fechas fuera de la vigencia 2027",IF(ISERROR(SEARCH("@itc.edu.co",M148)),"El responsable no tiene correo institucional",IF(ISERROR(SEARCH(Q148,INDEX(Catalogos!$Z$5:$Z$25,MATCH(R148,L_IMP,0)))),"La dimensión no corresponde al indicador de impacto","OK")))))))</f>
        <v/>
      </c>
    </row>
    <row r="149" ht="14.25" customHeight="1" s="23">
      <c r="A149" s="92" t="n">
        <v>99</v>
      </c>
      <c r="B149" s="96" t="n"/>
      <c r="C149" s="96" t="n"/>
      <c r="D149" s="92">
        <f>IF(C149="","",INDEX(Catalogos!$C$5:$C$49,MATCH(LEFT(C149,7),Catalogos!$A$5:$A$49,0)))</f>
        <v/>
      </c>
      <c r="E149" s="92">
        <f>IF(C149="","",INDEX(Catalogos!$D$5:$D$49,MATCH(LEFT(C149,7),Catalogos!$A$5:$A$49,0))&amp;" "&amp;INDEX(Catalogos!$E$5:$E$49,MATCH(LEFT(C149,7),Catalogos!$A$5:$A$49,0)))</f>
        <v/>
      </c>
      <c r="F149" s="92">
        <f>IF(C149="","",INDEX(Catalogos!$F$5:$F$49,MATCH(LEFT(C149,7),Catalogos!$A$5:$A$49,0)))</f>
        <v/>
      </c>
      <c r="G149" s="96" t="n"/>
      <c r="H149" s="96" t="n"/>
      <c r="I149" s="96" t="n"/>
      <c r="J149" s="96" t="n"/>
      <c r="K149" s="97" t="n"/>
      <c r="L149" s="97" t="n"/>
      <c r="M149" s="96" t="n"/>
      <c r="N149" s="96" t="n"/>
      <c r="O149" s="96" t="n"/>
      <c r="P149" s="96" t="n"/>
      <c r="Q149" s="96" t="n"/>
      <c r="R149" s="96" t="n"/>
      <c r="S149" s="92">
        <f>IF(R149="","",INDEX(Catalogos!$Y$5:$Y$25,MATCH(R149,L_IMP,0)))</f>
        <v/>
      </c>
      <c r="T149" s="96" t="n"/>
      <c r="U149" s="96" t="n"/>
      <c r="V149" s="96" t="n"/>
      <c r="W149" s="91">
        <f>IF(H149="","Pendiente por formular",IF(OR(J149="",K149="",L149="",M149="",N149="",O149="",Q149="",R149="",B149="",C149="",G149=""),"Incompleta: faltan campos obligatorios",IF(OR(NOT(ISNUMBER(K149)),NOT(ISNUMBER(L149))),"Fecha inválida",IF(L149&lt;K149,"La fecha de fin es anterior a la de inicio",IF(OR(YEAR(K149)&lt;&gt;2027,YEAR(L149)&lt;&gt;2027),"Fechas fuera de la vigencia 2027",IF(ISERROR(SEARCH("@itc.edu.co",M149)),"El responsable no tiene correo institucional",IF(ISERROR(SEARCH(Q149,INDEX(Catalogos!$Z$5:$Z$25,MATCH(R149,L_IMP,0)))),"La dimensión no corresponde al indicador de impacto","OK")))))))</f>
        <v/>
      </c>
    </row>
    <row r="150" ht="14.25" customHeight="1" s="23">
      <c r="A150" s="92" t="n">
        <v>100</v>
      </c>
      <c r="B150" s="96" t="n"/>
      <c r="C150" s="96" t="n"/>
      <c r="D150" s="92">
        <f>IF(C150="","",INDEX(Catalogos!$C$5:$C$49,MATCH(LEFT(C150,7),Catalogos!$A$5:$A$49,0)))</f>
        <v/>
      </c>
      <c r="E150" s="92">
        <f>IF(C150="","",INDEX(Catalogos!$D$5:$D$49,MATCH(LEFT(C150,7),Catalogos!$A$5:$A$49,0))&amp;" "&amp;INDEX(Catalogos!$E$5:$E$49,MATCH(LEFT(C150,7),Catalogos!$A$5:$A$49,0)))</f>
        <v/>
      </c>
      <c r="F150" s="92">
        <f>IF(C150="","",INDEX(Catalogos!$F$5:$F$49,MATCH(LEFT(C150,7),Catalogos!$A$5:$A$49,0)))</f>
        <v/>
      </c>
      <c r="G150" s="96" t="n"/>
      <c r="H150" s="96" t="n"/>
      <c r="I150" s="96" t="n"/>
      <c r="J150" s="96" t="n"/>
      <c r="K150" s="97" t="n"/>
      <c r="L150" s="97" t="n"/>
      <c r="M150" s="96" t="n"/>
      <c r="N150" s="96" t="n"/>
      <c r="O150" s="96" t="n"/>
      <c r="P150" s="96" t="n"/>
      <c r="Q150" s="96" t="n"/>
      <c r="R150" s="96" t="n"/>
      <c r="S150" s="92">
        <f>IF(R150="","",INDEX(Catalogos!$Y$5:$Y$25,MATCH(R150,L_IMP,0)))</f>
        <v/>
      </c>
      <c r="T150" s="96" t="n"/>
      <c r="U150" s="96" t="n"/>
      <c r="V150" s="96" t="n"/>
      <c r="W150" s="91">
        <f>IF(H150="","Pendiente por formular",IF(OR(J150="",K150="",L150="",M150="",N150="",O150="",Q150="",R150="",B150="",C150="",G150=""),"Incompleta: faltan campos obligatorios",IF(OR(NOT(ISNUMBER(K150)),NOT(ISNUMBER(L150))),"Fecha inválida",IF(L150&lt;K150,"La fecha de fin es anterior a la de inicio",IF(OR(YEAR(K150)&lt;&gt;2027,YEAR(L150)&lt;&gt;2027),"Fechas fuera de la vigencia 2027",IF(ISERROR(SEARCH("@itc.edu.co",M150)),"El responsable no tiene correo institucional",IF(ISERROR(SEARCH(Q150,INDEX(Catalogos!$Z$5:$Z$25,MATCH(R150,L_IMP,0)))),"La dimensión no corresponde al indicador de impacto","OK")))))))</f>
        <v/>
      </c>
    </row>
  </sheetData>
  <sheetProtection selectLockedCells="0" selectUnlockedCells="0" sheet="1" objects="0" insertRows="1" insertHyperlinks="1" autoFilter="0" scenarios="0" formatColumns="0" deleteColumns="1" insertColumns="1" pivotTables="1" deleteRows="1" formatCells="1" formatRows="0" sort="1" password="cc6d"/>
  <mergeCells count="2">
    <mergeCell ref="C4:F4"/>
    <mergeCell ref="A2:N2"/>
  </mergeCells>
  <conditionalFormatting sqref="W51:W150">
    <cfRule type="expression" rank="0" priority="2" equalAverage="0" aboveAverage="0" dxfId="5" text="" percent="0" bottom="0">
      <formula>W51="OK"</formula>
    </cfRule>
    <cfRule type="expression" rank="0" priority="3" equalAverage="0" aboveAverage="0" dxfId="6" text="" percent="0" bottom="0">
      <formula>LEFT(W51,9)="Pendiente"</formula>
    </cfRule>
    <cfRule type="expression" rank="0" priority="4" equalAverage="0" aboveAverage="0" dxfId="7" text="" percent="0" bottom="0">
      <formula>AND(W51&lt;&gt;"OK",LEFT(W51,9)&lt;&gt;"Pendiente")</formula>
    </cfRule>
  </conditionalFormatting>
  <dataValidations count="9">
    <dataValidation sqref="M51:M150" showDropDown="0" showInputMessage="0" showErrorMessage="1" allowBlank="1" errorTitle="Correo no institucional" error="Escriba el correo institucional (@itc.edu.co) del responsable." type="custom" errorStyle="stop" operator="between">
      <formula1>ISNUMBER(SEARCH("@itc.edu.co",M51))</formula1>
      <formula2>0</formula2>
    </dataValidation>
    <dataValidation sqref="G51:G150" showDropDown="0" showInputMessage="0" showErrorMessage="0" allowBlank="1" type="list" errorStyle="stop" operator="between">
      <formula1>L_ORIGEN</formula1>
      <formula2>0</formula2>
    </dataValidation>
    <dataValidation sqref="C51:C150" showDropDown="0" showInputMessage="0" showErrorMessage="0" allowBlank="1" type="list" errorStyle="stop" operator="between">
      <formula1>L_METAS</formula1>
      <formula2>0</formula2>
    </dataValidation>
    <dataValidation sqref="B51:B150" showDropDown="0" showInputMessage="0" showErrorMessage="0" allowBlank="1" type="list" errorStyle="stop" operator="between">
      <formula1>L_AREAS</formula1>
      <formula2>0</formula2>
    </dataValidation>
    <dataValidation sqref="T51:T150" showDropDown="0" showInputMessage="0" showErrorMessage="0" allowBlank="1" type="list" errorStyle="stop" operator="between">
      <formula1>L_SINO</formula1>
      <formula2>0</formula2>
    </dataValidation>
    <dataValidation sqref="R51:R150" showDropDown="0" showInputMessage="0" showErrorMessage="1" allowBlank="1" errorTitle="Indicador no válido" error="Seleccione un indicador de la Guía Metodológica." type="list" errorStyle="stop" operator="between">
      <formula1>L_IMP</formula1>
      <formula2>0</formula2>
    </dataValidation>
    <dataValidation sqref="Q51:Q150" showDropDown="0" showInputMessage="0" showErrorMessage="0" allowBlank="1" type="list" errorStyle="stop" operator="between">
      <formula1>L_DIM</formula1>
      <formula2>0</formula2>
    </dataValidation>
    <dataValidation sqref="K51:L150" showDropDown="0" showInputMessage="0" showErrorMessage="1" allowBlank="1" errorTitle="Fecha fuera de vigencia" error="Use una fecha entre el 01/01/2027 y el 31/12/2027." type="date" errorStyle="stop" operator="between">
      <formula1>DATE(2027,1,1)</formula1>
      <formula2>DATE(2027,12,31)</formula2>
    </dataValidation>
    <dataValidation sqref="C4" showDropDown="0" showInputMessage="0" showErrorMessage="0" allowBlank="0" type="list" errorStyle="stop" operator="between">
      <formula1>L_AREAS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tabColor rgb="00C0392B"/>
    <outlinePr summaryBelow="1" summaryRight="1"/>
    <pageSetUpPr/>
  </sheetPr>
  <dimension ref="A1:H1000"/>
  <sheetViews>
    <sheetView tabSelected="0" workbookViewId="0">
      <pane ySplit="1" topLeftCell="A2" activePane="bottomLeft" state="frozen"/>
      <selection pane="bottomLeft" activeCell="A1" sqref="A1"/>
    </sheetView>
  </sheetViews>
  <sheetFormatPr baseColWidth="8" defaultRowHeight="15"/>
  <cols>
    <col width="18" customWidth="1" style="23" min="1" max="1"/>
    <col width="52" customWidth="1" style="23" min="2" max="2"/>
    <col width="60" customWidth="1" style="23" min="3" max="3"/>
    <col width="20" customWidth="1" style="23" min="4" max="4"/>
    <col width="30" customWidth="1" style="23" min="5" max="5"/>
    <col width="32" customWidth="1" style="23" min="6" max="6"/>
    <col width="14" customWidth="1" style="23" min="7" max="7"/>
    <col width="30" customWidth="1" style="23" min="8" max="8"/>
  </cols>
  <sheetData>
    <row r="1" ht="45" customHeight="1" s="23">
      <c r="A1" s="98" t="inlineStr">
        <is>
          <t>Código de meta (dejar vacío si no tiene meta)</t>
        </is>
      </c>
      <c r="B1" s="98" t="inlineStr">
        <is>
          <t>Nombre de la acción *</t>
        </is>
      </c>
      <c r="C1" s="98" t="inlineStr">
        <is>
          <t>Descripción</t>
        </is>
      </c>
      <c r="D1" s="98" t="inlineStr">
        <is>
          <t>Origen (PDI / Mejora / Otra) *</t>
        </is>
      </c>
      <c r="E1" s="98" t="inlineStr">
        <is>
          <t>Área</t>
        </is>
      </c>
      <c r="F1" s="98" t="inlineStr">
        <is>
          <t>Responsable (correo)</t>
        </is>
      </c>
      <c r="G1" s="98" t="inlineStr">
        <is>
          <t>Vigencia (año) *</t>
        </is>
      </c>
      <c r="H1" s="98" t="inlineStr">
        <is>
          <t>Código de la acción (opcional, para volver a importar sin duplicar)</t>
        </is>
      </c>
    </row>
    <row r="2" ht="60" customHeight="1" s="23">
      <c r="A2" s="99" t="inlineStr">
        <is>
          <t>6.2.1.1</t>
        </is>
      </c>
      <c r="B2" s="99" t="inlineStr">
        <is>
          <t>Proteger la permanencia y la vida de la comunidad con un programa de permanencia y ambientes seguros en todas las sedes</t>
        </is>
      </c>
      <c r="C2" s="99" t="inlineStr">
        <is>
          <t>Ejemplo: incluye implementar el programa de permanencia basado en las causas de cancelación; ejecutar el SG-SST y el plan de emergencias en todas las sedes (ambientes seguros). Borre esta fila antes del cargue.</t>
        </is>
      </c>
      <c r="D2" s="99" t="inlineStr">
        <is>
          <t>PDI</t>
        </is>
      </c>
      <c r="E2" s="99" t="n"/>
      <c r="F2" s="99" t="n"/>
      <c r="G2" s="99" t="n">
        <v>2027</v>
      </c>
      <c r="H2" s="99" t="inlineStr">
        <is>
          <t>AC27.61</t>
        </is>
      </c>
    </row>
    <row r="3">
      <c r="A3" s="100" t="n"/>
      <c r="B3" s="100" t="n"/>
      <c r="C3" s="100" t="n"/>
      <c r="D3" s="100" t="n"/>
      <c r="E3" s="100" t="n"/>
      <c r="F3" s="100" t="n"/>
      <c r="G3" s="100" t="n"/>
      <c r="H3" s="100" t="n"/>
    </row>
    <row r="4">
      <c r="A4" s="100" t="n"/>
      <c r="B4" s="100" t="n"/>
      <c r="C4" s="100" t="n"/>
      <c r="D4" s="100" t="n"/>
      <c r="E4" s="100" t="n"/>
      <c r="F4" s="100" t="n"/>
      <c r="G4" s="100" t="n"/>
      <c r="H4" s="100" t="n"/>
    </row>
    <row r="5">
      <c r="A5" s="100" t="n"/>
      <c r="B5" s="100" t="n"/>
      <c r="C5" s="100" t="n"/>
      <c r="D5" s="100" t="n"/>
      <c r="E5" s="100" t="n"/>
      <c r="F5" s="100" t="n"/>
      <c r="G5" s="100" t="n"/>
      <c r="H5" s="100" t="n"/>
    </row>
    <row r="6">
      <c r="A6" s="100" t="n"/>
      <c r="B6" s="100" t="n"/>
      <c r="C6" s="100" t="n"/>
      <c r="D6" s="100" t="n"/>
      <c r="E6" s="100" t="n"/>
      <c r="F6" s="100" t="n"/>
      <c r="G6" s="100" t="n"/>
      <c r="H6" s="100" t="n"/>
    </row>
    <row r="7">
      <c r="A7" s="100" t="n"/>
      <c r="B7" s="100" t="n"/>
      <c r="C7" s="100" t="n"/>
      <c r="D7" s="100" t="n"/>
      <c r="E7" s="100" t="n"/>
      <c r="F7" s="100" t="n"/>
      <c r="G7" s="100" t="n"/>
      <c r="H7" s="100" t="n"/>
    </row>
    <row r="8">
      <c r="A8" s="100" t="n"/>
      <c r="B8" s="100" t="n"/>
      <c r="C8" s="100" t="n"/>
      <c r="D8" s="100" t="n"/>
      <c r="E8" s="100" t="n"/>
      <c r="F8" s="100" t="n"/>
      <c r="G8" s="100" t="n"/>
      <c r="H8" s="100" t="n"/>
    </row>
    <row r="9">
      <c r="A9" s="100" t="n"/>
      <c r="B9" s="100" t="n"/>
      <c r="C9" s="100" t="n"/>
      <c r="D9" s="100" t="n"/>
      <c r="E9" s="100" t="n"/>
      <c r="F9" s="100" t="n"/>
      <c r="G9" s="100" t="n"/>
      <c r="H9" s="100" t="n"/>
    </row>
    <row r="10">
      <c r="A10" s="100" t="n"/>
      <c r="B10" s="100" t="n"/>
      <c r="C10" s="100" t="n"/>
      <c r="D10" s="100" t="n"/>
      <c r="E10" s="100" t="n"/>
      <c r="F10" s="100" t="n"/>
      <c r="G10" s="100" t="n"/>
      <c r="H10" s="100" t="n"/>
    </row>
    <row r="11">
      <c r="A11" s="100" t="n"/>
      <c r="B11" s="100" t="n"/>
      <c r="C11" s="100" t="n"/>
      <c r="D11" s="100" t="n"/>
      <c r="E11" s="100" t="n"/>
      <c r="F11" s="100" t="n"/>
      <c r="G11" s="100" t="n"/>
      <c r="H11" s="100" t="n"/>
    </row>
    <row r="12">
      <c r="A12" s="100" t="n"/>
      <c r="B12" s="100" t="n"/>
      <c r="C12" s="100" t="n"/>
      <c r="D12" s="100" t="n"/>
      <c r="E12" s="100" t="n"/>
      <c r="F12" s="100" t="n"/>
      <c r="G12" s="100" t="n"/>
      <c r="H12" s="100" t="n"/>
    </row>
    <row r="13">
      <c r="A13" s="100" t="n"/>
      <c r="B13" s="100" t="n"/>
      <c r="C13" s="100" t="n"/>
      <c r="D13" s="100" t="n"/>
      <c r="E13" s="100" t="n"/>
      <c r="F13" s="100" t="n"/>
      <c r="G13" s="100" t="n"/>
      <c r="H13" s="100" t="n"/>
    </row>
    <row r="14">
      <c r="A14" s="100" t="n"/>
      <c r="B14" s="100" t="n"/>
      <c r="C14" s="100" t="n"/>
      <c r="D14" s="100" t="n"/>
      <c r="E14" s="100" t="n"/>
      <c r="F14" s="100" t="n"/>
      <c r="G14" s="100" t="n"/>
      <c r="H14" s="100" t="n"/>
    </row>
    <row r="15">
      <c r="A15" s="100" t="n"/>
      <c r="B15" s="100" t="n"/>
      <c r="C15" s="100" t="n"/>
      <c r="D15" s="100" t="n"/>
      <c r="E15" s="100" t="n"/>
      <c r="F15" s="100" t="n"/>
      <c r="G15" s="100" t="n"/>
      <c r="H15" s="100" t="n"/>
    </row>
    <row r="16">
      <c r="A16" s="100" t="n"/>
      <c r="B16" s="100" t="n"/>
      <c r="C16" s="100" t="n"/>
      <c r="D16" s="100" t="n"/>
      <c r="E16" s="100" t="n"/>
      <c r="F16" s="100" t="n"/>
      <c r="G16" s="100" t="n"/>
      <c r="H16" s="100" t="n"/>
    </row>
    <row r="17">
      <c r="A17" s="100" t="n"/>
      <c r="B17" s="100" t="n"/>
      <c r="C17" s="100" t="n"/>
      <c r="D17" s="100" t="n"/>
      <c r="E17" s="100" t="n"/>
      <c r="F17" s="100" t="n"/>
      <c r="G17" s="100" t="n"/>
      <c r="H17" s="100" t="n"/>
    </row>
    <row r="18">
      <c r="A18" s="100" t="n"/>
      <c r="B18" s="100" t="n"/>
      <c r="C18" s="100" t="n"/>
      <c r="D18" s="100" t="n"/>
      <c r="E18" s="100" t="n"/>
      <c r="F18" s="100" t="n"/>
      <c r="G18" s="100" t="n"/>
      <c r="H18" s="100" t="n"/>
    </row>
    <row r="19">
      <c r="A19" s="100" t="n"/>
      <c r="B19" s="100" t="n"/>
      <c r="C19" s="100" t="n"/>
      <c r="D19" s="100" t="n"/>
      <c r="E19" s="100" t="n"/>
      <c r="F19" s="100" t="n"/>
      <c r="G19" s="100" t="n"/>
      <c r="H19" s="100" t="n"/>
    </row>
    <row r="20">
      <c r="A20" s="100" t="n"/>
      <c r="B20" s="100" t="n"/>
      <c r="C20" s="100" t="n"/>
      <c r="D20" s="100" t="n"/>
      <c r="E20" s="100" t="n"/>
      <c r="F20" s="100" t="n"/>
      <c r="G20" s="100" t="n"/>
      <c r="H20" s="100" t="n"/>
    </row>
    <row r="21">
      <c r="A21" s="100" t="n"/>
      <c r="B21" s="100" t="n"/>
      <c r="C21" s="100" t="n"/>
      <c r="D21" s="100" t="n"/>
      <c r="E21" s="100" t="n"/>
      <c r="F21" s="100" t="n"/>
      <c r="G21" s="100" t="n"/>
      <c r="H21" s="100" t="n"/>
    </row>
    <row r="22">
      <c r="A22" s="100" t="n"/>
      <c r="B22" s="100" t="n"/>
      <c r="C22" s="100" t="n"/>
      <c r="D22" s="100" t="n"/>
      <c r="E22" s="100" t="n"/>
      <c r="F22" s="100" t="n"/>
      <c r="G22" s="100" t="n"/>
      <c r="H22" s="100" t="n"/>
    </row>
    <row r="23">
      <c r="A23" s="100" t="n"/>
      <c r="B23" s="100" t="n"/>
      <c r="C23" s="100" t="n"/>
      <c r="D23" s="100" t="n"/>
      <c r="E23" s="100" t="n"/>
      <c r="F23" s="100" t="n"/>
      <c r="G23" s="100" t="n"/>
      <c r="H23" s="100" t="n"/>
    </row>
    <row r="24">
      <c r="A24" s="100" t="n"/>
      <c r="B24" s="100" t="n"/>
      <c r="C24" s="100" t="n"/>
      <c r="D24" s="100" t="n"/>
      <c r="E24" s="100" t="n"/>
      <c r="F24" s="100" t="n"/>
      <c r="G24" s="100" t="n"/>
      <c r="H24" s="100" t="n"/>
    </row>
    <row r="25">
      <c r="A25" s="100" t="n"/>
      <c r="B25" s="100" t="n"/>
      <c r="C25" s="100" t="n"/>
      <c r="D25" s="100" t="n"/>
      <c r="E25" s="100" t="n"/>
      <c r="F25" s="100" t="n"/>
      <c r="G25" s="100" t="n"/>
      <c r="H25" s="100" t="n"/>
    </row>
    <row r="26">
      <c r="A26" s="100" t="n"/>
      <c r="B26" s="100" t="n"/>
      <c r="C26" s="100" t="n"/>
      <c r="D26" s="100" t="n"/>
      <c r="E26" s="100" t="n"/>
      <c r="F26" s="100" t="n"/>
      <c r="G26" s="100" t="n"/>
      <c r="H26" s="100" t="n"/>
    </row>
    <row r="27">
      <c r="A27" s="100" t="n"/>
      <c r="B27" s="100" t="n"/>
      <c r="C27" s="100" t="n"/>
      <c r="D27" s="100" t="n"/>
      <c r="E27" s="100" t="n"/>
      <c r="F27" s="100" t="n"/>
      <c r="G27" s="100" t="n"/>
      <c r="H27" s="100" t="n"/>
    </row>
    <row r="28">
      <c r="A28" s="100" t="n"/>
      <c r="B28" s="100" t="n"/>
      <c r="C28" s="100" t="n"/>
      <c r="D28" s="100" t="n"/>
      <c r="E28" s="100" t="n"/>
      <c r="F28" s="100" t="n"/>
      <c r="G28" s="100" t="n"/>
      <c r="H28" s="100" t="n"/>
    </row>
    <row r="29">
      <c r="A29" s="100" t="n"/>
      <c r="B29" s="100" t="n"/>
      <c r="C29" s="100" t="n"/>
      <c r="D29" s="100" t="n"/>
      <c r="E29" s="100" t="n"/>
      <c r="F29" s="100" t="n"/>
      <c r="G29" s="100" t="n"/>
      <c r="H29" s="100" t="n"/>
    </row>
    <row r="30">
      <c r="A30" s="100" t="n"/>
      <c r="B30" s="100" t="n"/>
      <c r="C30" s="100" t="n"/>
      <c r="D30" s="100" t="n"/>
      <c r="E30" s="100" t="n"/>
      <c r="F30" s="100" t="n"/>
      <c r="G30" s="100" t="n"/>
      <c r="H30" s="100" t="n"/>
    </row>
    <row r="31">
      <c r="A31" s="100" t="n"/>
      <c r="B31" s="100" t="n"/>
      <c r="C31" s="100" t="n"/>
      <c r="D31" s="100" t="n"/>
      <c r="E31" s="100" t="n"/>
      <c r="F31" s="100" t="n"/>
      <c r="G31" s="100" t="n"/>
      <c r="H31" s="100" t="n"/>
    </row>
    <row r="32">
      <c r="A32" s="100" t="n"/>
      <c r="B32" s="100" t="n"/>
      <c r="C32" s="100" t="n"/>
      <c r="D32" s="100" t="n"/>
      <c r="E32" s="100" t="n"/>
      <c r="F32" s="100" t="n"/>
      <c r="G32" s="100" t="n"/>
      <c r="H32" s="100" t="n"/>
    </row>
    <row r="33">
      <c r="A33" s="100" t="n"/>
      <c r="B33" s="100" t="n"/>
      <c r="C33" s="100" t="n"/>
      <c r="D33" s="100" t="n"/>
      <c r="E33" s="100" t="n"/>
      <c r="F33" s="100" t="n"/>
      <c r="G33" s="100" t="n"/>
      <c r="H33" s="100" t="n"/>
    </row>
    <row r="34">
      <c r="A34" s="100" t="n"/>
      <c r="B34" s="100" t="n"/>
      <c r="C34" s="100" t="n"/>
      <c r="D34" s="100" t="n"/>
      <c r="E34" s="100" t="n"/>
      <c r="F34" s="100" t="n"/>
      <c r="G34" s="100" t="n"/>
      <c r="H34" s="100" t="n"/>
    </row>
    <row r="35">
      <c r="A35" s="100" t="n"/>
      <c r="B35" s="100" t="n"/>
      <c r="C35" s="100" t="n"/>
      <c r="D35" s="100" t="n"/>
      <c r="E35" s="100" t="n"/>
      <c r="F35" s="100" t="n"/>
      <c r="G35" s="100" t="n"/>
      <c r="H35" s="100" t="n"/>
    </row>
    <row r="36">
      <c r="A36" s="100" t="n"/>
      <c r="B36" s="100" t="n"/>
      <c r="C36" s="100" t="n"/>
      <c r="D36" s="100" t="n"/>
      <c r="E36" s="100" t="n"/>
      <c r="F36" s="100" t="n"/>
      <c r="G36" s="100" t="n"/>
      <c r="H36" s="100" t="n"/>
    </row>
    <row r="37">
      <c r="A37" s="100" t="n"/>
      <c r="B37" s="100" t="n"/>
      <c r="C37" s="100" t="n"/>
      <c r="D37" s="100" t="n"/>
      <c r="E37" s="100" t="n"/>
      <c r="F37" s="100" t="n"/>
      <c r="G37" s="100" t="n"/>
      <c r="H37" s="100" t="n"/>
    </row>
    <row r="38">
      <c r="A38" s="100" t="n"/>
      <c r="B38" s="100" t="n"/>
      <c r="C38" s="100" t="n"/>
      <c r="D38" s="100" t="n"/>
      <c r="E38" s="100" t="n"/>
      <c r="F38" s="100" t="n"/>
      <c r="G38" s="100" t="n"/>
      <c r="H38" s="100" t="n"/>
    </row>
    <row r="39">
      <c r="A39" s="100" t="n"/>
      <c r="B39" s="100" t="n"/>
      <c r="C39" s="100" t="n"/>
      <c r="D39" s="100" t="n"/>
      <c r="E39" s="100" t="n"/>
      <c r="F39" s="100" t="n"/>
      <c r="G39" s="100" t="n"/>
      <c r="H39" s="100" t="n"/>
    </row>
    <row r="40">
      <c r="A40" s="100" t="n"/>
      <c r="B40" s="100" t="n"/>
      <c r="C40" s="100" t="n"/>
      <c r="D40" s="100" t="n"/>
      <c r="E40" s="100" t="n"/>
      <c r="F40" s="100" t="n"/>
      <c r="G40" s="100" t="n"/>
      <c r="H40" s="100" t="n"/>
    </row>
    <row r="41">
      <c r="A41" s="100" t="n"/>
      <c r="B41" s="100" t="n"/>
      <c r="C41" s="100" t="n"/>
      <c r="D41" s="100" t="n"/>
      <c r="E41" s="100" t="n"/>
      <c r="F41" s="100" t="n"/>
      <c r="G41" s="100" t="n"/>
      <c r="H41" s="100" t="n"/>
    </row>
    <row r="42">
      <c r="A42" s="100" t="n"/>
      <c r="B42" s="100" t="n"/>
      <c r="C42" s="100" t="n"/>
      <c r="D42" s="100" t="n"/>
      <c r="E42" s="100" t="n"/>
      <c r="F42" s="100" t="n"/>
      <c r="G42" s="100" t="n"/>
      <c r="H42" s="100" t="n"/>
    </row>
    <row r="43">
      <c r="A43" s="100" t="n"/>
      <c r="B43" s="100" t="n"/>
      <c r="C43" s="100" t="n"/>
      <c r="D43" s="100" t="n"/>
      <c r="E43" s="100" t="n"/>
      <c r="F43" s="100" t="n"/>
      <c r="G43" s="100" t="n"/>
      <c r="H43" s="100" t="n"/>
    </row>
    <row r="44">
      <c r="A44" s="100" t="n"/>
      <c r="B44" s="100" t="n"/>
      <c r="C44" s="100" t="n"/>
      <c r="D44" s="100" t="n"/>
      <c r="E44" s="100" t="n"/>
      <c r="F44" s="100" t="n"/>
      <c r="G44" s="100" t="n"/>
      <c r="H44" s="100" t="n"/>
    </row>
    <row r="45">
      <c r="A45" s="100" t="n"/>
      <c r="B45" s="100" t="n"/>
      <c r="C45" s="100" t="n"/>
      <c r="D45" s="100" t="n"/>
      <c r="E45" s="100" t="n"/>
      <c r="F45" s="100" t="n"/>
      <c r="G45" s="100" t="n"/>
      <c r="H45" s="100" t="n"/>
    </row>
    <row r="46">
      <c r="A46" s="100" t="n"/>
      <c r="B46" s="100" t="n"/>
      <c r="C46" s="100" t="n"/>
      <c r="D46" s="100" t="n"/>
      <c r="E46" s="100" t="n"/>
      <c r="F46" s="100" t="n"/>
      <c r="G46" s="100" t="n"/>
      <c r="H46" s="100" t="n"/>
    </row>
    <row r="47">
      <c r="A47" s="100" t="n"/>
      <c r="B47" s="100" t="n"/>
      <c r="C47" s="100" t="n"/>
      <c r="D47" s="100" t="n"/>
      <c r="E47" s="100" t="n"/>
      <c r="F47" s="100" t="n"/>
      <c r="G47" s="100" t="n"/>
      <c r="H47" s="100" t="n"/>
    </row>
    <row r="48">
      <c r="A48" s="100" t="n"/>
      <c r="B48" s="100" t="n"/>
      <c r="C48" s="100" t="n"/>
      <c r="D48" s="100" t="n"/>
      <c r="E48" s="100" t="n"/>
      <c r="F48" s="100" t="n"/>
      <c r="G48" s="100" t="n"/>
      <c r="H48" s="100" t="n"/>
    </row>
    <row r="49">
      <c r="A49" s="100" t="n"/>
      <c r="B49" s="100" t="n"/>
      <c r="C49" s="100" t="n"/>
      <c r="D49" s="100" t="n"/>
      <c r="E49" s="100" t="n"/>
      <c r="F49" s="100" t="n"/>
      <c r="G49" s="100" t="n"/>
      <c r="H49" s="100" t="n"/>
    </row>
    <row r="50">
      <c r="A50" s="100" t="n"/>
      <c r="B50" s="100" t="n"/>
      <c r="C50" s="100" t="n"/>
      <c r="D50" s="100" t="n"/>
      <c r="E50" s="100" t="n"/>
      <c r="F50" s="100" t="n"/>
      <c r="G50" s="100" t="n"/>
      <c r="H50" s="100" t="n"/>
    </row>
    <row r="51">
      <c r="A51" s="100" t="n"/>
      <c r="B51" s="100" t="n"/>
      <c r="C51" s="100" t="n"/>
      <c r="D51" s="100" t="n"/>
      <c r="E51" s="100" t="n"/>
      <c r="F51" s="100" t="n"/>
      <c r="G51" s="100" t="n"/>
      <c r="H51" s="100" t="n"/>
    </row>
    <row r="52">
      <c r="A52" s="100" t="n"/>
      <c r="B52" s="100" t="n"/>
      <c r="C52" s="100" t="n"/>
      <c r="D52" s="100" t="n"/>
      <c r="E52" s="100" t="n"/>
      <c r="F52" s="100" t="n"/>
      <c r="G52" s="100" t="n"/>
      <c r="H52" s="100" t="n"/>
    </row>
    <row r="53">
      <c r="A53" s="100" t="n"/>
      <c r="B53" s="100" t="n"/>
      <c r="C53" s="100" t="n"/>
      <c r="D53" s="100" t="n"/>
      <c r="E53" s="100" t="n"/>
      <c r="F53" s="100" t="n"/>
      <c r="G53" s="100" t="n"/>
      <c r="H53" s="100" t="n"/>
    </row>
    <row r="54">
      <c r="A54" s="100" t="n"/>
      <c r="B54" s="100" t="n"/>
      <c r="C54" s="100" t="n"/>
      <c r="D54" s="100" t="n"/>
      <c r="E54" s="100" t="n"/>
      <c r="F54" s="100" t="n"/>
      <c r="G54" s="100" t="n"/>
      <c r="H54" s="100" t="n"/>
    </row>
    <row r="55">
      <c r="A55" s="100" t="n"/>
      <c r="B55" s="100" t="n"/>
      <c r="C55" s="100" t="n"/>
      <c r="D55" s="100" t="n"/>
      <c r="E55" s="100" t="n"/>
      <c r="F55" s="100" t="n"/>
      <c r="G55" s="100" t="n"/>
      <c r="H55" s="100" t="n"/>
    </row>
    <row r="56">
      <c r="A56" s="100" t="n"/>
      <c r="B56" s="100" t="n"/>
      <c r="C56" s="100" t="n"/>
      <c r="D56" s="100" t="n"/>
      <c r="E56" s="100" t="n"/>
      <c r="F56" s="100" t="n"/>
      <c r="G56" s="100" t="n"/>
      <c r="H56" s="100" t="n"/>
    </row>
    <row r="57">
      <c r="A57" s="100" t="n"/>
      <c r="B57" s="100" t="n"/>
      <c r="C57" s="100" t="n"/>
      <c r="D57" s="100" t="n"/>
      <c r="E57" s="100" t="n"/>
      <c r="F57" s="100" t="n"/>
      <c r="G57" s="100" t="n"/>
      <c r="H57" s="100" t="n"/>
    </row>
    <row r="58">
      <c r="A58" s="100" t="n"/>
      <c r="B58" s="100" t="n"/>
      <c r="C58" s="100" t="n"/>
      <c r="D58" s="100" t="n"/>
      <c r="E58" s="100" t="n"/>
      <c r="F58" s="100" t="n"/>
      <c r="G58" s="100" t="n"/>
      <c r="H58" s="100" t="n"/>
    </row>
    <row r="59">
      <c r="A59" s="100" t="n"/>
      <c r="B59" s="100" t="n"/>
      <c r="C59" s="100" t="n"/>
      <c r="D59" s="100" t="n"/>
      <c r="E59" s="100" t="n"/>
      <c r="F59" s="100" t="n"/>
      <c r="G59" s="100" t="n"/>
      <c r="H59" s="100" t="n"/>
    </row>
    <row r="60">
      <c r="A60" s="100" t="n"/>
      <c r="B60" s="100" t="n"/>
      <c r="C60" s="100" t="n"/>
      <c r="D60" s="100" t="n"/>
      <c r="E60" s="100" t="n"/>
      <c r="F60" s="100" t="n"/>
      <c r="G60" s="100" t="n"/>
      <c r="H60" s="100" t="n"/>
    </row>
    <row r="61">
      <c r="A61" s="100" t="n"/>
      <c r="B61" s="100" t="n"/>
      <c r="C61" s="100" t="n"/>
      <c r="D61" s="100" t="n"/>
      <c r="E61" s="100" t="n"/>
      <c r="F61" s="100" t="n"/>
      <c r="G61" s="100" t="n"/>
      <c r="H61" s="100" t="n"/>
    </row>
    <row r="62">
      <c r="A62" s="100" t="n"/>
      <c r="B62" s="100" t="n"/>
      <c r="C62" s="100" t="n"/>
      <c r="D62" s="100" t="n"/>
      <c r="E62" s="100" t="n"/>
      <c r="F62" s="100" t="n"/>
      <c r="G62" s="100" t="n"/>
      <c r="H62" s="100" t="n"/>
    </row>
    <row r="63">
      <c r="A63" s="100" t="n"/>
      <c r="B63" s="100" t="n"/>
      <c r="C63" s="100" t="n"/>
      <c r="D63" s="100" t="n"/>
      <c r="E63" s="100" t="n"/>
      <c r="F63" s="100" t="n"/>
      <c r="G63" s="100" t="n"/>
      <c r="H63" s="100" t="n"/>
    </row>
    <row r="64">
      <c r="A64" s="100" t="n"/>
      <c r="B64" s="100" t="n"/>
      <c r="C64" s="100" t="n"/>
      <c r="D64" s="100" t="n"/>
      <c r="E64" s="100" t="n"/>
      <c r="F64" s="100" t="n"/>
      <c r="G64" s="100" t="n"/>
      <c r="H64" s="100" t="n"/>
    </row>
    <row r="65">
      <c r="A65" s="100" t="n"/>
      <c r="B65" s="100" t="n"/>
      <c r="C65" s="100" t="n"/>
      <c r="D65" s="100" t="n"/>
      <c r="E65" s="100" t="n"/>
      <c r="F65" s="100" t="n"/>
      <c r="G65" s="100" t="n"/>
      <c r="H65" s="100" t="n"/>
    </row>
    <row r="66">
      <c r="A66" s="100" t="n"/>
      <c r="B66" s="100" t="n"/>
      <c r="C66" s="100" t="n"/>
      <c r="D66" s="100" t="n"/>
      <c r="E66" s="100" t="n"/>
      <c r="F66" s="100" t="n"/>
      <c r="G66" s="100" t="n"/>
      <c r="H66" s="100" t="n"/>
    </row>
    <row r="67">
      <c r="A67" s="100" t="n"/>
      <c r="B67" s="100" t="n"/>
      <c r="C67" s="100" t="n"/>
      <c r="D67" s="100" t="n"/>
      <c r="E67" s="100" t="n"/>
      <c r="F67" s="100" t="n"/>
      <c r="G67" s="100" t="n"/>
      <c r="H67" s="100" t="n"/>
    </row>
    <row r="68">
      <c r="A68" s="100" t="n"/>
      <c r="B68" s="100" t="n"/>
      <c r="C68" s="100" t="n"/>
      <c r="D68" s="100" t="n"/>
      <c r="E68" s="100" t="n"/>
      <c r="F68" s="100" t="n"/>
      <c r="G68" s="100" t="n"/>
      <c r="H68" s="100" t="n"/>
    </row>
    <row r="69">
      <c r="A69" s="100" t="n"/>
      <c r="B69" s="100" t="n"/>
      <c r="C69" s="100" t="n"/>
      <c r="D69" s="100" t="n"/>
      <c r="E69" s="100" t="n"/>
      <c r="F69" s="100" t="n"/>
      <c r="G69" s="100" t="n"/>
      <c r="H69" s="100" t="n"/>
    </row>
    <row r="70">
      <c r="A70" s="100" t="n"/>
      <c r="B70" s="100" t="n"/>
      <c r="C70" s="100" t="n"/>
      <c r="D70" s="100" t="n"/>
      <c r="E70" s="100" t="n"/>
      <c r="F70" s="100" t="n"/>
      <c r="G70" s="100" t="n"/>
      <c r="H70" s="100" t="n"/>
    </row>
    <row r="71">
      <c r="A71" s="100" t="n"/>
      <c r="B71" s="100" t="n"/>
      <c r="C71" s="100" t="n"/>
      <c r="D71" s="100" t="n"/>
      <c r="E71" s="100" t="n"/>
      <c r="F71" s="100" t="n"/>
      <c r="G71" s="100" t="n"/>
      <c r="H71" s="100" t="n"/>
    </row>
    <row r="72">
      <c r="A72" s="100" t="n"/>
      <c r="B72" s="100" t="n"/>
      <c r="C72" s="100" t="n"/>
      <c r="D72" s="100" t="n"/>
      <c r="E72" s="100" t="n"/>
      <c r="F72" s="100" t="n"/>
      <c r="G72" s="100" t="n"/>
      <c r="H72" s="100" t="n"/>
    </row>
    <row r="73">
      <c r="A73" s="100" t="n"/>
      <c r="B73" s="100" t="n"/>
      <c r="C73" s="100" t="n"/>
      <c r="D73" s="100" t="n"/>
      <c r="E73" s="100" t="n"/>
      <c r="F73" s="100" t="n"/>
      <c r="G73" s="100" t="n"/>
      <c r="H73" s="100" t="n"/>
    </row>
    <row r="74">
      <c r="A74" s="100" t="n"/>
      <c r="B74" s="100" t="n"/>
      <c r="C74" s="100" t="n"/>
      <c r="D74" s="100" t="n"/>
      <c r="E74" s="100" t="n"/>
      <c r="F74" s="100" t="n"/>
      <c r="G74" s="100" t="n"/>
      <c r="H74" s="100" t="n"/>
    </row>
    <row r="75">
      <c r="A75" s="100" t="n"/>
      <c r="B75" s="100" t="n"/>
      <c r="C75" s="100" t="n"/>
      <c r="D75" s="100" t="n"/>
      <c r="E75" s="100" t="n"/>
      <c r="F75" s="100" t="n"/>
      <c r="G75" s="100" t="n"/>
      <c r="H75" s="100" t="n"/>
    </row>
    <row r="76">
      <c r="A76" s="100" t="n"/>
      <c r="B76" s="100" t="n"/>
      <c r="C76" s="100" t="n"/>
      <c r="D76" s="100" t="n"/>
      <c r="E76" s="100" t="n"/>
      <c r="F76" s="100" t="n"/>
      <c r="G76" s="100" t="n"/>
      <c r="H76" s="100" t="n"/>
    </row>
    <row r="77">
      <c r="A77" s="100" t="n"/>
      <c r="B77" s="100" t="n"/>
      <c r="C77" s="100" t="n"/>
      <c r="D77" s="100" t="n"/>
      <c r="E77" s="100" t="n"/>
      <c r="F77" s="100" t="n"/>
      <c r="G77" s="100" t="n"/>
      <c r="H77" s="100" t="n"/>
    </row>
    <row r="78">
      <c r="A78" s="100" t="n"/>
      <c r="B78" s="100" t="n"/>
      <c r="C78" s="100" t="n"/>
      <c r="D78" s="100" t="n"/>
      <c r="E78" s="100" t="n"/>
      <c r="F78" s="100" t="n"/>
      <c r="G78" s="100" t="n"/>
      <c r="H78" s="100" t="n"/>
    </row>
    <row r="79">
      <c r="A79" s="100" t="n"/>
      <c r="B79" s="100" t="n"/>
      <c r="C79" s="100" t="n"/>
      <c r="D79" s="100" t="n"/>
      <c r="E79" s="100" t="n"/>
      <c r="F79" s="100" t="n"/>
      <c r="G79" s="100" t="n"/>
      <c r="H79" s="100" t="n"/>
    </row>
    <row r="80">
      <c r="A80" s="100" t="n"/>
      <c r="B80" s="100" t="n"/>
      <c r="C80" s="100" t="n"/>
      <c r="D80" s="100" t="n"/>
      <c r="E80" s="100" t="n"/>
      <c r="F80" s="100" t="n"/>
      <c r="G80" s="100" t="n"/>
      <c r="H80" s="100" t="n"/>
    </row>
    <row r="81">
      <c r="A81" s="100" t="n"/>
      <c r="B81" s="100" t="n"/>
      <c r="C81" s="100" t="n"/>
      <c r="D81" s="100" t="n"/>
      <c r="E81" s="100" t="n"/>
      <c r="F81" s="100" t="n"/>
      <c r="G81" s="100" t="n"/>
      <c r="H81" s="100" t="n"/>
    </row>
    <row r="82">
      <c r="A82" s="100" t="n"/>
      <c r="B82" s="100" t="n"/>
      <c r="C82" s="100" t="n"/>
      <c r="D82" s="100" t="n"/>
      <c r="E82" s="100" t="n"/>
      <c r="F82" s="100" t="n"/>
      <c r="G82" s="100" t="n"/>
      <c r="H82" s="100" t="n"/>
    </row>
    <row r="83">
      <c r="A83" s="100" t="n"/>
      <c r="B83" s="100" t="n"/>
      <c r="C83" s="100" t="n"/>
      <c r="D83" s="100" t="n"/>
      <c r="E83" s="100" t="n"/>
      <c r="F83" s="100" t="n"/>
      <c r="G83" s="100" t="n"/>
      <c r="H83" s="100" t="n"/>
    </row>
    <row r="84">
      <c r="A84" s="100" t="n"/>
      <c r="B84" s="100" t="n"/>
      <c r="C84" s="100" t="n"/>
      <c r="D84" s="100" t="n"/>
      <c r="E84" s="100" t="n"/>
      <c r="F84" s="100" t="n"/>
      <c r="G84" s="100" t="n"/>
      <c r="H84" s="100" t="n"/>
    </row>
    <row r="85">
      <c r="A85" s="100" t="n"/>
      <c r="B85" s="100" t="n"/>
      <c r="C85" s="100" t="n"/>
      <c r="D85" s="100" t="n"/>
      <c r="E85" s="100" t="n"/>
      <c r="F85" s="100" t="n"/>
      <c r="G85" s="100" t="n"/>
      <c r="H85" s="100" t="n"/>
    </row>
    <row r="86">
      <c r="A86" s="100" t="n"/>
      <c r="B86" s="100" t="n"/>
      <c r="C86" s="100" t="n"/>
      <c r="D86" s="100" t="n"/>
      <c r="E86" s="100" t="n"/>
      <c r="F86" s="100" t="n"/>
      <c r="G86" s="100" t="n"/>
      <c r="H86" s="100" t="n"/>
    </row>
    <row r="87">
      <c r="A87" s="100" t="n"/>
      <c r="B87" s="100" t="n"/>
      <c r="C87" s="100" t="n"/>
      <c r="D87" s="100" t="n"/>
      <c r="E87" s="100" t="n"/>
      <c r="F87" s="100" t="n"/>
      <c r="G87" s="100" t="n"/>
      <c r="H87" s="100" t="n"/>
    </row>
    <row r="88">
      <c r="A88" s="100" t="n"/>
      <c r="B88" s="100" t="n"/>
      <c r="C88" s="100" t="n"/>
      <c r="D88" s="100" t="n"/>
      <c r="E88" s="100" t="n"/>
      <c r="F88" s="100" t="n"/>
      <c r="G88" s="100" t="n"/>
      <c r="H88" s="100" t="n"/>
    </row>
    <row r="89">
      <c r="A89" s="100" t="n"/>
      <c r="B89" s="100" t="n"/>
      <c r="C89" s="100" t="n"/>
      <c r="D89" s="100" t="n"/>
      <c r="E89" s="100" t="n"/>
      <c r="F89" s="100" t="n"/>
      <c r="G89" s="100" t="n"/>
      <c r="H89" s="100" t="n"/>
    </row>
    <row r="90">
      <c r="A90" s="100" t="n"/>
      <c r="B90" s="100" t="n"/>
      <c r="C90" s="100" t="n"/>
      <c r="D90" s="100" t="n"/>
      <c r="E90" s="100" t="n"/>
      <c r="F90" s="100" t="n"/>
      <c r="G90" s="100" t="n"/>
      <c r="H90" s="100" t="n"/>
    </row>
    <row r="91">
      <c r="A91" s="100" t="n"/>
      <c r="B91" s="100" t="n"/>
      <c r="C91" s="100" t="n"/>
      <c r="D91" s="100" t="n"/>
      <c r="E91" s="100" t="n"/>
      <c r="F91" s="100" t="n"/>
      <c r="G91" s="100" t="n"/>
      <c r="H91" s="100" t="n"/>
    </row>
    <row r="92">
      <c r="A92" s="100" t="n"/>
      <c r="B92" s="100" t="n"/>
      <c r="C92" s="100" t="n"/>
      <c r="D92" s="100" t="n"/>
      <c r="E92" s="100" t="n"/>
      <c r="F92" s="100" t="n"/>
      <c r="G92" s="100" t="n"/>
      <c r="H92" s="100" t="n"/>
    </row>
    <row r="93">
      <c r="A93" s="100" t="n"/>
      <c r="B93" s="100" t="n"/>
      <c r="C93" s="100" t="n"/>
      <c r="D93" s="100" t="n"/>
      <c r="E93" s="100" t="n"/>
      <c r="F93" s="100" t="n"/>
      <c r="G93" s="100" t="n"/>
      <c r="H93" s="100" t="n"/>
    </row>
    <row r="94">
      <c r="A94" s="100" t="n"/>
      <c r="B94" s="100" t="n"/>
      <c r="C94" s="100" t="n"/>
      <c r="D94" s="100" t="n"/>
      <c r="E94" s="100" t="n"/>
      <c r="F94" s="100" t="n"/>
      <c r="G94" s="100" t="n"/>
      <c r="H94" s="100" t="n"/>
    </row>
    <row r="95">
      <c r="A95" s="100" t="n"/>
      <c r="B95" s="100" t="n"/>
      <c r="C95" s="100" t="n"/>
      <c r="D95" s="100" t="n"/>
      <c r="E95" s="100" t="n"/>
      <c r="F95" s="100" t="n"/>
      <c r="G95" s="100" t="n"/>
      <c r="H95" s="100" t="n"/>
    </row>
    <row r="96">
      <c r="A96" s="100" t="n"/>
      <c r="B96" s="100" t="n"/>
      <c r="C96" s="100" t="n"/>
      <c r="D96" s="100" t="n"/>
      <c r="E96" s="100" t="n"/>
      <c r="F96" s="100" t="n"/>
      <c r="G96" s="100" t="n"/>
      <c r="H96" s="100" t="n"/>
    </row>
    <row r="97">
      <c r="A97" s="100" t="n"/>
      <c r="B97" s="100" t="n"/>
      <c r="C97" s="100" t="n"/>
      <c r="D97" s="100" t="n"/>
      <c r="E97" s="100" t="n"/>
      <c r="F97" s="100" t="n"/>
      <c r="G97" s="100" t="n"/>
      <c r="H97" s="100" t="n"/>
    </row>
    <row r="98">
      <c r="A98" s="100" t="n"/>
      <c r="B98" s="100" t="n"/>
      <c r="C98" s="100" t="n"/>
      <c r="D98" s="100" t="n"/>
      <c r="E98" s="100" t="n"/>
      <c r="F98" s="100" t="n"/>
      <c r="G98" s="100" t="n"/>
      <c r="H98" s="100" t="n"/>
    </row>
    <row r="99">
      <c r="A99" s="100" t="n"/>
      <c r="B99" s="100" t="n"/>
      <c r="C99" s="100" t="n"/>
      <c r="D99" s="100" t="n"/>
      <c r="E99" s="100" t="n"/>
      <c r="F99" s="100" t="n"/>
      <c r="G99" s="100" t="n"/>
      <c r="H99" s="100" t="n"/>
    </row>
    <row r="100">
      <c r="A100" s="100" t="n"/>
      <c r="B100" s="100" t="n"/>
      <c r="C100" s="100" t="n"/>
      <c r="D100" s="100" t="n"/>
      <c r="E100" s="100" t="n"/>
      <c r="F100" s="100" t="n"/>
      <c r="G100" s="100" t="n"/>
      <c r="H100" s="100" t="n"/>
    </row>
    <row r="101">
      <c r="A101" s="100" t="n"/>
      <c r="B101" s="100" t="n"/>
      <c r="C101" s="100" t="n"/>
      <c r="D101" s="100" t="n"/>
      <c r="E101" s="100" t="n"/>
      <c r="F101" s="100" t="n"/>
      <c r="G101" s="100" t="n"/>
      <c r="H101" s="100" t="n"/>
    </row>
    <row r="102">
      <c r="A102" s="100" t="n"/>
      <c r="B102" s="100" t="n"/>
      <c r="C102" s="100" t="n"/>
      <c r="D102" s="100" t="n"/>
      <c r="E102" s="100" t="n"/>
      <c r="F102" s="100" t="n"/>
      <c r="G102" s="100" t="n"/>
      <c r="H102" s="100" t="n"/>
    </row>
    <row r="103">
      <c r="A103" s="100" t="n"/>
      <c r="B103" s="100" t="n"/>
      <c r="C103" s="100" t="n"/>
      <c r="D103" s="100" t="n"/>
      <c r="E103" s="100" t="n"/>
      <c r="F103" s="100" t="n"/>
      <c r="G103" s="100" t="n"/>
      <c r="H103" s="100" t="n"/>
    </row>
    <row r="104">
      <c r="A104" s="100" t="n"/>
      <c r="B104" s="100" t="n"/>
      <c r="C104" s="100" t="n"/>
      <c r="D104" s="100" t="n"/>
      <c r="E104" s="100" t="n"/>
      <c r="F104" s="100" t="n"/>
      <c r="G104" s="100" t="n"/>
      <c r="H104" s="100" t="n"/>
    </row>
    <row r="105">
      <c r="A105" s="100" t="n"/>
      <c r="B105" s="100" t="n"/>
      <c r="C105" s="100" t="n"/>
      <c r="D105" s="100" t="n"/>
      <c r="E105" s="100" t="n"/>
      <c r="F105" s="100" t="n"/>
      <c r="G105" s="100" t="n"/>
      <c r="H105" s="100" t="n"/>
    </row>
    <row r="106">
      <c r="A106" s="100" t="n"/>
      <c r="B106" s="100" t="n"/>
      <c r="C106" s="100" t="n"/>
      <c r="D106" s="100" t="n"/>
      <c r="E106" s="100" t="n"/>
      <c r="F106" s="100" t="n"/>
      <c r="G106" s="100" t="n"/>
      <c r="H106" s="100" t="n"/>
    </row>
    <row r="107">
      <c r="A107" s="100" t="n"/>
      <c r="B107" s="100" t="n"/>
      <c r="C107" s="100" t="n"/>
      <c r="D107" s="100" t="n"/>
      <c r="E107" s="100" t="n"/>
      <c r="F107" s="100" t="n"/>
      <c r="G107" s="100" t="n"/>
      <c r="H107" s="100" t="n"/>
    </row>
    <row r="108">
      <c r="A108" s="100" t="n"/>
      <c r="B108" s="100" t="n"/>
      <c r="C108" s="100" t="n"/>
      <c r="D108" s="100" t="n"/>
      <c r="E108" s="100" t="n"/>
      <c r="F108" s="100" t="n"/>
      <c r="G108" s="100" t="n"/>
      <c r="H108" s="100" t="n"/>
    </row>
    <row r="109">
      <c r="A109" s="100" t="n"/>
      <c r="B109" s="100" t="n"/>
      <c r="C109" s="100" t="n"/>
      <c r="D109" s="100" t="n"/>
      <c r="E109" s="100" t="n"/>
      <c r="F109" s="100" t="n"/>
      <c r="G109" s="100" t="n"/>
      <c r="H109" s="100" t="n"/>
    </row>
    <row r="110">
      <c r="A110" s="100" t="n"/>
      <c r="B110" s="100" t="n"/>
      <c r="C110" s="100" t="n"/>
      <c r="D110" s="100" t="n"/>
      <c r="E110" s="100" t="n"/>
      <c r="F110" s="100" t="n"/>
      <c r="G110" s="100" t="n"/>
      <c r="H110" s="100" t="n"/>
    </row>
    <row r="111">
      <c r="A111" s="100" t="n"/>
      <c r="B111" s="100" t="n"/>
      <c r="C111" s="100" t="n"/>
      <c r="D111" s="100" t="n"/>
      <c r="E111" s="100" t="n"/>
      <c r="F111" s="100" t="n"/>
      <c r="G111" s="100" t="n"/>
      <c r="H111" s="100" t="n"/>
    </row>
    <row r="112">
      <c r="A112" s="100" t="n"/>
      <c r="B112" s="100" t="n"/>
      <c r="C112" s="100" t="n"/>
      <c r="D112" s="100" t="n"/>
      <c r="E112" s="100" t="n"/>
      <c r="F112" s="100" t="n"/>
      <c r="G112" s="100" t="n"/>
      <c r="H112" s="100" t="n"/>
    </row>
    <row r="113">
      <c r="A113" s="100" t="n"/>
      <c r="B113" s="100" t="n"/>
      <c r="C113" s="100" t="n"/>
      <c r="D113" s="100" t="n"/>
      <c r="E113" s="100" t="n"/>
      <c r="F113" s="100" t="n"/>
      <c r="G113" s="100" t="n"/>
      <c r="H113" s="100" t="n"/>
    </row>
    <row r="114">
      <c r="A114" s="100" t="n"/>
      <c r="B114" s="100" t="n"/>
      <c r="C114" s="100" t="n"/>
      <c r="D114" s="100" t="n"/>
      <c r="E114" s="100" t="n"/>
      <c r="F114" s="100" t="n"/>
      <c r="G114" s="100" t="n"/>
      <c r="H114" s="100" t="n"/>
    </row>
    <row r="115">
      <c r="A115" s="100" t="n"/>
      <c r="B115" s="100" t="n"/>
      <c r="C115" s="100" t="n"/>
      <c r="D115" s="100" t="n"/>
      <c r="E115" s="100" t="n"/>
      <c r="F115" s="100" t="n"/>
      <c r="G115" s="100" t="n"/>
      <c r="H115" s="100" t="n"/>
    </row>
    <row r="116">
      <c r="A116" s="100" t="n"/>
      <c r="B116" s="100" t="n"/>
      <c r="C116" s="100" t="n"/>
      <c r="D116" s="100" t="n"/>
      <c r="E116" s="100" t="n"/>
      <c r="F116" s="100" t="n"/>
      <c r="G116" s="100" t="n"/>
      <c r="H116" s="100" t="n"/>
    </row>
    <row r="117">
      <c r="A117" s="100" t="n"/>
      <c r="B117" s="100" t="n"/>
      <c r="C117" s="100" t="n"/>
      <c r="D117" s="100" t="n"/>
      <c r="E117" s="100" t="n"/>
      <c r="F117" s="100" t="n"/>
      <c r="G117" s="100" t="n"/>
      <c r="H117" s="100" t="n"/>
    </row>
    <row r="118">
      <c r="A118" s="100" t="n"/>
      <c r="B118" s="100" t="n"/>
      <c r="C118" s="100" t="n"/>
      <c r="D118" s="100" t="n"/>
      <c r="E118" s="100" t="n"/>
      <c r="F118" s="100" t="n"/>
      <c r="G118" s="100" t="n"/>
      <c r="H118" s="100" t="n"/>
    </row>
    <row r="119">
      <c r="A119" s="100" t="n"/>
      <c r="B119" s="100" t="n"/>
      <c r="C119" s="100" t="n"/>
      <c r="D119" s="100" t="n"/>
      <c r="E119" s="100" t="n"/>
      <c r="F119" s="100" t="n"/>
      <c r="G119" s="100" t="n"/>
      <c r="H119" s="100" t="n"/>
    </row>
    <row r="120">
      <c r="A120" s="100" t="n"/>
      <c r="B120" s="100" t="n"/>
      <c r="C120" s="100" t="n"/>
      <c r="D120" s="100" t="n"/>
      <c r="E120" s="100" t="n"/>
      <c r="F120" s="100" t="n"/>
      <c r="G120" s="100" t="n"/>
      <c r="H120" s="100" t="n"/>
    </row>
    <row r="121">
      <c r="A121" s="100" t="n"/>
      <c r="B121" s="100" t="n"/>
      <c r="C121" s="100" t="n"/>
      <c r="D121" s="100" t="n"/>
      <c r="E121" s="100" t="n"/>
      <c r="F121" s="100" t="n"/>
      <c r="G121" s="100" t="n"/>
      <c r="H121" s="100" t="n"/>
    </row>
    <row r="122">
      <c r="A122" s="100" t="n"/>
      <c r="B122" s="100" t="n"/>
      <c r="C122" s="100" t="n"/>
      <c r="D122" s="100" t="n"/>
      <c r="E122" s="100" t="n"/>
      <c r="F122" s="100" t="n"/>
      <c r="G122" s="100" t="n"/>
      <c r="H122" s="100" t="n"/>
    </row>
    <row r="123">
      <c r="A123" s="100" t="n"/>
      <c r="B123" s="100" t="n"/>
      <c r="C123" s="100" t="n"/>
      <c r="D123" s="100" t="n"/>
      <c r="E123" s="100" t="n"/>
      <c r="F123" s="100" t="n"/>
      <c r="G123" s="100" t="n"/>
      <c r="H123" s="100" t="n"/>
    </row>
    <row r="124">
      <c r="A124" s="100" t="n"/>
      <c r="B124" s="100" t="n"/>
      <c r="C124" s="100" t="n"/>
      <c r="D124" s="100" t="n"/>
      <c r="E124" s="100" t="n"/>
      <c r="F124" s="100" t="n"/>
      <c r="G124" s="100" t="n"/>
      <c r="H124" s="100" t="n"/>
    </row>
    <row r="125">
      <c r="A125" s="100" t="n"/>
      <c r="B125" s="100" t="n"/>
      <c r="C125" s="100" t="n"/>
      <c r="D125" s="100" t="n"/>
      <c r="E125" s="100" t="n"/>
      <c r="F125" s="100" t="n"/>
      <c r="G125" s="100" t="n"/>
      <c r="H125" s="100" t="n"/>
    </row>
    <row r="126">
      <c r="A126" s="100" t="n"/>
      <c r="B126" s="100" t="n"/>
      <c r="C126" s="100" t="n"/>
      <c r="D126" s="100" t="n"/>
      <c r="E126" s="100" t="n"/>
      <c r="F126" s="100" t="n"/>
      <c r="G126" s="100" t="n"/>
      <c r="H126" s="100" t="n"/>
    </row>
    <row r="127">
      <c r="A127" s="100" t="n"/>
      <c r="B127" s="100" t="n"/>
      <c r="C127" s="100" t="n"/>
      <c r="D127" s="100" t="n"/>
      <c r="E127" s="100" t="n"/>
      <c r="F127" s="100" t="n"/>
      <c r="G127" s="100" t="n"/>
      <c r="H127" s="100" t="n"/>
    </row>
    <row r="128">
      <c r="A128" s="100" t="n"/>
      <c r="B128" s="100" t="n"/>
      <c r="C128" s="100" t="n"/>
      <c r="D128" s="100" t="n"/>
      <c r="E128" s="100" t="n"/>
      <c r="F128" s="100" t="n"/>
      <c r="G128" s="100" t="n"/>
      <c r="H128" s="100" t="n"/>
    </row>
    <row r="129">
      <c r="A129" s="100" t="n"/>
      <c r="B129" s="100" t="n"/>
      <c r="C129" s="100" t="n"/>
      <c r="D129" s="100" t="n"/>
      <c r="E129" s="100" t="n"/>
      <c r="F129" s="100" t="n"/>
      <c r="G129" s="100" t="n"/>
      <c r="H129" s="100" t="n"/>
    </row>
    <row r="130">
      <c r="A130" s="100" t="n"/>
      <c r="B130" s="100" t="n"/>
      <c r="C130" s="100" t="n"/>
      <c r="D130" s="100" t="n"/>
      <c r="E130" s="100" t="n"/>
      <c r="F130" s="100" t="n"/>
      <c r="G130" s="100" t="n"/>
      <c r="H130" s="100" t="n"/>
    </row>
    <row r="131">
      <c r="A131" s="100" t="n"/>
      <c r="B131" s="100" t="n"/>
      <c r="C131" s="100" t="n"/>
      <c r="D131" s="100" t="n"/>
      <c r="E131" s="100" t="n"/>
      <c r="F131" s="100" t="n"/>
      <c r="G131" s="100" t="n"/>
      <c r="H131" s="100" t="n"/>
    </row>
    <row r="132">
      <c r="A132" s="100" t="n"/>
      <c r="B132" s="100" t="n"/>
      <c r="C132" s="100" t="n"/>
      <c r="D132" s="100" t="n"/>
      <c r="E132" s="100" t="n"/>
      <c r="F132" s="100" t="n"/>
      <c r="G132" s="100" t="n"/>
      <c r="H132" s="100" t="n"/>
    </row>
    <row r="133">
      <c r="A133" s="100" t="n"/>
      <c r="B133" s="100" t="n"/>
      <c r="C133" s="100" t="n"/>
      <c r="D133" s="100" t="n"/>
      <c r="E133" s="100" t="n"/>
      <c r="F133" s="100" t="n"/>
      <c r="G133" s="100" t="n"/>
      <c r="H133" s="100" t="n"/>
    </row>
    <row r="134">
      <c r="A134" s="100" t="n"/>
      <c r="B134" s="100" t="n"/>
      <c r="C134" s="100" t="n"/>
      <c r="D134" s="100" t="n"/>
      <c r="E134" s="100" t="n"/>
      <c r="F134" s="100" t="n"/>
      <c r="G134" s="100" t="n"/>
      <c r="H134" s="100" t="n"/>
    </row>
    <row r="135">
      <c r="A135" s="100" t="n"/>
      <c r="B135" s="100" t="n"/>
      <c r="C135" s="100" t="n"/>
      <c r="D135" s="100" t="n"/>
      <c r="E135" s="100" t="n"/>
      <c r="F135" s="100" t="n"/>
      <c r="G135" s="100" t="n"/>
      <c r="H135" s="100" t="n"/>
    </row>
    <row r="136">
      <c r="A136" s="100" t="n"/>
      <c r="B136" s="100" t="n"/>
      <c r="C136" s="100" t="n"/>
      <c r="D136" s="100" t="n"/>
      <c r="E136" s="100" t="n"/>
      <c r="F136" s="100" t="n"/>
      <c r="G136" s="100" t="n"/>
      <c r="H136" s="100" t="n"/>
    </row>
    <row r="137">
      <c r="A137" s="100" t="n"/>
      <c r="B137" s="100" t="n"/>
      <c r="C137" s="100" t="n"/>
      <c r="D137" s="100" t="n"/>
      <c r="E137" s="100" t="n"/>
      <c r="F137" s="100" t="n"/>
      <c r="G137" s="100" t="n"/>
      <c r="H137" s="100" t="n"/>
    </row>
    <row r="138">
      <c r="A138" s="100" t="n"/>
      <c r="B138" s="100" t="n"/>
      <c r="C138" s="100" t="n"/>
      <c r="D138" s="100" t="n"/>
      <c r="E138" s="100" t="n"/>
      <c r="F138" s="100" t="n"/>
      <c r="G138" s="100" t="n"/>
      <c r="H138" s="100" t="n"/>
    </row>
    <row r="139">
      <c r="A139" s="100" t="n"/>
      <c r="B139" s="100" t="n"/>
      <c r="C139" s="100" t="n"/>
      <c r="D139" s="100" t="n"/>
      <c r="E139" s="100" t="n"/>
      <c r="F139" s="100" t="n"/>
      <c r="G139" s="100" t="n"/>
      <c r="H139" s="100" t="n"/>
    </row>
    <row r="140">
      <c r="A140" s="100" t="n"/>
      <c r="B140" s="100" t="n"/>
      <c r="C140" s="100" t="n"/>
      <c r="D140" s="100" t="n"/>
      <c r="E140" s="100" t="n"/>
      <c r="F140" s="100" t="n"/>
      <c r="G140" s="100" t="n"/>
      <c r="H140" s="100" t="n"/>
    </row>
    <row r="141">
      <c r="A141" s="100" t="n"/>
      <c r="B141" s="100" t="n"/>
      <c r="C141" s="100" t="n"/>
      <c r="D141" s="100" t="n"/>
      <c r="E141" s="100" t="n"/>
      <c r="F141" s="100" t="n"/>
      <c r="G141" s="100" t="n"/>
      <c r="H141" s="100" t="n"/>
    </row>
    <row r="142">
      <c r="A142" s="100" t="n"/>
      <c r="B142" s="100" t="n"/>
      <c r="C142" s="100" t="n"/>
      <c r="D142" s="100" t="n"/>
      <c r="E142" s="100" t="n"/>
      <c r="F142" s="100" t="n"/>
      <c r="G142" s="100" t="n"/>
      <c r="H142" s="100" t="n"/>
    </row>
    <row r="143">
      <c r="A143" s="100" t="n"/>
      <c r="B143" s="100" t="n"/>
      <c r="C143" s="100" t="n"/>
      <c r="D143" s="100" t="n"/>
      <c r="E143" s="100" t="n"/>
      <c r="F143" s="100" t="n"/>
      <c r="G143" s="100" t="n"/>
      <c r="H143" s="100" t="n"/>
    </row>
    <row r="144">
      <c r="A144" s="100" t="n"/>
      <c r="B144" s="100" t="n"/>
      <c r="C144" s="100" t="n"/>
      <c r="D144" s="100" t="n"/>
      <c r="E144" s="100" t="n"/>
      <c r="F144" s="100" t="n"/>
      <c r="G144" s="100" t="n"/>
      <c r="H144" s="100" t="n"/>
    </row>
    <row r="145">
      <c r="A145" s="100" t="n"/>
      <c r="B145" s="100" t="n"/>
      <c r="C145" s="100" t="n"/>
      <c r="D145" s="100" t="n"/>
      <c r="E145" s="100" t="n"/>
      <c r="F145" s="100" t="n"/>
      <c r="G145" s="100" t="n"/>
      <c r="H145" s="100" t="n"/>
    </row>
    <row r="146">
      <c r="A146" s="100" t="n"/>
      <c r="B146" s="100" t="n"/>
      <c r="C146" s="100" t="n"/>
      <c r="D146" s="100" t="n"/>
      <c r="E146" s="100" t="n"/>
      <c r="F146" s="100" t="n"/>
      <c r="G146" s="100" t="n"/>
      <c r="H146" s="100" t="n"/>
    </row>
    <row r="147">
      <c r="A147" s="100" t="n"/>
      <c r="B147" s="100" t="n"/>
      <c r="C147" s="100" t="n"/>
      <c r="D147" s="100" t="n"/>
      <c r="E147" s="100" t="n"/>
      <c r="F147" s="100" t="n"/>
      <c r="G147" s="100" t="n"/>
      <c r="H147" s="100" t="n"/>
    </row>
    <row r="148">
      <c r="A148" s="100" t="n"/>
      <c r="B148" s="100" t="n"/>
      <c r="C148" s="100" t="n"/>
      <c r="D148" s="100" t="n"/>
      <c r="E148" s="100" t="n"/>
      <c r="F148" s="100" t="n"/>
      <c r="G148" s="100" t="n"/>
      <c r="H148" s="100" t="n"/>
    </row>
    <row r="149">
      <c r="A149" s="100" t="n"/>
      <c r="B149" s="100" t="n"/>
      <c r="C149" s="100" t="n"/>
      <c r="D149" s="100" t="n"/>
      <c r="E149" s="100" t="n"/>
      <c r="F149" s="100" t="n"/>
      <c r="G149" s="100" t="n"/>
      <c r="H149" s="100" t="n"/>
    </row>
    <row r="150">
      <c r="A150" s="100" t="n"/>
      <c r="B150" s="100" t="n"/>
      <c r="C150" s="100" t="n"/>
      <c r="D150" s="100" t="n"/>
      <c r="E150" s="100" t="n"/>
      <c r="F150" s="100" t="n"/>
      <c r="G150" s="100" t="n"/>
      <c r="H150" s="100" t="n"/>
    </row>
    <row r="151">
      <c r="A151" s="100" t="n"/>
      <c r="B151" s="100" t="n"/>
      <c r="C151" s="100" t="n"/>
      <c r="D151" s="100" t="n"/>
      <c r="E151" s="100" t="n"/>
      <c r="F151" s="100" t="n"/>
      <c r="G151" s="100" t="n"/>
      <c r="H151" s="100" t="n"/>
    </row>
    <row r="152">
      <c r="A152" s="100" t="n"/>
      <c r="B152" s="100" t="n"/>
      <c r="C152" s="100" t="n"/>
      <c r="D152" s="100" t="n"/>
      <c r="E152" s="100" t="n"/>
      <c r="F152" s="100" t="n"/>
      <c r="G152" s="100" t="n"/>
      <c r="H152" s="100" t="n"/>
    </row>
    <row r="153">
      <c r="A153" s="100" t="n"/>
      <c r="B153" s="100" t="n"/>
      <c r="C153" s="100" t="n"/>
      <c r="D153" s="100" t="n"/>
      <c r="E153" s="100" t="n"/>
      <c r="F153" s="100" t="n"/>
      <c r="G153" s="100" t="n"/>
      <c r="H153" s="100" t="n"/>
    </row>
    <row r="154">
      <c r="A154" s="100" t="n"/>
      <c r="B154" s="100" t="n"/>
      <c r="C154" s="100" t="n"/>
      <c r="D154" s="100" t="n"/>
      <c r="E154" s="100" t="n"/>
      <c r="F154" s="100" t="n"/>
      <c r="G154" s="100" t="n"/>
      <c r="H154" s="100" t="n"/>
    </row>
    <row r="155">
      <c r="A155" s="100" t="n"/>
      <c r="B155" s="100" t="n"/>
      <c r="C155" s="100" t="n"/>
      <c r="D155" s="100" t="n"/>
      <c r="E155" s="100" t="n"/>
      <c r="F155" s="100" t="n"/>
      <c r="G155" s="100" t="n"/>
      <c r="H155" s="100" t="n"/>
    </row>
    <row r="156">
      <c r="A156" s="100" t="n"/>
      <c r="B156" s="100" t="n"/>
      <c r="C156" s="100" t="n"/>
      <c r="D156" s="100" t="n"/>
      <c r="E156" s="100" t="n"/>
      <c r="F156" s="100" t="n"/>
      <c r="G156" s="100" t="n"/>
      <c r="H156" s="100" t="n"/>
    </row>
    <row r="157">
      <c r="A157" s="100" t="n"/>
      <c r="B157" s="100" t="n"/>
      <c r="C157" s="100" t="n"/>
      <c r="D157" s="100" t="n"/>
      <c r="E157" s="100" t="n"/>
      <c r="F157" s="100" t="n"/>
      <c r="G157" s="100" t="n"/>
      <c r="H157" s="100" t="n"/>
    </row>
    <row r="158">
      <c r="A158" s="100" t="n"/>
      <c r="B158" s="100" t="n"/>
      <c r="C158" s="100" t="n"/>
      <c r="D158" s="100" t="n"/>
      <c r="E158" s="100" t="n"/>
      <c r="F158" s="100" t="n"/>
      <c r="G158" s="100" t="n"/>
      <c r="H158" s="100" t="n"/>
    </row>
    <row r="159">
      <c r="A159" s="100" t="n"/>
      <c r="B159" s="100" t="n"/>
      <c r="C159" s="100" t="n"/>
      <c r="D159" s="100" t="n"/>
      <c r="E159" s="100" t="n"/>
      <c r="F159" s="100" t="n"/>
      <c r="G159" s="100" t="n"/>
      <c r="H159" s="100" t="n"/>
    </row>
    <row r="160">
      <c r="A160" s="100" t="n"/>
      <c r="B160" s="100" t="n"/>
      <c r="C160" s="100" t="n"/>
      <c r="D160" s="100" t="n"/>
      <c r="E160" s="100" t="n"/>
      <c r="F160" s="100" t="n"/>
      <c r="G160" s="100" t="n"/>
      <c r="H160" s="100" t="n"/>
    </row>
    <row r="161">
      <c r="A161" s="100" t="n"/>
      <c r="B161" s="100" t="n"/>
      <c r="C161" s="100" t="n"/>
      <c r="D161" s="100" t="n"/>
      <c r="E161" s="100" t="n"/>
      <c r="F161" s="100" t="n"/>
      <c r="G161" s="100" t="n"/>
      <c r="H161" s="100" t="n"/>
    </row>
    <row r="162">
      <c r="A162" s="100" t="n"/>
      <c r="B162" s="100" t="n"/>
      <c r="C162" s="100" t="n"/>
      <c r="D162" s="100" t="n"/>
      <c r="E162" s="100" t="n"/>
      <c r="F162" s="100" t="n"/>
      <c r="G162" s="100" t="n"/>
      <c r="H162" s="100" t="n"/>
    </row>
    <row r="163">
      <c r="A163" s="100" t="n"/>
      <c r="B163" s="100" t="n"/>
      <c r="C163" s="100" t="n"/>
      <c r="D163" s="100" t="n"/>
      <c r="E163" s="100" t="n"/>
      <c r="F163" s="100" t="n"/>
      <c r="G163" s="100" t="n"/>
      <c r="H163" s="100" t="n"/>
    </row>
    <row r="164">
      <c r="A164" s="100" t="n"/>
      <c r="B164" s="100" t="n"/>
      <c r="C164" s="100" t="n"/>
      <c r="D164" s="100" t="n"/>
      <c r="E164" s="100" t="n"/>
      <c r="F164" s="100" t="n"/>
      <c r="G164" s="100" t="n"/>
      <c r="H164" s="100" t="n"/>
    </row>
    <row r="165">
      <c r="A165" s="100" t="n"/>
      <c r="B165" s="100" t="n"/>
      <c r="C165" s="100" t="n"/>
      <c r="D165" s="100" t="n"/>
      <c r="E165" s="100" t="n"/>
      <c r="F165" s="100" t="n"/>
      <c r="G165" s="100" t="n"/>
      <c r="H165" s="100" t="n"/>
    </row>
    <row r="166">
      <c r="A166" s="100" t="n"/>
      <c r="B166" s="100" t="n"/>
      <c r="C166" s="100" t="n"/>
      <c r="D166" s="100" t="n"/>
      <c r="E166" s="100" t="n"/>
      <c r="F166" s="100" t="n"/>
      <c r="G166" s="100" t="n"/>
      <c r="H166" s="100" t="n"/>
    </row>
    <row r="167">
      <c r="A167" s="100" t="n"/>
      <c r="B167" s="100" t="n"/>
      <c r="C167" s="100" t="n"/>
      <c r="D167" s="100" t="n"/>
      <c r="E167" s="100" t="n"/>
      <c r="F167" s="100" t="n"/>
      <c r="G167" s="100" t="n"/>
      <c r="H167" s="100" t="n"/>
    </row>
    <row r="168">
      <c r="A168" s="100" t="n"/>
      <c r="B168" s="100" t="n"/>
      <c r="C168" s="100" t="n"/>
      <c r="D168" s="100" t="n"/>
      <c r="E168" s="100" t="n"/>
      <c r="F168" s="100" t="n"/>
      <c r="G168" s="100" t="n"/>
      <c r="H168" s="100" t="n"/>
    </row>
    <row r="169">
      <c r="A169" s="100" t="n"/>
      <c r="B169" s="100" t="n"/>
      <c r="C169" s="100" t="n"/>
      <c r="D169" s="100" t="n"/>
      <c r="E169" s="100" t="n"/>
      <c r="F169" s="100" t="n"/>
      <c r="G169" s="100" t="n"/>
      <c r="H169" s="100" t="n"/>
    </row>
    <row r="170">
      <c r="A170" s="100" t="n"/>
      <c r="B170" s="100" t="n"/>
      <c r="C170" s="100" t="n"/>
      <c r="D170" s="100" t="n"/>
      <c r="E170" s="100" t="n"/>
      <c r="F170" s="100" t="n"/>
      <c r="G170" s="100" t="n"/>
      <c r="H170" s="100" t="n"/>
    </row>
    <row r="171">
      <c r="A171" s="100" t="n"/>
      <c r="B171" s="100" t="n"/>
      <c r="C171" s="100" t="n"/>
      <c r="D171" s="100" t="n"/>
      <c r="E171" s="100" t="n"/>
      <c r="F171" s="100" t="n"/>
      <c r="G171" s="100" t="n"/>
      <c r="H171" s="100" t="n"/>
    </row>
    <row r="172">
      <c r="A172" s="100" t="n"/>
      <c r="B172" s="100" t="n"/>
      <c r="C172" s="100" t="n"/>
      <c r="D172" s="100" t="n"/>
      <c r="E172" s="100" t="n"/>
      <c r="F172" s="100" t="n"/>
      <c r="G172" s="100" t="n"/>
      <c r="H172" s="100" t="n"/>
    </row>
    <row r="173">
      <c r="A173" s="100" t="n"/>
      <c r="B173" s="100" t="n"/>
      <c r="C173" s="100" t="n"/>
      <c r="D173" s="100" t="n"/>
      <c r="E173" s="100" t="n"/>
      <c r="F173" s="100" t="n"/>
      <c r="G173" s="100" t="n"/>
      <c r="H173" s="100" t="n"/>
    </row>
    <row r="174">
      <c r="A174" s="100" t="n"/>
      <c r="B174" s="100" t="n"/>
      <c r="C174" s="100" t="n"/>
      <c r="D174" s="100" t="n"/>
      <c r="E174" s="100" t="n"/>
      <c r="F174" s="100" t="n"/>
      <c r="G174" s="100" t="n"/>
      <c r="H174" s="100" t="n"/>
    </row>
    <row r="175">
      <c r="A175" s="100" t="n"/>
      <c r="B175" s="100" t="n"/>
      <c r="C175" s="100" t="n"/>
      <c r="D175" s="100" t="n"/>
      <c r="E175" s="100" t="n"/>
      <c r="F175" s="100" t="n"/>
      <c r="G175" s="100" t="n"/>
      <c r="H175" s="100" t="n"/>
    </row>
    <row r="176">
      <c r="A176" s="100" t="n"/>
      <c r="B176" s="100" t="n"/>
      <c r="C176" s="100" t="n"/>
      <c r="D176" s="100" t="n"/>
      <c r="E176" s="100" t="n"/>
      <c r="F176" s="100" t="n"/>
      <c r="G176" s="100" t="n"/>
      <c r="H176" s="100" t="n"/>
    </row>
    <row r="177">
      <c r="A177" s="100" t="n"/>
      <c r="B177" s="100" t="n"/>
      <c r="C177" s="100" t="n"/>
      <c r="D177" s="100" t="n"/>
      <c r="E177" s="100" t="n"/>
      <c r="F177" s="100" t="n"/>
      <c r="G177" s="100" t="n"/>
      <c r="H177" s="100" t="n"/>
    </row>
    <row r="178">
      <c r="A178" s="100" t="n"/>
      <c r="B178" s="100" t="n"/>
      <c r="C178" s="100" t="n"/>
      <c r="D178" s="100" t="n"/>
      <c r="E178" s="100" t="n"/>
      <c r="F178" s="100" t="n"/>
      <c r="G178" s="100" t="n"/>
      <c r="H178" s="100" t="n"/>
    </row>
    <row r="179">
      <c r="A179" s="100" t="n"/>
      <c r="B179" s="100" t="n"/>
      <c r="C179" s="100" t="n"/>
      <c r="D179" s="100" t="n"/>
      <c r="E179" s="100" t="n"/>
      <c r="F179" s="100" t="n"/>
      <c r="G179" s="100" t="n"/>
      <c r="H179" s="100" t="n"/>
    </row>
    <row r="180">
      <c r="A180" s="100" t="n"/>
      <c r="B180" s="100" t="n"/>
      <c r="C180" s="100" t="n"/>
      <c r="D180" s="100" t="n"/>
      <c r="E180" s="100" t="n"/>
      <c r="F180" s="100" t="n"/>
      <c r="G180" s="100" t="n"/>
      <c r="H180" s="100" t="n"/>
    </row>
    <row r="181">
      <c r="A181" s="100" t="n"/>
      <c r="B181" s="100" t="n"/>
      <c r="C181" s="100" t="n"/>
      <c r="D181" s="100" t="n"/>
      <c r="E181" s="100" t="n"/>
      <c r="F181" s="100" t="n"/>
      <c r="G181" s="100" t="n"/>
      <c r="H181" s="100" t="n"/>
    </row>
    <row r="182">
      <c r="A182" s="100" t="n"/>
      <c r="B182" s="100" t="n"/>
      <c r="C182" s="100" t="n"/>
      <c r="D182" s="100" t="n"/>
      <c r="E182" s="100" t="n"/>
      <c r="F182" s="100" t="n"/>
      <c r="G182" s="100" t="n"/>
      <c r="H182" s="100" t="n"/>
    </row>
    <row r="183">
      <c r="A183" s="100" t="n"/>
      <c r="B183" s="100" t="n"/>
      <c r="C183" s="100" t="n"/>
      <c r="D183" s="100" t="n"/>
      <c r="E183" s="100" t="n"/>
      <c r="F183" s="100" t="n"/>
      <c r="G183" s="100" t="n"/>
      <c r="H183" s="100" t="n"/>
    </row>
    <row r="184">
      <c r="A184" s="100" t="n"/>
      <c r="B184" s="100" t="n"/>
      <c r="C184" s="100" t="n"/>
      <c r="D184" s="100" t="n"/>
      <c r="E184" s="100" t="n"/>
      <c r="F184" s="100" t="n"/>
      <c r="G184" s="100" t="n"/>
      <c r="H184" s="100" t="n"/>
    </row>
    <row r="185">
      <c r="A185" s="100" t="n"/>
      <c r="B185" s="100" t="n"/>
      <c r="C185" s="100" t="n"/>
      <c r="D185" s="100" t="n"/>
      <c r="E185" s="100" t="n"/>
      <c r="F185" s="100" t="n"/>
      <c r="G185" s="100" t="n"/>
      <c r="H185" s="100" t="n"/>
    </row>
    <row r="186">
      <c r="A186" s="100" t="n"/>
      <c r="B186" s="100" t="n"/>
      <c r="C186" s="100" t="n"/>
      <c r="D186" s="100" t="n"/>
      <c r="E186" s="100" t="n"/>
      <c r="F186" s="100" t="n"/>
      <c r="G186" s="100" t="n"/>
      <c r="H186" s="100" t="n"/>
    </row>
    <row r="187">
      <c r="A187" s="100" t="n"/>
      <c r="B187" s="100" t="n"/>
      <c r="C187" s="100" t="n"/>
      <c r="D187" s="100" t="n"/>
      <c r="E187" s="100" t="n"/>
      <c r="F187" s="100" t="n"/>
      <c r="G187" s="100" t="n"/>
      <c r="H187" s="100" t="n"/>
    </row>
    <row r="188">
      <c r="A188" s="100" t="n"/>
      <c r="B188" s="100" t="n"/>
      <c r="C188" s="100" t="n"/>
      <c r="D188" s="100" t="n"/>
      <c r="E188" s="100" t="n"/>
      <c r="F188" s="100" t="n"/>
      <c r="G188" s="100" t="n"/>
      <c r="H188" s="100" t="n"/>
    </row>
    <row r="189">
      <c r="A189" s="100" t="n"/>
      <c r="B189" s="100" t="n"/>
      <c r="C189" s="100" t="n"/>
      <c r="D189" s="100" t="n"/>
      <c r="E189" s="100" t="n"/>
      <c r="F189" s="100" t="n"/>
      <c r="G189" s="100" t="n"/>
      <c r="H189" s="100" t="n"/>
    </row>
    <row r="190">
      <c r="A190" s="100" t="n"/>
      <c r="B190" s="100" t="n"/>
      <c r="C190" s="100" t="n"/>
      <c r="D190" s="100" t="n"/>
      <c r="E190" s="100" t="n"/>
      <c r="F190" s="100" t="n"/>
      <c r="G190" s="100" t="n"/>
      <c r="H190" s="100" t="n"/>
    </row>
    <row r="191">
      <c r="A191" s="100" t="n"/>
      <c r="B191" s="100" t="n"/>
      <c r="C191" s="100" t="n"/>
      <c r="D191" s="100" t="n"/>
      <c r="E191" s="100" t="n"/>
      <c r="F191" s="100" t="n"/>
      <c r="G191" s="100" t="n"/>
      <c r="H191" s="100" t="n"/>
    </row>
    <row r="192">
      <c r="A192" s="100" t="n"/>
      <c r="B192" s="100" t="n"/>
      <c r="C192" s="100" t="n"/>
      <c r="D192" s="100" t="n"/>
      <c r="E192" s="100" t="n"/>
      <c r="F192" s="100" t="n"/>
      <c r="G192" s="100" t="n"/>
      <c r="H192" s="100" t="n"/>
    </row>
    <row r="193">
      <c r="A193" s="100" t="n"/>
      <c r="B193" s="100" t="n"/>
      <c r="C193" s="100" t="n"/>
      <c r="D193" s="100" t="n"/>
      <c r="E193" s="100" t="n"/>
      <c r="F193" s="100" t="n"/>
      <c r="G193" s="100" t="n"/>
      <c r="H193" s="100" t="n"/>
    </row>
    <row r="194">
      <c r="A194" s="100" t="n"/>
      <c r="B194" s="100" t="n"/>
      <c r="C194" s="100" t="n"/>
      <c r="D194" s="100" t="n"/>
      <c r="E194" s="100" t="n"/>
      <c r="F194" s="100" t="n"/>
      <c r="G194" s="100" t="n"/>
      <c r="H194" s="100" t="n"/>
    </row>
    <row r="195">
      <c r="A195" s="100" t="n"/>
      <c r="B195" s="100" t="n"/>
      <c r="C195" s="100" t="n"/>
      <c r="D195" s="100" t="n"/>
      <c r="E195" s="100" t="n"/>
      <c r="F195" s="100" t="n"/>
      <c r="G195" s="100" t="n"/>
      <c r="H195" s="100" t="n"/>
    </row>
    <row r="196">
      <c r="A196" s="100" t="n"/>
      <c r="B196" s="100" t="n"/>
      <c r="C196" s="100" t="n"/>
      <c r="D196" s="100" t="n"/>
      <c r="E196" s="100" t="n"/>
      <c r="F196" s="100" t="n"/>
      <c r="G196" s="100" t="n"/>
      <c r="H196" s="100" t="n"/>
    </row>
    <row r="197">
      <c r="A197" s="100" t="n"/>
      <c r="B197" s="100" t="n"/>
      <c r="C197" s="100" t="n"/>
      <c r="D197" s="100" t="n"/>
      <c r="E197" s="100" t="n"/>
      <c r="F197" s="100" t="n"/>
      <c r="G197" s="100" t="n"/>
      <c r="H197" s="100" t="n"/>
    </row>
    <row r="198">
      <c r="A198" s="100" t="n"/>
      <c r="B198" s="100" t="n"/>
      <c r="C198" s="100" t="n"/>
      <c r="D198" s="100" t="n"/>
      <c r="E198" s="100" t="n"/>
      <c r="F198" s="100" t="n"/>
      <c r="G198" s="100" t="n"/>
      <c r="H198" s="100" t="n"/>
    </row>
    <row r="199">
      <c r="A199" s="100" t="n"/>
      <c r="B199" s="100" t="n"/>
      <c r="C199" s="100" t="n"/>
      <c r="D199" s="100" t="n"/>
      <c r="E199" s="100" t="n"/>
      <c r="F199" s="100" t="n"/>
      <c r="G199" s="100" t="n"/>
      <c r="H199" s="100" t="n"/>
    </row>
    <row r="200">
      <c r="A200" s="100" t="n"/>
      <c r="B200" s="100" t="n"/>
      <c r="C200" s="100" t="n"/>
      <c r="D200" s="100" t="n"/>
      <c r="E200" s="100" t="n"/>
      <c r="F200" s="100" t="n"/>
      <c r="G200" s="100" t="n"/>
      <c r="H200" s="100" t="n"/>
    </row>
    <row r="201">
      <c r="A201" s="100" t="n"/>
      <c r="B201" s="100" t="n"/>
      <c r="C201" s="100" t="n"/>
      <c r="D201" s="100" t="n"/>
      <c r="E201" s="100" t="n"/>
      <c r="F201" s="100" t="n"/>
      <c r="G201" s="100" t="n"/>
      <c r="H201" s="100" t="n"/>
    </row>
    <row r="202">
      <c r="A202" s="100" t="n"/>
      <c r="B202" s="100" t="n"/>
      <c r="C202" s="100" t="n"/>
      <c r="D202" s="100" t="n"/>
      <c r="E202" s="100" t="n"/>
      <c r="F202" s="100" t="n"/>
      <c r="G202" s="100" t="n"/>
      <c r="H202" s="100" t="n"/>
    </row>
    <row r="203">
      <c r="A203" s="100" t="n"/>
      <c r="B203" s="100" t="n"/>
      <c r="C203" s="100" t="n"/>
      <c r="D203" s="100" t="n"/>
      <c r="E203" s="100" t="n"/>
      <c r="F203" s="100" t="n"/>
      <c r="G203" s="100" t="n"/>
      <c r="H203" s="100" t="n"/>
    </row>
    <row r="204">
      <c r="A204" s="100" t="n"/>
      <c r="B204" s="100" t="n"/>
      <c r="C204" s="100" t="n"/>
      <c r="D204" s="100" t="n"/>
      <c r="E204" s="100" t="n"/>
      <c r="F204" s="100" t="n"/>
      <c r="G204" s="100" t="n"/>
      <c r="H204" s="100" t="n"/>
    </row>
    <row r="205">
      <c r="A205" s="100" t="n"/>
      <c r="B205" s="100" t="n"/>
      <c r="C205" s="100" t="n"/>
      <c r="D205" s="100" t="n"/>
      <c r="E205" s="100" t="n"/>
      <c r="F205" s="100" t="n"/>
      <c r="G205" s="100" t="n"/>
      <c r="H205" s="100" t="n"/>
    </row>
    <row r="206">
      <c r="A206" s="100" t="n"/>
      <c r="B206" s="100" t="n"/>
      <c r="C206" s="100" t="n"/>
      <c r="D206" s="100" t="n"/>
      <c r="E206" s="100" t="n"/>
      <c r="F206" s="100" t="n"/>
      <c r="G206" s="100" t="n"/>
      <c r="H206" s="100" t="n"/>
    </row>
    <row r="207">
      <c r="A207" s="100" t="n"/>
      <c r="B207" s="100" t="n"/>
      <c r="C207" s="100" t="n"/>
      <c r="D207" s="100" t="n"/>
      <c r="E207" s="100" t="n"/>
      <c r="F207" s="100" t="n"/>
      <c r="G207" s="100" t="n"/>
      <c r="H207" s="100" t="n"/>
    </row>
    <row r="208">
      <c r="A208" s="100" t="n"/>
      <c r="B208" s="100" t="n"/>
      <c r="C208" s="100" t="n"/>
      <c r="D208" s="100" t="n"/>
      <c r="E208" s="100" t="n"/>
      <c r="F208" s="100" t="n"/>
      <c r="G208" s="100" t="n"/>
      <c r="H208" s="100" t="n"/>
    </row>
    <row r="209">
      <c r="A209" s="100" t="n"/>
      <c r="B209" s="100" t="n"/>
      <c r="C209" s="100" t="n"/>
      <c r="D209" s="100" t="n"/>
      <c r="E209" s="100" t="n"/>
      <c r="F209" s="100" t="n"/>
      <c r="G209" s="100" t="n"/>
      <c r="H209" s="100" t="n"/>
    </row>
    <row r="210">
      <c r="A210" s="100" t="n"/>
      <c r="B210" s="100" t="n"/>
      <c r="C210" s="100" t="n"/>
      <c r="D210" s="100" t="n"/>
      <c r="E210" s="100" t="n"/>
      <c r="F210" s="100" t="n"/>
      <c r="G210" s="100" t="n"/>
      <c r="H210" s="100" t="n"/>
    </row>
    <row r="211">
      <c r="A211" s="100" t="n"/>
      <c r="B211" s="100" t="n"/>
      <c r="C211" s="100" t="n"/>
      <c r="D211" s="100" t="n"/>
      <c r="E211" s="100" t="n"/>
      <c r="F211" s="100" t="n"/>
      <c r="G211" s="100" t="n"/>
      <c r="H211" s="100" t="n"/>
    </row>
    <row r="212">
      <c r="A212" s="100" t="n"/>
      <c r="B212" s="100" t="n"/>
      <c r="C212" s="100" t="n"/>
      <c r="D212" s="100" t="n"/>
      <c r="E212" s="100" t="n"/>
      <c r="F212" s="100" t="n"/>
      <c r="G212" s="100" t="n"/>
      <c r="H212" s="100" t="n"/>
    </row>
    <row r="213">
      <c r="A213" s="100" t="n"/>
      <c r="B213" s="100" t="n"/>
      <c r="C213" s="100" t="n"/>
      <c r="D213" s="100" t="n"/>
      <c r="E213" s="100" t="n"/>
      <c r="F213" s="100" t="n"/>
      <c r="G213" s="100" t="n"/>
      <c r="H213" s="100" t="n"/>
    </row>
    <row r="214">
      <c r="A214" s="100" t="n"/>
      <c r="B214" s="100" t="n"/>
      <c r="C214" s="100" t="n"/>
      <c r="D214" s="100" t="n"/>
      <c r="E214" s="100" t="n"/>
      <c r="F214" s="100" t="n"/>
      <c r="G214" s="100" t="n"/>
      <c r="H214" s="100" t="n"/>
    </row>
    <row r="215">
      <c r="A215" s="100" t="n"/>
      <c r="B215" s="100" t="n"/>
      <c r="C215" s="100" t="n"/>
      <c r="D215" s="100" t="n"/>
      <c r="E215" s="100" t="n"/>
      <c r="F215" s="100" t="n"/>
      <c r="G215" s="100" t="n"/>
      <c r="H215" s="100" t="n"/>
    </row>
    <row r="216">
      <c r="A216" s="100" t="n"/>
      <c r="B216" s="100" t="n"/>
      <c r="C216" s="100" t="n"/>
      <c r="D216" s="100" t="n"/>
      <c r="E216" s="100" t="n"/>
      <c r="F216" s="100" t="n"/>
      <c r="G216" s="100" t="n"/>
      <c r="H216" s="100" t="n"/>
    </row>
    <row r="217">
      <c r="A217" s="100" t="n"/>
      <c r="B217" s="100" t="n"/>
      <c r="C217" s="100" t="n"/>
      <c r="D217" s="100" t="n"/>
      <c r="E217" s="100" t="n"/>
      <c r="F217" s="100" t="n"/>
      <c r="G217" s="100" t="n"/>
      <c r="H217" s="100" t="n"/>
    </row>
    <row r="218">
      <c r="A218" s="100" t="n"/>
      <c r="B218" s="100" t="n"/>
      <c r="C218" s="100" t="n"/>
      <c r="D218" s="100" t="n"/>
      <c r="E218" s="100" t="n"/>
      <c r="F218" s="100" t="n"/>
      <c r="G218" s="100" t="n"/>
      <c r="H218" s="100" t="n"/>
    </row>
    <row r="219">
      <c r="A219" s="100" t="n"/>
      <c r="B219" s="100" t="n"/>
      <c r="C219" s="100" t="n"/>
      <c r="D219" s="100" t="n"/>
      <c r="E219" s="100" t="n"/>
      <c r="F219" s="100" t="n"/>
      <c r="G219" s="100" t="n"/>
      <c r="H219" s="100" t="n"/>
    </row>
    <row r="220">
      <c r="A220" s="100" t="n"/>
      <c r="B220" s="100" t="n"/>
      <c r="C220" s="100" t="n"/>
      <c r="D220" s="100" t="n"/>
      <c r="E220" s="100" t="n"/>
      <c r="F220" s="100" t="n"/>
      <c r="G220" s="100" t="n"/>
      <c r="H220" s="100" t="n"/>
    </row>
    <row r="221">
      <c r="A221" s="100" t="n"/>
      <c r="B221" s="100" t="n"/>
      <c r="C221" s="100" t="n"/>
      <c r="D221" s="100" t="n"/>
      <c r="E221" s="100" t="n"/>
      <c r="F221" s="100" t="n"/>
      <c r="G221" s="100" t="n"/>
      <c r="H221" s="100" t="n"/>
    </row>
    <row r="222">
      <c r="A222" s="100" t="n"/>
      <c r="B222" s="100" t="n"/>
      <c r="C222" s="100" t="n"/>
      <c r="D222" s="100" t="n"/>
      <c r="E222" s="100" t="n"/>
      <c r="F222" s="100" t="n"/>
      <c r="G222" s="100" t="n"/>
      <c r="H222" s="100" t="n"/>
    </row>
    <row r="223">
      <c r="A223" s="100" t="n"/>
      <c r="B223" s="100" t="n"/>
      <c r="C223" s="100" t="n"/>
      <c r="D223" s="100" t="n"/>
      <c r="E223" s="100" t="n"/>
      <c r="F223" s="100" t="n"/>
      <c r="G223" s="100" t="n"/>
      <c r="H223" s="100" t="n"/>
    </row>
    <row r="224">
      <c r="A224" s="100" t="n"/>
      <c r="B224" s="100" t="n"/>
      <c r="C224" s="100" t="n"/>
      <c r="D224" s="100" t="n"/>
      <c r="E224" s="100" t="n"/>
      <c r="F224" s="100" t="n"/>
      <c r="G224" s="100" t="n"/>
      <c r="H224" s="100" t="n"/>
    </row>
    <row r="225">
      <c r="A225" s="100" t="n"/>
      <c r="B225" s="100" t="n"/>
      <c r="C225" s="100" t="n"/>
      <c r="D225" s="100" t="n"/>
      <c r="E225" s="100" t="n"/>
      <c r="F225" s="100" t="n"/>
      <c r="G225" s="100" t="n"/>
      <c r="H225" s="100" t="n"/>
    </row>
    <row r="226">
      <c r="A226" s="100" t="n"/>
      <c r="B226" s="100" t="n"/>
      <c r="C226" s="100" t="n"/>
      <c r="D226" s="100" t="n"/>
      <c r="E226" s="100" t="n"/>
      <c r="F226" s="100" t="n"/>
      <c r="G226" s="100" t="n"/>
      <c r="H226" s="100" t="n"/>
    </row>
    <row r="227">
      <c r="A227" s="100" t="n"/>
      <c r="B227" s="100" t="n"/>
      <c r="C227" s="100" t="n"/>
      <c r="D227" s="100" t="n"/>
      <c r="E227" s="100" t="n"/>
      <c r="F227" s="100" t="n"/>
      <c r="G227" s="100" t="n"/>
      <c r="H227" s="100" t="n"/>
    </row>
    <row r="228">
      <c r="A228" s="100" t="n"/>
      <c r="B228" s="100" t="n"/>
      <c r="C228" s="100" t="n"/>
      <c r="D228" s="100" t="n"/>
      <c r="E228" s="100" t="n"/>
      <c r="F228" s="100" t="n"/>
      <c r="G228" s="100" t="n"/>
      <c r="H228" s="100" t="n"/>
    </row>
    <row r="229">
      <c r="A229" s="100" t="n"/>
      <c r="B229" s="100" t="n"/>
      <c r="C229" s="100" t="n"/>
      <c r="D229" s="100" t="n"/>
      <c r="E229" s="100" t="n"/>
      <c r="F229" s="100" t="n"/>
      <c r="G229" s="100" t="n"/>
      <c r="H229" s="100" t="n"/>
    </row>
    <row r="230">
      <c r="A230" s="100" t="n"/>
      <c r="B230" s="100" t="n"/>
      <c r="C230" s="100" t="n"/>
      <c r="D230" s="100" t="n"/>
      <c r="E230" s="100" t="n"/>
      <c r="F230" s="100" t="n"/>
      <c r="G230" s="100" t="n"/>
      <c r="H230" s="100" t="n"/>
    </row>
    <row r="231">
      <c r="A231" s="100" t="n"/>
      <c r="B231" s="100" t="n"/>
      <c r="C231" s="100" t="n"/>
      <c r="D231" s="100" t="n"/>
      <c r="E231" s="100" t="n"/>
      <c r="F231" s="100" t="n"/>
      <c r="G231" s="100" t="n"/>
      <c r="H231" s="100" t="n"/>
    </row>
    <row r="232">
      <c r="A232" s="100" t="n"/>
      <c r="B232" s="100" t="n"/>
      <c r="C232" s="100" t="n"/>
      <c r="D232" s="100" t="n"/>
      <c r="E232" s="100" t="n"/>
      <c r="F232" s="100" t="n"/>
      <c r="G232" s="100" t="n"/>
      <c r="H232" s="100" t="n"/>
    </row>
    <row r="233">
      <c r="A233" s="100" t="n"/>
      <c r="B233" s="100" t="n"/>
      <c r="C233" s="100" t="n"/>
      <c r="D233" s="100" t="n"/>
      <c r="E233" s="100" t="n"/>
      <c r="F233" s="100" t="n"/>
      <c r="G233" s="100" t="n"/>
      <c r="H233" s="100" t="n"/>
    </row>
    <row r="234">
      <c r="A234" s="100" t="n"/>
      <c r="B234" s="100" t="n"/>
      <c r="C234" s="100" t="n"/>
      <c r="D234" s="100" t="n"/>
      <c r="E234" s="100" t="n"/>
      <c r="F234" s="100" t="n"/>
      <c r="G234" s="100" t="n"/>
      <c r="H234" s="100" t="n"/>
    </row>
    <row r="235">
      <c r="A235" s="100" t="n"/>
      <c r="B235" s="100" t="n"/>
      <c r="C235" s="100" t="n"/>
      <c r="D235" s="100" t="n"/>
      <c r="E235" s="100" t="n"/>
      <c r="F235" s="100" t="n"/>
      <c r="G235" s="100" t="n"/>
      <c r="H235" s="100" t="n"/>
    </row>
    <row r="236">
      <c r="A236" s="100" t="n"/>
      <c r="B236" s="100" t="n"/>
      <c r="C236" s="100" t="n"/>
      <c r="D236" s="100" t="n"/>
      <c r="E236" s="100" t="n"/>
      <c r="F236" s="100" t="n"/>
      <c r="G236" s="100" t="n"/>
      <c r="H236" s="100" t="n"/>
    </row>
    <row r="237">
      <c r="A237" s="100" t="n"/>
      <c r="B237" s="100" t="n"/>
      <c r="C237" s="100" t="n"/>
      <c r="D237" s="100" t="n"/>
      <c r="E237" s="100" t="n"/>
      <c r="F237" s="100" t="n"/>
      <c r="G237" s="100" t="n"/>
      <c r="H237" s="100" t="n"/>
    </row>
    <row r="238">
      <c r="A238" s="100" t="n"/>
      <c r="B238" s="100" t="n"/>
      <c r="C238" s="100" t="n"/>
      <c r="D238" s="100" t="n"/>
      <c r="E238" s="100" t="n"/>
      <c r="F238" s="100" t="n"/>
      <c r="G238" s="100" t="n"/>
      <c r="H238" s="100" t="n"/>
    </row>
    <row r="239">
      <c r="A239" s="100" t="n"/>
      <c r="B239" s="100" t="n"/>
      <c r="C239" s="100" t="n"/>
      <c r="D239" s="100" t="n"/>
      <c r="E239" s="100" t="n"/>
      <c r="F239" s="100" t="n"/>
      <c r="G239" s="100" t="n"/>
      <c r="H239" s="100" t="n"/>
    </row>
    <row r="240">
      <c r="A240" s="100" t="n"/>
      <c r="B240" s="100" t="n"/>
      <c r="C240" s="100" t="n"/>
      <c r="D240" s="100" t="n"/>
      <c r="E240" s="100" t="n"/>
      <c r="F240" s="100" t="n"/>
      <c r="G240" s="100" t="n"/>
      <c r="H240" s="100" t="n"/>
    </row>
    <row r="241">
      <c r="A241" s="100" t="n"/>
      <c r="B241" s="100" t="n"/>
      <c r="C241" s="100" t="n"/>
      <c r="D241" s="100" t="n"/>
      <c r="E241" s="100" t="n"/>
      <c r="F241" s="100" t="n"/>
      <c r="G241" s="100" t="n"/>
      <c r="H241" s="100" t="n"/>
    </row>
    <row r="242">
      <c r="A242" s="100" t="n"/>
      <c r="B242" s="100" t="n"/>
      <c r="C242" s="100" t="n"/>
      <c r="D242" s="100" t="n"/>
      <c r="E242" s="100" t="n"/>
      <c r="F242" s="100" t="n"/>
      <c r="G242" s="100" t="n"/>
      <c r="H242" s="100" t="n"/>
    </row>
    <row r="243">
      <c r="A243" s="100" t="n"/>
      <c r="B243" s="100" t="n"/>
      <c r="C243" s="100" t="n"/>
      <c r="D243" s="100" t="n"/>
      <c r="E243" s="100" t="n"/>
      <c r="F243" s="100" t="n"/>
      <c r="G243" s="100" t="n"/>
      <c r="H243" s="100" t="n"/>
    </row>
    <row r="244">
      <c r="A244" s="100" t="n"/>
      <c r="B244" s="100" t="n"/>
      <c r="C244" s="100" t="n"/>
      <c r="D244" s="100" t="n"/>
      <c r="E244" s="100" t="n"/>
      <c r="F244" s="100" t="n"/>
      <c r="G244" s="100" t="n"/>
      <c r="H244" s="100" t="n"/>
    </row>
    <row r="245">
      <c r="A245" s="100" t="n"/>
      <c r="B245" s="100" t="n"/>
      <c r="C245" s="100" t="n"/>
      <c r="D245" s="100" t="n"/>
      <c r="E245" s="100" t="n"/>
      <c r="F245" s="100" t="n"/>
      <c r="G245" s="100" t="n"/>
      <c r="H245" s="100" t="n"/>
    </row>
    <row r="246">
      <c r="A246" s="100" t="n"/>
      <c r="B246" s="100" t="n"/>
      <c r="C246" s="100" t="n"/>
      <c r="D246" s="100" t="n"/>
      <c r="E246" s="100" t="n"/>
      <c r="F246" s="100" t="n"/>
      <c r="G246" s="100" t="n"/>
      <c r="H246" s="100" t="n"/>
    </row>
    <row r="247">
      <c r="A247" s="100" t="n"/>
      <c r="B247" s="100" t="n"/>
      <c r="C247" s="100" t="n"/>
      <c r="D247" s="100" t="n"/>
      <c r="E247" s="100" t="n"/>
      <c r="F247" s="100" t="n"/>
      <c r="G247" s="100" t="n"/>
      <c r="H247" s="100" t="n"/>
    </row>
    <row r="248">
      <c r="A248" s="100" t="n"/>
      <c r="B248" s="100" t="n"/>
      <c r="C248" s="100" t="n"/>
      <c r="D248" s="100" t="n"/>
      <c r="E248" s="100" t="n"/>
      <c r="F248" s="100" t="n"/>
      <c r="G248" s="100" t="n"/>
      <c r="H248" s="100" t="n"/>
    </row>
    <row r="249">
      <c r="A249" s="100" t="n"/>
      <c r="B249" s="100" t="n"/>
      <c r="C249" s="100" t="n"/>
      <c r="D249" s="100" t="n"/>
      <c r="E249" s="100" t="n"/>
      <c r="F249" s="100" t="n"/>
      <c r="G249" s="100" t="n"/>
      <c r="H249" s="100" t="n"/>
    </row>
    <row r="250">
      <c r="A250" s="100" t="n"/>
      <c r="B250" s="100" t="n"/>
      <c r="C250" s="100" t="n"/>
      <c r="D250" s="100" t="n"/>
      <c r="E250" s="100" t="n"/>
      <c r="F250" s="100" t="n"/>
      <c r="G250" s="100" t="n"/>
      <c r="H250" s="100" t="n"/>
    </row>
    <row r="251">
      <c r="A251" s="100" t="n"/>
      <c r="B251" s="100" t="n"/>
      <c r="C251" s="100" t="n"/>
      <c r="D251" s="100" t="n"/>
      <c r="E251" s="100" t="n"/>
      <c r="F251" s="100" t="n"/>
      <c r="G251" s="100" t="n"/>
      <c r="H251" s="100" t="n"/>
    </row>
    <row r="252">
      <c r="A252" s="100" t="n"/>
      <c r="B252" s="100" t="n"/>
      <c r="C252" s="100" t="n"/>
      <c r="D252" s="100" t="n"/>
      <c r="E252" s="100" t="n"/>
      <c r="F252" s="100" t="n"/>
      <c r="G252" s="100" t="n"/>
      <c r="H252" s="100" t="n"/>
    </row>
    <row r="253">
      <c r="A253" s="100" t="n"/>
      <c r="B253" s="100" t="n"/>
      <c r="C253" s="100" t="n"/>
      <c r="D253" s="100" t="n"/>
      <c r="E253" s="100" t="n"/>
      <c r="F253" s="100" t="n"/>
      <c r="G253" s="100" t="n"/>
      <c r="H253" s="100" t="n"/>
    </row>
    <row r="254">
      <c r="A254" s="100" t="n"/>
      <c r="B254" s="100" t="n"/>
      <c r="C254" s="100" t="n"/>
      <c r="D254" s="100" t="n"/>
      <c r="E254" s="100" t="n"/>
      <c r="F254" s="100" t="n"/>
      <c r="G254" s="100" t="n"/>
      <c r="H254" s="100" t="n"/>
    </row>
    <row r="255">
      <c r="A255" s="100" t="n"/>
      <c r="B255" s="100" t="n"/>
      <c r="C255" s="100" t="n"/>
      <c r="D255" s="100" t="n"/>
      <c r="E255" s="100" t="n"/>
      <c r="F255" s="100" t="n"/>
      <c r="G255" s="100" t="n"/>
      <c r="H255" s="100" t="n"/>
    </row>
    <row r="256">
      <c r="A256" s="100" t="n"/>
      <c r="B256" s="100" t="n"/>
      <c r="C256" s="100" t="n"/>
      <c r="D256" s="100" t="n"/>
      <c r="E256" s="100" t="n"/>
      <c r="F256" s="100" t="n"/>
      <c r="G256" s="100" t="n"/>
      <c r="H256" s="100" t="n"/>
    </row>
    <row r="257">
      <c r="A257" s="100" t="n"/>
      <c r="B257" s="100" t="n"/>
      <c r="C257" s="100" t="n"/>
      <c r="D257" s="100" t="n"/>
      <c r="E257" s="100" t="n"/>
      <c r="F257" s="100" t="n"/>
      <c r="G257" s="100" t="n"/>
      <c r="H257" s="100" t="n"/>
    </row>
    <row r="258">
      <c r="A258" s="100" t="n"/>
      <c r="B258" s="100" t="n"/>
      <c r="C258" s="100" t="n"/>
      <c r="D258" s="100" t="n"/>
      <c r="E258" s="100" t="n"/>
      <c r="F258" s="100" t="n"/>
      <c r="G258" s="100" t="n"/>
      <c r="H258" s="100" t="n"/>
    </row>
    <row r="259">
      <c r="A259" s="100" t="n"/>
      <c r="B259" s="100" t="n"/>
      <c r="C259" s="100" t="n"/>
      <c r="D259" s="100" t="n"/>
      <c r="E259" s="100" t="n"/>
      <c r="F259" s="100" t="n"/>
      <c r="G259" s="100" t="n"/>
      <c r="H259" s="100" t="n"/>
    </row>
    <row r="260">
      <c r="A260" s="100" t="n"/>
      <c r="B260" s="100" t="n"/>
      <c r="C260" s="100" t="n"/>
      <c r="D260" s="100" t="n"/>
      <c r="E260" s="100" t="n"/>
      <c r="F260" s="100" t="n"/>
      <c r="G260" s="100" t="n"/>
      <c r="H260" s="100" t="n"/>
    </row>
    <row r="261">
      <c r="A261" s="100" t="n"/>
      <c r="B261" s="100" t="n"/>
      <c r="C261" s="100" t="n"/>
      <c r="D261" s="100" t="n"/>
      <c r="E261" s="100" t="n"/>
      <c r="F261" s="100" t="n"/>
      <c r="G261" s="100" t="n"/>
      <c r="H261" s="100" t="n"/>
    </row>
    <row r="262">
      <c r="A262" s="100" t="n"/>
      <c r="B262" s="100" t="n"/>
      <c r="C262" s="100" t="n"/>
      <c r="D262" s="100" t="n"/>
      <c r="E262" s="100" t="n"/>
      <c r="F262" s="100" t="n"/>
      <c r="G262" s="100" t="n"/>
      <c r="H262" s="100" t="n"/>
    </row>
    <row r="263">
      <c r="A263" s="100" t="n"/>
      <c r="B263" s="100" t="n"/>
      <c r="C263" s="100" t="n"/>
      <c r="D263" s="100" t="n"/>
      <c r="E263" s="100" t="n"/>
      <c r="F263" s="100" t="n"/>
      <c r="G263" s="100" t="n"/>
      <c r="H263" s="100" t="n"/>
    </row>
    <row r="264">
      <c r="A264" s="100" t="n"/>
      <c r="B264" s="100" t="n"/>
      <c r="C264" s="100" t="n"/>
      <c r="D264" s="100" t="n"/>
      <c r="E264" s="100" t="n"/>
      <c r="F264" s="100" t="n"/>
      <c r="G264" s="100" t="n"/>
      <c r="H264" s="100" t="n"/>
    </row>
    <row r="265">
      <c r="A265" s="100" t="n"/>
      <c r="B265" s="100" t="n"/>
      <c r="C265" s="100" t="n"/>
      <c r="D265" s="100" t="n"/>
      <c r="E265" s="100" t="n"/>
      <c r="F265" s="100" t="n"/>
      <c r="G265" s="100" t="n"/>
      <c r="H265" s="100" t="n"/>
    </row>
    <row r="266">
      <c r="A266" s="100" t="n"/>
      <c r="B266" s="100" t="n"/>
      <c r="C266" s="100" t="n"/>
      <c r="D266" s="100" t="n"/>
      <c r="E266" s="100" t="n"/>
      <c r="F266" s="100" t="n"/>
      <c r="G266" s="100" t="n"/>
      <c r="H266" s="100" t="n"/>
    </row>
    <row r="267">
      <c r="A267" s="100" t="n"/>
      <c r="B267" s="100" t="n"/>
      <c r="C267" s="100" t="n"/>
      <c r="D267" s="100" t="n"/>
      <c r="E267" s="100" t="n"/>
      <c r="F267" s="100" t="n"/>
      <c r="G267" s="100" t="n"/>
      <c r="H267" s="100" t="n"/>
    </row>
    <row r="268">
      <c r="A268" s="100" t="n"/>
      <c r="B268" s="100" t="n"/>
      <c r="C268" s="100" t="n"/>
      <c r="D268" s="100" t="n"/>
      <c r="E268" s="100" t="n"/>
      <c r="F268" s="100" t="n"/>
      <c r="G268" s="100" t="n"/>
      <c r="H268" s="100" t="n"/>
    </row>
    <row r="269">
      <c r="A269" s="100" t="n"/>
      <c r="B269" s="100" t="n"/>
      <c r="C269" s="100" t="n"/>
      <c r="D269" s="100" t="n"/>
      <c r="E269" s="100" t="n"/>
      <c r="F269" s="100" t="n"/>
      <c r="G269" s="100" t="n"/>
      <c r="H269" s="100" t="n"/>
    </row>
    <row r="270">
      <c r="A270" s="100" t="n"/>
      <c r="B270" s="100" t="n"/>
      <c r="C270" s="100" t="n"/>
      <c r="D270" s="100" t="n"/>
      <c r="E270" s="100" t="n"/>
      <c r="F270" s="100" t="n"/>
      <c r="G270" s="100" t="n"/>
      <c r="H270" s="100" t="n"/>
    </row>
    <row r="271">
      <c r="A271" s="100" t="n"/>
      <c r="B271" s="100" t="n"/>
      <c r="C271" s="100" t="n"/>
      <c r="D271" s="100" t="n"/>
      <c r="E271" s="100" t="n"/>
      <c r="F271" s="100" t="n"/>
      <c r="G271" s="100" t="n"/>
      <c r="H271" s="100" t="n"/>
    </row>
    <row r="272">
      <c r="A272" s="100" t="n"/>
      <c r="B272" s="100" t="n"/>
      <c r="C272" s="100" t="n"/>
      <c r="D272" s="100" t="n"/>
      <c r="E272" s="100" t="n"/>
      <c r="F272" s="100" t="n"/>
      <c r="G272" s="100" t="n"/>
      <c r="H272" s="100" t="n"/>
    </row>
    <row r="273">
      <c r="A273" s="100" t="n"/>
      <c r="B273" s="100" t="n"/>
      <c r="C273" s="100" t="n"/>
      <c r="D273" s="100" t="n"/>
      <c r="E273" s="100" t="n"/>
      <c r="F273" s="100" t="n"/>
      <c r="G273" s="100" t="n"/>
      <c r="H273" s="100" t="n"/>
    </row>
    <row r="274">
      <c r="A274" s="100" t="n"/>
      <c r="B274" s="100" t="n"/>
      <c r="C274" s="100" t="n"/>
      <c r="D274" s="100" t="n"/>
      <c r="E274" s="100" t="n"/>
      <c r="F274" s="100" t="n"/>
      <c r="G274" s="100" t="n"/>
      <c r="H274" s="100" t="n"/>
    </row>
    <row r="275">
      <c r="A275" s="100" t="n"/>
      <c r="B275" s="100" t="n"/>
      <c r="C275" s="100" t="n"/>
      <c r="D275" s="100" t="n"/>
      <c r="E275" s="100" t="n"/>
      <c r="F275" s="100" t="n"/>
      <c r="G275" s="100" t="n"/>
      <c r="H275" s="100" t="n"/>
    </row>
    <row r="276">
      <c r="A276" s="100" t="n"/>
      <c r="B276" s="100" t="n"/>
      <c r="C276" s="100" t="n"/>
      <c r="D276" s="100" t="n"/>
      <c r="E276" s="100" t="n"/>
      <c r="F276" s="100" t="n"/>
      <c r="G276" s="100" t="n"/>
      <c r="H276" s="100" t="n"/>
    </row>
    <row r="277">
      <c r="A277" s="100" t="n"/>
      <c r="B277" s="100" t="n"/>
      <c r="C277" s="100" t="n"/>
      <c r="D277" s="100" t="n"/>
      <c r="E277" s="100" t="n"/>
      <c r="F277" s="100" t="n"/>
      <c r="G277" s="100" t="n"/>
      <c r="H277" s="100" t="n"/>
    </row>
    <row r="278">
      <c r="A278" s="100" t="n"/>
      <c r="B278" s="100" t="n"/>
      <c r="C278" s="100" t="n"/>
      <c r="D278" s="100" t="n"/>
      <c r="E278" s="100" t="n"/>
      <c r="F278" s="100" t="n"/>
      <c r="G278" s="100" t="n"/>
      <c r="H278" s="100" t="n"/>
    </row>
    <row r="279">
      <c r="A279" s="100" t="n"/>
      <c r="B279" s="100" t="n"/>
      <c r="C279" s="100" t="n"/>
      <c r="D279" s="100" t="n"/>
      <c r="E279" s="100" t="n"/>
      <c r="F279" s="100" t="n"/>
      <c r="G279" s="100" t="n"/>
      <c r="H279" s="100" t="n"/>
    </row>
    <row r="280">
      <c r="A280" s="100" t="n"/>
      <c r="B280" s="100" t="n"/>
      <c r="C280" s="100" t="n"/>
      <c r="D280" s="100" t="n"/>
      <c r="E280" s="100" t="n"/>
      <c r="F280" s="100" t="n"/>
      <c r="G280" s="100" t="n"/>
      <c r="H280" s="100" t="n"/>
    </row>
    <row r="281">
      <c r="A281" s="100" t="n"/>
      <c r="B281" s="100" t="n"/>
      <c r="C281" s="100" t="n"/>
      <c r="D281" s="100" t="n"/>
      <c r="E281" s="100" t="n"/>
      <c r="F281" s="100" t="n"/>
      <c r="G281" s="100" t="n"/>
      <c r="H281" s="100" t="n"/>
    </row>
    <row r="282">
      <c r="A282" s="100" t="n"/>
      <c r="B282" s="100" t="n"/>
      <c r="C282" s="100" t="n"/>
      <c r="D282" s="100" t="n"/>
      <c r="E282" s="100" t="n"/>
      <c r="F282" s="100" t="n"/>
      <c r="G282" s="100" t="n"/>
      <c r="H282" s="100" t="n"/>
    </row>
    <row r="283">
      <c r="A283" s="100" t="n"/>
      <c r="B283" s="100" t="n"/>
      <c r="C283" s="100" t="n"/>
      <c r="D283" s="100" t="n"/>
      <c r="E283" s="100" t="n"/>
      <c r="F283" s="100" t="n"/>
      <c r="G283" s="100" t="n"/>
      <c r="H283" s="100" t="n"/>
    </row>
    <row r="284">
      <c r="A284" s="100" t="n"/>
      <c r="B284" s="100" t="n"/>
      <c r="C284" s="100" t="n"/>
      <c r="D284" s="100" t="n"/>
      <c r="E284" s="100" t="n"/>
      <c r="F284" s="100" t="n"/>
      <c r="G284" s="100" t="n"/>
      <c r="H284" s="100" t="n"/>
    </row>
    <row r="285">
      <c r="A285" s="100" t="n"/>
      <c r="B285" s="100" t="n"/>
      <c r="C285" s="100" t="n"/>
      <c r="D285" s="100" t="n"/>
      <c r="E285" s="100" t="n"/>
      <c r="F285" s="100" t="n"/>
      <c r="G285" s="100" t="n"/>
      <c r="H285" s="100" t="n"/>
    </row>
    <row r="286">
      <c r="A286" s="100" t="n"/>
      <c r="B286" s="100" t="n"/>
      <c r="C286" s="100" t="n"/>
      <c r="D286" s="100" t="n"/>
      <c r="E286" s="100" t="n"/>
      <c r="F286" s="100" t="n"/>
      <c r="G286" s="100" t="n"/>
      <c r="H286" s="100" t="n"/>
    </row>
    <row r="287">
      <c r="A287" s="100" t="n"/>
      <c r="B287" s="100" t="n"/>
      <c r="C287" s="100" t="n"/>
      <c r="D287" s="100" t="n"/>
      <c r="E287" s="100" t="n"/>
      <c r="F287" s="100" t="n"/>
      <c r="G287" s="100" t="n"/>
      <c r="H287" s="100" t="n"/>
    </row>
    <row r="288">
      <c r="A288" s="100" t="n"/>
      <c r="B288" s="100" t="n"/>
      <c r="C288" s="100" t="n"/>
      <c r="D288" s="100" t="n"/>
      <c r="E288" s="100" t="n"/>
      <c r="F288" s="100" t="n"/>
      <c r="G288" s="100" t="n"/>
      <c r="H288" s="100" t="n"/>
    </row>
    <row r="289">
      <c r="A289" s="100" t="n"/>
      <c r="B289" s="100" t="n"/>
      <c r="C289" s="100" t="n"/>
      <c r="D289" s="100" t="n"/>
      <c r="E289" s="100" t="n"/>
      <c r="F289" s="100" t="n"/>
      <c r="G289" s="100" t="n"/>
      <c r="H289" s="100" t="n"/>
    </row>
    <row r="290">
      <c r="A290" s="100" t="n"/>
      <c r="B290" s="100" t="n"/>
      <c r="C290" s="100" t="n"/>
      <c r="D290" s="100" t="n"/>
      <c r="E290" s="100" t="n"/>
      <c r="F290" s="100" t="n"/>
      <c r="G290" s="100" t="n"/>
      <c r="H290" s="100" t="n"/>
    </row>
    <row r="291">
      <c r="A291" s="100" t="n"/>
      <c r="B291" s="100" t="n"/>
      <c r="C291" s="100" t="n"/>
      <c r="D291" s="100" t="n"/>
      <c r="E291" s="100" t="n"/>
      <c r="F291" s="100" t="n"/>
      <c r="G291" s="100" t="n"/>
      <c r="H291" s="100" t="n"/>
    </row>
    <row r="292">
      <c r="A292" s="100" t="n"/>
      <c r="B292" s="100" t="n"/>
      <c r="C292" s="100" t="n"/>
      <c r="D292" s="100" t="n"/>
      <c r="E292" s="100" t="n"/>
      <c r="F292" s="100" t="n"/>
      <c r="G292" s="100" t="n"/>
      <c r="H292" s="100" t="n"/>
    </row>
    <row r="293">
      <c r="A293" s="100" t="n"/>
      <c r="B293" s="100" t="n"/>
      <c r="C293" s="100" t="n"/>
      <c r="D293" s="100" t="n"/>
      <c r="E293" s="100" t="n"/>
      <c r="F293" s="100" t="n"/>
      <c r="G293" s="100" t="n"/>
      <c r="H293" s="100" t="n"/>
    </row>
    <row r="294">
      <c r="A294" s="100" t="n"/>
      <c r="B294" s="100" t="n"/>
      <c r="C294" s="100" t="n"/>
      <c r="D294" s="100" t="n"/>
      <c r="E294" s="100" t="n"/>
      <c r="F294" s="100" t="n"/>
      <c r="G294" s="100" t="n"/>
      <c r="H294" s="100" t="n"/>
    </row>
    <row r="295">
      <c r="A295" s="100" t="n"/>
      <c r="B295" s="100" t="n"/>
      <c r="C295" s="100" t="n"/>
      <c r="D295" s="100" t="n"/>
      <c r="E295" s="100" t="n"/>
      <c r="F295" s="100" t="n"/>
      <c r="G295" s="100" t="n"/>
      <c r="H295" s="100" t="n"/>
    </row>
    <row r="296">
      <c r="A296" s="100" t="n"/>
      <c r="B296" s="100" t="n"/>
      <c r="C296" s="100" t="n"/>
      <c r="D296" s="100" t="n"/>
      <c r="E296" s="100" t="n"/>
      <c r="F296" s="100" t="n"/>
      <c r="G296" s="100" t="n"/>
      <c r="H296" s="100" t="n"/>
    </row>
    <row r="297">
      <c r="A297" s="100" t="n"/>
      <c r="B297" s="100" t="n"/>
      <c r="C297" s="100" t="n"/>
      <c r="D297" s="100" t="n"/>
      <c r="E297" s="100" t="n"/>
      <c r="F297" s="100" t="n"/>
      <c r="G297" s="100" t="n"/>
      <c r="H297" s="100" t="n"/>
    </row>
    <row r="298">
      <c r="A298" s="100" t="n"/>
      <c r="B298" s="100" t="n"/>
      <c r="C298" s="100" t="n"/>
      <c r="D298" s="100" t="n"/>
      <c r="E298" s="100" t="n"/>
      <c r="F298" s="100" t="n"/>
      <c r="G298" s="100" t="n"/>
      <c r="H298" s="100" t="n"/>
    </row>
    <row r="299">
      <c r="A299" s="100" t="n"/>
      <c r="B299" s="100" t="n"/>
      <c r="C299" s="100" t="n"/>
      <c r="D299" s="100" t="n"/>
      <c r="E299" s="100" t="n"/>
      <c r="F299" s="100" t="n"/>
      <c r="G299" s="100" t="n"/>
      <c r="H299" s="100" t="n"/>
    </row>
    <row r="300">
      <c r="A300" s="100" t="n"/>
      <c r="B300" s="100" t="n"/>
      <c r="C300" s="100" t="n"/>
      <c r="D300" s="100" t="n"/>
      <c r="E300" s="100" t="n"/>
      <c r="F300" s="100" t="n"/>
      <c r="G300" s="100" t="n"/>
      <c r="H300" s="100" t="n"/>
    </row>
    <row r="301">
      <c r="A301" s="100" t="n"/>
      <c r="B301" s="100" t="n"/>
      <c r="C301" s="100" t="n"/>
      <c r="D301" s="100" t="n"/>
      <c r="E301" s="100" t="n"/>
      <c r="F301" s="100" t="n"/>
      <c r="G301" s="100" t="n"/>
      <c r="H301" s="100" t="n"/>
    </row>
    <row r="302">
      <c r="A302" s="100" t="n"/>
      <c r="B302" s="100" t="n"/>
      <c r="C302" s="100" t="n"/>
      <c r="D302" s="100" t="n"/>
      <c r="E302" s="100" t="n"/>
      <c r="F302" s="100" t="n"/>
      <c r="G302" s="100" t="n"/>
      <c r="H302" s="100" t="n"/>
    </row>
    <row r="303">
      <c r="A303" s="100" t="n"/>
      <c r="B303" s="100" t="n"/>
      <c r="C303" s="100" t="n"/>
      <c r="D303" s="100" t="n"/>
      <c r="E303" s="100" t="n"/>
      <c r="F303" s="100" t="n"/>
      <c r="G303" s="100" t="n"/>
      <c r="H303" s="100" t="n"/>
    </row>
    <row r="304">
      <c r="A304" s="100" t="n"/>
      <c r="B304" s="100" t="n"/>
      <c r="C304" s="100" t="n"/>
      <c r="D304" s="100" t="n"/>
      <c r="E304" s="100" t="n"/>
      <c r="F304" s="100" t="n"/>
      <c r="G304" s="100" t="n"/>
      <c r="H304" s="100" t="n"/>
    </row>
    <row r="305">
      <c r="A305" s="100" t="n"/>
      <c r="B305" s="100" t="n"/>
      <c r="C305" s="100" t="n"/>
      <c r="D305" s="100" t="n"/>
      <c r="E305" s="100" t="n"/>
      <c r="F305" s="100" t="n"/>
      <c r="G305" s="100" t="n"/>
      <c r="H305" s="100" t="n"/>
    </row>
    <row r="306">
      <c r="A306" s="100" t="n"/>
      <c r="B306" s="100" t="n"/>
      <c r="C306" s="100" t="n"/>
      <c r="D306" s="100" t="n"/>
      <c r="E306" s="100" t="n"/>
      <c r="F306" s="100" t="n"/>
      <c r="G306" s="100" t="n"/>
      <c r="H306" s="100" t="n"/>
    </row>
    <row r="307">
      <c r="A307" s="100" t="n"/>
      <c r="B307" s="100" t="n"/>
      <c r="C307" s="100" t="n"/>
      <c r="D307" s="100" t="n"/>
      <c r="E307" s="100" t="n"/>
      <c r="F307" s="100" t="n"/>
      <c r="G307" s="100" t="n"/>
      <c r="H307" s="100" t="n"/>
    </row>
    <row r="308">
      <c r="A308" s="100" t="n"/>
      <c r="B308" s="100" t="n"/>
      <c r="C308" s="100" t="n"/>
      <c r="D308" s="100" t="n"/>
      <c r="E308" s="100" t="n"/>
      <c r="F308" s="100" t="n"/>
      <c r="G308" s="100" t="n"/>
      <c r="H308" s="100" t="n"/>
    </row>
    <row r="309">
      <c r="A309" s="100" t="n"/>
      <c r="B309" s="100" t="n"/>
      <c r="C309" s="100" t="n"/>
      <c r="D309" s="100" t="n"/>
      <c r="E309" s="100" t="n"/>
      <c r="F309" s="100" t="n"/>
      <c r="G309" s="100" t="n"/>
      <c r="H309" s="100" t="n"/>
    </row>
    <row r="310">
      <c r="A310" s="100" t="n"/>
      <c r="B310" s="100" t="n"/>
      <c r="C310" s="100" t="n"/>
      <c r="D310" s="100" t="n"/>
      <c r="E310" s="100" t="n"/>
      <c r="F310" s="100" t="n"/>
      <c r="G310" s="100" t="n"/>
      <c r="H310" s="100" t="n"/>
    </row>
    <row r="311">
      <c r="A311" s="100" t="n"/>
      <c r="B311" s="100" t="n"/>
      <c r="C311" s="100" t="n"/>
      <c r="D311" s="100" t="n"/>
      <c r="E311" s="100" t="n"/>
      <c r="F311" s="100" t="n"/>
      <c r="G311" s="100" t="n"/>
      <c r="H311" s="100" t="n"/>
    </row>
    <row r="312">
      <c r="A312" s="100" t="n"/>
      <c r="B312" s="100" t="n"/>
      <c r="C312" s="100" t="n"/>
      <c r="D312" s="100" t="n"/>
      <c r="E312" s="100" t="n"/>
      <c r="F312" s="100" t="n"/>
      <c r="G312" s="100" t="n"/>
      <c r="H312" s="100" t="n"/>
    </row>
    <row r="313">
      <c r="A313" s="100" t="n"/>
      <c r="B313" s="100" t="n"/>
      <c r="C313" s="100" t="n"/>
      <c r="D313" s="100" t="n"/>
      <c r="E313" s="100" t="n"/>
      <c r="F313" s="100" t="n"/>
      <c r="G313" s="100" t="n"/>
      <c r="H313" s="100" t="n"/>
    </row>
    <row r="314">
      <c r="A314" s="100" t="n"/>
      <c r="B314" s="100" t="n"/>
      <c r="C314" s="100" t="n"/>
      <c r="D314" s="100" t="n"/>
      <c r="E314" s="100" t="n"/>
      <c r="F314" s="100" t="n"/>
      <c r="G314" s="100" t="n"/>
      <c r="H314" s="100" t="n"/>
    </row>
    <row r="315">
      <c r="A315" s="100" t="n"/>
      <c r="B315" s="100" t="n"/>
      <c r="C315" s="100" t="n"/>
      <c r="D315" s="100" t="n"/>
      <c r="E315" s="100" t="n"/>
      <c r="F315" s="100" t="n"/>
      <c r="G315" s="100" t="n"/>
      <c r="H315" s="100" t="n"/>
    </row>
    <row r="316">
      <c r="A316" s="100" t="n"/>
      <c r="B316" s="100" t="n"/>
      <c r="C316" s="100" t="n"/>
      <c r="D316" s="100" t="n"/>
      <c r="E316" s="100" t="n"/>
      <c r="F316" s="100" t="n"/>
      <c r="G316" s="100" t="n"/>
      <c r="H316" s="100" t="n"/>
    </row>
    <row r="317">
      <c r="A317" s="100" t="n"/>
      <c r="B317" s="100" t="n"/>
      <c r="C317" s="100" t="n"/>
      <c r="D317" s="100" t="n"/>
      <c r="E317" s="100" t="n"/>
      <c r="F317" s="100" t="n"/>
      <c r="G317" s="100" t="n"/>
      <c r="H317" s="100" t="n"/>
    </row>
    <row r="318">
      <c r="A318" s="100" t="n"/>
      <c r="B318" s="100" t="n"/>
      <c r="C318" s="100" t="n"/>
      <c r="D318" s="100" t="n"/>
      <c r="E318" s="100" t="n"/>
      <c r="F318" s="100" t="n"/>
      <c r="G318" s="100" t="n"/>
      <c r="H318" s="100" t="n"/>
    </row>
    <row r="319">
      <c r="A319" s="100" t="n"/>
      <c r="B319" s="100" t="n"/>
      <c r="C319" s="100" t="n"/>
      <c r="D319" s="100" t="n"/>
      <c r="E319" s="100" t="n"/>
      <c r="F319" s="100" t="n"/>
      <c r="G319" s="100" t="n"/>
      <c r="H319" s="100" t="n"/>
    </row>
    <row r="320">
      <c r="A320" s="100" t="n"/>
      <c r="B320" s="100" t="n"/>
      <c r="C320" s="100" t="n"/>
      <c r="D320" s="100" t="n"/>
      <c r="E320" s="100" t="n"/>
      <c r="F320" s="100" t="n"/>
      <c r="G320" s="100" t="n"/>
      <c r="H320" s="100" t="n"/>
    </row>
    <row r="321">
      <c r="A321" s="100" t="n"/>
      <c r="B321" s="100" t="n"/>
      <c r="C321" s="100" t="n"/>
      <c r="D321" s="100" t="n"/>
      <c r="E321" s="100" t="n"/>
      <c r="F321" s="100" t="n"/>
      <c r="G321" s="100" t="n"/>
      <c r="H321" s="100" t="n"/>
    </row>
    <row r="322">
      <c r="A322" s="100" t="n"/>
      <c r="B322" s="100" t="n"/>
      <c r="C322" s="100" t="n"/>
      <c r="D322" s="100" t="n"/>
      <c r="E322" s="100" t="n"/>
      <c r="F322" s="100" t="n"/>
      <c r="G322" s="100" t="n"/>
      <c r="H322" s="100" t="n"/>
    </row>
    <row r="323">
      <c r="A323" s="100" t="n"/>
      <c r="B323" s="100" t="n"/>
      <c r="C323" s="100" t="n"/>
      <c r="D323" s="100" t="n"/>
      <c r="E323" s="100" t="n"/>
      <c r="F323" s="100" t="n"/>
      <c r="G323" s="100" t="n"/>
      <c r="H323" s="100" t="n"/>
    </row>
    <row r="324">
      <c r="A324" s="100" t="n"/>
      <c r="B324" s="100" t="n"/>
      <c r="C324" s="100" t="n"/>
      <c r="D324" s="100" t="n"/>
      <c r="E324" s="100" t="n"/>
      <c r="F324" s="100" t="n"/>
      <c r="G324" s="100" t="n"/>
      <c r="H324" s="100" t="n"/>
    </row>
    <row r="325">
      <c r="A325" s="100" t="n"/>
      <c r="B325" s="100" t="n"/>
      <c r="C325" s="100" t="n"/>
      <c r="D325" s="100" t="n"/>
      <c r="E325" s="100" t="n"/>
      <c r="F325" s="100" t="n"/>
      <c r="G325" s="100" t="n"/>
      <c r="H325" s="100" t="n"/>
    </row>
    <row r="326">
      <c r="A326" s="100" t="n"/>
      <c r="B326" s="100" t="n"/>
      <c r="C326" s="100" t="n"/>
      <c r="D326" s="100" t="n"/>
      <c r="E326" s="100" t="n"/>
      <c r="F326" s="100" t="n"/>
      <c r="G326" s="100" t="n"/>
      <c r="H326" s="100" t="n"/>
    </row>
    <row r="327">
      <c r="A327" s="100" t="n"/>
      <c r="B327" s="100" t="n"/>
      <c r="C327" s="100" t="n"/>
      <c r="D327" s="100" t="n"/>
      <c r="E327" s="100" t="n"/>
      <c r="F327" s="100" t="n"/>
      <c r="G327" s="100" t="n"/>
      <c r="H327" s="100" t="n"/>
    </row>
    <row r="328">
      <c r="A328" s="100" t="n"/>
      <c r="B328" s="100" t="n"/>
      <c r="C328" s="100" t="n"/>
      <c r="D328" s="100" t="n"/>
      <c r="E328" s="100" t="n"/>
      <c r="F328" s="100" t="n"/>
      <c r="G328" s="100" t="n"/>
      <c r="H328" s="100" t="n"/>
    </row>
    <row r="329">
      <c r="A329" s="100" t="n"/>
      <c r="B329" s="100" t="n"/>
      <c r="C329" s="100" t="n"/>
      <c r="D329" s="100" t="n"/>
      <c r="E329" s="100" t="n"/>
      <c r="F329" s="100" t="n"/>
      <c r="G329" s="100" t="n"/>
      <c r="H329" s="100" t="n"/>
    </row>
    <row r="330">
      <c r="A330" s="100" t="n"/>
      <c r="B330" s="100" t="n"/>
      <c r="C330" s="100" t="n"/>
      <c r="D330" s="100" t="n"/>
      <c r="E330" s="100" t="n"/>
      <c r="F330" s="100" t="n"/>
      <c r="G330" s="100" t="n"/>
      <c r="H330" s="100" t="n"/>
    </row>
    <row r="331">
      <c r="A331" s="100" t="n"/>
      <c r="B331" s="100" t="n"/>
      <c r="C331" s="100" t="n"/>
      <c r="D331" s="100" t="n"/>
      <c r="E331" s="100" t="n"/>
      <c r="F331" s="100" t="n"/>
      <c r="G331" s="100" t="n"/>
      <c r="H331" s="100" t="n"/>
    </row>
    <row r="332">
      <c r="A332" s="100" t="n"/>
      <c r="B332" s="100" t="n"/>
      <c r="C332" s="100" t="n"/>
      <c r="D332" s="100" t="n"/>
      <c r="E332" s="100" t="n"/>
      <c r="F332" s="100" t="n"/>
      <c r="G332" s="100" t="n"/>
      <c r="H332" s="100" t="n"/>
    </row>
    <row r="333">
      <c r="A333" s="100" t="n"/>
      <c r="B333" s="100" t="n"/>
      <c r="C333" s="100" t="n"/>
      <c r="D333" s="100" t="n"/>
      <c r="E333" s="100" t="n"/>
      <c r="F333" s="100" t="n"/>
      <c r="G333" s="100" t="n"/>
      <c r="H333" s="100" t="n"/>
    </row>
    <row r="334">
      <c r="A334" s="100" t="n"/>
      <c r="B334" s="100" t="n"/>
      <c r="C334" s="100" t="n"/>
      <c r="D334" s="100" t="n"/>
      <c r="E334" s="100" t="n"/>
      <c r="F334" s="100" t="n"/>
      <c r="G334" s="100" t="n"/>
      <c r="H334" s="100" t="n"/>
    </row>
    <row r="335">
      <c r="A335" s="100" t="n"/>
      <c r="B335" s="100" t="n"/>
      <c r="C335" s="100" t="n"/>
      <c r="D335" s="100" t="n"/>
      <c r="E335" s="100" t="n"/>
      <c r="F335" s="100" t="n"/>
      <c r="G335" s="100" t="n"/>
      <c r="H335" s="100" t="n"/>
    </row>
    <row r="336">
      <c r="A336" s="100" t="n"/>
      <c r="B336" s="100" t="n"/>
      <c r="C336" s="100" t="n"/>
      <c r="D336" s="100" t="n"/>
      <c r="E336" s="100" t="n"/>
      <c r="F336" s="100" t="n"/>
      <c r="G336" s="100" t="n"/>
      <c r="H336" s="100" t="n"/>
    </row>
    <row r="337">
      <c r="A337" s="100" t="n"/>
      <c r="B337" s="100" t="n"/>
      <c r="C337" s="100" t="n"/>
      <c r="D337" s="100" t="n"/>
      <c r="E337" s="100" t="n"/>
      <c r="F337" s="100" t="n"/>
      <c r="G337" s="100" t="n"/>
      <c r="H337" s="100" t="n"/>
    </row>
    <row r="338">
      <c r="A338" s="100" t="n"/>
      <c r="B338" s="100" t="n"/>
      <c r="C338" s="100" t="n"/>
      <c r="D338" s="100" t="n"/>
      <c r="E338" s="100" t="n"/>
      <c r="F338" s="100" t="n"/>
      <c r="G338" s="100" t="n"/>
      <c r="H338" s="100" t="n"/>
    </row>
    <row r="339">
      <c r="A339" s="100" t="n"/>
      <c r="B339" s="100" t="n"/>
      <c r="C339" s="100" t="n"/>
      <c r="D339" s="100" t="n"/>
      <c r="E339" s="100" t="n"/>
      <c r="F339" s="100" t="n"/>
      <c r="G339" s="100" t="n"/>
      <c r="H339" s="100" t="n"/>
    </row>
    <row r="340">
      <c r="A340" s="100" t="n"/>
      <c r="B340" s="100" t="n"/>
      <c r="C340" s="100" t="n"/>
      <c r="D340" s="100" t="n"/>
      <c r="E340" s="100" t="n"/>
      <c r="F340" s="100" t="n"/>
      <c r="G340" s="100" t="n"/>
      <c r="H340" s="100" t="n"/>
    </row>
    <row r="341">
      <c r="A341" s="100" t="n"/>
      <c r="B341" s="100" t="n"/>
      <c r="C341" s="100" t="n"/>
      <c r="D341" s="100" t="n"/>
      <c r="E341" s="100" t="n"/>
      <c r="F341" s="100" t="n"/>
      <c r="G341" s="100" t="n"/>
      <c r="H341" s="100" t="n"/>
    </row>
    <row r="342">
      <c r="A342" s="100" t="n"/>
      <c r="B342" s="100" t="n"/>
      <c r="C342" s="100" t="n"/>
      <c r="D342" s="100" t="n"/>
      <c r="E342" s="100" t="n"/>
      <c r="F342" s="100" t="n"/>
      <c r="G342" s="100" t="n"/>
      <c r="H342" s="100" t="n"/>
    </row>
    <row r="343">
      <c r="A343" s="100" t="n"/>
      <c r="B343" s="100" t="n"/>
      <c r="C343" s="100" t="n"/>
      <c r="D343" s="100" t="n"/>
      <c r="E343" s="100" t="n"/>
      <c r="F343" s="100" t="n"/>
      <c r="G343" s="100" t="n"/>
      <c r="H343" s="100" t="n"/>
    </row>
    <row r="344">
      <c r="A344" s="100" t="n"/>
      <c r="B344" s="100" t="n"/>
      <c r="C344" s="100" t="n"/>
      <c r="D344" s="100" t="n"/>
      <c r="E344" s="100" t="n"/>
      <c r="F344" s="100" t="n"/>
      <c r="G344" s="100" t="n"/>
      <c r="H344" s="100" t="n"/>
    </row>
    <row r="345">
      <c r="A345" s="100" t="n"/>
      <c r="B345" s="100" t="n"/>
      <c r="C345" s="100" t="n"/>
      <c r="D345" s="100" t="n"/>
      <c r="E345" s="100" t="n"/>
      <c r="F345" s="100" t="n"/>
      <c r="G345" s="100" t="n"/>
      <c r="H345" s="100" t="n"/>
    </row>
    <row r="346">
      <c r="A346" s="100" t="n"/>
      <c r="B346" s="100" t="n"/>
      <c r="C346" s="100" t="n"/>
      <c r="D346" s="100" t="n"/>
      <c r="E346" s="100" t="n"/>
      <c r="F346" s="100" t="n"/>
      <c r="G346" s="100" t="n"/>
      <c r="H346" s="100" t="n"/>
    </row>
    <row r="347">
      <c r="A347" s="100" t="n"/>
      <c r="B347" s="100" t="n"/>
      <c r="C347" s="100" t="n"/>
      <c r="D347" s="100" t="n"/>
      <c r="E347" s="100" t="n"/>
      <c r="F347" s="100" t="n"/>
      <c r="G347" s="100" t="n"/>
      <c r="H347" s="100" t="n"/>
    </row>
    <row r="348">
      <c r="A348" s="100" t="n"/>
      <c r="B348" s="100" t="n"/>
      <c r="C348" s="100" t="n"/>
      <c r="D348" s="100" t="n"/>
      <c r="E348" s="100" t="n"/>
      <c r="F348" s="100" t="n"/>
      <c r="G348" s="100" t="n"/>
      <c r="H348" s="100" t="n"/>
    </row>
    <row r="349">
      <c r="A349" s="100" t="n"/>
      <c r="B349" s="100" t="n"/>
      <c r="C349" s="100" t="n"/>
      <c r="D349" s="100" t="n"/>
      <c r="E349" s="100" t="n"/>
      <c r="F349" s="100" t="n"/>
      <c r="G349" s="100" t="n"/>
      <c r="H349" s="100" t="n"/>
    </row>
    <row r="350">
      <c r="A350" s="100" t="n"/>
      <c r="B350" s="100" t="n"/>
      <c r="C350" s="100" t="n"/>
      <c r="D350" s="100" t="n"/>
      <c r="E350" s="100" t="n"/>
      <c r="F350" s="100" t="n"/>
      <c r="G350" s="100" t="n"/>
      <c r="H350" s="100" t="n"/>
    </row>
    <row r="351">
      <c r="A351" s="100" t="n"/>
      <c r="B351" s="100" t="n"/>
      <c r="C351" s="100" t="n"/>
      <c r="D351" s="100" t="n"/>
      <c r="E351" s="100" t="n"/>
      <c r="F351" s="100" t="n"/>
      <c r="G351" s="100" t="n"/>
      <c r="H351" s="100" t="n"/>
    </row>
    <row r="352">
      <c r="A352" s="100" t="n"/>
      <c r="B352" s="100" t="n"/>
      <c r="C352" s="100" t="n"/>
      <c r="D352" s="100" t="n"/>
      <c r="E352" s="100" t="n"/>
      <c r="F352" s="100" t="n"/>
      <c r="G352" s="100" t="n"/>
      <c r="H352" s="100" t="n"/>
    </row>
    <row r="353">
      <c r="A353" s="100" t="n"/>
      <c r="B353" s="100" t="n"/>
      <c r="C353" s="100" t="n"/>
      <c r="D353" s="100" t="n"/>
      <c r="E353" s="100" t="n"/>
      <c r="F353" s="100" t="n"/>
      <c r="G353" s="100" t="n"/>
      <c r="H353" s="100" t="n"/>
    </row>
    <row r="354">
      <c r="A354" s="100" t="n"/>
      <c r="B354" s="100" t="n"/>
      <c r="C354" s="100" t="n"/>
      <c r="D354" s="100" t="n"/>
      <c r="E354" s="100" t="n"/>
      <c r="F354" s="100" t="n"/>
      <c r="G354" s="100" t="n"/>
      <c r="H354" s="100" t="n"/>
    </row>
    <row r="355">
      <c r="A355" s="100" t="n"/>
      <c r="B355" s="100" t="n"/>
      <c r="C355" s="100" t="n"/>
      <c r="D355" s="100" t="n"/>
      <c r="E355" s="100" t="n"/>
      <c r="F355" s="100" t="n"/>
      <c r="G355" s="100" t="n"/>
      <c r="H355" s="100" t="n"/>
    </row>
    <row r="356">
      <c r="A356" s="100" t="n"/>
      <c r="B356" s="100" t="n"/>
      <c r="C356" s="100" t="n"/>
      <c r="D356" s="100" t="n"/>
      <c r="E356" s="100" t="n"/>
      <c r="F356" s="100" t="n"/>
      <c r="G356" s="100" t="n"/>
      <c r="H356" s="100" t="n"/>
    </row>
    <row r="357">
      <c r="A357" s="100" t="n"/>
      <c r="B357" s="100" t="n"/>
      <c r="C357" s="100" t="n"/>
      <c r="D357" s="100" t="n"/>
      <c r="E357" s="100" t="n"/>
      <c r="F357" s="100" t="n"/>
      <c r="G357" s="100" t="n"/>
      <c r="H357" s="100" t="n"/>
    </row>
    <row r="358">
      <c r="A358" s="100" t="n"/>
      <c r="B358" s="100" t="n"/>
      <c r="C358" s="100" t="n"/>
      <c r="D358" s="100" t="n"/>
      <c r="E358" s="100" t="n"/>
      <c r="F358" s="100" t="n"/>
      <c r="G358" s="100" t="n"/>
      <c r="H358" s="100" t="n"/>
    </row>
    <row r="359">
      <c r="A359" s="100" t="n"/>
      <c r="B359" s="100" t="n"/>
      <c r="C359" s="100" t="n"/>
      <c r="D359" s="100" t="n"/>
      <c r="E359" s="100" t="n"/>
      <c r="F359" s="100" t="n"/>
      <c r="G359" s="100" t="n"/>
      <c r="H359" s="100" t="n"/>
    </row>
    <row r="360">
      <c r="A360" s="100" t="n"/>
      <c r="B360" s="100" t="n"/>
      <c r="C360" s="100" t="n"/>
      <c r="D360" s="100" t="n"/>
      <c r="E360" s="100" t="n"/>
      <c r="F360" s="100" t="n"/>
      <c r="G360" s="100" t="n"/>
      <c r="H360" s="100" t="n"/>
    </row>
    <row r="361">
      <c r="A361" s="100" t="n"/>
      <c r="B361" s="100" t="n"/>
      <c r="C361" s="100" t="n"/>
      <c r="D361" s="100" t="n"/>
      <c r="E361" s="100" t="n"/>
      <c r="F361" s="100" t="n"/>
      <c r="G361" s="100" t="n"/>
      <c r="H361" s="100" t="n"/>
    </row>
    <row r="362">
      <c r="A362" s="100" t="n"/>
      <c r="B362" s="100" t="n"/>
      <c r="C362" s="100" t="n"/>
      <c r="D362" s="100" t="n"/>
      <c r="E362" s="100" t="n"/>
      <c r="F362" s="100" t="n"/>
      <c r="G362" s="100" t="n"/>
      <c r="H362" s="100" t="n"/>
    </row>
    <row r="363">
      <c r="A363" s="100" t="n"/>
      <c r="B363" s="100" t="n"/>
      <c r="C363" s="100" t="n"/>
      <c r="D363" s="100" t="n"/>
      <c r="E363" s="100" t="n"/>
      <c r="F363" s="100" t="n"/>
      <c r="G363" s="100" t="n"/>
      <c r="H363" s="100" t="n"/>
    </row>
    <row r="364">
      <c r="A364" s="100" t="n"/>
      <c r="B364" s="100" t="n"/>
      <c r="C364" s="100" t="n"/>
      <c r="D364" s="100" t="n"/>
      <c r="E364" s="100" t="n"/>
      <c r="F364" s="100" t="n"/>
      <c r="G364" s="100" t="n"/>
      <c r="H364" s="100" t="n"/>
    </row>
    <row r="365">
      <c r="A365" s="100" t="n"/>
      <c r="B365" s="100" t="n"/>
      <c r="C365" s="100" t="n"/>
      <c r="D365" s="100" t="n"/>
      <c r="E365" s="100" t="n"/>
      <c r="F365" s="100" t="n"/>
      <c r="G365" s="100" t="n"/>
      <c r="H365" s="100" t="n"/>
    </row>
    <row r="366">
      <c r="A366" s="100" t="n"/>
      <c r="B366" s="100" t="n"/>
      <c r="C366" s="100" t="n"/>
      <c r="D366" s="100" t="n"/>
      <c r="E366" s="100" t="n"/>
      <c r="F366" s="100" t="n"/>
      <c r="G366" s="100" t="n"/>
      <c r="H366" s="100" t="n"/>
    </row>
    <row r="367">
      <c r="A367" s="100" t="n"/>
      <c r="B367" s="100" t="n"/>
      <c r="C367" s="100" t="n"/>
      <c r="D367" s="100" t="n"/>
      <c r="E367" s="100" t="n"/>
      <c r="F367" s="100" t="n"/>
      <c r="G367" s="100" t="n"/>
      <c r="H367" s="100" t="n"/>
    </row>
    <row r="368">
      <c r="A368" s="100" t="n"/>
      <c r="B368" s="100" t="n"/>
      <c r="C368" s="100" t="n"/>
      <c r="D368" s="100" t="n"/>
      <c r="E368" s="100" t="n"/>
      <c r="F368" s="100" t="n"/>
      <c r="G368" s="100" t="n"/>
      <c r="H368" s="100" t="n"/>
    </row>
    <row r="369">
      <c r="A369" s="100" t="n"/>
      <c r="B369" s="100" t="n"/>
      <c r="C369" s="100" t="n"/>
      <c r="D369" s="100" t="n"/>
      <c r="E369" s="100" t="n"/>
      <c r="F369" s="100" t="n"/>
      <c r="G369" s="100" t="n"/>
      <c r="H369" s="100" t="n"/>
    </row>
    <row r="370">
      <c r="A370" s="100" t="n"/>
      <c r="B370" s="100" t="n"/>
      <c r="C370" s="100" t="n"/>
      <c r="D370" s="100" t="n"/>
      <c r="E370" s="100" t="n"/>
      <c r="F370" s="100" t="n"/>
      <c r="G370" s="100" t="n"/>
      <c r="H370" s="100" t="n"/>
    </row>
    <row r="371">
      <c r="A371" s="100" t="n"/>
      <c r="B371" s="100" t="n"/>
      <c r="C371" s="100" t="n"/>
      <c r="D371" s="100" t="n"/>
      <c r="E371" s="100" t="n"/>
      <c r="F371" s="100" t="n"/>
      <c r="G371" s="100" t="n"/>
      <c r="H371" s="100" t="n"/>
    </row>
    <row r="372">
      <c r="A372" s="100" t="n"/>
      <c r="B372" s="100" t="n"/>
      <c r="C372" s="100" t="n"/>
      <c r="D372" s="100" t="n"/>
      <c r="E372" s="100" t="n"/>
      <c r="F372" s="100" t="n"/>
      <c r="G372" s="100" t="n"/>
      <c r="H372" s="100" t="n"/>
    </row>
    <row r="373">
      <c r="A373" s="100" t="n"/>
      <c r="B373" s="100" t="n"/>
      <c r="C373" s="100" t="n"/>
      <c r="D373" s="100" t="n"/>
      <c r="E373" s="100" t="n"/>
      <c r="F373" s="100" t="n"/>
      <c r="G373" s="100" t="n"/>
      <c r="H373" s="100" t="n"/>
    </row>
    <row r="374">
      <c r="A374" s="100" t="n"/>
      <c r="B374" s="100" t="n"/>
      <c r="C374" s="100" t="n"/>
      <c r="D374" s="100" t="n"/>
      <c r="E374" s="100" t="n"/>
      <c r="F374" s="100" t="n"/>
      <c r="G374" s="100" t="n"/>
      <c r="H374" s="100" t="n"/>
    </row>
    <row r="375">
      <c r="A375" s="100" t="n"/>
      <c r="B375" s="100" t="n"/>
      <c r="C375" s="100" t="n"/>
      <c r="D375" s="100" t="n"/>
      <c r="E375" s="100" t="n"/>
      <c r="F375" s="100" t="n"/>
      <c r="G375" s="100" t="n"/>
      <c r="H375" s="100" t="n"/>
    </row>
    <row r="376">
      <c r="A376" s="100" t="n"/>
      <c r="B376" s="100" t="n"/>
      <c r="C376" s="100" t="n"/>
      <c r="D376" s="100" t="n"/>
      <c r="E376" s="100" t="n"/>
      <c r="F376" s="100" t="n"/>
      <c r="G376" s="100" t="n"/>
      <c r="H376" s="100" t="n"/>
    </row>
    <row r="377">
      <c r="A377" s="100" t="n"/>
      <c r="B377" s="100" t="n"/>
      <c r="C377" s="100" t="n"/>
      <c r="D377" s="100" t="n"/>
      <c r="E377" s="100" t="n"/>
      <c r="F377" s="100" t="n"/>
      <c r="G377" s="100" t="n"/>
      <c r="H377" s="100" t="n"/>
    </row>
    <row r="378">
      <c r="A378" s="100" t="n"/>
      <c r="B378" s="100" t="n"/>
      <c r="C378" s="100" t="n"/>
      <c r="D378" s="100" t="n"/>
      <c r="E378" s="100" t="n"/>
      <c r="F378" s="100" t="n"/>
      <c r="G378" s="100" t="n"/>
      <c r="H378" s="100" t="n"/>
    </row>
    <row r="379">
      <c r="A379" s="100" t="n"/>
      <c r="B379" s="100" t="n"/>
      <c r="C379" s="100" t="n"/>
      <c r="D379" s="100" t="n"/>
      <c r="E379" s="100" t="n"/>
      <c r="F379" s="100" t="n"/>
      <c r="G379" s="100" t="n"/>
      <c r="H379" s="100" t="n"/>
    </row>
    <row r="380">
      <c r="A380" s="100" t="n"/>
      <c r="B380" s="100" t="n"/>
      <c r="C380" s="100" t="n"/>
      <c r="D380" s="100" t="n"/>
      <c r="E380" s="100" t="n"/>
      <c r="F380" s="100" t="n"/>
      <c r="G380" s="100" t="n"/>
      <c r="H380" s="100" t="n"/>
    </row>
    <row r="381">
      <c r="A381" s="100" t="n"/>
      <c r="B381" s="100" t="n"/>
      <c r="C381" s="100" t="n"/>
      <c r="D381" s="100" t="n"/>
      <c r="E381" s="100" t="n"/>
      <c r="F381" s="100" t="n"/>
      <c r="G381" s="100" t="n"/>
      <c r="H381" s="100" t="n"/>
    </row>
    <row r="382">
      <c r="A382" s="100" t="n"/>
      <c r="B382" s="100" t="n"/>
      <c r="C382" s="100" t="n"/>
      <c r="D382" s="100" t="n"/>
      <c r="E382" s="100" t="n"/>
      <c r="F382" s="100" t="n"/>
      <c r="G382" s="100" t="n"/>
      <c r="H382" s="100" t="n"/>
    </row>
    <row r="383">
      <c r="A383" s="100" t="n"/>
      <c r="B383" s="100" t="n"/>
      <c r="C383" s="100" t="n"/>
      <c r="D383" s="100" t="n"/>
      <c r="E383" s="100" t="n"/>
      <c r="F383" s="100" t="n"/>
      <c r="G383" s="100" t="n"/>
      <c r="H383" s="100" t="n"/>
    </row>
    <row r="384">
      <c r="A384" s="100" t="n"/>
      <c r="B384" s="100" t="n"/>
      <c r="C384" s="100" t="n"/>
      <c r="D384" s="100" t="n"/>
      <c r="E384" s="100" t="n"/>
      <c r="F384" s="100" t="n"/>
      <c r="G384" s="100" t="n"/>
      <c r="H384" s="100" t="n"/>
    </row>
    <row r="385">
      <c r="A385" s="100" t="n"/>
      <c r="B385" s="100" t="n"/>
      <c r="C385" s="100" t="n"/>
      <c r="D385" s="100" t="n"/>
      <c r="E385" s="100" t="n"/>
      <c r="F385" s="100" t="n"/>
      <c r="G385" s="100" t="n"/>
      <c r="H385" s="100" t="n"/>
    </row>
    <row r="386">
      <c r="A386" s="100" t="n"/>
      <c r="B386" s="100" t="n"/>
      <c r="C386" s="100" t="n"/>
      <c r="D386" s="100" t="n"/>
      <c r="E386" s="100" t="n"/>
      <c r="F386" s="100" t="n"/>
      <c r="G386" s="100" t="n"/>
      <c r="H386" s="100" t="n"/>
    </row>
    <row r="387">
      <c r="A387" s="100" t="n"/>
      <c r="B387" s="100" t="n"/>
      <c r="C387" s="100" t="n"/>
      <c r="D387" s="100" t="n"/>
      <c r="E387" s="100" t="n"/>
      <c r="F387" s="100" t="n"/>
      <c r="G387" s="100" t="n"/>
      <c r="H387" s="100" t="n"/>
    </row>
    <row r="388">
      <c r="A388" s="100" t="n"/>
      <c r="B388" s="100" t="n"/>
      <c r="C388" s="100" t="n"/>
      <c r="D388" s="100" t="n"/>
      <c r="E388" s="100" t="n"/>
      <c r="F388" s="100" t="n"/>
      <c r="G388" s="100" t="n"/>
      <c r="H388" s="100" t="n"/>
    </row>
    <row r="389">
      <c r="A389" s="100" t="n"/>
      <c r="B389" s="100" t="n"/>
      <c r="C389" s="100" t="n"/>
      <c r="D389" s="100" t="n"/>
      <c r="E389" s="100" t="n"/>
      <c r="F389" s="100" t="n"/>
      <c r="G389" s="100" t="n"/>
      <c r="H389" s="100" t="n"/>
    </row>
    <row r="390">
      <c r="A390" s="100" t="n"/>
      <c r="B390" s="100" t="n"/>
      <c r="C390" s="100" t="n"/>
      <c r="D390" s="100" t="n"/>
      <c r="E390" s="100" t="n"/>
      <c r="F390" s="100" t="n"/>
      <c r="G390" s="100" t="n"/>
      <c r="H390" s="100" t="n"/>
    </row>
    <row r="391">
      <c r="A391" s="100" t="n"/>
      <c r="B391" s="100" t="n"/>
      <c r="C391" s="100" t="n"/>
      <c r="D391" s="100" t="n"/>
      <c r="E391" s="100" t="n"/>
      <c r="F391" s="100" t="n"/>
      <c r="G391" s="100" t="n"/>
      <c r="H391" s="100" t="n"/>
    </row>
    <row r="392">
      <c r="A392" s="100" t="n"/>
      <c r="B392" s="100" t="n"/>
      <c r="C392" s="100" t="n"/>
      <c r="D392" s="100" t="n"/>
      <c r="E392" s="100" t="n"/>
      <c r="F392" s="100" t="n"/>
      <c r="G392" s="100" t="n"/>
      <c r="H392" s="100" t="n"/>
    </row>
    <row r="393">
      <c r="A393" s="100" t="n"/>
      <c r="B393" s="100" t="n"/>
      <c r="C393" s="100" t="n"/>
      <c r="D393" s="100" t="n"/>
      <c r="E393" s="100" t="n"/>
      <c r="F393" s="100" t="n"/>
      <c r="G393" s="100" t="n"/>
      <c r="H393" s="100" t="n"/>
    </row>
    <row r="394">
      <c r="A394" s="100" t="n"/>
      <c r="B394" s="100" t="n"/>
      <c r="C394" s="100" t="n"/>
      <c r="D394" s="100" t="n"/>
      <c r="E394" s="100" t="n"/>
      <c r="F394" s="100" t="n"/>
      <c r="G394" s="100" t="n"/>
      <c r="H394" s="100" t="n"/>
    </row>
    <row r="395">
      <c r="A395" s="100" t="n"/>
      <c r="B395" s="100" t="n"/>
      <c r="C395" s="100" t="n"/>
      <c r="D395" s="100" t="n"/>
      <c r="E395" s="100" t="n"/>
      <c r="F395" s="100" t="n"/>
      <c r="G395" s="100" t="n"/>
      <c r="H395" s="100" t="n"/>
    </row>
    <row r="396">
      <c r="A396" s="100" t="n"/>
      <c r="B396" s="100" t="n"/>
      <c r="C396" s="100" t="n"/>
      <c r="D396" s="100" t="n"/>
      <c r="E396" s="100" t="n"/>
      <c r="F396" s="100" t="n"/>
      <c r="G396" s="100" t="n"/>
      <c r="H396" s="100" t="n"/>
    </row>
    <row r="397">
      <c r="A397" s="100" t="n"/>
      <c r="B397" s="100" t="n"/>
      <c r="C397" s="100" t="n"/>
      <c r="D397" s="100" t="n"/>
      <c r="E397" s="100" t="n"/>
      <c r="F397" s="100" t="n"/>
      <c r="G397" s="100" t="n"/>
      <c r="H397" s="100" t="n"/>
    </row>
    <row r="398">
      <c r="A398" s="100" t="n"/>
      <c r="B398" s="100" t="n"/>
      <c r="C398" s="100" t="n"/>
      <c r="D398" s="100" t="n"/>
      <c r="E398" s="100" t="n"/>
      <c r="F398" s="100" t="n"/>
      <c r="G398" s="100" t="n"/>
      <c r="H398" s="100" t="n"/>
    </row>
    <row r="399">
      <c r="A399" s="100" t="n"/>
      <c r="B399" s="100" t="n"/>
      <c r="C399" s="100" t="n"/>
      <c r="D399" s="100" t="n"/>
      <c r="E399" s="100" t="n"/>
      <c r="F399" s="100" t="n"/>
      <c r="G399" s="100" t="n"/>
      <c r="H399" s="100" t="n"/>
    </row>
    <row r="400">
      <c r="A400" s="100" t="n"/>
      <c r="B400" s="100" t="n"/>
      <c r="C400" s="100" t="n"/>
      <c r="D400" s="100" t="n"/>
      <c r="E400" s="100" t="n"/>
      <c r="F400" s="100" t="n"/>
      <c r="G400" s="100" t="n"/>
      <c r="H400" s="100" t="n"/>
    </row>
    <row r="401">
      <c r="A401" s="100" t="n"/>
      <c r="B401" s="100" t="n"/>
      <c r="C401" s="100" t="n"/>
      <c r="D401" s="100" t="n"/>
      <c r="E401" s="100" t="n"/>
      <c r="F401" s="100" t="n"/>
      <c r="G401" s="100" t="n"/>
      <c r="H401" s="100" t="n"/>
    </row>
    <row r="402">
      <c r="A402" s="100" t="n"/>
      <c r="B402" s="100" t="n"/>
      <c r="C402" s="100" t="n"/>
      <c r="D402" s="100" t="n"/>
      <c r="E402" s="100" t="n"/>
      <c r="F402" s="100" t="n"/>
      <c r="G402" s="100" t="n"/>
      <c r="H402" s="100" t="n"/>
    </row>
    <row r="403">
      <c r="A403" s="100" t="n"/>
      <c r="B403" s="100" t="n"/>
      <c r="C403" s="100" t="n"/>
      <c r="D403" s="100" t="n"/>
      <c r="E403" s="100" t="n"/>
      <c r="F403" s="100" t="n"/>
      <c r="G403" s="100" t="n"/>
      <c r="H403" s="100" t="n"/>
    </row>
    <row r="404">
      <c r="A404" s="100" t="n"/>
      <c r="B404" s="100" t="n"/>
      <c r="C404" s="100" t="n"/>
      <c r="D404" s="100" t="n"/>
      <c r="E404" s="100" t="n"/>
      <c r="F404" s="100" t="n"/>
      <c r="G404" s="100" t="n"/>
      <c r="H404" s="100" t="n"/>
    </row>
    <row r="405">
      <c r="A405" s="100" t="n"/>
      <c r="B405" s="100" t="n"/>
      <c r="C405" s="100" t="n"/>
      <c r="D405" s="100" t="n"/>
      <c r="E405" s="100" t="n"/>
      <c r="F405" s="100" t="n"/>
      <c r="G405" s="100" t="n"/>
      <c r="H405" s="100" t="n"/>
    </row>
    <row r="406">
      <c r="A406" s="100" t="n"/>
      <c r="B406" s="100" t="n"/>
      <c r="C406" s="100" t="n"/>
      <c r="D406" s="100" t="n"/>
      <c r="E406" s="100" t="n"/>
      <c r="F406" s="100" t="n"/>
      <c r="G406" s="100" t="n"/>
      <c r="H406" s="100" t="n"/>
    </row>
    <row r="407">
      <c r="A407" s="100" t="n"/>
      <c r="B407" s="100" t="n"/>
      <c r="C407" s="100" t="n"/>
      <c r="D407" s="100" t="n"/>
      <c r="E407" s="100" t="n"/>
      <c r="F407" s="100" t="n"/>
      <c r="G407" s="100" t="n"/>
      <c r="H407" s="100" t="n"/>
    </row>
    <row r="408">
      <c r="A408" s="100" t="n"/>
      <c r="B408" s="100" t="n"/>
      <c r="C408" s="100" t="n"/>
      <c r="D408" s="100" t="n"/>
      <c r="E408" s="100" t="n"/>
      <c r="F408" s="100" t="n"/>
      <c r="G408" s="100" t="n"/>
      <c r="H408" s="100" t="n"/>
    </row>
    <row r="409">
      <c r="A409" s="100" t="n"/>
      <c r="B409" s="100" t="n"/>
      <c r="C409" s="100" t="n"/>
      <c r="D409" s="100" t="n"/>
      <c r="E409" s="100" t="n"/>
      <c r="F409" s="100" t="n"/>
      <c r="G409" s="100" t="n"/>
      <c r="H409" s="100" t="n"/>
    </row>
    <row r="410">
      <c r="A410" s="100" t="n"/>
      <c r="B410" s="100" t="n"/>
      <c r="C410" s="100" t="n"/>
      <c r="D410" s="100" t="n"/>
      <c r="E410" s="100" t="n"/>
      <c r="F410" s="100" t="n"/>
      <c r="G410" s="100" t="n"/>
      <c r="H410" s="100" t="n"/>
    </row>
    <row r="411">
      <c r="A411" s="100" t="n"/>
      <c r="B411" s="100" t="n"/>
      <c r="C411" s="100" t="n"/>
      <c r="D411" s="100" t="n"/>
      <c r="E411" s="100" t="n"/>
      <c r="F411" s="100" t="n"/>
      <c r="G411" s="100" t="n"/>
      <c r="H411" s="100" t="n"/>
    </row>
    <row r="412">
      <c r="A412" s="100" t="n"/>
      <c r="B412" s="100" t="n"/>
      <c r="C412" s="100" t="n"/>
      <c r="D412" s="100" t="n"/>
      <c r="E412" s="100" t="n"/>
      <c r="F412" s="100" t="n"/>
      <c r="G412" s="100" t="n"/>
      <c r="H412" s="100" t="n"/>
    </row>
    <row r="413">
      <c r="A413" s="100" t="n"/>
      <c r="B413" s="100" t="n"/>
      <c r="C413" s="100" t="n"/>
      <c r="D413" s="100" t="n"/>
      <c r="E413" s="100" t="n"/>
      <c r="F413" s="100" t="n"/>
      <c r="G413" s="100" t="n"/>
      <c r="H413" s="100" t="n"/>
    </row>
    <row r="414">
      <c r="A414" s="100" t="n"/>
      <c r="B414" s="100" t="n"/>
      <c r="C414" s="100" t="n"/>
      <c r="D414" s="100" t="n"/>
      <c r="E414" s="100" t="n"/>
      <c r="F414" s="100" t="n"/>
      <c r="G414" s="100" t="n"/>
      <c r="H414" s="100" t="n"/>
    </row>
    <row r="415">
      <c r="A415" s="100" t="n"/>
      <c r="B415" s="100" t="n"/>
      <c r="C415" s="100" t="n"/>
      <c r="D415" s="100" t="n"/>
      <c r="E415" s="100" t="n"/>
      <c r="F415" s="100" t="n"/>
      <c r="G415" s="100" t="n"/>
      <c r="H415" s="100" t="n"/>
    </row>
    <row r="416">
      <c r="A416" s="100" t="n"/>
      <c r="B416" s="100" t="n"/>
      <c r="C416" s="100" t="n"/>
      <c r="D416" s="100" t="n"/>
      <c r="E416" s="100" t="n"/>
      <c r="F416" s="100" t="n"/>
      <c r="G416" s="100" t="n"/>
      <c r="H416" s="100" t="n"/>
    </row>
    <row r="417">
      <c r="A417" s="100" t="n"/>
      <c r="B417" s="100" t="n"/>
      <c r="C417" s="100" t="n"/>
      <c r="D417" s="100" t="n"/>
      <c r="E417" s="100" t="n"/>
      <c r="F417" s="100" t="n"/>
      <c r="G417" s="100" t="n"/>
      <c r="H417" s="100" t="n"/>
    </row>
    <row r="418">
      <c r="A418" s="100" t="n"/>
      <c r="B418" s="100" t="n"/>
      <c r="C418" s="100" t="n"/>
      <c r="D418" s="100" t="n"/>
      <c r="E418" s="100" t="n"/>
      <c r="F418" s="100" t="n"/>
      <c r="G418" s="100" t="n"/>
      <c r="H418" s="100" t="n"/>
    </row>
    <row r="419">
      <c r="A419" s="100" t="n"/>
      <c r="B419" s="100" t="n"/>
      <c r="C419" s="100" t="n"/>
      <c r="D419" s="100" t="n"/>
      <c r="E419" s="100" t="n"/>
      <c r="F419" s="100" t="n"/>
      <c r="G419" s="100" t="n"/>
      <c r="H419" s="100" t="n"/>
    </row>
    <row r="420">
      <c r="A420" s="100" t="n"/>
      <c r="B420" s="100" t="n"/>
      <c r="C420" s="100" t="n"/>
      <c r="D420" s="100" t="n"/>
      <c r="E420" s="100" t="n"/>
      <c r="F420" s="100" t="n"/>
      <c r="G420" s="100" t="n"/>
      <c r="H420" s="100" t="n"/>
    </row>
    <row r="421">
      <c r="A421" s="100" t="n"/>
      <c r="B421" s="100" t="n"/>
      <c r="C421" s="100" t="n"/>
      <c r="D421" s="100" t="n"/>
      <c r="E421" s="100" t="n"/>
      <c r="F421" s="100" t="n"/>
      <c r="G421" s="100" t="n"/>
      <c r="H421" s="100" t="n"/>
    </row>
    <row r="422">
      <c r="A422" s="100" t="n"/>
      <c r="B422" s="100" t="n"/>
      <c r="C422" s="100" t="n"/>
      <c r="D422" s="100" t="n"/>
      <c r="E422" s="100" t="n"/>
      <c r="F422" s="100" t="n"/>
      <c r="G422" s="100" t="n"/>
      <c r="H422" s="100" t="n"/>
    </row>
    <row r="423">
      <c r="A423" s="100" t="n"/>
      <c r="B423" s="100" t="n"/>
      <c r="C423" s="100" t="n"/>
      <c r="D423" s="100" t="n"/>
      <c r="E423" s="100" t="n"/>
      <c r="F423" s="100" t="n"/>
      <c r="G423" s="100" t="n"/>
      <c r="H423" s="100" t="n"/>
    </row>
    <row r="424">
      <c r="A424" s="100" t="n"/>
      <c r="B424" s="100" t="n"/>
      <c r="C424" s="100" t="n"/>
      <c r="D424" s="100" t="n"/>
      <c r="E424" s="100" t="n"/>
      <c r="F424" s="100" t="n"/>
      <c r="G424" s="100" t="n"/>
      <c r="H424" s="100" t="n"/>
    </row>
    <row r="425">
      <c r="A425" s="100" t="n"/>
      <c r="B425" s="100" t="n"/>
      <c r="C425" s="100" t="n"/>
      <c r="D425" s="100" t="n"/>
      <c r="E425" s="100" t="n"/>
      <c r="F425" s="100" t="n"/>
      <c r="G425" s="100" t="n"/>
      <c r="H425" s="100" t="n"/>
    </row>
    <row r="426">
      <c r="A426" s="100" t="n"/>
      <c r="B426" s="100" t="n"/>
      <c r="C426" s="100" t="n"/>
      <c r="D426" s="100" t="n"/>
      <c r="E426" s="100" t="n"/>
      <c r="F426" s="100" t="n"/>
      <c r="G426" s="100" t="n"/>
      <c r="H426" s="100" t="n"/>
    </row>
    <row r="427">
      <c r="A427" s="100" t="n"/>
      <c r="B427" s="100" t="n"/>
      <c r="C427" s="100" t="n"/>
      <c r="D427" s="100" t="n"/>
      <c r="E427" s="100" t="n"/>
      <c r="F427" s="100" t="n"/>
      <c r="G427" s="100" t="n"/>
      <c r="H427" s="100" t="n"/>
    </row>
    <row r="428">
      <c r="A428" s="100" t="n"/>
      <c r="B428" s="100" t="n"/>
      <c r="C428" s="100" t="n"/>
      <c r="D428" s="100" t="n"/>
      <c r="E428" s="100" t="n"/>
      <c r="F428" s="100" t="n"/>
      <c r="G428" s="100" t="n"/>
      <c r="H428" s="100" t="n"/>
    </row>
    <row r="429">
      <c r="A429" s="100" t="n"/>
      <c r="B429" s="100" t="n"/>
      <c r="C429" s="100" t="n"/>
      <c r="D429" s="100" t="n"/>
      <c r="E429" s="100" t="n"/>
      <c r="F429" s="100" t="n"/>
      <c r="G429" s="100" t="n"/>
      <c r="H429" s="100" t="n"/>
    </row>
    <row r="430">
      <c r="A430" s="100" t="n"/>
      <c r="B430" s="100" t="n"/>
      <c r="C430" s="100" t="n"/>
      <c r="D430" s="100" t="n"/>
      <c r="E430" s="100" t="n"/>
      <c r="F430" s="100" t="n"/>
      <c r="G430" s="100" t="n"/>
      <c r="H430" s="100" t="n"/>
    </row>
    <row r="431">
      <c r="A431" s="100" t="n"/>
      <c r="B431" s="100" t="n"/>
      <c r="C431" s="100" t="n"/>
      <c r="D431" s="100" t="n"/>
      <c r="E431" s="100" t="n"/>
      <c r="F431" s="100" t="n"/>
      <c r="G431" s="100" t="n"/>
      <c r="H431" s="100" t="n"/>
    </row>
    <row r="432">
      <c r="A432" s="100" t="n"/>
      <c r="B432" s="100" t="n"/>
      <c r="C432" s="100" t="n"/>
      <c r="D432" s="100" t="n"/>
      <c r="E432" s="100" t="n"/>
      <c r="F432" s="100" t="n"/>
      <c r="G432" s="100" t="n"/>
      <c r="H432" s="100" t="n"/>
    </row>
    <row r="433">
      <c r="A433" s="100" t="n"/>
      <c r="B433" s="100" t="n"/>
      <c r="C433" s="100" t="n"/>
      <c r="D433" s="100" t="n"/>
      <c r="E433" s="100" t="n"/>
      <c r="F433" s="100" t="n"/>
      <c r="G433" s="100" t="n"/>
      <c r="H433" s="100" t="n"/>
    </row>
    <row r="434">
      <c r="A434" s="100" t="n"/>
      <c r="B434" s="100" t="n"/>
      <c r="C434" s="100" t="n"/>
      <c r="D434" s="100" t="n"/>
      <c r="E434" s="100" t="n"/>
      <c r="F434" s="100" t="n"/>
      <c r="G434" s="100" t="n"/>
      <c r="H434" s="100" t="n"/>
    </row>
    <row r="435">
      <c r="A435" s="100" t="n"/>
      <c r="B435" s="100" t="n"/>
      <c r="C435" s="100" t="n"/>
      <c r="D435" s="100" t="n"/>
      <c r="E435" s="100" t="n"/>
      <c r="F435" s="100" t="n"/>
      <c r="G435" s="100" t="n"/>
      <c r="H435" s="100" t="n"/>
    </row>
    <row r="436">
      <c r="A436" s="100" t="n"/>
      <c r="B436" s="100" t="n"/>
      <c r="C436" s="100" t="n"/>
      <c r="D436" s="100" t="n"/>
      <c r="E436" s="100" t="n"/>
      <c r="F436" s="100" t="n"/>
      <c r="G436" s="100" t="n"/>
      <c r="H436" s="100" t="n"/>
    </row>
    <row r="437">
      <c r="A437" s="100" t="n"/>
      <c r="B437" s="100" t="n"/>
      <c r="C437" s="100" t="n"/>
      <c r="D437" s="100" t="n"/>
      <c r="E437" s="100" t="n"/>
      <c r="F437" s="100" t="n"/>
      <c r="G437" s="100" t="n"/>
      <c r="H437" s="100" t="n"/>
    </row>
    <row r="438">
      <c r="A438" s="100" t="n"/>
      <c r="B438" s="100" t="n"/>
      <c r="C438" s="100" t="n"/>
      <c r="D438" s="100" t="n"/>
      <c r="E438" s="100" t="n"/>
      <c r="F438" s="100" t="n"/>
      <c r="G438" s="100" t="n"/>
      <c r="H438" s="100" t="n"/>
    </row>
    <row r="439">
      <c r="A439" s="100" t="n"/>
      <c r="B439" s="100" t="n"/>
      <c r="C439" s="100" t="n"/>
      <c r="D439" s="100" t="n"/>
      <c r="E439" s="100" t="n"/>
      <c r="F439" s="100" t="n"/>
      <c r="G439" s="100" t="n"/>
      <c r="H439" s="100" t="n"/>
    </row>
    <row r="440">
      <c r="A440" s="100" t="n"/>
      <c r="B440" s="100" t="n"/>
      <c r="C440" s="100" t="n"/>
      <c r="D440" s="100" t="n"/>
      <c r="E440" s="100" t="n"/>
      <c r="F440" s="100" t="n"/>
      <c r="G440" s="100" t="n"/>
      <c r="H440" s="100" t="n"/>
    </row>
    <row r="441">
      <c r="A441" s="100" t="n"/>
      <c r="B441" s="100" t="n"/>
      <c r="C441" s="100" t="n"/>
      <c r="D441" s="100" t="n"/>
      <c r="E441" s="100" t="n"/>
      <c r="F441" s="100" t="n"/>
      <c r="G441" s="100" t="n"/>
      <c r="H441" s="100" t="n"/>
    </row>
    <row r="442">
      <c r="A442" s="100" t="n"/>
      <c r="B442" s="100" t="n"/>
      <c r="C442" s="100" t="n"/>
      <c r="D442" s="100" t="n"/>
      <c r="E442" s="100" t="n"/>
      <c r="F442" s="100" t="n"/>
      <c r="G442" s="100" t="n"/>
      <c r="H442" s="100" t="n"/>
    </row>
    <row r="443">
      <c r="A443" s="100" t="n"/>
      <c r="B443" s="100" t="n"/>
      <c r="C443" s="100" t="n"/>
      <c r="D443" s="100" t="n"/>
      <c r="E443" s="100" t="n"/>
      <c r="F443" s="100" t="n"/>
      <c r="G443" s="100" t="n"/>
      <c r="H443" s="100" t="n"/>
    </row>
    <row r="444">
      <c r="A444" s="100" t="n"/>
      <c r="B444" s="100" t="n"/>
      <c r="C444" s="100" t="n"/>
      <c r="D444" s="100" t="n"/>
      <c r="E444" s="100" t="n"/>
      <c r="F444" s="100" t="n"/>
      <c r="G444" s="100" t="n"/>
      <c r="H444" s="100" t="n"/>
    </row>
    <row r="445">
      <c r="A445" s="100" t="n"/>
      <c r="B445" s="100" t="n"/>
      <c r="C445" s="100" t="n"/>
      <c r="D445" s="100" t="n"/>
      <c r="E445" s="100" t="n"/>
      <c r="F445" s="100" t="n"/>
      <c r="G445" s="100" t="n"/>
      <c r="H445" s="100" t="n"/>
    </row>
    <row r="446">
      <c r="A446" s="100" t="n"/>
      <c r="B446" s="100" t="n"/>
      <c r="C446" s="100" t="n"/>
      <c r="D446" s="100" t="n"/>
      <c r="E446" s="100" t="n"/>
      <c r="F446" s="100" t="n"/>
      <c r="G446" s="100" t="n"/>
      <c r="H446" s="100" t="n"/>
    </row>
    <row r="447">
      <c r="A447" s="100" t="n"/>
      <c r="B447" s="100" t="n"/>
      <c r="C447" s="100" t="n"/>
      <c r="D447" s="100" t="n"/>
      <c r="E447" s="100" t="n"/>
      <c r="F447" s="100" t="n"/>
      <c r="G447" s="100" t="n"/>
      <c r="H447" s="100" t="n"/>
    </row>
    <row r="448">
      <c r="A448" s="100" t="n"/>
      <c r="B448" s="100" t="n"/>
      <c r="C448" s="100" t="n"/>
      <c r="D448" s="100" t="n"/>
      <c r="E448" s="100" t="n"/>
      <c r="F448" s="100" t="n"/>
      <c r="G448" s="100" t="n"/>
      <c r="H448" s="100" t="n"/>
    </row>
    <row r="449">
      <c r="A449" s="100" t="n"/>
      <c r="B449" s="100" t="n"/>
      <c r="C449" s="100" t="n"/>
      <c r="D449" s="100" t="n"/>
      <c r="E449" s="100" t="n"/>
      <c r="F449" s="100" t="n"/>
      <c r="G449" s="100" t="n"/>
      <c r="H449" s="100" t="n"/>
    </row>
    <row r="450">
      <c r="A450" s="100" t="n"/>
      <c r="B450" s="100" t="n"/>
      <c r="C450" s="100" t="n"/>
      <c r="D450" s="100" t="n"/>
      <c r="E450" s="100" t="n"/>
      <c r="F450" s="100" t="n"/>
      <c r="G450" s="100" t="n"/>
      <c r="H450" s="100" t="n"/>
    </row>
    <row r="451">
      <c r="A451" s="100" t="n"/>
      <c r="B451" s="100" t="n"/>
      <c r="C451" s="100" t="n"/>
      <c r="D451" s="100" t="n"/>
      <c r="E451" s="100" t="n"/>
      <c r="F451" s="100" t="n"/>
      <c r="G451" s="100" t="n"/>
      <c r="H451" s="100" t="n"/>
    </row>
    <row r="452">
      <c r="A452" s="100" t="n"/>
      <c r="B452" s="100" t="n"/>
      <c r="C452" s="100" t="n"/>
      <c r="D452" s="100" t="n"/>
      <c r="E452" s="100" t="n"/>
      <c r="F452" s="100" t="n"/>
      <c r="G452" s="100" t="n"/>
      <c r="H452" s="100" t="n"/>
    </row>
    <row r="453">
      <c r="A453" s="100" t="n"/>
      <c r="B453" s="100" t="n"/>
      <c r="C453" s="100" t="n"/>
      <c r="D453" s="100" t="n"/>
      <c r="E453" s="100" t="n"/>
      <c r="F453" s="100" t="n"/>
      <c r="G453" s="100" t="n"/>
      <c r="H453" s="100" t="n"/>
    </row>
    <row r="454">
      <c r="A454" s="100" t="n"/>
      <c r="B454" s="100" t="n"/>
      <c r="C454" s="100" t="n"/>
      <c r="D454" s="100" t="n"/>
      <c r="E454" s="100" t="n"/>
      <c r="F454" s="100" t="n"/>
      <c r="G454" s="100" t="n"/>
      <c r="H454" s="100" t="n"/>
    </row>
    <row r="455">
      <c r="A455" s="100" t="n"/>
      <c r="B455" s="100" t="n"/>
      <c r="C455" s="100" t="n"/>
      <c r="D455" s="100" t="n"/>
      <c r="E455" s="100" t="n"/>
      <c r="F455" s="100" t="n"/>
      <c r="G455" s="100" t="n"/>
      <c r="H455" s="100" t="n"/>
    </row>
    <row r="456">
      <c r="A456" s="100" t="n"/>
      <c r="B456" s="100" t="n"/>
      <c r="C456" s="100" t="n"/>
      <c r="D456" s="100" t="n"/>
      <c r="E456" s="100" t="n"/>
      <c r="F456" s="100" t="n"/>
      <c r="G456" s="100" t="n"/>
      <c r="H456" s="100" t="n"/>
    </row>
    <row r="457">
      <c r="A457" s="100" t="n"/>
      <c r="B457" s="100" t="n"/>
      <c r="C457" s="100" t="n"/>
      <c r="D457" s="100" t="n"/>
      <c r="E457" s="100" t="n"/>
      <c r="F457" s="100" t="n"/>
      <c r="G457" s="100" t="n"/>
      <c r="H457" s="100" t="n"/>
    </row>
    <row r="458">
      <c r="A458" s="100" t="n"/>
      <c r="B458" s="100" t="n"/>
      <c r="C458" s="100" t="n"/>
      <c r="D458" s="100" t="n"/>
      <c r="E458" s="100" t="n"/>
      <c r="F458" s="100" t="n"/>
      <c r="G458" s="100" t="n"/>
      <c r="H458" s="100" t="n"/>
    </row>
    <row r="459">
      <c r="A459" s="100" t="n"/>
      <c r="B459" s="100" t="n"/>
      <c r="C459" s="100" t="n"/>
      <c r="D459" s="100" t="n"/>
      <c r="E459" s="100" t="n"/>
      <c r="F459" s="100" t="n"/>
      <c r="G459" s="100" t="n"/>
      <c r="H459" s="100" t="n"/>
    </row>
    <row r="460">
      <c r="A460" s="100" t="n"/>
      <c r="B460" s="100" t="n"/>
      <c r="C460" s="100" t="n"/>
      <c r="D460" s="100" t="n"/>
      <c r="E460" s="100" t="n"/>
      <c r="F460" s="100" t="n"/>
      <c r="G460" s="100" t="n"/>
      <c r="H460" s="100" t="n"/>
    </row>
    <row r="461">
      <c r="A461" s="100" t="n"/>
      <c r="B461" s="100" t="n"/>
      <c r="C461" s="100" t="n"/>
      <c r="D461" s="100" t="n"/>
      <c r="E461" s="100" t="n"/>
      <c r="F461" s="100" t="n"/>
      <c r="G461" s="100" t="n"/>
      <c r="H461" s="100" t="n"/>
    </row>
    <row r="462">
      <c r="A462" s="100" t="n"/>
      <c r="B462" s="100" t="n"/>
      <c r="C462" s="100" t="n"/>
      <c r="D462" s="100" t="n"/>
      <c r="E462" s="100" t="n"/>
      <c r="F462" s="100" t="n"/>
      <c r="G462" s="100" t="n"/>
      <c r="H462" s="100" t="n"/>
    </row>
    <row r="463">
      <c r="A463" s="100" t="n"/>
      <c r="B463" s="100" t="n"/>
      <c r="C463" s="100" t="n"/>
      <c r="D463" s="100" t="n"/>
      <c r="E463" s="100" t="n"/>
      <c r="F463" s="100" t="n"/>
      <c r="G463" s="100" t="n"/>
      <c r="H463" s="100" t="n"/>
    </row>
    <row r="464">
      <c r="A464" s="100" t="n"/>
      <c r="B464" s="100" t="n"/>
      <c r="C464" s="100" t="n"/>
      <c r="D464" s="100" t="n"/>
      <c r="E464" s="100" t="n"/>
      <c r="F464" s="100" t="n"/>
      <c r="G464" s="100" t="n"/>
      <c r="H464" s="100" t="n"/>
    </row>
    <row r="465">
      <c r="A465" s="100" t="n"/>
      <c r="B465" s="100" t="n"/>
      <c r="C465" s="100" t="n"/>
      <c r="D465" s="100" t="n"/>
      <c r="E465" s="100" t="n"/>
      <c r="F465" s="100" t="n"/>
      <c r="G465" s="100" t="n"/>
      <c r="H465" s="100" t="n"/>
    </row>
    <row r="466">
      <c r="A466" s="100" t="n"/>
      <c r="B466" s="100" t="n"/>
      <c r="C466" s="100" t="n"/>
      <c r="D466" s="100" t="n"/>
      <c r="E466" s="100" t="n"/>
      <c r="F466" s="100" t="n"/>
      <c r="G466" s="100" t="n"/>
      <c r="H466" s="100" t="n"/>
    </row>
    <row r="467">
      <c r="A467" s="100" t="n"/>
      <c r="B467" s="100" t="n"/>
      <c r="C467" s="100" t="n"/>
      <c r="D467" s="100" t="n"/>
      <c r="E467" s="100" t="n"/>
      <c r="F467" s="100" t="n"/>
      <c r="G467" s="100" t="n"/>
      <c r="H467" s="100" t="n"/>
    </row>
    <row r="468">
      <c r="A468" s="100" t="n"/>
      <c r="B468" s="100" t="n"/>
      <c r="C468" s="100" t="n"/>
      <c r="D468" s="100" t="n"/>
      <c r="E468" s="100" t="n"/>
      <c r="F468" s="100" t="n"/>
      <c r="G468" s="100" t="n"/>
      <c r="H468" s="100" t="n"/>
    </row>
    <row r="469">
      <c r="A469" s="100" t="n"/>
      <c r="B469" s="100" t="n"/>
      <c r="C469" s="100" t="n"/>
      <c r="D469" s="100" t="n"/>
      <c r="E469" s="100" t="n"/>
      <c r="F469" s="100" t="n"/>
      <c r="G469" s="100" t="n"/>
      <c r="H469" s="100" t="n"/>
    </row>
    <row r="470">
      <c r="A470" s="100" t="n"/>
      <c r="B470" s="100" t="n"/>
      <c r="C470" s="100" t="n"/>
      <c r="D470" s="100" t="n"/>
      <c r="E470" s="100" t="n"/>
      <c r="F470" s="100" t="n"/>
      <c r="G470" s="100" t="n"/>
      <c r="H470" s="100" t="n"/>
    </row>
    <row r="471">
      <c r="A471" s="100" t="n"/>
      <c r="B471" s="100" t="n"/>
      <c r="C471" s="100" t="n"/>
      <c r="D471" s="100" t="n"/>
      <c r="E471" s="100" t="n"/>
      <c r="F471" s="100" t="n"/>
      <c r="G471" s="100" t="n"/>
      <c r="H471" s="100" t="n"/>
    </row>
    <row r="472">
      <c r="A472" s="100" t="n"/>
      <c r="B472" s="100" t="n"/>
      <c r="C472" s="100" t="n"/>
      <c r="D472" s="100" t="n"/>
      <c r="E472" s="100" t="n"/>
      <c r="F472" s="100" t="n"/>
      <c r="G472" s="100" t="n"/>
      <c r="H472" s="100" t="n"/>
    </row>
    <row r="473">
      <c r="A473" s="100" t="n"/>
      <c r="B473" s="100" t="n"/>
      <c r="C473" s="100" t="n"/>
      <c r="D473" s="100" t="n"/>
      <c r="E473" s="100" t="n"/>
      <c r="F473" s="100" t="n"/>
      <c r="G473" s="100" t="n"/>
      <c r="H473" s="100" t="n"/>
    </row>
    <row r="474">
      <c r="A474" s="100" t="n"/>
      <c r="B474" s="100" t="n"/>
      <c r="C474" s="100" t="n"/>
      <c r="D474" s="100" t="n"/>
      <c r="E474" s="100" t="n"/>
      <c r="F474" s="100" t="n"/>
      <c r="G474" s="100" t="n"/>
      <c r="H474" s="100" t="n"/>
    </row>
    <row r="475">
      <c r="A475" s="100" t="n"/>
      <c r="B475" s="100" t="n"/>
      <c r="C475" s="100" t="n"/>
      <c r="D475" s="100" t="n"/>
      <c r="E475" s="100" t="n"/>
      <c r="F475" s="100" t="n"/>
      <c r="G475" s="100" t="n"/>
      <c r="H475" s="100" t="n"/>
    </row>
    <row r="476">
      <c r="A476" s="100" t="n"/>
      <c r="B476" s="100" t="n"/>
      <c r="C476" s="100" t="n"/>
      <c r="D476" s="100" t="n"/>
      <c r="E476" s="100" t="n"/>
      <c r="F476" s="100" t="n"/>
      <c r="G476" s="100" t="n"/>
      <c r="H476" s="100" t="n"/>
    </row>
    <row r="477">
      <c r="A477" s="100" t="n"/>
      <c r="B477" s="100" t="n"/>
      <c r="C477" s="100" t="n"/>
      <c r="D477" s="100" t="n"/>
      <c r="E477" s="100" t="n"/>
      <c r="F477" s="100" t="n"/>
      <c r="G477" s="100" t="n"/>
      <c r="H477" s="100" t="n"/>
    </row>
    <row r="478">
      <c r="A478" s="100" t="n"/>
      <c r="B478" s="100" t="n"/>
      <c r="C478" s="100" t="n"/>
      <c r="D478" s="100" t="n"/>
      <c r="E478" s="100" t="n"/>
      <c r="F478" s="100" t="n"/>
      <c r="G478" s="100" t="n"/>
      <c r="H478" s="100" t="n"/>
    </row>
    <row r="479">
      <c r="A479" s="100" t="n"/>
      <c r="B479" s="100" t="n"/>
      <c r="C479" s="100" t="n"/>
      <c r="D479" s="100" t="n"/>
      <c r="E479" s="100" t="n"/>
      <c r="F479" s="100" t="n"/>
      <c r="G479" s="100" t="n"/>
      <c r="H479" s="100" t="n"/>
    </row>
    <row r="480">
      <c r="A480" s="100" t="n"/>
      <c r="B480" s="100" t="n"/>
      <c r="C480" s="100" t="n"/>
      <c r="D480" s="100" t="n"/>
      <c r="E480" s="100" t="n"/>
      <c r="F480" s="100" t="n"/>
      <c r="G480" s="100" t="n"/>
      <c r="H480" s="100" t="n"/>
    </row>
    <row r="481">
      <c r="A481" s="100" t="n"/>
      <c r="B481" s="100" t="n"/>
      <c r="C481" s="100" t="n"/>
      <c r="D481" s="100" t="n"/>
      <c r="E481" s="100" t="n"/>
      <c r="F481" s="100" t="n"/>
      <c r="G481" s="100" t="n"/>
      <c r="H481" s="100" t="n"/>
    </row>
    <row r="482">
      <c r="A482" s="100" t="n"/>
      <c r="B482" s="100" t="n"/>
      <c r="C482" s="100" t="n"/>
      <c r="D482" s="100" t="n"/>
      <c r="E482" s="100" t="n"/>
      <c r="F482" s="100" t="n"/>
      <c r="G482" s="100" t="n"/>
      <c r="H482" s="100" t="n"/>
    </row>
    <row r="483">
      <c r="A483" s="100" t="n"/>
      <c r="B483" s="100" t="n"/>
      <c r="C483" s="100" t="n"/>
      <c r="D483" s="100" t="n"/>
      <c r="E483" s="100" t="n"/>
      <c r="F483" s="100" t="n"/>
      <c r="G483" s="100" t="n"/>
      <c r="H483" s="100" t="n"/>
    </row>
    <row r="484">
      <c r="A484" s="100" t="n"/>
      <c r="B484" s="100" t="n"/>
      <c r="C484" s="100" t="n"/>
      <c r="D484" s="100" t="n"/>
      <c r="E484" s="100" t="n"/>
      <c r="F484" s="100" t="n"/>
      <c r="G484" s="100" t="n"/>
      <c r="H484" s="100" t="n"/>
    </row>
    <row r="485">
      <c r="A485" s="100" t="n"/>
      <c r="B485" s="100" t="n"/>
      <c r="C485" s="100" t="n"/>
      <c r="D485" s="100" t="n"/>
      <c r="E485" s="100" t="n"/>
      <c r="F485" s="100" t="n"/>
      <c r="G485" s="100" t="n"/>
      <c r="H485" s="100" t="n"/>
    </row>
    <row r="486">
      <c r="A486" s="100" t="n"/>
      <c r="B486" s="100" t="n"/>
      <c r="C486" s="100" t="n"/>
      <c r="D486" s="100" t="n"/>
      <c r="E486" s="100" t="n"/>
      <c r="F486" s="100" t="n"/>
      <c r="G486" s="100" t="n"/>
      <c r="H486" s="100" t="n"/>
    </row>
    <row r="487">
      <c r="A487" s="100" t="n"/>
      <c r="B487" s="100" t="n"/>
      <c r="C487" s="100" t="n"/>
      <c r="D487" s="100" t="n"/>
      <c r="E487" s="100" t="n"/>
      <c r="F487" s="100" t="n"/>
      <c r="G487" s="100" t="n"/>
      <c r="H487" s="100" t="n"/>
    </row>
    <row r="488">
      <c r="A488" s="100" t="n"/>
      <c r="B488" s="100" t="n"/>
      <c r="C488" s="100" t="n"/>
      <c r="D488" s="100" t="n"/>
      <c r="E488" s="100" t="n"/>
      <c r="F488" s="100" t="n"/>
      <c r="G488" s="100" t="n"/>
      <c r="H488" s="100" t="n"/>
    </row>
    <row r="489">
      <c r="A489" s="100" t="n"/>
      <c r="B489" s="100" t="n"/>
      <c r="C489" s="100" t="n"/>
      <c r="D489" s="100" t="n"/>
      <c r="E489" s="100" t="n"/>
      <c r="F489" s="100" t="n"/>
      <c r="G489" s="100" t="n"/>
      <c r="H489" s="100" t="n"/>
    </row>
    <row r="490">
      <c r="A490" s="100" t="n"/>
      <c r="B490" s="100" t="n"/>
      <c r="C490" s="100" t="n"/>
      <c r="D490" s="100" t="n"/>
      <c r="E490" s="100" t="n"/>
      <c r="F490" s="100" t="n"/>
      <c r="G490" s="100" t="n"/>
      <c r="H490" s="100" t="n"/>
    </row>
    <row r="491">
      <c r="A491" s="100" t="n"/>
      <c r="B491" s="100" t="n"/>
      <c r="C491" s="100" t="n"/>
      <c r="D491" s="100" t="n"/>
      <c r="E491" s="100" t="n"/>
      <c r="F491" s="100" t="n"/>
      <c r="G491" s="100" t="n"/>
      <c r="H491" s="100" t="n"/>
    </row>
    <row r="492">
      <c r="A492" s="100" t="n"/>
      <c r="B492" s="100" t="n"/>
      <c r="C492" s="100" t="n"/>
      <c r="D492" s="100" t="n"/>
      <c r="E492" s="100" t="n"/>
      <c r="F492" s="100" t="n"/>
      <c r="G492" s="100" t="n"/>
      <c r="H492" s="100" t="n"/>
    </row>
    <row r="493">
      <c r="A493" s="100" t="n"/>
      <c r="B493" s="100" t="n"/>
      <c r="C493" s="100" t="n"/>
      <c r="D493" s="100" t="n"/>
      <c r="E493" s="100" t="n"/>
      <c r="F493" s="100" t="n"/>
      <c r="G493" s="100" t="n"/>
      <c r="H493" s="100" t="n"/>
    </row>
    <row r="494">
      <c r="A494" s="100" t="n"/>
      <c r="B494" s="100" t="n"/>
      <c r="C494" s="100" t="n"/>
      <c r="D494" s="100" t="n"/>
      <c r="E494" s="100" t="n"/>
      <c r="F494" s="100" t="n"/>
      <c r="G494" s="100" t="n"/>
      <c r="H494" s="100" t="n"/>
    </row>
    <row r="495">
      <c r="A495" s="100" t="n"/>
      <c r="B495" s="100" t="n"/>
      <c r="C495" s="100" t="n"/>
      <c r="D495" s="100" t="n"/>
      <c r="E495" s="100" t="n"/>
      <c r="F495" s="100" t="n"/>
      <c r="G495" s="100" t="n"/>
      <c r="H495" s="100" t="n"/>
    </row>
    <row r="496">
      <c r="A496" s="100" t="n"/>
      <c r="B496" s="100" t="n"/>
      <c r="C496" s="100" t="n"/>
      <c r="D496" s="100" t="n"/>
      <c r="E496" s="100" t="n"/>
      <c r="F496" s="100" t="n"/>
      <c r="G496" s="100" t="n"/>
      <c r="H496" s="100" t="n"/>
    </row>
    <row r="497">
      <c r="A497" s="100" t="n"/>
      <c r="B497" s="100" t="n"/>
      <c r="C497" s="100" t="n"/>
      <c r="D497" s="100" t="n"/>
      <c r="E497" s="100" t="n"/>
      <c r="F497" s="100" t="n"/>
      <c r="G497" s="100" t="n"/>
      <c r="H497" s="100" t="n"/>
    </row>
    <row r="498">
      <c r="A498" s="100" t="n"/>
      <c r="B498" s="100" t="n"/>
      <c r="C498" s="100" t="n"/>
      <c r="D498" s="100" t="n"/>
      <c r="E498" s="100" t="n"/>
      <c r="F498" s="100" t="n"/>
      <c r="G498" s="100" t="n"/>
      <c r="H498" s="100" t="n"/>
    </row>
    <row r="499">
      <c r="A499" s="100" t="n"/>
      <c r="B499" s="100" t="n"/>
      <c r="C499" s="100" t="n"/>
      <c r="D499" s="100" t="n"/>
      <c r="E499" s="100" t="n"/>
      <c r="F499" s="100" t="n"/>
      <c r="G499" s="100" t="n"/>
      <c r="H499" s="100" t="n"/>
    </row>
    <row r="500">
      <c r="A500" s="100" t="n"/>
      <c r="B500" s="100" t="n"/>
      <c r="C500" s="100" t="n"/>
      <c r="D500" s="100" t="n"/>
      <c r="E500" s="100" t="n"/>
      <c r="F500" s="100" t="n"/>
      <c r="G500" s="100" t="n"/>
      <c r="H500" s="100" t="n"/>
    </row>
    <row r="501">
      <c r="A501" s="100" t="n"/>
      <c r="B501" s="100" t="n"/>
      <c r="C501" s="100" t="n"/>
      <c r="D501" s="100" t="n"/>
      <c r="E501" s="100" t="n"/>
      <c r="F501" s="100" t="n"/>
      <c r="G501" s="100" t="n"/>
      <c r="H501" s="100" t="n"/>
    </row>
    <row r="502">
      <c r="A502" s="100" t="n"/>
      <c r="B502" s="100" t="n"/>
      <c r="C502" s="100" t="n"/>
      <c r="D502" s="100" t="n"/>
      <c r="E502" s="100" t="n"/>
      <c r="F502" s="100" t="n"/>
      <c r="G502" s="100" t="n"/>
      <c r="H502" s="100" t="n"/>
    </row>
    <row r="503">
      <c r="A503" s="100" t="n"/>
      <c r="B503" s="100" t="n"/>
      <c r="C503" s="100" t="n"/>
      <c r="D503" s="100" t="n"/>
      <c r="E503" s="100" t="n"/>
      <c r="F503" s="100" t="n"/>
      <c r="G503" s="100" t="n"/>
      <c r="H503" s="100" t="n"/>
    </row>
    <row r="504">
      <c r="A504" s="100" t="n"/>
      <c r="B504" s="100" t="n"/>
      <c r="C504" s="100" t="n"/>
      <c r="D504" s="100" t="n"/>
      <c r="E504" s="100" t="n"/>
      <c r="F504" s="100" t="n"/>
      <c r="G504" s="100" t="n"/>
      <c r="H504" s="100" t="n"/>
    </row>
    <row r="505">
      <c r="A505" s="100" t="n"/>
      <c r="B505" s="100" t="n"/>
      <c r="C505" s="100" t="n"/>
      <c r="D505" s="100" t="n"/>
      <c r="E505" s="100" t="n"/>
      <c r="F505" s="100" t="n"/>
      <c r="G505" s="100" t="n"/>
      <c r="H505" s="100" t="n"/>
    </row>
    <row r="506">
      <c r="A506" s="100" t="n"/>
      <c r="B506" s="100" t="n"/>
      <c r="C506" s="100" t="n"/>
      <c r="D506" s="100" t="n"/>
      <c r="E506" s="100" t="n"/>
      <c r="F506" s="100" t="n"/>
      <c r="G506" s="100" t="n"/>
      <c r="H506" s="100" t="n"/>
    </row>
    <row r="507">
      <c r="A507" s="100" t="n"/>
      <c r="B507" s="100" t="n"/>
      <c r="C507" s="100" t="n"/>
      <c r="D507" s="100" t="n"/>
      <c r="E507" s="100" t="n"/>
      <c r="F507" s="100" t="n"/>
      <c r="G507" s="100" t="n"/>
      <c r="H507" s="100" t="n"/>
    </row>
    <row r="508">
      <c r="A508" s="100" t="n"/>
      <c r="B508" s="100" t="n"/>
      <c r="C508" s="100" t="n"/>
      <c r="D508" s="100" t="n"/>
      <c r="E508" s="100" t="n"/>
      <c r="F508" s="100" t="n"/>
      <c r="G508" s="100" t="n"/>
      <c r="H508" s="100" t="n"/>
    </row>
    <row r="509">
      <c r="A509" s="100" t="n"/>
      <c r="B509" s="100" t="n"/>
      <c r="C509" s="100" t="n"/>
      <c r="D509" s="100" t="n"/>
      <c r="E509" s="100" t="n"/>
      <c r="F509" s="100" t="n"/>
      <c r="G509" s="100" t="n"/>
      <c r="H509" s="100" t="n"/>
    </row>
    <row r="510">
      <c r="A510" s="100" t="n"/>
      <c r="B510" s="100" t="n"/>
      <c r="C510" s="100" t="n"/>
      <c r="D510" s="100" t="n"/>
      <c r="E510" s="100" t="n"/>
      <c r="F510" s="100" t="n"/>
      <c r="G510" s="100" t="n"/>
      <c r="H510" s="100" t="n"/>
    </row>
    <row r="511">
      <c r="A511" s="100" t="n"/>
      <c r="B511" s="100" t="n"/>
      <c r="C511" s="100" t="n"/>
      <c r="D511" s="100" t="n"/>
      <c r="E511" s="100" t="n"/>
      <c r="F511" s="100" t="n"/>
      <c r="G511" s="100" t="n"/>
      <c r="H511" s="100" t="n"/>
    </row>
    <row r="512">
      <c r="A512" s="100" t="n"/>
      <c r="B512" s="100" t="n"/>
      <c r="C512" s="100" t="n"/>
      <c r="D512" s="100" t="n"/>
      <c r="E512" s="100" t="n"/>
      <c r="F512" s="100" t="n"/>
      <c r="G512" s="100" t="n"/>
      <c r="H512" s="100" t="n"/>
    </row>
    <row r="513">
      <c r="A513" s="100" t="n"/>
      <c r="B513" s="100" t="n"/>
      <c r="C513" s="100" t="n"/>
      <c r="D513" s="100" t="n"/>
      <c r="E513" s="100" t="n"/>
      <c r="F513" s="100" t="n"/>
      <c r="G513" s="100" t="n"/>
      <c r="H513" s="100" t="n"/>
    </row>
    <row r="514">
      <c r="A514" s="100" t="n"/>
      <c r="B514" s="100" t="n"/>
      <c r="C514" s="100" t="n"/>
      <c r="D514" s="100" t="n"/>
      <c r="E514" s="100" t="n"/>
      <c r="F514" s="100" t="n"/>
      <c r="G514" s="100" t="n"/>
      <c r="H514" s="100" t="n"/>
    </row>
    <row r="515">
      <c r="A515" s="100" t="n"/>
      <c r="B515" s="100" t="n"/>
      <c r="C515" s="100" t="n"/>
      <c r="D515" s="100" t="n"/>
      <c r="E515" s="100" t="n"/>
      <c r="F515" s="100" t="n"/>
      <c r="G515" s="100" t="n"/>
      <c r="H515" s="100" t="n"/>
    </row>
    <row r="516">
      <c r="A516" s="100" t="n"/>
      <c r="B516" s="100" t="n"/>
      <c r="C516" s="100" t="n"/>
      <c r="D516" s="100" t="n"/>
      <c r="E516" s="100" t="n"/>
      <c r="F516" s="100" t="n"/>
      <c r="G516" s="100" t="n"/>
      <c r="H516" s="100" t="n"/>
    </row>
    <row r="517">
      <c r="A517" s="100" t="n"/>
      <c r="B517" s="100" t="n"/>
      <c r="C517" s="100" t="n"/>
      <c r="D517" s="100" t="n"/>
      <c r="E517" s="100" t="n"/>
      <c r="F517" s="100" t="n"/>
      <c r="G517" s="100" t="n"/>
      <c r="H517" s="100" t="n"/>
    </row>
    <row r="518">
      <c r="A518" s="100" t="n"/>
      <c r="B518" s="100" t="n"/>
      <c r="C518" s="100" t="n"/>
      <c r="D518" s="100" t="n"/>
      <c r="E518" s="100" t="n"/>
      <c r="F518" s="100" t="n"/>
      <c r="G518" s="100" t="n"/>
      <c r="H518" s="100" t="n"/>
    </row>
    <row r="519">
      <c r="A519" s="100" t="n"/>
      <c r="B519" s="100" t="n"/>
      <c r="C519" s="100" t="n"/>
      <c r="D519" s="100" t="n"/>
      <c r="E519" s="100" t="n"/>
      <c r="F519" s="100" t="n"/>
      <c r="G519" s="100" t="n"/>
      <c r="H519" s="100" t="n"/>
    </row>
    <row r="520">
      <c r="A520" s="100" t="n"/>
      <c r="B520" s="100" t="n"/>
      <c r="C520" s="100" t="n"/>
      <c r="D520" s="100" t="n"/>
      <c r="E520" s="100" t="n"/>
      <c r="F520" s="100" t="n"/>
      <c r="G520" s="100" t="n"/>
      <c r="H520" s="100" t="n"/>
    </row>
    <row r="521">
      <c r="A521" s="100" t="n"/>
      <c r="B521" s="100" t="n"/>
      <c r="C521" s="100" t="n"/>
      <c r="D521" s="100" t="n"/>
      <c r="E521" s="100" t="n"/>
      <c r="F521" s="100" t="n"/>
      <c r="G521" s="100" t="n"/>
      <c r="H521" s="100" t="n"/>
    </row>
    <row r="522">
      <c r="A522" s="100" t="n"/>
      <c r="B522" s="100" t="n"/>
      <c r="C522" s="100" t="n"/>
      <c r="D522" s="100" t="n"/>
      <c r="E522" s="100" t="n"/>
      <c r="F522" s="100" t="n"/>
      <c r="G522" s="100" t="n"/>
      <c r="H522" s="100" t="n"/>
    </row>
    <row r="523">
      <c r="A523" s="100" t="n"/>
      <c r="B523" s="100" t="n"/>
      <c r="C523" s="100" t="n"/>
      <c r="D523" s="100" t="n"/>
      <c r="E523" s="100" t="n"/>
      <c r="F523" s="100" t="n"/>
      <c r="G523" s="100" t="n"/>
      <c r="H523" s="100" t="n"/>
    </row>
    <row r="524">
      <c r="A524" s="100" t="n"/>
      <c r="B524" s="100" t="n"/>
      <c r="C524" s="100" t="n"/>
      <c r="D524" s="100" t="n"/>
      <c r="E524" s="100" t="n"/>
      <c r="F524" s="100" t="n"/>
      <c r="G524" s="100" t="n"/>
      <c r="H524" s="100" t="n"/>
    </row>
    <row r="525">
      <c r="A525" s="100" t="n"/>
      <c r="B525" s="100" t="n"/>
      <c r="C525" s="100" t="n"/>
      <c r="D525" s="100" t="n"/>
      <c r="E525" s="100" t="n"/>
      <c r="F525" s="100" t="n"/>
      <c r="G525" s="100" t="n"/>
      <c r="H525" s="100" t="n"/>
    </row>
    <row r="526">
      <c r="A526" s="100" t="n"/>
      <c r="B526" s="100" t="n"/>
      <c r="C526" s="100" t="n"/>
      <c r="D526" s="100" t="n"/>
      <c r="E526" s="100" t="n"/>
      <c r="F526" s="100" t="n"/>
      <c r="G526" s="100" t="n"/>
      <c r="H526" s="100" t="n"/>
    </row>
    <row r="527">
      <c r="A527" s="100" t="n"/>
      <c r="B527" s="100" t="n"/>
      <c r="C527" s="100" t="n"/>
      <c r="D527" s="100" t="n"/>
      <c r="E527" s="100" t="n"/>
      <c r="F527" s="100" t="n"/>
      <c r="G527" s="100" t="n"/>
      <c r="H527" s="100" t="n"/>
    </row>
    <row r="528">
      <c r="A528" s="100" t="n"/>
      <c r="B528" s="100" t="n"/>
      <c r="C528" s="100" t="n"/>
      <c r="D528" s="100" t="n"/>
      <c r="E528" s="100" t="n"/>
      <c r="F528" s="100" t="n"/>
      <c r="G528" s="100" t="n"/>
      <c r="H528" s="100" t="n"/>
    </row>
    <row r="529">
      <c r="A529" s="100" t="n"/>
      <c r="B529" s="100" t="n"/>
      <c r="C529" s="100" t="n"/>
      <c r="D529" s="100" t="n"/>
      <c r="E529" s="100" t="n"/>
      <c r="F529" s="100" t="n"/>
      <c r="G529" s="100" t="n"/>
      <c r="H529" s="100" t="n"/>
    </row>
    <row r="530">
      <c r="A530" s="100" t="n"/>
      <c r="B530" s="100" t="n"/>
      <c r="C530" s="100" t="n"/>
      <c r="D530" s="100" t="n"/>
      <c r="E530" s="100" t="n"/>
      <c r="F530" s="100" t="n"/>
      <c r="G530" s="100" t="n"/>
      <c r="H530" s="100" t="n"/>
    </row>
    <row r="531">
      <c r="A531" s="100" t="n"/>
      <c r="B531" s="100" t="n"/>
      <c r="C531" s="100" t="n"/>
      <c r="D531" s="100" t="n"/>
      <c r="E531" s="100" t="n"/>
      <c r="F531" s="100" t="n"/>
      <c r="G531" s="100" t="n"/>
      <c r="H531" s="100" t="n"/>
    </row>
    <row r="532">
      <c r="A532" s="100" t="n"/>
      <c r="B532" s="100" t="n"/>
      <c r="C532" s="100" t="n"/>
      <c r="D532" s="100" t="n"/>
      <c r="E532" s="100" t="n"/>
      <c r="F532" s="100" t="n"/>
      <c r="G532" s="100" t="n"/>
      <c r="H532" s="100" t="n"/>
    </row>
    <row r="533">
      <c r="A533" s="100" t="n"/>
      <c r="B533" s="100" t="n"/>
      <c r="C533" s="100" t="n"/>
      <c r="D533" s="100" t="n"/>
      <c r="E533" s="100" t="n"/>
      <c r="F533" s="100" t="n"/>
      <c r="G533" s="100" t="n"/>
      <c r="H533" s="100" t="n"/>
    </row>
    <row r="534">
      <c r="A534" s="100" t="n"/>
      <c r="B534" s="100" t="n"/>
      <c r="C534" s="100" t="n"/>
      <c r="D534" s="100" t="n"/>
      <c r="E534" s="100" t="n"/>
      <c r="F534" s="100" t="n"/>
      <c r="G534" s="100" t="n"/>
      <c r="H534" s="100" t="n"/>
    </row>
    <row r="535">
      <c r="A535" s="100" t="n"/>
      <c r="B535" s="100" t="n"/>
      <c r="C535" s="100" t="n"/>
      <c r="D535" s="100" t="n"/>
      <c r="E535" s="100" t="n"/>
      <c r="F535" s="100" t="n"/>
      <c r="G535" s="100" t="n"/>
      <c r="H535" s="100" t="n"/>
    </row>
    <row r="536">
      <c r="A536" s="100" t="n"/>
      <c r="B536" s="100" t="n"/>
      <c r="C536" s="100" t="n"/>
      <c r="D536" s="100" t="n"/>
      <c r="E536" s="100" t="n"/>
      <c r="F536" s="100" t="n"/>
      <c r="G536" s="100" t="n"/>
      <c r="H536" s="100" t="n"/>
    </row>
    <row r="537">
      <c r="A537" s="100" t="n"/>
      <c r="B537" s="100" t="n"/>
      <c r="C537" s="100" t="n"/>
      <c r="D537" s="100" t="n"/>
      <c r="E537" s="100" t="n"/>
      <c r="F537" s="100" t="n"/>
      <c r="G537" s="100" t="n"/>
      <c r="H537" s="100" t="n"/>
    </row>
    <row r="538">
      <c r="A538" s="100" t="n"/>
      <c r="B538" s="100" t="n"/>
      <c r="C538" s="100" t="n"/>
      <c r="D538" s="100" t="n"/>
      <c r="E538" s="100" t="n"/>
      <c r="F538" s="100" t="n"/>
      <c r="G538" s="100" t="n"/>
      <c r="H538" s="100" t="n"/>
    </row>
    <row r="539">
      <c r="A539" s="100" t="n"/>
      <c r="B539" s="100" t="n"/>
      <c r="C539" s="100" t="n"/>
      <c r="D539" s="100" t="n"/>
      <c r="E539" s="100" t="n"/>
      <c r="F539" s="100" t="n"/>
      <c r="G539" s="100" t="n"/>
      <c r="H539" s="100" t="n"/>
    </row>
    <row r="540">
      <c r="A540" s="100" t="n"/>
      <c r="B540" s="100" t="n"/>
      <c r="C540" s="100" t="n"/>
      <c r="D540" s="100" t="n"/>
      <c r="E540" s="100" t="n"/>
      <c r="F540" s="100" t="n"/>
      <c r="G540" s="100" t="n"/>
      <c r="H540" s="100" t="n"/>
    </row>
    <row r="541">
      <c r="A541" s="100" t="n"/>
      <c r="B541" s="100" t="n"/>
      <c r="C541" s="100" t="n"/>
      <c r="D541" s="100" t="n"/>
      <c r="E541" s="100" t="n"/>
      <c r="F541" s="100" t="n"/>
      <c r="G541" s="100" t="n"/>
      <c r="H541" s="100" t="n"/>
    </row>
    <row r="542">
      <c r="A542" s="100" t="n"/>
      <c r="B542" s="100" t="n"/>
      <c r="C542" s="100" t="n"/>
      <c r="D542" s="100" t="n"/>
      <c r="E542" s="100" t="n"/>
      <c r="F542" s="100" t="n"/>
      <c r="G542" s="100" t="n"/>
      <c r="H542" s="100" t="n"/>
    </row>
    <row r="543">
      <c r="A543" s="100" t="n"/>
      <c r="B543" s="100" t="n"/>
      <c r="C543" s="100" t="n"/>
      <c r="D543" s="100" t="n"/>
      <c r="E543" s="100" t="n"/>
      <c r="F543" s="100" t="n"/>
      <c r="G543" s="100" t="n"/>
      <c r="H543" s="100" t="n"/>
    </row>
    <row r="544">
      <c r="A544" s="100" t="n"/>
      <c r="B544" s="100" t="n"/>
      <c r="C544" s="100" t="n"/>
      <c r="D544" s="100" t="n"/>
      <c r="E544" s="100" t="n"/>
      <c r="F544" s="100" t="n"/>
      <c r="G544" s="100" t="n"/>
      <c r="H544" s="100" t="n"/>
    </row>
    <row r="545">
      <c r="A545" s="100" t="n"/>
      <c r="B545" s="100" t="n"/>
      <c r="C545" s="100" t="n"/>
      <c r="D545" s="100" t="n"/>
      <c r="E545" s="100" t="n"/>
      <c r="F545" s="100" t="n"/>
      <c r="G545" s="100" t="n"/>
      <c r="H545" s="100" t="n"/>
    </row>
    <row r="546">
      <c r="A546" s="100" t="n"/>
      <c r="B546" s="100" t="n"/>
      <c r="C546" s="100" t="n"/>
      <c r="D546" s="100" t="n"/>
      <c r="E546" s="100" t="n"/>
      <c r="F546" s="100" t="n"/>
      <c r="G546" s="100" t="n"/>
      <c r="H546" s="100" t="n"/>
    </row>
    <row r="547">
      <c r="A547" s="100" t="n"/>
      <c r="B547" s="100" t="n"/>
      <c r="C547" s="100" t="n"/>
      <c r="D547" s="100" t="n"/>
      <c r="E547" s="100" t="n"/>
      <c r="F547" s="100" t="n"/>
      <c r="G547" s="100" t="n"/>
      <c r="H547" s="100" t="n"/>
    </row>
    <row r="548">
      <c r="A548" s="100" t="n"/>
      <c r="B548" s="100" t="n"/>
      <c r="C548" s="100" t="n"/>
      <c r="D548" s="100" t="n"/>
      <c r="E548" s="100" t="n"/>
      <c r="F548" s="100" t="n"/>
      <c r="G548" s="100" t="n"/>
      <c r="H548" s="100" t="n"/>
    </row>
    <row r="549">
      <c r="A549" s="100" t="n"/>
      <c r="B549" s="100" t="n"/>
      <c r="C549" s="100" t="n"/>
      <c r="D549" s="100" t="n"/>
      <c r="E549" s="100" t="n"/>
      <c r="F549" s="100" t="n"/>
      <c r="G549" s="100" t="n"/>
      <c r="H549" s="100" t="n"/>
    </row>
    <row r="550">
      <c r="A550" s="100" t="n"/>
      <c r="B550" s="100" t="n"/>
      <c r="C550" s="100" t="n"/>
      <c r="D550" s="100" t="n"/>
      <c r="E550" s="100" t="n"/>
      <c r="F550" s="100" t="n"/>
      <c r="G550" s="100" t="n"/>
      <c r="H550" s="100" t="n"/>
    </row>
    <row r="551">
      <c r="A551" s="100" t="n"/>
      <c r="B551" s="100" t="n"/>
      <c r="C551" s="100" t="n"/>
      <c r="D551" s="100" t="n"/>
      <c r="E551" s="100" t="n"/>
      <c r="F551" s="100" t="n"/>
      <c r="G551" s="100" t="n"/>
      <c r="H551" s="100" t="n"/>
    </row>
    <row r="552">
      <c r="A552" s="100" t="n"/>
      <c r="B552" s="100" t="n"/>
      <c r="C552" s="100" t="n"/>
      <c r="D552" s="100" t="n"/>
      <c r="E552" s="100" t="n"/>
      <c r="F552" s="100" t="n"/>
      <c r="G552" s="100" t="n"/>
      <c r="H552" s="100" t="n"/>
    </row>
    <row r="553">
      <c r="A553" s="100" t="n"/>
      <c r="B553" s="100" t="n"/>
      <c r="C553" s="100" t="n"/>
      <c r="D553" s="100" t="n"/>
      <c r="E553" s="100" t="n"/>
      <c r="F553" s="100" t="n"/>
      <c r="G553" s="100" t="n"/>
      <c r="H553" s="100" t="n"/>
    </row>
    <row r="554">
      <c r="A554" s="100" t="n"/>
      <c r="B554" s="100" t="n"/>
      <c r="C554" s="100" t="n"/>
      <c r="D554" s="100" t="n"/>
      <c r="E554" s="100" t="n"/>
      <c r="F554" s="100" t="n"/>
      <c r="G554" s="100" t="n"/>
      <c r="H554" s="100" t="n"/>
    </row>
    <row r="555">
      <c r="A555" s="100" t="n"/>
      <c r="B555" s="100" t="n"/>
      <c r="C555" s="100" t="n"/>
      <c r="D555" s="100" t="n"/>
      <c r="E555" s="100" t="n"/>
      <c r="F555" s="100" t="n"/>
      <c r="G555" s="100" t="n"/>
      <c r="H555" s="100" t="n"/>
    </row>
    <row r="556">
      <c r="A556" s="100" t="n"/>
      <c r="B556" s="100" t="n"/>
      <c r="C556" s="100" t="n"/>
      <c r="D556" s="100" t="n"/>
      <c r="E556" s="100" t="n"/>
      <c r="F556" s="100" t="n"/>
      <c r="G556" s="100" t="n"/>
      <c r="H556" s="100" t="n"/>
    </row>
    <row r="557">
      <c r="A557" s="100" t="n"/>
      <c r="B557" s="100" t="n"/>
      <c r="C557" s="100" t="n"/>
      <c r="D557" s="100" t="n"/>
      <c r="E557" s="100" t="n"/>
      <c r="F557" s="100" t="n"/>
      <c r="G557" s="100" t="n"/>
      <c r="H557" s="100" t="n"/>
    </row>
    <row r="558">
      <c r="A558" s="100" t="n"/>
      <c r="B558" s="100" t="n"/>
      <c r="C558" s="100" t="n"/>
      <c r="D558" s="100" t="n"/>
      <c r="E558" s="100" t="n"/>
      <c r="F558" s="100" t="n"/>
      <c r="G558" s="100" t="n"/>
      <c r="H558" s="100" t="n"/>
    </row>
    <row r="559">
      <c r="A559" s="100" t="n"/>
      <c r="B559" s="100" t="n"/>
      <c r="C559" s="100" t="n"/>
      <c r="D559" s="100" t="n"/>
      <c r="E559" s="100" t="n"/>
      <c r="F559" s="100" t="n"/>
      <c r="G559" s="100" t="n"/>
      <c r="H559" s="100" t="n"/>
    </row>
    <row r="560">
      <c r="A560" s="100" t="n"/>
      <c r="B560" s="100" t="n"/>
      <c r="C560" s="100" t="n"/>
      <c r="D560" s="100" t="n"/>
      <c r="E560" s="100" t="n"/>
      <c r="F560" s="100" t="n"/>
      <c r="G560" s="100" t="n"/>
      <c r="H560" s="100" t="n"/>
    </row>
    <row r="561">
      <c r="A561" s="100" t="n"/>
      <c r="B561" s="100" t="n"/>
      <c r="C561" s="100" t="n"/>
      <c r="D561" s="100" t="n"/>
      <c r="E561" s="100" t="n"/>
      <c r="F561" s="100" t="n"/>
      <c r="G561" s="100" t="n"/>
      <c r="H561" s="100" t="n"/>
    </row>
    <row r="562">
      <c r="A562" s="100" t="n"/>
      <c r="B562" s="100" t="n"/>
      <c r="C562" s="100" t="n"/>
      <c r="D562" s="100" t="n"/>
      <c r="E562" s="100" t="n"/>
      <c r="F562" s="100" t="n"/>
      <c r="G562" s="100" t="n"/>
      <c r="H562" s="100" t="n"/>
    </row>
    <row r="563">
      <c r="A563" s="100" t="n"/>
      <c r="B563" s="100" t="n"/>
      <c r="C563" s="100" t="n"/>
      <c r="D563" s="100" t="n"/>
      <c r="E563" s="100" t="n"/>
      <c r="F563" s="100" t="n"/>
      <c r="G563" s="100" t="n"/>
      <c r="H563" s="100" t="n"/>
    </row>
    <row r="564">
      <c r="A564" s="100" t="n"/>
      <c r="B564" s="100" t="n"/>
      <c r="C564" s="100" t="n"/>
      <c r="D564" s="100" t="n"/>
      <c r="E564" s="100" t="n"/>
      <c r="F564" s="100" t="n"/>
      <c r="G564" s="100" t="n"/>
      <c r="H564" s="100" t="n"/>
    </row>
    <row r="565">
      <c r="A565" s="100" t="n"/>
      <c r="B565" s="100" t="n"/>
      <c r="C565" s="100" t="n"/>
      <c r="D565" s="100" t="n"/>
      <c r="E565" s="100" t="n"/>
      <c r="F565" s="100" t="n"/>
      <c r="G565" s="100" t="n"/>
      <c r="H565" s="100" t="n"/>
    </row>
    <row r="566">
      <c r="A566" s="100" t="n"/>
      <c r="B566" s="100" t="n"/>
      <c r="C566" s="100" t="n"/>
      <c r="D566" s="100" t="n"/>
      <c r="E566" s="100" t="n"/>
      <c r="F566" s="100" t="n"/>
      <c r="G566" s="100" t="n"/>
      <c r="H566" s="100" t="n"/>
    </row>
    <row r="567">
      <c r="A567" s="100" t="n"/>
      <c r="B567" s="100" t="n"/>
      <c r="C567" s="100" t="n"/>
      <c r="D567" s="100" t="n"/>
      <c r="E567" s="100" t="n"/>
      <c r="F567" s="100" t="n"/>
      <c r="G567" s="100" t="n"/>
      <c r="H567" s="100" t="n"/>
    </row>
    <row r="568">
      <c r="A568" s="100" t="n"/>
      <c r="B568" s="100" t="n"/>
      <c r="C568" s="100" t="n"/>
      <c r="D568" s="100" t="n"/>
      <c r="E568" s="100" t="n"/>
      <c r="F568" s="100" t="n"/>
      <c r="G568" s="100" t="n"/>
      <c r="H568" s="100" t="n"/>
    </row>
    <row r="569">
      <c r="A569" s="100" t="n"/>
      <c r="B569" s="100" t="n"/>
      <c r="C569" s="100" t="n"/>
      <c r="D569" s="100" t="n"/>
      <c r="E569" s="100" t="n"/>
      <c r="F569" s="100" t="n"/>
      <c r="G569" s="100" t="n"/>
      <c r="H569" s="100" t="n"/>
    </row>
    <row r="570">
      <c r="A570" s="100" t="n"/>
      <c r="B570" s="100" t="n"/>
      <c r="C570" s="100" t="n"/>
      <c r="D570" s="100" t="n"/>
      <c r="E570" s="100" t="n"/>
      <c r="F570" s="100" t="n"/>
      <c r="G570" s="100" t="n"/>
      <c r="H570" s="100" t="n"/>
    </row>
    <row r="571">
      <c r="A571" s="100" t="n"/>
      <c r="B571" s="100" t="n"/>
      <c r="C571" s="100" t="n"/>
      <c r="D571" s="100" t="n"/>
      <c r="E571" s="100" t="n"/>
      <c r="F571" s="100" t="n"/>
      <c r="G571" s="100" t="n"/>
      <c r="H571" s="100" t="n"/>
    </row>
    <row r="572">
      <c r="A572" s="100" t="n"/>
      <c r="B572" s="100" t="n"/>
      <c r="C572" s="100" t="n"/>
      <c r="D572" s="100" t="n"/>
      <c r="E572" s="100" t="n"/>
      <c r="F572" s="100" t="n"/>
      <c r="G572" s="100" t="n"/>
      <c r="H572" s="100" t="n"/>
    </row>
    <row r="573">
      <c r="A573" s="100" t="n"/>
      <c r="B573" s="100" t="n"/>
      <c r="C573" s="100" t="n"/>
      <c r="D573" s="100" t="n"/>
      <c r="E573" s="100" t="n"/>
      <c r="F573" s="100" t="n"/>
      <c r="G573" s="100" t="n"/>
      <c r="H573" s="100" t="n"/>
    </row>
    <row r="574">
      <c r="A574" s="100" t="n"/>
      <c r="B574" s="100" t="n"/>
      <c r="C574" s="100" t="n"/>
      <c r="D574" s="100" t="n"/>
      <c r="E574" s="100" t="n"/>
      <c r="F574" s="100" t="n"/>
      <c r="G574" s="100" t="n"/>
      <c r="H574" s="100" t="n"/>
    </row>
    <row r="575">
      <c r="A575" s="100" t="n"/>
      <c r="B575" s="100" t="n"/>
      <c r="C575" s="100" t="n"/>
      <c r="D575" s="100" t="n"/>
      <c r="E575" s="100" t="n"/>
      <c r="F575" s="100" t="n"/>
      <c r="G575" s="100" t="n"/>
      <c r="H575" s="100" t="n"/>
    </row>
    <row r="576">
      <c r="A576" s="100" t="n"/>
      <c r="B576" s="100" t="n"/>
      <c r="C576" s="100" t="n"/>
      <c r="D576" s="100" t="n"/>
      <c r="E576" s="100" t="n"/>
      <c r="F576" s="100" t="n"/>
      <c r="G576" s="100" t="n"/>
      <c r="H576" s="100" t="n"/>
    </row>
    <row r="577">
      <c r="A577" s="100" t="n"/>
      <c r="B577" s="100" t="n"/>
      <c r="C577" s="100" t="n"/>
      <c r="D577" s="100" t="n"/>
      <c r="E577" s="100" t="n"/>
      <c r="F577" s="100" t="n"/>
      <c r="G577" s="100" t="n"/>
      <c r="H577" s="100" t="n"/>
    </row>
    <row r="578">
      <c r="A578" s="100" t="n"/>
      <c r="B578" s="100" t="n"/>
      <c r="C578" s="100" t="n"/>
      <c r="D578" s="100" t="n"/>
      <c r="E578" s="100" t="n"/>
      <c r="F578" s="100" t="n"/>
      <c r="G578" s="100" t="n"/>
      <c r="H578" s="100" t="n"/>
    </row>
    <row r="579">
      <c r="A579" s="100" t="n"/>
      <c r="B579" s="100" t="n"/>
      <c r="C579" s="100" t="n"/>
      <c r="D579" s="100" t="n"/>
      <c r="E579" s="100" t="n"/>
      <c r="F579" s="100" t="n"/>
      <c r="G579" s="100" t="n"/>
      <c r="H579" s="100" t="n"/>
    </row>
    <row r="580">
      <c r="A580" s="100" t="n"/>
      <c r="B580" s="100" t="n"/>
      <c r="C580" s="100" t="n"/>
      <c r="D580" s="100" t="n"/>
      <c r="E580" s="100" t="n"/>
      <c r="F580" s="100" t="n"/>
      <c r="G580" s="100" t="n"/>
      <c r="H580" s="100" t="n"/>
    </row>
    <row r="581">
      <c r="A581" s="100" t="n"/>
      <c r="B581" s="100" t="n"/>
      <c r="C581" s="100" t="n"/>
      <c r="D581" s="100" t="n"/>
      <c r="E581" s="100" t="n"/>
      <c r="F581" s="100" t="n"/>
      <c r="G581" s="100" t="n"/>
      <c r="H581" s="100" t="n"/>
    </row>
    <row r="582">
      <c r="A582" s="100" t="n"/>
      <c r="B582" s="100" t="n"/>
      <c r="C582" s="100" t="n"/>
      <c r="D582" s="100" t="n"/>
      <c r="E582" s="100" t="n"/>
      <c r="F582" s="100" t="n"/>
      <c r="G582" s="100" t="n"/>
      <c r="H582" s="100" t="n"/>
    </row>
    <row r="583">
      <c r="A583" s="100" t="n"/>
      <c r="B583" s="100" t="n"/>
      <c r="C583" s="100" t="n"/>
      <c r="D583" s="100" t="n"/>
      <c r="E583" s="100" t="n"/>
      <c r="F583" s="100" t="n"/>
      <c r="G583" s="100" t="n"/>
      <c r="H583" s="100" t="n"/>
    </row>
    <row r="584">
      <c r="A584" s="100" t="n"/>
      <c r="B584" s="100" t="n"/>
      <c r="C584" s="100" t="n"/>
      <c r="D584" s="100" t="n"/>
      <c r="E584" s="100" t="n"/>
      <c r="F584" s="100" t="n"/>
      <c r="G584" s="100" t="n"/>
      <c r="H584" s="100" t="n"/>
    </row>
    <row r="585">
      <c r="A585" s="100" t="n"/>
      <c r="B585" s="100" t="n"/>
      <c r="C585" s="100" t="n"/>
      <c r="D585" s="100" t="n"/>
      <c r="E585" s="100" t="n"/>
      <c r="F585" s="100" t="n"/>
      <c r="G585" s="100" t="n"/>
      <c r="H585" s="100" t="n"/>
    </row>
    <row r="586">
      <c r="A586" s="100" t="n"/>
      <c r="B586" s="100" t="n"/>
      <c r="C586" s="100" t="n"/>
      <c r="D586" s="100" t="n"/>
      <c r="E586" s="100" t="n"/>
      <c r="F586" s="100" t="n"/>
      <c r="G586" s="100" t="n"/>
      <c r="H586" s="100" t="n"/>
    </row>
    <row r="587">
      <c r="A587" s="100" t="n"/>
      <c r="B587" s="100" t="n"/>
      <c r="C587" s="100" t="n"/>
      <c r="D587" s="100" t="n"/>
      <c r="E587" s="100" t="n"/>
      <c r="F587" s="100" t="n"/>
      <c r="G587" s="100" t="n"/>
      <c r="H587" s="100" t="n"/>
    </row>
    <row r="588">
      <c r="A588" s="100" t="n"/>
      <c r="B588" s="100" t="n"/>
      <c r="C588" s="100" t="n"/>
      <c r="D588" s="100" t="n"/>
      <c r="E588" s="100" t="n"/>
      <c r="F588" s="100" t="n"/>
      <c r="G588" s="100" t="n"/>
      <c r="H588" s="100" t="n"/>
    </row>
    <row r="589">
      <c r="A589" s="100" t="n"/>
      <c r="B589" s="100" t="n"/>
      <c r="C589" s="100" t="n"/>
      <c r="D589" s="100" t="n"/>
      <c r="E589" s="100" t="n"/>
      <c r="F589" s="100" t="n"/>
      <c r="G589" s="100" t="n"/>
      <c r="H589" s="100" t="n"/>
    </row>
    <row r="590">
      <c r="A590" s="100" t="n"/>
      <c r="B590" s="100" t="n"/>
      <c r="C590" s="100" t="n"/>
      <c r="D590" s="100" t="n"/>
      <c r="E590" s="100" t="n"/>
      <c r="F590" s="100" t="n"/>
      <c r="G590" s="100" t="n"/>
      <c r="H590" s="100" t="n"/>
    </row>
    <row r="591">
      <c r="A591" s="100" t="n"/>
      <c r="B591" s="100" t="n"/>
      <c r="C591" s="100" t="n"/>
      <c r="D591" s="100" t="n"/>
      <c r="E591" s="100" t="n"/>
      <c r="F591" s="100" t="n"/>
      <c r="G591" s="100" t="n"/>
      <c r="H591" s="100" t="n"/>
    </row>
    <row r="592">
      <c r="A592" s="100" t="n"/>
      <c r="B592" s="100" t="n"/>
      <c r="C592" s="100" t="n"/>
      <c r="D592" s="100" t="n"/>
      <c r="E592" s="100" t="n"/>
      <c r="F592" s="100" t="n"/>
      <c r="G592" s="100" t="n"/>
      <c r="H592" s="100" t="n"/>
    </row>
    <row r="593">
      <c r="A593" s="100" t="n"/>
      <c r="B593" s="100" t="n"/>
      <c r="C593" s="100" t="n"/>
      <c r="D593" s="100" t="n"/>
      <c r="E593" s="100" t="n"/>
      <c r="F593" s="100" t="n"/>
      <c r="G593" s="100" t="n"/>
      <c r="H593" s="100" t="n"/>
    </row>
    <row r="594">
      <c r="A594" s="100" t="n"/>
      <c r="B594" s="100" t="n"/>
      <c r="C594" s="100" t="n"/>
      <c r="D594" s="100" t="n"/>
      <c r="E594" s="100" t="n"/>
      <c r="F594" s="100" t="n"/>
      <c r="G594" s="100" t="n"/>
      <c r="H594" s="100" t="n"/>
    </row>
    <row r="595">
      <c r="A595" s="100" t="n"/>
      <c r="B595" s="100" t="n"/>
      <c r="C595" s="100" t="n"/>
      <c r="D595" s="100" t="n"/>
      <c r="E595" s="100" t="n"/>
      <c r="F595" s="100" t="n"/>
      <c r="G595" s="100" t="n"/>
      <c r="H595" s="100" t="n"/>
    </row>
    <row r="596">
      <c r="A596" s="100" t="n"/>
      <c r="B596" s="100" t="n"/>
      <c r="C596" s="100" t="n"/>
      <c r="D596" s="100" t="n"/>
      <c r="E596" s="100" t="n"/>
      <c r="F596" s="100" t="n"/>
      <c r="G596" s="100" t="n"/>
      <c r="H596" s="100" t="n"/>
    </row>
    <row r="597">
      <c r="A597" s="100" t="n"/>
      <c r="B597" s="100" t="n"/>
      <c r="C597" s="100" t="n"/>
      <c r="D597" s="100" t="n"/>
      <c r="E597" s="100" t="n"/>
      <c r="F597" s="100" t="n"/>
      <c r="G597" s="100" t="n"/>
      <c r="H597" s="100" t="n"/>
    </row>
    <row r="598">
      <c r="A598" s="100" t="n"/>
      <c r="B598" s="100" t="n"/>
      <c r="C598" s="100" t="n"/>
      <c r="D598" s="100" t="n"/>
      <c r="E598" s="100" t="n"/>
      <c r="F598" s="100" t="n"/>
      <c r="G598" s="100" t="n"/>
      <c r="H598" s="100" t="n"/>
    </row>
    <row r="599">
      <c r="A599" s="100" t="n"/>
      <c r="B599" s="100" t="n"/>
      <c r="C599" s="100" t="n"/>
      <c r="D599" s="100" t="n"/>
      <c r="E599" s="100" t="n"/>
      <c r="F599" s="100" t="n"/>
      <c r="G599" s="100" t="n"/>
      <c r="H599" s="100" t="n"/>
    </row>
    <row r="600">
      <c r="A600" s="100" t="n"/>
      <c r="B600" s="100" t="n"/>
      <c r="C600" s="100" t="n"/>
      <c r="D600" s="100" t="n"/>
      <c r="E600" s="100" t="n"/>
      <c r="F600" s="100" t="n"/>
      <c r="G600" s="100" t="n"/>
      <c r="H600" s="100" t="n"/>
    </row>
    <row r="601">
      <c r="A601" s="100" t="n"/>
      <c r="B601" s="100" t="n"/>
      <c r="C601" s="100" t="n"/>
      <c r="D601" s="100" t="n"/>
      <c r="E601" s="100" t="n"/>
      <c r="F601" s="100" t="n"/>
      <c r="G601" s="100" t="n"/>
      <c r="H601" s="100" t="n"/>
    </row>
    <row r="602">
      <c r="A602" s="100" t="n"/>
      <c r="B602" s="100" t="n"/>
      <c r="C602" s="100" t="n"/>
      <c r="D602" s="100" t="n"/>
      <c r="E602" s="100" t="n"/>
      <c r="F602" s="100" t="n"/>
      <c r="G602" s="100" t="n"/>
      <c r="H602" s="100" t="n"/>
    </row>
    <row r="603">
      <c r="A603" s="100" t="n"/>
      <c r="B603" s="100" t="n"/>
      <c r="C603" s="100" t="n"/>
      <c r="D603" s="100" t="n"/>
      <c r="E603" s="100" t="n"/>
      <c r="F603" s="100" t="n"/>
      <c r="G603" s="100" t="n"/>
      <c r="H603" s="100" t="n"/>
    </row>
    <row r="604">
      <c r="A604" s="100" t="n"/>
      <c r="B604" s="100" t="n"/>
      <c r="C604" s="100" t="n"/>
      <c r="D604" s="100" t="n"/>
      <c r="E604" s="100" t="n"/>
      <c r="F604" s="100" t="n"/>
      <c r="G604" s="100" t="n"/>
      <c r="H604" s="100" t="n"/>
    </row>
    <row r="605">
      <c r="A605" s="100" t="n"/>
      <c r="B605" s="100" t="n"/>
      <c r="C605" s="100" t="n"/>
      <c r="D605" s="100" t="n"/>
      <c r="E605" s="100" t="n"/>
      <c r="F605" s="100" t="n"/>
      <c r="G605" s="100" t="n"/>
      <c r="H605" s="100" t="n"/>
    </row>
    <row r="606">
      <c r="A606" s="100" t="n"/>
      <c r="B606" s="100" t="n"/>
      <c r="C606" s="100" t="n"/>
      <c r="D606" s="100" t="n"/>
      <c r="E606" s="100" t="n"/>
      <c r="F606" s="100" t="n"/>
      <c r="G606" s="100" t="n"/>
      <c r="H606" s="100" t="n"/>
    </row>
    <row r="607">
      <c r="A607" s="100" t="n"/>
      <c r="B607" s="100" t="n"/>
      <c r="C607" s="100" t="n"/>
      <c r="D607" s="100" t="n"/>
      <c r="E607" s="100" t="n"/>
      <c r="F607" s="100" t="n"/>
      <c r="G607" s="100" t="n"/>
      <c r="H607" s="100" t="n"/>
    </row>
    <row r="608">
      <c r="A608" s="100" t="n"/>
      <c r="B608" s="100" t="n"/>
      <c r="C608" s="100" t="n"/>
      <c r="D608" s="100" t="n"/>
      <c r="E608" s="100" t="n"/>
      <c r="F608" s="100" t="n"/>
      <c r="G608" s="100" t="n"/>
      <c r="H608" s="100" t="n"/>
    </row>
    <row r="609">
      <c r="A609" s="100" t="n"/>
      <c r="B609" s="100" t="n"/>
      <c r="C609" s="100" t="n"/>
      <c r="D609" s="100" t="n"/>
      <c r="E609" s="100" t="n"/>
      <c r="F609" s="100" t="n"/>
      <c r="G609" s="100" t="n"/>
      <c r="H609" s="100" t="n"/>
    </row>
    <row r="610">
      <c r="A610" s="100" t="n"/>
      <c r="B610" s="100" t="n"/>
      <c r="C610" s="100" t="n"/>
      <c r="D610" s="100" t="n"/>
      <c r="E610" s="100" t="n"/>
      <c r="F610" s="100" t="n"/>
      <c r="G610" s="100" t="n"/>
      <c r="H610" s="100" t="n"/>
    </row>
    <row r="611">
      <c r="A611" s="100" t="n"/>
      <c r="B611" s="100" t="n"/>
      <c r="C611" s="100" t="n"/>
      <c r="D611" s="100" t="n"/>
      <c r="E611" s="100" t="n"/>
      <c r="F611" s="100" t="n"/>
      <c r="G611" s="100" t="n"/>
      <c r="H611" s="100" t="n"/>
    </row>
    <row r="612">
      <c r="A612" s="100" t="n"/>
      <c r="B612" s="100" t="n"/>
      <c r="C612" s="100" t="n"/>
      <c r="D612" s="100" t="n"/>
      <c r="E612" s="100" t="n"/>
      <c r="F612" s="100" t="n"/>
      <c r="G612" s="100" t="n"/>
      <c r="H612" s="100" t="n"/>
    </row>
    <row r="613">
      <c r="A613" s="100" t="n"/>
      <c r="B613" s="100" t="n"/>
      <c r="C613" s="100" t="n"/>
      <c r="D613" s="100" t="n"/>
      <c r="E613" s="100" t="n"/>
      <c r="F613" s="100" t="n"/>
      <c r="G613" s="100" t="n"/>
      <c r="H613" s="100" t="n"/>
    </row>
    <row r="614">
      <c r="A614" s="100" t="n"/>
      <c r="B614" s="100" t="n"/>
      <c r="C614" s="100" t="n"/>
      <c r="D614" s="100" t="n"/>
      <c r="E614" s="100" t="n"/>
      <c r="F614" s="100" t="n"/>
      <c r="G614" s="100" t="n"/>
      <c r="H614" s="100" t="n"/>
    </row>
    <row r="615">
      <c r="A615" s="100" t="n"/>
      <c r="B615" s="100" t="n"/>
      <c r="C615" s="100" t="n"/>
      <c r="D615" s="100" t="n"/>
      <c r="E615" s="100" t="n"/>
      <c r="F615" s="100" t="n"/>
      <c r="G615" s="100" t="n"/>
      <c r="H615" s="100" t="n"/>
    </row>
    <row r="616">
      <c r="A616" s="100" t="n"/>
      <c r="B616" s="100" t="n"/>
      <c r="C616" s="100" t="n"/>
      <c r="D616" s="100" t="n"/>
      <c r="E616" s="100" t="n"/>
      <c r="F616" s="100" t="n"/>
      <c r="G616" s="100" t="n"/>
      <c r="H616" s="100" t="n"/>
    </row>
    <row r="617">
      <c r="A617" s="100" t="n"/>
      <c r="B617" s="100" t="n"/>
      <c r="C617" s="100" t="n"/>
      <c r="D617" s="100" t="n"/>
      <c r="E617" s="100" t="n"/>
      <c r="F617" s="100" t="n"/>
      <c r="G617" s="100" t="n"/>
      <c r="H617" s="100" t="n"/>
    </row>
    <row r="618">
      <c r="A618" s="100" t="n"/>
      <c r="B618" s="100" t="n"/>
      <c r="C618" s="100" t="n"/>
      <c r="D618" s="100" t="n"/>
      <c r="E618" s="100" t="n"/>
      <c r="F618" s="100" t="n"/>
      <c r="G618" s="100" t="n"/>
      <c r="H618" s="100" t="n"/>
    </row>
    <row r="619">
      <c r="A619" s="100" t="n"/>
      <c r="B619" s="100" t="n"/>
      <c r="C619" s="100" t="n"/>
      <c r="D619" s="100" t="n"/>
      <c r="E619" s="100" t="n"/>
      <c r="F619" s="100" t="n"/>
      <c r="G619" s="100" t="n"/>
      <c r="H619" s="100" t="n"/>
    </row>
    <row r="620">
      <c r="A620" s="100" t="n"/>
      <c r="B620" s="100" t="n"/>
      <c r="C620" s="100" t="n"/>
      <c r="D620" s="100" t="n"/>
      <c r="E620" s="100" t="n"/>
      <c r="F620" s="100" t="n"/>
      <c r="G620" s="100" t="n"/>
      <c r="H620" s="100" t="n"/>
    </row>
    <row r="621">
      <c r="A621" s="100" t="n"/>
      <c r="B621" s="100" t="n"/>
      <c r="C621" s="100" t="n"/>
      <c r="D621" s="100" t="n"/>
      <c r="E621" s="100" t="n"/>
      <c r="F621" s="100" t="n"/>
      <c r="G621" s="100" t="n"/>
      <c r="H621" s="100" t="n"/>
    </row>
    <row r="622">
      <c r="A622" s="100" t="n"/>
      <c r="B622" s="100" t="n"/>
      <c r="C622" s="100" t="n"/>
      <c r="D622" s="100" t="n"/>
      <c r="E622" s="100" t="n"/>
      <c r="F622" s="100" t="n"/>
      <c r="G622" s="100" t="n"/>
      <c r="H622" s="100" t="n"/>
    </row>
    <row r="623">
      <c r="A623" s="100" t="n"/>
      <c r="B623" s="100" t="n"/>
      <c r="C623" s="100" t="n"/>
      <c r="D623" s="100" t="n"/>
      <c r="E623" s="100" t="n"/>
      <c r="F623" s="100" t="n"/>
      <c r="G623" s="100" t="n"/>
      <c r="H623" s="100" t="n"/>
    </row>
    <row r="624">
      <c r="A624" s="100" t="n"/>
      <c r="B624" s="100" t="n"/>
      <c r="C624" s="100" t="n"/>
      <c r="D624" s="100" t="n"/>
      <c r="E624" s="100" t="n"/>
      <c r="F624" s="100" t="n"/>
      <c r="G624" s="100" t="n"/>
      <c r="H624" s="100" t="n"/>
    </row>
    <row r="625">
      <c r="A625" s="100" t="n"/>
      <c r="B625" s="100" t="n"/>
      <c r="C625" s="100" t="n"/>
      <c r="D625" s="100" t="n"/>
      <c r="E625" s="100" t="n"/>
      <c r="F625" s="100" t="n"/>
      <c r="G625" s="100" t="n"/>
      <c r="H625" s="100" t="n"/>
    </row>
    <row r="626">
      <c r="A626" s="100" t="n"/>
      <c r="B626" s="100" t="n"/>
      <c r="C626" s="100" t="n"/>
      <c r="D626" s="100" t="n"/>
      <c r="E626" s="100" t="n"/>
      <c r="F626" s="100" t="n"/>
      <c r="G626" s="100" t="n"/>
      <c r="H626" s="100" t="n"/>
    </row>
    <row r="627">
      <c r="A627" s="100" t="n"/>
      <c r="B627" s="100" t="n"/>
      <c r="C627" s="100" t="n"/>
      <c r="D627" s="100" t="n"/>
      <c r="E627" s="100" t="n"/>
      <c r="F627" s="100" t="n"/>
      <c r="G627" s="100" t="n"/>
      <c r="H627" s="100" t="n"/>
    </row>
    <row r="628">
      <c r="A628" s="100" t="n"/>
      <c r="B628" s="100" t="n"/>
      <c r="C628" s="100" t="n"/>
      <c r="D628" s="100" t="n"/>
      <c r="E628" s="100" t="n"/>
      <c r="F628" s="100" t="n"/>
      <c r="G628" s="100" t="n"/>
      <c r="H628" s="100" t="n"/>
    </row>
    <row r="629">
      <c r="A629" s="100" t="n"/>
      <c r="B629" s="100" t="n"/>
      <c r="C629" s="100" t="n"/>
      <c r="D629" s="100" t="n"/>
      <c r="E629" s="100" t="n"/>
      <c r="F629" s="100" t="n"/>
      <c r="G629" s="100" t="n"/>
      <c r="H629" s="100" t="n"/>
    </row>
    <row r="630">
      <c r="A630" s="100" t="n"/>
      <c r="B630" s="100" t="n"/>
      <c r="C630" s="100" t="n"/>
      <c r="D630" s="100" t="n"/>
      <c r="E630" s="100" t="n"/>
      <c r="F630" s="100" t="n"/>
      <c r="G630" s="100" t="n"/>
      <c r="H630" s="100" t="n"/>
    </row>
    <row r="631">
      <c r="A631" s="100" t="n"/>
      <c r="B631" s="100" t="n"/>
      <c r="C631" s="100" t="n"/>
      <c r="D631" s="100" t="n"/>
      <c r="E631" s="100" t="n"/>
      <c r="F631" s="100" t="n"/>
      <c r="G631" s="100" t="n"/>
      <c r="H631" s="100" t="n"/>
    </row>
    <row r="632">
      <c r="A632" s="100" t="n"/>
      <c r="B632" s="100" t="n"/>
      <c r="C632" s="100" t="n"/>
      <c r="D632" s="100" t="n"/>
      <c r="E632" s="100" t="n"/>
      <c r="F632" s="100" t="n"/>
      <c r="G632" s="100" t="n"/>
      <c r="H632" s="100" t="n"/>
    </row>
    <row r="633">
      <c r="A633" s="100" t="n"/>
      <c r="B633" s="100" t="n"/>
      <c r="C633" s="100" t="n"/>
      <c r="D633" s="100" t="n"/>
      <c r="E633" s="100" t="n"/>
      <c r="F633" s="100" t="n"/>
      <c r="G633" s="100" t="n"/>
      <c r="H633" s="100" t="n"/>
    </row>
    <row r="634">
      <c r="A634" s="100" t="n"/>
      <c r="B634" s="100" t="n"/>
      <c r="C634" s="100" t="n"/>
      <c r="D634" s="100" t="n"/>
      <c r="E634" s="100" t="n"/>
      <c r="F634" s="100" t="n"/>
      <c r="G634" s="100" t="n"/>
      <c r="H634" s="100" t="n"/>
    </row>
    <row r="635">
      <c r="A635" s="100" t="n"/>
      <c r="B635" s="100" t="n"/>
      <c r="C635" s="100" t="n"/>
      <c r="D635" s="100" t="n"/>
      <c r="E635" s="100" t="n"/>
      <c r="F635" s="100" t="n"/>
      <c r="G635" s="100" t="n"/>
      <c r="H635" s="100" t="n"/>
    </row>
    <row r="636">
      <c r="A636" s="100" t="n"/>
      <c r="B636" s="100" t="n"/>
      <c r="C636" s="100" t="n"/>
      <c r="D636" s="100" t="n"/>
      <c r="E636" s="100" t="n"/>
      <c r="F636" s="100" t="n"/>
      <c r="G636" s="100" t="n"/>
      <c r="H636" s="100" t="n"/>
    </row>
    <row r="637">
      <c r="A637" s="100" t="n"/>
      <c r="B637" s="100" t="n"/>
      <c r="C637" s="100" t="n"/>
      <c r="D637" s="100" t="n"/>
      <c r="E637" s="100" t="n"/>
      <c r="F637" s="100" t="n"/>
      <c r="G637" s="100" t="n"/>
      <c r="H637" s="100" t="n"/>
    </row>
    <row r="638">
      <c r="A638" s="100" t="n"/>
      <c r="B638" s="100" t="n"/>
      <c r="C638" s="100" t="n"/>
      <c r="D638" s="100" t="n"/>
      <c r="E638" s="100" t="n"/>
      <c r="F638" s="100" t="n"/>
      <c r="G638" s="100" t="n"/>
      <c r="H638" s="100" t="n"/>
    </row>
    <row r="639">
      <c r="A639" s="100" t="n"/>
      <c r="B639" s="100" t="n"/>
      <c r="C639" s="100" t="n"/>
      <c r="D639" s="100" t="n"/>
      <c r="E639" s="100" t="n"/>
      <c r="F639" s="100" t="n"/>
      <c r="G639" s="100" t="n"/>
      <c r="H639" s="100" t="n"/>
    </row>
    <row r="640">
      <c r="A640" s="100" t="n"/>
      <c r="B640" s="100" t="n"/>
      <c r="C640" s="100" t="n"/>
      <c r="D640" s="100" t="n"/>
      <c r="E640" s="100" t="n"/>
      <c r="F640" s="100" t="n"/>
      <c r="G640" s="100" t="n"/>
      <c r="H640" s="100" t="n"/>
    </row>
    <row r="641">
      <c r="A641" s="100" t="n"/>
      <c r="B641" s="100" t="n"/>
      <c r="C641" s="100" t="n"/>
      <c r="D641" s="100" t="n"/>
      <c r="E641" s="100" t="n"/>
      <c r="F641" s="100" t="n"/>
      <c r="G641" s="100" t="n"/>
      <c r="H641" s="100" t="n"/>
    </row>
    <row r="642">
      <c r="A642" s="100" t="n"/>
      <c r="B642" s="100" t="n"/>
      <c r="C642" s="100" t="n"/>
      <c r="D642" s="100" t="n"/>
      <c r="E642" s="100" t="n"/>
      <c r="F642" s="100" t="n"/>
      <c r="G642" s="100" t="n"/>
      <c r="H642" s="100" t="n"/>
    </row>
    <row r="643">
      <c r="A643" s="100" t="n"/>
      <c r="B643" s="100" t="n"/>
      <c r="C643" s="100" t="n"/>
      <c r="D643" s="100" t="n"/>
      <c r="E643" s="100" t="n"/>
      <c r="F643" s="100" t="n"/>
      <c r="G643" s="100" t="n"/>
      <c r="H643" s="100" t="n"/>
    </row>
    <row r="644">
      <c r="A644" s="100" t="n"/>
      <c r="B644" s="100" t="n"/>
      <c r="C644" s="100" t="n"/>
      <c r="D644" s="100" t="n"/>
      <c r="E644" s="100" t="n"/>
      <c r="F644" s="100" t="n"/>
      <c r="G644" s="100" t="n"/>
      <c r="H644" s="100" t="n"/>
    </row>
    <row r="645">
      <c r="A645" s="100" t="n"/>
      <c r="B645" s="100" t="n"/>
      <c r="C645" s="100" t="n"/>
      <c r="D645" s="100" t="n"/>
      <c r="E645" s="100" t="n"/>
      <c r="F645" s="100" t="n"/>
      <c r="G645" s="100" t="n"/>
      <c r="H645" s="100" t="n"/>
    </row>
    <row r="646">
      <c r="A646" s="100" t="n"/>
      <c r="B646" s="100" t="n"/>
      <c r="C646" s="100" t="n"/>
      <c r="D646" s="100" t="n"/>
      <c r="E646" s="100" t="n"/>
      <c r="F646" s="100" t="n"/>
      <c r="G646" s="100" t="n"/>
      <c r="H646" s="100" t="n"/>
    </row>
    <row r="647">
      <c r="A647" s="100" t="n"/>
      <c r="B647" s="100" t="n"/>
      <c r="C647" s="100" t="n"/>
      <c r="D647" s="100" t="n"/>
      <c r="E647" s="100" t="n"/>
      <c r="F647" s="100" t="n"/>
      <c r="G647" s="100" t="n"/>
      <c r="H647" s="100" t="n"/>
    </row>
    <row r="648">
      <c r="A648" s="100" t="n"/>
      <c r="B648" s="100" t="n"/>
      <c r="C648" s="100" t="n"/>
      <c r="D648" s="100" t="n"/>
      <c r="E648" s="100" t="n"/>
      <c r="F648" s="100" t="n"/>
      <c r="G648" s="100" t="n"/>
      <c r="H648" s="100" t="n"/>
    </row>
    <row r="649">
      <c r="A649" s="100" t="n"/>
      <c r="B649" s="100" t="n"/>
      <c r="C649" s="100" t="n"/>
      <c r="D649" s="100" t="n"/>
      <c r="E649" s="100" t="n"/>
      <c r="F649" s="100" t="n"/>
      <c r="G649" s="100" t="n"/>
      <c r="H649" s="100" t="n"/>
    </row>
    <row r="650">
      <c r="A650" s="100" t="n"/>
      <c r="B650" s="100" t="n"/>
      <c r="C650" s="100" t="n"/>
      <c r="D650" s="100" t="n"/>
      <c r="E650" s="100" t="n"/>
      <c r="F650" s="100" t="n"/>
      <c r="G650" s="100" t="n"/>
      <c r="H650" s="100" t="n"/>
    </row>
    <row r="651">
      <c r="A651" s="100" t="n"/>
      <c r="B651" s="100" t="n"/>
      <c r="C651" s="100" t="n"/>
      <c r="D651" s="100" t="n"/>
      <c r="E651" s="100" t="n"/>
      <c r="F651" s="100" t="n"/>
      <c r="G651" s="100" t="n"/>
      <c r="H651" s="100" t="n"/>
    </row>
    <row r="652">
      <c r="A652" s="100" t="n"/>
      <c r="B652" s="100" t="n"/>
      <c r="C652" s="100" t="n"/>
      <c r="D652" s="100" t="n"/>
      <c r="E652" s="100" t="n"/>
      <c r="F652" s="100" t="n"/>
      <c r="G652" s="100" t="n"/>
      <c r="H652" s="100" t="n"/>
    </row>
    <row r="653">
      <c r="A653" s="100" t="n"/>
      <c r="B653" s="100" t="n"/>
      <c r="C653" s="100" t="n"/>
      <c r="D653" s="100" t="n"/>
      <c r="E653" s="100" t="n"/>
      <c r="F653" s="100" t="n"/>
      <c r="G653" s="100" t="n"/>
      <c r="H653" s="100" t="n"/>
    </row>
    <row r="654">
      <c r="A654" s="100" t="n"/>
      <c r="B654" s="100" t="n"/>
      <c r="C654" s="100" t="n"/>
      <c r="D654" s="100" t="n"/>
      <c r="E654" s="100" t="n"/>
      <c r="F654" s="100" t="n"/>
      <c r="G654" s="100" t="n"/>
      <c r="H654" s="100" t="n"/>
    </row>
    <row r="655">
      <c r="A655" s="100" t="n"/>
      <c r="B655" s="100" t="n"/>
      <c r="C655" s="100" t="n"/>
      <c r="D655" s="100" t="n"/>
      <c r="E655" s="100" t="n"/>
      <c r="F655" s="100" t="n"/>
      <c r="G655" s="100" t="n"/>
      <c r="H655" s="100" t="n"/>
    </row>
    <row r="656">
      <c r="A656" s="100" t="n"/>
      <c r="B656" s="100" t="n"/>
      <c r="C656" s="100" t="n"/>
      <c r="D656" s="100" t="n"/>
      <c r="E656" s="100" t="n"/>
      <c r="F656" s="100" t="n"/>
      <c r="G656" s="100" t="n"/>
      <c r="H656" s="100" t="n"/>
    </row>
    <row r="657">
      <c r="A657" s="100" t="n"/>
      <c r="B657" s="100" t="n"/>
      <c r="C657" s="100" t="n"/>
      <c r="D657" s="100" t="n"/>
      <c r="E657" s="100" t="n"/>
      <c r="F657" s="100" t="n"/>
      <c r="G657" s="100" t="n"/>
      <c r="H657" s="100" t="n"/>
    </row>
    <row r="658">
      <c r="A658" s="100" t="n"/>
      <c r="B658" s="100" t="n"/>
      <c r="C658" s="100" t="n"/>
      <c r="D658" s="100" t="n"/>
      <c r="E658" s="100" t="n"/>
      <c r="F658" s="100" t="n"/>
      <c r="G658" s="100" t="n"/>
      <c r="H658" s="100" t="n"/>
    </row>
    <row r="659">
      <c r="A659" s="100" t="n"/>
      <c r="B659" s="100" t="n"/>
      <c r="C659" s="100" t="n"/>
      <c r="D659" s="100" t="n"/>
      <c r="E659" s="100" t="n"/>
      <c r="F659" s="100" t="n"/>
      <c r="G659" s="100" t="n"/>
      <c r="H659" s="100" t="n"/>
    </row>
    <row r="660">
      <c r="A660" s="100" t="n"/>
      <c r="B660" s="100" t="n"/>
      <c r="C660" s="100" t="n"/>
      <c r="D660" s="100" t="n"/>
      <c r="E660" s="100" t="n"/>
      <c r="F660" s="100" t="n"/>
      <c r="G660" s="100" t="n"/>
      <c r="H660" s="100" t="n"/>
    </row>
    <row r="661">
      <c r="A661" s="100" t="n"/>
      <c r="B661" s="100" t="n"/>
      <c r="C661" s="100" t="n"/>
      <c r="D661" s="100" t="n"/>
      <c r="E661" s="100" t="n"/>
      <c r="F661" s="100" t="n"/>
      <c r="G661" s="100" t="n"/>
      <c r="H661" s="100" t="n"/>
    </row>
    <row r="662">
      <c r="A662" s="100" t="n"/>
      <c r="B662" s="100" t="n"/>
      <c r="C662" s="100" t="n"/>
      <c r="D662" s="100" t="n"/>
      <c r="E662" s="100" t="n"/>
      <c r="F662" s="100" t="n"/>
      <c r="G662" s="100" t="n"/>
      <c r="H662" s="100" t="n"/>
    </row>
    <row r="663">
      <c r="A663" s="100" t="n"/>
      <c r="B663" s="100" t="n"/>
      <c r="C663" s="100" t="n"/>
      <c r="D663" s="100" t="n"/>
      <c r="E663" s="100" t="n"/>
      <c r="F663" s="100" t="n"/>
      <c r="G663" s="100" t="n"/>
      <c r="H663" s="100" t="n"/>
    </row>
    <row r="664">
      <c r="A664" s="100" t="n"/>
      <c r="B664" s="100" t="n"/>
      <c r="C664" s="100" t="n"/>
      <c r="D664" s="100" t="n"/>
      <c r="E664" s="100" t="n"/>
      <c r="F664" s="100" t="n"/>
      <c r="G664" s="100" t="n"/>
      <c r="H664" s="100" t="n"/>
    </row>
    <row r="665">
      <c r="A665" s="100" t="n"/>
      <c r="B665" s="100" t="n"/>
      <c r="C665" s="100" t="n"/>
      <c r="D665" s="100" t="n"/>
      <c r="E665" s="100" t="n"/>
      <c r="F665" s="100" t="n"/>
      <c r="G665" s="100" t="n"/>
      <c r="H665" s="100" t="n"/>
    </row>
    <row r="666">
      <c r="A666" s="100" t="n"/>
      <c r="B666" s="100" t="n"/>
      <c r="C666" s="100" t="n"/>
      <c r="D666" s="100" t="n"/>
      <c r="E666" s="100" t="n"/>
      <c r="F666" s="100" t="n"/>
      <c r="G666" s="100" t="n"/>
      <c r="H666" s="100" t="n"/>
    </row>
    <row r="667">
      <c r="A667" s="100" t="n"/>
      <c r="B667" s="100" t="n"/>
      <c r="C667" s="100" t="n"/>
      <c r="D667" s="100" t="n"/>
      <c r="E667" s="100" t="n"/>
      <c r="F667" s="100" t="n"/>
      <c r="G667" s="100" t="n"/>
      <c r="H667" s="100" t="n"/>
    </row>
    <row r="668">
      <c r="A668" s="100" t="n"/>
      <c r="B668" s="100" t="n"/>
      <c r="C668" s="100" t="n"/>
      <c r="D668" s="100" t="n"/>
      <c r="E668" s="100" t="n"/>
      <c r="F668" s="100" t="n"/>
      <c r="G668" s="100" t="n"/>
      <c r="H668" s="100" t="n"/>
    </row>
    <row r="669">
      <c r="A669" s="100" t="n"/>
      <c r="B669" s="100" t="n"/>
      <c r="C669" s="100" t="n"/>
      <c r="D669" s="100" t="n"/>
      <c r="E669" s="100" t="n"/>
      <c r="F669" s="100" t="n"/>
      <c r="G669" s="100" t="n"/>
      <c r="H669" s="100" t="n"/>
    </row>
    <row r="670">
      <c r="A670" s="100" t="n"/>
      <c r="B670" s="100" t="n"/>
      <c r="C670" s="100" t="n"/>
      <c r="D670" s="100" t="n"/>
      <c r="E670" s="100" t="n"/>
      <c r="F670" s="100" t="n"/>
      <c r="G670" s="100" t="n"/>
      <c r="H670" s="100" t="n"/>
    </row>
    <row r="671">
      <c r="A671" s="100" t="n"/>
      <c r="B671" s="100" t="n"/>
      <c r="C671" s="100" t="n"/>
      <c r="D671" s="100" t="n"/>
      <c r="E671" s="100" t="n"/>
      <c r="F671" s="100" t="n"/>
      <c r="G671" s="100" t="n"/>
      <c r="H671" s="100" t="n"/>
    </row>
    <row r="672">
      <c r="A672" s="100" t="n"/>
      <c r="B672" s="100" t="n"/>
      <c r="C672" s="100" t="n"/>
      <c r="D672" s="100" t="n"/>
      <c r="E672" s="100" t="n"/>
      <c r="F672" s="100" t="n"/>
      <c r="G672" s="100" t="n"/>
      <c r="H672" s="100" t="n"/>
    </row>
    <row r="673">
      <c r="A673" s="100" t="n"/>
      <c r="B673" s="100" t="n"/>
      <c r="C673" s="100" t="n"/>
      <c r="D673" s="100" t="n"/>
      <c r="E673" s="100" t="n"/>
      <c r="F673" s="100" t="n"/>
      <c r="G673" s="100" t="n"/>
      <c r="H673" s="100" t="n"/>
    </row>
    <row r="674">
      <c r="A674" s="100" t="n"/>
      <c r="B674" s="100" t="n"/>
      <c r="C674" s="100" t="n"/>
      <c r="D674" s="100" t="n"/>
      <c r="E674" s="100" t="n"/>
      <c r="F674" s="100" t="n"/>
      <c r="G674" s="100" t="n"/>
      <c r="H674" s="100" t="n"/>
    </row>
    <row r="675">
      <c r="A675" s="100" t="n"/>
      <c r="B675" s="100" t="n"/>
      <c r="C675" s="100" t="n"/>
      <c r="D675" s="100" t="n"/>
      <c r="E675" s="100" t="n"/>
      <c r="F675" s="100" t="n"/>
      <c r="G675" s="100" t="n"/>
      <c r="H675" s="100" t="n"/>
    </row>
    <row r="676">
      <c r="A676" s="100" t="n"/>
      <c r="B676" s="100" t="n"/>
      <c r="C676" s="100" t="n"/>
      <c r="D676" s="100" t="n"/>
      <c r="E676" s="100" t="n"/>
      <c r="F676" s="100" t="n"/>
      <c r="G676" s="100" t="n"/>
      <c r="H676" s="100" t="n"/>
    </row>
    <row r="677">
      <c r="A677" s="100" t="n"/>
      <c r="B677" s="100" t="n"/>
      <c r="C677" s="100" t="n"/>
      <c r="D677" s="100" t="n"/>
      <c r="E677" s="100" t="n"/>
      <c r="F677" s="100" t="n"/>
      <c r="G677" s="100" t="n"/>
      <c r="H677" s="100" t="n"/>
    </row>
    <row r="678">
      <c r="A678" s="100" t="n"/>
      <c r="B678" s="100" t="n"/>
      <c r="C678" s="100" t="n"/>
      <c r="D678" s="100" t="n"/>
      <c r="E678" s="100" t="n"/>
      <c r="F678" s="100" t="n"/>
      <c r="G678" s="100" t="n"/>
      <c r="H678" s="100" t="n"/>
    </row>
    <row r="679">
      <c r="A679" s="100" t="n"/>
      <c r="B679" s="100" t="n"/>
      <c r="C679" s="100" t="n"/>
      <c r="D679" s="100" t="n"/>
      <c r="E679" s="100" t="n"/>
      <c r="F679" s="100" t="n"/>
      <c r="G679" s="100" t="n"/>
      <c r="H679" s="100" t="n"/>
    </row>
    <row r="680">
      <c r="A680" s="100" t="n"/>
      <c r="B680" s="100" t="n"/>
      <c r="C680" s="100" t="n"/>
      <c r="D680" s="100" t="n"/>
      <c r="E680" s="100" t="n"/>
      <c r="F680" s="100" t="n"/>
      <c r="G680" s="100" t="n"/>
      <c r="H680" s="100" t="n"/>
    </row>
    <row r="681">
      <c r="A681" s="100" t="n"/>
      <c r="B681" s="100" t="n"/>
      <c r="C681" s="100" t="n"/>
      <c r="D681" s="100" t="n"/>
      <c r="E681" s="100" t="n"/>
      <c r="F681" s="100" t="n"/>
      <c r="G681" s="100" t="n"/>
      <c r="H681" s="100" t="n"/>
    </row>
    <row r="682">
      <c r="A682" s="100" t="n"/>
      <c r="B682" s="100" t="n"/>
      <c r="C682" s="100" t="n"/>
      <c r="D682" s="100" t="n"/>
      <c r="E682" s="100" t="n"/>
      <c r="F682" s="100" t="n"/>
      <c r="G682" s="100" t="n"/>
      <c r="H682" s="100" t="n"/>
    </row>
    <row r="683">
      <c r="A683" s="100" t="n"/>
      <c r="B683" s="100" t="n"/>
      <c r="C683" s="100" t="n"/>
      <c r="D683" s="100" t="n"/>
      <c r="E683" s="100" t="n"/>
      <c r="F683" s="100" t="n"/>
      <c r="G683" s="100" t="n"/>
      <c r="H683" s="100" t="n"/>
    </row>
    <row r="684">
      <c r="A684" s="100" t="n"/>
      <c r="B684" s="100" t="n"/>
      <c r="C684" s="100" t="n"/>
      <c r="D684" s="100" t="n"/>
      <c r="E684" s="100" t="n"/>
      <c r="F684" s="100" t="n"/>
      <c r="G684" s="100" t="n"/>
      <c r="H684" s="100" t="n"/>
    </row>
    <row r="685">
      <c r="A685" s="100" t="n"/>
      <c r="B685" s="100" t="n"/>
      <c r="C685" s="100" t="n"/>
      <c r="D685" s="100" t="n"/>
      <c r="E685" s="100" t="n"/>
      <c r="F685" s="100" t="n"/>
      <c r="G685" s="100" t="n"/>
      <c r="H685" s="100" t="n"/>
    </row>
    <row r="686">
      <c r="A686" s="100" t="n"/>
      <c r="B686" s="100" t="n"/>
      <c r="C686" s="100" t="n"/>
      <c r="D686" s="100" t="n"/>
      <c r="E686" s="100" t="n"/>
      <c r="F686" s="100" t="n"/>
      <c r="G686" s="100" t="n"/>
      <c r="H686" s="100" t="n"/>
    </row>
    <row r="687">
      <c r="A687" s="100" t="n"/>
      <c r="B687" s="100" t="n"/>
      <c r="C687" s="100" t="n"/>
      <c r="D687" s="100" t="n"/>
      <c r="E687" s="100" t="n"/>
      <c r="F687" s="100" t="n"/>
      <c r="G687" s="100" t="n"/>
      <c r="H687" s="100" t="n"/>
    </row>
    <row r="688">
      <c r="A688" s="100" t="n"/>
      <c r="B688" s="100" t="n"/>
      <c r="C688" s="100" t="n"/>
      <c r="D688" s="100" t="n"/>
      <c r="E688" s="100" t="n"/>
      <c r="F688" s="100" t="n"/>
      <c r="G688" s="100" t="n"/>
      <c r="H688" s="100" t="n"/>
    </row>
    <row r="689">
      <c r="A689" s="100" t="n"/>
      <c r="B689" s="100" t="n"/>
      <c r="C689" s="100" t="n"/>
      <c r="D689" s="100" t="n"/>
      <c r="E689" s="100" t="n"/>
      <c r="F689" s="100" t="n"/>
      <c r="G689" s="100" t="n"/>
      <c r="H689" s="100" t="n"/>
    </row>
    <row r="690">
      <c r="A690" s="100" t="n"/>
      <c r="B690" s="100" t="n"/>
      <c r="C690" s="100" t="n"/>
      <c r="D690" s="100" t="n"/>
      <c r="E690" s="100" t="n"/>
      <c r="F690" s="100" t="n"/>
      <c r="G690" s="100" t="n"/>
      <c r="H690" s="100" t="n"/>
    </row>
    <row r="691">
      <c r="A691" s="100" t="n"/>
      <c r="B691" s="100" t="n"/>
      <c r="C691" s="100" t="n"/>
      <c r="D691" s="100" t="n"/>
      <c r="E691" s="100" t="n"/>
      <c r="F691" s="100" t="n"/>
      <c r="G691" s="100" t="n"/>
      <c r="H691" s="100" t="n"/>
    </row>
    <row r="692">
      <c r="A692" s="100" t="n"/>
      <c r="B692" s="100" t="n"/>
      <c r="C692" s="100" t="n"/>
      <c r="D692" s="100" t="n"/>
      <c r="E692" s="100" t="n"/>
      <c r="F692" s="100" t="n"/>
      <c r="G692" s="100" t="n"/>
      <c r="H692" s="100" t="n"/>
    </row>
    <row r="693">
      <c r="A693" s="100" t="n"/>
      <c r="B693" s="100" t="n"/>
      <c r="C693" s="100" t="n"/>
      <c r="D693" s="100" t="n"/>
      <c r="E693" s="100" t="n"/>
      <c r="F693" s="100" t="n"/>
      <c r="G693" s="100" t="n"/>
      <c r="H693" s="100" t="n"/>
    </row>
    <row r="694">
      <c r="A694" s="100" t="n"/>
      <c r="B694" s="100" t="n"/>
      <c r="C694" s="100" t="n"/>
      <c r="D694" s="100" t="n"/>
      <c r="E694" s="100" t="n"/>
      <c r="F694" s="100" t="n"/>
      <c r="G694" s="100" t="n"/>
      <c r="H694" s="100" t="n"/>
    </row>
    <row r="695">
      <c r="A695" s="100" t="n"/>
      <c r="B695" s="100" t="n"/>
      <c r="C695" s="100" t="n"/>
      <c r="D695" s="100" t="n"/>
      <c r="E695" s="100" t="n"/>
      <c r="F695" s="100" t="n"/>
      <c r="G695" s="100" t="n"/>
      <c r="H695" s="100" t="n"/>
    </row>
    <row r="696">
      <c r="A696" s="100" t="n"/>
      <c r="B696" s="100" t="n"/>
      <c r="C696" s="100" t="n"/>
      <c r="D696" s="100" t="n"/>
      <c r="E696" s="100" t="n"/>
      <c r="F696" s="100" t="n"/>
      <c r="G696" s="100" t="n"/>
      <c r="H696" s="100" t="n"/>
    </row>
    <row r="697">
      <c r="A697" s="100" t="n"/>
      <c r="B697" s="100" t="n"/>
      <c r="C697" s="100" t="n"/>
      <c r="D697" s="100" t="n"/>
      <c r="E697" s="100" t="n"/>
      <c r="F697" s="100" t="n"/>
      <c r="G697" s="100" t="n"/>
      <c r="H697" s="100" t="n"/>
    </row>
    <row r="698">
      <c r="A698" s="100" t="n"/>
      <c r="B698" s="100" t="n"/>
      <c r="C698" s="100" t="n"/>
      <c r="D698" s="100" t="n"/>
      <c r="E698" s="100" t="n"/>
      <c r="F698" s="100" t="n"/>
      <c r="G698" s="100" t="n"/>
      <c r="H698" s="100" t="n"/>
    </row>
    <row r="699">
      <c r="A699" s="100" t="n"/>
      <c r="B699" s="100" t="n"/>
      <c r="C699" s="100" t="n"/>
      <c r="D699" s="100" t="n"/>
      <c r="E699" s="100" t="n"/>
      <c r="F699" s="100" t="n"/>
      <c r="G699" s="100" t="n"/>
      <c r="H699" s="100" t="n"/>
    </row>
    <row r="700">
      <c r="A700" s="100" t="n"/>
      <c r="B700" s="100" t="n"/>
      <c r="C700" s="100" t="n"/>
      <c r="D700" s="100" t="n"/>
      <c r="E700" s="100" t="n"/>
      <c r="F700" s="100" t="n"/>
      <c r="G700" s="100" t="n"/>
      <c r="H700" s="100" t="n"/>
    </row>
    <row r="701">
      <c r="A701" s="100" t="n"/>
      <c r="B701" s="100" t="n"/>
      <c r="C701" s="100" t="n"/>
      <c r="D701" s="100" t="n"/>
      <c r="E701" s="100" t="n"/>
      <c r="F701" s="100" t="n"/>
      <c r="G701" s="100" t="n"/>
      <c r="H701" s="100" t="n"/>
    </row>
    <row r="702">
      <c r="A702" s="100" t="n"/>
      <c r="B702" s="100" t="n"/>
      <c r="C702" s="100" t="n"/>
      <c r="D702" s="100" t="n"/>
      <c r="E702" s="100" t="n"/>
      <c r="F702" s="100" t="n"/>
      <c r="G702" s="100" t="n"/>
      <c r="H702" s="100" t="n"/>
    </row>
    <row r="703">
      <c r="A703" s="100" t="n"/>
      <c r="B703" s="100" t="n"/>
      <c r="C703" s="100" t="n"/>
      <c r="D703" s="100" t="n"/>
      <c r="E703" s="100" t="n"/>
      <c r="F703" s="100" t="n"/>
      <c r="G703" s="100" t="n"/>
      <c r="H703" s="100" t="n"/>
    </row>
    <row r="704">
      <c r="A704" s="100" t="n"/>
      <c r="B704" s="100" t="n"/>
      <c r="C704" s="100" t="n"/>
      <c r="D704" s="100" t="n"/>
      <c r="E704" s="100" t="n"/>
      <c r="F704" s="100" t="n"/>
      <c r="G704" s="100" t="n"/>
      <c r="H704" s="100" t="n"/>
    </row>
    <row r="705">
      <c r="A705" s="100" t="n"/>
      <c r="B705" s="100" t="n"/>
      <c r="C705" s="100" t="n"/>
      <c r="D705" s="100" t="n"/>
      <c r="E705" s="100" t="n"/>
      <c r="F705" s="100" t="n"/>
      <c r="G705" s="100" t="n"/>
      <c r="H705" s="100" t="n"/>
    </row>
    <row r="706">
      <c r="A706" s="100" t="n"/>
      <c r="B706" s="100" t="n"/>
      <c r="C706" s="100" t="n"/>
      <c r="D706" s="100" t="n"/>
      <c r="E706" s="100" t="n"/>
      <c r="F706" s="100" t="n"/>
      <c r="G706" s="100" t="n"/>
      <c r="H706" s="100" t="n"/>
    </row>
    <row r="707">
      <c r="A707" s="100" t="n"/>
      <c r="B707" s="100" t="n"/>
      <c r="C707" s="100" t="n"/>
      <c r="D707" s="100" t="n"/>
      <c r="E707" s="100" t="n"/>
      <c r="F707" s="100" t="n"/>
      <c r="G707" s="100" t="n"/>
      <c r="H707" s="100" t="n"/>
    </row>
    <row r="708">
      <c r="A708" s="100" t="n"/>
      <c r="B708" s="100" t="n"/>
      <c r="C708" s="100" t="n"/>
      <c r="D708" s="100" t="n"/>
      <c r="E708" s="100" t="n"/>
      <c r="F708" s="100" t="n"/>
      <c r="G708" s="100" t="n"/>
      <c r="H708" s="100" t="n"/>
    </row>
    <row r="709">
      <c r="A709" s="100" t="n"/>
      <c r="B709" s="100" t="n"/>
      <c r="C709" s="100" t="n"/>
      <c r="D709" s="100" t="n"/>
      <c r="E709" s="100" t="n"/>
      <c r="F709" s="100" t="n"/>
      <c r="G709" s="100" t="n"/>
      <c r="H709" s="100" t="n"/>
    </row>
    <row r="710">
      <c r="A710" s="100" t="n"/>
      <c r="B710" s="100" t="n"/>
      <c r="C710" s="100" t="n"/>
      <c r="D710" s="100" t="n"/>
      <c r="E710" s="100" t="n"/>
      <c r="F710" s="100" t="n"/>
      <c r="G710" s="100" t="n"/>
      <c r="H710" s="100" t="n"/>
    </row>
    <row r="711">
      <c r="A711" s="100" t="n"/>
      <c r="B711" s="100" t="n"/>
      <c r="C711" s="100" t="n"/>
      <c r="D711" s="100" t="n"/>
      <c r="E711" s="100" t="n"/>
      <c r="F711" s="100" t="n"/>
      <c r="G711" s="100" t="n"/>
      <c r="H711" s="100" t="n"/>
    </row>
    <row r="712">
      <c r="A712" s="100" t="n"/>
      <c r="B712" s="100" t="n"/>
      <c r="C712" s="100" t="n"/>
      <c r="D712" s="100" t="n"/>
      <c r="E712" s="100" t="n"/>
      <c r="F712" s="100" t="n"/>
      <c r="G712" s="100" t="n"/>
      <c r="H712" s="100" t="n"/>
    </row>
    <row r="713">
      <c r="A713" s="100" t="n"/>
      <c r="B713" s="100" t="n"/>
      <c r="C713" s="100" t="n"/>
      <c r="D713" s="100" t="n"/>
      <c r="E713" s="100" t="n"/>
      <c r="F713" s="100" t="n"/>
      <c r="G713" s="100" t="n"/>
      <c r="H713" s="100" t="n"/>
    </row>
    <row r="714">
      <c r="A714" s="100" t="n"/>
      <c r="B714" s="100" t="n"/>
      <c r="C714" s="100" t="n"/>
      <c r="D714" s="100" t="n"/>
      <c r="E714" s="100" t="n"/>
      <c r="F714" s="100" t="n"/>
      <c r="G714" s="100" t="n"/>
      <c r="H714" s="100" t="n"/>
    </row>
    <row r="715">
      <c r="A715" s="100" t="n"/>
      <c r="B715" s="100" t="n"/>
      <c r="C715" s="100" t="n"/>
      <c r="D715" s="100" t="n"/>
      <c r="E715" s="100" t="n"/>
      <c r="F715" s="100" t="n"/>
      <c r="G715" s="100" t="n"/>
      <c r="H715" s="100" t="n"/>
    </row>
    <row r="716">
      <c r="A716" s="100" t="n"/>
      <c r="B716" s="100" t="n"/>
      <c r="C716" s="100" t="n"/>
      <c r="D716" s="100" t="n"/>
      <c r="E716" s="100" t="n"/>
      <c r="F716" s="100" t="n"/>
      <c r="G716" s="100" t="n"/>
      <c r="H716" s="100" t="n"/>
    </row>
    <row r="717">
      <c r="A717" s="100" t="n"/>
      <c r="B717" s="100" t="n"/>
      <c r="C717" s="100" t="n"/>
      <c r="D717" s="100" t="n"/>
      <c r="E717" s="100" t="n"/>
      <c r="F717" s="100" t="n"/>
      <c r="G717" s="100" t="n"/>
      <c r="H717" s="100" t="n"/>
    </row>
    <row r="718">
      <c r="A718" s="100" t="n"/>
      <c r="B718" s="100" t="n"/>
      <c r="C718" s="100" t="n"/>
      <c r="D718" s="100" t="n"/>
      <c r="E718" s="100" t="n"/>
      <c r="F718" s="100" t="n"/>
      <c r="G718" s="100" t="n"/>
      <c r="H718" s="100" t="n"/>
    </row>
    <row r="719">
      <c r="A719" s="100" t="n"/>
      <c r="B719" s="100" t="n"/>
      <c r="C719" s="100" t="n"/>
      <c r="D719" s="100" t="n"/>
      <c r="E719" s="100" t="n"/>
      <c r="F719" s="100" t="n"/>
      <c r="G719" s="100" t="n"/>
      <c r="H719" s="100" t="n"/>
    </row>
    <row r="720">
      <c r="A720" s="100" t="n"/>
      <c r="B720" s="100" t="n"/>
      <c r="C720" s="100" t="n"/>
      <c r="D720" s="100" t="n"/>
      <c r="E720" s="100" t="n"/>
      <c r="F720" s="100" t="n"/>
      <c r="G720" s="100" t="n"/>
      <c r="H720" s="100" t="n"/>
    </row>
    <row r="721">
      <c r="A721" s="100" t="n"/>
      <c r="B721" s="100" t="n"/>
      <c r="C721" s="100" t="n"/>
      <c r="D721" s="100" t="n"/>
      <c r="E721" s="100" t="n"/>
      <c r="F721" s="100" t="n"/>
      <c r="G721" s="100" t="n"/>
      <c r="H721" s="100" t="n"/>
    </row>
    <row r="722">
      <c r="A722" s="100" t="n"/>
      <c r="B722" s="100" t="n"/>
      <c r="C722" s="100" t="n"/>
      <c r="D722" s="100" t="n"/>
      <c r="E722" s="100" t="n"/>
      <c r="F722" s="100" t="n"/>
      <c r="G722" s="100" t="n"/>
      <c r="H722" s="100" t="n"/>
    </row>
    <row r="723">
      <c r="A723" s="100" t="n"/>
      <c r="B723" s="100" t="n"/>
      <c r="C723" s="100" t="n"/>
      <c r="D723" s="100" t="n"/>
      <c r="E723" s="100" t="n"/>
      <c r="F723" s="100" t="n"/>
      <c r="G723" s="100" t="n"/>
      <c r="H723" s="100" t="n"/>
    </row>
    <row r="724">
      <c r="A724" s="100" t="n"/>
      <c r="B724" s="100" t="n"/>
      <c r="C724" s="100" t="n"/>
      <c r="D724" s="100" t="n"/>
      <c r="E724" s="100" t="n"/>
      <c r="F724" s="100" t="n"/>
      <c r="G724" s="100" t="n"/>
      <c r="H724" s="100" t="n"/>
    </row>
    <row r="725">
      <c r="A725" s="100" t="n"/>
      <c r="B725" s="100" t="n"/>
      <c r="C725" s="100" t="n"/>
      <c r="D725" s="100" t="n"/>
      <c r="E725" s="100" t="n"/>
      <c r="F725" s="100" t="n"/>
      <c r="G725" s="100" t="n"/>
      <c r="H725" s="100" t="n"/>
    </row>
    <row r="726">
      <c r="A726" s="100" t="n"/>
      <c r="B726" s="100" t="n"/>
      <c r="C726" s="100" t="n"/>
      <c r="D726" s="100" t="n"/>
      <c r="E726" s="100" t="n"/>
      <c r="F726" s="100" t="n"/>
      <c r="G726" s="100" t="n"/>
      <c r="H726" s="100" t="n"/>
    </row>
    <row r="727">
      <c r="A727" s="100" t="n"/>
      <c r="B727" s="100" t="n"/>
      <c r="C727" s="100" t="n"/>
      <c r="D727" s="100" t="n"/>
      <c r="E727" s="100" t="n"/>
      <c r="F727" s="100" t="n"/>
      <c r="G727" s="100" t="n"/>
      <c r="H727" s="100" t="n"/>
    </row>
    <row r="728">
      <c r="A728" s="100" t="n"/>
      <c r="B728" s="100" t="n"/>
      <c r="C728" s="100" t="n"/>
      <c r="D728" s="100" t="n"/>
      <c r="E728" s="100" t="n"/>
      <c r="F728" s="100" t="n"/>
      <c r="G728" s="100" t="n"/>
      <c r="H728" s="100" t="n"/>
    </row>
    <row r="729">
      <c r="A729" s="100" t="n"/>
      <c r="B729" s="100" t="n"/>
      <c r="C729" s="100" t="n"/>
      <c r="D729" s="100" t="n"/>
      <c r="E729" s="100" t="n"/>
      <c r="F729" s="100" t="n"/>
      <c r="G729" s="100" t="n"/>
      <c r="H729" s="100" t="n"/>
    </row>
    <row r="730">
      <c r="A730" s="100" t="n"/>
      <c r="B730" s="100" t="n"/>
      <c r="C730" s="100" t="n"/>
      <c r="D730" s="100" t="n"/>
      <c r="E730" s="100" t="n"/>
      <c r="F730" s="100" t="n"/>
      <c r="G730" s="100" t="n"/>
      <c r="H730" s="100" t="n"/>
    </row>
    <row r="731">
      <c r="A731" s="100" t="n"/>
      <c r="B731" s="100" t="n"/>
      <c r="C731" s="100" t="n"/>
      <c r="D731" s="100" t="n"/>
      <c r="E731" s="100" t="n"/>
      <c r="F731" s="100" t="n"/>
      <c r="G731" s="100" t="n"/>
      <c r="H731" s="100" t="n"/>
    </row>
    <row r="732">
      <c r="A732" s="100" t="n"/>
      <c r="B732" s="100" t="n"/>
      <c r="C732" s="100" t="n"/>
      <c r="D732" s="100" t="n"/>
      <c r="E732" s="100" t="n"/>
      <c r="F732" s="100" t="n"/>
      <c r="G732" s="100" t="n"/>
      <c r="H732" s="100" t="n"/>
    </row>
    <row r="733">
      <c r="A733" s="100" t="n"/>
      <c r="B733" s="100" t="n"/>
      <c r="C733" s="100" t="n"/>
      <c r="D733" s="100" t="n"/>
      <c r="E733" s="100" t="n"/>
      <c r="F733" s="100" t="n"/>
      <c r="G733" s="100" t="n"/>
      <c r="H733" s="100" t="n"/>
    </row>
    <row r="734">
      <c r="A734" s="100" t="n"/>
      <c r="B734" s="100" t="n"/>
      <c r="C734" s="100" t="n"/>
      <c r="D734" s="100" t="n"/>
      <c r="E734" s="100" t="n"/>
      <c r="F734" s="100" t="n"/>
      <c r="G734" s="100" t="n"/>
      <c r="H734" s="100" t="n"/>
    </row>
    <row r="735">
      <c r="A735" s="100" t="n"/>
      <c r="B735" s="100" t="n"/>
      <c r="C735" s="100" t="n"/>
      <c r="D735" s="100" t="n"/>
      <c r="E735" s="100" t="n"/>
      <c r="F735" s="100" t="n"/>
      <c r="G735" s="100" t="n"/>
      <c r="H735" s="100" t="n"/>
    </row>
    <row r="736">
      <c r="A736" s="100" t="n"/>
      <c r="B736" s="100" t="n"/>
      <c r="C736" s="100" t="n"/>
      <c r="D736" s="100" t="n"/>
      <c r="E736" s="100" t="n"/>
      <c r="F736" s="100" t="n"/>
      <c r="G736" s="100" t="n"/>
      <c r="H736" s="100" t="n"/>
    </row>
    <row r="737">
      <c r="A737" s="100" t="n"/>
      <c r="B737" s="100" t="n"/>
      <c r="C737" s="100" t="n"/>
      <c r="D737" s="100" t="n"/>
      <c r="E737" s="100" t="n"/>
      <c r="F737" s="100" t="n"/>
      <c r="G737" s="100" t="n"/>
      <c r="H737" s="100" t="n"/>
    </row>
    <row r="738">
      <c r="A738" s="100" t="n"/>
      <c r="B738" s="100" t="n"/>
      <c r="C738" s="100" t="n"/>
      <c r="D738" s="100" t="n"/>
      <c r="E738" s="100" t="n"/>
      <c r="F738" s="100" t="n"/>
      <c r="G738" s="100" t="n"/>
      <c r="H738" s="100" t="n"/>
    </row>
    <row r="739">
      <c r="A739" s="100" t="n"/>
      <c r="B739" s="100" t="n"/>
      <c r="C739" s="100" t="n"/>
      <c r="D739" s="100" t="n"/>
      <c r="E739" s="100" t="n"/>
      <c r="F739" s="100" t="n"/>
      <c r="G739" s="100" t="n"/>
      <c r="H739" s="100" t="n"/>
    </row>
    <row r="740">
      <c r="A740" s="100" t="n"/>
      <c r="B740" s="100" t="n"/>
      <c r="C740" s="100" t="n"/>
      <c r="D740" s="100" t="n"/>
      <c r="E740" s="100" t="n"/>
      <c r="F740" s="100" t="n"/>
      <c r="G740" s="100" t="n"/>
      <c r="H740" s="100" t="n"/>
    </row>
    <row r="741">
      <c r="A741" s="100" t="n"/>
      <c r="B741" s="100" t="n"/>
      <c r="C741" s="100" t="n"/>
      <c r="D741" s="100" t="n"/>
      <c r="E741" s="100" t="n"/>
      <c r="F741" s="100" t="n"/>
      <c r="G741" s="100" t="n"/>
      <c r="H741" s="100" t="n"/>
    </row>
    <row r="742">
      <c r="A742" s="100" t="n"/>
      <c r="B742" s="100" t="n"/>
      <c r="C742" s="100" t="n"/>
      <c r="D742" s="100" t="n"/>
      <c r="E742" s="100" t="n"/>
      <c r="F742" s="100" t="n"/>
      <c r="G742" s="100" t="n"/>
      <c r="H742" s="100" t="n"/>
    </row>
    <row r="743">
      <c r="A743" s="100" t="n"/>
      <c r="B743" s="100" t="n"/>
      <c r="C743" s="100" t="n"/>
      <c r="D743" s="100" t="n"/>
      <c r="E743" s="100" t="n"/>
      <c r="F743" s="100" t="n"/>
      <c r="G743" s="100" t="n"/>
      <c r="H743" s="100" t="n"/>
    </row>
    <row r="744">
      <c r="A744" s="100" t="n"/>
      <c r="B744" s="100" t="n"/>
      <c r="C744" s="100" t="n"/>
      <c r="D744" s="100" t="n"/>
      <c r="E744" s="100" t="n"/>
      <c r="F744" s="100" t="n"/>
      <c r="G744" s="100" t="n"/>
      <c r="H744" s="100" t="n"/>
    </row>
    <row r="745">
      <c r="A745" s="100" t="n"/>
      <c r="B745" s="100" t="n"/>
      <c r="C745" s="100" t="n"/>
      <c r="D745" s="100" t="n"/>
      <c r="E745" s="100" t="n"/>
      <c r="F745" s="100" t="n"/>
      <c r="G745" s="100" t="n"/>
      <c r="H745" s="100" t="n"/>
    </row>
    <row r="746">
      <c r="A746" s="100" t="n"/>
      <c r="B746" s="100" t="n"/>
      <c r="C746" s="100" t="n"/>
      <c r="D746" s="100" t="n"/>
      <c r="E746" s="100" t="n"/>
      <c r="F746" s="100" t="n"/>
      <c r="G746" s="100" t="n"/>
      <c r="H746" s="100" t="n"/>
    </row>
    <row r="747">
      <c r="A747" s="100" t="n"/>
      <c r="B747" s="100" t="n"/>
      <c r="C747" s="100" t="n"/>
      <c r="D747" s="100" t="n"/>
      <c r="E747" s="100" t="n"/>
      <c r="F747" s="100" t="n"/>
      <c r="G747" s="100" t="n"/>
      <c r="H747" s="100" t="n"/>
    </row>
    <row r="748">
      <c r="A748" s="100" t="n"/>
      <c r="B748" s="100" t="n"/>
      <c r="C748" s="100" t="n"/>
      <c r="D748" s="100" t="n"/>
      <c r="E748" s="100" t="n"/>
      <c r="F748" s="100" t="n"/>
      <c r="G748" s="100" t="n"/>
      <c r="H748" s="100" t="n"/>
    </row>
    <row r="749">
      <c r="A749" s="100" t="n"/>
      <c r="B749" s="100" t="n"/>
      <c r="C749" s="100" t="n"/>
      <c r="D749" s="100" t="n"/>
      <c r="E749" s="100" t="n"/>
      <c r="F749" s="100" t="n"/>
      <c r="G749" s="100" t="n"/>
      <c r="H749" s="100" t="n"/>
    </row>
    <row r="750">
      <c r="A750" s="100" t="n"/>
      <c r="B750" s="100" t="n"/>
      <c r="C750" s="100" t="n"/>
      <c r="D750" s="100" t="n"/>
      <c r="E750" s="100" t="n"/>
      <c r="F750" s="100" t="n"/>
      <c r="G750" s="100" t="n"/>
      <c r="H750" s="100" t="n"/>
    </row>
    <row r="751">
      <c r="A751" s="100" t="n"/>
      <c r="B751" s="100" t="n"/>
      <c r="C751" s="100" t="n"/>
      <c r="D751" s="100" t="n"/>
      <c r="E751" s="100" t="n"/>
      <c r="F751" s="100" t="n"/>
      <c r="G751" s="100" t="n"/>
      <c r="H751" s="100" t="n"/>
    </row>
    <row r="752">
      <c r="A752" s="100" t="n"/>
      <c r="B752" s="100" t="n"/>
      <c r="C752" s="100" t="n"/>
      <c r="D752" s="100" t="n"/>
      <c r="E752" s="100" t="n"/>
      <c r="F752" s="100" t="n"/>
      <c r="G752" s="100" t="n"/>
      <c r="H752" s="100" t="n"/>
    </row>
    <row r="753">
      <c r="A753" s="100" t="n"/>
      <c r="B753" s="100" t="n"/>
      <c r="C753" s="100" t="n"/>
      <c r="D753" s="100" t="n"/>
      <c r="E753" s="100" t="n"/>
      <c r="F753" s="100" t="n"/>
      <c r="G753" s="100" t="n"/>
      <c r="H753" s="100" t="n"/>
    </row>
    <row r="754">
      <c r="A754" s="100" t="n"/>
      <c r="B754" s="100" t="n"/>
      <c r="C754" s="100" t="n"/>
      <c r="D754" s="100" t="n"/>
      <c r="E754" s="100" t="n"/>
      <c r="F754" s="100" t="n"/>
      <c r="G754" s="100" t="n"/>
      <c r="H754" s="100" t="n"/>
    </row>
    <row r="755">
      <c r="A755" s="100" t="n"/>
      <c r="B755" s="100" t="n"/>
      <c r="C755" s="100" t="n"/>
      <c r="D755" s="100" t="n"/>
      <c r="E755" s="100" t="n"/>
      <c r="F755" s="100" t="n"/>
      <c r="G755" s="100" t="n"/>
      <c r="H755" s="100" t="n"/>
    </row>
    <row r="756">
      <c r="A756" s="100" t="n"/>
      <c r="B756" s="100" t="n"/>
      <c r="C756" s="100" t="n"/>
      <c r="D756" s="100" t="n"/>
      <c r="E756" s="100" t="n"/>
      <c r="F756" s="100" t="n"/>
      <c r="G756" s="100" t="n"/>
      <c r="H756" s="100" t="n"/>
    </row>
    <row r="757">
      <c r="A757" s="100" t="n"/>
      <c r="B757" s="100" t="n"/>
      <c r="C757" s="100" t="n"/>
      <c r="D757" s="100" t="n"/>
      <c r="E757" s="100" t="n"/>
      <c r="F757" s="100" t="n"/>
      <c r="G757" s="100" t="n"/>
      <c r="H757" s="100" t="n"/>
    </row>
    <row r="758">
      <c r="A758" s="100" t="n"/>
      <c r="B758" s="100" t="n"/>
      <c r="C758" s="100" t="n"/>
      <c r="D758" s="100" t="n"/>
      <c r="E758" s="100" t="n"/>
      <c r="F758" s="100" t="n"/>
      <c r="G758" s="100" t="n"/>
      <c r="H758" s="100" t="n"/>
    </row>
    <row r="759">
      <c r="A759" s="100" t="n"/>
      <c r="B759" s="100" t="n"/>
      <c r="C759" s="100" t="n"/>
      <c r="D759" s="100" t="n"/>
      <c r="E759" s="100" t="n"/>
      <c r="F759" s="100" t="n"/>
      <c r="G759" s="100" t="n"/>
      <c r="H759" s="100" t="n"/>
    </row>
    <row r="760">
      <c r="A760" s="100" t="n"/>
      <c r="B760" s="100" t="n"/>
      <c r="C760" s="100" t="n"/>
      <c r="D760" s="100" t="n"/>
      <c r="E760" s="100" t="n"/>
      <c r="F760" s="100" t="n"/>
      <c r="G760" s="100" t="n"/>
      <c r="H760" s="100" t="n"/>
    </row>
    <row r="761">
      <c r="A761" s="100" t="n"/>
      <c r="B761" s="100" t="n"/>
      <c r="C761" s="100" t="n"/>
      <c r="D761" s="100" t="n"/>
      <c r="E761" s="100" t="n"/>
      <c r="F761" s="100" t="n"/>
      <c r="G761" s="100" t="n"/>
      <c r="H761" s="100" t="n"/>
    </row>
    <row r="762">
      <c r="A762" s="100" t="n"/>
      <c r="B762" s="100" t="n"/>
      <c r="C762" s="100" t="n"/>
      <c r="D762" s="100" t="n"/>
      <c r="E762" s="100" t="n"/>
      <c r="F762" s="100" t="n"/>
      <c r="G762" s="100" t="n"/>
      <c r="H762" s="100" t="n"/>
    </row>
    <row r="763">
      <c r="A763" s="100" t="n"/>
      <c r="B763" s="100" t="n"/>
      <c r="C763" s="100" t="n"/>
      <c r="D763" s="100" t="n"/>
      <c r="E763" s="100" t="n"/>
      <c r="F763" s="100" t="n"/>
      <c r="G763" s="100" t="n"/>
      <c r="H763" s="100" t="n"/>
    </row>
    <row r="764">
      <c r="A764" s="100" t="n"/>
      <c r="B764" s="100" t="n"/>
      <c r="C764" s="100" t="n"/>
      <c r="D764" s="100" t="n"/>
      <c r="E764" s="100" t="n"/>
      <c r="F764" s="100" t="n"/>
      <c r="G764" s="100" t="n"/>
      <c r="H764" s="100" t="n"/>
    </row>
    <row r="765">
      <c r="A765" s="100" t="n"/>
      <c r="B765" s="100" t="n"/>
      <c r="C765" s="100" t="n"/>
      <c r="D765" s="100" t="n"/>
      <c r="E765" s="100" t="n"/>
      <c r="F765" s="100" t="n"/>
      <c r="G765" s="100" t="n"/>
      <c r="H765" s="100" t="n"/>
    </row>
    <row r="766">
      <c r="A766" s="100" t="n"/>
      <c r="B766" s="100" t="n"/>
      <c r="C766" s="100" t="n"/>
      <c r="D766" s="100" t="n"/>
      <c r="E766" s="100" t="n"/>
      <c r="F766" s="100" t="n"/>
      <c r="G766" s="100" t="n"/>
      <c r="H766" s="100" t="n"/>
    </row>
    <row r="767">
      <c r="A767" s="100" t="n"/>
      <c r="B767" s="100" t="n"/>
      <c r="C767" s="100" t="n"/>
      <c r="D767" s="100" t="n"/>
      <c r="E767" s="100" t="n"/>
      <c r="F767" s="100" t="n"/>
      <c r="G767" s="100" t="n"/>
      <c r="H767" s="100" t="n"/>
    </row>
    <row r="768">
      <c r="A768" s="100" t="n"/>
      <c r="B768" s="100" t="n"/>
      <c r="C768" s="100" t="n"/>
      <c r="D768" s="100" t="n"/>
      <c r="E768" s="100" t="n"/>
      <c r="F768" s="100" t="n"/>
      <c r="G768" s="100" t="n"/>
      <c r="H768" s="100" t="n"/>
    </row>
    <row r="769">
      <c r="A769" s="100" t="n"/>
      <c r="B769" s="100" t="n"/>
      <c r="C769" s="100" t="n"/>
      <c r="D769" s="100" t="n"/>
      <c r="E769" s="100" t="n"/>
      <c r="F769" s="100" t="n"/>
      <c r="G769" s="100" t="n"/>
      <c r="H769" s="100" t="n"/>
    </row>
    <row r="770">
      <c r="A770" s="100" t="n"/>
      <c r="B770" s="100" t="n"/>
      <c r="C770" s="100" t="n"/>
      <c r="D770" s="100" t="n"/>
      <c r="E770" s="100" t="n"/>
      <c r="F770" s="100" t="n"/>
      <c r="G770" s="100" t="n"/>
      <c r="H770" s="100" t="n"/>
    </row>
    <row r="771">
      <c r="A771" s="100" t="n"/>
      <c r="B771" s="100" t="n"/>
      <c r="C771" s="100" t="n"/>
      <c r="D771" s="100" t="n"/>
      <c r="E771" s="100" t="n"/>
      <c r="F771" s="100" t="n"/>
      <c r="G771" s="100" t="n"/>
      <c r="H771" s="100" t="n"/>
    </row>
    <row r="772">
      <c r="A772" s="100" t="n"/>
      <c r="B772" s="100" t="n"/>
      <c r="C772" s="100" t="n"/>
      <c r="D772" s="100" t="n"/>
      <c r="E772" s="100" t="n"/>
      <c r="F772" s="100" t="n"/>
      <c r="G772" s="100" t="n"/>
      <c r="H772" s="100" t="n"/>
    </row>
    <row r="773">
      <c r="A773" s="100" t="n"/>
      <c r="B773" s="100" t="n"/>
      <c r="C773" s="100" t="n"/>
      <c r="D773" s="100" t="n"/>
      <c r="E773" s="100" t="n"/>
      <c r="F773" s="100" t="n"/>
      <c r="G773" s="100" t="n"/>
      <c r="H773" s="100" t="n"/>
    </row>
    <row r="774">
      <c r="A774" s="100" t="n"/>
      <c r="B774" s="100" t="n"/>
      <c r="C774" s="100" t="n"/>
      <c r="D774" s="100" t="n"/>
      <c r="E774" s="100" t="n"/>
      <c r="F774" s="100" t="n"/>
      <c r="G774" s="100" t="n"/>
      <c r="H774" s="100" t="n"/>
    </row>
    <row r="775">
      <c r="A775" s="100" t="n"/>
      <c r="B775" s="100" t="n"/>
      <c r="C775" s="100" t="n"/>
      <c r="D775" s="100" t="n"/>
      <c r="E775" s="100" t="n"/>
      <c r="F775" s="100" t="n"/>
      <c r="G775" s="100" t="n"/>
      <c r="H775" s="100" t="n"/>
    </row>
    <row r="776">
      <c r="A776" s="100" t="n"/>
      <c r="B776" s="100" t="n"/>
      <c r="C776" s="100" t="n"/>
      <c r="D776" s="100" t="n"/>
      <c r="E776" s="100" t="n"/>
      <c r="F776" s="100" t="n"/>
      <c r="G776" s="100" t="n"/>
      <c r="H776" s="100" t="n"/>
    </row>
    <row r="777">
      <c r="A777" s="100" t="n"/>
      <c r="B777" s="100" t="n"/>
      <c r="C777" s="100" t="n"/>
      <c r="D777" s="100" t="n"/>
      <c r="E777" s="100" t="n"/>
      <c r="F777" s="100" t="n"/>
      <c r="G777" s="100" t="n"/>
      <c r="H777" s="100" t="n"/>
    </row>
    <row r="778">
      <c r="A778" s="100" t="n"/>
      <c r="B778" s="100" t="n"/>
      <c r="C778" s="100" t="n"/>
      <c r="D778" s="100" t="n"/>
      <c r="E778" s="100" t="n"/>
      <c r="F778" s="100" t="n"/>
      <c r="G778" s="100" t="n"/>
      <c r="H778" s="100" t="n"/>
    </row>
    <row r="779">
      <c r="A779" s="100" t="n"/>
      <c r="B779" s="100" t="n"/>
      <c r="C779" s="100" t="n"/>
      <c r="D779" s="100" t="n"/>
      <c r="E779" s="100" t="n"/>
      <c r="F779" s="100" t="n"/>
      <c r="G779" s="100" t="n"/>
      <c r="H779" s="100" t="n"/>
    </row>
    <row r="780">
      <c r="A780" s="100" t="n"/>
      <c r="B780" s="100" t="n"/>
      <c r="C780" s="100" t="n"/>
      <c r="D780" s="100" t="n"/>
      <c r="E780" s="100" t="n"/>
      <c r="F780" s="100" t="n"/>
      <c r="G780" s="100" t="n"/>
      <c r="H780" s="100" t="n"/>
    </row>
    <row r="781">
      <c r="A781" s="100" t="n"/>
      <c r="B781" s="100" t="n"/>
      <c r="C781" s="100" t="n"/>
      <c r="D781" s="100" t="n"/>
      <c r="E781" s="100" t="n"/>
      <c r="F781" s="100" t="n"/>
      <c r="G781" s="100" t="n"/>
      <c r="H781" s="100" t="n"/>
    </row>
    <row r="782">
      <c r="A782" s="100" t="n"/>
      <c r="B782" s="100" t="n"/>
      <c r="C782" s="100" t="n"/>
      <c r="D782" s="100" t="n"/>
      <c r="E782" s="100" t="n"/>
      <c r="F782" s="100" t="n"/>
      <c r="G782" s="100" t="n"/>
      <c r="H782" s="100" t="n"/>
    </row>
    <row r="783">
      <c r="A783" s="100" t="n"/>
      <c r="B783" s="100" t="n"/>
      <c r="C783" s="100" t="n"/>
      <c r="D783" s="100" t="n"/>
      <c r="E783" s="100" t="n"/>
      <c r="F783" s="100" t="n"/>
      <c r="G783" s="100" t="n"/>
      <c r="H783" s="100" t="n"/>
    </row>
    <row r="784">
      <c r="A784" s="100" t="n"/>
      <c r="B784" s="100" t="n"/>
      <c r="C784" s="100" t="n"/>
      <c r="D784" s="100" t="n"/>
      <c r="E784" s="100" t="n"/>
      <c r="F784" s="100" t="n"/>
      <c r="G784" s="100" t="n"/>
      <c r="H784" s="100" t="n"/>
    </row>
    <row r="785">
      <c r="A785" s="100" t="n"/>
      <c r="B785" s="100" t="n"/>
      <c r="C785" s="100" t="n"/>
      <c r="D785" s="100" t="n"/>
      <c r="E785" s="100" t="n"/>
      <c r="F785" s="100" t="n"/>
      <c r="G785" s="100" t="n"/>
      <c r="H785" s="100" t="n"/>
    </row>
    <row r="786">
      <c r="A786" s="100" t="n"/>
      <c r="B786" s="100" t="n"/>
      <c r="C786" s="100" t="n"/>
      <c r="D786" s="100" t="n"/>
      <c r="E786" s="100" t="n"/>
      <c r="F786" s="100" t="n"/>
      <c r="G786" s="100" t="n"/>
      <c r="H786" s="100" t="n"/>
    </row>
    <row r="787">
      <c r="A787" s="100" t="n"/>
      <c r="B787" s="100" t="n"/>
      <c r="C787" s="100" t="n"/>
      <c r="D787" s="100" t="n"/>
      <c r="E787" s="100" t="n"/>
      <c r="F787" s="100" t="n"/>
      <c r="G787" s="100" t="n"/>
      <c r="H787" s="100" t="n"/>
    </row>
    <row r="788">
      <c r="A788" s="100" t="n"/>
      <c r="B788" s="100" t="n"/>
      <c r="C788" s="100" t="n"/>
      <c r="D788" s="100" t="n"/>
      <c r="E788" s="100" t="n"/>
      <c r="F788" s="100" t="n"/>
      <c r="G788" s="100" t="n"/>
      <c r="H788" s="100" t="n"/>
    </row>
    <row r="789">
      <c r="A789" s="100" t="n"/>
      <c r="B789" s="100" t="n"/>
      <c r="C789" s="100" t="n"/>
      <c r="D789" s="100" t="n"/>
      <c r="E789" s="100" t="n"/>
      <c r="F789" s="100" t="n"/>
      <c r="G789" s="100" t="n"/>
      <c r="H789" s="100" t="n"/>
    </row>
    <row r="790">
      <c r="A790" s="100" t="n"/>
      <c r="B790" s="100" t="n"/>
      <c r="C790" s="100" t="n"/>
      <c r="D790" s="100" t="n"/>
      <c r="E790" s="100" t="n"/>
      <c r="F790" s="100" t="n"/>
      <c r="G790" s="100" t="n"/>
      <c r="H790" s="100" t="n"/>
    </row>
    <row r="791">
      <c r="A791" s="100" t="n"/>
      <c r="B791" s="100" t="n"/>
      <c r="C791" s="100" t="n"/>
      <c r="D791" s="100" t="n"/>
      <c r="E791" s="100" t="n"/>
      <c r="F791" s="100" t="n"/>
      <c r="G791" s="100" t="n"/>
      <c r="H791" s="100" t="n"/>
    </row>
    <row r="792">
      <c r="A792" s="100" t="n"/>
      <c r="B792" s="100" t="n"/>
      <c r="C792" s="100" t="n"/>
      <c r="D792" s="100" t="n"/>
      <c r="E792" s="100" t="n"/>
      <c r="F792" s="100" t="n"/>
      <c r="G792" s="100" t="n"/>
      <c r="H792" s="100" t="n"/>
    </row>
    <row r="793">
      <c r="A793" s="100" t="n"/>
      <c r="B793" s="100" t="n"/>
      <c r="C793" s="100" t="n"/>
      <c r="D793" s="100" t="n"/>
      <c r="E793" s="100" t="n"/>
      <c r="F793" s="100" t="n"/>
      <c r="G793" s="100" t="n"/>
      <c r="H793" s="100" t="n"/>
    </row>
    <row r="794">
      <c r="A794" s="100" t="n"/>
      <c r="B794" s="100" t="n"/>
      <c r="C794" s="100" t="n"/>
      <c r="D794" s="100" t="n"/>
      <c r="E794" s="100" t="n"/>
      <c r="F794" s="100" t="n"/>
      <c r="G794" s="100" t="n"/>
      <c r="H794" s="100" t="n"/>
    </row>
    <row r="795">
      <c r="A795" s="100" t="n"/>
      <c r="B795" s="100" t="n"/>
      <c r="C795" s="100" t="n"/>
      <c r="D795" s="100" t="n"/>
      <c r="E795" s="100" t="n"/>
      <c r="F795" s="100" t="n"/>
      <c r="G795" s="100" t="n"/>
      <c r="H795" s="100" t="n"/>
    </row>
    <row r="796">
      <c r="A796" s="100" t="n"/>
      <c r="B796" s="100" t="n"/>
      <c r="C796" s="100" t="n"/>
      <c r="D796" s="100" t="n"/>
      <c r="E796" s="100" t="n"/>
      <c r="F796" s="100" t="n"/>
      <c r="G796" s="100" t="n"/>
      <c r="H796" s="100" t="n"/>
    </row>
    <row r="797">
      <c r="A797" s="100" t="n"/>
      <c r="B797" s="100" t="n"/>
      <c r="C797" s="100" t="n"/>
      <c r="D797" s="100" t="n"/>
      <c r="E797" s="100" t="n"/>
      <c r="F797" s="100" t="n"/>
      <c r="G797" s="100" t="n"/>
      <c r="H797" s="100" t="n"/>
    </row>
    <row r="798">
      <c r="A798" s="100" t="n"/>
      <c r="B798" s="100" t="n"/>
      <c r="C798" s="100" t="n"/>
      <c r="D798" s="100" t="n"/>
      <c r="E798" s="100" t="n"/>
      <c r="F798" s="100" t="n"/>
      <c r="G798" s="100" t="n"/>
      <c r="H798" s="100" t="n"/>
    </row>
    <row r="799">
      <c r="A799" s="100" t="n"/>
      <c r="B799" s="100" t="n"/>
      <c r="C799" s="100" t="n"/>
      <c r="D799" s="100" t="n"/>
      <c r="E799" s="100" t="n"/>
      <c r="F799" s="100" t="n"/>
      <c r="G799" s="100" t="n"/>
      <c r="H799" s="100" t="n"/>
    </row>
    <row r="800">
      <c r="A800" s="100" t="n"/>
      <c r="B800" s="100" t="n"/>
      <c r="C800" s="100" t="n"/>
      <c r="D800" s="100" t="n"/>
      <c r="E800" s="100" t="n"/>
      <c r="F800" s="100" t="n"/>
      <c r="G800" s="100" t="n"/>
      <c r="H800" s="100" t="n"/>
    </row>
    <row r="801">
      <c r="A801" s="100" t="n"/>
      <c r="B801" s="100" t="n"/>
      <c r="C801" s="100" t="n"/>
      <c r="D801" s="100" t="n"/>
      <c r="E801" s="100" t="n"/>
      <c r="F801" s="100" t="n"/>
      <c r="G801" s="100" t="n"/>
      <c r="H801" s="100" t="n"/>
    </row>
    <row r="802">
      <c r="A802" s="100" t="n"/>
      <c r="B802" s="100" t="n"/>
      <c r="C802" s="100" t="n"/>
      <c r="D802" s="100" t="n"/>
      <c r="E802" s="100" t="n"/>
      <c r="F802" s="100" t="n"/>
      <c r="G802" s="100" t="n"/>
      <c r="H802" s="100" t="n"/>
    </row>
    <row r="803">
      <c r="A803" s="100" t="n"/>
      <c r="B803" s="100" t="n"/>
      <c r="C803" s="100" t="n"/>
      <c r="D803" s="100" t="n"/>
      <c r="E803" s="100" t="n"/>
      <c r="F803" s="100" t="n"/>
      <c r="G803" s="100" t="n"/>
      <c r="H803" s="100" t="n"/>
    </row>
    <row r="804">
      <c r="A804" s="100" t="n"/>
      <c r="B804" s="100" t="n"/>
      <c r="C804" s="100" t="n"/>
      <c r="D804" s="100" t="n"/>
      <c r="E804" s="100" t="n"/>
      <c r="F804" s="100" t="n"/>
      <c r="G804" s="100" t="n"/>
      <c r="H804" s="100" t="n"/>
    </row>
    <row r="805">
      <c r="A805" s="100" t="n"/>
      <c r="B805" s="100" t="n"/>
      <c r="C805" s="100" t="n"/>
      <c r="D805" s="100" t="n"/>
      <c r="E805" s="100" t="n"/>
      <c r="F805" s="100" t="n"/>
      <c r="G805" s="100" t="n"/>
      <c r="H805" s="100" t="n"/>
    </row>
    <row r="806">
      <c r="A806" s="100" t="n"/>
      <c r="B806" s="100" t="n"/>
      <c r="C806" s="100" t="n"/>
      <c r="D806" s="100" t="n"/>
      <c r="E806" s="100" t="n"/>
      <c r="F806" s="100" t="n"/>
      <c r="G806" s="100" t="n"/>
      <c r="H806" s="100" t="n"/>
    </row>
    <row r="807">
      <c r="A807" s="100" t="n"/>
      <c r="B807" s="100" t="n"/>
      <c r="C807" s="100" t="n"/>
      <c r="D807" s="100" t="n"/>
      <c r="E807" s="100" t="n"/>
      <c r="F807" s="100" t="n"/>
      <c r="G807" s="100" t="n"/>
      <c r="H807" s="100" t="n"/>
    </row>
    <row r="808">
      <c r="A808" s="100" t="n"/>
      <c r="B808" s="100" t="n"/>
      <c r="C808" s="100" t="n"/>
      <c r="D808" s="100" t="n"/>
      <c r="E808" s="100" t="n"/>
      <c r="F808" s="100" t="n"/>
      <c r="G808" s="100" t="n"/>
      <c r="H808" s="100" t="n"/>
    </row>
    <row r="809">
      <c r="A809" s="100" t="n"/>
      <c r="B809" s="100" t="n"/>
      <c r="C809" s="100" t="n"/>
      <c r="D809" s="100" t="n"/>
      <c r="E809" s="100" t="n"/>
      <c r="F809" s="100" t="n"/>
      <c r="G809" s="100" t="n"/>
      <c r="H809" s="100" t="n"/>
    </row>
    <row r="810">
      <c r="A810" s="100" t="n"/>
      <c r="B810" s="100" t="n"/>
      <c r="C810" s="100" t="n"/>
      <c r="D810" s="100" t="n"/>
      <c r="E810" s="100" t="n"/>
      <c r="F810" s="100" t="n"/>
      <c r="G810" s="100" t="n"/>
      <c r="H810" s="100" t="n"/>
    </row>
    <row r="811">
      <c r="A811" s="100" t="n"/>
      <c r="B811" s="100" t="n"/>
      <c r="C811" s="100" t="n"/>
      <c r="D811" s="100" t="n"/>
      <c r="E811" s="100" t="n"/>
      <c r="F811" s="100" t="n"/>
      <c r="G811" s="100" t="n"/>
      <c r="H811" s="100" t="n"/>
    </row>
    <row r="812">
      <c r="A812" s="100" t="n"/>
      <c r="B812" s="100" t="n"/>
      <c r="C812" s="100" t="n"/>
      <c r="D812" s="100" t="n"/>
      <c r="E812" s="100" t="n"/>
      <c r="F812" s="100" t="n"/>
      <c r="G812" s="100" t="n"/>
      <c r="H812" s="100" t="n"/>
    </row>
    <row r="813">
      <c r="A813" s="100" t="n"/>
      <c r="B813" s="100" t="n"/>
      <c r="C813" s="100" t="n"/>
      <c r="D813" s="100" t="n"/>
      <c r="E813" s="100" t="n"/>
      <c r="F813" s="100" t="n"/>
      <c r="G813" s="100" t="n"/>
      <c r="H813" s="100" t="n"/>
    </row>
    <row r="814">
      <c r="A814" s="100" t="n"/>
      <c r="B814" s="100" t="n"/>
      <c r="C814" s="100" t="n"/>
      <c r="D814" s="100" t="n"/>
      <c r="E814" s="100" t="n"/>
      <c r="F814" s="100" t="n"/>
      <c r="G814" s="100" t="n"/>
      <c r="H814" s="100" t="n"/>
    </row>
    <row r="815">
      <c r="A815" s="100" t="n"/>
      <c r="B815" s="100" t="n"/>
      <c r="C815" s="100" t="n"/>
      <c r="D815" s="100" t="n"/>
      <c r="E815" s="100" t="n"/>
      <c r="F815" s="100" t="n"/>
      <c r="G815" s="100" t="n"/>
      <c r="H815" s="100" t="n"/>
    </row>
    <row r="816">
      <c r="A816" s="100" t="n"/>
      <c r="B816" s="100" t="n"/>
      <c r="C816" s="100" t="n"/>
      <c r="D816" s="100" t="n"/>
      <c r="E816" s="100" t="n"/>
      <c r="F816" s="100" t="n"/>
      <c r="G816" s="100" t="n"/>
      <c r="H816" s="100" t="n"/>
    </row>
    <row r="817">
      <c r="A817" s="100" t="n"/>
      <c r="B817" s="100" t="n"/>
      <c r="C817" s="100" t="n"/>
      <c r="D817" s="100" t="n"/>
      <c r="E817" s="100" t="n"/>
      <c r="F817" s="100" t="n"/>
      <c r="G817" s="100" t="n"/>
      <c r="H817" s="100" t="n"/>
    </row>
    <row r="818">
      <c r="A818" s="100" t="n"/>
      <c r="B818" s="100" t="n"/>
      <c r="C818" s="100" t="n"/>
      <c r="D818" s="100" t="n"/>
      <c r="E818" s="100" t="n"/>
      <c r="F818" s="100" t="n"/>
      <c r="G818" s="100" t="n"/>
      <c r="H818" s="100" t="n"/>
    </row>
    <row r="819">
      <c r="A819" s="100" t="n"/>
      <c r="B819" s="100" t="n"/>
      <c r="C819" s="100" t="n"/>
      <c r="D819" s="100" t="n"/>
      <c r="E819" s="100" t="n"/>
      <c r="F819" s="100" t="n"/>
      <c r="G819" s="100" t="n"/>
      <c r="H819" s="100" t="n"/>
    </row>
    <row r="820">
      <c r="A820" s="100" t="n"/>
      <c r="B820" s="100" t="n"/>
      <c r="C820" s="100" t="n"/>
      <c r="D820" s="100" t="n"/>
      <c r="E820" s="100" t="n"/>
      <c r="F820" s="100" t="n"/>
      <c r="G820" s="100" t="n"/>
      <c r="H820" s="100" t="n"/>
    </row>
    <row r="821">
      <c r="A821" s="100" t="n"/>
      <c r="B821" s="100" t="n"/>
      <c r="C821" s="100" t="n"/>
      <c r="D821" s="100" t="n"/>
      <c r="E821" s="100" t="n"/>
      <c r="F821" s="100" t="n"/>
      <c r="G821" s="100" t="n"/>
      <c r="H821" s="100" t="n"/>
    </row>
    <row r="822">
      <c r="A822" s="100" t="n"/>
      <c r="B822" s="100" t="n"/>
      <c r="C822" s="100" t="n"/>
      <c r="D822" s="100" t="n"/>
      <c r="E822" s="100" t="n"/>
      <c r="F822" s="100" t="n"/>
      <c r="G822" s="100" t="n"/>
      <c r="H822" s="100" t="n"/>
    </row>
    <row r="823">
      <c r="A823" s="100" t="n"/>
      <c r="B823" s="100" t="n"/>
      <c r="C823" s="100" t="n"/>
      <c r="D823" s="100" t="n"/>
      <c r="E823" s="100" t="n"/>
      <c r="F823" s="100" t="n"/>
      <c r="G823" s="100" t="n"/>
      <c r="H823" s="100" t="n"/>
    </row>
    <row r="824">
      <c r="A824" s="100" t="n"/>
      <c r="B824" s="100" t="n"/>
      <c r="C824" s="100" t="n"/>
      <c r="D824" s="100" t="n"/>
      <c r="E824" s="100" t="n"/>
      <c r="F824" s="100" t="n"/>
      <c r="G824" s="100" t="n"/>
      <c r="H824" s="100" t="n"/>
    </row>
    <row r="825">
      <c r="A825" s="100" t="n"/>
      <c r="B825" s="100" t="n"/>
      <c r="C825" s="100" t="n"/>
      <c r="D825" s="100" t="n"/>
      <c r="E825" s="100" t="n"/>
      <c r="F825" s="100" t="n"/>
      <c r="G825" s="100" t="n"/>
      <c r="H825" s="100" t="n"/>
    </row>
    <row r="826">
      <c r="A826" s="100" t="n"/>
      <c r="B826" s="100" t="n"/>
      <c r="C826" s="100" t="n"/>
      <c r="D826" s="100" t="n"/>
      <c r="E826" s="100" t="n"/>
      <c r="F826" s="100" t="n"/>
      <c r="G826" s="100" t="n"/>
      <c r="H826" s="100" t="n"/>
    </row>
    <row r="827">
      <c r="A827" s="100" t="n"/>
      <c r="B827" s="100" t="n"/>
      <c r="C827" s="100" t="n"/>
      <c r="D827" s="100" t="n"/>
      <c r="E827" s="100" t="n"/>
      <c r="F827" s="100" t="n"/>
      <c r="G827" s="100" t="n"/>
      <c r="H827" s="100" t="n"/>
    </row>
    <row r="828">
      <c r="A828" s="100" t="n"/>
      <c r="B828" s="100" t="n"/>
      <c r="C828" s="100" t="n"/>
      <c r="D828" s="100" t="n"/>
      <c r="E828" s="100" t="n"/>
      <c r="F828" s="100" t="n"/>
      <c r="G828" s="100" t="n"/>
      <c r="H828" s="100" t="n"/>
    </row>
    <row r="829">
      <c r="A829" s="100" t="n"/>
      <c r="B829" s="100" t="n"/>
      <c r="C829" s="100" t="n"/>
      <c r="D829" s="100" t="n"/>
      <c r="E829" s="100" t="n"/>
      <c r="F829" s="100" t="n"/>
      <c r="G829" s="100" t="n"/>
      <c r="H829" s="100" t="n"/>
    </row>
    <row r="830">
      <c r="A830" s="100" t="n"/>
      <c r="B830" s="100" t="n"/>
      <c r="C830" s="100" t="n"/>
      <c r="D830" s="100" t="n"/>
      <c r="E830" s="100" t="n"/>
      <c r="F830" s="100" t="n"/>
      <c r="G830" s="100" t="n"/>
      <c r="H830" s="100" t="n"/>
    </row>
    <row r="831">
      <c r="A831" s="100" t="n"/>
      <c r="B831" s="100" t="n"/>
      <c r="C831" s="100" t="n"/>
      <c r="D831" s="100" t="n"/>
      <c r="E831" s="100" t="n"/>
      <c r="F831" s="100" t="n"/>
      <c r="G831" s="100" t="n"/>
      <c r="H831" s="100" t="n"/>
    </row>
    <row r="832">
      <c r="A832" s="100" t="n"/>
      <c r="B832" s="100" t="n"/>
      <c r="C832" s="100" t="n"/>
      <c r="D832" s="100" t="n"/>
      <c r="E832" s="100" t="n"/>
      <c r="F832" s="100" t="n"/>
      <c r="G832" s="100" t="n"/>
      <c r="H832" s="100" t="n"/>
    </row>
    <row r="833">
      <c r="A833" s="100" t="n"/>
      <c r="B833" s="100" t="n"/>
      <c r="C833" s="100" t="n"/>
      <c r="D833" s="100" t="n"/>
      <c r="E833" s="100" t="n"/>
      <c r="F833" s="100" t="n"/>
      <c r="G833" s="100" t="n"/>
      <c r="H833" s="100" t="n"/>
    </row>
    <row r="834">
      <c r="A834" s="100" t="n"/>
      <c r="B834" s="100" t="n"/>
      <c r="C834" s="100" t="n"/>
      <c r="D834" s="100" t="n"/>
      <c r="E834" s="100" t="n"/>
      <c r="F834" s="100" t="n"/>
      <c r="G834" s="100" t="n"/>
      <c r="H834" s="100" t="n"/>
    </row>
    <row r="835">
      <c r="A835" s="100" t="n"/>
      <c r="B835" s="100" t="n"/>
      <c r="C835" s="100" t="n"/>
      <c r="D835" s="100" t="n"/>
      <c r="E835" s="100" t="n"/>
      <c r="F835" s="100" t="n"/>
      <c r="G835" s="100" t="n"/>
      <c r="H835" s="100" t="n"/>
    </row>
    <row r="836">
      <c r="A836" s="100" t="n"/>
      <c r="B836" s="100" t="n"/>
      <c r="C836" s="100" t="n"/>
      <c r="D836" s="100" t="n"/>
      <c r="E836" s="100" t="n"/>
      <c r="F836" s="100" t="n"/>
      <c r="G836" s="100" t="n"/>
      <c r="H836" s="100" t="n"/>
    </row>
    <row r="837">
      <c r="A837" s="100" t="n"/>
      <c r="B837" s="100" t="n"/>
      <c r="C837" s="100" t="n"/>
      <c r="D837" s="100" t="n"/>
      <c r="E837" s="100" t="n"/>
      <c r="F837" s="100" t="n"/>
      <c r="G837" s="100" t="n"/>
      <c r="H837" s="100" t="n"/>
    </row>
    <row r="838">
      <c r="A838" s="100" t="n"/>
      <c r="B838" s="100" t="n"/>
      <c r="C838" s="100" t="n"/>
      <c r="D838" s="100" t="n"/>
      <c r="E838" s="100" t="n"/>
      <c r="F838" s="100" t="n"/>
      <c r="G838" s="100" t="n"/>
      <c r="H838" s="100" t="n"/>
    </row>
    <row r="839">
      <c r="A839" s="100" t="n"/>
      <c r="B839" s="100" t="n"/>
      <c r="C839" s="100" t="n"/>
      <c r="D839" s="100" t="n"/>
      <c r="E839" s="100" t="n"/>
      <c r="F839" s="100" t="n"/>
      <c r="G839" s="100" t="n"/>
      <c r="H839" s="100" t="n"/>
    </row>
    <row r="840">
      <c r="A840" s="100" t="n"/>
      <c r="B840" s="100" t="n"/>
      <c r="C840" s="100" t="n"/>
      <c r="D840" s="100" t="n"/>
      <c r="E840" s="100" t="n"/>
      <c r="F840" s="100" t="n"/>
      <c r="G840" s="100" t="n"/>
      <c r="H840" s="100" t="n"/>
    </row>
    <row r="841">
      <c r="A841" s="100" t="n"/>
      <c r="B841" s="100" t="n"/>
      <c r="C841" s="100" t="n"/>
      <c r="D841" s="100" t="n"/>
      <c r="E841" s="100" t="n"/>
      <c r="F841" s="100" t="n"/>
      <c r="G841" s="100" t="n"/>
      <c r="H841" s="100" t="n"/>
    </row>
    <row r="842">
      <c r="A842" s="100" t="n"/>
      <c r="B842" s="100" t="n"/>
      <c r="C842" s="100" t="n"/>
      <c r="D842" s="100" t="n"/>
      <c r="E842" s="100" t="n"/>
      <c r="F842" s="100" t="n"/>
      <c r="G842" s="100" t="n"/>
      <c r="H842" s="100" t="n"/>
    </row>
    <row r="843">
      <c r="A843" s="100" t="n"/>
      <c r="B843" s="100" t="n"/>
      <c r="C843" s="100" t="n"/>
      <c r="D843" s="100" t="n"/>
      <c r="E843" s="100" t="n"/>
      <c r="F843" s="100" t="n"/>
      <c r="G843" s="100" t="n"/>
      <c r="H843" s="100" t="n"/>
    </row>
    <row r="844">
      <c r="A844" s="100" t="n"/>
      <c r="B844" s="100" t="n"/>
      <c r="C844" s="100" t="n"/>
      <c r="D844" s="100" t="n"/>
      <c r="E844" s="100" t="n"/>
      <c r="F844" s="100" t="n"/>
      <c r="G844" s="100" t="n"/>
      <c r="H844" s="100" t="n"/>
    </row>
    <row r="845">
      <c r="A845" s="100" t="n"/>
      <c r="B845" s="100" t="n"/>
      <c r="C845" s="100" t="n"/>
      <c r="D845" s="100" t="n"/>
      <c r="E845" s="100" t="n"/>
      <c r="F845" s="100" t="n"/>
      <c r="G845" s="100" t="n"/>
      <c r="H845" s="100" t="n"/>
    </row>
    <row r="846">
      <c r="A846" s="100" t="n"/>
      <c r="B846" s="100" t="n"/>
      <c r="C846" s="100" t="n"/>
      <c r="D846" s="100" t="n"/>
      <c r="E846" s="100" t="n"/>
      <c r="F846" s="100" t="n"/>
      <c r="G846" s="100" t="n"/>
      <c r="H846" s="100" t="n"/>
    </row>
    <row r="847">
      <c r="A847" s="100" t="n"/>
      <c r="B847" s="100" t="n"/>
      <c r="C847" s="100" t="n"/>
      <c r="D847" s="100" t="n"/>
      <c r="E847" s="100" t="n"/>
      <c r="F847" s="100" t="n"/>
      <c r="G847" s="100" t="n"/>
      <c r="H847" s="100" t="n"/>
    </row>
    <row r="848">
      <c r="A848" s="100" t="n"/>
      <c r="B848" s="100" t="n"/>
      <c r="C848" s="100" t="n"/>
      <c r="D848" s="100" t="n"/>
      <c r="E848" s="100" t="n"/>
      <c r="F848" s="100" t="n"/>
      <c r="G848" s="100" t="n"/>
      <c r="H848" s="100" t="n"/>
    </row>
    <row r="849">
      <c r="A849" s="100" t="n"/>
      <c r="B849" s="100" t="n"/>
      <c r="C849" s="100" t="n"/>
      <c r="D849" s="100" t="n"/>
      <c r="E849" s="100" t="n"/>
      <c r="F849" s="100" t="n"/>
      <c r="G849" s="100" t="n"/>
      <c r="H849" s="100" t="n"/>
    </row>
    <row r="850">
      <c r="A850" s="100" t="n"/>
      <c r="B850" s="100" t="n"/>
      <c r="C850" s="100" t="n"/>
      <c r="D850" s="100" t="n"/>
      <c r="E850" s="100" t="n"/>
      <c r="F850" s="100" t="n"/>
      <c r="G850" s="100" t="n"/>
      <c r="H850" s="100" t="n"/>
    </row>
    <row r="851">
      <c r="A851" s="100" t="n"/>
      <c r="B851" s="100" t="n"/>
      <c r="C851" s="100" t="n"/>
      <c r="D851" s="100" t="n"/>
      <c r="E851" s="100" t="n"/>
      <c r="F851" s="100" t="n"/>
      <c r="G851" s="100" t="n"/>
      <c r="H851" s="100" t="n"/>
    </row>
    <row r="852">
      <c r="A852" s="100" t="n"/>
      <c r="B852" s="100" t="n"/>
      <c r="C852" s="100" t="n"/>
      <c r="D852" s="100" t="n"/>
      <c r="E852" s="100" t="n"/>
      <c r="F852" s="100" t="n"/>
      <c r="G852" s="100" t="n"/>
      <c r="H852" s="100" t="n"/>
    </row>
    <row r="853">
      <c r="A853" s="100" t="n"/>
      <c r="B853" s="100" t="n"/>
      <c r="C853" s="100" t="n"/>
      <c r="D853" s="100" t="n"/>
      <c r="E853" s="100" t="n"/>
      <c r="F853" s="100" t="n"/>
      <c r="G853" s="100" t="n"/>
      <c r="H853" s="100" t="n"/>
    </row>
    <row r="854">
      <c r="A854" s="100" t="n"/>
      <c r="B854" s="100" t="n"/>
      <c r="C854" s="100" t="n"/>
      <c r="D854" s="100" t="n"/>
      <c r="E854" s="100" t="n"/>
      <c r="F854" s="100" t="n"/>
      <c r="G854" s="100" t="n"/>
      <c r="H854" s="100" t="n"/>
    </row>
    <row r="855">
      <c r="A855" s="100" t="n"/>
      <c r="B855" s="100" t="n"/>
      <c r="C855" s="100" t="n"/>
      <c r="D855" s="100" t="n"/>
      <c r="E855" s="100" t="n"/>
      <c r="F855" s="100" t="n"/>
      <c r="G855" s="100" t="n"/>
      <c r="H855" s="100" t="n"/>
    </row>
    <row r="856">
      <c r="A856" s="100" t="n"/>
      <c r="B856" s="100" t="n"/>
      <c r="C856" s="100" t="n"/>
      <c r="D856" s="100" t="n"/>
      <c r="E856" s="100" t="n"/>
      <c r="F856" s="100" t="n"/>
      <c r="G856" s="100" t="n"/>
      <c r="H856" s="100" t="n"/>
    </row>
    <row r="857">
      <c r="A857" s="100" t="n"/>
      <c r="B857" s="100" t="n"/>
      <c r="C857" s="100" t="n"/>
      <c r="D857" s="100" t="n"/>
      <c r="E857" s="100" t="n"/>
      <c r="F857" s="100" t="n"/>
      <c r="G857" s="100" t="n"/>
      <c r="H857" s="100" t="n"/>
    </row>
    <row r="858">
      <c r="A858" s="100" t="n"/>
      <c r="B858" s="100" t="n"/>
      <c r="C858" s="100" t="n"/>
      <c r="D858" s="100" t="n"/>
      <c r="E858" s="100" t="n"/>
      <c r="F858" s="100" t="n"/>
      <c r="G858" s="100" t="n"/>
      <c r="H858" s="100" t="n"/>
    </row>
    <row r="859">
      <c r="A859" s="100" t="n"/>
      <c r="B859" s="100" t="n"/>
      <c r="C859" s="100" t="n"/>
      <c r="D859" s="100" t="n"/>
      <c r="E859" s="100" t="n"/>
      <c r="F859" s="100" t="n"/>
      <c r="G859" s="100" t="n"/>
      <c r="H859" s="100" t="n"/>
    </row>
    <row r="860">
      <c r="A860" s="100" t="n"/>
      <c r="B860" s="100" t="n"/>
      <c r="C860" s="100" t="n"/>
      <c r="D860" s="100" t="n"/>
      <c r="E860" s="100" t="n"/>
      <c r="F860" s="100" t="n"/>
      <c r="G860" s="100" t="n"/>
      <c r="H860" s="100" t="n"/>
    </row>
    <row r="861">
      <c r="A861" s="100" t="n"/>
      <c r="B861" s="100" t="n"/>
      <c r="C861" s="100" t="n"/>
      <c r="D861" s="100" t="n"/>
      <c r="E861" s="100" t="n"/>
      <c r="F861" s="100" t="n"/>
      <c r="G861" s="100" t="n"/>
      <c r="H861" s="100" t="n"/>
    </row>
    <row r="862">
      <c r="A862" s="100" t="n"/>
      <c r="B862" s="100" t="n"/>
      <c r="C862" s="100" t="n"/>
      <c r="D862" s="100" t="n"/>
      <c r="E862" s="100" t="n"/>
      <c r="F862" s="100" t="n"/>
      <c r="G862" s="100" t="n"/>
      <c r="H862" s="100" t="n"/>
    </row>
    <row r="863">
      <c r="A863" s="100" t="n"/>
      <c r="B863" s="100" t="n"/>
      <c r="C863" s="100" t="n"/>
      <c r="D863" s="100" t="n"/>
      <c r="E863" s="100" t="n"/>
      <c r="F863" s="100" t="n"/>
      <c r="G863" s="100" t="n"/>
      <c r="H863" s="100" t="n"/>
    </row>
    <row r="864">
      <c r="A864" s="100" t="n"/>
      <c r="B864" s="100" t="n"/>
      <c r="C864" s="100" t="n"/>
      <c r="D864" s="100" t="n"/>
      <c r="E864" s="100" t="n"/>
      <c r="F864" s="100" t="n"/>
      <c r="G864" s="100" t="n"/>
      <c r="H864" s="100" t="n"/>
    </row>
    <row r="865">
      <c r="A865" s="100" t="n"/>
      <c r="B865" s="100" t="n"/>
      <c r="C865" s="100" t="n"/>
      <c r="D865" s="100" t="n"/>
      <c r="E865" s="100" t="n"/>
      <c r="F865" s="100" t="n"/>
      <c r="G865" s="100" t="n"/>
      <c r="H865" s="100" t="n"/>
    </row>
    <row r="866">
      <c r="A866" s="100" t="n"/>
      <c r="B866" s="100" t="n"/>
      <c r="C866" s="100" t="n"/>
      <c r="D866" s="100" t="n"/>
      <c r="E866" s="100" t="n"/>
      <c r="F866" s="100" t="n"/>
      <c r="G866" s="100" t="n"/>
      <c r="H866" s="100" t="n"/>
    </row>
    <row r="867">
      <c r="A867" s="100" t="n"/>
      <c r="B867" s="100" t="n"/>
      <c r="C867" s="100" t="n"/>
      <c r="D867" s="100" t="n"/>
      <c r="E867" s="100" t="n"/>
      <c r="F867" s="100" t="n"/>
      <c r="G867" s="100" t="n"/>
      <c r="H867" s="100" t="n"/>
    </row>
    <row r="868">
      <c r="A868" s="100" t="n"/>
      <c r="B868" s="100" t="n"/>
      <c r="C868" s="100" t="n"/>
      <c r="D868" s="100" t="n"/>
      <c r="E868" s="100" t="n"/>
      <c r="F868" s="100" t="n"/>
      <c r="G868" s="100" t="n"/>
      <c r="H868" s="100" t="n"/>
    </row>
    <row r="869">
      <c r="A869" s="100" t="n"/>
      <c r="B869" s="100" t="n"/>
      <c r="C869" s="100" t="n"/>
      <c r="D869" s="100" t="n"/>
      <c r="E869" s="100" t="n"/>
      <c r="F869" s="100" t="n"/>
      <c r="G869" s="100" t="n"/>
      <c r="H869" s="100" t="n"/>
    </row>
    <row r="870">
      <c r="A870" s="100" t="n"/>
      <c r="B870" s="100" t="n"/>
      <c r="C870" s="100" t="n"/>
      <c r="D870" s="100" t="n"/>
      <c r="E870" s="100" t="n"/>
      <c r="F870" s="100" t="n"/>
      <c r="G870" s="100" t="n"/>
      <c r="H870" s="100" t="n"/>
    </row>
    <row r="871">
      <c r="A871" s="100" t="n"/>
      <c r="B871" s="100" t="n"/>
      <c r="C871" s="100" t="n"/>
      <c r="D871" s="100" t="n"/>
      <c r="E871" s="100" t="n"/>
      <c r="F871" s="100" t="n"/>
      <c r="G871" s="100" t="n"/>
      <c r="H871" s="100" t="n"/>
    </row>
    <row r="872">
      <c r="A872" s="100" t="n"/>
      <c r="B872" s="100" t="n"/>
      <c r="C872" s="100" t="n"/>
      <c r="D872" s="100" t="n"/>
      <c r="E872" s="100" t="n"/>
      <c r="F872" s="100" t="n"/>
      <c r="G872" s="100" t="n"/>
      <c r="H872" s="100" t="n"/>
    </row>
    <row r="873">
      <c r="A873" s="100" t="n"/>
      <c r="B873" s="100" t="n"/>
      <c r="C873" s="100" t="n"/>
      <c r="D873" s="100" t="n"/>
      <c r="E873" s="100" t="n"/>
      <c r="F873" s="100" t="n"/>
      <c r="G873" s="100" t="n"/>
      <c r="H873" s="100" t="n"/>
    </row>
    <row r="874">
      <c r="A874" s="100" t="n"/>
      <c r="B874" s="100" t="n"/>
      <c r="C874" s="100" t="n"/>
      <c r="D874" s="100" t="n"/>
      <c r="E874" s="100" t="n"/>
      <c r="F874" s="100" t="n"/>
      <c r="G874" s="100" t="n"/>
      <c r="H874" s="100" t="n"/>
    </row>
    <row r="875">
      <c r="A875" s="100" t="n"/>
      <c r="B875" s="100" t="n"/>
      <c r="C875" s="100" t="n"/>
      <c r="D875" s="100" t="n"/>
      <c r="E875" s="100" t="n"/>
      <c r="F875" s="100" t="n"/>
      <c r="G875" s="100" t="n"/>
      <c r="H875" s="100" t="n"/>
    </row>
    <row r="876">
      <c r="A876" s="100" t="n"/>
      <c r="B876" s="100" t="n"/>
      <c r="C876" s="100" t="n"/>
      <c r="D876" s="100" t="n"/>
      <c r="E876" s="100" t="n"/>
      <c r="F876" s="100" t="n"/>
      <c r="G876" s="100" t="n"/>
      <c r="H876" s="100" t="n"/>
    </row>
    <row r="877">
      <c r="A877" s="100" t="n"/>
      <c r="B877" s="100" t="n"/>
      <c r="C877" s="100" t="n"/>
      <c r="D877" s="100" t="n"/>
      <c r="E877" s="100" t="n"/>
      <c r="F877" s="100" t="n"/>
      <c r="G877" s="100" t="n"/>
      <c r="H877" s="100" t="n"/>
    </row>
    <row r="878">
      <c r="A878" s="100" t="n"/>
      <c r="B878" s="100" t="n"/>
      <c r="C878" s="100" t="n"/>
      <c r="D878" s="100" t="n"/>
      <c r="E878" s="100" t="n"/>
      <c r="F878" s="100" t="n"/>
      <c r="G878" s="100" t="n"/>
      <c r="H878" s="100" t="n"/>
    </row>
    <row r="879">
      <c r="A879" s="100" t="n"/>
      <c r="B879" s="100" t="n"/>
      <c r="C879" s="100" t="n"/>
      <c r="D879" s="100" t="n"/>
      <c r="E879" s="100" t="n"/>
      <c r="F879" s="100" t="n"/>
      <c r="G879" s="100" t="n"/>
      <c r="H879" s="100" t="n"/>
    </row>
    <row r="880">
      <c r="A880" s="100" t="n"/>
      <c r="B880" s="100" t="n"/>
      <c r="C880" s="100" t="n"/>
      <c r="D880" s="100" t="n"/>
      <c r="E880" s="100" t="n"/>
      <c r="F880" s="100" t="n"/>
      <c r="G880" s="100" t="n"/>
      <c r="H880" s="100" t="n"/>
    </row>
    <row r="881">
      <c r="A881" s="100" t="n"/>
      <c r="B881" s="100" t="n"/>
      <c r="C881" s="100" t="n"/>
      <c r="D881" s="100" t="n"/>
      <c r="E881" s="100" t="n"/>
      <c r="F881" s="100" t="n"/>
      <c r="G881" s="100" t="n"/>
      <c r="H881" s="100" t="n"/>
    </row>
    <row r="882">
      <c r="A882" s="100" t="n"/>
      <c r="B882" s="100" t="n"/>
      <c r="C882" s="100" t="n"/>
      <c r="D882" s="100" t="n"/>
      <c r="E882" s="100" t="n"/>
      <c r="F882" s="100" t="n"/>
      <c r="G882" s="100" t="n"/>
      <c r="H882" s="100" t="n"/>
    </row>
    <row r="883">
      <c r="A883" s="100" t="n"/>
      <c r="B883" s="100" t="n"/>
      <c r="C883" s="100" t="n"/>
      <c r="D883" s="100" t="n"/>
      <c r="E883" s="100" t="n"/>
      <c r="F883" s="100" t="n"/>
      <c r="G883" s="100" t="n"/>
      <c r="H883" s="100" t="n"/>
    </row>
    <row r="884">
      <c r="A884" s="100" t="n"/>
      <c r="B884" s="100" t="n"/>
      <c r="C884" s="100" t="n"/>
      <c r="D884" s="100" t="n"/>
      <c r="E884" s="100" t="n"/>
      <c r="F884" s="100" t="n"/>
      <c r="G884" s="100" t="n"/>
      <c r="H884" s="100" t="n"/>
    </row>
    <row r="885">
      <c r="A885" s="100" t="n"/>
      <c r="B885" s="100" t="n"/>
      <c r="C885" s="100" t="n"/>
      <c r="D885" s="100" t="n"/>
      <c r="E885" s="100" t="n"/>
      <c r="F885" s="100" t="n"/>
      <c r="G885" s="100" t="n"/>
      <c r="H885" s="100" t="n"/>
    </row>
    <row r="886">
      <c r="A886" s="100" t="n"/>
      <c r="B886" s="100" t="n"/>
      <c r="C886" s="100" t="n"/>
      <c r="D886" s="100" t="n"/>
      <c r="E886" s="100" t="n"/>
      <c r="F886" s="100" t="n"/>
      <c r="G886" s="100" t="n"/>
      <c r="H886" s="100" t="n"/>
    </row>
    <row r="887">
      <c r="A887" s="100" t="n"/>
      <c r="B887" s="100" t="n"/>
      <c r="C887" s="100" t="n"/>
      <c r="D887" s="100" t="n"/>
      <c r="E887" s="100" t="n"/>
      <c r="F887" s="100" t="n"/>
      <c r="G887" s="100" t="n"/>
      <c r="H887" s="100" t="n"/>
    </row>
    <row r="888">
      <c r="A888" s="100" t="n"/>
      <c r="B888" s="100" t="n"/>
      <c r="C888" s="100" t="n"/>
      <c r="D888" s="100" t="n"/>
      <c r="E888" s="100" t="n"/>
      <c r="F888" s="100" t="n"/>
      <c r="G888" s="100" t="n"/>
      <c r="H888" s="100" t="n"/>
    </row>
    <row r="889">
      <c r="A889" s="100" t="n"/>
      <c r="B889" s="100" t="n"/>
      <c r="C889" s="100" t="n"/>
      <c r="D889" s="100" t="n"/>
      <c r="E889" s="100" t="n"/>
      <c r="F889" s="100" t="n"/>
      <c r="G889" s="100" t="n"/>
      <c r="H889" s="100" t="n"/>
    </row>
    <row r="890">
      <c r="A890" s="100" t="n"/>
      <c r="B890" s="100" t="n"/>
      <c r="C890" s="100" t="n"/>
      <c r="D890" s="100" t="n"/>
      <c r="E890" s="100" t="n"/>
      <c r="F890" s="100" t="n"/>
      <c r="G890" s="100" t="n"/>
      <c r="H890" s="100" t="n"/>
    </row>
    <row r="891">
      <c r="A891" s="100" t="n"/>
      <c r="B891" s="100" t="n"/>
      <c r="C891" s="100" t="n"/>
      <c r="D891" s="100" t="n"/>
      <c r="E891" s="100" t="n"/>
      <c r="F891" s="100" t="n"/>
      <c r="G891" s="100" t="n"/>
      <c r="H891" s="100" t="n"/>
    </row>
    <row r="892">
      <c r="A892" s="100" t="n"/>
      <c r="B892" s="100" t="n"/>
      <c r="C892" s="100" t="n"/>
      <c r="D892" s="100" t="n"/>
      <c r="E892" s="100" t="n"/>
      <c r="F892" s="100" t="n"/>
      <c r="G892" s="100" t="n"/>
      <c r="H892" s="100" t="n"/>
    </row>
    <row r="893">
      <c r="A893" s="100" t="n"/>
      <c r="B893" s="100" t="n"/>
      <c r="C893" s="100" t="n"/>
      <c r="D893" s="100" t="n"/>
      <c r="E893" s="100" t="n"/>
      <c r="F893" s="100" t="n"/>
      <c r="G893" s="100" t="n"/>
      <c r="H893" s="100" t="n"/>
    </row>
    <row r="894">
      <c r="A894" s="100" t="n"/>
      <c r="B894" s="100" t="n"/>
      <c r="C894" s="100" t="n"/>
      <c r="D894" s="100" t="n"/>
      <c r="E894" s="100" t="n"/>
      <c r="F894" s="100" t="n"/>
      <c r="G894" s="100" t="n"/>
      <c r="H894" s="100" t="n"/>
    </row>
    <row r="895">
      <c r="A895" s="100" t="n"/>
      <c r="B895" s="100" t="n"/>
      <c r="C895" s="100" t="n"/>
      <c r="D895" s="100" t="n"/>
      <c r="E895" s="100" t="n"/>
      <c r="F895" s="100" t="n"/>
      <c r="G895" s="100" t="n"/>
      <c r="H895" s="100" t="n"/>
    </row>
    <row r="896">
      <c r="A896" s="100" t="n"/>
      <c r="B896" s="100" t="n"/>
      <c r="C896" s="100" t="n"/>
      <c r="D896" s="100" t="n"/>
      <c r="E896" s="100" t="n"/>
      <c r="F896" s="100" t="n"/>
      <c r="G896" s="100" t="n"/>
      <c r="H896" s="100" t="n"/>
    </row>
    <row r="897">
      <c r="A897" s="100" t="n"/>
      <c r="B897" s="100" t="n"/>
      <c r="C897" s="100" t="n"/>
      <c r="D897" s="100" t="n"/>
      <c r="E897" s="100" t="n"/>
      <c r="F897" s="100" t="n"/>
      <c r="G897" s="100" t="n"/>
      <c r="H897" s="100" t="n"/>
    </row>
    <row r="898">
      <c r="A898" s="100" t="n"/>
      <c r="B898" s="100" t="n"/>
      <c r="C898" s="100" t="n"/>
      <c r="D898" s="100" t="n"/>
      <c r="E898" s="100" t="n"/>
      <c r="F898" s="100" t="n"/>
      <c r="G898" s="100" t="n"/>
      <c r="H898" s="100" t="n"/>
    </row>
    <row r="899">
      <c r="A899" s="100" t="n"/>
      <c r="B899" s="100" t="n"/>
      <c r="C899" s="100" t="n"/>
      <c r="D899" s="100" t="n"/>
      <c r="E899" s="100" t="n"/>
      <c r="F899" s="100" t="n"/>
      <c r="G899" s="100" t="n"/>
      <c r="H899" s="100" t="n"/>
    </row>
    <row r="900">
      <c r="A900" s="100" t="n"/>
      <c r="B900" s="100" t="n"/>
      <c r="C900" s="100" t="n"/>
      <c r="D900" s="100" t="n"/>
      <c r="E900" s="100" t="n"/>
      <c r="F900" s="100" t="n"/>
      <c r="G900" s="100" t="n"/>
      <c r="H900" s="100" t="n"/>
    </row>
    <row r="901">
      <c r="A901" s="100" t="n"/>
      <c r="B901" s="100" t="n"/>
      <c r="C901" s="100" t="n"/>
      <c r="D901" s="100" t="n"/>
      <c r="E901" s="100" t="n"/>
      <c r="F901" s="100" t="n"/>
      <c r="G901" s="100" t="n"/>
      <c r="H901" s="100" t="n"/>
    </row>
    <row r="902">
      <c r="A902" s="100" t="n"/>
      <c r="B902" s="100" t="n"/>
      <c r="C902" s="100" t="n"/>
      <c r="D902" s="100" t="n"/>
      <c r="E902" s="100" t="n"/>
      <c r="F902" s="100" t="n"/>
      <c r="G902" s="100" t="n"/>
      <c r="H902" s="100" t="n"/>
    </row>
    <row r="903">
      <c r="A903" s="100" t="n"/>
      <c r="B903" s="100" t="n"/>
      <c r="C903" s="100" t="n"/>
      <c r="D903" s="100" t="n"/>
      <c r="E903" s="100" t="n"/>
      <c r="F903" s="100" t="n"/>
      <c r="G903" s="100" t="n"/>
      <c r="H903" s="100" t="n"/>
    </row>
    <row r="904">
      <c r="A904" s="100" t="n"/>
      <c r="B904" s="100" t="n"/>
      <c r="C904" s="100" t="n"/>
      <c r="D904" s="100" t="n"/>
      <c r="E904" s="100" t="n"/>
      <c r="F904" s="100" t="n"/>
      <c r="G904" s="100" t="n"/>
      <c r="H904" s="100" t="n"/>
    </row>
    <row r="905">
      <c r="A905" s="100" t="n"/>
      <c r="B905" s="100" t="n"/>
      <c r="C905" s="100" t="n"/>
      <c r="D905" s="100" t="n"/>
      <c r="E905" s="100" t="n"/>
      <c r="F905" s="100" t="n"/>
      <c r="G905" s="100" t="n"/>
      <c r="H905" s="100" t="n"/>
    </row>
    <row r="906">
      <c r="A906" s="100" t="n"/>
      <c r="B906" s="100" t="n"/>
      <c r="C906" s="100" t="n"/>
      <c r="D906" s="100" t="n"/>
      <c r="E906" s="100" t="n"/>
      <c r="F906" s="100" t="n"/>
      <c r="G906" s="100" t="n"/>
      <c r="H906" s="100" t="n"/>
    </row>
    <row r="907">
      <c r="A907" s="100" t="n"/>
      <c r="B907" s="100" t="n"/>
      <c r="C907" s="100" t="n"/>
      <c r="D907" s="100" t="n"/>
      <c r="E907" s="100" t="n"/>
      <c r="F907" s="100" t="n"/>
      <c r="G907" s="100" t="n"/>
      <c r="H907" s="100" t="n"/>
    </row>
    <row r="908">
      <c r="A908" s="100" t="n"/>
      <c r="B908" s="100" t="n"/>
      <c r="C908" s="100" t="n"/>
      <c r="D908" s="100" t="n"/>
      <c r="E908" s="100" t="n"/>
      <c r="F908" s="100" t="n"/>
      <c r="G908" s="100" t="n"/>
      <c r="H908" s="100" t="n"/>
    </row>
    <row r="909">
      <c r="A909" s="100" t="n"/>
      <c r="B909" s="100" t="n"/>
      <c r="C909" s="100" t="n"/>
      <c r="D909" s="100" t="n"/>
      <c r="E909" s="100" t="n"/>
      <c r="F909" s="100" t="n"/>
      <c r="G909" s="100" t="n"/>
      <c r="H909" s="100" t="n"/>
    </row>
    <row r="910">
      <c r="A910" s="100" t="n"/>
      <c r="B910" s="100" t="n"/>
      <c r="C910" s="100" t="n"/>
      <c r="D910" s="100" t="n"/>
      <c r="E910" s="100" t="n"/>
      <c r="F910" s="100" t="n"/>
      <c r="G910" s="100" t="n"/>
      <c r="H910" s="100" t="n"/>
    </row>
    <row r="911">
      <c r="A911" s="100" t="n"/>
      <c r="B911" s="100" t="n"/>
      <c r="C911" s="100" t="n"/>
      <c r="D911" s="100" t="n"/>
      <c r="E911" s="100" t="n"/>
      <c r="F911" s="100" t="n"/>
      <c r="G911" s="100" t="n"/>
      <c r="H911" s="100" t="n"/>
    </row>
    <row r="912">
      <c r="A912" s="100" t="n"/>
      <c r="B912" s="100" t="n"/>
      <c r="C912" s="100" t="n"/>
      <c r="D912" s="100" t="n"/>
      <c r="E912" s="100" t="n"/>
      <c r="F912" s="100" t="n"/>
      <c r="G912" s="100" t="n"/>
      <c r="H912" s="100" t="n"/>
    </row>
    <row r="913">
      <c r="A913" s="100" t="n"/>
      <c r="B913" s="100" t="n"/>
      <c r="C913" s="100" t="n"/>
      <c r="D913" s="100" t="n"/>
      <c r="E913" s="100" t="n"/>
      <c r="F913" s="100" t="n"/>
      <c r="G913" s="100" t="n"/>
      <c r="H913" s="100" t="n"/>
    </row>
    <row r="914">
      <c r="A914" s="100" t="n"/>
      <c r="B914" s="100" t="n"/>
      <c r="C914" s="100" t="n"/>
      <c r="D914" s="100" t="n"/>
      <c r="E914" s="100" t="n"/>
      <c r="F914" s="100" t="n"/>
      <c r="G914" s="100" t="n"/>
      <c r="H914" s="100" t="n"/>
    </row>
    <row r="915">
      <c r="A915" s="100" t="n"/>
      <c r="B915" s="100" t="n"/>
      <c r="C915" s="100" t="n"/>
      <c r="D915" s="100" t="n"/>
      <c r="E915" s="100" t="n"/>
      <c r="F915" s="100" t="n"/>
      <c r="G915" s="100" t="n"/>
      <c r="H915" s="100" t="n"/>
    </row>
    <row r="916">
      <c r="A916" s="100" t="n"/>
      <c r="B916" s="100" t="n"/>
      <c r="C916" s="100" t="n"/>
      <c r="D916" s="100" t="n"/>
      <c r="E916" s="100" t="n"/>
      <c r="F916" s="100" t="n"/>
      <c r="G916" s="100" t="n"/>
      <c r="H916" s="100" t="n"/>
    </row>
    <row r="917">
      <c r="A917" s="100" t="n"/>
      <c r="B917" s="100" t="n"/>
      <c r="C917" s="100" t="n"/>
      <c r="D917" s="100" t="n"/>
      <c r="E917" s="100" t="n"/>
      <c r="F917" s="100" t="n"/>
      <c r="G917" s="100" t="n"/>
      <c r="H917" s="100" t="n"/>
    </row>
    <row r="918">
      <c r="A918" s="100" t="n"/>
      <c r="B918" s="100" t="n"/>
      <c r="C918" s="100" t="n"/>
      <c r="D918" s="100" t="n"/>
      <c r="E918" s="100" t="n"/>
      <c r="F918" s="100" t="n"/>
      <c r="G918" s="100" t="n"/>
      <c r="H918" s="100" t="n"/>
    </row>
    <row r="919">
      <c r="A919" s="100" t="n"/>
      <c r="B919" s="100" t="n"/>
      <c r="C919" s="100" t="n"/>
      <c r="D919" s="100" t="n"/>
      <c r="E919" s="100" t="n"/>
      <c r="F919" s="100" t="n"/>
      <c r="G919" s="100" t="n"/>
      <c r="H919" s="100" t="n"/>
    </row>
    <row r="920">
      <c r="A920" s="100" t="n"/>
      <c r="B920" s="100" t="n"/>
      <c r="C920" s="100" t="n"/>
      <c r="D920" s="100" t="n"/>
      <c r="E920" s="100" t="n"/>
      <c r="F920" s="100" t="n"/>
      <c r="G920" s="100" t="n"/>
      <c r="H920" s="100" t="n"/>
    </row>
    <row r="921">
      <c r="A921" s="100" t="n"/>
      <c r="B921" s="100" t="n"/>
      <c r="C921" s="100" t="n"/>
      <c r="D921" s="100" t="n"/>
      <c r="E921" s="100" t="n"/>
      <c r="F921" s="100" t="n"/>
      <c r="G921" s="100" t="n"/>
      <c r="H921" s="100" t="n"/>
    </row>
    <row r="922">
      <c r="A922" s="100" t="n"/>
      <c r="B922" s="100" t="n"/>
      <c r="C922" s="100" t="n"/>
      <c r="D922" s="100" t="n"/>
      <c r="E922" s="100" t="n"/>
      <c r="F922" s="100" t="n"/>
      <c r="G922" s="100" t="n"/>
      <c r="H922" s="100" t="n"/>
    </row>
    <row r="923">
      <c r="A923" s="100" t="n"/>
      <c r="B923" s="100" t="n"/>
      <c r="C923" s="100" t="n"/>
      <c r="D923" s="100" t="n"/>
      <c r="E923" s="100" t="n"/>
      <c r="F923" s="100" t="n"/>
      <c r="G923" s="100" t="n"/>
      <c r="H923" s="100" t="n"/>
    </row>
    <row r="924">
      <c r="A924" s="100" t="n"/>
      <c r="B924" s="100" t="n"/>
      <c r="C924" s="100" t="n"/>
      <c r="D924" s="100" t="n"/>
      <c r="E924" s="100" t="n"/>
      <c r="F924" s="100" t="n"/>
      <c r="G924" s="100" t="n"/>
      <c r="H924" s="100" t="n"/>
    </row>
    <row r="925">
      <c r="A925" s="100" t="n"/>
      <c r="B925" s="100" t="n"/>
      <c r="C925" s="100" t="n"/>
      <c r="D925" s="100" t="n"/>
      <c r="E925" s="100" t="n"/>
      <c r="F925" s="100" t="n"/>
      <c r="G925" s="100" t="n"/>
      <c r="H925" s="100" t="n"/>
    </row>
    <row r="926">
      <c r="A926" s="100" t="n"/>
      <c r="B926" s="100" t="n"/>
      <c r="C926" s="100" t="n"/>
      <c r="D926" s="100" t="n"/>
      <c r="E926" s="100" t="n"/>
      <c r="F926" s="100" t="n"/>
      <c r="G926" s="100" t="n"/>
      <c r="H926" s="100" t="n"/>
    </row>
    <row r="927">
      <c r="A927" s="100" t="n"/>
      <c r="B927" s="100" t="n"/>
      <c r="C927" s="100" t="n"/>
      <c r="D927" s="100" t="n"/>
      <c r="E927" s="100" t="n"/>
      <c r="F927" s="100" t="n"/>
      <c r="G927" s="100" t="n"/>
      <c r="H927" s="100" t="n"/>
    </row>
    <row r="928">
      <c r="A928" s="100" t="n"/>
      <c r="B928" s="100" t="n"/>
      <c r="C928" s="100" t="n"/>
      <c r="D928" s="100" t="n"/>
      <c r="E928" s="100" t="n"/>
      <c r="F928" s="100" t="n"/>
      <c r="G928" s="100" t="n"/>
      <c r="H928" s="100" t="n"/>
    </row>
    <row r="929">
      <c r="A929" s="100" t="n"/>
      <c r="B929" s="100" t="n"/>
      <c r="C929" s="100" t="n"/>
      <c r="D929" s="100" t="n"/>
      <c r="E929" s="100" t="n"/>
      <c r="F929" s="100" t="n"/>
      <c r="G929" s="100" t="n"/>
      <c r="H929" s="100" t="n"/>
    </row>
    <row r="930">
      <c r="A930" s="100" t="n"/>
      <c r="B930" s="100" t="n"/>
      <c r="C930" s="100" t="n"/>
      <c r="D930" s="100" t="n"/>
      <c r="E930" s="100" t="n"/>
      <c r="F930" s="100" t="n"/>
      <c r="G930" s="100" t="n"/>
      <c r="H930" s="100" t="n"/>
    </row>
    <row r="931">
      <c r="A931" s="100" t="n"/>
      <c r="B931" s="100" t="n"/>
      <c r="C931" s="100" t="n"/>
      <c r="D931" s="100" t="n"/>
      <c r="E931" s="100" t="n"/>
      <c r="F931" s="100" t="n"/>
      <c r="G931" s="100" t="n"/>
      <c r="H931" s="100" t="n"/>
    </row>
    <row r="932">
      <c r="A932" s="100" t="n"/>
      <c r="B932" s="100" t="n"/>
      <c r="C932" s="100" t="n"/>
      <c r="D932" s="100" t="n"/>
      <c r="E932" s="100" t="n"/>
      <c r="F932" s="100" t="n"/>
      <c r="G932" s="100" t="n"/>
      <c r="H932" s="100" t="n"/>
    </row>
    <row r="933">
      <c r="A933" s="100" t="n"/>
      <c r="B933" s="100" t="n"/>
      <c r="C933" s="100" t="n"/>
      <c r="D933" s="100" t="n"/>
      <c r="E933" s="100" t="n"/>
      <c r="F933" s="100" t="n"/>
      <c r="G933" s="100" t="n"/>
      <c r="H933" s="100" t="n"/>
    </row>
    <row r="934">
      <c r="A934" s="100" t="n"/>
      <c r="B934" s="100" t="n"/>
      <c r="C934" s="100" t="n"/>
      <c r="D934" s="100" t="n"/>
      <c r="E934" s="100" t="n"/>
      <c r="F934" s="100" t="n"/>
      <c r="G934" s="100" t="n"/>
      <c r="H934" s="100" t="n"/>
    </row>
    <row r="935">
      <c r="A935" s="100" t="n"/>
      <c r="B935" s="100" t="n"/>
      <c r="C935" s="100" t="n"/>
      <c r="D935" s="100" t="n"/>
      <c r="E935" s="100" t="n"/>
      <c r="F935" s="100" t="n"/>
      <c r="G935" s="100" t="n"/>
      <c r="H935" s="100" t="n"/>
    </row>
    <row r="936">
      <c r="A936" s="100" t="n"/>
      <c r="B936" s="100" t="n"/>
      <c r="C936" s="100" t="n"/>
      <c r="D936" s="100" t="n"/>
      <c r="E936" s="100" t="n"/>
      <c r="F936" s="100" t="n"/>
      <c r="G936" s="100" t="n"/>
      <c r="H936" s="100" t="n"/>
    </row>
    <row r="937">
      <c r="A937" s="100" t="n"/>
      <c r="B937" s="100" t="n"/>
      <c r="C937" s="100" t="n"/>
      <c r="D937" s="100" t="n"/>
      <c r="E937" s="100" t="n"/>
      <c r="F937" s="100" t="n"/>
      <c r="G937" s="100" t="n"/>
      <c r="H937" s="100" t="n"/>
    </row>
    <row r="938">
      <c r="A938" s="100" t="n"/>
      <c r="B938" s="100" t="n"/>
      <c r="C938" s="100" t="n"/>
      <c r="D938" s="100" t="n"/>
      <c r="E938" s="100" t="n"/>
      <c r="F938" s="100" t="n"/>
      <c r="G938" s="100" t="n"/>
      <c r="H938" s="100" t="n"/>
    </row>
    <row r="939">
      <c r="A939" s="100" t="n"/>
      <c r="B939" s="100" t="n"/>
      <c r="C939" s="100" t="n"/>
      <c r="D939" s="100" t="n"/>
      <c r="E939" s="100" t="n"/>
      <c r="F939" s="100" t="n"/>
      <c r="G939" s="100" t="n"/>
      <c r="H939" s="100" t="n"/>
    </row>
    <row r="940">
      <c r="A940" s="100" t="n"/>
      <c r="B940" s="100" t="n"/>
      <c r="C940" s="100" t="n"/>
      <c r="D940" s="100" t="n"/>
      <c r="E940" s="100" t="n"/>
      <c r="F940" s="100" t="n"/>
      <c r="G940" s="100" t="n"/>
      <c r="H940" s="100" t="n"/>
    </row>
    <row r="941">
      <c r="A941" s="100" t="n"/>
      <c r="B941" s="100" t="n"/>
      <c r="C941" s="100" t="n"/>
      <c r="D941" s="100" t="n"/>
      <c r="E941" s="100" t="n"/>
      <c r="F941" s="100" t="n"/>
      <c r="G941" s="100" t="n"/>
      <c r="H941" s="100" t="n"/>
    </row>
    <row r="942">
      <c r="A942" s="100" t="n"/>
      <c r="B942" s="100" t="n"/>
      <c r="C942" s="100" t="n"/>
      <c r="D942" s="100" t="n"/>
      <c r="E942" s="100" t="n"/>
      <c r="F942" s="100" t="n"/>
      <c r="G942" s="100" t="n"/>
      <c r="H942" s="100" t="n"/>
    </row>
    <row r="943">
      <c r="A943" s="100" t="n"/>
      <c r="B943" s="100" t="n"/>
      <c r="C943" s="100" t="n"/>
      <c r="D943" s="100" t="n"/>
      <c r="E943" s="100" t="n"/>
      <c r="F943" s="100" t="n"/>
      <c r="G943" s="100" t="n"/>
      <c r="H943" s="100" t="n"/>
    </row>
    <row r="944">
      <c r="A944" s="100" t="n"/>
      <c r="B944" s="100" t="n"/>
      <c r="C944" s="100" t="n"/>
      <c r="D944" s="100" t="n"/>
      <c r="E944" s="100" t="n"/>
      <c r="F944" s="100" t="n"/>
      <c r="G944" s="100" t="n"/>
      <c r="H944" s="100" t="n"/>
    </row>
    <row r="945">
      <c r="A945" s="100" t="n"/>
      <c r="B945" s="100" t="n"/>
      <c r="C945" s="100" t="n"/>
      <c r="D945" s="100" t="n"/>
      <c r="E945" s="100" t="n"/>
      <c r="F945" s="100" t="n"/>
      <c r="G945" s="100" t="n"/>
      <c r="H945" s="100" t="n"/>
    </row>
    <row r="946">
      <c r="A946" s="100" t="n"/>
      <c r="B946" s="100" t="n"/>
      <c r="C946" s="100" t="n"/>
      <c r="D946" s="100" t="n"/>
      <c r="E946" s="100" t="n"/>
      <c r="F946" s="100" t="n"/>
      <c r="G946" s="100" t="n"/>
      <c r="H946" s="100" t="n"/>
    </row>
    <row r="947">
      <c r="A947" s="100" t="n"/>
      <c r="B947" s="100" t="n"/>
      <c r="C947" s="100" t="n"/>
      <c r="D947" s="100" t="n"/>
      <c r="E947" s="100" t="n"/>
      <c r="F947" s="100" t="n"/>
      <c r="G947" s="100" t="n"/>
      <c r="H947" s="100" t="n"/>
    </row>
    <row r="948">
      <c r="A948" s="100" t="n"/>
      <c r="B948" s="100" t="n"/>
      <c r="C948" s="100" t="n"/>
      <c r="D948" s="100" t="n"/>
      <c r="E948" s="100" t="n"/>
      <c r="F948" s="100" t="n"/>
      <c r="G948" s="100" t="n"/>
      <c r="H948" s="100" t="n"/>
    </row>
    <row r="949">
      <c r="A949" s="100" t="n"/>
      <c r="B949" s="100" t="n"/>
      <c r="C949" s="100" t="n"/>
      <c r="D949" s="100" t="n"/>
      <c r="E949" s="100" t="n"/>
      <c r="F949" s="100" t="n"/>
      <c r="G949" s="100" t="n"/>
      <c r="H949" s="100" t="n"/>
    </row>
    <row r="950">
      <c r="A950" s="100" t="n"/>
      <c r="B950" s="100" t="n"/>
      <c r="C950" s="100" t="n"/>
      <c r="D950" s="100" t="n"/>
      <c r="E950" s="100" t="n"/>
      <c r="F950" s="100" t="n"/>
      <c r="G950" s="100" t="n"/>
      <c r="H950" s="100" t="n"/>
    </row>
    <row r="951">
      <c r="A951" s="100" t="n"/>
      <c r="B951" s="100" t="n"/>
      <c r="C951" s="100" t="n"/>
      <c r="D951" s="100" t="n"/>
      <c r="E951" s="100" t="n"/>
      <c r="F951" s="100" t="n"/>
      <c r="G951" s="100" t="n"/>
      <c r="H951" s="100" t="n"/>
    </row>
    <row r="952">
      <c r="A952" s="100" t="n"/>
      <c r="B952" s="100" t="n"/>
      <c r="C952" s="100" t="n"/>
      <c r="D952" s="100" t="n"/>
      <c r="E952" s="100" t="n"/>
      <c r="F952" s="100" t="n"/>
      <c r="G952" s="100" t="n"/>
      <c r="H952" s="100" t="n"/>
    </row>
    <row r="953">
      <c r="A953" s="100" t="n"/>
      <c r="B953" s="100" t="n"/>
      <c r="C953" s="100" t="n"/>
      <c r="D953" s="100" t="n"/>
      <c r="E953" s="100" t="n"/>
      <c r="F953" s="100" t="n"/>
      <c r="G953" s="100" t="n"/>
      <c r="H953" s="100" t="n"/>
    </row>
    <row r="954">
      <c r="A954" s="100" t="n"/>
      <c r="B954" s="100" t="n"/>
      <c r="C954" s="100" t="n"/>
      <c r="D954" s="100" t="n"/>
      <c r="E954" s="100" t="n"/>
      <c r="F954" s="100" t="n"/>
      <c r="G954" s="100" t="n"/>
      <c r="H954" s="100" t="n"/>
    </row>
    <row r="955">
      <c r="A955" s="100" t="n"/>
      <c r="B955" s="100" t="n"/>
      <c r="C955" s="100" t="n"/>
      <c r="D955" s="100" t="n"/>
      <c r="E955" s="100" t="n"/>
      <c r="F955" s="100" t="n"/>
      <c r="G955" s="100" t="n"/>
      <c r="H955" s="100" t="n"/>
    </row>
    <row r="956">
      <c r="A956" s="100" t="n"/>
      <c r="B956" s="100" t="n"/>
      <c r="C956" s="100" t="n"/>
      <c r="D956" s="100" t="n"/>
      <c r="E956" s="100" t="n"/>
      <c r="F956" s="100" t="n"/>
      <c r="G956" s="100" t="n"/>
      <c r="H956" s="100" t="n"/>
    </row>
    <row r="957">
      <c r="A957" s="100" t="n"/>
      <c r="B957" s="100" t="n"/>
      <c r="C957" s="100" t="n"/>
      <c r="D957" s="100" t="n"/>
      <c r="E957" s="100" t="n"/>
      <c r="F957" s="100" t="n"/>
      <c r="G957" s="100" t="n"/>
      <c r="H957" s="100" t="n"/>
    </row>
    <row r="958">
      <c r="A958" s="100" t="n"/>
      <c r="B958" s="100" t="n"/>
      <c r="C958" s="100" t="n"/>
      <c r="D958" s="100" t="n"/>
      <c r="E958" s="100" t="n"/>
      <c r="F958" s="100" t="n"/>
      <c r="G958" s="100" t="n"/>
      <c r="H958" s="100" t="n"/>
    </row>
    <row r="959">
      <c r="A959" s="100" t="n"/>
      <c r="B959" s="100" t="n"/>
      <c r="C959" s="100" t="n"/>
      <c r="D959" s="100" t="n"/>
      <c r="E959" s="100" t="n"/>
      <c r="F959" s="100" t="n"/>
      <c r="G959" s="100" t="n"/>
      <c r="H959" s="100" t="n"/>
    </row>
    <row r="960">
      <c r="A960" s="100" t="n"/>
      <c r="B960" s="100" t="n"/>
      <c r="C960" s="100" t="n"/>
      <c r="D960" s="100" t="n"/>
      <c r="E960" s="100" t="n"/>
      <c r="F960" s="100" t="n"/>
      <c r="G960" s="100" t="n"/>
      <c r="H960" s="100" t="n"/>
    </row>
    <row r="961">
      <c r="A961" s="100" t="n"/>
      <c r="B961" s="100" t="n"/>
      <c r="C961" s="100" t="n"/>
      <c r="D961" s="100" t="n"/>
      <c r="E961" s="100" t="n"/>
      <c r="F961" s="100" t="n"/>
      <c r="G961" s="100" t="n"/>
      <c r="H961" s="100" t="n"/>
    </row>
    <row r="962">
      <c r="A962" s="100" t="n"/>
      <c r="B962" s="100" t="n"/>
      <c r="C962" s="100" t="n"/>
      <c r="D962" s="100" t="n"/>
      <c r="E962" s="100" t="n"/>
      <c r="F962" s="100" t="n"/>
      <c r="G962" s="100" t="n"/>
      <c r="H962" s="100" t="n"/>
    </row>
    <row r="963">
      <c r="A963" s="100" t="n"/>
      <c r="B963" s="100" t="n"/>
      <c r="C963" s="100" t="n"/>
      <c r="D963" s="100" t="n"/>
      <c r="E963" s="100" t="n"/>
      <c r="F963" s="100" t="n"/>
      <c r="G963" s="100" t="n"/>
      <c r="H963" s="100" t="n"/>
    </row>
    <row r="964">
      <c r="A964" s="100" t="n"/>
      <c r="B964" s="100" t="n"/>
      <c r="C964" s="100" t="n"/>
      <c r="D964" s="100" t="n"/>
      <c r="E964" s="100" t="n"/>
      <c r="F964" s="100" t="n"/>
      <c r="G964" s="100" t="n"/>
      <c r="H964" s="100" t="n"/>
    </row>
    <row r="965">
      <c r="A965" s="100" t="n"/>
      <c r="B965" s="100" t="n"/>
      <c r="C965" s="100" t="n"/>
      <c r="D965" s="100" t="n"/>
      <c r="E965" s="100" t="n"/>
      <c r="F965" s="100" t="n"/>
      <c r="G965" s="100" t="n"/>
      <c r="H965" s="100" t="n"/>
    </row>
    <row r="966">
      <c r="A966" s="100" t="n"/>
      <c r="B966" s="100" t="n"/>
      <c r="C966" s="100" t="n"/>
      <c r="D966" s="100" t="n"/>
      <c r="E966" s="100" t="n"/>
      <c r="F966" s="100" t="n"/>
      <c r="G966" s="100" t="n"/>
      <c r="H966" s="100" t="n"/>
    </row>
    <row r="967">
      <c r="A967" s="100" t="n"/>
      <c r="B967" s="100" t="n"/>
      <c r="C967" s="100" t="n"/>
      <c r="D967" s="100" t="n"/>
      <c r="E967" s="100" t="n"/>
      <c r="F967" s="100" t="n"/>
      <c r="G967" s="100" t="n"/>
      <c r="H967" s="100" t="n"/>
    </row>
    <row r="968">
      <c r="A968" s="100" t="n"/>
      <c r="B968" s="100" t="n"/>
      <c r="C968" s="100" t="n"/>
      <c r="D968" s="100" t="n"/>
      <c r="E968" s="100" t="n"/>
      <c r="F968" s="100" t="n"/>
      <c r="G968" s="100" t="n"/>
      <c r="H968" s="100" t="n"/>
    </row>
    <row r="969">
      <c r="A969" s="100" t="n"/>
      <c r="B969" s="100" t="n"/>
      <c r="C969" s="100" t="n"/>
      <c r="D969" s="100" t="n"/>
      <c r="E969" s="100" t="n"/>
      <c r="F969" s="100" t="n"/>
      <c r="G969" s="100" t="n"/>
      <c r="H969" s="100" t="n"/>
    </row>
    <row r="970">
      <c r="A970" s="100" t="n"/>
      <c r="B970" s="100" t="n"/>
      <c r="C970" s="100" t="n"/>
      <c r="D970" s="100" t="n"/>
      <c r="E970" s="100" t="n"/>
      <c r="F970" s="100" t="n"/>
      <c r="G970" s="100" t="n"/>
      <c r="H970" s="100" t="n"/>
    </row>
    <row r="971">
      <c r="A971" s="100" t="n"/>
      <c r="B971" s="100" t="n"/>
      <c r="C971" s="100" t="n"/>
      <c r="D971" s="100" t="n"/>
      <c r="E971" s="100" t="n"/>
      <c r="F971" s="100" t="n"/>
      <c r="G971" s="100" t="n"/>
      <c r="H971" s="100" t="n"/>
    </row>
    <row r="972">
      <c r="A972" s="100" t="n"/>
      <c r="B972" s="100" t="n"/>
      <c r="C972" s="100" t="n"/>
      <c r="D972" s="100" t="n"/>
      <c r="E972" s="100" t="n"/>
      <c r="F972" s="100" t="n"/>
      <c r="G972" s="100" t="n"/>
      <c r="H972" s="100" t="n"/>
    </row>
    <row r="973">
      <c r="A973" s="100" t="n"/>
      <c r="B973" s="100" t="n"/>
      <c r="C973" s="100" t="n"/>
      <c r="D973" s="100" t="n"/>
      <c r="E973" s="100" t="n"/>
      <c r="F973" s="100" t="n"/>
      <c r="G973" s="100" t="n"/>
      <c r="H973" s="100" t="n"/>
    </row>
    <row r="974">
      <c r="A974" s="100" t="n"/>
      <c r="B974" s="100" t="n"/>
      <c r="C974" s="100" t="n"/>
      <c r="D974" s="100" t="n"/>
      <c r="E974" s="100" t="n"/>
      <c r="F974" s="100" t="n"/>
      <c r="G974" s="100" t="n"/>
      <c r="H974" s="100" t="n"/>
    </row>
    <row r="975">
      <c r="A975" s="100" t="n"/>
      <c r="B975" s="100" t="n"/>
      <c r="C975" s="100" t="n"/>
      <c r="D975" s="100" t="n"/>
      <c r="E975" s="100" t="n"/>
      <c r="F975" s="100" t="n"/>
      <c r="G975" s="100" t="n"/>
      <c r="H975" s="100" t="n"/>
    </row>
    <row r="976">
      <c r="A976" s="100" t="n"/>
      <c r="B976" s="100" t="n"/>
      <c r="C976" s="100" t="n"/>
      <c r="D976" s="100" t="n"/>
      <c r="E976" s="100" t="n"/>
      <c r="F976" s="100" t="n"/>
      <c r="G976" s="100" t="n"/>
      <c r="H976" s="100" t="n"/>
    </row>
    <row r="977">
      <c r="A977" s="100" t="n"/>
      <c r="B977" s="100" t="n"/>
      <c r="C977" s="100" t="n"/>
      <c r="D977" s="100" t="n"/>
      <c r="E977" s="100" t="n"/>
      <c r="F977" s="100" t="n"/>
      <c r="G977" s="100" t="n"/>
      <c r="H977" s="100" t="n"/>
    </row>
    <row r="978">
      <c r="A978" s="100" t="n"/>
      <c r="B978" s="100" t="n"/>
      <c r="C978" s="100" t="n"/>
      <c r="D978" s="100" t="n"/>
      <c r="E978" s="100" t="n"/>
      <c r="F978" s="100" t="n"/>
      <c r="G978" s="100" t="n"/>
      <c r="H978" s="100" t="n"/>
    </row>
    <row r="979">
      <c r="A979" s="100" t="n"/>
      <c r="B979" s="100" t="n"/>
      <c r="C979" s="100" t="n"/>
      <c r="D979" s="100" t="n"/>
      <c r="E979" s="100" t="n"/>
      <c r="F979" s="100" t="n"/>
      <c r="G979" s="100" t="n"/>
      <c r="H979" s="100" t="n"/>
    </row>
    <row r="980">
      <c r="A980" s="100" t="n"/>
      <c r="B980" s="100" t="n"/>
      <c r="C980" s="100" t="n"/>
      <c r="D980" s="100" t="n"/>
      <c r="E980" s="100" t="n"/>
      <c r="F980" s="100" t="n"/>
      <c r="G980" s="100" t="n"/>
      <c r="H980" s="100" t="n"/>
    </row>
    <row r="981">
      <c r="A981" s="100" t="n"/>
      <c r="B981" s="100" t="n"/>
      <c r="C981" s="100" t="n"/>
      <c r="D981" s="100" t="n"/>
      <c r="E981" s="100" t="n"/>
      <c r="F981" s="100" t="n"/>
      <c r="G981" s="100" t="n"/>
      <c r="H981" s="100" t="n"/>
    </row>
    <row r="982">
      <c r="A982" s="100" t="n"/>
      <c r="B982" s="100" t="n"/>
      <c r="C982" s="100" t="n"/>
      <c r="D982" s="100" t="n"/>
      <c r="E982" s="100" t="n"/>
      <c r="F982" s="100" t="n"/>
      <c r="G982" s="100" t="n"/>
      <c r="H982" s="100" t="n"/>
    </row>
    <row r="983">
      <c r="A983" s="100" t="n"/>
      <c r="B983" s="100" t="n"/>
      <c r="C983" s="100" t="n"/>
      <c r="D983" s="100" t="n"/>
      <c r="E983" s="100" t="n"/>
      <c r="F983" s="100" t="n"/>
      <c r="G983" s="100" t="n"/>
      <c r="H983" s="100" t="n"/>
    </row>
    <row r="984">
      <c r="A984" s="100" t="n"/>
      <c r="B984" s="100" t="n"/>
      <c r="C984" s="100" t="n"/>
      <c r="D984" s="100" t="n"/>
      <c r="E984" s="100" t="n"/>
      <c r="F984" s="100" t="n"/>
      <c r="G984" s="100" t="n"/>
      <c r="H984" s="100" t="n"/>
    </row>
    <row r="985">
      <c r="A985" s="100" t="n"/>
      <c r="B985" s="100" t="n"/>
      <c r="C985" s="100" t="n"/>
      <c r="D985" s="100" t="n"/>
      <c r="E985" s="100" t="n"/>
      <c r="F985" s="100" t="n"/>
      <c r="G985" s="100" t="n"/>
      <c r="H985" s="100" t="n"/>
    </row>
    <row r="986">
      <c r="A986" s="100" t="n"/>
      <c r="B986" s="100" t="n"/>
      <c r="C986" s="100" t="n"/>
      <c r="D986" s="100" t="n"/>
      <c r="E986" s="100" t="n"/>
      <c r="F986" s="100" t="n"/>
      <c r="G986" s="100" t="n"/>
      <c r="H986" s="100" t="n"/>
    </row>
    <row r="987">
      <c r="A987" s="100" t="n"/>
      <c r="B987" s="100" t="n"/>
      <c r="C987" s="100" t="n"/>
      <c r="D987" s="100" t="n"/>
      <c r="E987" s="100" t="n"/>
      <c r="F987" s="100" t="n"/>
      <c r="G987" s="100" t="n"/>
      <c r="H987" s="100" t="n"/>
    </row>
    <row r="988">
      <c r="A988" s="100" t="n"/>
      <c r="B988" s="100" t="n"/>
      <c r="C988" s="100" t="n"/>
      <c r="D988" s="100" t="n"/>
      <c r="E988" s="100" t="n"/>
      <c r="F988" s="100" t="n"/>
      <c r="G988" s="100" t="n"/>
      <c r="H988" s="100" t="n"/>
    </row>
    <row r="989">
      <c r="A989" s="100" t="n"/>
      <c r="B989" s="100" t="n"/>
      <c r="C989" s="100" t="n"/>
      <c r="D989" s="100" t="n"/>
      <c r="E989" s="100" t="n"/>
      <c r="F989" s="100" t="n"/>
      <c r="G989" s="100" t="n"/>
      <c r="H989" s="100" t="n"/>
    </row>
    <row r="990">
      <c r="A990" s="100" t="n"/>
      <c r="B990" s="100" t="n"/>
      <c r="C990" s="100" t="n"/>
      <c r="D990" s="100" t="n"/>
      <c r="E990" s="100" t="n"/>
      <c r="F990" s="100" t="n"/>
      <c r="G990" s="100" t="n"/>
      <c r="H990" s="100" t="n"/>
    </row>
    <row r="991">
      <c r="A991" s="100" t="n"/>
      <c r="B991" s="100" t="n"/>
      <c r="C991" s="100" t="n"/>
      <c r="D991" s="100" t="n"/>
      <c r="E991" s="100" t="n"/>
      <c r="F991" s="100" t="n"/>
      <c r="G991" s="100" t="n"/>
      <c r="H991" s="100" t="n"/>
    </row>
    <row r="992">
      <c r="A992" s="100" t="n"/>
      <c r="B992" s="100" t="n"/>
      <c r="C992" s="100" t="n"/>
      <c r="D992" s="100" t="n"/>
      <c r="E992" s="100" t="n"/>
      <c r="F992" s="100" t="n"/>
      <c r="G992" s="100" t="n"/>
      <c r="H992" s="100" t="n"/>
    </row>
    <row r="993">
      <c r="A993" s="100" t="n"/>
      <c r="B993" s="100" t="n"/>
      <c r="C993" s="100" t="n"/>
      <c r="D993" s="100" t="n"/>
      <c r="E993" s="100" t="n"/>
      <c r="F993" s="100" t="n"/>
      <c r="G993" s="100" t="n"/>
      <c r="H993" s="100" t="n"/>
    </row>
    <row r="994">
      <c r="A994" s="100" t="n"/>
      <c r="B994" s="100" t="n"/>
      <c r="C994" s="100" t="n"/>
      <c r="D994" s="100" t="n"/>
      <c r="E994" s="100" t="n"/>
      <c r="F994" s="100" t="n"/>
      <c r="G994" s="100" t="n"/>
      <c r="H994" s="100" t="n"/>
    </row>
    <row r="995">
      <c r="A995" s="100" t="n"/>
      <c r="B995" s="100" t="n"/>
      <c r="C995" s="100" t="n"/>
      <c r="D995" s="100" t="n"/>
      <c r="E995" s="100" t="n"/>
      <c r="F995" s="100" t="n"/>
      <c r="G995" s="100" t="n"/>
      <c r="H995" s="100" t="n"/>
    </row>
    <row r="996">
      <c r="A996" s="100" t="n"/>
      <c r="B996" s="100" t="n"/>
      <c r="C996" s="100" t="n"/>
      <c r="D996" s="100" t="n"/>
      <c r="E996" s="100" t="n"/>
      <c r="F996" s="100" t="n"/>
      <c r="G996" s="100" t="n"/>
      <c r="H996" s="100" t="n"/>
    </row>
    <row r="997">
      <c r="A997" s="100" t="n"/>
      <c r="B997" s="100" t="n"/>
      <c r="C997" s="100" t="n"/>
      <c r="D997" s="100" t="n"/>
      <c r="E997" s="100" t="n"/>
      <c r="F997" s="100" t="n"/>
      <c r="G997" s="100" t="n"/>
      <c r="H997" s="100" t="n"/>
    </row>
    <row r="998">
      <c r="A998" s="100" t="n"/>
      <c r="B998" s="100" t="n"/>
      <c r="C998" s="100" t="n"/>
      <c r="D998" s="100" t="n"/>
      <c r="E998" s="100" t="n"/>
      <c r="F998" s="100" t="n"/>
      <c r="G998" s="100" t="n"/>
      <c r="H998" s="100" t="n"/>
    </row>
    <row r="999">
      <c r="A999" s="100" t="n"/>
      <c r="B999" s="100" t="n"/>
      <c r="C999" s="100" t="n"/>
      <c r="D999" s="100" t="n"/>
      <c r="E999" s="100" t="n"/>
      <c r="F999" s="100" t="n"/>
      <c r="G999" s="100" t="n"/>
      <c r="H999" s="100" t="n"/>
    </row>
    <row r="1000">
      <c r="A1000" s="100" t="n"/>
      <c r="B1000" s="100" t="n"/>
      <c r="C1000" s="100" t="n"/>
      <c r="D1000" s="100" t="n"/>
      <c r="E1000" s="100" t="n"/>
      <c r="F1000" s="100" t="n"/>
      <c r="G1000" s="100" t="n"/>
      <c r="H1000" s="100" t="n"/>
    </row>
  </sheetData>
  <dataValidations count="4">
    <dataValidation sqref="D2:D1000" showDropDown="0" showInputMessage="0" showErrorMessage="1" allowBlank="1" errorTitle="Valor no válido" error="Elija un valor de la lista." type="list">
      <formula1>'Catalogos_SUIE'!$B$2:$B$3</formula1>
    </dataValidation>
    <dataValidation sqref="E2:E1000" showDropDown="0" showInputMessage="0" showErrorMessage="1" allowBlank="1" errorTitle="Valor no válido" error="Elija un valor de la lista." type="list">
      <formula1>'Catalogos_SUIE'!$D$2:$D$47</formula1>
    </dataValidation>
    <dataValidation sqref="F2:F1000" showDropDown="0" showInputMessage="0" showErrorMessage="1" allowBlank="1" errorTitle="Valor no válido" error="Elija un valor de la lista." type="list">
      <formula1>'Catalogos_SUIE'!$E$2:$E$24</formula1>
    </dataValidation>
    <dataValidation sqref="G2:G1000" showDropDown="0" showInputMessage="0" showErrorMessage="1" allowBlank="1" errorTitle="Valor no válido" error="Elija un valor de la lista." type="list">
      <formula1>'Catalogos_SUIE'!$C$2:$C$2</formula1>
    </dataValidation>
  </dataValidations>
  <pageMargins left="0.75" right="0.75" top="1" bottom="1" header="0.5" footer="0.5"/>
</worksheet>
</file>

<file path=xl/worksheets/sheet8.xml><?xml version="1.0" encoding="utf-8"?>
<worksheet xmlns="http://schemas.openxmlformats.org/spreadsheetml/2006/main">
  <sheetPr>
    <tabColor rgb="003F6FB0"/>
    <outlinePr summaryBelow="1" summaryRight="1"/>
    <pageSetUpPr fitToPage="1"/>
  </sheetPr>
  <dimension ref="A1:AK506"/>
  <sheetViews>
    <sheetView tabSelected="0" workbookViewId="0">
      <pane xSplit="2" ySplit="6" topLeftCell="C7" activePane="bottomRight" state="frozen"/>
      <selection pane="topRight"/>
      <selection pane="bottomLeft"/>
      <selection pane="bottomRight" activeCell="A1" sqref="A1"/>
    </sheetView>
  </sheetViews>
  <sheetFormatPr baseColWidth="8" defaultRowHeight="15"/>
  <cols>
    <col width="11" customWidth="1" style="23" min="1" max="1"/>
    <col width="34" customWidth="1" style="23" min="2" max="2"/>
    <col width="30" customWidth="1" style="23" min="3" max="3"/>
    <col width="24" customWidth="1" style="23" min="4" max="4"/>
    <col width="42" customWidth="1" style="23" min="5" max="5"/>
    <col width="24" customWidth="1" style="23" min="6" max="6"/>
    <col width="26" customWidth="1" style="23" min="7" max="7"/>
    <col width="48" customWidth="1" style="23" min="8" max="8"/>
    <col width="32" customWidth="1" style="23" min="9" max="9"/>
    <col width="26" customWidth="1" style="23" min="10" max="10"/>
    <col width="44" customWidth="1" style="23" min="11" max="11"/>
    <col width="48" customWidth="1" style="23" min="12" max="12"/>
    <col width="14" customWidth="1" style="23" min="13" max="13"/>
    <col width="18" customWidth="1" style="23" min="14" max="14"/>
    <col width="14" customWidth="1" style="23" min="15" max="15"/>
    <col width="11" customWidth="1" style="23" min="17" max="17"/>
    <col width="30" customWidth="1" style="23" min="19" max="19"/>
    <col width="32" customWidth="1" style="23" min="20" max="20"/>
    <col width="15" customWidth="1" style="23" min="21" max="21"/>
    <col width="20" customWidth="1" style="23" min="22" max="22"/>
    <col width="17" customWidth="1" style="23" min="23" max="23"/>
    <col width="12" customWidth="1" style="23" min="25" max="25"/>
    <col width="15" customWidth="1" style="23" min="26" max="26"/>
    <col width="18" customWidth="1" style="23" min="27" max="27"/>
    <col width="24" customWidth="1" style="23" min="28" max="28"/>
    <col width="22" customWidth="1" style="23" min="29" max="29"/>
    <col width="14" customWidth="1" style="23" min="30" max="30"/>
    <col width="24" customWidth="1" style="23" min="31" max="31"/>
    <col width="12" customWidth="1" style="23" min="32" max="32"/>
    <col width="13" customWidth="1" style="23" min="33" max="33"/>
    <col width="10" customWidth="1" style="23" min="34" max="34"/>
    <col width="30" customWidth="1" style="23" min="35" max="35"/>
    <col width="34" customWidth="1" style="23" min="36" max="36"/>
    <col hidden="1" width="6" customWidth="1" style="23" min="37" max="37"/>
  </cols>
  <sheetData>
    <row r="1" ht="17.4" customHeight="1" s="23">
      <c r="A1" s="62" t="inlineStr">
        <is>
          <t>Formulación del Plan de Necesidades 2027, Escuela Tecnológica Instituto Técnico Central (ETITC)</t>
        </is>
      </c>
    </row>
    <row r="2" ht="15" customHeight="1" s="23">
      <c r="A2" s="101" t="inlineStr">
        <is>
          <t>Una necesidad (bien, obra o servicio) por fila. Cada necesidad se vincula a una acción del Plan de Acción 2027 y, por ella, a una meta del PDI 2025 a 2032. Lo diligenciado aquí alimenta el Plan Anual de Adquisiciones.</t>
        </is>
      </c>
    </row>
    <row r="3">
      <c r="A3" s="102" t="inlineStr">
        <is>
          <t>Gris: datos automáticos. Amarillo: celdas que diligencia el área. Verde oscuro: control de la Oficina Asesora de Planeación. Diligencie en orden: área, meta, acción y necesidad. El código UNSPSC es obligatorio.</t>
        </is>
      </c>
    </row>
    <row r="4">
      <c r="H4" s="103" t="inlineStr">
        <is>
          <t>Ver el instructivo del Plan de Necesidades</t>
        </is>
      </c>
      <c r="M4" s="103" t="inlineStr">
        <is>
          <t>Buscar el código UNSPSC en Colombia Compra Eficiente</t>
        </is>
      </c>
    </row>
    <row r="5" ht="18" customHeight="1" s="23">
      <c r="A5" s="104" t="inlineStr">
        <is>
          <t>IDENTIFICACIÓN DEL ÁREA</t>
        </is>
      </c>
      <c r="E5" s="104" t="inlineStr">
        <is>
          <t>ALINEACIÓN CON EL PLAN DE ACCIÓN 2027 Y EL PDI</t>
        </is>
      </c>
      <c r="J5" s="105" t="inlineStr">
        <is>
          <t>LA NECESIDAD</t>
        </is>
      </c>
      <c r="M5" s="105" t="inlineStr">
        <is>
          <t>DATOS PARA EL PLAN ANUAL DE ADQUISICIONES (SECOP II)</t>
        </is>
      </c>
      <c r="AB5" s="105" t="inlineStr">
        <is>
          <t>RESPONSABLE</t>
        </is>
      </c>
      <c r="AF5" s="105" t="inlineStr">
        <is>
          <t>TRAZABILIDAD 2026 Y PRIORIDAD</t>
        </is>
      </c>
      <c r="AJ5" s="106" t="inlineStr">
        <is>
          <t>CONTROL</t>
        </is>
      </c>
    </row>
    <row r="6" ht="78" customHeight="1" s="23">
      <c r="A6" s="107" t="inlineStr">
        <is>
          <t>N.° necesidad</t>
        </is>
      </c>
      <c r="B6" s="108" t="inlineStr">
        <is>
          <t>Área funcional que formula</t>
        </is>
      </c>
      <c r="C6" s="107" t="inlineStr">
        <is>
          <t>Dependencia (Decreto 902 de 2013)</t>
        </is>
      </c>
      <c r="D6" s="107" t="inlineStr">
        <is>
          <t>Proceso (mapa GDC-DI-01 V9)</t>
        </is>
      </c>
      <c r="E6" s="108" t="inlineStr">
        <is>
          <t>Meta estratégica PDI 2025 a 2032</t>
        </is>
      </c>
      <c r="F6" s="107" t="inlineStr">
        <is>
          <t>Eje estratégico</t>
        </is>
      </c>
      <c r="G6" s="107" t="inlineStr">
        <is>
          <t>Línea de acción</t>
        </is>
      </c>
      <c r="H6" s="108" t="inlineStr">
        <is>
          <t>Acción del Plan de Acción 2027 a la que sirve la necesidad (código AC27)</t>
        </is>
      </c>
      <c r="I6" s="108" t="inlineStr">
        <is>
          <t>Nombre de la acción propia del área (solo si eligió PROPIA)</t>
        </is>
      </c>
      <c r="J6" s="108" t="inlineStr">
        <is>
          <t>Tipo de necesidad</t>
        </is>
      </c>
      <c r="K6" s="108" t="inlineStr">
        <is>
          <t>Justificación de la necesidad (qué problema resuelve y qué producto de la acción permite)</t>
        </is>
      </c>
      <c r="L6" s="108" t="inlineStr">
        <is>
          <t>Descripción del objeto contractual</t>
        </is>
      </c>
      <c r="M6" s="108" t="inlineStr">
        <is>
          <t>Código UNSPSC principal (8 dígitos, obligatorio)</t>
        </is>
      </c>
      <c r="N6" s="108" t="inlineStr">
        <is>
          <t>Códigos UNSPSC adicionales (separados por ;)</t>
        </is>
      </c>
      <c r="O6" s="108" t="inlineStr">
        <is>
          <t>Mes estimado de inicio del proceso de selección</t>
        </is>
      </c>
      <c r="P6" s="108" t="inlineStr">
        <is>
          <t>Mes estimado de presentación de ofertas</t>
        </is>
      </c>
      <c r="Q6" s="108" t="inlineStr">
        <is>
          <t>Duración del contrato (número)</t>
        </is>
      </c>
      <c r="R6" s="108" t="inlineStr">
        <is>
          <t>Unidad de duración</t>
        </is>
      </c>
      <c r="S6" s="108" t="inlineStr">
        <is>
          <t>Modalidad de selección</t>
        </is>
      </c>
      <c r="T6" s="108" t="inlineStr">
        <is>
          <t>Fuente de los recursos</t>
        </is>
      </c>
      <c r="U6" s="108" t="inlineStr">
        <is>
          <t>Tipo de gasto</t>
        </is>
      </c>
      <c r="V6" s="108" t="inlineStr">
        <is>
          <t>Rubro presupuestal o proyecto de inversión (BPIN)</t>
        </is>
      </c>
      <c r="W6" s="108" t="inlineStr">
        <is>
          <t>Valor total estimado ($, sin puntos)</t>
        </is>
      </c>
      <c r="X6" s="108" t="inlineStr">
        <is>
          <t>Valor estimado vigencia 2027 ($, sin puntos)</t>
        </is>
      </c>
      <c r="Y6" s="108" t="inlineStr">
        <is>
          <t>¿Requiere vigencias futuras?</t>
        </is>
      </c>
      <c r="Z6" s="108" t="inlineStr">
        <is>
          <t>Estado de la solicitud de vigencias futuras</t>
        </is>
      </c>
      <c r="AA6" s="108" t="inlineStr">
        <is>
          <t>Sede o lugar de ejecución</t>
        </is>
      </c>
      <c r="AB6" s="108" t="inlineStr">
        <is>
          <t>Nombre del responsable (supervisor previsto)</t>
        </is>
      </c>
      <c r="AC6" s="108" t="inlineStr">
        <is>
          <t>Cargo del responsable</t>
        </is>
      </c>
      <c r="AD6" s="108" t="inlineStr">
        <is>
          <t>Teléfono y extensión</t>
        </is>
      </c>
      <c r="AE6" s="108" t="inlineStr">
        <is>
          <t>Correo institucional del responsable</t>
        </is>
      </c>
      <c r="AF6" s="108" t="inlineStr">
        <is>
          <t>¿Continúa una necesidad 2026?</t>
        </is>
      </c>
      <c r="AG6" s="108" t="inlineStr">
        <is>
          <t>N.° de registro 2026 que continúa (hoja 2026)</t>
        </is>
      </c>
      <c r="AH6" s="108" t="inlineStr">
        <is>
          <t>Prioridad</t>
        </is>
      </c>
      <c r="AI6" s="108" t="inlineStr">
        <is>
          <t>Observaciones</t>
        </is>
      </c>
      <c r="AJ6" s="109" t="inlineStr">
        <is>
          <t>Alerta de consistencia</t>
        </is>
      </c>
      <c r="AK6" s="107" t="inlineStr">
        <is>
          <t>Aux. índice exportación</t>
        </is>
      </c>
    </row>
    <row r="7">
      <c r="A7" s="110">
        <f>"PN27-"&amp;TEXT(ROW()-6,"000")</f>
        <v/>
      </c>
      <c r="B7" s="111" t="n"/>
      <c r="C7" s="110">
        <f>IF(B7="","",IFERROR(INDEX('Catalogos_PDN'!$R$5:$R$51,MATCH(B7,PN_AREAS,0)),""))</f>
        <v/>
      </c>
      <c r="D7" s="110">
        <f>IF(B7="","",IFERROR(INDEX('Catalogos_PDN'!$O$5:$O$51,MATCH(B7,PN_AREAS,0)),""))</f>
        <v/>
      </c>
      <c r="E7" s="111" t="n"/>
      <c r="F7" s="110">
        <f>IF(E7="","",IFERROR(INDEX('Catalogos_PDN'!$C$5:$C$49,MATCH(E7,PN_METAS,0)),""))</f>
        <v/>
      </c>
      <c r="G7" s="110">
        <f>IF(E7="","",IFERROR(INDEX('Catalogos_PDN'!$E$5:$E$49,MATCH(E7,PN_METAS,0)),""))</f>
        <v/>
      </c>
      <c r="H7" s="111" t="n"/>
      <c r="I7" s="111" t="n"/>
      <c r="J7" s="111" t="n"/>
      <c r="K7" s="111" t="n"/>
      <c r="L7" s="111" t="n"/>
      <c r="M7" s="112" t="n"/>
      <c r="N7" s="111" t="n"/>
      <c r="O7" s="111" t="n"/>
      <c r="P7" s="111" t="n"/>
      <c r="Q7" s="111" t="n"/>
      <c r="R7" s="111" t="n"/>
      <c r="S7" s="111" t="n"/>
      <c r="T7" s="111" t="n"/>
      <c r="U7" s="111" t="n"/>
      <c r="V7" s="111" t="n"/>
      <c r="W7" s="113" t="n"/>
      <c r="X7" s="113" t="n"/>
      <c r="Y7" s="111" t="n"/>
      <c r="Z7" s="111" t="n"/>
      <c r="AA7" s="111" t="n"/>
      <c r="AB7" s="111" t="n"/>
      <c r="AC7" s="111" t="n"/>
      <c r="AD7" s="111" t="n"/>
      <c r="AE7" s="111" t="n"/>
      <c r="AF7" s="111" t="n"/>
      <c r="AG7" s="111" t="n"/>
      <c r="AH7" s="111" t="n"/>
      <c r="AI7" s="111" t="n"/>
      <c r="AJ7" s="114">
        <f>IF(COUNTA(B7,E7,H7,I7,J7,K7,L7,M7,N7,O7,P7,Q7,R7,S7,T7,U7,V7,W7,X7,Y7,Z7,AA7,AB7,AC7,AD7,AE7,AF7,AG7,AH7,AI7)=0,"",IF(OR(B7="",E7="",H7="",J7="",K7="",L7="",M7="",O7="",P7="",Q7="",R7="",S7="",T7="",U7="",W7="",X7="",Y7="",AB7="",AC7="",AE7="",AF7=""),"Incompleta: faltan campos obligatorios",IF(AND(LEFT(H7,6)="PROPIA",I7=""),"Falta el nombre de la acción propia del área",IF(AND(LEFT(H7,4)="AC27",IFERROR(INDEX('Catalogos_PDN'!$T$5:$T$207,MATCH(H7,'Catalogos_PDN'!$U$5:$U$207,0)),"x")&lt;&gt;LEFT(E7,7)),"La acción no corresponde a la meta seleccionada",IF(OR(NOT(ISNUMBER(M7)),M7&lt;10000000,M7&gt;99999999),"Código UNSPSC inválido: registre 8 dígitos",IF(MOD(M7,10000)=0,"UNSPSC a nivel de segmento o familia: use clase o producto",IF(IFERROR(MATCH(P7,PN_MESES,0)&lt;MATCH(O7,PN_MESES,0),TRUE()),"El mes de ofertas es anterior al de inicio del proceso",IF(OR(NOT(ISNUMBER(Q7)),Q7&lt;=0),"Duración inválida",IF(OR(NOT(ISNUMBER(W7)),NOT(ISNUMBER(X7))),"Valor inválido: registre solo números",IF(OR(W7&lt;=0,X7&lt;=0),"Valor inválido: debe ser mayor que cero",IF(X7&gt;W7,"El valor de la vigencia 2027 supera el valor total",IF(AND(X7&lt;W7,Y7="No"),"El valor total supera el de 2027: requiere vigencias futuras",IF(AND(Y7="Sí",OR(Z7="",Z7="No aplica")),"Indique el estado de la solicitud de vigencias futuras",IF(IF(AND(S7="Mínima cuantía",ISNUMBER(PN_TOPE_MINIMA)),W7&gt;PN_TOPE_MINIMA,FALSE()),"El valor supera el tope de mínima cuantía 2027",IF(IF(AND(S7="Selección abreviada de menor cuantía",ISNUMBER(PN_TOPE_MENOR)),W7&gt;PN_TOPE_MENOR,FALSE()),"El valor supera el tope de menor cuantía 2027",IF(OR(ISERROR(SEARCH("@itc.edu.co",AE7)),SUMPRODUCT(--ISNUMBER(SEARCH({"á","é","í","ó","ú","ñ"," "},AE7)))&gt;0),"El correo del responsable no es institucional válido",IF(AND(AF7="Sí",AG7=""),"Indique el N.° de registro 2026 que continúa","OK")))))))))))))))))</f>
        <v/>
      </c>
      <c r="AK7" s="114">
        <f>IF(AJ7="OK",COUNTIF($AJ$7:AJ7,"OK"),"")</f>
        <v/>
      </c>
    </row>
    <row r="8">
      <c r="A8" s="110">
        <f>"PN27-"&amp;TEXT(ROW()-6,"000")</f>
        <v/>
      </c>
      <c r="B8" s="111" t="n"/>
      <c r="C8" s="110">
        <f>IF(B8="","",IFERROR(INDEX('Catalogos_PDN'!$R$5:$R$51,MATCH(B8,PN_AREAS,0)),""))</f>
        <v/>
      </c>
      <c r="D8" s="110">
        <f>IF(B8="","",IFERROR(INDEX('Catalogos_PDN'!$O$5:$O$51,MATCH(B8,PN_AREAS,0)),""))</f>
        <v/>
      </c>
      <c r="E8" s="111" t="n"/>
      <c r="F8" s="110">
        <f>IF(E8="","",IFERROR(INDEX('Catalogos_PDN'!$C$5:$C$49,MATCH(E8,PN_METAS,0)),""))</f>
        <v/>
      </c>
      <c r="G8" s="110">
        <f>IF(E8="","",IFERROR(INDEX('Catalogos_PDN'!$E$5:$E$49,MATCH(E8,PN_METAS,0)),""))</f>
        <v/>
      </c>
      <c r="H8" s="111" t="n"/>
      <c r="I8" s="111" t="n"/>
      <c r="J8" s="111" t="n"/>
      <c r="K8" s="111" t="n"/>
      <c r="L8" s="111" t="n"/>
      <c r="M8" s="112" t="n"/>
      <c r="N8" s="111" t="n"/>
      <c r="O8" s="111" t="n"/>
      <c r="P8" s="111" t="n"/>
      <c r="Q8" s="111" t="n"/>
      <c r="R8" s="111" t="n"/>
      <c r="S8" s="111" t="n"/>
      <c r="T8" s="111" t="n"/>
      <c r="U8" s="111" t="n"/>
      <c r="V8" s="111" t="n"/>
      <c r="W8" s="113" t="n"/>
      <c r="X8" s="113" t="n"/>
      <c r="Y8" s="111" t="n"/>
      <c r="Z8" s="111" t="n"/>
      <c r="AA8" s="111" t="n"/>
      <c r="AB8" s="111" t="n"/>
      <c r="AC8" s="111" t="n"/>
      <c r="AD8" s="111" t="n"/>
      <c r="AE8" s="111" t="n"/>
      <c r="AF8" s="111" t="n"/>
      <c r="AG8" s="111" t="n"/>
      <c r="AH8" s="111" t="n"/>
      <c r="AI8" s="111" t="n"/>
      <c r="AJ8" s="114">
        <f>IF(COUNTA(B8,E8,H8,I8,J8,K8,L8,M8,N8,O8,P8,Q8,R8,S8,T8,U8,V8,W8,X8,Y8,Z8,AA8,AB8,AC8,AD8,AE8,AF8,AG8,AH8,AI8)=0,"",IF(OR(B8="",E8="",H8="",J8="",K8="",L8="",M8="",O8="",P8="",Q8="",R8="",S8="",T8="",U8="",W8="",X8="",Y8="",AB8="",AC8="",AE8="",AF8=""),"Incompleta: faltan campos obligatorios",IF(AND(LEFT(H8,6)="PROPIA",I8=""),"Falta el nombre de la acción propia del área",IF(AND(LEFT(H8,4)="AC27",IFERROR(INDEX('Catalogos_PDN'!$T$5:$T$207,MATCH(H8,'Catalogos_PDN'!$U$5:$U$207,0)),"x")&lt;&gt;LEFT(E8,7)),"La acción no corresponde a la meta seleccionada",IF(OR(NOT(ISNUMBER(M8)),M8&lt;10000000,M8&gt;99999999),"Código UNSPSC inválido: registre 8 dígitos",IF(MOD(M8,10000)=0,"UNSPSC a nivel de segmento o familia: use clase o producto",IF(IFERROR(MATCH(P8,PN_MESES,0)&lt;MATCH(O8,PN_MESES,0),TRUE()),"El mes de ofertas es anterior al de inicio del proceso",IF(OR(NOT(ISNUMBER(Q8)),Q8&lt;=0),"Duración inválida",IF(OR(NOT(ISNUMBER(W8)),NOT(ISNUMBER(X8))),"Valor inválido: registre solo números",IF(OR(W8&lt;=0,X8&lt;=0),"Valor inválido: debe ser mayor que cero",IF(X8&gt;W8,"El valor de la vigencia 2027 supera el valor total",IF(AND(X8&lt;W8,Y8="No"),"El valor total supera el de 2027: requiere vigencias futuras",IF(AND(Y8="Sí",OR(Z8="",Z8="No aplica")),"Indique el estado de la solicitud de vigencias futuras",IF(IF(AND(S8="Mínima cuantía",ISNUMBER(PN_TOPE_MINIMA)),W8&gt;PN_TOPE_MINIMA,FALSE()),"El valor supera el tope de mínima cuantía 2027",IF(IF(AND(S8="Selección abreviada de menor cuantía",ISNUMBER(PN_TOPE_MENOR)),W8&gt;PN_TOPE_MENOR,FALSE()),"El valor supera el tope de menor cuantía 2027",IF(OR(ISERROR(SEARCH("@itc.edu.co",AE8)),SUMPRODUCT(--ISNUMBER(SEARCH({"á","é","í","ó","ú","ñ"," "},AE8)))&gt;0),"El correo del responsable no es institucional válido",IF(AND(AF8="Sí",AG8=""),"Indique el N.° de registro 2026 que continúa","OK")))))))))))))))))</f>
        <v/>
      </c>
      <c r="AK8" s="114">
        <f>IF(AJ8="OK",COUNTIF($AJ$7:AJ8,"OK"),"")</f>
        <v/>
      </c>
    </row>
    <row r="9">
      <c r="A9" s="110">
        <f>"PN27-"&amp;TEXT(ROW()-6,"000")</f>
        <v/>
      </c>
      <c r="B9" s="111" t="n"/>
      <c r="C9" s="110">
        <f>IF(B9="","",IFERROR(INDEX('Catalogos_PDN'!$R$5:$R$51,MATCH(B9,PN_AREAS,0)),""))</f>
        <v/>
      </c>
      <c r="D9" s="110">
        <f>IF(B9="","",IFERROR(INDEX('Catalogos_PDN'!$O$5:$O$51,MATCH(B9,PN_AREAS,0)),""))</f>
        <v/>
      </c>
      <c r="E9" s="111" t="n"/>
      <c r="F9" s="110">
        <f>IF(E9="","",IFERROR(INDEX('Catalogos_PDN'!$C$5:$C$49,MATCH(E9,PN_METAS,0)),""))</f>
        <v/>
      </c>
      <c r="G9" s="110">
        <f>IF(E9="","",IFERROR(INDEX('Catalogos_PDN'!$E$5:$E$49,MATCH(E9,PN_METAS,0)),""))</f>
        <v/>
      </c>
      <c r="H9" s="111" t="n"/>
      <c r="I9" s="111" t="n"/>
      <c r="J9" s="111" t="n"/>
      <c r="K9" s="111" t="n"/>
      <c r="L9" s="111" t="n"/>
      <c r="M9" s="112" t="n"/>
      <c r="N9" s="111" t="n"/>
      <c r="O9" s="111" t="n"/>
      <c r="P9" s="111" t="n"/>
      <c r="Q9" s="111" t="n"/>
      <c r="R9" s="111" t="n"/>
      <c r="S9" s="111" t="n"/>
      <c r="T9" s="111" t="n"/>
      <c r="U9" s="111" t="n"/>
      <c r="V9" s="111" t="n"/>
      <c r="W9" s="113" t="n"/>
      <c r="X9" s="113" t="n"/>
      <c r="Y9" s="111" t="n"/>
      <c r="Z9" s="111" t="n"/>
      <c r="AA9" s="111" t="n"/>
      <c r="AB9" s="111" t="n"/>
      <c r="AC9" s="111" t="n"/>
      <c r="AD9" s="111" t="n"/>
      <c r="AE9" s="111" t="n"/>
      <c r="AF9" s="111" t="n"/>
      <c r="AG9" s="111" t="n"/>
      <c r="AH9" s="111" t="n"/>
      <c r="AI9" s="111" t="n"/>
      <c r="AJ9" s="114">
        <f>IF(COUNTA(B9,E9,H9,I9,J9,K9,L9,M9,N9,O9,P9,Q9,R9,S9,T9,U9,V9,W9,X9,Y9,Z9,AA9,AB9,AC9,AD9,AE9,AF9,AG9,AH9,AI9)=0,"",IF(OR(B9="",E9="",H9="",J9="",K9="",L9="",M9="",O9="",P9="",Q9="",R9="",S9="",T9="",U9="",W9="",X9="",Y9="",AB9="",AC9="",AE9="",AF9=""),"Incompleta: faltan campos obligatorios",IF(AND(LEFT(H9,6)="PROPIA",I9=""),"Falta el nombre de la acción propia del área",IF(AND(LEFT(H9,4)="AC27",IFERROR(INDEX('Catalogos_PDN'!$T$5:$T$207,MATCH(H9,'Catalogos_PDN'!$U$5:$U$207,0)),"x")&lt;&gt;LEFT(E9,7)),"La acción no corresponde a la meta seleccionada",IF(OR(NOT(ISNUMBER(M9)),M9&lt;10000000,M9&gt;99999999),"Código UNSPSC inválido: registre 8 dígitos",IF(MOD(M9,10000)=0,"UNSPSC a nivel de segmento o familia: use clase o producto",IF(IFERROR(MATCH(P9,PN_MESES,0)&lt;MATCH(O9,PN_MESES,0),TRUE()),"El mes de ofertas es anterior al de inicio del proceso",IF(OR(NOT(ISNUMBER(Q9)),Q9&lt;=0),"Duración inválida",IF(OR(NOT(ISNUMBER(W9)),NOT(ISNUMBER(X9))),"Valor inválido: registre solo números",IF(OR(W9&lt;=0,X9&lt;=0),"Valor inválido: debe ser mayor que cero",IF(X9&gt;W9,"El valor de la vigencia 2027 supera el valor total",IF(AND(X9&lt;W9,Y9="No"),"El valor total supera el de 2027: requiere vigencias futuras",IF(AND(Y9="Sí",OR(Z9="",Z9="No aplica")),"Indique el estado de la solicitud de vigencias futuras",IF(IF(AND(S9="Mínima cuantía",ISNUMBER(PN_TOPE_MINIMA)),W9&gt;PN_TOPE_MINIMA,FALSE()),"El valor supera el tope de mínima cuantía 2027",IF(IF(AND(S9="Selección abreviada de menor cuantía",ISNUMBER(PN_TOPE_MENOR)),W9&gt;PN_TOPE_MENOR,FALSE()),"El valor supera el tope de menor cuantía 2027",IF(OR(ISERROR(SEARCH("@itc.edu.co",AE9)),SUMPRODUCT(--ISNUMBER(SEARCH({"á","é","í","ó","ú","ñ"," "},AE9)))&gt;0),"El correo del responsable no es institucional válido",IF(AND(AF9="Sí",AG9=""),"Indique el N.° de registro 2026 que continúa","OK")))))))))))))))))</f>
        <v/>
      </c>
      <c r="AK9" s="114">
        <f>IF(AJ9="OK",COUNTIF($AJ$7:AJ9,"OK"),"")</f>
        <v/>
      </c>
    </row>
    <row r="10">
      <c r="A10" s="110">
        <f>"PN27-"&amp;TEXT(ROW()-6,"000")</f>
        <v/>
      </c>
      <c r="B10" s="111" t="n"/>
      <c r="C10" s="110">
        <f>IF(B10="","",IFERROR(INDEX('Catalogos_PDN'!$R$5:$R$51,MATCH(B10,PN_AREAS,0)),""))</f>
        <v/>
      </c>
      <c r="D10" s="110">
        <f>IF(B10="","",IFERROR(INDEX('Catalogos_PDN'!$O$5:$O$51,MATCH(B10,PN_AREAS,0)),""))</f>
        <v/>
      </c>
      <c r="E10" s="111" t="n"/>
      <c r="F10" s="110">
        <f>IF(E10="","",IFERROR(INDEX('Catalogos_PDN'!$C$5:$C$49,MATCH(E10,PN_METAS,0)),""))</f>
        <v/>
      </c>
      <c r="G10" s="110">
        <f>IF(E10="","",IFERROR(INDEX('Catalogos_PDN'!$E$5:$E$49,MATCH(E10,PN_METAS,0)),""))</f>
        <v/>
      </c>
      <c r="H10" s="111" t="n"/>
      <c r="I10" s="111" t="n"/>
      <c r="J10" s="111" t="n"/>
      <c r="K10" s="111" t="n"/>
      <c r="L10" s="111" t="n"/>
      <c r="M10" s="112" t="n"/>
      <c r="N10" s="111" t="n"/>
      <c r="O10" s="111" t="n"/>
      <c r="P10" s="111" t="n"/>
      <c r="Q10" s="111" t="n"/>
      <c r="R10" s="111" t="n"/>
      <c r="S10" s="111" t="n"/>
      <c r="T10" s="111" t="n"/>
      <c r="U10" s="111" t="n"/>
      <c r="V10" s="111" t="n"/>
      <c r="W10" s="113" t="n"/>
      <c r="X10" s="113" t="n"/>
      <c r="Y10" s="111" t="n"/>
      <c r="Z10" s="111" t="n"/>
      <c r="AA10" s="111" t="n"/>
      <c r="AB10" s="111" t="n"/>
      <c r="AC10" s="111" t="n"/>
      <c r="AD10" s="111" t="n"/>
      <c r="AE10" s="111" t="n"/>
      <c r="AF10" s="111" t="n"/>
      <c r="AG10" s="111" t="n"/>
      <c r="AH10" s="111" t="n"/>
      <c r="AI10" s="111" t="n"/>
      <c r="AJ10" s="114">
        <f>IF(COUNTA(B10,E10,H10,I10,J10,K10,L10,M10,N10,O10,P10,Q10,R10,S10,T10,U10,V10,W10,X10,Y10,Z10,AA10,AB10,AC10,AD10,AE10,AF10,AG10,AH10,AI10)=0,"",IF(OR(B10="",E10="",H10="",J10="",K10="",L10="",M10="",O10="",P10="",Q10="",R10="",S10="",T10="",U10="",W10="",X10="",Y10="",AB10="",AC10="",AE10="",AF10=""),"Incompleta: faltan campos obligatorios",IF(AND(LEFT(H10,6)="PROPIA",I10=""),"Falta el nombre de la acción propia del área",IF(AND(LEFT(H10,4)="AC27",IFERROR(INDEX('Catalogos_PDN'!$T$5:$T$207,MATCH(H10,'Catalogos_PDN'!$U$5:$U$207,0)),"x")&lt;&gt;LEFT(E10,7)),"La acción no corresponde a la meta seleccionada",IF(OR(NOT(ISNUMBER(M10)),M10&lt;10000000,M10&gt;99999999),"Código UNSPSC inválido: registre 8 dígitos",IF(MOD(M10,10000)=0,"UNSPSC a nivel de segmento o familia: use clase o producto",IF(IFERROR(MATCH(P10,PN_MESES,0)&lt;MATCH(O10,PN_MESES,0),TRUE()),"El mes de ofertas es anterior al de inicio del proceso",IF(OR(NOT(ISNUMBER(Q10)),Q10&lt;=0),"Duración inválida",IF(OR(NOT(ISNUMBER(W10)),NOT(ISNUMBER(X10))),"Valor inválido: registre solo números",IF(OR(W10&lt;=0,X10&lt;=0),"Valor inválido: debe ser mayor que cero",IF(X10&gt;W10,"El valor de la vigencia 2027 supera el valor total",IF(AND(X10&lt;W10,Y10="No"),"El valor total supera el de 2027: requiere vigencias futuras",IF(AND(Y10="Sí",OR(Z10="",Z10="No aplica")),"Indique el estado de la solicitud de vigencias futuras",IF(IF(AND(S10="Mínima cuantía",ISNUMBER(PN_TOPE_MINIMA)),W10&gt;PN_TOPE_MINIMA,FALSE()),"El valor supera el tope de mínima cuantía 2027",IF(IF(AND(S10="Selección abreviada de menor cuantía",ISNUMBER(PN_TOPE_MENOR)),W10&gt;PN_TOPE_MENOR,FALSE()),"El valor supera el tope de menor cuantía 2027",IF(OR(ISERROR(SEARCH("@itc.edu.co",AE10)),SUMPRODUCT(--ISNUMBER(SEARCH({"á","é","í","ó","ú","ñ"," "},AE10)))&gt;0),"El correo del responsable no es institucional válido",IF(AND(AF10="Sí",AG10=""),"Indique el N.° de registro 2026 que continúa","OK")))))))))))))))))</f>
        <v/>
      </c>
      <c r="AK10" s="114">
        <f>IF(AJ10="OK",COUNTIF($AJ$7:AJ10,"OK"),"")</f>
        <v/>
      </c>
    </row>
    <row r="11">
      <c r="A11" s="110">
        <f>"PN27-"&amp;TEXT(ROW()-6,"000")</f>
        <v/>
      </c>
      <c r="B11" s="111" t="n"/>
      <c r="C11" s="110">
        <f>IF(B11="","",IFERROR(INDEX('Catalogos_PDN'!$R$5:$R$51,MATCH(B11,PN_AREAS,0)),""))</f>
        <v/>
      </c>
      <c r="D11" s="110">
        <f>IF(B11="","",IFERROR(INDEX('Catalogos_PDN'!$O$5:$O$51,MATCH(B11,PN_AREAS,0)),""))</f>
        <v/>
      </c>
      <c r="E11" s="111" t="n"/>
      <c r="F11" s="110">
        <f>IF(E11="","",IFERROR(INDEX('Catalogos_PDN'!$C$5:$C$49,MATCH(E11,PN_METAS,0)),""))</f>
        <v/>
      </c>
      <c r="G11" s="110">
        <f>IF(E11="","",IFERROR(INDEX('Catalogos_PDN'!$E$5:$E$49,MATCH(E11,PN_METAS,0)),""))</f>
        <v/>
      </c>
      <c r="H11" s="111" t="n"/>
      <c r="I11" s="111" t="n"/>
      <c r="J11" s="111" t="n"/>
      <c r="K11" s="111" t="n"/>
      <c r="L11" s="111" t="n"/>
      <c r="M11" s="112" t="n"/>
      <c r="N11" s="111" t="n"/>
      <c r="O11" s="111" t="n"/>
      <c r="P11" s="111" t="n"/>
      <c r="Q11" s="111" t="n"/>
      <c r="R11" s="111" t="n"/>
      <c r="S11" s="111" t="n"/>
      <c r="T11" s="111" t="n"/>
      <c r="U11" s="111" t="n"/>
      <c r="V11" s="111" t="n"/>
      <c r="W11" s="113" t="n"/>
      <c r="X11" s="113" t="n"/>
      <c r="Y11" s="111" t="n"/>
      <c r="Z11" s="111" t="n"/>
      <c r="AA11" s="111" t="n"/>
      <c r="AB11" s="111" t="n"/>
      <c r="AC11" s="111" t="n"/>
      <c r="AD11" s="111" t="n"/>
      <c r="AE11" s="111" t="n"/>
      <c r="AF11" s="111" t="n"/>
      <c r="AG11" s="111" t="n"/>
      <c r="AH11" s="111" t="n"/>
      <c r="AI11" s="111" t="n"/>
      <c r="AJ11" s="114">
        <f>IF(COUNTA(B11,E11,H11,I11,J11,K11,L11,M11,N11,O11,P11,Q11,R11,S11,T11,U11,V11,W11,X11,Y11,Z11,AA11,AB11,AC11,AD11,AE11,AF11,AG11,AH11,AI11)=0,"",IF(OR(B11="",E11="",H11="",J11="",K11="",L11="",M11="",O11="",P11="",Q11="",R11="",S11="",T11="",U11="",W11="",X11="",Y11="",AB11="",AC11="",AE11="",AF11=""),"Incompleta: faltan campos obligatorios",IF(AND(LEFT(H11,6)="PROPIA",I11=""),"Falta el nombre de la acción propia del área",IF(AND(LEFT(H11,4)="AC27",IFERROR(INDEX('Catalogos_PDN'!$T$5:$T$207,MATCH(H11,'Catalogos_PDN'!$U$5:$U$207,0)),"x")&lt;&gt;LEFT(E11,7)),"La acción no corresponde a la meta seleccionada",IF(OR(NOT(ISNUMBER(M11)),M11&lt;10000000,M11&gt;99999999),"Código UNSPSC inválido: registre 8 dígitos",IF(MOD(M11,10000)=0,"UNSPSC a nivel de segmento o familia: use clase o producto",IF(IFERROR(MATCH(P11,PN_MESES,0)&lt;MATCH(O11,PN_MESES,0),TRUE()),"El mes de ofertas es anterior al de inicio del proceso",IF(OR(NOT(ISNUMBER(Q11)),Q11&lt;=0),"Duración inválida",IF(OR(NOT(ISNUMBER(W11)),NOT(ISNUMBER(X11))),"Valor inválido: registre solo números",IF(OR(W11&lt;=0,X11&lt;=0),"Valor inválido: debe ser mayor que cero",IF(X11&gt;W11,"El valor de la vigencia 2027 supera el valor total",IF(AND(X11&lt;W11,Y11="No"),"El valor total supera el de 2027: requiere vigencias futuras",IF(AND(Y11="Sí",OR(Z11="",Z11="No aplica")),"Indique el estado de la solicitud de vigencias futuras",IF(IF(AND(S11="Mínima cuantía",ISNUMBER(PN_TOPE_MINIMA)),W11&gt;PN_TOPE_MINIMA,FALSE()),"El valor supera el tope de mínima cuantía 2027",IF(IF(AND(S11="Selección abreviada de menor cuantía",ISNUMBER(PN_TOPE_MENOR)),W11&gt;PN_TOPE_MENOR,FALSE()),"El valor supera el tope de menor cuantía 2027",IF(OR(ISERROR(SEARCH("@itc.edu.co",AE11)),SUMPRODUCT(--ISNUMBER(SEARCH({"á","é","í","ó","ú","ñ"," "},AE11)))&gt;0),"El correo del responsable no es institucional válido",IF(AND(AF11="Sí",AG11=""),"Indique el N.° de registro 2026 que continúa","OK")))))))))))))))))</f>
        <v/>
      </c>
      <c r="AK11" s="114">
        <f>IF(AJ11="OK",COUNTIF($AJ$7:AJ11,"OK"),"")</f>
        <v/>
      </c>
    </row>
    <row r="12">
      <c r="A12" s="110">
        <f>"PN27-"&amp;TEXT(ROW()-6,"000")</f>
        <v/>
      </c>
      <c r="B12" s="111" t="n"/>
      <c r="C12" s="110">
        <f>IF(B12="","",IFERROR(INDEX('Catalogos_PDN'!$R$5:$R$51,MATCH(B12,PN_AREAS,0)),""))</f>
        <v/>
      </c>
      <c r="D12" s="110">
        <f>IF(B12="","",IFERROR(INDEX('Catalogos_PDN'!$O$5:$O$51,MATCH(B12,PN_AREAS,0)),""))</f>
        <v/>
      </c>
      <c r="E12" s="111" t="n"/>
      <c r="F12" s="110">
        <f>IF(E12="","",IFERROR(INDEX('Catalogos_PDN'!$C$5:$C$49,MATCH(E12,PN_METAS,0)),""))</f>
        <v/>
      </c>
      <c r="G12" s="110">
        <f>IF(E12="","",IFERROR(INDEX('Catalogos_PDN'!$E$5:$E$49,MATCH(E12,PN_METAS,0)),""))</f>
        <v/>
      </c>
      <c r="H12" s="111" t="n"/>
      <c r="I12" s="111" t="n"/>
      <c r="J12" s="111" t="n"/>
      <c r="K12" s="111" t="n"/>
      <c r="L12" s="111" t="n"/>
      <c r="M12" s="112" t="n"/>
      <c r="N12" s="111" t="n"/>
      <c r="O12" s="111" t="n"/>
      <c r="P12" s="111" t="n"/>
      <c r="Q12" s="111" t="n"/>
      <c r="R12" s="111" t="n"/>
      <c r="S12" s="111" t="n"/>
      <c r="T12" s="111" t="n"/>
      <c r="U12" s="111" t="n"/>
      <c r="V12" s="111" t="n"/>
      <c r="W12" s="113" t="n"/>
      <c r="X12" s="113" t="n"/>
      <c r="Y12" s="111" t="n"/>
      <c r="Z12" s="111" t="n"/>
      <c r="AA12" s="111" t="n"/>
      <c r="AB12" s="111" t="n"/>
      <c r="AC12" s="111" t="n"/>
      <c r="AD12" s="111" t="n"/>
      <c r="AE12" s="111" t="n"/>
      <c r="AF12" s="111" t="n"/>
      <c r="AG12" s="111" t="n"/>
      <c r="AH12" s="111" t="n"/>
      <c r="AI12" s="111" t="n"/>
      <c r="AJ12" s="114">
        <f>IF(COUNTA(B12,E12,H12,I12,J12,K12,L12,M12,N12,O12,P12,Q12,R12,S12,T12,U12,V12,W12,X12,Y12,Z12,AA12,AB12,AC12,AD12,AE12,AF12,AG12,AH12,AI12)=0,"",IF(OR(B12="",E12="",H12="",J12="",K12="",L12="",M12="",O12="",P12="",Q12="",R12="",S12="",T12="",U12="",W12="",X12="",Y12="",AB12="",AC12="",AE12="",AF12=""),"Incompleta: faltan campos obligatorios",IF(AND(LEFT(H12,6)="PROPIA",I12=""),"Falta el nombre de la acción propia del área",IF(AND(LEFT(H12,4)="AC27",IFERROR(INDEX('Catalogos_PDN'!$T$5:$T$207,MATCH(H12,'Catalogos_PDN'!$U$5:$U$207,0)),"x")&lt;&gt;LEFT(E12,7)),"La acción no corresponde a la meta seleccionada",IF(OR(NOT(ISNUMBER(M12)),M12&lt;10000000,M12&gt;99999999),"Código UNSPSC inválido: registre 8 dígitos",IF(MOD(M12,10000)=0,"UNSPSC a nivel de segmento o familia: use clase o producto",IF(IFERROR(MATCH(P12,PN_MESES,0)&lt;MATCH(O12,PN_MESES,0),TRUE()),"El mes de ofertas es anterior al de inicio del proceso",IF(OR(NOT(ISNUMBER(Q12)),Q12&lt;=0),"Duración inválida",IF(OR(NOT(ISNUMBER(W12)),NOT(ISNUMBER(X12))),"Valor inválido: registre solo números",IF(OR(W12&lt;=0,X12&lt;=0),"Valor inválido: debe ser mayor que cero",IF(X12&gt;W12,"El valor de la vigencia 2027 supera el valor total",IF(AND(X12&lt;W12,Y12="No"),"El valor total supera el de 2027: requiere vigencias futuras",IF(AND(Y12="Sí",OR(Z12="",Z12="No aplica")),"Indique el estado de la solicitud de vigencias futuras",IF(IF(AND(S12="Mínima cuantía",ISNUMBER(PN_TOPE_MINIMA)),W12&gt;PN_TOPE_MINIMA,FALSE()),"El valor supera el tope de mínima cuantía 2027",IF(IF(AND(S12="Selección abreviada de menor cuantía",ISNUMBER(PN_TOPE_MENOR)),W12&gt;PN_TOPE_MENOR,FALSE()),"El valor supera el tope de menor cuantía 2027",IF(OR(ISERROR(SEARCH("@itc.edu.co",AE12)),SUMPRODUCT(--ISNUMBER(SEARCH({"á","é","í","ó","ú","ñ"," "},AE12)))&gt;0),"El correo del responsable no es institucional válido",IF(AND(AF12="Sí",AG12=""),"Indique el N.° de registro 2026 que continúa","OK")))))))))))))))))</f>
        <v/>
      </c>
      <c r="AK12" s="114">
        <f>IF(AJ12="OK",COUNTIF($AJ$7:AJ12,"OK"),"")</f>
        <v/>
      </c>
    </row>
    <row r="13">
      <c r="A13" s="110">
        <f>"PN27-"&amp;TEXT(ROW()-6,"000")</f>
        <v/>
      </c>
      <c r="B13" s="111" t="n"/>
      <c r="C13" s="110">
        <f>IF(B13="","",IFERROR(INDEX('Catalogos_PDN'!$R$5:$R$51,MATCH(B13,PN_AREAS,0)),""))</f>
        <v/>
      </c>
      <c r="D13" s="110">
        <f>IF(B13="","",IFERROR(INDEX('Catalogos_PDN'!$O$5:$O$51,MATCH(B13,PN_AREAS,0)),""))</f>
        <v/>
      </c>
      <c r="E13" s="111" t="n"/>
      <c r="F13" s="110">
        <f>IF(E13="","",IFERROR(INDEX('Catalogos_PDN'!$C$5:$C$49,MATCH(E13,PN_METAS,0)),""))</f>
        <v/>
      </c>
      <c r="G13" s="110">
        <f>IF(E13="","",IFERROR(INDEX('Catalogos_PDN'!$E$5:$E$49,MATCH(E13,PN_METAS,0)),""))</f>
        <v/>
      </c>
      <c r="H13" s="111" t="n"/>
      <c r="I13" s="111" t="n"/>
      <c r="J13" s="111" t="n"/>
      <c r="K13" s="111" t="n"/>
      <c r="L13" s="111" t="n"/>
      <c r="M13" s="112" t="n"/>
      <c r="N13" s="111" t="n"/>
      <c r="O13" s="111" t="n"/>
      <c r="P13" s="111" t="n"/>
      <c r="Q13" s="111" t="n"/>
      <c r="R13" s="111" t="n"/>
      <c r="S13" s="111" t="n"/>
      <c r="T13" s="111" t="n"/>
      <c r="U13" s="111" t="n"/>
      <c r="V13" s="111" t="n"/>
      <c r="W13" s="113" t="n"/>
      <c r="X13" s="113" t="n"/>
      <c r="Y13" s="111" t="n"/>
      <c r="Z13" s="111" t="n"/>
      <c r="AA13" s="111" t="n"/>
      <c r="AB13" s="111" t="n"/>
      <c r="AC13" s="111" t="n"/>
      <c r="AD13" s="111" t="n"/>
      <c r="AE13" s="111" t="n"/>
      <c r="AF13" s="111" t="n"/>
      <c r="AG13" s="111" t="n"/>
      <c r="AH13" s="111" t="n"/>
      <c r="AI13" s="111" t="n"/>
      <c r="AJ13" s="114">
        <f>IF(COUNTA(B13,E13,H13,I13,J13,K13,L13,M13,N13,O13,P13,Q13,R13,S13,T13,U13,V13,W13,X13,Y13,Z13,AA13,AB13,AC13,AD13,AE13,AF13,AG13,AH13,AI13)=0,"",IF(OR(B13="",E13="",H13="",J13="",K13="",L13="",M13="",O13="",P13="",Q13="",R13="",S13="",T13="",U13="",W13="",X13="",Y13="",AB13="",AC13="",AE13="",AF13=""),"Incompleta: faltan campos obligatorios",IF(AND(LEFT(H13,6)="PROPIA",I13=""),"Falta el nombre de la acción propia del área",IF(AND(LEFT(H13,4)="AC27",IFERROR(INDEX('Catalogos_PDN'!$T$5:$T$207,MATCH(H13,'Catalogos_PDN'!$U$5:$U$207,0)),"x")&lt;&gt;LEFT(E13,7)),"La acción no corresponde a la meta seleccionada",IF(OR(NOT(ISNUMBER(M13)),M13&lt;10000000,M13&gt;99999999),"Código UNSPSC inválido: registre 8 dígitos",IF(MOD(M13,10000)=0,"UNSPSC a nivel de segmento o familia: use clase o producto",IF(IFERROR(MATCH(P13,PN_MESES,0)&lt;MATCH(O13,PN_MESES,0),TRUE()),"El mes de ofertas es anterior al de inicio del proceso",IF(OR(NOT(ISNUMBER(Q13)),Q13&lt;=0),"Duración inválida",IF(OR(NOT(ISNUMBER(W13)),NOT(ISNUMBER(X13))),"Valor inválido: registre solo números",IF(OR(W13&lt;=0,X13&lt;=0),"Valor inválido: debe ser mayor que cero",IF(X13&gt;W13,"El valor de la vigencia 2027 supera el valor total",IF(AND(X13&lt;W13,Y13="No"),"El valor total supera el de 2027: requiere vigencias futuras",IF(AND(Y13="Sí",OR(Z13="",Z13="No aplica")),"Indique el estado de la solicitud de vigencias futuras",IF(IF(AND(S13="Mínima cuantía",ISNUMBER(PN_TOPE_MINIMA)),W13&gt;PN_TOPE_MINIMA,FALSE()),"El valor supera el tope de mínima cuantía 2027",IF(IF(AND(S13="Selección abreviada de menor cuantía",ISNUMBER(PN_TOPE_MENOR)),W13&gt;PN_TOPE_MENOR,FALSE()),"El valor supera el tope de menor cuantía 2027",IF(OR(ISERROR(SEARCH("@itc.edu.co",AE13)),SUMPRODUCT(--ISNUMBER(SEARCH({"á","é","í","ó","ú","ñ"," "},AE13)))&gt;0),"El correo del responsable no es institucional válido",IF(AND(AF13="Sí",AG13=""),"Indique el N.° de registro 2026 que continúa","OK")))))))))))))))))</f>
        <v/>
      </c>
      <c r="AK13" s="114">
        <f>IF(AJ13="OK",COUNTIF($AJ$7:AJ13,"OK"),"")</f>
        <v/>
      </c>
    </row>
    <row r="14">
      <c r="A14" s="110">
        <f>"PN27-"&amp;TEXT(ROW()-6,"000")</f>
        <v/>
      </c>
      <c r="B14" s="111" t="n"/>
      <c r="C14" s="110">
        <f>IF(B14="","",IFERROR(INDEX('Catalogos_PDN'!$R$5:$R$51,MATCH(B14,PN_AREAS,0)),""))</f>
        <v/>
      </c>
      <c r="D14" s="110">
        <f>IF(B14="","",IFERROR(INDEX('Catalogos_PDN'!$O$5:$O$51,MATCH(B14,PN_AREAS,0)),""))</f>
        <v/>
      </c>
      <c r="E14" s="111" t="n"/>
      <c r="F14" s="110">
        <f>IF(E14="","",IFERROR(INDEX('Catalogos_PDN'!$C$5:$C$49,MATCH(E14,PN_METAS,0)),""))</f>
        <v/>
      </c>
      <c r="G14" s="110">
        <f>IF(E14="","",IFERROR(INDEX('Catalogos_PDN'!$E$5:$E$49,MATCH(E14,PN_METAS,0)),""))</f>
        <v/>
      </c>
      <c r="H14" s="111" t="n"/>
      <c r="I14" s="111" t="n"/>
      <c r="J14" s="111" t="n"/>
      <c r="K14" s="111" t="n"/>
      <c r="L14" s="111" t="n"/>
      <c r="M14" s="112" t="n"/>
      <c r="N14" s="111" t="n"/>
      <c r="O14" s="111" t="n"/>
      <c r="P14" s="111" t="n"/>
      <c r="Q14" s="111" t="n"/>
      <c r="R14" s="111" t="n"/>
      <c r="S14" s="111" t="n"/>
      <c r="T14" s="111" t="n"/>
      <c r="U14" s="111" t="n"/>
      <c r="V14" s="111" t="n"/>
      <c r="W14" s="113" t="n"/>
      <c r="X14" s="113" t="n"/>
      <c r="Y14" s="111" t="n"/>
      <c r="Z14" s="111" t="n"/>
      <c r="AA14" s="111" t="n"/>
      <c r="AB14" s="111" t="n"/>
      <c r="AC14" s="111" t="n"/>
      <c r="AD14" s="111" t="n"/>
      <c r="AE14" s="111" t="n"/>
      <c r="AF14" s="111" t="n"/>
      <c r="AG14" s="111" t="n"/>
      <c r="AH14" s="111" t="n"/>
      <c r="AI14" s="111" t="n"/>
      <c r="AJ14" s="114">
        <f>IF(COUNTA(B14,E14,H14,I14,J14,K14,L14,M14,N14,O14,P14,Q14,R14,S14,T14,U14,V14,W14,X14,Y14,Z14,AA14,AB14,AC14,AD14,AE14,AF14,AG14,AH14,AI14)=0,"",IF(OR(B14="",E14="",H14="",J14="",K14="",L14="",M14="",O14="",P14="",Q14="",R14="",S14="",T14="",U14="",W14="",X14="",Y14="",AB14="",AC14="",AE14="",AF14=""),"Incompleta: faltan campos obligatorios",IF(AND(LEFT(H14,6)="PROPIA",I14=""),"Falta el nombre de la acción propia del área",IF(AND(LEFT(H14,4)="AC27",IFERROR(INDEX('Catalogos_PDN'!$T$5:$T$207,MATCH(H14,'Catalogos_PDN'!$U$5:$U$207,0)),"x")&lt;&gt;LEFT(E14,7)),"La acción no corresponde a la meta seleccionada",IF(OR(NOT(ISNUMBER(M14)),M14&lt;10000000,M14&gt;99999999),"Código UNSPSC inválido: registre 8 dígitos",IF(MOD(M14,10000)=0,"UNSPSC a nivel de segmento o familia: use clase o producto",IF(IFERROR(MATCH(P14,PN_MESES,0)&lt;MATCH(O14,PN_MESES,0),TRUE()),"El mes de ofertas es anterior al de inicio del proceso",IF(OR(NOT(ISNUMBER(Q14)),Q14&lt;=0),"Duración inválida",IF(OR(NOT(ISNUMBER(W14)),NOT(ISNUMBER(X14))),"Valor inválido: registre solo números",IF(OR(W14&lt;=0,X14&lt;=0),"Valor inválido: debe ser mayor que cero",IF(X14&gt;W14,"El valor de la vigencia 2027 supera el valor total",IF(AND(X14&lt;W14,Y14="No"),"El valor total supera el de 2027: requiere vigencias futuras",IF(AND(Y14="Sí",OR(Z14="",Z14="No aplica")),"Indique el estado de la solicitud de vigencias futuras",IF(IF(AND(S14="Mínima cuantía",ISNUMBER(PN_TOPE_MINIMA)),W14&gt;PN_TOPE_MINIMA,FALSE()),"El valor supera el tope de mínima cuantía 2027",IF(IF(AND(S14="Selección abreviada de menor cuantía",ISNUMBER(PN_TOPE_MENOR)),W14&gt;PN_TOPE_MENOR,FALSE()),"El valor supera el tope de menor cuantía 2027",IF(OR(ISERROR(SEARCH("@itc.edu.co",AE14)),SUMPRODUCT(--ISNUMBER(SEARCH({"á","é","í","ó","ú","ñ"," "},AE14)))&gt;0),"El correo del responsable no es institucional válido",IF(AND(AF14="Sí",AG14=""),"Indique el N.° de registro 2026 que continúa","OK")))))))))))))))))</f>
        <v/>
      </c>
      <c r="AK14" s="114">
        <f>IF(AJ14="OK",COUNTIF($AJ$7:AJ14,"OK"),"")</f>
        <v/>
      </c>
    </row>
    <row r="15">
      <c r="A15" s="110">
        <f>"PN27-"&amp;TEXT(ROW()-6,"000")</f>
        <v/>
      </c>
      <c r="B15" s="111" t="n"/>
      <c r="C15" s="110">
        <f>IF(B15="","",IFERROR(INDEX('Catalogos_PDN'!$R$5:$R$51,MATCH(B15,PN_AREAS,0)),""))</f>
        <v/>
      </c>
      <c r="D15" s="110">
        <f>IF(B15="","",IFERROR(INDEX('Catalogos_PDN'!$O$5:$O$51,MATCH(B15,PN_AREAS,0)),""))</f>
        <v/>
      </c>
      <c r="E15" s="111" t="n"/>
      <c r="F15" s="110">
        <f>IF(E15="","",IFERROR(INDEX('Catalogos_PDN'!$C$5:$C$49,MATCH(E15,PN_METAS,0)),""))</f>
        <v/>
      </c>
      <c r="G15" s="110">
        <f>IF(E15="","",IFERROR(INDEX('Catalogos_PDN'!$E$5:$E$49,MATCH(E15,PN_METAS,0)),""))</f>
        <v/>
      </c>
      <c r="H15" s="111" t="n"/>
      <c r="I15" s="111" t="n"/>
      <c r="J15" s="111" t="n"/>
      <c r="K15" s="111" t="n"/>
      <c r="L15" s="111" t="n"/>
      <c r="M15" s="112" t="n"/>
      <c r="N15" s="111" t="n"/>
      <c r="O15" s="111" t="n"/>
      <c r="P15" s="111" t="n"/>
      <c r="Q15" s="111" t="n"/>
      <c r="R15" s="111" t="n"/>
      <c r="S15" s="111" t="n"/>
      <c r="T15" s="111" t="n"/>
      <c r="U15" s="111" t="n"/>
      <c r="V15" s="111" t="n"/>
      <c r="W15" s="113" t="n"/>
      <c r="X15" s="113" t="n"/>
      <c r="Y15" s="111" t="n"/>
      <c r="Z15" s="111" t="n"/>
      <c r="AA15" s="111" t="n"/>
      <c r="AB15" s="111" t="n"/>
      <c r="AC15" s="111" t="n"/>
      <c r="AD15" s="111" t="n"/>
      <c r="AE15" s="111" t="n"/>
      <c r="AF15" s="111" t="n"/>
      <c r="AG15" s="111" t="n"/>
      <c r="AH15" s="111" t="n"/>
      <c r="AI15" s="111" t="n"/>
      <c r="AJ15" s="114">
        <f>IF(COUNTA(B15,E15,H15,I15,J15,K15,L15,M15,N15,O15,P15,Q15,R15,S15,T15,U15,V15,W15,X15,Y15,Z15,AA15,AB15,AC15,AD15,AE15,AF15,AG15,AH15,AI15)=0,"",IF(OR(B15="",E15="",H15="",J15="",K15="",L15="",M15="",O15="",P15="",Q15="",R15="",S15="",T15="",U15="",W15="",X15="",Y15="",AB15="",AC15="",AE15="",AF15=""),"Incompleta: faltan campos obligatorios",IF(AND(LEFT(H15,6)="PROPIA",I15=""),"Falta el nombre de la acción propia del área",IF(AND(LEFT(H15,4)="AC27",IFERROR(INDEX('Catalogos_PDN'!$T$5:$T$207,MATCH(H15,'Catalogos_PDN'!$U$5:$U$207,0)),"x")&lt;&gt;LEFT(E15,7)),"La acción no corresponde a la meta seleccionada",IF(OR(NOT(ISNUMBER(M15)),M15&lt;10000000,M15&gt;99999999),"Código UNSPSC inválido: registre 8 dígitos",IF(MOD(M15,10000)=0,"UNSPSC a nivel de segmento o familia: use clase o producto",IF(IFERROR(MATCH(P15,PN_MESES,0)&lt;MATCH(O15,PN_MESES,0),TRUE()),"El mes de ofertas es anterior al de inicio del proceso",IF(OR(NOT(ISNUMBER(Q15)),Q15&lt;=0),"Duración inválida",IF(OR(NOT(ISNUMBER(W15)),NOT(ISNUMBER(X15))),"Valor inválido: registre solo números",IF(OR(W15&lt;=0,X15&lt;=0),"Valor inválido: debe ser mayor que cero",IF(X15&gt;W15,"El valor de la vigencia 2027 supera el valor total",IF(AND(X15&lt;W15,Y15="No"),"El valor total supera el de 2027: requiere vigencias futuras",IF(AND(Y15="Sí",OR(Z15="",Z15="No aplica")),"Indique el estado de la solicitud de vigencias futuras",IF(IF(AND(S15="Mínima cuantía",ISNUMBER(PN_TOPE_MINIMA)),W15&gt;PN_TOPE_MINIMA,FALSE()),"El valor supera el tope de mínima cuantía 2027",IF(IF(AND(S15="Selección abreviada de menor cuantía",ISNUMBER(PN_TOPE_MENOR)),W15&gt;PN_TOPE_MENOR,FALSE()),"El valor supera el tope de menor cuantía 2027",IF(OR(ISERROR(SEARCH("@itc.edu.co",AE15)),SUMPRODUCT(--ISNUMBER(SEARCH({"á","é","í","ó","ú","ñ"," "},AE15)))&gt;0),"El correo del responsable no es institucional válido",IF(AND(AF15="Sí",AG15=""),"Indique el N.° de registro 2026 que continúa","OK")))))))))))))))))</f>
        <v/>
      </c>
      <c r="AK15" s="114">
        <f>IF(AJ15="OK",COUNTIF($AJ$7:AJ15,"OK"),"")</f>
        <v/>
      </c>
    </row>
    <row r="16">
      <c r="A16" s="110">
        <f>"PN27-"&amp;TEXT(ROW()-6,"000")</f>
        <v/>
      </c>
      <c r="B16" s="111" t="n"/>
      <c r="C16" s="110">
        <f>IF(B16="","",IFERROR(INDEX('Catalogos_PDN'!$R$5:$R$51,MATCH(B16,PN_AREAS,0)),""))</f>
        <v/>
      </c>
      <c r="D16" s="110">
        <f>IF(B16="","",IFERROR(INDEX('Catalogos_PDN'!$O$5:$O$51,MATCH(B16,PN_AREAS,0)),""))</f>
        <v/>
      </c>
      <c r="E16" s="111" t="n"/>
      <c r="F16" s="110">
        <f>IF(E16="","",IFERROR(INDEX('Catalogos_PDN'!$C$5:$C$49,MATCH(E16,PN_METAS,0)),""))</f>
        <v/>
      </c>
      <c r="G16" s="110">
        <f>IF(E16="","",IFERROR(INDEX('Catalogos_PDN'!$E$5:$E$49,MATCH(E16,PN_METAS,0)),""))</f>
        <v/>
      </c>
      <c r="H16" s="111" t="n"/>
      <c r="I16" s="111" t="n"/>
      <c r="J16" s="111" t="n"/>
      <c r="K16" s="111" t="n"/>
      <c r="L16" s="111" t="n"/>
      <c r="M16" s="112" t="n"/>
      <c r="N16" s="111" t="n"/>
      <c r="O16" s="111" t="n"/>
      <c r="P16" s="111" t="n"/>
      <c r="Q16" s="111" t="n"/>
      <c r="R16" s="111" t="n"/>
      <c r="S16" s="111" t="n"/>
      <c r="T16" s="111" t="n"/>
      <c r="U16" s="111" t="n"/>
      <c r="V16" s="111" t="n"/>
      <c r="W16" s="113" t="n"/>
      <c r="X16" s="113" t="n"/>
      <c r="Y16" s="111" t="n"/>
      <c r="Z16" s="111" t="n"/>
      <c r="AA16" s="111" t="n"/>
      <c r="AB16" s="111" t="n"/>
      <c r="AC16" s="111" t="n"/>
      <c r="AD16" s="111" t="n"/>
      <c r="AE16" s="111" t="n"/>
      <c r="AF16" s="111" t="n"/>
      <c r="AG16" s="111" t="n"/>
      <c r="AH16" s="111" t="n"/>
      <c r="AI16" s="111" t="n"/>
      <c r="AJ16" s="114">
        <f>IF(COUNTA(B16,E16,H16,I16,J16,K16,L16,M16,N16,O16,P16,Q16,R16,S16,T16,U16,V16,W16,X16,Y16,Z16,AA16,AB16,AC16,AD16,AE16,AF16,AG16,AH16,AI16)=0,"",IF(OR(B16="",E16="",H16="",J16="",K16="",L16="",M16="",O16="",P16="",Q16="",R16="",S16="",T16="",U16="",W16="",X16="",Y16="",AB16="",AC16="",AE16="",AF16=""),"Incompleta: faltan campos obligatorios",IF(AND(LEFT(H16,6)="PROPIA",I16=""),"Falta el nombre de la acción propia del área",IF(AND(LEFT(H16,4)="AC27",IFERROR(INDEX('Catalogos_PDN'!$T$5:$T$207,MATCH(H16,'Catalogos_PDN'!$U$5:$U$207,0)),"x")&lt;&gt;LEFT(E16,7)),"La acción no corresponde a la meta seleccionada",IF(OR(NOT(ISNUMBER(M16)),M16&lt;10000000,M16&gt;99999999),"Código UNSPSC inválido: registre 8 dígitos",IF(MOD(M16,10000)=0,"UNSPSC a nivel de segmento o familia: use clase o producto",IF(IFERROR(MATCH(P16,PN_MESES,0)&lt;MATCH(O16,PN_MESES,0),TRUE()),"El mes de ofertas es anterior al de inicio del proceso",IF(OR(NOT(ISNUMBER(Q16)),Q16&lt;=0),"Duración inválida",IF(OR(NOT(ISNUMBER(W16)),NOT(ISNUMBER(X16))),"Valor inválido: registre solo números",IF(OR(W16&lt;=0,X16&lt;=0),"Valor inválido: debe ser mayor que cero",IF(X16&gt;W16,"El valor de la vigencia 2027 supera el valor total",IF(AND(X16&lt;W16,Y16="No"),"El valor total supera el de 2027: requiere vigencias futuras",IF(AND(Y16="Sí",OR(Z16="",Z16="No aplica")),"Indique el estado de la solicitud de vigencias futuras",IF(IF(AND(S16="Mínima cuantía",ISNUMBER(PN_TOPE_MINIMA)),W16&gt;PN_TOPE_MINIMA,FALSE()),"El valor supera el tope de mínima cuantía 2027",IF(IF(AND(S16="Selección abreviada de menor cuantía",ISNUMBER(PN_TOPE_MENOR)),W16&gt;PN_TOPE_MENOR,FALSE()),"El valor supera el tope de menor cuantía 2027",IF(OR(ISERROR(SEARCH("@itc.edu.co",AE16)),SUMPRODUCT(--ISNUMBER(SEARCH({"á","é","í","ó","ú","ñ"," "},AE16)))&gt;0),"El correo del responsable no es institucional válido",IF(AND(AF16="Sí",AG16=""),"Indique el N.° de registro 2026 que continúa","OK")))))))))))))))))</f>
        <v/>
      </c>
      <c r="AK16" s="114">
        <f>IF(AJ16="OK",COUNTIF($AJ$7:AJ16,"OK"),"")</f>
        <v/>
      </c>
    </row>
    <row r="17">
      <c r="A17" s="110">
        <f>"PN27-"&amp;TEXT(ROW()-6,"000")</f>
        <v/>
      </c>
      <c r="B17" s="111" t="n"/>
      <c r="C17" s="110">
        <f>IF(B17="","",IFERROR(INDEX('Catalogos_PDN'!$R$5:$R$51,MATCH(B17,PN_AREAS,0)),""))</f>
        <v/>
      </c>
      <c r="D17" s="110">
        <f>IF(B17="","",IFERROR(INDEX('Catalogos_PDN'!$O$5:$O$51,MATCH(B17,PN_AREAS,0)),""))</f>
        <v/>
      </c>
      <c r="E17" s="111" t="n"/>
      <c r="F17" s="110">
        <f>IF(E17="","",IFERROR(INDEX('Catalogos_PDN'!$C$5:$C$49,MATCH(E17,PN_METAS,0)),""))</f>
        <v/>
      </c>
      <c r="G17" s="110">
        <f>IF(E17="","",IFERROR(INDEX('Catalogos_PDN'!$E$5:$E$49,MATCH(E17,PN_METAS,0)),""))</f>
        <v/>
      </c>
      <c r="H17" s="111" t="n"/>
      <c r="I17" s="111" t="n"/>
      <c r="J17" s="111" t="n"/>
      <c r="K17" s="111" t="n"/>
      <c r="L17" s="111" t="n"/>
      <c r="M17" s="112" t="n"/>
      <c r="N17" s="111" t="n"/>
      <c r="O17" s="111" t="n"/>
      <c r="P17" s="111" t="n"/>
      <c r="Q17" s="111" t="n"/>
      <c r="R17" s="111" t="n"/>
      <c r="S17" s="111" t="n"/>
      <c r="T17" s="111" t="n"/>
      <c r="U17" s="111" t="n"/>
      <c r="V17" s="111" t="n"/>
      <c r="W17" s="113" t="n"/>
      <c r="X17" s="113" t="n"/>
      <c r="Y17" s="111" t="n"/>
      <c r="Z17" s="111" t="n"/>
      <c r="AA17" s="111" t="n"/>
      <c r="AB17" s="111" t="n"/>
      <c r="AC17" s="111" t="n"/>
      <c r="AD17" s="111" t="n"/>
      <c r="AE17" s="111" t="n"/>
      <c r="AF17" s="111" t="n"/>
      <c r="AG17" s="111" t="n"/>
      <c r="AH17" s="111" t="n"/>
      <c r="AI17" s="111" t="n"/>
      <c r="AJ17" s="114">
        <f>IF(COUNTA(B17,E17,H17,I17,J17,K17,L17,M17,N17,O17,P17,Q17,R17,S17,T17,U17,V17,W17,X17,Y17,Z17,AA17,AB17,AC17,AD17,AE17,AF17,AG17,AH17,AI17)=0,"",IF(OR(B17="",E17="",H17="",J17="",K17="",L17="",M17="",O17="",P17="",Q17="",R17="",S17="",T17="",U17="",W17="",X17="",Y17="",AB17="",AC17="",AE17="",AF17=""),"Incompleta: faltan campos obligatorios",IF(AND(LEFT(H17,6)="PROPIA",I17=""),"Falta el nombre de la acción propia del área",IF(AND(LEFT(H17,4)="AC27",IFERROR(INDEX('Catalogos_PDN'!$T$5:$T$207,MATCH(H17,'Catalogos_PDN'!$U$5:$U$207,0)),"x")&lt;&gt;LEFT(E17,7)),"La acción no corresponde a la meta seleccionada",IF(OR(NOT(ISNUMBER(M17)),M17&lt;10000000,M17&gt;99999999),"Código UNSPSC inválido: registre 8 dígitos",IF(MOD(M17,10000)=0,"UNSPSC a nivel de segmento o familia: use clase o producto",IF(IFERROR(MATCH(P17,PN_MESES,0)&lt;MATCH(O17,PN_MESES,0),TRUE()),"El mes de ofertas es anterior al de inicio del proceso",IF(OR(NOT(ISNUMBER(Q17)),Q17&lt;=0),"Duración inválida",IF(OR(NOT(ISNUMBER(W17)),NOT(ISNUMBER(X17))),"Valor inválido: registre solo números",IF(OR(W17&lt;=0,X17&lt;=0),"Valor inválido: debe ser mayor que cero",IF(X17&gt;W17,"El valor de la vigencia 2027 supera el valor total",IF(AND(X17&lt;W17,Y17="No"),"El valor total supera el de 2027: requiere vigencias futuras",IF(AND(Y17="Sí",OR(Z17="",Z17="No aplica")),"Indique el estado de la solicitud de vigencias futuras",IF(IF(AND(S17="Mínima cuantía",ISNUMBER(PN_TOPE_MINIMA)),W17&gt;PN_TOPE_MINIMA,FALSE()),"El valor supera el tope de mínima cuantía 2027",IF(IF(AND(S17="Selección abreviada de menor cuantía",ISNUMBER(PN_TOPE_MENOR)),W17&gt;PN_TOPE_MENOR,FALSE()),"El valor supera el tope de menor cuantía 2027",IF(OR(ISERROR(SEARCH("@itc.edu.co",AE17)),SUMPRODUCT(--ISNUMBER(SEARCH({"á","é","í","ó","ú","ñ"," "},AE17)))&gt;0),"El correo del responsable no es institucional válido",IF(AND(AF17="Sí",AG17=""),"Indique el N.° de registro 2026 que continúa","OK")))))))))))))))))</f>
        <v/>
      </c>
      <c r="AK17" s="114">
        <f>IF(AJ17="OK",COUNTIF($AJ$7:AJ17,"OK"),"")</f>
        <v/>
      </c>
    </row>
    <row r="18">
      <c r="A18" s="110">
        <f>"PN27-"&amp;TEXT(ROW()-6,"000")</f>
        <v/>
      </c>
      <c r="B18" s="111" t="n"/>
      <c r="C18" s="110">
        <f>IF(B18="","",IFERROR(INDEX('Catalogos_PDN'!$R$5:$R$51,MATCH(B18,PN_AREAS,0)),""))</f>
        <v/>
      </c>
      <c r="D18" s="110">
        <f>IF(B18="","",IFERROR(INDEX('Catalogos_PDN'!$O$5:$O$51,MATCH(B18,PN_AREAS,0)),""))</f>
        <v/>
      </c>
      <c r="E18" s="111" t="n"/>
      <c r="F18" s="110">
        <f>IF(E18="","",IFERROR(INDEX('Catalogos_PDN'!$C$5:$C$49,MATCH(E18,PN_METAS,0)),""))</f>
        <v/>
      </c>
      <c r="G18" s="110">
        <f>IF(E18="","",IFERROR(INDEX('Catalogos_PDN'!$E$5:$E$49,MATCH(E18,PN_METAS,0)),""))</f>
        <v/>
      </c>
      <c r="H18" s="111" t="n"/>
      <c r="I18" s="111" t="n"/>
      <c r="J18" s="111" t="n"/>
      <c r="K18" s="111" t="n"/>
      <c r="L18" s="111" t="n"/>
      <c r="M18" s="112" t="n"/>
      <c r="N18" s="111" t="n"/>
      <c r="O18" s="111" t="n"/>
      <c r="P18" s="111" t="n"/>
      <c r="Q18" s="111" t="n"/>
      <c r="R18" s="111" t="n"/>
      <c r="S18" s="111" t="n"/>
      <c r="T18" s="111" t="n"/>
      <c r="U18" s="111" t="n"/>
      <c r="V18" s="111" t="n"/>
      <c r="W18" s="113" t="n"/>
      <c r="X18" s="113" t="n"/>
      <c r="Y18" s="111" t="n"/>
      <c r="Z18" s="111" t="n"/>
      <c r="AA18" s="111" t="n"/>
      <c r="AB18" s="111" t="n"/>
      <c r="AC18" s="111" t="n"/>
      <c r="AD18" s="111" t="n"/>
      <c r="AE18" s="111" t="n"/>
      <c r="AF18" s="111" t="n"/>
      <c r="AG18" s="111" t="n"/>
      <c r="AH18" s="111" t="n"/>
      <c r="AI18" s="111" t="n"/>
      <c r="AJ18" s="114">
        <f>IF(COUNTA(B18,E18,H18,I18,J18,K18,L18,M18,N18,O18,P18,Q18,R18,S18,T18,U18,V18,W18,X18,Y18,Z18,AA18,AB18,AC18,AD18,AE18,AF18,AG18,AH18,AI18)=0,"",IF(OR(B18="",E18="",H18="",J18="",K18="",L18="",M18="",O18="",P18="",Q18="",R18="",S18="",T18="",U18="",W18="",X18="",Y18="",AB18="",AC18="",AE18="",AF18=""),"Incompleta: faltan campos obligatorios",IF(AND(LEFT(H18,6)="PROPIA",I18=""),"Falta el nombre de la acción propia del área",IF(AND(LEFT(H18,4)="AC27",IFERROR(INDEX('Catalogos_PDN'!$T$5:$T$207,MATCH(H18,'Catalogos_PDN'!$U$5:$U$207,0)),"x")&lt;&gt;LEFT(E18,7)),"La acción no corresponde a la meta seleccionada",IF(OR(NOT(ISNUMBER(M18)),M18&lt;10000000,M18&gt;99999999),"Código UNSPSC inválido: registre 8 dígitos",IF(MOD(M18,10000)=0,"UNSPSC a nivel de segmento o familia: use clase o producto",IF(IFERROR(MATCH(P18,PN_MESES,0)&lt;MATCH(O18,PN_MESES,0),TRUE()),"El mes de ofertas es anterior al de inicio del proceso",IF(OR(NOT(ISNUMBER(Q18)),Q18&lt;=0),"Duración inválida",IF(OR(NOT(ISNUMBER(W18)),NOT(ISNUMBER(X18))),"Valor inválido: registre solo números",IF(OR(W18&lt;=0,X18&lt;=0),"Valor inválido: debe ser mayor que cero",IF(X18&gt;W18,"El valor de la vigencia 2027 supera el valor total",IF(AND(X18&lt;W18,Y18="No"),"El valor total supera el de 2027: requiere vigencias futuras",IF(AND(Y18="Sí",OR(Z18="",Z18="No aplica")),"Indique el estado de la solicitud de vigencias futuras",IF(IF(AND(S18="Mínima cuantía",ISNUMBER(PN_TOPE_MINIMA)),W18&gt;PN_TOPE_MINIMA,FALSE()),"El valor supera el tope de mínima cuantía 2027",IF(IF(AND(S18="Selección abreviada de menor cuantía",ISNUMBER(PN_TOPE_MENOR)),W18&gt;PN_TOPE_MENOR,FALSE()),"El valor supera el tope de menor cuantía 2027",IF(OR(ISERROR(SEARCH("@itc.edu.co",AE18)),SUMPRODUCT(--ISNUMBER(SEARCH({"á","é","í","ó","ú","ñ"," "},AE18)))&gt;0),"El correo del responsable no es institucional válido",IF(AND(AF18="Sí",AG18=""),"Indique el N.° de registro 2026 que continúa","OK")))))))))))))))))</f>
        <v/>
      </c>
      <c r="AK18" s="114">
        <f>IF(AJ18="OK",COUNTIF($AJ$7:AJ18,"OK"),"")</f>
        <v/>
      </c>
    </row>
    <row r="19">
      <c r="A19" s="110">
        <f>"PN27-"&amp;TEXT(ROW()-6,"000")</f>
        <v/>
      </c>
      <c r="B19" s="111" t="n"/>
      <c r="C19" s="110">
        <f>IF(B19="","",IFERROR(INDEX('Catalogos_PDN'!$R$5:$R$51,MATCH(B19,PN_AREAS,0)),""))</f>
        <v/>
      </c>
      <c r="D19" s="110">
        <f>IF(B19="","",IFERROR(INDEX('Catalogos_PDN'!$O$5:$O$51,MATCH(B19,PN_AREAS,0)),""))</f>
        <v/>
      </c>
      <c r="E19" s="111" t="n"/>
      <c r="F19" s="110">
        <f>IF(E19="","",IFERROR(INDEX('Catalogos_PDN'!$C$5:$C$49,MATCH(E19,PN_METAS,0)),""))</f>
        <v/>
      </c>
      <c r="G19" s="110">
        <f>IF(E19="","",IFERROR(INDEX('Catalogos_PDN'!$E$5:$E$49,MATCH(E19,PN_METAS,0)),""))</f>
        <v/>
      </c>
      <c r="H19" s="111" t="n"/>
      <c r="I19" s="111" t="n"/>
      <c r="J19" s="111" t="n"/>
      <c r="K19" s="111" t="n"/>
      <c r="L19" s="111" t="n"/>
      <c r="M19" s="112" t="n"/>
      <c r="N19" s="111" t="n"/>
      <c r="O19" s="111" t="n"/>
      <c r="P19" s="111" t="n"/>
      <c r="Q19" s="111" t="n"/>
      <c r="R19" s="111" t="n"/>
      <c r="S19" s="111" t="n"/>
      <c r="T19" s="111" t="n"/>
      <c r="U19" s="111" t="n"/>
      <c r="V19" s="111" t="n"/>
      <c r="W19" s="113" t="n"/>
      <c r="X19" s="113" t="n"/>
      <c r="Y19" s="111" t="n"/>
      <c r="Z19" s="111" t="n"/>
      <c r="AA19" s="111" t="n"/>
      <c r="AB19" s="111" t="n"/>
      <c r="AC19" s="111" t="n"/>
      <c r="AD19" s="111" t="n"/>
      <c r="AE19" s="111" t="n"/>
      <c r="AF19" s="111" t="n"/>
      <c r="AG19" s="111" t="n"/>
      <c r="AH19" s="111" t="n"/>
      <c r="AI19" s="111" t="n"/>
      <c r="AJ19" s="114">
        <f>IF(COUNTA(B19,E19,H19,I19,J19,K19,L19,M19,N19,O19,P19,Q19,R19,S19,T19,U19,V19,W19,X19,Y19,Z19,AA19,AB19,AC19,AD19,AE19,AF19,AG19,AH19,AI19)=0,"",IF(OR(B19="",E19="",H19="",J19="",K19="",L19="",M19="",O19="",P19="",Q19="",R19="",S19="",T19="",U19="",W19="",X19="",Y19="",AB19="",AC19="",AE19="",AF19=""),"Incompleta: faltan campos obligatorios",IF(AND(LEFT(H19,6)="PROPIA",I19=""),"Falta el nombre de la acción propia del área",IF(AND(LEFT(H19,4)="AC27",IFERROR(INDEX('Catalogos_PDN'!$T$5:$T$207,MATCH(H19,'Catalogos_PDN'!$U$5:$U$207,0)),"x")&lt;&gt;LEFT(E19,7)),"La acción no corresponde a la meta seleccionada",IF(OR(NOT(ISNUMBER(M19)),M19&lt;10000000,M19&gt;99999999),"Código UNSPSC inválido: registre 8 dígitos",IF(MOD(M19,10000)=0,"UNSPSC a nivel de segmento o familia: use clase o producto",IF(IFERROR(MATCH(P19,PN_MESES,0)&lt;MATCH(O19,PN_MESES,0),TRUE()),"El mes de ofertas es anterior al de inicio del proceso",IF(OR(NOT(ISNUMBER(Q19)),Q19&lt;=0),"Duración inválida",IF(OR(NOT(ISNUMBER(W19)),NOT(ISNUMBER(X19))),"Valor inválido: registre solo números",IF(OR(W19&lt;=0,X19&lt;=0),"Valor inválido: debe ser mayor que cero",IF(X19&gt;W19,"El valor de la vigencia 2027 supera el valor total",IF(AND(X19&lt;W19,Y19="No"),"El valor total supera el de 2027: requiere vigencias futuras",IF(AND(Y19="Sí",OR(Z19="",Z19="No aplica")),"Indique el estado de la solicitud de vigencias futuras",IF(IF(AND(S19="Mínima cuantía",ISNUMBER(PN_TOPE_MINIMA)),W19&gt;PN_TOPE_MINIMA,FALSE()),"El valor supera el tope de mínima cuantía 2027",IF(IF(AND(S19="Selección abreviada de menor cuantía",ISNUMBER(PN_TOPE_MENOR)),W19&gt;PN_TOPE_MENOR,FALSE()),"El valor supera el tope de menor cuantía 2027",IF(OR(ISERROR(SEARCH("@itc.edu.co",AE19)),SUMPRODUCT(--ISNUMBER(SEARCH({"á","é","í","ó","ú","ñ"," "},AE19)))&gt;0),"El correo del responsable no es institucional válido",IF(AND(AF19="Sí",AG19=""),"Indique el N.° de registro 2026 que continúa","OK")))))))))))))))))</f>
        <v/>
      </c>
      <c r="AK19" s="114">
        <f>IF(AJ19="OK",COUNTIF($AJ$7:AJ19,"OK"),"")</f>
        <v/>
      </c>
    </row>
    <row r="20">
      <c r="A20" s="110">
        <f>"PN27-"&amp;TEXT(ROW()-6,"000")</f>
        <v/>
      </c>
      <c r="B20" s="111" t="n"/>
      <c r="C20" s="110">
        <f>IF(B20="","",IFERROR(INDEX('Catalogos_PDN'!$R$5:$R$51,MATCH(B20,PN_AREAS,0)),""))</f>
        <v/>
      </c>
      <c r="D20" s="110">
        <f>IF(B20="","",IFERROR(INDEX('Catalogos_PDN'!$O$5:$O$51,MATCH(B20,PN_AREAS,0)),""))</f>
        <v/>
      </c>
      <c r="E20" s="111" t="n"/>
      <c r="F20" s="110">
        <f>IF(E20="","",IFERROR(INDEX('Catalogos_PDN'!$C$5:$C$49,MATCH(E20,PN_METAS,0)),""))</f>
        <v/>
      </c>
      <c r="G20" s="110">
        <f>IF(E20="","",IFERROR(INDEX('Catalogos_PDN'!$E$5:$E$49,MATCH(E20,PN_METAS,0)),""))</f>
        <v/>
      </c>
      <c r="H20" s="111" t="n"/>
      <c r="I20" s="111" t="n"/>
      <c r="J20" s="111" t="n"/>
      <c r="K20" s="111" t="n"/>
      <c r="L20" s="111" t="n"/>
      <c r="M20" s="112" t="n"/>
      <c r="N20" s="111" t="n"/>
      <c r="O20" s="111" t="n"/>
      <c r="P20" s="111" t="n"/>
      <c r="Q20" s="111" t="n"/>
      <c r="R20" s="111" t="n"/>
      <c r="S20" s="111" t="n"/>
      <c r="T20" s="111" t="n"/>
      <c r="U20" s="111" t="n"/>
      <c r="V20" s="111" t="n"/>
      <c r="W20" s="113" t="n"/>
      <c r="X20" s="113" t="n"/>
      <c r="Y20" s="111" t="n"/>
      <c r="Z20" s="111" t="n"/>
      <c r="AA20" s="111" t="n"/>
      <c r="AB20" s="111" t="n"/>
      <c r="AC20" s="111" t="n"/>
      <c r="AD20" s="111" t="n"/>
      <c r="AE20" s="111" t="n"/>
      <c r="AF20" s="111" t="n"/>
      <c r="AG20" s="111" t="n"/>
      <c r="AH20" s="111" t="n"/>
      <c r="AI20" s="111" t="n"/>
      <c r="AJ20" s="114">
        <f>IF(COUNTA(B20,E20,H20,I20,J20,K20,L20,M20,N20,O20,P20,Q20,R20,S20,T20,U20,V20,W20,X20,Y20,Z20,AA20,AB20,AC20,AD20,AE20,AF20,AG20,AH20,AI20)=0,"",IF(OR(B20="",E20="",H20="",J20="",K20="",L20="",M20="",O20="",P20="",Q20="",R20="",S20="",T20="",U20="",W20="",X20="",Y20="",AB20="",AC20="",AE20="",AF20=""),"Incompleta: faltan campos obligatorios",IF(AND(LEFT(H20,6)="PROPIA",I20=""),"Falta el nombre de la acción propia del área",IF(AND(LEFT(H20,4)="AC27",IFERROR(INDEX('Catalogos_PDN'!$T$5:$T$207,MATCH(H20,'Catalogos_PDN'!$U$5:$U$207,0)),"x")&lt;&gt;LEFT(E20,7)),"La acción no corresponde a la meta seleccionada",IF(OR(NOT(ISNUMBER(M20)),M20&lt;10000000,M20&gt;99999999),"Código UNSPSC inválido: registre 8 dígitos",IF(MOD(M20,10000)=0,"UNSPSC a nivel de segmento o familia: use clase o producto",IF(IFERROR(MATCH(P20,PN_MESES,0)&lt;MATCH(O20,PN_MESES,0),TRUE()),"El mes de ofertas es anterior al de inicio del proceso",IF(OR(NOT(ISNUMBER(Q20)),Q20&lt;=0),"Duración inválida",IF(OR(NOT(ISNUMBER(W20)),NOT(ISNUMBER(X20))),"Valor inválido: registre solo números",IF(OR(W20&lt;=0,X20&lt;=0),"Valor inválido: debe ser mayor que cero",IF(X20&gt;W20,"El valor de la vigencia 2027 supera el valor total",IF(AND(X20&lt;W20,Y20="No"),"El valor total supera el de 2027: requiere vigencias futuras",IF(AND(Y20="Sí",OR(Z20="",Z20="No aplica")),"Indique el estado de la solicitud de vigencias futuras",IF(IF(AND(S20="Mínima cuantía",ISNUMBER(PN_TOPE_MINIMA)),W20&gt;PN_TOPE_MINIMA,FALSE()),"El valor supera el tope de mínima cuantía 2027",IF(IF(AND(S20="Selección abreviada de menor cuantía",ISNUMBER(PN_TOPE_MENOR)),W20&gt;PN_TOPE_MENOR,FALSE()),"El valor supera el tope de menor cuantía 2027",IF(OR(ISERROR(SEARCH("@itc.edu.co",AE20)),SUMPRODUCT(--ISNUMBER(SEARCH({"á","é","í","ó","ú","ñ"," "},AE20)))&gt;0),"El correo del responsable no es institucional válido",IF(AND(AF20="Sí",AG20=""),"Indique el N.° de registro 2026 que continúa","OK")))))))))))))))))</f>
        <v/>
      </c>
      <c r="AK20" s="114">
        <f>IF(AJ20="OK",COUNTIF($AJ$7:AJ20,"OK"),"")</f>
        <v/>
      </c>
    </row>
    <row r="21">
      <c r="A21" s="110">
        <f>"PN27-"&amp;TEXT(ROW()-6,"000")</f>
        <v/>
      </c>
      <c r="B21" s="111" t="n"/>
      <c r="C21" s="110">
        <f>IF(B21="","",IFERROR(INDEX('Catalogos_PDN'!$R$5:$R$51,MATCH(B21,PN_AREAS,0)),""))</f>
        <v/>
      </c>
      <c r="D21" s="110">
        <f>IF(B21="","",IFERROR(INDEX('Catalogos_PDN'!$O$5:$O$51,MATCH(B21,PN_AREAS,0)),""))</f>
        <v/>
      </c>
      <c r="E21" s="111" t="n"/>
      <c r="F21" s="110">
        <f>IF(E21="","",IFERROR(INDEX('Catalogos_PDN'!$C$5:$C$49,MATCH(E21,PN_METAS,0)),""))</f>
        <v/>
      </c>
      <c r="G21" s="110">
        <f>IF(E21="","",IFERROR(INDEX('Catalogos_PDN'!$E$5:$E$49,MATCH(E21,PN_METAS,0)),""))</f>
        <v/>
      </c>
      <c r="H21" s="111" t="n"/>
      <c r="I21" s="111" t="n"/>
      <c r="J21" s="111" t="n"/>
      <c r="K21" s="111" t="n"/>
      <c r="L21" s="111" t="n"/>
      <c r="M21" s="112" t="n"/>
      <c r="N21" s="111" t="n"/>
      <c r="O21" s="111" t="n"/>
      <c r="P21" s="111" t="n"/>
      <c r="Q21" s="111" t="n"/>
      <c r="R21" s="111" t="n"/>
      <c r="S21" s="111" t="n"/>
      <c r="T21" s="111" t="n"/>
      <c r="U21" s="111" t="n"/>
      <c r="V21" s="111" t="n"/>
      <c r="W21" s="113" t="n"/>
      <c r="X21" s="113" t="n"/>
      <c r="Y21" s="111" t="n"/>
      <c r="Z21" s="111" t="n"/>
      <c r="AA21" s="111" t="n"/>
      <c r="AB21" s="111" t="n"/>
      <c r="AC21" s="111" t="n"/>
      <c r="AD21" s="111" t="n"/>
      <c r="AE21" s="111" t="n"/>
      <c r="AF21" s="111" t="n"/>
      <c r="AG21" s="111" t="n"/>
      <c r="AH21" s="111" t="n"/>
      <c r="AI21" s="111" t="n"/>
      <c r="AJ21" s="114">
        <f>IF(COUNTA(B21,E21,H21,I21,J21,K21,L21,M21,N21,O21,P21,Q21,R21,S21,T21,U21,V21,W21,X21,Y21,Z21,AA21,AB21,AC21,AD21,AE21,AF21,AG21,AH21,AI21)=0,"",IF(OR(B21="",E21="",H21="",J21="",K21="",L21="",M21="",O21="",P21="",Q21="",R21="",S21="",T21="",U21="",W21="",X21="",Y21="",AB21="",AC21="",AE21="",AF21=""),"Incompleta: faltan campos obligatorios",IF(AND(LEFT(H21,6)="PROPIA",I21=""),"Falta el nombre de la acción propia del área",IF(AND(LEFT(H21,4)="AC27",IFERROR(INDEX('Catalogos_PDN'!$T$5:$T$207,MATCH(H21,'Catalogos_PDN'!$U$5:$U$207,0)),"x")&lt;&gt;LEFT(E21,7)),"La acción no corresponde a la meta seleccionada",IF(OR(NOT(ISNUMBER(M21)),M21&lt;10000000,M21&gt;99999999),"Código UNSPSC inválido: registre 8 dígitos",IF(MOD(M21,10000)=0,"UNSPSC a nivel de segmento o familia: use clase o producto",IF(IFERROR(MATCH(P21,PN_MESES,0)&lt;MATCH(O21,PN_MESES,0),TRUE()),"El mes de ofertas es anterior al de inicio del proceso",IF(OR(NOT(ISNUMBER(Q21)),Q21&lt;=0),"Duración inválida",IF(OR(NOT(ISNUMBER(W21)),NOT(ISNUMBER(X21))),"Valor inválido: registre solo números",IF(OR(W21&lt;=0,X21&lt;=0),"Valor inválido: debe ser mayor que cero",IF(X21&gt;W21,"El valor de la vigencia 2027 supera el valor total",IF(AND(X21&lt;W21,Y21="No"),"El valor total supera el de 2027: requiere vigencias futuras",IF(AND(Y21="Sí",OR(Z21="",Z21="No aplica")),"Indique el estado de la solicitud de vigencias futuras",IF(IF(AND(S21="Mínima cuantía",ISNUMBER(PN_TOPE_MINIMA)),W21&gt;PN_TOPE_MINIMA,FALSE()),"El valor supera el tope de mínima cuantía 2027",IF(IF(AND(S21="Selección abreviada de menor cuantía",ISNUMBER(PN_TOPE_MENOR)),W21&gt;PN_TOPE_MENOR,FALSE()),"El valor supera el tope de menor cuantía 2027",IF(OR(ISERROR(SEARCH("@itc.edu.co",AE21)),SUMPRODUCT(--ISNUMBER(SEARCH({"á","é","í","ó","ú","ñ"," "},AE21)))&gt;0),"El correo del responsable no es institucional válido",IF(AND(AF21="Sí",AG21=""),"Indique el N.° de registro 2026 que continúa","OK")))))))))))))))))</f>
        <v/>
      </c>
      <c r="AK21" s="114">
        <f>IF(AJ21="OK",COUNTIF($AJ$7:AJ21,"OK"),"")</f>
        <v/>
      </c>
    </row>
    <row r="22">
      <c r="A22" s="110">
        <f>"PN27-"&amp;TEXT(ROW()-6,"000")</f>
        <v/>
      </c>
      <c r="B22" s="111" t="n"/>
      <c r="C22" s="110">
        <f>IF(B22="","",IFERROR(INDEX('Catalogos_PDN'!$R$5:$R$51,MATCH(B22,PN_AREAS,0)),""))</f>
        <v/>
      </c>
      <c r="D22" s="110">
        <f>IF(B22="","",IFERROR(INDEX('Catalogos_PDN'!$O$5:$O$51,MATCH(B22,PN_AREAS,0)),""))</f>
        <v/>
      </c>
      <c r="E22" s="111" t="n"/>
      <c r="F22" s="110">
        <f>IF(E22="","",IFERROR(INDEX('Catalogos_PDN'!$C$5:$C$49,MATCH(E22,PN_METAS,0)),""))</f>
        <v/>
      </c>
      <c r="G22" s="110">
        <f>IF(E22="","",IFERROR(INDEX('Catalogos_PDN'!$E$5:$E$49,MATCH(E22,PN_METAS,0)),""))</f>
        <v/>
      </c>
      <c r="H22" s="111" t="n"/>
      <c r="I22" s="111" t="n"/>
      <c r="J22" s="111" t="n"/>
      <c r="K22" s="111" t="n"/>
      <c r="L22" s="111" t="n"/>
      <c r="M22" s="112" t="n"/>
      <c r="N22" s="111" t="n"/>
      <c r="O22" s="111" t="n"/>
      <c r="P22" s="111" t="n"/>
      <c r="Q22" s="111" t="n"/>
      <c r="R22" s="111" t="n"/>
      <c r="S22" s="111" t="n"/>
      <c r="T22" s="111" t="n"/>
      <c r="U22" s="111" t="n"/>
      <c r="V22" s="111" t="n"/>
      <c r="W22" s="113" t="n"/>
      <c r="X22" s="113" t="n"/>
      <c r="Y22" s="111" t="n"/>
      <c r="Z22" s="111" t="n"/>
      <c r="AA22" s="111" t="n"/>
      <c r="AB22" s="111" t="n"/>
      <c r="AC22" s="111" t="n"/>
      <c r="AD22" s="111" t="n"/>
      <c r="AE22" s="111" t="n"/>
      <c r="AF22" s="111" t="n"/>
      <c r="AG22" s="111" t="n"/>
      <c r="AH22" s="111" t="n"/>
      <c r="AI22" s="111" t="n"/>
      <c r="AJ22" s="114">
        <f>IF(COUNTA(B22,E22,H22,I22,J22,K22,L22,M22,N22,O22,P22,Q22,R22,S22,T22,U22,V22,W22,X22,Y22,Z22,AA22,AB22,AC22,AD22,AE22,AF22,AG22,AH22,AI22)=0,"",IF(OR(B22="",E22="",H22="",J22="",K22="",L22="",M22="",O22="",P22="",Q22="",R22="",S22="",T22="",U22="",W22="",X22="",Y22="",AB22="",AC22="",AE22="",AF22=""),"Incompleta: faltan campos obligatorios",IF(AND(LEFT(H22,6)="PROPIA",I22=""),"Falta el nombre de la acción propia del área",IF(AND(LEFT(H22,4)="AC27",IFERROR(INDEX('Catalogos_PDN'!$T$5:$T$207,MATCH(H22,'Catalogos_PDN'!$U$5:$U$207,0)),"x")&lt;&gt;LEFT(E22,7)),"La acción no corresponde a la meta seleccionada",IF(OR(NOT(ISNUMBER(M22)),M22&lt;10000000,M22&gt;99999999),"Código UNSPSC inválido: registre 8 dígitos",IF(MOD(M22,10000)=0,"UNSPSC a nivel de segmento o familia: use clase o producto",IF(IFERROR(MATCH(P22,PN_MESES,0)&lt;MATCH(O22,PN_MESES,0),TRUE()),"El mes de ofertas es anterior al de inicio del proceso",IF(OR(NOT(ISNUMBER(Q22)),Q22&lt;=0),"Duración inválida",IF(OR(NOT(ISNUMBER(W22)),NOT(ISNUMBER(X22))),"Valor inválido: registre solo números",IF(OR(W22&lt;=0,X22&lt;=0),"Valor inválido: debe ser mayor que cero",IF(X22&gt;W22,"El valor de la vigencia 2027 supera el valor total",IF(AND(X22&lt;W22,Y22="No"),"El valor total supera el de 2027: requiere vigencias futuras",IF(AND(Y22="Sí",OR(Z22="",Z22="No aplica")),"Indique el estado de la solicitud de vigencias futuras",IF(IF(AND(S22="Mínima cuantía",ISNUMBER(PN_TOPE_MINIMA)),W22&gt;PN_TOPE_MINIMA,FALSE()),"El valor supera el tope de mínima cuantía 2027",IF(IF(AND(S22="Selección abreviada de menor cuantía",ISNUMBER(PN_TOPE_MENOR)),W22&gt;PN_TOPE_MENOR,FALSE()),"El valor supera el tope de menor cuantía 2027",IF(OR(ISERROR(SEARCH("@itc.edu.co",AE22)),SUMPRODUCT(--ISNUMBER(SEARCH({"á","é","í","ó","ú","ñ"," "},AE22)))&gt;0),"El correo del responsable no es institucional válido",IF(AND(AF22="Sí",AG22=""),"Indique el N.° de registro 2026 que continúa","OK")))))))))))))))))</f>
        <v/>
      </c>
      <c r="AK22" s="114">
        <f>IF(AJ22="OK",COUNTIF($AJ$7:AJ22,"OK"),"")</f>
        <v/>
      </c>
    </row>
    <row r="23">
      <c r="A23" s="110">
        <f>"PN27-"&amp;TEXT(ROW()-6,"000")</f>
        <v/>
      </c>
      <c r="B23" s="111" t="n"/>
      <c r="C23" s="110">
        <f>IF(B23="","",IFERROR(INDEX('Catalogos_PDN'!$R$5:$R$51,MATCH(B23,PN_AREAS,0)),""))</f>
        <v/>
      </c>
      <c r="D23" s="110">
        <f>IF(B23="","",IFERROR(INDEX('Catalogos_PDN'!$O$5:$O$51,MATCH(B23,PN_AREAS,0)),""))</f>
        <v/>
      </c>
      <c r="E23" s="111" t="n"/>
      <c r="F23" s="110">
        <f>IF(E23="","",IFERROR(INDEX('Catalogos_PDN'!$C$5:$C$49,MATCH(E23,PN_METAS,0)),""))</f>
        <v/>
      </c>
      <c r="G23" s="110">
        <f>IF(E23="","",IFERROR(INDEX('Catalogos_PDN'!$E$5:$E$49,MATCH(E23,PN_METAS,0)),""))</f>
        <v/>
      </c>
      <c r="H23" s="111" t="n"/>
      <c r="I23" s="111" t="n"/>
      <c r="J23" s="111" t="n"/>
      <c r="K23" s="111" t="n"/>
      <c r="L23" s="111" t="n"/>
      <c r="M23" s="112" t="n"/>
      <c r="N23" s="111" t="n"/>
      <c r="O23" s="111" t="n"/>
      <c r="P23" s="111" t="n"/>
      <c r="Q23" s="111" t="n"/>
      <c r="R23" s="111" t="n"/>
      <c r="S23" s="111" t="n"/>
      <c r="T23" s="111" t="n"/>
      <c r="U23" s="111" t="n"/>
      <c r="V23" s="111" t="n"/>
      <c r="W23" s="113" t="n"/>
      <c r="X23" s="113" t="n"/>
      <c r="Y23" s="111" t="n"/>
      <c r="Z23" s="111" t="n"/>
      <c r="AA23" s="111" t="n"/>
      <c r="AB23" s="111" t="n"/>
      <c r="AC23" s="111" t="n"/>
      <c r="AD23" s="111" t="n"/>
      <c r="AE23" s="111" t="n"/>
      <c r="AF23" s="111" t="n"/>
      <c r="AG23" s="111" t="n"/>
      <c r="AH23" s="111" t="n"/>
      <c r="AI23" s="111" t="n"/>
      <c r="AJ23" s="114">
        <f>IF(COUNTA(B23,E23,H23,I23,J23,K23,L23,M23,N23,O23,P23,Q23,R23,S23,T23,U23,V23,W23,X23,Y23,Z23,AA23,AB23,AC23,AD23,AE23,AF23,AG23,AH23,AI23)=0,"",IF(OR(B23="",E23="",H23="",J23="",K23="",L23="",M23="",O23="",P23="",Q23="",R23="",S23="",T23="",U23="",W23="",X23="",Y23="",AB23="",AC23="",AE23="",AF23=""),"Incompleta: faltan campos obligatorios",IF(AND(LEFT(H23,6)="PROPIA",I23=""),"Falta el nombre de la acción propia del área",IF(AND(LEFT(H23,4)="AC27",IFERROR(INDEX('Catalogos_PDN'!$T$5:$T$207,MATCH(H23,'Catalogos_PDN'!$U$5:$U$207,0)),"x")&lt;&gt;LEFT(E23,7)),"La acción no corresponde a la meta seleccionada",IF(OR(NOT(ISNUMBER(M23)),M23&lt;10000000,M23&gt;99999999),"Código UNSPSC inválido: registre 8 dígitos",IF(MOD(M23,10000)=0,"UNSPSC a nivel de segmento o familia: use clase o producto",IF(IFERROR(MATCH(P23,PN_MESES,0)&lt;MATCH(O23,PN_MESES,0),TRUE()),"El mes de ofertas es anterior al de inicio del proceso",IF(OR(NOT(ISNUMBER(Q23)),Q23&lt;=0),"Duración inválida",IF(OR(NOT(ISNUMBER(W23)),NOT(ISNUMBER(X23))),"Valor inválido: registre solo números",IF(OR(W23&lt;=0,X23&lt;=0),"Valor inválido: debe ser mayor que cero",IF(X23&gt;W23,"El valor de la vigencia 2027 supera el valor total",IF(AND(X23&lt;W23,Y23="No"),"El valor total supera el de 2027: requiere vigencias futuras",IF(AND(Y23="Sí",OR(Z23="",Z23="No aplica")),"Indique el estado de la solicitud de vigencias futuras",IF(IF(AND(S23="Mínima cuantía",ISNUMBER(PN_TOPE_MINIMA)),W23&gt;PN_TOPE_MINIMA,FALSE()),"El valor supera el tope de mínima cuantía 2027",IF(IF(AND(S23="Selección abreviada de menor cuantía",ISNUMBER(PN_TOPE_MENOR)),W23&gt;PN_TOPE_MENOR,FALSE()),"El valor supera el tope de menor cuantía 2027",IF(OR(ISERROR(SEARCH("@itc.edu.co",AE23)),SUMPRODUCT(--ISNUMBER(SEARCH({"á","é","í","ó","ú","ñ"," "},AE23)))&gt;0),"El correo del responsable no es institucional válido",IF(AND(AF23="Sí",AG23=""),"Indique el N.° de registro 2026 que continúa","OK")))))))))))))))))</f>
        <v/>
      </c>
      <c r="AK23" s="114">
        <f>IF(AJ23="OK",COUNTIF($AJ$7:AJ23,"OK"),"")</f>
        <v/>
      </c>
    </row>
    <row r="24">
      <c r="A24" s="110">
        <f>"PN27-"&amp;TEXT(ROW()-6,"000")</f>
        <v/>
      </c>
      <c r="B24" s="111" t="n"/>
      <c r="C24" s="110">
        <f>IF(B24="","",IFERROR(INDEX('Catalogos_PDN'!$R$5:$R$51,MATCH(B24,PN_AREAS,0)),""))</f>
        <v/>
      </c>
      <c r="D24" s="110">
        <f>IF(B24="","",IFERROR(INDEX('Catalogos_PDN'!$O$5:$O$51,MATCH(B24,PN_AREAS,0)),""))</f>
        <v/>
      </c>
      <c r="E24" s="111" t="n"/>
      <c r="F24" s="110">
        <f>IF(E24="","",IFERROR(INDEX('Catalogos_PDN'!$C$5:$C$49,MATCH(E24,PN_METAS,0)),""))</f>
        <v/>
      </c>
      <c r="G24" s="110">
        <f>IF(E24="","",IFERROR(INDEX('Catalogos_PDN'!$E$5:$E$49,MATCH(E24,PN_METAS,0)),""))</f>
        <v/>
      </c>
      <c r="H24" s="111" t="n"/>
      <c r="I24" s="111" t="n"/>
      <c r="J24" s="111" t="n"/>
      <c r="K24" s="111" t="n"/>
      <c r="L24" s="111" t="n"/>
      <c r="M24" s="112" t="n"/>
      <c r="N24" s="111" t="n"/>
      <c r="O24" s="111" t="n"/>
      <c r="P24" s="111" t="n"/>
      <c r="Q24" s="111" t="n"/>
      <c r="R24" s="111" t="n"/>
      <c r="S24" s="111" t="n"/>
      <c r="T24" s="111" t="n"/>
      <c r="U24" s="111" t="n"/>
      <c r="V24" s="111" t="n"/>
      <c r="W24" s="113" t="n"/>
      <c r="X24" s="113" t="n"/>
      <c r="Y24" s="111" t="n"/>
      <c r="Z24" s="111" t="n"/>
      <c r="AA24" s="111" t="n"/>
      <c r="AB24" s="111" t="n"/>
      <c r="AC24" s="111" t="n"/>
      <c r="AD24" s="111" t="n"/>
      <c r="AE24" s="111" t="n"/>
      <c r="AF24" s="111" t="n"/>
      <c r="AG24" s="111" t="n"/>
      <c r="AH24" s="111" t="n"/>
      <c r="AI24" s="111" t="n"/>
      <c r="AJ24" s="114">
        <f>IF(COUNTA(B24,E24,H24,I24,J24,K24,L24,M24,N24,O24,P24,Q24,R24,S24,T24,U24,V24,W24,X24,Y24,Z24,AA24,AB24,AC24,AD24,AE24,AF24,AG24,AH24,AI24)=0,"",IF(OR(B24="",E24="",H24="",J24="",K24="",L24="",M24="",O24="",P24="",Q24="",R24="",S24="",T24="",U24="",W24="",X24="",Y24="",AB24="",AC24="",AE24="",AF24=""),"Incompleta: faltan campos obligatorios",IF(AND(LEFT(H24,6)="PROPIA",I24=""),"Falta el nombre de la acción propia del área",IF(AND(LEFT(H24,4)="AC27",IFERROR(INDEX('Catalogos_PDN'!$T$5:$T$207,MATCH(H24,'Catalogos_PDN'!$U$5:$U$207,0)),"x")&lt;&gt;LEFT(E24,7)),"La acción no corresponde a la meta seleccionada",IF(OR(NOT(ISNUMBER(M24)),M24&lt;10000000,M24&gt;99999999),"Código UNSPSC inválido: registre 8 dígitos",IF(MOD(M24,10000)=0,"UNSPSC a nivel de segmento o familia: use clase o producto",IF(IFERROR(MATCH(P24,PN_MESES,0)&lt;MATCH(O24,PN_MESES,0),TRUE()),"El mes de ofertas es anterior al de inicio del proceso",IF(OR(NOT(ISNUMBER(Q24)),Q24&lt;=0),"Duración inválida",IF(OR(NOT(ISNUMBER(W24)),NOT(ISNUMBER(X24))),"Valor inválido: registre solo números",IF(OR(W24&lt;=0,X24&lt;=0),"Valor inválido: debe ser mayor que cero",IF(X24&gt;W24,"El valor de la vigencia 2027 supera el valor total",IF(AND(X24&lt;W24,Y24="No"),"El valor total supera el de 2027: requiere vigencias futuras",IF(AND(Y24="Sí",OR(Z24="",Z24="No aplica")),"Indique el estado de la solicitud de vigencias futuras",IF(IF(AND(S24="Mínima cuantía",ISNUMBER(PN_TOPE_MINIMA)),W24&gt;PN_TOPE_MINIMA,FALSE()),"El valor supera el tope de mínima cuantía 2027",IF(IF(AND(S24="Selección abreviada de menor cuantía",ISNUMBER(PN_TOPE_MENOR)),W24&gt;PN_TOPE_MENOR,FALSE()),"El valor supera el tope de menor cuantía 2027",IF(OR(ISERROR(SEARCH("@itc.edu.co",AE24)),SUMPRODUCT(--ISNUMBER(SEARCH({"á","é","í","ó","ú","ñ"," "},AE24)))&gt;0),"El correo del responsable no es institucional válido",IF(AND(AF24="Sí",AG24=""),"Indique el N.° de registro 2026 que continúa","OK")))))))))))))))))</f>
        <v/>
      </c>
      <c r="AK24" s="114">
        <f>IF(AJ24="OK",COUNTIF($AJ$7:AJ24,"OK"),"")</f>
        <v/>
      </c>
    </row>
    <row r="25">
      <c r="A25" s="110">
        <f>"PN27-"&amp;TEXT(ROW()-6,"000")</f>
        <v/>
      </c>
      <c r="B25" s="111" t="n"/>
      <c r="C25" s="110">
        <f>IF(B25="","",IFERROR(INDEX('Catalogos_PDN'!$R$5:$R$51,MATCH(B25,PN_AREAS,0)),""))</f>
        <v/>
      </c>
      <c r="D25" s="110">
        <f>IF(B25="","",IFERROR(INDEX('Catalogos_PDN'!$O$5:$O$51,MATCH(B25,PN_AREAS,0)),""))</f>
        <v/>
      </c>
      <c r="E25" s="111" t="n"/>
      <c r="F25" s="110">
        <f>IF(E25="","",IFERROR(INDEX('Catalogos_PDN'!$C$5:$C$49,MATCH(E25,PN_METAS,0)),""))</f>
        <v/>
      </c>
      <c r="G25" s="110">
        <f>IF(E25="","",IFERROR(INDEX('Catalogos_PDN'!$E$5:$E$49,MATCH(E25,PN_METAS,0)),""))</f>
        <v/>
      </c>
      <c r="H25" s="111" t="n"/>
      <c r="I25" s="111" t="n"/>
      <c r="J25" s="111" t="n"/>
      <c r="K25" s="111" t="n"/>
      <c r="L25" s="111" t="n"/>
      <c r="M25" s="112" t="n"/>
      <c r="N25" s="111" t="n"/>
      <c r="O25" s="111" t="n"/>
      <c r="P25" s="111" t="n"/>
      <c r="Q25" s="111" t="n"/>
      <c r="R25" s="111" t="n"/>
      <c r="S25" s="111" t="n"/>
      <c r="T25" s="111" t="n"/>
      <c r="U25" s="111" t="n"/>
      <c r="V25" s="111" t="n"/>
      <c r="W25" s="113" t="n"/>
      <c r="X25" s="113" t="n"/>
      <c r="Y25" s="111" t="n"/>
      <c r="Z25" s="111" t="n"/>
      <c r="AA25" s="111" t="n"/>
      <c r="AB25" s="111" t="n"/>
      <c r="AC25" s="111" t="n"/>
      <c r="AD25" s="111" t="n"/>
      <c r="AE25" s="111" t="n"/>
      <c r="AF25" s="111" t="n"/>
      <c r="AG25" s="111" t="n"/>
      <c r="AH25" s="111" t="n"/>
      <c r="AI25" s="111" t="n"/>
      <c r="AJ25" s="114">
        <f>IF(COUNTA(B25,E25,H25,I25,J25,K25,L25,M25,N25,O25,P25,Q25,R25,S25,T25,U25,V25,W25,X25,Y25,Z25,AA25,AB25,AC25,AD25,AE25,AF25,AG25,AH25,AI25)=0,"",IF(OR(B25="",E25="",H25="",J25="",K25="",L25="",M25="",O25="",P25="",Q25="",R25="",S25="",T25="",U25="",W25="",X25="",Y25="",AB25="",AC25="",AE25="",AF25=""),"Incompleta: faltan campos obligatorios",IF(AND(LEFT(H25,6)="PROPIA",I25=""),"Falta el nombre de la acción propia del área",IF(AND(LEFT(H25,4)="AC27",IFERROR(INDEX('Catalogos_PDN'!$T$5:$T$207,MATCH(H25,'Catalogos_PDN'!$U$5:$U$207,0)),"x")&lt;&gt;LEFT(E25,7)),"La acción no corresponde a la meta seleccionada",IF(OR(NOT(ISNUMBER(M25)),M25&lt;10000000,M25&gt;99999999),"Código UNSPSC inválido: registre 8 dígitos",IF(MOD(M25,10000)=0,"UNSPSC a nivel de segmento o familia: use clase o producto",IF(IFERROR(MATCH(P25,PN_MESES,0)&lt;MATCH(O25,PN_MESES,0),TRUE()),"El mes de ofertas es anterior al de inicio del proceso",IF(OR(NOT(ISNUMBER(Q25)),Q25&lt;=0),"Duración inválida",IF(OR(NOT(ISNUMBER(W25)),NOT(ISNUMBER(X25))),"Valor inválido: registre solo números",IF(OR(W25&lt;=0,X25&lt;=0),"Valor inválido: debe ser mayor que cero",IF(X25&gt;W25,"El valor de la vigencia 2027 supera el valor total",IF(AND(X25&lt;W25,Y25="No"),"El valor total supera el de 2027: requiere vigencias futuras",IF(AND(Y25="Sí",OR(Z25="",Z25="No aplica")),"Indique el estado de la solicitud de vigencias futuras",IF(IF(AND(S25="Mínima cuantía",ISNUMBER(PN_TOPE_MINIMA)),W25&gt;PN_TOPE_MINIMA,FALSE()),"El valor supera el tope de mínima cuantía 2027",IF(IF(AND(S25="Selección abreviada de menor cuantía",ISNUMBER(PN_TOPE_MENOR)),W25&gt;PN_TOPE_MENOR,FALSE()),"El valor supera el tope de menor cuantía 2027",IF(OR(ISERROR(SEARCH("@itc.edu.co",AE25)),SUMPRODUCT(--ISNUMBER(SEARCH({"á","é","í","ó","ú","ñ"," "},AE25)))&gt;0),"El correo del responsable no es institucional válido",IF(AND(AF25="Sí",AG25=""),"Indique el N.° de registro 2026 que continúa","OK")))))))))))))))))</f>
        <v/>
      </c>
      <c r="AK25" s="114">
        <f>IF(AJ25="OK",COUNTIF($AJ$7:AJ25,"OK"),"")</f>
        <v/>
      </c>
    </row>
    <row r="26">
      <c r="A26" s="110">
        <f>"PN27-"&amp;TEXT(ROW()-6,"000")</f>
        <v/>
      </c>
      <c r="B26" s="111" t="n"/>
      <c r="C26" s="110">
        <f>IF(B26="","",IFERROR(INDEX('Catalogos_PDN'!$R$5:$R$51,MATCH(B26,PN_AREAS,0)),""))</f>
        <v/>
      </c>
      <c r="D26" s="110">
        <f>IF(B26="","",IFERROR(INDEX('Catalogos_PDN'!$O$5:$O$51,MATCH(B26,PN_AREAS,0)),""))</f>
        <v/>
      </c>
      <c r="E26" s="111" t="n"/>
      <c r="F26" s="110">
        <f>IF(E26="","",IFERROR(INDEX('Catalogos_PDN'!$C$5:$C$49,MATCH(E26,PN_METAS,0)),""))</f>
        <v/>
      </c>
      <c r="G26" s="110">
        <f>IF(E26="","",IFERROR(INDEX('Catalogos_PDN'!$E$5:$E$49,MATCH(E26,PN_METAS,0)),""))</f>
        <v/>
      </c>
      <c r="H26" s="111" t="n"/>
      <c r="I26" s="111" t="n"/>
      <c r="J26" s="111" t="n"/>
      <c r="K26" s="111" t="n"/>
      <c r="L26" s="111" t="n"/>
      <c r="M26" s="112" t="n"/>
      <c r="N26" s="111" t="n"/>
      <c r="O26" s="111" t="n"/>
      <c r="P26" s="111" t="n"/>
      <c r="Q26" s="111" t="n"/>
      <c r="R26" s="111" t="n"/>
      <c r="S26" s="111" t="n"/>
      <c r="T26" s="111" t="n"/>
      <c r="U26" s="111" t="n"/>
      <c r="V26" s="111" t="n"/>
      <c r="W26" s="113" t="n"/>
      <c r="X26" s="113" t="n"/>
      <c r="Y26" s="111" t="n"/>
      <c r="Z26" s="111" t="n"/>
      <c r="AA26" s="111" t="n"/>
      <c r="AB26" s="111" t="n"/>
      <c r="AC26" s="111" t="n"/>
      <c r="AD26" s="111" t="n"/>
      <c r="AE26" s="111" t="n"/>
      <c r="AF26" s="111" t="n"/>
      <c r="AG26" s="111" t="n"/>
      <c r="AH26" s="111" t="n"/>
      <c r="AI26" s="111" t="n"/>
      <c r="AJ26" s="114">
        <f>IF(COUNTA(B26,E26,H26,I26,J26,K26,L26,M26,N26,O26,P26,Q26,R26,S26,T26,U26,V26,W26,X26,Y26,Z26,AA26,AB26,AC26,AD26,AE26,AF26,AG26,AH26,AI26)=0,"",IF(OR(B26="",E26="",H26="",J26="",K26="",L26="",M26="",O26="",P26="",Q26="",R26="",S26="",T26="",U26="",W26="",X26="",Y26="",AB26="",AC26="",AE26="",AF26=""),"Incompleta: faltan campos obligatorios",IF(AND(LEFT(H26,6)="PROPIA",I26=""),"Falta el nombre de la acción propia del área",IF(AND(LEFT(H26,4)="AC27",IFERROR(INDEX('Catalogos_PDN'!$T$5:$T$207,MATCH(H26,'Catalogos_PDN'!$U$5:$U$207,0)),"x")&lt;&gt;LEFT(E26,7)),"La acción no corresponde a la meta seleccionada",IF(OR(NOT(ISNUMBER(M26)),M26&lt;10000000,M26&gt;99999999),"Código UNSPSC inválido: registre 8 dígitos",IF(MOD(M26,10000)=0,"UNSPSC a nivel de segmento o familia: use clase o producto",IF(IFERROR(MATCH(P26,PN_MESES,0)&lt;MATCH(O26,PN_MESES,0),TRUE()),"El mes de ofertas es anterior al de inicio del proceso",IF(OR(NOT(ISNUMBER(Q26)),Q26&lt;=0),"Duración inválida",IF(OR(NOT(ISNUMBER(W26)),NOT(ISNUMBER(X26))),"Valor inválido: registre solo números",IF(OR(W26&lt;=0,X26&lt;=0),"Valor inválido: debe ser mayor que cero",IF(X26&gt;W26,"El valor de la vigencia 2027 supera el valor total",IF(AND(X26&lt;W26,Y26="No"),"El valor total supera el de 2027: requiere vigencias futuras",IF(AND(Y26="Sí",OR(Z26="",Z26="No aplica")),"Indique el estado de la solicitud de vigencias futuras",IF(IF(AND(S26="Mínima cuantía",ISNUMBER(PN_TOPE_MINIMA)),W26&gt;PN_TOPE_MINIMA,FALSE()),"El valor supera el tope de mínima cuantía 2027",IF(IF(AND(S26="Selección abreviada de menor cuantía",ISNUMBER(PN_TOPE_MENOR)),W26&gt;PN_TOPE_MENOR,FALSE()),"El valor supera el tope de menor cuantía 2027",IF(OR(ISERROR(SEARCH("@itc.edu.co",AE26)),SUMPRODUCT(--ISNUMBER(SEARCH({"á","é","í","ó","ú","ñ"," "},AE26)))&gt;0),"El correo del responsable no es institucional válido",IF(AND(AF26="Sí",AG26=""),"Indique el N.° de registro 2026 que continúa","OK")))))))))))))))))</f>
        <v/>
      </c>
      <c r="AK26" s="114">
        <f>IF(AJ26="OK",COUNTIF($AJ$7:AJ26,"OK"),"")</f>
        <v/>
      </c>
    </row>
    <row r="27">
      <c r="A27" s="110">
        <f>"PN27-"&amp;TEXT(ROW()-6,"000")</f>
        <v/>
      </c>
      <c r="B27" s="111" t="n"/>
      <c r="C27" s="110">
        <f>IF(B27="","",IFERROR(INDEX('Catalogos_PDN'!$R$5:$R$51,MATCH(B27,PN_AREAS,0)),""))</f>
        <v/>
      </c>
      <c r="D27" s="110">
        <f>IF(B27="","",IFERROR(INDEX('Catalogos_PDN'!$O$5:$O$51,MATCH(B27,PN_AREAS,0)),""))</f>
        <v/>
      </c>
      <c r="E27" s="111" t="n"/>
      <c r="F27" s="110">
        <f>IF(E27="","",IFERROR(INDEX('Catalogos_PDN'!$C$5:$C$49,MATCH(E27,PN_METAS,0)),""))</f>
        <v/>
      </c>
      <c r="G27" s="110">
        <f>IF(E27="","",IFERROR(INDEX('Catalogos_PDN'!$E$5:$E$49,MATCH(E27,PN_METAS,0)),""))</f>
        <v/>
      </c>
      <c r="H27" s="111" t="n"/>
      <c r="I27" s="111" t="n"/>
      <c r="J27" s="111" t="n"/>
      <c r="K27" s="111" t="n"/>
      <c r="L27" s="111" t="n"/>
      <c r="M27" s="112" t="n"/>
      <c r="N27" s="111" t="n"/>
      <c r="O27" s="111" t="n"/>
      <c r="P27" s="111" t="n"/>
      <c r="Q27" s="111" t="n"/>
      <c r="R27" s="111" t="n"/>
      <c r="S27" s="111" t="n"/>
      <c r="T27" s="111" t="n"/>
      <c r="U27" s="111" t="n"/>
      <c r="V27" s="111" t="n"/>
      <c r="W27" s="113" t="n"/>
      <c r="X27" s="113" t="n"/>
      <c r="Y27" s="111" t="n"/>
      <c r="Z27" s="111" t="n"/>
      <c r="AA27" s="111" t="n"/>
      <c r="AB27" s="111" t="n"/>
      <c r="AC27" s="111" t="n"/>
      <c r="AD27" s="111" t="n"/>
      <c r="AE27" s="111" t="n"/>
      <c r="AF27" s="111" t="n"/>
      <c r="AG27" s="111" t="n"/>
      <c r="AH27" s="111" t="n"/>
      <c r="AI27" s="111" t="n"/>
      <c r="AJ27" s="114">
        <f>IF(COUNTA(B27,E27,H27,I27,J27,K27,L27,M27,N27,O27,P27,Q27,R27,S27,T27,U27,V27,W27,X27,Y27,Z27,AA27,AB27,AC27,AD27,AE27,AF27,AG27,AH27,AI27)=0,"",IF(OR(B27="",E27="",H27="",J27="",K27="",L27="",M27="",O27="",P27="",Q27="",R27="",S27="",T27="",U27="",W27="",X27="",Y27="",AB27="",AC27="",AE27="",AF27=""),"Incompleta: faltan campos obligatorios",IF(AND(LEFT(H27,6)="PROPIA",I27=""),"Falta el nombre de la acción propia del área",IF(AND(LEFT(H27,4)="AC27",IFERROR(INDEX('Catalogos_PDN'!$T$5:$T$207,MATCH(H27,'Catalogos_PDN'!$U$5:$U$207,0)),"x")&lt;&gt;LEFT(E27,7)),"La acción no corresponde a la meta seleccionada",IF(OR(NOT(ISNUMBER(M27)),M27&lt;10000000,M27&gt;99999999),"Código UNSPSC inválido: registre 8 dígitos",IF(MOD(M27,10000)=0,"UNSPSC a nivel de segmento o familia: use clase o producto",IF(IFERROR(MATCH(P27,PN_MESES,0)&lt;MATCH(O27,PN_MESES,0),TRUE()),"El mes de ofertas es anterior al de inicio del proceso",IF(OR(NOT(ISNUMBER(Q27)),Q27&lt;=0),"Duración inválida",IF(OR(NOT(ISNUMBER(W27)),NOT(ISNUMBER(X27))),"Valor inválido: registre solo números",IF(OR(W27&lt;=0,X27&lt;=0),"Valor inválido: debe ser mayor que cero",IF(X27&gt;W27,"El valor de la vigencia 2027 supera el valor total",IF(AND(X27&lt;W27,Y27="No"),"El valor total supera el de 2027: requiere vigencias futuras",IF(AND(Y27="Sí",OR(Z27="",Z27="No aplica")),"Indique el estado de la solicitud de vigencias futuras",IF(IF(AND(S27="Mínima cuantía",ISNUMBER(PN_TOPE_MINIMA)),W27&gt;PN_TOPE_MINIMA,FALSE()),"El valor supera el tope de mínima cuantía 2027",IF(IF(AND(S27="Selección abreviada de menor cuantía",ISNUMBER(PN_TOPE_MENOR)),W27&gt;PN_TOPE_MENOR,FALSE()),"El valor supera el tope de menor cuantía 2027",IF(OR(ISERROR(SEARCH("@itc.edu.co",AE27)),SUMPRODUCT(--ISNUMBER(SEARCH({"á","é","í","ó","ú","ñ"," "},AE27)))&gt;0),"El correo del responsable no es institucional válido",IF(AND(AF27="Sí",AG27=""),"Indique el N.° de registro 2026 que continúa","OK")))))))))))))))))</f>
        <v/>
      </c>
      <c r="AK27" s="114">
        <f>IF(AJ27="OK",COUNTIF($AJ$7:AJ27,"OK"),"")</f>
        <v/>
      </c>
    </row>
    <row r="28">
      <c r="A28" s="110">
        <f>"PN27-"&amp;TEXT(ROW()-6,"000")</f>
        <v/>
      </c>
      <c r="B28" s="111" t="n"/>
      <c r="C28" s="110">
        <f>IF(B28="","",IFERROR(INDEX('Catalogos_PDN'!$R$5:$R$51,MATCH(B28,PN_AREAS,0)),""))</f>
        <v/>
      </c>
      <c r="D28" s="110">
        <f>IF(B28="","",IFERROR(INDEX('Catalogos_PDN'!$O$5:$O$51,MATCH(B28,PN_AREAS,0)),""))</f>
        <v/>
      </c>
      <c r="E28" s="111" t="n"/>
      <c r="F28" s="110">
        <f>IF(E28="","",IFERROR(INDEX('Catalogos_PDN'!$C$5:$C$49,MATCH(E28,PN_METAS,0)),""))</f>
        <v/>
      </c>
      <c r="G28" s="110">
        <f>IF(E28="","",IFERROR(INDEX('Catalogos_PDN'!$E$5:$E$49,MATCH(E28,PN_METAS,0)),""))</f>
        <v/>
      </c>
      <c r="H28" s="111" t="n"/>
      <c r="I28" s="111" t="n"/>
      <c r="J28" s="111" t="n"/>
      <c r="K28" s="111" t="n"/>
      <c r="L28" s="111" t="n"/>
      <c r="M28" s="112" t="n"/>
      <c r="N28" s="111" t="n"/>
      <c r="O28" s="111" t="n"/>
      <c r="P28" s="111" t="n"/>
      <c r="Q28" s="111" t="n"/>
      <c r="R28" s="111" t="n"/>
      <c r="S28" s="111" t="n"/>
      <c r="T28" s="111" t="n"/>
      <c r="U28" s="111" t="n"/>
      <c r="V28" s="111" t="n"/>
      <c r="W28" s="113" t="n"/>
      <c r="X28" s="113" t="n"/>
      <c r="Y28" s="111" t="n"/>
      <c r="Z28" s="111" t="n"/>
      <c r="AA28" s="111" t="n"/>
      <c r="AB28" s="111" t="n"/>
      <c r="AC28" s="111" t="n"/>
      <c r="AD28" s="111" t="n"/>
      <c r="AE28" s="111" t="n"/>
      <c r="AF28" s="111" t="n"/>
      <c r="AG28" s="111" t="n"/>
      <c r="AH28" s="111" t="n"/>
      <c r="AI28" s="111" t="n"/>
      <c r="AJ28" s="114">
        <f>IF(COUNTA(B28,E28,H28,I28,J28,K28,L28,M28,N28,O28,P28,Q28,R28,S28,T28,U28,V28,W28,X28,Y28,Z28,AA28,AB28,AC28,AD28,AE28,AF28,AG28,AH28,AI28)=0,"",IF(OR(B28="",E28="",H28="",J28="",K28="",L28="",M28="",O28="",P28="",Q28="",R28="",S28="",T28="",U28="",W28="",X28="",Y28="",AB28="",AC28="",AE28="",AF28=""),"Incompleta: faltan campos obligatorios",IF(AND(LEFT(H28,6)="PROPIA",I28=""),"Falta el nombre de la acción propia del área",IF(AND(LEFT(H28,4)="AC27",IFERROR(INDEX('Catalogos_PDN'!$T$5:$T$207,MATCH(H28,'Catalogos_PDN'!$U$5:$U$207,0)),"x")&lt;&gt;LEFT(E28,7)),"La acción no corresponde a la meta seleccionada",IF(OR(NOT(ISNUMBER(M28)),M28&lt;10000000,M28&gt;99999999),"Código UNSPSC inválido: registre 8 dígitos",IF(MOD(M28,10000)=0,"UNSPSC a nivel de segmento o familia: use clase o producto",IF(IFERROR(MATCH(P28,PN_MESES,0)&lt;MATCH(O28,PN_MESES,0),TRUE()),"El mes de ofertas es anterior al de inicio del proceso",IF(OR(NOT(ISNUMBER(Q28)),Q28&lt;=0),"Duración inválida",IF(OR(NOT(ISNUMBER(W28)),NOT(ISNUMBER(X28))),"Valor inválido: registre solo números",IF(OR(W28&lt;=0,X28&lt;=0),"Valor inválido: debe ser mayor que cero",IF(X28&gt;W28,"El valor de la vigencia 2027 supera el valor total",IF(AND(X28&lt;W28,Y28="No"),"El valor total supera el de 2027: requiere vigencias futuras",IF(AND(Y28="Sí",OR(Z28="",Z28="No aplica")),"Indique el estado de la solicitud de vigencias futuras",IF(IF(AND(S28="Mínima cuantía",ISNUMBER(PN_TOPE_MINIMA)),W28&gt;PN_TOPE_MINIMA,FALSE()),"El valor supera el tope de mínima cuantía 2027",IF(IF(AND(S28="Selección abreviada de menor cuantía",ISNUMBER(PN_TOPE_MENOR)),W28&gt;PN_TOPE_MENOR,FALSE()),"El valor supera el tope de menor cuantía 2027",IF(OR(ISERROR(SEARCH("@itc.edu.co",AE28)),SUMPRODUCT(--ISNUMBER(SEARCH({"á","é","í","ó","ú","ñ"," "},AE28)))&gt;0),"El correo del responsable no es institucional válido",IF(AND(AF28="Sí",AG28=""),"Indique el N.° de registro 2026 que continúa","OK")))))))))))))))))</f>
        <v/>
      </c>
      <c r="AK28" s="114">
        <f>IF(AJ28="OK",COUNTIF($AJ$7:AJ28,"OK"),"")</f>
        <v/>
      </c>
    </row>
    <row r="29">
      <c r="A29" s="110">
        <f>"PN27-"&amp;TEXT(ROW()-6,"000")</f>
        <v/>
      </c>
      <c r="B29" s="111" t="n"/>
      <c r="C29" s="110">
        <f>IF(B29="","",IFERROR(INDEX('Catalogos_PDN'!$R$5:$R$51,MATCH(B29,PN_AREAS,0)),""))</f>
        <v/>
      </c>
      <c r="D29" s="110">
        <f>IF(B29="","",IFERROR(INDEX('Catalogos_PDN'!$O$5:$O$51,MATCH(B29,PN_AREAS,0)),""))</f>
        <v/>
      </c>
      <c r="E29" s="111" t="n"/>
      <c r="F29" s="110">
        <f>IF(E29="","",IFERROR(INDEX('Catalogos_PDN'!$C$5:$C$49,MATCH(E29,PN_METAS,0)),""))</f>
        <v/>
      </c>
      <c r="G29" s="110">
        <f>IF(E29="","",IFERROR(INDEX('Catalogos_PDN'!$E$5:$E$49,MATCH(E29,PN_METAS,0)),""))</f>
        <v/>
      </c>
      <c r="H29" s="111" t="n"/>
      <c r="I29" s="111" t="n"/>
      <c r="J29" s="111" t="n"/>
      <c r="K29" s="111" t="n"/>
      <c r="L29" s="111" t="n"/>
      <c r="M29" s="112" t="n"/>
      <c r="N29" s="111" t="n"/>
      <c r="O29" s="111" t="n"/>
      <c r="P29" s="111" t="n"/>
      <c r="Q29" s="111" t="n"/>
      <c r="R29" s="111" t="n"/>
      <c r="S29" s="111" t="n"/>
      <c r="T29" s="111" t="n"/>
      <c r="U29" s="111" t="n"/>
      <c r="V29" s="111" t="n"/>
      <c r="W29" s="113" t="n"/>
      <c r="X29" s="113" t="n"/>
      <c r="Y29" s="111" t="n"/>
      <c r="Z29" s="111" t="n"/>
      <c r="AA29" s="111" t="n"/>
      <c r="AB29" s="111" t="n"/>
      <c r="AC29" s="111" t="n"/>
      <c r="AD29" s="111" t="n"/>
      <c r="AE29" s="111" t="n"/>
      <c r="AF29" s="111" t="n"/>
      <c r="AG29" s="111" t="n"/>
      <c r="AH29" s="111" t="n"/>
      <c r="AI29" s="111" t="n"/>
      <c r="AJ29" s="114">
        <f>IF(COUNTA(B29,E29,H29,I29,J29,K29,L29,M29,N29,O29,P29,Q29,R29,S29,T29,U29,V29,W29,X29,Y29,Z29,AA29,AB29,AC29,AD29,AE29,AF29,AG29,AH29,AI29)=0,"",IF(OR(B29="",E29="",H29="",J29="",K29="",L29="",M29="",O29="",P29="",Q29="",R29="",S29="",T29="",U29="",W29="",X29="",Y29="",AB29="",AC29="",AE29="",AF29=""),"Incompleta: faltan campos obligatorios",IF(AND(LEFT(H29,6)="PROPIA",I29=""),"Falta el nombre de la acción propia del área",IF(AND(LEFT(H29,4)="AC27",IFERROR(INDEX('Catalogos_PDN'!$T$5:$T$207,MATCH(H29,'Catalogos_PDN'!$U$5:$U$207,0)),"x")&lt;&gt;LEFT(E29,7)),"La acción no corresponde a la meta seleccionada",IF(OR(NOT(ISNUMBER(M29)),M29&lt;10000000,M29&gt;99999999),"Código UNSPSC inválido: registre 8 dígitos",IF(MOD(M29,10000)=0,"UNSPSC a nivel de segmento o familia: use clase o producto",IF(IFERROR(MATCH(P29,PN_MESES,0)&lt;MATCH(O29,PN_MESES,0),TRUE()),"El mes de ofertas es anterior al de inicio del proceso",IF(OR(NOT(ISNUMBER(Q29)),Q29&lt;=0),"Duración inválida",IF(OR(NOT(ISNUMBER(W29)),NOT(ISNUMBER(X29))),"Valor inválido: registre solo números",IF(OR(W29&lt;=0,X29&lt;=0),"Valor inválido: debe ser mayor que cero",IF(X29&gt;W29,"El valor de la vigencia 2027 supera el valor total",IF(AND(X29&lt;W29,Y29="No"),"El valor total supera el de 2027: requiere vigencias futuras",IF(AND(Y29="Sí",OR(Z29="",Z29="No aplica")),"Indique el estado de la solicitud de vigencias futuras",IF(IF(AND(S29="Mínima cuantía",ISNUMBER(PN_TOPE_MINIMA)),W29&gt;PN_TOPE_MINIMA,FALSE()),"El valor supera el tope de mínima cuantía 2027",IF(IF(AND(S29="Selección abreviada de menor cuantía",ISNUMBER(PN_TOPE_MENOR)),W29&gt;PN_TOPE_MENOR,FALSE()),"El valor supera el tope de menor cuantía 2027",IF(OR(ISERROR(SEARCH("@itc.edu.co",AE29)),SUMPRODUCT(--ISNUMBER(SEARCH({"á","é","í","ó","ú","ñ"," "},AE29)))&gt;0),"El correo del responsable no es institucional válido",IF(AND(AF29="Sí",AG29=""),"Indique el N.° de registro 2026 que continúa","OK")))))))))))))))))</f>
        <v/>
      </c>
      <c r="AK29" s="114">
        <f>IF(AJ29="OK",COUNTIF($AJ$7:AJ29,"OK"),"")</f>
        <v/>
      </c>
    </row>
    <row r="30">
      <c r="A30" s="110">
        <f>"PN27-"&amp;TEXT(ROW()-6,"000")</f>
        <v/>
      </c>
      <c r="B30" s="111" t="n"/>
      <c r="C30" s="110">
        <f>IF(B30="","",IFERROR(INDEX('Catalogos_PDN'!$R$5:$R$51,MATCH(B30,PN_AREAS,0)),""))</f>
        <v/>
      </c>
      <c r="D30" s="110">
        <f>IF(B30="","",IFERROR(INDEX('Catalogos_PDN'!$O$5:$O$51,MATCH(B30,PN_AREAS,0)),""))</f>
        <v/>
      </c>
      <c r="E30" s="111" t="n"/>
      <c r="F30" s="110">
        <f>IF(E30="","",IFERROR(INDEX('Catalogos_PDN'!$C$5:$C$49,MATCH(E30,PN_METAS,0)),""))</f>
        <v/>
      </c>
      <c r="G30" s="110">
        <f>IF(E30="","",IFERROR(INDEX('Catalogos_PDN'!$E$5:$E$49,MATCH(E30,PN_METAS,0)),""))</f>
        <v/>
      </c>
      <c r="H30" s="111" t="n"/>
      <c r="I30" s="111" t="n"/>
      <c r="J30" s="111" t="n"/>
      <c r="K30" s="111" t="n"/>
      <c r="L30" s="111" t="n"/>
      <c r="M30" s="112" t="n"/>
      <c r="N30" s="111" t="n"/>
      <c r="O30" s="111" t="n"/>
      <c r="P30" s="111" t="n"/>
      <c r="Q30" s="111" t="n"/>
      <c r="R30" s="111" t="n"/>
      <c r="S30" s="111" t="n"/>
      <c r="T30" s="111" t="n"/>
      <c r="U30" s="111" t="n"/>
      <c r="V30" s="111" t="n"/>
      <c r="W30" s="113" t="n"/>
      <c r="X30" s="113" t="n"/>
      <c r="Y30" s="111" t="n"/>
      <c r="Z30" s="111" t="n"/>
      <c r="AA30" s="111" t="n"/>
      <c r="AB30" s="111" t="n"/>
      <c r="AC30" s="111" t="n"/>
      <c r="AD30" s="111" t="n"/>
      <c r="AE30" s="111" t="n"/>
      <c r="AF30" s="111" t="n"/>
      <c r="AG30" s="111" t="n"/>
      <c r="AH30" s="111" t="n"/>
      <c r="AI30" s="111" t="n"/>
      <c r="AJ30" s="114">
        <f>IF(COUNTA(B30,E30,H30,I30,J30,K30,L30,M30,N30,O30,P30,Q30,R30,S30,T30,U30,V30,W30,X30,Y30,Z30,AA30,AB30,AC30,AD30,AE30,AF30,AG30,AH30,AI30)=0,"",IF(OR(B30="",E30="",H30="",J30="",K30="",L30="",M30="",O30="",P30="",Q30="",R30="",S30="",T30="",U30="",W30="",X30="",Y30="",AB30="",AC30="",AE30="",AF30=""),"Incompleta: faltan campos obligatorios",IF(AND(LEFT(H30,6)="PROPIA",I30=""),"Falta el nombre de la acción propia del área",IF(AND(LEFT(H30,4)="AC27",IFERROR(INDEX('Catalogos_PDN'!$T$5:$T$207,MATCH(H30,'Catalogos_PDN'!$U$5:$U$207,0)),"x")&lt;&gt;LEFT(E30,7)),"La acción no corresponde a la meta seleccionada",IF(OR(NOT(ISNUMBER(M30)),M30&lt;10000000,M30&gt;99999999),"Código UNSPSC inválido: registre 8 dígitos",IF(MOD(M30,10000)=0,"UNSPSC a nivel de segmento o familia: use clase o producto",IF(IFERROR(MATCH(P30,PN_MESES,0)&lt;MATCH(O30,PN_MESES,0),TRUE()),"El mes de ofertas es anterior al de inicio del proceso",IF(OR(NOT(ISNUMBER(Q30)),Q30&lt;=0),"Duración inválida",IF(OR(NOT(ISNUMBER(W30)),NOT(ISNUMBER(X30))),"Valor inválido: registre solo números",IF(OR(W30&lt;=0,X30&lt;=0),"Valor inválido: debe ser mayor que cero",IF(X30&gt;W30,"El valor de la vigencia 2027 supera el valor total",IF(AND(X30&lt;W30,Y30="No"),"El valor total supera el de 2027: requiere vigencias futuras",IF(AND(Y30="Sí",OR(Z30="",Z30="No aplica")),"Indique el estado de la solicitud de vigencias futuras",IF(IF(AND(S30="Mínima cuantía",ISNUMBER(PN_TOPE_MINIMA)),W30&gt;PN_TOPE_MINIMA,FALSE()),"El valor supera el tope de mínima cuantía 2027",IF(IF(AND(S30="Selección abreviada de menor cuantía",ISNUMBER(PN_TOPE_MENOR)),W30&gt;PN_TOPE_MENOR,FALSE()),"El valor supera el tope de menor cuantía 2027",IF(OR(ISERROR(SEARCH("@itc.edu.co",AE30)),SUMPRODUCT(--ISNUMBER(SEARCH({"á","é","í","ó","ú","ñ"," "},AE30)))&gt;0),"El correo del responsable no es institucional válido",IF(AND(AF30="Sí",AG30=""),"Indique el N.° de registro 2026 que continúa","OK")))))))))))))))))</f>
        <v/>
      </c>
      <c r="AK30" s="114">
        <f>IF(AJ30="OK",COUNTIF($AJ$7:AJ30,"OK"),"")</f>
        <v/>
      </c>
    </row>
    <row r="31">
      <c r="A31" s="110">
        <f>"PN27-"&amp;TEXT(ROW()-6,"000")</f>
        <v/>
      </c>
      <c r="B31" s="111" t="n"/>
      <c r="C31" s="110">
        <f>IF(B31="","",IFERROR(INDEX('Catalogos_PDN'!$R$5:$R$51,MATCH(B31,PN_AREAS,0)),""))</f>
        <v/>
      </c>
      <c r="D31" s="110">
        <f>IF(B31="","",IFERROR(INDEX('Catalogos_PDN'!$O$5:$O$51,MATCH(B31,PN_AREAS,0)),""))</f>
        <v/>
      </c>
      <c r="E31" s="111" t="n"/>
      <c r="F31" s="110">
        <f>IF(E31="","",IFERROR(INDEX('Catalogos_PDN'!$C$5:$C$49,MATCH(E31,PN_METAS,0)),""))</f>
        <v/>
      </c>
      <c r="G31" s="110">
        <f>IF(E31="","",IFERROR(INDEX('Catalogos_PDN'!$E$5:$E$49,MATCH(E31,PN_METAS,0)),""))</f>
        <v/>
      </c>
      <c r="H31" s="111" t="n"/>
      <c r="I31" s="111" t="n"/>
      <c r="J31" s="111" t="n"/>
      <c r="K31" s="111" t="n"/>
      <c r="L31" s="111" t="n"/>
      <c r="M31" s="112" t="n"/>
      <c r="N31" s="111" t="n"/>
      <c r="O31" s="111" t="n"/>
      <c r="P31" s="111" t="n"/>
      <c r="Q31" s="111" t="n"/>
      <c r="R31" s="111" t="n"/>
      <c r="S31" s="111" t="n"/>
      <c r="T31" s="111" t="n"/>
      <c r="U31" s="111" t="n"/>
      <c r="V31" s="111" t="n"/>
      <c r="W31" s="113" t="n"/>
      <c r="X31" s="113" t="n"/>
      <c r="Y31" s="111" t="n"/>
      <c r="Z31" s="111" t="n"/>
      <c r="AA31" s="111" t="n"/>
      <c r="AB31" s="111" t="n"/>
      <c r="AC31" s="111" t="n"/>
      <c r="AD31" s="111" t="n"/>
      <c r="AE31" s="111" t="n"/>
      <c r="AF31" s="111" t="n"/>
      <c r="AG31" s="111" t="n"/>
      <c r="AH31" s="111" t="n"/>
      <c r="AI31" s="111" t="n"/>
      <c r="AJ31" s="114">
        <f>IF(COUNTA(B31,E31,H31,I31,J31,K31,L31,M31,N31,O31,P31,Q31,R31,S31,T31,U31,V31,W31,X31,Y31,Z31,AA31,AB31,AC31,AD31,AE31,AF31,AG31,AH31,AI31)=0,"",IF(OR(B31="",E31="",H31="",J31="",K31="",L31="",M31="",O31="",P31="",Q31="",R31="",S31="",T31="",U31="",W31="",X31="",Y31="",AB31="",AC31="",AE31="",AF31=""),"Incompleta: faltan campos obligatorios",IF(AND(LEFT(H31,6)="PROPIA",I31=""),"Falta el nombre de la acción propia del área",IF(AND(LEFT(H31,4)="AC27",IFERROR(INDEX('Catalogos_PDN'!$T$5:$T$207,MATCH(H31,'Catalogos_PDN'!$U$5:$U$207,0)),"x")&lt;&gt;LEFT(E31,7)),"La acción no corresponde a la meta seleccionada",IF(OR(NOT(ISNUMBER(M31)),M31&lt;10000000,M31&gt;99999999),"Código UNSPSC inválido: registre 8 dígitos",IF(MOD(M31,10000)=0,"UNSPSC a nivel de segmento o familia: use clase o producto",IF(IFERROR(MATCH(P31,PN_MESES,0)&lt;MATCH(O31,PN_MESES,0),TRUE()),"El mes de ofertas es anterior al de inicio del proceso",IF(OR(NOT(ISNUMBER(Q31)),Q31&lt;=0),"Duración inválida",IF(OR(NOT(ISNUMBER(W31)),NOT(ISNUMBER(X31))),"Valor inválido: registre solo números",IF(OR(W31&lt;=0,X31&lt;=0),"Valor inválido: debe ser mayor que cero",IF(X31&gt;W31,"El valor de la vigencia 2027 supera el valor total",IF(AND(X31&lt;W31,Y31="No"),"El valor total supera el de 2027: requiere vigencias futuras",IF(AND(Y31="Sí",OR(Z31="",Z31="No aplica")),"Indique el estado de la solicitud de vigencias futuras",IF(IF(AND(S31="Mínima cuantía",ISNUMBER(PN_TOPE_MINIMA)),W31&gt;PN_TOPE_MINIMA,FALSE()),"El valor supera el tope de mínima cuantía 2027",IF(IF(AND(S31="Selección abreviada de menor cuantía",ISNUMBER(PN_TOPE_MENOR)),W31&gt;PN_TOPE_MENOR,FALSE()),"El valor supera el tope de menor cuantía 2027",IF(OR(ISERROR(SEARCH("@itc.edu.co",AE31)),SUMPRODUCT(--ISNUMBER(SEARCH({"á","é","í","ó","ú","ñ"," "},AE31)))&gt;0),"El correo del responsable no es institucional válido",IF(AND(AF31="Sí",AG31=""),"Indique el N.° de registro 2026 que continúa","OK")))))))))))))))))</f>
        <v/>
      </c>
      <c r="AK31" s="114">
        <f>IF(AJ31="OK",COUNTIF($AJ$7:AJ31,"OK"),"")</f>
        <v/>
      </c>
    </row>
    <row r="32">
      <c r="A32" s="110">
        <f>"PN27-"&amp;TEXT(ROW()-6,"000")</f>
        <v/>
      </c>
      <c r="B32" s="111" t="n"/>
      <c r="C32" s="110">
        <f>IF(B32="","",IFERROR(INDEX('Catalogos_PDN'!$R$5:$R$51,MATCH(B32,PN_AREAS,0)),""))</f>
        <v/>
      </c>
      <c r="D32" s="110">
        <f>IF(B32="","",IFERROR(INDEX('Catalogos_PDN'!$O$5:$O$51,MATCH(B32,PN_AREAS,0)),""))</f>
        <v/>
      </c>
      <c r="E32" s="111" t="n"/>
      <c r="F32" s="110">
        <f>IF(E32="","",IFERROR(INDEX('Catalogos_PDN'!$C$5:$C$49,MATCH(E32,PN_METAS,0)),""))</f>
        <v/>
      </c>
      <c r="G32" s="110">
        <f>IF(E32="","",IFERROR(INDEX('Catalogos_PDN'!$E$5:$E$49,MATCH(E32,PN_METAS,0)),""))</f>
        <v/>
      </c>
      <c r="H32" s="111" t="n"/>
      <c r="I32" s="111" t="n"/>
      <c r="J32" s="111" t="n"/>
      <c r="K32" s="111" t="n"/>
      <c r="L32" s="111" t="n"/>
      <c r="M32" s="112" t="n"/>
      <c r="N32" s="111" t="n"/>
      <c r="O32" s="111" t="n"/>
      <c r="P32" s="111" t="n"/>
      <c r="Q32" s="111" t="n"/>
      <c r="R32" s="111" t="n"/>
      <c r="S32" s="111" t="n"/>
      <c r="T32" s="111" t="n"/>
      <c r="U32" s="111" t="n"/>
      <c r="V32" s="111" t="n"/>
      <c r="W32" s="113" t="n"/>
      <c r="X32" s="113" t="n"/>
      <c r="Y32" s="111" t="n"/>
      <c r="Z32" s="111" t="n"/>
      <c r="AA32" s="111" t="n"/>
      <c r="AB32" s="111" t="n"/>
      <c r="AC32" s="111" t="n"/>
      <c r="AD32" s="111" t="n"/>
      <c r="AE32" s="111" t="n"/>
      <c r="AF32" s="111" t="n"/>
      <c r="AG32" s="111" t="n"/>
      <c r="AH32" s="111" t="n"/>
      <c r="AI32" s="111" t="n"/>
      <c r="AJ32" s="114">
        <f>IF(COUNTA(B32,E32,H32,I32,J32,K32,L32,M32,N32,O32,P32,Q32,R32,S32,T32,U32,V32,W32,X32,Y32,Z32,AA32,AB32,AC32,AD32,AE32,AF32,AG32,AH32,AI32)=0,"",IF(OR(B32="",E32="",H32="",J32="",K32="",L32="",M32="",O32="",P32="",Q32="",R32="",S32="",T32="",U32="",W32="",X32="",Y32="",AB32="",AC32="",AE32="",AF32=""),"Incompleta: faltan campos obligatorios",IF(AND(LEFT(H32,6)="PROPIA",I32=""),"Falta el nombre de la acción propia del área",IF(AND(LEFT(H32,4)="AC27",IFERROR(INDEX('Catalogos_PDN'!$T$5:$T$207,MATCH(H32,'Catalogos_PDN'!$U$5:$U$207,0)),"x")&lt;&gt;LEFT(E32,7)),"La acción no corresponde a la meta seleccionada",IF(OR(NOT(ISNUMBER(M32)),M32&lt;10000000,M32&gt;99999999),"Código UNSPSC inválido: registre 8 dígitos",IF(MOD(M32,10000)=0,"UNSPSC a nivel de segmento o familia: use clase o producto",IF(IFERROR(MATCH(P32,PN_MESES,0)&lt;MATCH(O32,PN_MESES,0),TRUE()),"El mes de ofertas es anterior al de inicio del proceso",IF(OR(NOT(ISNUMBER(Q32)),Q32&lt;=0),"Duración inválida",IF(OR(NOT(ISNUMBER(W32)),NOT(ISNUMBER(X32))),"Valor inválido: registre solo números",IF(OR(W32&lt;=0,X32&lt;=0),"Valor inválido: debe ser mayor que cero",IF(X32&gt;W32,"El valor de la vigencia 2027 supera el valor total",IF(AND(X32&lt;W32,Y32="No"),"El valor total supera el de 2027: requiere vigencias futuras",IF(AND(Y32="Sí",OR(Z32="",Z32="No aplica")),"Indique el estado de la solicitud de vigencias futuras",IF(IF(AND(S32="Mínima cuantía",ISNUMBER(PN_TOPE_MINIMA)),W32&gt;PN_TOPE_MINIMA,FALSE()),"El valor supera el tope de mínima cuantía 2027",IF(IF(AND(S32="Selección abreviada de menor cuantía",ISNUMBER(PN_TOPE_MENOR)),W32&gt;PN_TOPE_MENOR,FALSE()),"El valor supera el tope de menor cuantía 2027",IF(OR(ISERROR(SEARCH("@itc.edu.co",AE32)),SUMPRODUCT(--ISNUMBER(SEARCH({"á","é","í","ó","ú","ñ"," "},AE32)))&gt;0),"El correo del responsable no es institucional válido",IF(AND(AF32="Sí",AG32=""),"Indique el N.° de registro 2026 que continúa","OK")))))))))))))))))</f>
        <v/>
      </c>
      <c r="AK32" s="114">
        <f>IF(AJ32="OK",COUNTIF($AJ$7:AJ32,"OK"),"")</f>
        <v/>
      </c>
    </row>
    <row r="33">
      <c r="A33" s="110">
        <f>"PN27-"&amp;TEXT(ROW()-6,"000")</f>
        <v/>
      </c>
      <c r="B33" s="111" t="n"/>
      <c r="C33" s="110">
        <f>IF(B33="","",IFERROR(INDEX('Catalogos_PDN'!$R$5:$R$51,MATCH(B33,PN_AREAS,0)),""))</f>
        <v/>
      </c>
      <c r="D33" s="110">
        <f>IF(B33="","",IFERROR(INDEX('Catalogos_PDN'!$O$5:$O$51,MATCH(B33,PN_AREAS,0)),""))</f>
        <v/>
      </c>
      <c r="E33" s="111" t="n"/>
      <c r="F33" s="110">
        <f>IF(E33="","",IFERROR(INDEX('Catalogos_PDN'!$C$5:$C$49,MATCH(E33,PN_METAS,0)),""))</f>
        <v/>
      </c>
      <c r="G33" s="110">
        <f>IF(E33="","",IFERROR(INDEX('Catalogos_PDN'!$E$5:$E$49,MATCH(E33,PN_METAS,0)),""))</f>
        <v/>
      </c>
      <c r="H33" s="111" t="n"/>
      <c r="I33" s="111" t="n"/>
      <c r="J33" s="111" t="n"/>
      <c r="K33" s="111" t="n"/>
      <c r="L33" s="111" t="n"/>
      <c r="M33" s="112" t="n"/>
      <c r="N33" s="111" t="n"/>
      <c r="O33" s="111" t="n"/>
      <c r="P33" s="111" t="n"/>
      <c r="Q33" s="111" t="n"/>
      <c r="R33" s="111" t="n"/>
      <c r="S33" s="111" t="n"/>
      <c r="T33" s="111" t="n"/>
      <c r="U33" s="111" t="n"/>
      <c r="V33" s="111" t="n"/>
      <c r="W33" s="113" t="n"/>
      <c r="X33" s="113" t="n"/>
      <c r="Y33" s="111" t="n"/>
      <c r="Z33" s="111" t="n"/>
      <c r="AA33" s="111" t="n"/>
      <c r="AB33" s="111" t="n"/>
      <c r="AC33" s="111" t="n"/>
      <c r="AD33" s="111" t="n"/>
      <c r="AE33" s="111" t="n"/>
      <c r="AF33" s="111" t="n"/>
      <c r="AG33" s="111" t="n"/>
      <c r="AH33" s="111" t="n"/>
      <c r="AI33" s="111" t="n"/>
      <c r="AJ33" s="114">
        <f>IF(COUNTA(B33,E33,H33,I33,J33,K33,L33,M33,N33,O33,P33,Q33,R33,S33,T33,U33,V33,W33,X33,Y33,Z33,AA33,AB33,AC33,AD33,AE33,AF33,AG33,AH33,AI33)=0,"",IF(OR(B33="",E33="",H33="",J33="",K33="",L33="",M33="",O33="",P33="",Q33="",R33="",S33="",T33="",U33="",W33="",X33="",Y33="",AB33="",AC33="",AE33="",AF33=""),"Incompleta: faltan campos obligatorios",IF(AND(LEFT(H33,6)="PROPIA",I33=""),"Falta el nombre de la acción propia del área",IF(AND(LEFT(H33,4)="AC27",IFERROR(INDEX('Catalogos_PDN'!$T$5:$T$207,MATCH(H33,'Catalogos_PDN'!$U$5:$U$207,0)),"x")&lt;&gt;LEFT(E33,7)),"La acción no corresponde a la meta seleccionada",IF(OR(NOT(ISNUMBER(M33)),M33&lt;10000000,M33&gt;99999999),"Código UNSPSC inválido: registre 8 dígitos",IF(MOD(M33,10000)=0,"UNSPSC a nivel de segmento o familia: use clase o producto",IF(IFERROR(MATCH(P33,PN_MESES,0)&lt;MATCH(O33,PN_MESES,0),TRUE()),"El mes de ofertas es anterior al de inicio del proceso",IF(OR(NOT(ISNUMBER(Q33)),Q33&lt;=0),"Duración inválida",IF(OR(NOT(ISNUMBER(W33)),NOT(ISNUMBER(X33))),"Valor inválido: registre solo números",IF(OR(W33&lt;=0,X33&lt;=0),"Valor inválido: debe ser mayor que cero",IF(X33&gt;W33,"El valor de la vigencia 2027 supera el valor total",IF(AND(X33&lt;W33,Y33="No"),"El valor total supera el de 2027: requiere vigencias futuras",IF(AND(Y33="Sí",OR(Z33="",Z33="No aplica")),"Indique el estado de la solicitud de vigencias futuras",IF(IF(AND(S33="Mínima cuantía",ISNUMBER(PN_TOPE_MINIMA)),W33&gt;PN_TOPE_MINIMA,FALSE()),"El valor supera el tope de mínima cuantía 2027",IF(IF(AND(S33="Selección abreviada de menor cuantía",ISNUMBER(PN_TOPE_MENOR)),W33&gt;PN_TOPE_MENOR,FALSE()),"El valor supera el tope de menor cuantía 2027",IF(OR(ISERROR(SEARCH("@itc.edu.co",AE33)),SUMPRODUCT(--ISNUMBER(SEARCH({"á","é","í","ó","ú","ñ"," "},AE33)))&gt;0),"El correo del responsable no es institucional válido",IF(AND(AF33="Sí",AG33=""),"Indique el N.° de registro 2026 que continúa","OK")))))))))))))))))</f>
        <v/>
      </c>
      <c r="AK33" s="114">
        <f>IF(AJ33="OK",COUNTIF($AJ$7:AJ33,"OK"),"")</f>
        <v/>
      </c>
    </row>
    <row r="34">
      <c r="A34" s="110">
        <f>"PN27-"&amp;TEXT(ROW()-6,"000")</f>
        <v/>
      </c>
      <c r="B34" s="111" t="n"/>
      <c r="C34" s="110">
        <f>IF(B34="","",IFERROR(INDEX('Catalogos_PDN'!$R$5:$R$51,MATCH(B34,PN_AREAS,0)),""))</f>
        <v/>
      </c>
      <c r="D34" s="110">
        <f>IF(B34="","",IFERROR(INDEX('Catalogos_PDN'!$O$5:$O$51,MATCH(B34,PN_AREAS,0)),""))</f>
        <v/>
      </c>
      <c r="E34" s="111" t="n"/>
      <c r="F34" s="110">
        <f>IF(E34="","",IFERROR(INDEX('Catalogos_PDN'!$C$5:$C$49,MATCH(E34,PN_METAS,0)),""))</f>
        <v/>
      </c>
      <c r="G34" s="110">
        <f>IF(E34="","",IFERROR(INDEX('Catalogos_PDN'!$E$5:$E$49,MATCH(E34,PN_METAS,0)),""))</f>
        <v/>
      </c>
      <c r="H34" s="111" t="n"/>
      <c r="I34" s="111" t="n"/>
      <c r="J34" s="111" t="n"/>
      <c r="K34" s="111" t="n"/>
      <c r="L34" s="111" t="n"/>
      <c r="M34" s="112" t="n"/>
      <c r="N34" s="111" t="n"/>
      <c r="O34" s="111" t="n"/>
      <c r="P34" s="111" t="n"/>
      <c r="Q34" s="111" t="n"/>
      <c r="R34" s="111" t="n"/>
      <c r="S34" s="111" t="n"/>
      <c r="T34" s="111" t="n"/>
      <c r="U34" s="111" t="n"/>
      <c r="V34" s="111" t="n"/>
      <c r="W34" s="113" t="n"/>
      <c r="X34" s="113" t="n"/>
      <c r="Y34" s="111" t="n"/>
      <c r="Z34" s="111" t="n"/>
      <c r="AA34" s="111" t="n"/>
      <c r="AB34" s="111" t="n"/>
      <c r="AC34" s="111" t="n"/>
      <c r="AD34" s="111" t="n"/>
      <c r="AE34" s="111" t="n"/>
      <c r="AF34" s="111" t="n"/>
      <c r="AG34" s="111" t="n"/>
      <c r="AH34" s="111" t="n"/>
      <c r="AI34" s="111" t="n"/>
      <c r="AJ34" s="114">
        <f>IF(COUNTA(B34,E34,H34,I34,J34,K34,L34,M34,N34,O34,P34,Q34,R34,S34,T34,U34,V34,W34,X34,Y34,Z34,AA34,AB34,AC34,AD34,AE34,AF34,AG34,AH34,AI34)=0,"",IF(OR(B34="",E34="",H34="",J34="",K34="",L34="",M34="",O34="",P34="",Q34="",R34="",S34="",T34="",U34="",W34="",X34="",Y34="",AB34="",AC34="",AE34="",AF34=""),"Incompleta: faltan campos obligatorios",IF(AND(LEFT(H34,6)="PROPIA",I34=""),"Falta el nombre de la acción propia del área",IF(AND(LEFT(H34,4)="AC27",IFERROR(INDEX('Catalogos_PDN'!$T$5:$T$207,MATCH(H34,'Catalogos_PDN'!$U$5:$U$207,0)),"x")&lt;&gt;LEFT(E34,7)),"La acción no corresponde a la meta seleccionada",IF(OR(NOT(ISNUMBER(M34)),M34&lt;10000000,M34&gt;99999999),"Código UNSPSC inválido: registre 8 dígitos",IF(MOD(M34,10000)=0,"UNSPSC a nivel de segmento o familia: use clase o producto",IF(IFERROR(MATCH(P34,PN_MESES,0)&lt;MATCH(O34,PN_MESES,0),TRUE()),"El mes de ofertas es anterior al de inicio del proceso",IF(OR(NOT(ISNUMBER(Q34)),Q34&lt;=0),"Duración inválida",IF(OR(NOT(ISNUMBER(W34)),NOT(ISNUMBER(X34))),"Valor inválido: registre solo números",IF(OR(W34&lt;=0,X34&lt;=0),"Valor inválido: debe ser mayor que cero",IF(X34&gt;W34,"El valor de la vigencia 2027 supera el valor total",IF(AND(X34&lt;W34,Y34="No"),"El valor total supera el de 2027: requiere vigencias futuras",IF(AND(Y34="Sí",OR(Z34="",Z34="No aplica")),"Indique el estado de la solicitud de vigencias futuras",IF(IF(AND(S34="Mínima cuantía",ISNUMBER(PN_TOPE_MINIMA)),W34&gt;PN_TOPE_MINIMA,FALSE()),"El valor supera el tope de mínima cuantía 2027",IF(IF(AND(S34="Selección abreviada de menor cuantía",ISNUMBER(PN_TOPE_MENOR)),W34&gt;PN_TOPE_MENOR,FALSE()),"El valor supera el tope de menor cuantía 2027",IF(OR(ISERROR(SEARCH("@itc.edu.co",AE34)),SUMPRODUCT(--ISNUMBER(SEARCH({"á","é","í","ó","ú","ñ"," "},AE34)))&gt;0),"El correo del responsable no es institucional válido",IF(AND(AF34="Sí",AG34=""),"Indique el N.° de registro 2026 que continúa","OK")))))))))))))))))</f>
        <v/>
      </c>
      <c r="AK34" s="114">
        <f>IF(AJ34="OK",COUNTIF($AJ$7:AJ34,"OK"),"")</f>
        <v/>
      </c>
    </row>
    <row r="35">
      <c r="A35" s="110">
        <f>"PN27-"&amp;TEXT(ROW()-6,"000")</f>
        <v/>
      </c>
      <c r="B35" s="111" t="n"/>
      <c r="C35" s="110">
        <f>IF(B35="","",IFERROR(INDEX('Catalogos_PDN'!$R$5:$R$51,MATCH(B35,PN_AREAS,0)),""))</f>
        <v/>
      </c>
      <c r="D35" s="110">
        <f>IF(B35="","",IFERROR(INDEX('Catalogos_PDN'!$O$5:$O$51,MATCH(B35,PN_AREAS,0)),""))</f>
        <v/>
      </c>
      <c r="E35" s="111" t="n"/>
      <c r="F35" s="110">
        <f>IF(E35="","",IFERROR(INDEX('Catalogos_PDN'!$C$5:$C$49,MATCH(E35,PN_METAS,0)),""))</f>
        <v/>
      </c>
      <c r="G35" s="110">
        <f>IF(E35="","",IFERROR(INDEX('Catalogos_PDN'!$E$5:$E$49,MATCH(E35,PN_METAS,0)),""))</f>
        <v/>
      </c>
      <c r="H35" s="111" t="n"/>
      <c r="I35" s="111" t="n"/>
      <c r="J35" s="111" t="n"/>
      <c r="K35" s="111" t="n"/>
      <c r="L35" s="111" t="n"/>
      <c r="M35" s="112" t="n"/>
      <c r="N35" s="111" t="n"/>
      <c r="O35" s="111" t="n"/>
      <c r="P35" s="111" t="n"/>
      <c r="Q35" s="111" t="n"/>
      <c r="R35" s="111" t="n"/>
      <c r="S35" s="111" t="n"/>
      <c r="T35" s="111" t="n"/>
      <c r="U35" s="111" t="n"/>
      <c r="V35" s="111" t="n"/>
      <c r="W35" s="113" t="n"/>
      <c r="X35" s="113" t="n"/>
      <c r="Y35" s="111" t="n"/>
      <c r="Z35" s="111" t="n"/>
      <c r="AA35" s="111" t="n"/>
      <c r="AB35" s="111" t="n"/>
      <c r="AC35" s="111" t="n"/>
      <c r="AD35" s="111" t="n"/>
      <c r="AE35" s="111" t="n"/>
      <c r="AF35" s="111" t="n"/>
      <c r="AG35" s="111" t="n"/>
      <c r="AH35" s="111" t="n"/>
      <c r="AI35" s="111" t="n"/>
      <c r="AJ35" s="114">
        <f>IF(COUNTA(B35,E35,H35,I35,J35,K35,L35,M35,N35,O35,P35,Q35,R35,S35,T35,U35,V35,W35,X35,Y35,Z35,AA35,AB35,AC35,AD35,AE35,AF35,AG35,AH35,AI35)=0,"",IF(OR(B35="",E35="",H35="",J35="",K35="",L35="",M35="",O35="",P35="",Q35="",R35="",S35="",T35="",U35="",W35="",X35="",Y35="",AB35="",AC35="",AE35="",AF35=""),"Incompleta: faltan campos obligatorios",IF(AND(LEFT(H35,6)="PROPIA",I35=""),"Falta el nombre de la acción propia del área",IF(AND(LEFT(H35,4)="AC27",IFERROR(INDEX('Catalogos_PDN'!$T$5:$T$207,MATCH(H35,'Catalogos_PDN'!$U$5:$U$207,0)),"x")&lt;&gt;LEFT(E35,7)),"La acción no corresponde a la meta seleccionada",IF(OR(NOT(ISNUMBER(M35)),M35&lt;10000000,M35&gt;99999999),"Código UNSPSC inválido: registre 8 dígitos",IF(MOD(M35,10000)=0,"UNSPSC a nivel de segmento o familia: use clase o producto",IF(IFERROR(MATCH(P35,PN_MESES,0)&lt;MATCH(O35,PN_MESES,0),TRUE()),"El mes de ofertas es anterior al de inicio del proceso",IF(OR(NOT(ISNUMBER(Q35)),Q35&lt;=0),"Duración inválida",IF(OR(NOT(ISNUMBER(W35)),NOT(ISNUMBER(X35))),"Valor inválido: registre solo números",IF(OR(W35&lt;=0,X35&lt;=0),"Valor inválido: debe ser mayor que cero",IF(X35&gt;W35,"El valor de la vigencia 2027 supera el valor total",IF(AND(X35&lt;W35,Y35="No"),"El valor total supera el de 2027: requiere vigencias futuras",IF(AND(Y35="Sí",OR(Z35="",Z35="No aplica")),"Indique el estado de la solicitud de vigencias futuras",IF(IF(AND(S35="Mínima cuantía",ISNUMBER(PN_TOPE_MINIMA)),W35&gt;PN_TOPE_MINIMA,FALSE()),"El valor supera el tope de mínima cuantía 2027",IF(IF(AND(S35="Selección abreviada de menor cuantía",ISNUMBER(PN_TOPE_MENOR)),W35&gt;PN_TOPE_MENOR,FALSE()),"El valor supera el tope de menor cuantía 2027",IF(OR(ISERROR(SEARCH("@itc.edu.co",AE35)),SUMPRODUCT(--ISNUMBER(SEARCH({"á","é","í","ó","ú","ñ"," "},AE35)))&gt;0),"El correo del responsable no es institucional válido",IF(AND(AF35="Sí",AG35=""),"Indique el N.° de registro 2026 que continúa","OK")))))))))))))))))</f>
        <v/>
      </c>
      <c r="AK35" s="114">
        <f>IF(AJ35="OK",COUNTIF($AJ$7:AJ35,"OK"),"")</f>
        <v/>
      </c>
    </row>
    <row r="36">
      <c r="A36" s="110">
        <f>"PN27-"&amp;TEXT(ROW()-6,"000")</f>
        <v/>
      </c>
      <c r="B36" s="111" t="n"/>
      <c r="C36" s="110">
        <f>IF(B36="","",IFERROR(INDEX('Catalogos_PDN'!$R$5:$R$51,MATCH(B36,PN_AREAS,0)),""))</f>
        <v/>
      </c>
      <c r="D36" s="110">
        <f>IF(B36="","",IFERROR(INDEX('Catalogos_PDN'!$O$5:$O$51,MATCH(B36,PN_AREAS,0)),""))</f>
        <v/>
      </c>
      <c r="E36" s="111" t="n"/>
      <c r="F36" s="110">
        <f>IF(E36="","",IFERROR(INDEX('Catalogos_PDN'!$C$5:$C$49,MATCH(E36,PN_METAS,0)),""))</f>
        <v/>
      </c>
      <c r="G36" s="110">
        <f>IF(E36="","",IFERROR(INDEX('Catalogos_PDN'!$E$5:$E$49,MATCH(E36,PN_METAS,0)),""))</f>
        <v/>
      </c>
      <c r="H36" s="111" t="n"/>
      <c r="I36" s="111" t="n"/>
      <c r="J36" s="111" t="n"/>
      <c r="K36" s="111" t="n"/>
      <c r="L36" s="111" t="n"/>
      <c r="M36" s="112" t="n"/>
      <c r="N36" s="111" t="n"/>
      <c r="O36" s="111" t="n"/>
      <c r="P36" s="111" t="n"/>
      <c r="Q36" s="111" t="n"/>
      <c r="R36" s="111" t="n"/>
      <c r="S36" s="111" t="n"/>
      <c r="T36" s="111" t="n"/>
      <c r="U36" s="111" t="n"/>
      <c r="V36" s="111" t="n"/>
      <c r="W36" s="113" t="n"/>
      <c r="X36" s="113" t="n"/>
      <c r="Y36" s="111" t="n"/>
      <c r="Z36" s="111" t="n"/>
      <c r="AA36" s="111" t="n"/>
      <c r="AB36" s="111" t="n"/>
      <c r="AC36" s="111" t="n"/>
      <c r="AD36" s="111" t="n"/>
      <c r="AE36" s="111" t="n"/>
      <c r="AF36" s="111" t="n"/>
      <c r="AG36" s="111" t="n"/>
      <c r="AH36" s="111" t="n"/>
      <c r="AI36" s="111" t="n"/>
      <c r="AJ36" s="114">
        <f>IF(COUNTA(B36,E36,H36,I36,J36,K36,L36,M36,N36,O36,P36,Q36,R36,S36,T36,U36,V36,W36,X36,Y36,Z36,AA36,AB36,AC36,AD36,AE36,AF36,AG36,AH36,AI36)=0,"",IF(OR(B36="",E36="",H36="",J36="",K36="",L36="",M36="",O36="",P36="",Q36="",R36="",S36="",T36="",U36="",W36="",X36="",Y36="",AB36="",AC36="",AE36="",AF36=""),"Incompleta: faltan campos obligatorios",IF(AND(LEFT(H36,6)="PROPIA",I36=""),"Falta el nombre de la acción propia del área",IF(AND(LEFT(H36,4)="AC27",IFERROR(INDEX('Catalogos_PDN'!$T$5:$T$207,MATCH(H36,'Catalogos_PDN'!$U$5:$U$207,0)),"x")&lt;&gt;LEFT(E36,7)),"La acción no corresponde a la meta seleccionada",IF(OR(NOT(ISNUMBER(M36)),M36&lt;10000000,M36&gt;99999999),"Código UNSPSC inválido: registre 8 dígitos",IF(MOD(M36,10000)=0,"UNSPSC a nivel de segmento o familia: use clase o producto",IF(IFERROR(MATCH(P36,PN_MESES,0)&lt;MATCH(O36,PN_MESES,0),TRUE()),"El mes de ofertas es anterior al de inicio del proceso",IF(OR(NOT(ISNUMBER(Q36)),Q36&lt;=0),"Duración inválida",IF(OR(NOT(ISNUMBER(W36)),NOT(ISNUMBER(X36))),"Valor inválido: registre solo números",IF(OR(W36&lt;=0,X36&lt;=0),"Valor inválido: debe ser mayor que cero",IF(X36&gt;W36,"El valor de la vigencia 2027 supera el valor total",IF(AND(X36&lt;W36,Y36="No"),"El valor total supera el de 2027: requiere vigencias futuras",IF(AND(Y36="Sí",OR(Z36="",Z36="No aplica")),"Indique el estado de la solicitud de vigencias futuras",IF(IF(AND(S36="Mínima cuantía",ISNUMBER(PN_TOPE_MINIMA)),W36&gt;PN_TOPE_MINIMA,FALSE()),"El valor supera el tope de mínima cuantía 2027",IF(IF(AND(S36="Selección abreviada de menor cuantía",ISNUMBER(PN_TOPE_MENOR)),W36&gt;PN_TOPE_MENOR,FALSE()),"El valor supera el tope de menor cuantía 2027",IF(OR(ISERROR(SEARCH("@itc.edu.co",AE36)),SUMPRODUCT(--ISNUMBER(SEARCH({"á","é","í","ó","ú","ñ"," "},AE36)))&gt;0),"El correo del responsable no es institucional válido",IF(AND(AF36="Sí",AG36=""),"Indique el N.° de registro 2026 que continúa","OK")))))))))))))))))</f>
        <v/>
      </c>
      <c r="AK36" s="114">
        <f>IF(AJ36="OK",COUNTIF($AJ$7:AJ36,"OK"),"")</f>
        <v/>
      </c>
    </row>
    <row r="37">
      <c r="A37" s="110">
        <f>"PN27-"&amp;TEXT(ROW()-6,"000")</f>
        <v/>
      </c>
      <c r="B37" s="111" t="n"/>
      <c r="C37" s="110">
        <f>IF(B37="","",IFERROR(INDEX('Catalogos_PDN'!$R$5:$R$51,MATCH(B37,PN_AREAS,0)),""))</f>
        <v/>
      </c>
      <c r="D37" s="110">
        <f>IF(B37="","",IFERROR(INDEX('Catalogos_PDN'!$O$5:$O$51,MATCH(B37,PN_AREAS,0)),""))</f>
        <v/>
      </c>
      <c r="E37" s="111" t="n"/>
      <c r="F37" s="110">
        <f>IF(E37="","",IFERROR(INDEX('Catalogos_PDN'!$C$5:$C$49,MATCH(E37,PN_METAS,0)),""))</f>
        <v/>
      </c>
      <c r="G37" s="110">
        <f>IF(E37="","",IFERROR(INDEX('Catalogos_PDN'!$E$5:$E$49,MATCH(E37,PN_METAS,0)),""))</f>
        <v/>
      </c>
      <c r="H37" s="111" t="n"/>
      <c r="I37" s="111" t="n"/>
      <c r="J37" s="111" t="n"/>
      <c r="K37" s="111" t="n"/>
      <c r="L37" s="111" t="n"/>
      <c r="M37" s="112" t="n"/>
      <c r="N37" s="111" t="n"/>
      <c r="O37" s="111" t="n"/>
      <c r="P37" s="111" t="n"/>
      <c r="Q37" s="111" t="n"/>
      <c r="R37" s="111" t="n"/>
      <c r="S37" s="111" t="n"/>
      <c r="T37" s="111" t="n"/>
      <c r="U37" s="111" t="n"/>
      <c r="V37" s="111" t="n"/>
      <c r="W37" s="113" t="n"/>
      <c r="X37" s="113" t="n"/>
      <c r="Y37" s="111" t="n"/>
      <c r="Z37" s="111" t="n"/>
      <c r="AA37" s="111" t="n"/>
      <c r="AB37" s="111" t="n"/>
      <c r="AC37" s="111" t="n"/>
      <c r="AD37" s="111" t="n"/>
      <c r="AE37" s="111" t="n"/>
      <c r="AF37" s="111" t="n"/>
      <c r="AG37" s="111" t="n"/>
      <c r="AH37" s="111" t="n"/>
      <c r="AI37" s="111" t="n"/>
      <c r="AJ37" s="114">
        <f>IF(COUNTA(B37,E37,H37,I37,J37,K37,L37,M37,N37,O37,P37,Q37,R37,S37,T37,U37,V37,W37,X37,Y37,Z37,AA37,AB37,AC37,AD37,AE37,AF37,AG37,AH37,AI37)=0,"",IF(OR(B37="",E37="",H37="",J37="",K37="",L37="",M37="",O37="",P37="",Q37="",R37="",S37="",T37="",U37="",W37="",X37="",Y37="",AB37="",AC37="",AE37="",AF37=""),"Incompleta: faltan campos obligatorios",IF(AND(LEFT(H37,6)="PROPIA",I37=""),"Falta el nombre de la acción propia del área",IF(AND(LEFT(H37,4)="AC27",IFERROR(INDEX('Catalogos_PDN'!$T$5:$T$207,MATCH(H37,'Catalogos_PDN'!$U$5:$U$207,0)),"x")&lt;&gt;LEFT(E37,7)),"La acción no corresponde a la meta seleccionada",IF(OR(NOT(ISNUMBER(M37)),M37&lt;10000000,M37&gt;99999999),"Código UNSPSC inválido: registre 8 dígitos",IF(MOD(M37,10000)=0,"UNSPSC a nivel de segmento o familia: use clase o producto",IF(IFERROR(MATCH(P37,PN_MESES,0)&lt;MATCH(O37,PN_MESES,0),TRUE()),"El mes de ofertas es anterior al de inicio del proceso",IF(OR(NOT(ISNUMBER(Q37)),Q37&lt;=0),"Duración inválida",IF(OR(NOT(ISNUMBER(W37)),NOT(ISNUMBER(X37))),"Valor inválido: registre solo números",IF(OR(W37&lt;=0,X37&lt;=0),"Valor inválido: debe ser mayor que cero",IF(X37&gt;W37,"El valor de la vigencia 2027 supera el valor total",IF(AND(X37&lt;W37,Y37="No"),"El valor total supera el de 2027: requiere vigencias futuras",IF(AND(Y37="Sí",OR(Z37="",Z37="No aplica")),"Indique el estado de la solicitud de vigencias futuras",IF(IF(AND(S37="Mínima cuantía",ISNUMBER(PN_TOPE_MINIMA)),W37&gt;PN_TOPE_MINIMA,FALSE()),"El valor supera el tope de mínima cuantía 2027",IF(IF(AND(S37="Selección abreviada de menor cuantía",ISNUMBER(PN_TOPE_MENOR)),W37&gt;PN_TOPE_MENOR,FALSE()),"El valor supera el tope de menor cuantía 2027",IF(OR(ISERROR(SEARCH("@itc.edu.co",AE37)),SUMPRODUCT(--ISNUMBER(SEARCH({"á","é","í","ó","ú","ñ"," "},AE37)))&gt;0),"El correo del responsable no es institucional válido",IF(AND(AF37="Sí",AG37=""),"Indique el N.° de registro 2026 que continúa","OK")))))))))))))))))</f>
        <v/>
      </c>
      <c r="AK37" s="114">
        <f>IF(AJ37="OK",COUNTIF($AJ$7:AJ37,"OK"),"")</f>
        <v/>
      </c>
    </row>
    <row r="38">
      <c r="A38" s="110">
        <f>"PN27-"&amp;TEXT(ROW()-6,"000")</f>
        <v/>
      </c>
      <c r="B38" s="111" t="n"/>
      <c r="C38" s="110">
        <f>IF(B38="","",IFERROR(INDEX('Catalogos_PDN'!$R$5:$R$51,MATCH(B38,PN_AREAS,0)),""))</f>
        <v/>
      </c>
      <c r="D38" s="110">
        <f>IF(B38="","",IFERROR(INDEX('Catalogos_PDN'!$O$5:$O$51,MATCH(B38,PN_AREAS,0)),""))</f>
        <v/>
      </c>
      <c r="E38" s="111" t="n"/>
      <c r="F38" s="110">
        <f>IF(E38="","",IFERROR(INDEX('Catalogos_PDN'!$C$5:$C$49,MATCH(E38,PN_METAS,0)),""))</f>
        <v/>
      </c>
      <c r="G38" s="110">
        <f>IF(E38="","",IFERROR(INDEX('Catalogos_PDN'!$E$5:$E$49,MATCH(E38,PN_METAS,0)),""))</f>
        <v/>
      </c>
      <c r="H38" s="111" t="n"/>
      <c r="I38" s="111" t="n"/>
      <c r="J38" s="111" t="n"/>
      <c r="K38" s="111" t="n"/>
      <c r="L38" s="111" t="n"/>
      <c r="M38" s="112" t="n"/>
      <c r="N38" s="111" t="n"/>
      <c r="O38" s="111" t="n"/>
      <c r="P38" s="111" t="n"/>
      <c r="Q38" s="111" t="n"/>
      <c r="R38" s="111" t="n"/>
      <c r="S38" s="111" t="n"/>
      <c r="T38" s="111" t="n"/>
      <c r="U38" s="111" t="n"/>
      <c r="V38" s="111" t="n"/>
      <c r="W38" s="113" t="n"/>
      <c r="X38" s="113" t="n"/>
      <c r="Y38" s="111" t="n"/>
      <c r="Z38" s="111" t="n"/>
      <c r="AA38" s="111" t="n"/>
      <c r="AB38" s="111" t="n"/>
      <c r="AC38" s="111" t="n"/>
      <c r="AD38" s="111" t="n"/>
      <c r="AE38" s="111" t="n"/>
      <c r="AF38" s="111" t="n"/>
      <c r="AG38" s="111" t="n"/>
      <c r="AH38" s="111" t="n"/>
      <c r="AI38" s="111" t="n"/>
      <c r="AJ38" s="114">
        <f>IF(COUNTA(B38,E38,H38,I38,J38,K38,L38,M38,N38,O38,P38,Q38,R38,S38,T38,U38,V38,W38,X38,Y38,Z38,AA38,AB38,AC38,AD38,AE38,AF38,AG38,AH38,AI38)=0,"",IF(OR(B38="",E38="",H38="",J38="",K38="",L38="",M38="",O38="",P38="",Q38="",R38="",S38="",T38="",U38="",W38="",X38="",Y38="",AB38="",AC38="",AE38="",AF38=""),"Incompleta: faltan campos obligatorios",IF(AND(LEFT(H38,6)="PROPIA",I38=""),"Falta el nombre de la acción propia del área",IF(AND(LEFT(H38,4)="AC27",IFERROR(INDEX('Catalogos_PDN'!$T$5:$T$207,MATCH(H38,'Catalogos_PDN'!$U$5:$U$207,0)),"x")&lt;&gt;LEFT(E38,7)),"La acción no corresponde a la meta seleccionada",IF(OR(NOT(ISNUMBER(M38)),M38&lt;10000000,M38&gt;99999999),"Código UNSPSC inválido: registre 8 dígitos",IF(MOD(M38,10000)=0,"UNSPSC a nivel de segmento o familia: use clase o producto",IF(IFERROR(MATCH(P38,PN_MESES,0)&lt;MATCH(O38,PN_MESES,0),TRUE()),"El mes de ofertas es anterior al de inicio del proceso",IF(OR(NOT(ISNUMBER(Q38)),Q38&lt;=0),"Duración inválida",IF(OR(NOT(ISNUMBER(W38)),NOT(ISNUMBER(X38))),"Valor inválido: registre solo números",IF(OR(W38&lt;=0,X38&lt;=0),"Valor inválido: debe ser mayor que cero",IF(X38&gt;W38,"El valor de la vigencia 2027 supera el valor total",IF(AND(X38&lt;W38,Y38="No"),"El valor total supera el de 2027: requiere vigencias futuras",IF(AND(Y38="Sí",OR(Z38="",Z38="No aplica")),"Indique el estado de la solicitud de vigencias futuras",IF(IF(AND(S38="Mínima cuantía",ISNUMBER(PN_TOPE_MINIMA)),W38&gt;PN_TOPE_MINIMA,FALSE()),"El valor supera el tope de mínima cuantía 2027",IF(IF(AND(S38="Selección abreviada de menor cuantía",ISNUMBER(PN_TOPE_MENOR)),W38&gt;PN_TOPE_MENOR,FALSE()),"El valor supera el tope de menor cuantía 2027",IF(OR(ISERROR(SEARCH("@itc.edu.co",AE38)),SUMPRODUCT(--ISNUMBER(SEARCH({"á","é","í","ó","ú","ñ"," "},AE38)))&gt;0),"El correo del responsable no es institucional válido",IF(AND(AF38="Sí",AG38=""),"Indique el N.° de registro 2026 que continúa","OK")))))))))))))))))</f>
        <v/>
      </c>
      <c r="AK38" s="114">
        <f>IF(AJ38="OK",COUNTIF($AJ$7:AJ38,"OK"),"")</f>
        <v/>
      </c>
    </row>
    <row r="39">
      <c r="A39" s="110">
        <f>"PN27-"&amp;TEXT(ROW()-6,"000")</f>
        <v/>
      </c>
      <c r="B39" s="111" t="n"/>
      <c r="C39" s="110">
        <f>IF(B39="","",IFERROR(INDEX('Catalogos_PDN'!$R$5:$R$51,MATCH(B39,PN_AREAS,0)),""))</f>
        <v/>
      </c>
      <c r="D39" s="110">
        <f>IF(B39="","",IFERROR(INDEX('Catalogos_PDN'!$O$5:$O$51,MATCH(B39,PN_AREAS,0)),""))</f>
        <v/>
      </c>
      <c r="E39" s="111" t="n"/>
      <c r="F39" s="110">
        <f>IF(E39="","",IFERROR(INDEX('Catalogos_PDN'!$C$5:$C$49,MATCH(E39,PN_METAS,0)),""))</f>
        <v/>
      </c>
      <c r="G39" s="110">
        <f>IF(E39="","",IFERROR(INDEX('Catalogos_PDN'!$E$5:$E$49,MATCH(E39,PN_METAS,0)),""))</f>
        <v/>
      </c>
      <c r="H39" s="111" t="n"/>
      <c r="I39" s="111" t="n"/>
      <c r="J39" s="111" t="n"/>
      <c r="K39" s="111" t="n"/>
      <c r="L39" s="111" t="n"/>
      <c r="M39" s="112" t="n"/>
      <c r="N39" s="111" t="n"/>
      <c r="O39" s="111" t="n"/>
      <c r="P39" s="111" t="n"/>
      <c r="Q39" s="111" t="n"/>
      <c r="R39" s="111" t="n"/>
      <c r="S39" s="111" t="n"/>
      <c r="T39" s="111" t="n"/>
      <c r="U39" s="111" t="n"/>
      <c r="V39" s="111" t="n"/>
      <c r="W39" s="113" t="n"/>
      <c r="X39" s="113" t="n"/>
      <c r="Y39" s="111" t="n"/>
      <c r="Z39" s="111" t="n"/>
      <c r="AA39" s="111" t="n"/>
      <c r="AB39" s="111" t="n"/>
      <c r="AC39" s="111" t="n"/>
      <c r="AD39" s="111" t="n"/>
      <c r="AE39" s="111" t="n"/>
      <c r="AF39" s="111" t="n"/>
      <c r="AG39" s="111" t="n"/>
      <c r="AH39" s="111" t="n"/>
      <c r="AI39" s="111" t="n"/>
      <c r="AJ39" s="114">
        <f>IF(COUNTA(B39,E39,H39,I39,J39,K39,L39,M39,N39,O39,P39,Q39,R39,S39,T39,U39,V39,W39,X39,Y39,Z39,AA39,AB39,AC39,AD39,AE39,AF39,AG39,AH39,AI39)=0,"",IF(OR(B39="",E39="",H39="",J39="",K39="",L39="",M39="",O39="",P39="",Q39="",R39="",S39="",T39="",U39="",W39="",X39="",Y39="",AB39="",AC39="",AE39="",AF39=""),"Incompleta: faltan campos obligatorios",IF(AND(LEFT(H39,6)="PROPIA",I39=""),"Falta el nombre de la acción propia del área",IF(AND(LEFT(H39,4)="AC27",IFERROR(INDEX('Catalogos_PDN'!$T$5:$T$207,MATCH(H39,'Catalogos_PDN'!$U$5:$U$207,0)),"x")&lt;&gt;LEFT(E39,7)),"La acción no corresponde a la meta seleccionada",IF(OR(NOT(ISNUMBER(M39)),M39&lt;10000000,M39&gt;99999999),"Código UNSPSC inválido: registre 8 dígitos",IF(MOD(M39,10000)=0,"UNSPSC a nivel de segmento o familia: use clase o producto",IF(IFERROR(MATCH(P39,PN_MESES,0)&lt;MATCH(O39,PN_MESES,0),TRUE()),"El mes de ofertas es anterior al de inicio del proceso",IF(OR(NOT(ISNUMBER(Q39)),Q39&lt;=0),"Duración inválida",IF(OR(NOT(ISNUMBER(W39)),NOT(ISNUMBER(X39))),"Valor inválido: registre solo números",IF(OR(W39&lt;=0,X39&lt;=0),"Valor inválido: debe ser mayor que cero",IF(X39&gt;W39,"El valor de la vigencia 2027 supera el valor total",IF(AND(X39&lt;W39,Y39="No"),"El valor total supera el de 2027: requiere vigencias futuras",IF(AND(Y39="Sí",OR(Z39="",Z39="No aplica")),"Indique el estado de la solicitud de vigencias futuras",IF(IF(AND(S39="Mínima cuantía",ISNUMBER(PN_TOPE_MINIMA)),W39&gt;PN_TOPE_MINIMA,FALSE()),"El valor supera el tope de mínima cuantía 2027",IF(IF(AND(S39="Selección abreviada de menor cuantía",ISNUMBER(PN_TOPE_MENOR)),W39&gt;PN_TOPE_MENOR,FALSE()),"El valor supera el tope de menor cuantía 2027",IF(OR(ISERROR(SEARCH("@itc.edu.co",AE39)),SUMPRODUCT(--ISNUMBER(SEARCH({"á","é","í","ó","ú","ñ"," "},AE39)))&gt;0),"El correo del responsable no es institucional válido",IF(AND(AF39="Sí",AG39=""),"Indique el N.° de registro 2026 que continúa","OK")))))))))))))))))</f>
        <v/>
      </c>
      <c r="AK39" s="114">
        <f>IF(AJ39="OK",COUNTIF($AJ$7:AJ39,"OK"),"")</f>
        <v/>
      </c>
    </row>
    <row r="40">
      <c r="A40" s="110">
        <f>"PN27-"&amp;TEXT(ROW()-6,"000")</f>
        <v/>
      </c>
      <c r="B40" s="111" t="n"/>
      <c r="C40" s="110">
        <f>IF(B40="","",IFERROR(INDEX('Catalogos_PDN'!$R$5:$R$51,MATCH(B40,PN_AREAS,0)),""))</f>
        <v/>
      </c>
      <c r="D40" s="110">
        <f>IF(B40="","",IFERROR(INDEX('Catalogos_PDN'!$O$5:$O$51,MATCH(B40,PN_AREAS,0)),""))</f>
        <v/>
      </c>
      <c r="E40" s="111" t="n"/>
      <c r="F40" s="110">
        <f>IF(E40="","",IFERROR(INDEX('Catalogos_PDN'!$C$5:$C$49,MATCH(E40,PN_METAS,0)),""))</f>
        <v/>
      </c>
      <c r="G40" s="110">
        <f>IF(E40="","",IFERROR(INDEX('Catalogos_PDN'!$E$5:$E$49,MATCH(E40,PN_METAS,0)),""))</f>
        <v/>
      </c>
      <c r="H40" s="111" t="n"/>
      <c r="I40" s="111" t="n"/>
      <c r="J40" s="111" t="n"/>
      <c r="K40" s="111" t="n"/>
      <c r="L40" s="111" t="n"/>
      <c r="M40" s="112" t="n"/>
      <c r="N40" s="111" t="n"/>
      <c r="O40" s="111" t="n"/>
      <c r="P40" s="111" t="n"/>
      <c r="Q40" s="111" t="n"/>
      <c r="R40" s="111" t="n"/>
      <c r="S40" s="111" t="n"/>
      <c r="T40" s="111" t="n"/>
      <c r="U40" s="111" t="n"/>
      <c r="V40" s="111" t="n"/>
      <c r="W40" s="113" t="n"/>
      <c r="X40" s="113" t="n"/>
      <c r="Y40" s="111" t="n"/>
      <c r="Z40" s="111" t="n"/>
      <c r="AA40" s="111" t="n"/>
      <c r="AB40" s="111" t="n"/>
      <c r="AC40" s="111" t="n"/>
      <c r="AD40" s="111" t="n"/>
      <c r="AE40" s="111" t="n"/>
      <c r="AF40" s="111" t="n"/>
      <c r="AG40" s="111" t="n"/>
      <c r="AH40" s="111" t="n"/>
      <c r="AI40" s="111" t="n"/>
      <c r="AJ40" s="114">
        <f>IF(COUNTA(B40,E40,H40,I40,J40,K40,L40,M40,N40,O40,P40,Q40,R40,S40,T40,U40,V40,W40,X40,Y40,Z40,AA40,AB40,AC40,AD40,AE40,AF40,AG40,AH40,AI40)=0,"",IF(OR(B40="",E40="",H40="",J40="",K40="",L40="",M40="",O40="",P40="",Q40="",R40="",S40="",T40="",U40="",W40="",X40="",Y40="",AB40="",AC40="",AE40="",AF40=""),"Incompleta: faltan campos obligatorios",IF(AND(LEFT(H40,6)="PROPIA",I40=""),"Falta el nombre de la acción propia del área",IF(AND(LEFT(H40,4)="AC27",IFERROR(INDEX('Catalogos_PDN'!$T$5:$T$207,MATCH(H40,'Catalogos_PDN'!$U$5:$U$207,0)),"x")&lt;&gt;LEFT(E40,7)),"La acción no corresponde a la meta seleccionada",IF(OR(NOT(ISNUMBER(M40)),M40&lt;10000000,M40&gt;99999999),"Código UNSPSC inválido: registre 8 dígitos",IF(MOD(M40,10000)=0,"UNSPSC a nivel de segmento o familia: use clase o producto",IF(IFERROR(MATCH(P40,PN_MESES,0)&lt;MATCH(O40,PN_MESES,0),TRUE()),"El mes de ofertas es anterior al de inicio del proceso",IF(OR(NOT(ISNUMBER(Q40)),Q40&lt;=0),"Duración inválida",IF(OR(NOT(ISNUMBER(W40)),NOT(ISNUMBER(X40))),"Valor inválido: registre solo números",IF(OR(W40&lt;=0,X40&lt;=0),"Valor inválido: debe ser mayor que cero",IF(X40&gt;W40,"El valor de la vigencia 2027 supera el valor total",IF(AND(X40&lt;W40,Y40="No"),"El valor total supera el de 2027: requiere vigencias futuras",IF(AND(Y40="Sí",OR(Z40="",Z40="No aplica")),"Indique el estado de la solicitud de vigencias futuras",IF(IF(AND(S40="Mínima cuantía",ISNUMBER(PN_TOPE_MINIMA)),W40&gt;PN_TOPE_MINIMA,FALSE()),"El valor supera el tope de mínima cuantía 2027",IF(IF(AND(S40="Selección abreviada de menor cuantía",ISNUMBER(PN_TOPE_MENOR)),W40&gt;PN_TOPE_MENOR,FALSE()),"El valor supera el tope de menor cuantía 2027",IF(OR(ISERROR(SEARCH("@itc.edu.co",AE40)),SUMPRODUCT(--ISNUMBER(SEARCH({"á","é","í","ó","ú","ñ"," "},AE40)))&gt;0),"El correo del responsable no es institucional válido",IF(AND(AF40="Sí",AG40=""),"Indique el N.° de registro 2026 que continúa","OK")))))))))))))))))</f>
        <v/>
      </c>
      <c r="AK40" s="114">
        <f>IF(AJ40="OK",COUNTIF($AJ$7:AJ40,"OK"),"")</f>
        <v/>
      </c>
    </row>
    <row r="41">
      <c r="A41" s="110">
        <f>"PN27-"&amp;TEXT(ROW()-6,"000")</f>
        <v/>
      </c>
      <c r="B41" s="111" t="n"/>
      <c r="C41" s="110">
        <f>IF(B41="","",IFERROR(INDEX('Catalogos_PDN'!$R$5:$R$51,MATCH(B41,PN_AREAS,0)),""))</f>
        <v/>
      </c>
      <c r="D41" s="110">
        <f>IF(B41="","",IFERROR(INDEX('Catalogos_PDN'!$O$5:$O$51,MATCH(B41,PN_AREAS,0)),""))</f>
        <v/>
      </c>
      <c r="E41" s="111" t="n"/>
      <c r="F41" s="110">
        <f>IF(E41="","",IFERROR(INDEX('Catalogos_PDN'!$C$5:$C$49,MATCH(E41,PN_METAS,0)),""))</f>
        <v/>
      </c>
      <c r="G41" s="110">
        <f>IF(E41="","",IFERROR(INDEX('Catalogos_PDN'!$E$5:$E$49,MATCH(E41,PN_METAS,0)),""))</f>
        <v/>
      </c>
      <c r="H41" s="111" t="n"/>
      <c r="I41" s="111" t="n"/>
      <c r="J41" s="111" t="n"/>
      <c r="K41" s="111" t="n"/>
      <c r="L41" s="111" t="n"/>
      <c r="M41" s="112" t="n"/>
      <c r="N41" s="111" t="n"/>
      <c r="O41" s="111" t="n"/>
      <c r="P41" s="111" t="n"/>
      <c r="Q41" s="111" t="n"/>
      <c r="R41" s="111" t="n"/>
      <c r="S41" s="111" t="n"/>
      <c r="T41" s="111" t="n"/>
      <c r="U41" s="111" t="n"/>
      <c r="V41" s="111" t="n"/>
      <c r="W41" s="113" t="n"/>
      <c r="X41" s="113" t="n"/>
      <c r="Y41" s="111" t="n"/>
      <c r="Z41" s="111" t="n"/>
      <c r="AA41" s="111" t="n"/>
      <c r="AB41" s="111" t="n"/>
      <c r="AC41" s="111" t="n"/>
      <c r="AD41" s="111" t="n"/>
      <c r="AE41" s="111" t="n"/>
      <c r="AF41" s="111" t="n"/>
      <c r="AG41" s="111" t="n"/>
      <c r="AH41" s="111" t="n"/>
      <c r="AI41" s="111" t="n"/>
      <c r="AJ41" s="114">
        <f>IF(COUNTA(B41,E41,H41,I41,J41,K41,L41,M41,N41,O41,P41,Q41,R41,S41,T41,U41,V41,W41,X41,Y41,Z41,AA41,AB41,AC41,AD41,AE41,AF41,AG41,AH41,AI41)=0,"",IF(OR(B41="",E41="",H41="",J41="",K41="",L41="",M41="",O41="",P41="",Q41="",R41="",S41="",T41="",U41="",W41="",X41="",Y41="",AB41="",AC41="",AE41="",AF41=""),"Incompleta: faltan campos obligatorios",IF(AND(LEFT(H41,6)="PROPIA",I41=""),"Falta el nombre de la acción propia del área",IF(AND(LEFT(H41,4)="AC27",IFERROR(INDEX('Catalogos_PDN'!$T$5:$T$207,MATCH(H41,'Catalogos_PDN'!$U$5:$U$207,0)),"x")&lt;&gt;LEFT(E41,7)),"La acción no corresponde a la meta seleccionada",IF(OR(NOT(ISNUMBER(M41)),M41&lt;10000000,M41&gt;99999999),"Código UNSPSC inválido: registre 8 dígitos",IF(MOD(M41,10000)=0,"UNSPSC a nivel de segmento o familia: use clase o producto",IF(IFERROR(MATCH(P41,PN_MESES,0)&lt;MATCH(O41,PN_MESES,0),TRUE()),"El mes de ofertas es anterior al de inicio del proceso",IF(OR(NOT(ISNUMBER(Q41)),Q41&lt;=0),"Duración inválida",IF(OR(NOT(ISNUMBER(W41)),NOT(ISNUMBER(X41))),"Valor inválido: registre solo números",IF(OR(W41&lt;=0,X41&lt;=0),"Valor inválido: debe ser mayor que cero",IF(X41&gt;W41,"El valor de la vigencia 2027 supera el valor total",IF(AND(X41&lt;W41,Y41="No"),"El valor total supera el de 2027: requiere vigencias futuras",IF(AND(Y41="Sí",OR(Z41="",Z41="No aplica")),"Indique el estado de la solicitud de vigencias futuras",IF(IF(AND(S41="Mínima cuantía",ISNUMBER(PN_TOPE_MINIMA)),W41&gt;PN_TOPE_MINIMA,FALSE()),"El valor supera el tope de mínima cuantía 2027",IF(IF(AND(S41="Selección abreviada de menor cuantía",ISNUMBER(PN_TOPE_MENOR)),W41&gt;PN_TOPE_MENOR,FALSE()),"El valor supera el tope de menor cuantía 2027",IF(OR(ISERROR(SEARCH("@itc.edu.co",AE41)),SUMPRODUCT(--ISNUMBER(SEARCH({"á","é","í","ó","ú","ñ"," "},AE41)))&gt;0),"El correo del responsable no es institucional válido",IF(AND(AF41="Sí",AG41=""),"Indique el N.° de registro 2026 que continúa","OK")))))))))))))))))</f>
        <v/>
      </c>
      <c r="AK41" s="114">
        <f>IF(AJ41="OK",COUNTIF($AJ$7:AJ41,"OK"),"")</f>
        <v/>
      </c>
    </row>
    <row r="42">
      <c r="A42" s="110">
        <f>"PN27-"&amp;TEXT(ROW()-6,"000")</f>
        <v/>
      </c>
      <c r="B42" s="111" t="n"/>
      <c r="C42" s="110">
        <f>IF(B42="","",IFERROR(INDEX('Catalogos_PDN'!$R$5:$R$51,MATCH(B42,PN_AREAS,0)),""))</f>
        <v/>
      </c>
      <c r="D42" s="110">
        <f>IF(B42="","",IFERROR(INDEX('Catalogos_PDN'!$O$5:$O$51,MATCH(B42,PN_AREAS,0)),""))</f>
        <v/>
      </c>
      <c r="E42" s="111" t="n"/>
      <c r="F42" s="110">
        <f>IF(E42="","",IFERROR(INDEX('Catalogos_PDN'!$C$5:$C$49,MATCH(E42,PN_METAS,0)),""))</f>
        <v/>
      </c>
      <c r="G42" s="110">
        <f>IF(E42="","",IFERROR(INDEX('Catalogos_PDN'!$E$5:$E$49,MATCH(E42,PN_METAS,0)),""))</f>
        <v/>
      </c>
      <c r="H42" s="111" t="n"/>
      <c r="I42" s="111" t="n"/>
      <c r="J42" s="111" t="n"/>
      <c r="K42" s="111" t="n"/>
      <c r="L42" s="111" t="n"/>
      <c r="M42" s="112" t="n"/>
      <c r="N42" s="111" t="n"/>
      <c r="O42" s="111" t="n"/>
      <c r="P42" s="111" t="n"/>
      <c r="Q42" s="111" t="n"/>
      <c r="R42" s="111" t="n"/>
      <c r="S42" s="111" t="n"/>
      <c r="T42" s="111" t="n"/>
      <c r="U42" s="111" t="n"/>
      <c r="V42" s="111" t="n"/>
      <c r="W42" s="113" t="n"/>
      <c r="X42" s="113" t="n"/>
      <c r="Y42" s="111" t="n"/>
      <c r="Z42" s="111" t="n"/>
      <c r="AA42" s="111" t="n"/>
      <c r="AB42" s="111" t="n"/>
      <c r="AC42" s="111" t="n"/>
      <c r="AD42" s="111" t="n"/>
      <c r="AE42" s="111" t="n"/>
      <c r="AF42" s="111" t="n"/>
      <c r="AG42" s="111" t="n"/>
      <c r="AH42" s="111" t="n"/>
      <c r="AI42" s="111" t="n"/>
      <c r="AJ42" s="114">
        <f>IF(COUNTA(B42,E42,H42,I42,J42,K42,L42,M42,N42,O42,P42,Q42,R42,S42,T42,U42,V42,W42,X42,Y42,Z42,AA42,AB42,AC42,AD42,AE42,AF42,AG42,AH42,AI42)=0,"",IF(OR(B42="",E42="",H42="",J42="",K42="",L42="",M42="",O42="",P42="",Q42="",R42="",S42="",T42="",U42="",W42="",X42="",Y42="",AB42="",AC42="",AE42="",AF42=""),"Incompleta: faltan campos obligatorios",IF(AND(LEFT(H42,6)="PROPIA",I42=""),"Falta el nombre de la acción propia del área",IF(AND(LEFT(H42,4)="AC27",IFERROR(INDEX('Catalogos_PDN'!$T$5:$T$207,MATCH(H42,'Catalogos_PDN'!$U$5:$U$207,0)),"x")&lt;&gt;LEFT(E42,7)),"La acción no corresponde a la meta seleccionada",IF(OR(NOT(ISNUMBER(M42)),M42&lt;10000000,M42&gt;99999999),"Código UNSPSC inválido: registre 8 dígitos",IF(MOD(M42,10000)=0,"UNSPSC a nivel de segmento o familia: use clase o producto",IF(IFERROR(MATCH(P42,PN_MESES,0)&lt;MATCH(O42,PN_MESES,0),TRUE()),"El mes de ofertas es anterior al de inicio del proceso",IF(OR(NOT(ISNUMBER(Q42)),Q42&lt;=0),"Duración inválida",IF(OR(NOT(ISNUMBER(W42)),NOT(ISNUMBER(X42))),"Valor inválido: registre solo números",IF(OR(W42&lt;=0,X42&lt;=0),"Valor inválido: debe ser mayor que cero",IF(X42&gt;W42,"El valor de la vigencia 2027 supera el valor total",IF(AND(X42&lt;W42,Y42="No"),"El valor total supera el de 2027: requiere vigencias futuras",IF(AND(Y42="Sí",OR(Z42="",Z42="No aplica")),"Indique el estado de la solicitud de vigencias futuras",IF(IF(AND(S42="Mínima cuantía",ISNUMBER(PN_TOPE_MINIMA)),W42&gt;PN_TOPE_MINIMA,FALSE()),"El valor supera el tope de mínima cuantía 2027",IF(IF(AND(S42="Selección abreviada de menor cuantía",ISNUMBER(PN_TOPE_MENOR)),W42&gt;PN_TOPE_MENOR,FALSE()),"El valor supera el tope de menor cuantía 2027",IF(OR(ISERROR(SEARCH("@itc.edu.co",AE42)),SUMPRODUCT(--ISNUMBER(SEARCH({"á","é","í","ó","ú","ñ"," "},AE42)))&gt;0),"El correo del responsable no es institucional válido",IF(AND(AF42="Sí",AG42=""),"Indique el N.° de registro 2026 que continúa","OK")))))))))))))))))</f>
        <v/>
      </c>
      <c r="AK42" s="114">
        <f>IF(AJ42="OK",COUNTIF($AJ$7:AJ42,"OK"),"")</f>
        <v/>
      </c>
    </row>
    <row r="43">
      <c r="A43" s="110">
        <f>"PN27-"&amp;TEXT(ROW()-6,"000")</f>
        <v/>
      </c>
      <c r="B43" s="111" t="n"/>
      <c r="C43" s="110">
        <f>IF(B43="","",IFERROR(INDEX('Catalogos_PDN'!$R$5:$R$51,MATCH(B43,PN_AREAS,0)),""))</f>
        <v/>
      </c>
      <c r="D43" s="110">
        <f>IF(B43="","",IFERROR(INDEX('Catalogos_PDN'!$O$5:$O$51,MATCH(B43,PN_AREAS,0)),""))</f>
        <v/>
      </c>
      <c r="E43" s="111" t="n"/>
      <c r="F43" s="110">
        <f>IF(E43="","",IFERROR(INDEX('Catalogos_PDN'!$C$5:$C$49,MATCH(E43,PN_METAS,0)),""))</f>
        <v/>
      </c>
      <c r="G43" s="110">
        <f>IF(E43="","",IFERROR(INDEX('Catalogos_PDN'!$E$5:$E$49,MATCH(E43,PN_METAS,0)),""))</f>
        <v/>
      </c>
      <c r="H43" s="111" t="n"/>
      <c r="I43" s="111" t="n"/>
      <c r="J43" s="111" t="n"/>
      <c r="K43" s="111" t="n"/>
      <c r="L43" s="111" t="n"/>
      <c r="M43" s="112" t="n"/>
      <c r="N43" s="111" t="n"/>
      <c r="O43" s="111" t="n"/>
      <c r="P43" s="111" t="n"/>
      <c r="Q43" s="111" t="n"/>
      <c r="R43" s="111" t="n"/>
      <c r="S43" s="111" t="n"/>
      <c r="T43" s="111" t="n"/>
      <c r="U43" s="111" t="n"/>
      <c r="V43" s="111" t="n"/>
      <c r="W43" s="113" t="n"/>
      <c r="X43" s="113" t="n"/>
      <c r="Y43" s="111" t="n"/>
      <c r="Z43" s="111" t="n"/>
      <c r="AA43" s="111" t="n"/>
      <c r="AB43" s="111" t="n"/>
      <c r="AC43" s="111" t="n"/>
      <c r="AD43" s="111" t="n"/>
      <c r="AE43" s="111" t="n"/>
      <c r="AF43" s="111" t="n"/>
      <c r="AG43" s="111" t="n"/>
      <c r="AH43" s="111" t="n"/>
      <c r="AI43" s="111" t="n"/>
      <c r="AJ43" s="114">
        <f>IF(COUNTA(B43,E43,H43,I43,J43,K43,L43,M43,N43,O43,P43,Q43,R43,S43,T43,U43,V43,W43,X43,Y43,Z43,AA43,AB43,AC43,AD43,AE43,AF43,AG43,AH43,AI43)=0,"",IF(OR(B43="",E43="",H43="",J43="",K43="",L43="",M43="",O43="",P43="",Q43="",R43="",S43="",T43="",U43="",W43="",X43="",Y43="",AB43="",AC43="",AE43="",AF43=""),"Incompleta: faltan campos obligatorios",IF(AND(LEFT(H43,6)="PROPIA",I43=""),"Falta el nombre de la acción propia del área",IF(AND(LEFT(H43,4)="AC27",IFERROR(INDEX('Catalogos_PDN'!$T$5:$T$207,MATCH(H43,'Catalogos_PDN'!$U$5:$U$207,0)),"x")&lt;&gt;LEFT(E43,7)),"La acción no corresponde a la meta seleccionada",IF(OR(NOT(ISNUMBER(M43)),M43&lt;10000000,M43&gt;99999999),"Código UNSPSC inválido: registre 8 dígitos",IF(MOD(M43,10000)=0,"UNSPSC a nivel de segmento o familia: use clase o producto",IF(IFERROR(MATCH(P43,PN_MESES,0)&lt;MATCH(O43,PN_MESES,0),TRUE()),"El mes de ofertas es anterior al de inicio del proceso",IF(OR(NOT(ISNUMBER(Q43)),Q43&lt;=0),"Duración inválida",IF(OR(NOT(ISNUMBER(W43)),NOT(ISNUMBER(X43))),"Valor inválido: registre solo números",IF(OR(W43&lt;=0,X43&lt;=0),"Valor inválido: debe ser mayor que cero",IF(X43&gt;W43,"El valor de la vigencia 2027 supera el valor total",IF(AND(X43&lt;W43,Y43="No"),"El valor total supera el de 2027: requiere vigencias futuras",IF(AND(Y43="Sí",OR(Z43="",Z43="No aplica")),"Indique el estado de la solicitud de vigencias futuras",IF(IF(AND(S43="Mínima cuantía",ISNUMBER(PN_TOPE_MINIMA)),W43&gt;PN_TOPE_MINIMA,FALSE()),"El valor supera el tope de mínima cuantía 2027",IF(IF(AND(S43="Selección abreviada de menor cuantía",ISNUMBER(PN_TOPE_MENOR)),W43&gt;PN_TOPE_MENOR,FALSE()),"El valor supera el tope de menor cuantía 2027",IF(OR(ISERROR(SEARCH("@itc.edu.co",AE43)),SUMPRODUCT(--ISNUMBER(SEARCH({"á","é","í","ó","ú","ñ"," "},AE43)))&gt;0),"El correo del responsable no es institucional válido",IF(AND(AF43="Sí",AG43=""),"Indique el N.° de registro 2026 que continúa","OK")))))))))))))))))</f>
        <v/>
      </c>
      <c r="AK43" s="114">
        <f>IF(AJ43="OK",COUNTIF($AJ$7:AJ43,"OK"),"")</f>
        <v/>
      </c>
    </row>
    <row r="44">
      <c r="A44" s="110">
        <f>"PN27-"&amp;TEXT(ROW()-6,"000")</f>
        <v/>
      </c>
      <c r="B44" s="111" t="n"/>
      <c r="C44" s="110">
        <f>IF(B44="","",IFERROR(INDEX('Catalogos_PDN'!$R$5:$R$51,MATCH(B44,PN_AREAS,0)),""))</f>
        <v/>
      </c>
      <c r="D44" s="110">
        <f>IF(B44="","",IFERROR(INDEX('Catalogos_PDN'!$O$5:$O$51,MATCH(B44,PN_AREAS,0)),""))</f>
        <v/>
      </c>
      <c r="E44" s="111" t="n"/>
      <c r="F44" s="110">
        <f>IF(E44="","",IFERROR(INDEX('Catalogos_PDN'!$C$5:$C$49,MATCH(E44,PN_METAS,0)),""))</f>
        <v/>
      </c>
      <c r="G44" s="110">
        <f>IF(E44="","",IFERROR(INDEX('Catalogos_PDN'!$E$5:$E$49,MATCH(E44,PN_METAS,0)),""))</f>
        <v/>
      </c>
      <c r="H44" s="111" t="n"/>
      <c r="I44" s="111" t="n"/>
      <c r="J44" s="111" t="n"/>
      <c r="K44" s="111" t="n"/>
      <c r="L44" s="111" t="n"/>
      <c r="M44" s="112" t="n"/>
      <c r="N44" s="111" t="n"/>
      <c r="O44" s="111" t="n"/>
      <c r="P44" s="111" t="n"/>
      <c r="Q44" s="111" t="n"/>
      <c r="R44" s="111" t="n"/>
      <c r="S44" s="111" t="n"/>
      <c r="T44" s="111" t="n"/>
      <c r="U44" s="111" t="n"/>
      <c r="V44" s="111" t="n"/>
      <c r="W44" s="113" t="n"/>
      <c r="X44" s="113" t="n"/>
      <c r="Y44" s="111" t="n"/>
      <c r="Z44" s="111" t="n"/>
      <c r="AA44" s="111" t="n"/>
      <c r="AB44" s="111" t="n"/>
      <c r="AC44" s="111" t="n"/>
      <c r="AD44" s="111" t="n"/>
      <c r="AE44" s="111" t="n"/>
      <c r="AF44" s="111" t="n"/>
      <c r="AG44" s="111" t="n"/>
      <c r="AH44" s="111" t="n"/>
      <c r="AI44" s="111" t="n"/>
      <c r="AJ44" s="114">
        <f>IF(COUNTA(B44,E44,H44,I44,J44,K44,L44,M44,N44,O44,P44,Q44,R44,S44,T44,U44,V44,W44,X44,Y44,Z44,AA44,AB44,AC44,AD44,AE44,AF44,AG44,AH44,AI44)=0,"",IF(OR(B44="",E44="",H44="",J44="",K44="",L44="",M44="",O44="",P44="",Q44="",R44="",S44="",T44="",U44="",W44="",X44="",Y44="",AB44="",AC44="",AE44="",AF44=""),"Incompleta: faltan campos obligatorios",IF(AND(LEFT(H44,6)="PROPIA",I44=""),"Falta el nombre de la acción propia del área",IF(AND(LEFT(H44,4)="AC27",IFERROR(INDEX('Catalogos_PDN'!$T$5:$T$207,MATCH(H44,'Catalogos_PDN'!$U$5:$U$207,0)),"x")&lt;&gt;LEFT(E44,7)),"La acción no corresponde a la meta seleccionada",IF(OR(NOT(ISNUMBER(M44)),M44&lt;10000000,M44&gt;99999999),"Código UNSPSC inválido: registre 8 dígitos",IF(MOD(M44,10000)=0,"UNSPSC a nivel de segmento o familia: use clase o producto",IF(IFERROR(MATCH(P44,PN_MESES,0)&lt;MATCH(O44,PN_MESES,0),TRUE()),"El mes de ofertas es anterior al de inicio del proceso",IF(OR(NOT(ISNUMBER(Q44)),Q44&lt;=0),"Duración inválida",IF(OR(NOT(ISNUMBER(W44)),NOT(ISNUMBER(X44))),"Valor inválido: registre solo números",IF(OR(W44&lt;=0,X44&lt;=0),"Valor inválido: debe ser mayor que cero",IF(X44&gt;W44,"El valor de la vigencia 2027 supera el valor total",IF(AND(X44&lt;W44,Y44="No"),"El valor total supera el de 2027: requiere vigencias futuras",IF(AND(Y44="Sí",OR(Z44="",Z44="No aplica")),"Indique el estado de la solicitud de vigencias futuras",IF(IF(AND(S44="Mínima cuantía",ISNUMBER(PN_TOPE_MINIMA)),W44&gt;PN_TOPE_MINIMA,FALSE()),"El valor supera el tope de mínima cuantía 2027",IF(IF(AND(S44="Selección abreviada de menor cuantía",ISNUMBER(PN_TOPE_MENOR)),W44&gt;PN_TOPE_MENOR,FALSE()),"El valor supera el tope de menor cuantía 2027",IF(OR(ISERROR(SEARCH("@itc.edu.co",AE44)),SUMPRODUCT(--ISNUMBER(SEARCH({"á","é","í","ó","ú","ñ"," "},AE44)))&gt;0),"El correo del responsable no es institucional válido",IF(AND(AF44="Sí",AG44=""),"Indique el N.° de registro 2026 que continúa","OK")))))))))))))))))</f>
        <v/>
      </c>
      <c r="AK44" s="114">
        <f>IF(AJ44="OK",COUNTIF($AJ$7:AJ44,"OK"),"")</f>
        <v/>
      </c>
    </row>
    <row r="45">
      <c r="A45" s="110">
        <f>"PN27-"&amp;TEXT(ROW()-6,"000")</f>
        <v/>
      </c>
      <c r="B45" s="111" t="n"/>
      <c r="C45" s="110">
        <f>IF(B45="","",IFERROR(INDEX('Catalogos_PDN'!$R$5:$R$51,MATCH(B45,PN_AREAS,0)),""))</f>
        <v/>
      </c>
      <c r="D45" s="110">
        <f>IF(B45="","",IFERROR(INDEX('Catalogos_PDN'!$O$5:$O$51,MATCH(B45,PN_AREAS,0)),""))</f>
        <v/>
      </c>
      <c r="E45" s="111" t="n"/>
      <c r="F45" s="110">
        <f>IF(E45="","",IFERROR(INDEX('Catalogos_PDN'!$C$5:$C$49,MATCH(E45,PN_METAS,0)),""))</f>
        <v/>
      </c>
      <c r="G45" s="110">
        <f>IF(E45="","",IFERROR(INDEX('Catalogos_PDN'!$E$5:$E$49,MATCH(E45,PN_METAS,0)),""))</f>
        <v/>
      </c>
      <c r="H45" s="111" t="n"/>
      <c r="I45" s="111" t="n"/>
      <c r="J45" s="111" t="n"/>
      <c r="K45" s="111" t="n"/>
      <c r="L45" s="111" t="n"/>
      <c r="M45" s="112" t="n"/>
      <c r="N45" s="111" t="n"/>
      <c r="O45" s="111" t="n"/>
      <c r="P45" s="111" t="n"/>
      <c r="Q45" s="111" t="n"/>
      <c r="R45" s="111" t="n"/>
      <c r="S45" s="111" t="n"/>
      <c r="T45" s="111" t="n"/>
      <c r="U45" s="111" t="n"/>
      <c r="V45" s="111" t="n"/>
      <c r="W45" s="113" t="n"/>
      <c r="X45" s="113" t="n"/>
      <c r="Y45" s="111" t="n"/>
      <c r="Z45" s="111" t="n"/>
      <c r="AA45" s="111" t="n"/>
      <c r="AB45" s="111" t="n"/>
      <c r="AC45" s="111" t="n"/>
      <c r="AD45" s="111" t="n"/>
      <c r="AE45" s="111" t="n"/>
      <c r="AF45" s="111" t="n"/>
      <c r="AG45" s="111" t="n"/>
      <c r="AH45" s="111" t="n"/>
      <c r="AI45" s="111" t="n"/>
      <c r="AJ45" s="114">
        <f>IF(COUNTA(B45,E45,H45,I45,J45,K45,L45,M45,N45,O45,P45,Q45,R45,S45,T45,U45,V45,W45,X45,Y45,Z45,AA45,AB45,AC45,AD45,AE45,AF45,AG45,AH45,AI45)=0,"",IF(OR(B45="",E45="",H45="",J45="",K45="",L45="",M45="",O45="",P45="",Q45="",R45="",S45="",T45="",U45="",W45="",X45="",Y45="",AB45="",AC45="",AE45="",AF45=""),"Incompleta: faltan campos obligatorios",IF(AND(LEFT(H45,6)="PROPIA",I45=""),"Falta el nombre de la acción propia del área",IF(AND(LEFT(H45,4)="AC27",IFERROR(INDEX('Catalogos_PDN'!$T$5:$T$207,MATCH(H45,'Catalogos_PDN'!$U$5:$U$207,0)),"x")&lt;&gt;LEFT(E45,7)),"La acción no corresponde a la meta seleccionada",IF(OR(NOT(ISNUMBER(M45)),M45&lt;10000000,M45&gt;99999999),"Código UNSPSC inválido: registre 8 dígitos",IF(MOD(M45,10000)=0,"UNSPSC a nivel de segmento o familia: use clase o producto",IF(IFERROR(MATCH(P45,PN_MESES,0)&lt;MATCH(O45,PN_MESES,0),TRUE()),"El mes de ofertas es anterior al de inicio del proceso",IF(OR(NOT(ISNUMBER(Q45)),Q45&lt;=0),"Duración inválida",IF(OR(NOT(ISNUMBER(W45)),NOT(ISNUMBER(X45))),"Valor inválido: registre solo números",IF(OR(W45&lt;=0,X45&lt;=0),"Valor inválido: debe ser mayor que cero",IF(X45&gt;W45,"El valor de la vigencia 2027 supera el valor total",IF(AND(X45&lt;W45,Y45="No"),"El valor total supera el de 2027: requiere vigencias futuras",IF(AND(Y45="Sí",OR(Z45="",Z45="No aplica")),"Indique el estado de la solicitud de vigencias futuras",IF(IF(AND(S45="Mínima cuantía",ISNUMBER(PN_TOPE_MINIMA)),W45&gt;PN_TOPE_MINIMA,FALSE()),"El valor supera el tope de mínima cuantía 2027",IF(IF(AND(S45="Selección abreviada de menor cuantía",ISNUMBER(PN_TOPE_MENOR)),W45&gt;PN_TOPE_MENOR,FALSE()),"El valor supera el tope de menor cuantía 2027",IF(OR(ISERROR(SEARCH("@itc.edu.co",AE45)),SUMPRODUCT(--ISNUMBER(SEARCH({"á","é","í","ó","ú","ñ"," "},AE45)))&gt;0),"El correo del responsable no es institucional válido",IF(AND(AF45="Sí",AG45=""),"Indique el N.° de registro 2026 que continúa","OK")))))))))))))))))</f>
        <v/>
      </c>
      <c r="AK45" s="114">
        <f>IF(AJ45="OK",COUNTIF($AJ$7:AJ45,"OK"),"")</f>
        <v/>
      </c>
    </row>
    <row r="46">
      <c r="A46" s="110">
        <f>"PN27-"&amp;TEXT(ROW()-6,"000")</f>
        <v/>
      </c>
      <c r="B46" s="111" t="n"/>
      <c r="C46" s="110">
        <f>IF(B46="","",IFERROR(INDEX('Catalogos_PDN'!$R$5:$R$51,MATCH(B46,PN_AREAS,0)),""))</f>
        <v/>
      </c>
      <c r="D46" s="110">
        <f>IF(B46="","",IFERROR(INDEX('Catalogos_PDN'!$O$5:$O$51,MATCH(B46,PN_AREAS,0)),""))</f>
        <v/>
      </c>
      <c r="E46" s="111" t="n"/>
      <c r="F46" s="110">
        <f>IF(E46="","",IFERROR(INDEX('Catalogos_PDN'!$C$5:$C$49,MATCH(E46,PN_METAS,0)),""))</f>
        <v/>
      </c>
      <c r="G46" s="110">
        <f>IF(E46="","",IFERROR(INDEX('Catalogos_PDN'!$E$5:$E$49,MATCH(E46,PN_METAS,0)),""))</f>
        <v/>
      </c>
      <c r="H46" s="111" t="n"/>
      <c r="I46" s="111" t="n"/>
      <c r="J46" s="111" t="n"/>
      <c r="K46" s="111" t="n"/>
      <c r="L46" s="111" t="n"/>
      <c r="M46" s="112" t="n"/>
      <c r="N46" s="111" t="n"/>
      <c r="O46" s="111" t="n"/>
      <c r="P46" s="111" t="n"/>
      <c r="Q46" s="111" t="n"/>
      <c r="R46" s="111" t="n"/>
      <c r="S46" s="111" t="n"/>
      <c r="T46" s="111" t="n"/>
      <c r="U46" s="111" t="n"/>
      <c r="V46" s="111" t="n"/>
      <c r="W46" s="113" t="n"/>
      <c r="X46" s="113" t="n"/>
      <c r="Y46" s="111" t="n"/>
      <c r="Z46" s="111" t="n"/>
      <c r="AA46" s="111" t="n"/>
      <c r="AB46" s="111" t="n"/>
      <c r="AC46" s="111" t="n"/>
      <c r="AD46" s="111" t="n"/>
      <c r="AE46" s="111" t="n"/>
      <c r="AF46" s="111" t="n"/>
      <c r="AG46" s="111" t="n"/>
      <c r="AH46" s="111" t="n"/>
      <c r="AI46" s="111" t="n"/>
      <c r="AJ46" s="114">
        <f>IF(COUNTA(B46,E46,H46,I46,J46,K46,L46,M46,N46,O46,P46,Q46,R46,S46,T46,U46,V46,W46,X46,Y46,Z46,AA46,AB46,AC46,AD46,AE46,AF46,AG46,AH46,AI46)=0,"",IF(OR(B46="",E46="",H46="",J46="",K46="",L46="",M46="",O46="",P46="",Q46="",R46="",S46="",T46="",U46="",W46="",X46="",Y46="",AB46="",AC46="",AE46="",AF46=""),"Incompleta: faltan campos obligatorios",IF(AND(LEFT(H46,6)="PROPIA",I46=""),"Falta el nombre de la acción propia del área",IF(AND(LEFT(H46,4)="AC27",IFERROR(INDEX('Catalogos_PDN'!$T$5:$T$207,MATCH(H46,'Catalogos_PDN'!$U$5:$U$207,0)),"x")&lt;&gt;LEFT(E46,7)),"La acción no corresponde a la meta seleccionada",IF(OR(NOT(ISNUMBER(M46)),M46&lt;10000000,M46&gt;99999999),"Código UNSPSC inválido: registre 8 dígitos",IF(MOD(M46,10000)=0,"UNSPSC a nivel de segmento o familia: use clase o producto",IF(IFERROR(MATCH(P46,PN_MESES,0)&lt;MATCH(O46,PN_MESES,0),TRUE()),"El mes de ofertas es anterior al de inicio del proceso",IF(OR(NOT(ISNUMBER(Q46)),Q46&lt;=0),"Duración inválida",IF(OR(NOT(ISNUMBER(W46)),NOT(ISNUMBER(X46))),"Valor inválido: registre solo números",IF(OR(W46&lt;=0,X46&lt;=0),"Valor inválido: debe ser mayor que cero",IF(X46&gt;W46,"El valor de la vigencia 2027 supera el valor total",IF(AND(X46&lt;W46,Y46="No"),"El valor total supera el de 2027: requiere vigencias futuras",IF(AND(Y46="Sí",OR(Z46="",Z46="No aplica")),"Indique el estado de la solicitud de vigencias futuras",IF(IF(AND(S46="Mínima cuantía",ISNUMBER(PN_TOPE_MINIMA)),W46&gt;PN_TOPE_MINIMA,FALSE()),"El valor supera el tope de mínima cuantía 2027",IF(IF(AND(S46="Selección abreviada de menor cuantía",ISNUMBER(PN_TOPE_MENOR)),W46&gt;PN_TOPE_MENOR,FALSE()),"El valor supera el tope de menor cuantía 2027",IF(OR(ISERROR(SEARCH("@itc.edu.co",AE46)),SUMPRODUCT(--ISNUMBER(SEARCH({"á","é","í","ó","ú","ñ"," "},AE46)))&gt;0),"El correo del responsable no es institucional válido",IF(AND(AF46="Sí",AG46=""),"Indique el N.° de registro 2026 que continúa","OK")))))))))))))))))</f>
        <v/>
      </c>
      <c r="AK46" s="114">
        <f>IF(AJ46="OK",COUNTIF($AJ$7:AJ46,"OK"),"")</f>
        <v/>
      </c>
    </row>
    <row r="47">
      <c r="A47" s="110">
        <f>"PN27-"&amp;TEXT(ROW()-6,"000")</f>
        <v/>
      </c>
      <c r="B47" s="111" t="n"/>
      <c r="C47" s="110">
        <f>IF(B47="","",IFERROR(INDEX('Catalogos_PDN'!$R$5:$R$51,MATCH(B47,PN_AREAS,0)),""))</f>
        <v/>
      </c>
      <c r="D47" s="110">
        <f>IF(B47="","",IFERROR(INDEX('Catalogos_PDN'!$O$5:$O$51,MATCH(B47,PN_AREAS,0)),""))</f>
        <v/>
      </c>
      <c r="E47" s="111" t="n"/>
      <c r="F47" s="110">
        <f>IF(E47="","",IFERROR(INDEX('Catalogos_PDN'!$C$5:$C$49,MATCH(E47,PN_METAS,0)),""))</f>
        <v/>
      </c>
      <c r="G47" s="110">
        <f>IF(E47="","",IFERROR(INDEX('Catalogos_PDN'!$E$5:$E$49,MATCH(E47,PN_METAS,0)),""))</f>
        <v/>
      </c>
      <c r="H47" s="111" t="n"/>
      <c r="I47" s="111" t="n"/>
      <c r="J47" s="111" t="n"/>
      <c r="K47" s="111" t="n"/>
      <c r="L47" s="111" t="n"/>
      <c r="M47" s="112" t="n"/>
      <c r="N47" s="111" t="n"/>
      <c r="O47" s="111" t="n"/>
      <c r="P47" s="111" t="n"/>
      <c r="Q47" s="111" t="n"/>
      <c r="R47" s="111" t="n"/>
      <c r="S47" s="111" t="n"/>
      <c r="T47" s="111" t="n"/>
      <c r="U47" s="111" t="n"/>
      <c r="V47" s="111" t="n"/>
      <c r="W47" s="113" t="n"/>
      <c r="X47" s="113" t="n"/>
      <c r="Y47" s="111" t="n"/>
      <c r="Z47" s="111" t="n"/>
      <c r="AA47" s="111" t="n"/>
      <c r="AB47" s="111" t="n"/>
      <c r="AC47" s="111" t="n"/>
      <c r="AD47" s="111" t="n"/>
      <c r="AE47" s="111" t="n"/>
      <c r="AF47" s="111" t="n"/>
      <c r="AG47" s="111" t="n"/>
      <c r="AH47" s="111" t="n"/>
      <c r="AI47" s="111" t="n"/>
      <c r="AJ47" s="114">
        <f>IF(COUNTA(B47,E47,H47,I47,J47,K47,L47,M47,N47,O47,P47,Q47,R47,S47,T47,U47,V47,W47,X47,Y47,Z47,AA47,AB47,AC47,AD47,AE47,AF47,AG47,AH47,AI47)=0,"",IF(OR(B47="",E47="",H47="",J47="",K47="",L47="",M47="",O47="",P47="",Q47="",R47="",S47="",T47="",U47="",W47="",X47="",Y47="",AB47="",AC47="",AE47="",AF47=""),"Incompleta: faltan campos obligatorios",IF(AND(LEFT(H47,6)="PROPIA",I47=""),"Falta el nombre de la acción propia del área",IF(AND(LEFT(H47,4)="AC27",IFERROR(INDEX('Catalogos_PDN'!$T$5:$T$207,MATCH(H47,'Catalogos_PDN'!$U$5:$U$207,0)),"x")&lt;&gt;LEFT(E47,7)),"La acción no corresponde a la meta seleccionada",IF(OR(NOT(ISNUMBER(M47)),M47&lt;10000000,M47&gt;99999999),"Código UNSPSC inválido: registre 8 dígitos",IF(MOD(M47,10000)=0,"UNSPSC a nivel de segmento o familia: use clase o producto",IF(IFERROR(MATCH(P47,PN_MESES,0)&lt;MATCH(O47,PN_MESES,0),TRUE()),"El mes de ofertas es anterior al de inicio del proceso",IF(OR(NOT(ISNUMBER(Q47)),Q47&lt;=0),"Duración inválida",IF(OR(NOT(ISNUMBER(W47)),NOT(ISNUMBER(X47))),"Valor inválido: registre solo números",IF(OR(W47&lt;=0,X47&lt;=0),"Valor inválido: debe ser mayor que cero",IF(X47&gt;W47,"El valor de la vigencia 2027 supera el valor total",IF(AND(X47&lt;W47,Y47="No"),"El valor total supera el de 2027: requiere vigencias futuras",IF(AND(Y47="Sí",OR(Z47="",Z47="No aplica")),"Indique el estado de la solicitud de vigencias futuras",IF(IF(AND(S47="Mínima cuantía",ISNUMBER(PN_TOPE_MINIMA)),W47&gt;PN_TOPE_MINIMA,FALSE()),"El valor supera el tope de mínima cuantía 2027",IF(IF(AND(S47="Selección abreviada de menor cuantía",ISNUMBER(PN_TOPE_MENOR)),W47&gt;PN_TOPE_MENOR,FALSE()),"El valor supera el tope de menor cuantía 2027",IF(OR(ISERROR(SEARCH("@itc.edu.co",AE47)),SUMPRODUCT(--ISNUMBER(SEARCH({"á","é","í","ó","ú","ñ"," "},AE47)))&gt;0),"El correo del responsable no es institucional válido",IF(AND(AF47="Sí",AG47=""),"Indique el N.° de registro 2026 que continúa","OK")))))))))))))))))</f>
        <v/>
      </c>
      <c r="AK47" s="114">
        <f>IF(AJ47="OK",COUNTIF($AJ$7:AJ47,"OK"),"")</f>
        <v/>
      </c>
    </row>
    <row r="48">
      <c r="A48" s="110">
        <f>"PN27-"&amp;TEXT(ROW()-6,"000")</f>
        <v/>
      </c>
      <c r="B48" s="111" t="n"/>
      <c r="C48" s="110">
        <f>IF(B48="","",IFERROR(INDEX('Catalogos_PDN'!$R$5:$R$51,MATCH(B48,PN_AREAS,0)),""))</f>
        <v/>
      </c>
      <c r="D48" s="110">
        <f>IF(B48="","",IFERROR(INDEX('Catalogos_PDN'!$O$5:$O$51,MATCH(B48,PN_AREAS,0)),""))</f>
        <v/>
      </c>
      <c r="E48" s="111" t="n"/>
      <c r="F48" s="110">
        <f>IF(E48="","",IFERROR(INDEX('Catalogos_PDN'!$C$5:$C$49,MATCH(E48,PN_METAS,0)),""))</f>
        <v/>
      </c>
      <c r="G48" s="110">
        <f>IF(E48="","",IFERROR(INDEX('Catalogos_PDN'!$E$5:$E$49,MATCH(E48,PN_METAS,0)),""))</f>
        <v/>
      </c>
      <c r="H48" s="111" t="n"/>
      <c r="I48" s="111" t="n"/>
      <c r="J48" s="111" t="n"/>
      <c r="K48" s="111" t="n"/>
      <c r="L48" s="111" t="n"/>
      <c r="M48" s="112" t="n"/>
      <c r="N48" s="111" t="n"/>
      <c r="O48" s="111" t="n"/>
      <c r="P48" s="111" t="n"/>
      <c r="Q48" s="111" t="n"/>
      <c r="R48" s="111" t="n"/>
      <c r="S48" s="111" t="n"/>
      <c r="T48" s="111" t="n"/>
      <c r="U48" s="111" t="n"/>
      <c r="V48" s="111" t="n"/>
      <c r="W48" s="113" t="n"/>
      <c r="X48" s="113" t="n"/>
      <c r="Y48" s="111" t="n"/>
      <c r="Z48" s="111" t="n"/>
      <c r="AA48" s="111" t="n"/>
      <c r="AB48" s="111" t="n"/>
      <c r="AC48" s="111" t="n"/>
      <c r="AD48" s="111" t="n"/>
      <c r="AE48" s="111" t="n"/>
      <c r="AF48" s="111" t="n"/>
      <c r="AG48" s="111" t="n"/>
      <c r="AH48" s="111" t="n"/>
      <c r="AI48" s="111" t="n"/>
      <c r="AJ48" s="114">
        <f>IF(COUNTA(B48,E48,H48,I48,J48,K48,L48,M48,N48,O48,P48,Q48,R48,S48,T48,U48,V48,W48,X48,Y48,Z48,AA48,AB48,AC48,AD48,AE48,AF48,AG48,AH48,AI48)=0,"",IF(OR(B48="",E48="",H48="",J48="",K48="",L48="",M48="",O48="",P48="",Q48="",R48="",S48="",T48="",U48="",W48="",X48="",Y48="",AB48="",AC48="",AE48="",AF48=""),"Incompleta: faltan campos obligatorios",IF(AND(LEFT(H48,6)="PROPIA",I48=""),"Falta el nombre de la acción propia del área",IF(AND(LEFT(H48,4)="AC27",IFERROR(INDEX('Catalogos_PDN'!$T$5:$T$207,MATCH(H48,'Catalogos_PDN'!$U$5:$U$207,0)),"x")&lt;&gt;LEFT(E48,7)),"La acción no corresponde a la meta seleccionada",IF(OR(NOT(ISNUMBER(M48)),M48&lt;10000000,M48&gt;99999999),"Código UNSPSC inválido: registre 8 dígitos",IF(MOD(M48,10000)=0,"UNSPSC a nivel de segmento o familia: use clase o producto",IF(IFERROR(MATCH(P48,PN_MESES,0)&lt;MATCH(O48,PN_MESES,0),TRUE()),"El mes de ofertas es anterior al de inicio del proceso",IF(OR(NOT(ISNUMBER(Q48)),Q48&lt;=0),"Duración inválida",IF(OR(NOT(ISNUMBER(W48)),NOT(ISNUMBER(X48))),"Valor inválido: registre solo números",IF(OR(W48&lt;=0,X48&lt;=0),"Valor inválido: debe ser mayor que cero",IF(X48&gt;W48,"El valor de la vigencia 2027 supera el valor total",IF(AND(X48&lt;W48,Y48="No"),"El valor total supera el de 2027: requiere vigencias futuras",IF(AND(Y48="Sí",OR(Z48="",Z48="No aplica")),"Indique el estado de la solicitud de vigencias futuras",IF(IF(AND(S48="Mínima cuantía",ISNUMBER(PN_TOPE_MINIMA)),W48&gt;PN_TOPE_MINIMA,FALSE()),"El valor supera el tope de mínima cuantía 2027",IF(IF(AND(S48="Selección abreviada de menor cuantía",ISNUMBER(PN_TOPE_MENOR)),W48&gt;PN_TOPE_MENOR,FALSE()),"El valor supera el tope de menor cuantía 2027",IF(OR(ISERROR(SEARCH("@itc.edu.co",AE48)),SUMPRODUCT(--ISNUMBER(SEARCH({"á","é","í","ó","ú","ñ"," "},AE48)))&gt;0),"El correo del responsable no es institucional válido",IF(AND(AF48="Sí",AG48=""),"Indique el N.° de registro 2026 que continúa","OK")))))))))))))))))</f>
        <v/>
      </c>
      <c r="AK48" s="114">
        <f>IF(AJ48="OK",COUNTIF($AJ$7:AJ48,"OK"),"")</f>
        <v/>
      </c>
    </row>
    <row r="49">
      <c r="A49" s="110">
        <f>"PN27-"&amp;TEXT(ROW()-6,"000")</f>
        <v/>
      </c>
      <c r="B49" s="111" t="n"/>
      <c r="C49" s="110">
        <f>IF(B49="","",IFERROR(INDEX('Catalogos_PDN'!$R$5:$R$51,MATCH(B49,PN_AREAS,0)),""))</f>
        <v/>
      </c>
      <c r="D49" s="110">
        <f>IF(B49="","",IFERROR(INDEX('Catalogos_PDN'!$O$5:$O$51,MATCH(B49,PN_AREAS,0)),""))</f>
        <v/>
      </c>
      <c r="E49" s="111" t="n"/>
      <c r="F49" s="110">
        <f>IF(E49="","",IFERROR(INDEX('Catalogos_PDN'!$C$5:$C$49,MATCH(E49,PN_METAS,0)),""))</f>
        <v/>
      </c>
      <c r="G49" s="110">
        <f>IF(E49="","",IFERROR(INDEX('Catalogos_PDN'!$E$5:$E$49,MATCH(E49,PN_METAS,0)),""))</f>
        <v/>
      </c>
      <c r="H49" s="111" t="n"/>
      <c r="I49" s="111" t="n"/>
      <c r="J49" s="111" t="n"/>
      <c r="K49" s="111" t="n"/>
      <c r="L49" s="111" t="n"/>
      <c r="M49" s="112" t="n"/>
      <c r="N49" s="111" t="n"/>
      <c r="O49" s="111" t="n"/>
      <c r="P49" s="111" t="n"/>
      <c r="Q49" s="111" t="n"/>
      <c r="R49" s="111" t="n"/>
      <c r="S49" s="111" t="n"/>
      <c r="T49" s="111" t="n"/>
      <c r="U49" s="111" t="n"/>
      <c r="V49" s="111" t="n"/>
      <c r="W49" s="113" t="n"/>
      <c r="X49" s="113" t="n"/>
      <c r="Y49" s="111" t="n"/>
      <c r="Z49" s="111" t="n"/>
      <c r="AA49" s="111" t="n"/>
      <c r="AB49" s="111" t="n"/>
      <c r="AC49" s="111" t="n"/>
      <c r="AD49" s="111" t="n"/>
      <c r="AE49" s="111" t="n"/>
      <c r="AF49" s="111" t="n"/>
      <c r="AG49" s="111" t="n"/>
      <c r="AH49" s="111" t="n"/>
      <c r="AI49" s="111" t="n"/>
      <c r="AJ49" s="114">
        <f>IF(COUNTA(B49,E49,H49,I49,J49,K49,L49,M49,N49,O49,P49,Q49,R49,S49,T49,U49,V49,W49,X49,Y49,Z49,AA49,AB49,AC49,AD49,AE49,AF49,AG49,AH49,AI49)=0,"",IF(OR(B49="",E49="",H49="",J49="",K49="",L49="",M49="",O49="",P49="",Q49="",R49="",S49="",T49="",U49="",W49="",X49="",Y49="",AB49="",AC49="",AE49="",AF49=""),"Incompleta: faltan campos obligatorios",IF(AND(LEFT(H49,6)="PROPIA",I49=""),"Falta el nombre de la acción propia del área",IF(AND(LEFT(H49,4)="AC27",IFERROR(INDEX('Catalogos_PDN'!$T$5:$T$207,MATCH(H49,'Catalogos_PDN'!$U$5:$U$207,0)),"x")&lt;&gt;LEFT(E49,7)),"La acción no corresponde a la meta seleccionada",IF(OR(NOT(ISNUMBER(M49)),M49&lt;10000000,M49&gt;99999999),"Código UNSPSC inválido: registre 8 dígitos",IF(MOD(M49,10000)=0,"UNSPSC a nivel de segmento o familia: use clase o producto",IF(IFERROR(MATCH(P49,PN_MESES,0)&lt;MATCH(O49,PN_MESES,0),TRUE()),"El mes de ofertas es anterior al de inicio del proceso",IF(OR(NOT(ISNUMBER(Q49)),Q49&lt;=0),"Duración inválida",IF(OR(NOT(ISNUMBER(W49)),NOT(ISNUMBER(X49))),"Valor inválido: registre solo números",IF(OR(W49&lt;=0,X49&lt;=0),"Valor inválido: debe ser mayor que cero",IF(X49&gt;W49,"El valor de la vigencia 2027 supera el valor total",IF(AND(X49&lt;W49,Y49="No"),"El valor total supera el de 2027: requiere vigencias futuras",IF(AND(Y49="Sí",OR(Z49="",Z49="No aplica")),"Indique el estado de la solicitud de vigencias futuras",IF(IF(AND(S49="Mínima cuantía",ISNUMBER(PN_TOPE_MINIMA)),W49&gt;PN_TOPE_MINIMA,FALSE()),"El valor supera el tope de mínima cuantía 2027",IF(IF(AND(S49="Selección abreviada de menor cuantía",ISNUMBER(PN_TOPE_MENOR)),W49&gt;PN_TOPE_MENOR,FALSE()),"El valor supera el tope de menor cuantía 2027",IF(OR(ISERROR(SEARCH("@itc.edu.co",AE49)),SUMPRODUCT(--ISNUMBER(SEARCH({"á","é","í","ó","ú","ñ"," "},AE49)))&gt;0),"El correo del responsable no es institucional válido",IF(AND(AF49="Sí",AG49=""),"Indique el N.° de registro 2026 que continúa","OK")))))))))))))))))</f>
        <v/>
      </c>
      <c r="AK49" s="114">
        <f>IF(AJ49="OK",COUNTIF($AJ$7:AJ49,"OK"),"")</f>
        <v/>
      </c>
    </row>
    <row r="50">
      <c r="A50" s="110">
        <f>"PN27-"&amp;TEXT(ROW()-6,"000")</f>
        <v/>
      </c>
      <c r="B50" s="111" t="n"/>
      <c r="C50" s="110">
        <f>IF(B50="","",IFERROR(INDEX('Catalogos_PDN'!$R$5:$R$51,MATCH(B50,PN_AREAS,0)),""))</f>
        <v/>
      </c>
      <c r="D50" s="110">
        <f>IF(B50="","",IFERROR(INDEX('Catalogos_PDN'!$O$5:$O$51,MATCH(B50,PN_AREAS,0)),""))</f>
        <v/>
      </c>
      <c r="E50" s="111" t="n"/>
      <c r="F50" s="110">
        <f>IF(E50="","",IFERROR(INDEX('Catalogos_PDN'!$C$5:$C$49,MATCH(E50,PN_METAS,0)),""))</f>
        <v/>
      </c>
      <c r="G50" s="110">
        <f>IF(E50="","",IFERROR(INDEX('Catalogos_PDN'!$E$5:$E$49,MATCH(E50,PN_METAS,0)),""))</f>
        <v/>
      </c>
      <c r="H50" s="111" t="n"/>
      <c r="I50" s="111" t="n"/>
      <c r="J50" s="111" t="n"/>
      <c r="K50" s="111" t="n"/>
      <c r="L50" s="111" t="n"/>
      <c r="M50" s="112" t="n"/>
      <c r="N50" s="111" t="n"/>
      <c r="O50" s="111" t="n"/>
      <c r="P50" s="111" t="n"/>
      <c r="Q50" s="111" t="n"/>
      <c r="R50" s="111" t="n"/>
      <c r="S50" s="111" t="n"/>
      <c r="T50" s="111" t="n"/>
      <c r="U50" s="111" t="n"/>
      <c r="V50" s="111" t="n"/>
      <c r="W50" s="113" t="n"/>
      <c r="X50" s="113" t="n"/>
      <c r="Y50" s="111" t="n"/>
      <c r="Z50" s="111" t="n"/>
      <c r="AA50" s="111" t="n"/>
      <c r="AB50" s="111" t="n"/>
      <c r="AC50" s="111" t="n"/>
      <c r="AD50" s="111" t="n"/>
      <c r="AE50" s="111" t="n"/>
      <c r="AF50" s="111" t="n"/>
      <c r="AG50" s="111" t="n"/>
      <c r="AH50" s="111" t="n"/>
      <c r="AI50" s="111" t="n"/>
      <c r="AJ50" s="114">
        <f>IF(COUNTA(B50,E50,H50,I50,J50,K50,L50,M50,N50,O50,P50,Q50,R50,S50,T50,U50,V50,W50,X50,Y50,Z50,AA50,AB50,AC50,AD50,AE50,AF50,AG50,AH50,AI50)=0,"",IF(OR(B50="",E50="",H50="",J50="",K50="",L50="",M50="",O50="",P50="",Q50="",R50="",S50="",T50="",U50="",W50="",X50="",Y50="",AB50="",AC50="",AE50="",AF50=""),"Incompleta: faltan campos obligatorios",IF(AND(LEFT(H50,6)="PROPIA",I50=""),"Falta el nombre de la acción propia del área",IF(AND(LEFT(H50,4)="AC27",IFERROR(INDEX('Catalogos_PDN'!$T$5:$T$207,MATCH(H50,'Catalogos_PDN'!$U$5:$U$207,0)),"x")&lt;&gt;LEFT(E50,7)),"La acción no corresponde a la meta seleccionada",IF(OR(NOT(ISNUMBER(M50)),M50&lt;10000000,M50&gt;99999999),"Código UNSPSC inválido: registre 8 dígitos",IF(MOD(M50,10000)=0,"UNSPSC a nivel de segmento o familia: use clase o producto",IF(IFERROR(MATCH(P50,PN_MESES,0)&lt;MATCH(O50,PN_MESES,0),TRUE()),"El mes de ofertas es anterior al de inicio del proceso",IF(OR(NOT(ISNUMBER(Q50)),Q50&lt;=0),"Duración inválida",IF(OR(NOT(ISNUMBER(W50)),NOT(ISNUMBER(X50))),"Valor inválido: registre solo números",IF(OR(W50&lt;=0,X50&lt;=0),"Valor inválido: debe ser mayor que cero",IF(X50&gt;W50,"El valor de la vigencia 2027 supera el valor total",IF(AND(X50&lt;W50,Y50="No"),"El valor total supera el de 2027: requiere vigencias futuras",IF(AND(Y50="Sí",OR(Z50="",Z50="No aplica")),"Indique el estado de la solicitud de vigencias futuras",IF(IF(AND(S50="Mínima cuantía",ISNUMBER(PN_TOPE_MINIMA)),W50&gt;PN_TOPE_MINIMA,FALSE()),"El valor supera el tope de mínima cuantía 2027",IF(IF(AND(S50="Selección abreviada de menor cuantía",ISNUMBER(PN_TOPE_MENOR)),W50&gt;PN_TOPE_MENOR,FALSE()),"El valor supera el tope de menor cuantía 2027",IF(OR(ISERROR(SEARCH("@itc.edu.co",AE50)),SUMPRODUCT(--ISNUMBER(SEARCH({"á","é","í","ó","ú","ñ"," "},AE50)))&gt;0),"El correo del responsable no es institucional válido",IF(AND(AF50="Sí",AG50=""),"Indique el N.° de registro 2026 que continúa","OK")))))))))))))))))</f>
        <v/>
      </c>
      <c r="AK50" s="114">
        <f>IF(AJ50="OK",COUNTIF($AJ$7:AJ50,"OK"),"")</f>
        <v/>
      </c>
    </row>
    <row r="51">
      <c r="A51" s="110">
        <f>"PN27-"&amp;TEXT(ROW()-6,"000")</f>
        <v/>
      </c>
      <c r="B51" s="111" t="n"/>
      <c r="C51" s="110">
        <f>IF(B51="","",IFERROR(INDEX('Catalogos_PDN'!$R$5:$R$51,MATCH(B51,PN_AREAS,0)),""))</f>
        <v/>
      </c>
      <c r="D51" s="110">
        <f>IF(B51="","",IFERROR(INDEX('Catalogos_PDN'!$O$5:$O$51,MATCH(B51,PN_AREAS,0)),""))</f>
        <v/>
      </c>
      <c r="E51" s="111" t="n"/>
      <c r="F51" s="110">
        <f>IF(E51="","",IFERROR(INDEX('Catalogos_PDN'!$C$5:$C$49,MATCH(E51,PN_METAS,0)),""))</f>
        <v/>
      </c>
      <c r="G51" s="110">
        <f>IF(E51="","",IFERROR(INDEX('Catalogos_PDN'!$E$5:$E$49,MATCH(E51,PN_METAS,0)),""))</f>
        <v/>
      </c>
      <c r="H51" s="111" t="n"/>
      <c r="I51" s="111" t="n"/>
      <c r="J51" s="111" t="n"/>
      <c r="K51" s="111" t="n"/>
      <c r="L51" s="111" t="n"/>
      <c r="M51" s="112" t="n"/>
      <c r="N51" s="111" t="n"/>
      <c r="O51" s="111" t="n"/>
      <c r="P51" s="111" t="n"/>
      <c r="Q51" s="111" t="n"/>
      <c r="R51" s="111" t="n"/>
      <c r="S51" s="111" t="n"/>
      <c r="T51" s="111" t="n"/>
      <c r="U51" s="111" t="n"/>
      <c r="V51" s="111" t="n"/>
      <c r="W51" s="113" t="n"/>
      <c r="X51" s="113" t="n"/>
      <c r="Y51" s="111" t="n"/>
      <c r="Z51" s="111" t="n"/>
      <c r="AA51" s="111" t="n"/>
      <c r="AB51" s="111" t="n"/>
      <c r="AC51" s="111" t="n"/>
      <c r="AD51" s="111" t="n"/>
      <c r="AE51" s="111" t="n"/>
      <c r="AF51" s="111" t="n"/>
      <c r="AG51" s="111" t="n"/>
      <c r="AH51" s="111" t="n"/>
      <c r="AI51" s="111" t="n"/>
      <c r="AJ51" s="114">
        <f>IF(COUNTA(B51,E51,H51,I51,J51,K51,L51,M51,N51,O51,P51,Q51,R51,S51,T51,U51,V51,W51,X51,Y51,Z51,AA51,AB51,AC51,AD51,AE51,AF51,AG51,AH51,AI51)=0,"",IF(OR(B51="",E51="",H51="",J51="",K51="",L51="",M51="",O51="",P51="",Q51="",R51="",S51="",T51="",U51="",W51="",X51="",Y51="",AB51="",AC51="",AE51="",AF51=""),"Incompleta: faltan campos obligatorios",IF(AND(LEFT(H51,6)="PROPIA",I51=""),"Falta el nombre de la acción propia del área",IF(AND(LEFT(H51,4)="AC27",IFERROR(INDEX('Catalogos_PDN'!$T$5:$T$207,MATCH(H51,'Catalogos_PDN'!$U$5:$U$207,0)),"x")&lt;&gt;LEFT(E51,7)),"La acción no corresponde a la meta seleccionada",IF(OR(NOT(ISNUMBER(M51)),M51&lt;10000000,M51&gt;99999999),"Código UNSPSC inválido: registre 8 dígitos",IF(MOD(M51,10000)=0,"UNSPSC a nivel de segmento o familia: use clase o producto",IF(IFERROR(MATCH(P51,PN_MESES,0)&lt;MATCH(O51,PN_MESES,0),TRUE()),"El mes de ofertas es anterior al de inicio del proceso",IF(OR(NOT(ISNUMBER(Q51)),Q51&lt;=0),"Duración inválida",IF(OR(NOT(ISNUMBER(W51)),NOT(ISNUMBER(X51))),"Valor inválido: registre solo números",IF(OR(W51&lt;=0,X51&lt;=0),"Valor inválido: debe ser mayor que cero",IF(X51&gt;W51,"El valor de la vigencia 2027 supera el valor total",IF(AND(X51&lt;W51,Y51="No"),"El valor total supera el de 2027: requiere vigencias futuras",IF(AND(Y51="Sí",OR(Z51="",Z51="No aplica")),"Indique el estado de la solicitud de vigencias futuras",IF(IF(AND(S51="Mínima cuantía",ISNUMBER(PN_TOPE_MINIMA)),W51&gt;PN_TOPE_MINIMA,FALSE()),"El valor supera el tope de mínima cuantía 2027",IF(IF(AND(S51="Selección abreviada de menor cuantía",ISNUMBER(PN_TOPE_MENOR)),W51&gt;PN_TOPE_MENOR,FALSE()),"El valor supera el tope de menor cuantía 2027",IF(OR(ISERROR(SEARCH("@itc.edu.co",AE51)),SUMPRODUCT(--ISNUMBER(SEARCH({"á","é","í","ó","ú","ñ"," "},AE51)))&gt;0),"El correo del responsable no es institucional válido",IF(AND(AF51="Sí",AG51=""),"Indique el N.° de registro 2026 que continúa","OK")))))))))))))))))</f>
        <v/>
      </c>
      <c r="AK51" s="114">
        <f>IF(AJ51="OK",COUNTIF($AJ$7:AJ51,"OK"),"")</f>
        <v/>
      </c>
    </row>
    <row r="52">
      <c r="A52" s="110">
        <f>"PN27-"&amp;TEXT(ROW()-6,"000")</f>
        <v/>
      </c>
      <c r="B52" s="111" t="n"/>
      <c r="C52" s="110">
        <f>IF(B52="","",IFERROR(INDEX('Catalogos_PDN'!$R$5:$R$51,MATCH(B52,PN_AREAS,0)),""))</f>
        <v/>
      </c>
      <c r="D52" s="110">
        <f>IF(B52="","",IFERROR(INDEX('Catalogos_PDN'!$O$5:$O$51,MATCH(B52,PN_AREAS,0)),""))</f>
        <v/>
      </c>
      <c r="E52" s="111" t="n"/>
      <c r="F52" s="110">
        <f>IF(E52="","",IFERROR(INDEX('Catalogos_PDN'!$C$5:$C$49,MATCH(E52,PN_METAS,0)),""))</f>
        <v/>
      </c>
      <c r="G52" s="110">
        <f>IF(E52="","",IFERROR(INDEX('Catalogos_PDN'!$E$5:$E$49,MATCH(E52,PN_METAS,0)),""))</f>
        <v/>
      </c>
      <c r="H52" s="111" t="n"/>
      <c r="I52" s="111" t="n"/>
      <c r="J52" s="111" t="n"/>
      <c r="K52" s="111" t="n"/>
      <c r="L52" s="111" t="n"/>
      <c r="M52" s="112" t="n"/>
      <c r="N52" s="111" t="n"/>
      <c r="O52" s="111" t="n"/>
      <c r="P52" s="111" t="n"/>
      <c r="Q52" s="111" t="n"/>
      <c r="R52" s="111" t="n"/>
      <c r="S52" s="111" t="n"/>
      <c r="T52" s="111" t="n"/>
      <c r="U52" s="111" t="n"/>
      <c r="V52" s="111" t="n"/>
      <c r="W52" s="113" t="n"/>
      <c r="X52" s="113" t="n"/>
      <c r="Y52" s="111" t="n"/>
      <c r="Z52" s="111" t="n"/>
      <c r="AA52" s="111" t="n"/>
      <c r="AB52" s="111" t="n"/>
      <c r="AC52" s="111" t="n"/>
      <c r="AD52" s="111" t="n"/>
      <c r="AE52" s="111" t="n"/>
      <c r="AF52" s="111" t="n"/>
      <c r="AG52" s="111" t="n"/>
      <c r="AH52" s="111" t="n"/>
      <c r="AI52" s="111" t="n"/>
      <c r="AJ52" s="114">
        <f>IF(COUNTA(B52,E52,H52,I52,J52,K52,L52,M52,N52,O52,P52,Q52,R52,S52,T52,U52,V52,W52,X52,Y52,Z52,AA52,AB52,AC52,AD52,AE52,AF52,AG52,AH52,AI52)=0,"",IF(OR(B52="",E52="",H52="",J52="",K52="",L52="",M52="",O52="",P52="",Q52="",R52="",S52="",T52="",U52="",W52="",X52="",Y52="",AB52="",AC52="",AE52="",AF52=""),"Incompleta: faltan campos obligatorios",IF(AND(LEFT(H52,6)="PROPIA",I52=""),"Falta el nombre de la acción propia del área",IF(AND(LEFT(H52,4)="AC27",IFERROR(INDEX('Catalogos_PDN'!$T$5:$T$207,MATCH(H52,'Catalogos_PDN'!$U$5:$U$207,0)),"x")&lt;&gt;LEFT(E52,7)),"La acción no corresponde a la meta seleccionada",IF(OR(NOT(ISNUMBER(M52)),M52&lt;10000000,M52&gt;99999999),"Código UNSPSC inválido: registre 8 dígitos",IF(MOD(M52,10000)=0,"UNSPSC a nivel de segmento o familia: use clase o producto",IF(IFERROR(MATCH(P52,PN_MESES,0)&lt;MATCH(O52,PN_MESES,0),TRUE()),"El mes de ofertas es anterior al de inicio del proceso",IF(OR(NOT(ISNUMBER(Q52)),Q52&lt;=0),"Duración inválida",IF(OR(NOT(ISNUMBER(W52)),NOT(ISNUMBER(X52))),"Valor inválido: registre solo números",IF(OR(W52&lt;=0,X52&lt;=0),"Valor inválido: debe ser mayor que cero",IF(X52&gt;W52,"El valor de la vigencia 2027 supera el valor total",IF(AND(X52&lt;W52,Y52="No"),"El valor total supera el de 2027: requiere vigencias futuras",IF(AND(Y52="Sí",OR(Z52="",Z52="No aplica")),"Indique el estado de la solicitud de vigencias futuras",IF(IF(AND(S52="Mínima cuantía",ISNUMBER(PN_TOPE_MINIMA)),W52&gt;PN_TOPE_MINIMA,FALSE()),"El valor supera el tope de mínima cuantía 2027",IF(IF(AND(S52="Selección abreviada de menor cuantía",ISNUMBER(PN_TOPE_MENOR)),W52&gt;PN_TOPE_MENOR,FALSE()),"El valor supera el tope de menor cuantía 2027",IF(OR(ISERROR(SEARCH("@itc.edu.co",AE52)),SUMPRODUCT(--ISNUMBER(SEARCH({"á","é","í","ó","ú","ñ"," "},AE52)))&gt;0),"El correo del responsable no es institucional válido",IF(AND(AF52="Sí",AG52=""),"Indique el N.° de registro 2026 que continúa","OK")))))))))))))))))</f>
        <v/>
      </c>
      <c r="AK52" s="114">
        <f>IF(AJ52="OK",COUNTIF($AJ$7:AJ52,"OK"),"")</f>
        <v/>
      </c>
    </row>
    <row r="53">
      <c r="A53" s="110">
        <f>"PN27-"&amp;TEXT(ROW()-6,"000")</f>
        <v/>
      </c>
      <c r="B53" s="111" t="n"/>
      <c r="C53" s="110">
        <f>IF(B53="","",IFERROR(INDEX('Catalogos_PDN'!$R$5:$R$51,MATCH(B53,PN_AREAS,0)),""))</f>
        <v/>
      </c>
      <c r="D53" s="110">
        <f>IF(B53="","",IFERROR(INDEX('Catalogos_PDN'!$O$5:$O$51,MATCH(B53,PN_AREAS,0)),""))</f>
        <v/>
      </c>
      <c r="E53" s="111" t="n"/>
      <c r="F53" s="110">
        <f>IF(E53="","",IFERROR(INDEX('Catalogos_PDN'!$C$5:$C$49,MATCH(E53,PN_METAS,0)),""))</f>
        <v/>
      </c>
      <c r="G53" s="110">
        <f>IF(E53="","",IFERROR(INDEX('Catalogos_PDN'!$E$5:$E$49,MATCH(E53,PN_METAS,0)),""))</f>
        <v/>
      </c>
      <c r="H53" s="111" t="n"/>
      <c r="I53" s="111" t="n"/>
      <c r="J53" s="111" t="n"/>
      <c r="K53" s="111" t="n"/>
      <c r="L53" s="111" t="n"/>
      <c r="M53" s="112" t="n"/>
      <c r="N53" s="111" t="n"/>
      <c r="O53" s="111" t="n"/>
      <c r="P53" s="111" t="n"/>
      <c r="Q53" s="111" t="n"/>
      <c r="R53" s="111" t="n"/>
      <c r="S53" s="111" t="n"/>
      <c r="T53" s="111" t="n"/>
      <c r="U53" s="111" t="n"/>
      <c r="V53" s="111" t="n"/>
      <c r="W53" s="113" t="n"/>
      <c r="X53" s="113" t="n"/>
      <c r="Y53" s="111" t="n"/>
      <c r="Z53" s="111" t="n"/>
      <c r="AA53" s="111" t="n"/>
      <c r="AB53" s="111" t="n"/>
      <c r="AC53" s="111" t="n"/>
      <c r="AD53" s="111" t="n"/>
      <c r="AE53" s="111" t="n"/>
      <c r="AF53" s="111" t="n"/>
      <c r="AG53" s="111" t="n"/>
      <c r="AH53" s="111" t="n"/>
      <c r="AI53" s="111" t="n"/>
      <c r="AJ53" s="114">
        <f>IF(COUNTA(B53,E53,H53,I53,J53,K53,L53,M53,N53,O53,P53,Q53,R53,S53,T53,U53,V53,W53,X53,Y53,Z53,AA53,AB53,AC53,AD53,AE53,AF53,AG53,AH53,AI53)=0,"",IF(OR(B53="",E53="",H53="",J53="",K53="",L53="",M53="",O53="",P53="",Q53="",R53="",S53="",T53="",U53="",W53="",X53="",Y53="",AB53="",AC53="",AE53="",AF53=""),"Incompleta: faltan campos obligatorios",IF(AND(LEFT(H53,6)="PROPIA",I53=""),"Falta el nombre de la acción propia del área",IF(AND(LEFT(H53,4)="AC27",IFERROR(INDEX('Catalogos_PDN'!$T$5:$T$207,MATCH(H53,'Catalogos_PDN'!$U$5:$U$207,0)),"x")&lt;&gt;LEFT(E53,7)),"La acción no corresponde a la meta seleccionada",IF(OR(NOT(ISNUMBER(M53)),M53&lt;10000000,M53&gt;99999999),"Código UNSPSC inválido: registre 8 dígitos",IF(MOD(M53,10000)=0,"UNSPSC a nivel de segmento o familia: use clase o producto",IF(IFERROR(MATCH(P53,PN_MESES,0)&lt;MATCH(O53,PN_MESES,0),TRUE()),"El mes de ofertas es anterior al de inicio del proceso",IF(OR(NOT(ISNUMBER(Q53)),Q53&lt;=0),"Duración inválida",IF(OR(NOT(ISNUMBER(W53)),NOT(ISNUMBER(X53))),"Valor inválido: registre solo números",IF(OR(W53&lt;=0,X53&lt;=0),"Valor inválido: debe ser mayor que cero",IF(X53&gt;W53,"El valor de la vigencia 2027 supera el valor total",IF(AND(X53&lt;W53,Y53="No"),"El valor total supera el de 2027: requiere vigencias futuras",IF(AND(Y53="Sí",OR(Z53="",Z53="No aplica")),"Indique el estado de la solicitud de vigencias futuras",IF(IF(AND(S53="Mínima cuantía",ISNUMBER(PN_TOPE_MINIMA)),W53&gt;PN_TOPE_MINIMA,FALSE()),"El valor supera el tope de mínima cuantía 2027",IF(IF(AND(S53="Selección abreviada de menor cuantía",ISNUMBER(PN_TOPE_MENOR)),W53&gt;PN_TOPE_MENOR,FALSE()),"El valor supera el tope de menor cuantía 2027",IF(OR(ISERROR(SEARCH("@itc.edu.co",AE53)),SUMPRODUCT(--ISNUMBER(SEARCH({"á","é","í","ó","ú","ñ"," "},AE53)))&gt;0),"El correo del responsable no es institucional válido",IF(AND(AF53="Sí",AG53=""),"Indique el N.° de registro 2026 que continúa","OK")))))))))))))))))</f>
        <v/>
      </c>
      <c r="AK53" s="114">
        <f>IF(AJ53="OK",COUNTIF($AJ$7:AJ53,"OK"),"")</f>
        <v/>
      </c>
    </row>
    <row r="54">
      <c r="A54" s="110">
        <f>"PN27-"&amp;TEXT(ROW()-6,"000")</f>
        <v/>
      </c>
      <c r="B54" s="111" t="n"/>
      <c r="C54" s="110">
        <f>IF(B54="","",IFERROR(INDEX('Catalogos_PDN'!$R$5:$R$51,MATCH(B54,PN_AREAS,0)),""))</f>
        <v/>
      </c>
      <c r="D54" s="110">
        <f>IF(B54="","",IFERROR(INDEX('Catalogos_PDN'!$O$5:$O$51,MATCH(B54,PN_AREAS,0)),""))</f>
        <v/>
      </c>
      <c r="E54" s="111" t="n"/>
      <c r="F54" s="110">
        <f>IF(E54="","",IFERROR(INDEX('Catalogos_PDN'!$C$5:$C$49,MATCH(E54,PN_METAS,0)),""))</f>
        <v/>
      </c>
      <c r="G54" s="110">
        <f>IF(E54="","",IFERROR(INDEX('Catalogos_PDN'!$E$5:$E$49,MATCH(E54,PN_METAS,0)),""))</f>
        <v/>
      </c>
      <c r="H54" s="111" t="n"/>
      <c r="I54" s="111" t="n"/>
      <c r="J54" s="111" t="n"/>
      <c r="K54" s="111" t="n"/>
      <c r="L54" s="111" t="n"/>
      <c r="M54" s="112" t="n"/>
      <c r="N54" s="111" t="n"/>
      <c r="O54" s="111" t="n"/>
      <c r="P54" s="111" t="n"/>
      <c r="Q54" s="111" t="n"/>
      <c r="R54" s="111" t="n"/>
      <c r="S54" s="111" t="n"/>
      <c r="T54" s="111" t="n"/>
      <c r="U54" s="111" t="n"/>
      <c r="V54" s="111" t="n"/>
      <c r="W54" s="113" t="n"/>
      <c r="X54" s="113" t="n"/>
      <c r="Y54" s="111" t="n"/>
      <c r="Z54" s="111" t="n"/>
      <c r="AA54" s="111" t="n"/>
      <c r="AB54" s="111" t="n"/>
      <c r="AC54" s="111" t="n"/>
      <c r="AD54" s="111" t="n"/>
      <c r="AE54" s="111" t="n"/>
      <c r="AF54" s="111" t="n"/>
      <c r="AG54" s="111" t="n"/>
      <c r="AH54" s="111" t="n"/>
      <c r="AI54" s="111" t="n"/>
      <c r="AJ54" s="114">
        <f>IF(COUNTA(B54,E54,H54,I54,J54,K54,L54,M54,N54,O54,P54,Q54,R54,S54,T54,U54,V54,W54,X54,Y54,Z54,AA54,AB54,AC54,AD54,AE54,AF54,AG54,AH54,AI54)=0,"",IF(OR(B54="",E54="",H54="",J54="",K54="",L54="",M54="",O54="",P54="",Q54="",R54="",S54="",T54="",U54="",W54="",X54="",Y54="",AB54="",AC54="",AE54="",AF54=""),"Incompleta: faltan campos obligatorios",IF(AND(LEFT(H54,6)="PROPIA",I54=""),"Falta el nombre de la acción propia del área",IF(AND(LEFT(H54,4)="AC27",IFERROR(INDEX('Catalogos_PDN'!$T$5:$T$207,MATCH(H54,'Catalogos_PDN'!$U$5:$U$207,0)),"x")&lt;&gt;LEFT(E54,7)),"La acción no corresponde a la meta seleccionada",IF(OR(NOT(ISNUMBER(M54)),M54&lt;10000000,M54&gt;99999999),"Código UNSPSC inválido: registre 8 dígitos",IF(MOD(M54,10000)=0,"UNSPSC a nivel de segmento o familia: use clase o producto",IF(IFERROR(MATCH(P54,PN_MESES,0)&lt;MATCH(O54,PN_MESES,0),TRUE()),"El mes de ofertas es anterior al de inicio del proceso",IF(OR(NOT(ISNUMBER(Q54)),Q54&lt;=0),"Duración inválida",IF(OR(NOT(ISNUMBER(W54)),NOT(ISNUMBER(X54))),"Valor inválido: registre solo números",IF(OR(W54&lt;=0,X54&lt;=0),"Valor inválido: debe ser mayor que cero",IF(X54&gt;W54,"El valor de la vigencia 2027 supera el valor total",IF(AND(X54&lt;W54,Y54="No"),"El valor total supera el de 2027: requiere vigencias futuras",IF(AND(Y54="Sí",OR(Z54="",Z54="No aplica")),"Indique el estado de la solicitud de vigencias futuras",IF(IF(AND(S54="Mínima cuantía",ISNUMBER(PN_TOPE_MINIMA)),W54&gt;PN_TOPE_MINIMA,FALSE()),"El valor supera el tope de mínima cuantía 2027",IF(IF(AND(S54="Selección abreviada de menor cuantía",ISNUMBER(PN_TOPE_MENOR)),W54&gt;PN_TOPE_MENOR,FALSE()),"El valor supera el tope de menor cuantía 2027",IF(OR(ISERROR(SEARCH("@itc.edu.co",AE54)),SUMPRODUCT(--ISNUMBER(SEARCH({"á","é","í","ó","ú","ñ"," "},AE54)))&gt;0),"El correo del responsable no es institucional válido",IF(AND(AF54="Sí",AG54=""),"Indique el N.° de registro 2026 que continúa","OK")))))))))))))))))</f>
        <v/>
      </c>
      <c r="AK54" s="114">
        <f>IF(AJ54="OK",COUNTIF($AJ$7:AJ54,"OK"),"")</f>
        <v/>
      </c>
    </row>
    <row r="55">
      <c r="A55" s="110">
        <f>"PN27-"&amp;TEXT(ROW()-6,"000")</f>
        <v/>
      </c>
      <c r="B55" s="111" t="n"/>
      <c r="C55" s="110">
        <f>IF(B55="","",IFERROR(INDEX('Catalogos_PDN'!$R$5:$R$51,MATCH(B55,PN_AREAS,0)),""))</f>
        <v/>
      </c>
      <c r="D55" s="110">
        <f>IF(B55="","",IFERROR(INDEX('Catalogos_PDN'!$O$5:$O$51,MATCH(B55,PN_AREAS,0)),""))</f>
        <v/>
      </c>
      <c r="E55" s="111" t="n"/>
      <c r="F55" s="110">
        <f>IF(E55="","",IFERROR(INDEX('Catalogos_PDN'!$C$5:$C$49,MATCH(E55,PN_METAS,0)),""))</f>
        <v/>
      </c>
      <c r="G55" s="110">
        <f>IF(E55="","",IFERROR(INDEX('Catalogos_PDN'!$E$5:$E$49,MATCH(E55,PN_METAS,0)),""))</f>
        <v/>
      </c>
      <c r="H55" s="111" t="n"/>
      <c r="I55" s="111" t="n"/>
      <c r="J55" s="111" t="n"/>
      <c r="K55" s="111" t="n"/>
      <c r="L55" s="111" t="n"/>
      <c r="M55" s="112" t="n"/>
      <c r="N55" s="111" t="n"/>
      <c r="O55" s="111" t="n"/>
      <c r="P55" s="111" t="n"/>
      <c r="Q55" s="111" t="n"/>
      <c r="R55" s="111" t="n"/>
      <c r="S55" s="111" t="n"/>
      <c r="T55" s="111" t="n"/>
      <c r="U55" s="111" t="n"/>
      <c r="V55" s="111" t="n"/>
      <c r="W55" s="113" t="n"/>
      <c r="X55" s="113" t="n"/>
      <c r="Y55" s="111" t="n"/>
      <c r="Z55" s="111" t="n"/>
      <c r="AA55" s="111" t="n"/>
      <c r="AB55" s="111" t="n"/>
      <c r="AC55" s="111" t="n"/>
      <c r="AD55" s="111" t="n"/>
      <c r="AE55" s="111" t="n"/>
      <c r="AF55" s="111" t="n"/>
      <c r="AG55" s="111" t="n"/>
      <c r="AH55" s="111" t="n"/>
      <c r="AI55" s="111" t="n"/>
      <c r="AJ55" s="114">
        <f>IF(COUNTA(B55,E55,H55,I55,J55,K55,L55,M55,N55,O55,P55,Q55,R55,S55,T55,U55,V55,W55,X55,Y55,Z55,AA55,AB55,AC55,AD55,AE55,AF55,AG55,AH55,AI55)=0,"",IF(OR(B55="",E55="",H55="",J55="",K55="",L55="",M55="",O55="",P55="",Q55="",R55="",S55="",T55="",U55="",W55="",X55="",Y55="",AB55="",AC55="",AE55="",AF55=""),"Incompleta: faltan campos obligatorios",IF(AND(LEFT(H55,6)="PROPIA",I55=""),"Falta el nombre de la acción propia del área",IF(AND(LEFT(H55,4)="AC27",IFERROR(INDEX('Catalogos_PDN'!$T$5:$T$207,MATCH(H55,'Catalogos_PDN'!$U$5:$U$207,0)),"x")&lt;&gt;LEFT(E55,7)),"La acción no corresponde a la meta seleccionada",IF(OR(NOT(ISNUMBER(M55)),M55&lt;10000000,M55&gt;99999999),"Código UNSPSC inválido: registre 8 dígitos",IF(MOD(M55,10000)=0,"UNSPSC a nivel de segmento o familia: use clase o producto",IF(IFERROR(MATCH(P55,PN_MESES,0)&lt;MATCH(O55,PN_MESES,0),TRUE()),"El mes de ofertas es anterior al de inicio del proceso",IF(OR(NOT(ISNUMBER(Q55)),Q55&lt;=0),"Duración inválida",IF(OR(NOT(ISNUMBER(W55)),NOT(ISNUMBER(X55))),"Valor inválido: registre solo números",IF(OR(W55&lt;=0,X55&lt;=0),"Valor inválido: debe ser mayor que cero",IF(X55&gt;W55,"El valor de la vigencia 2027 supera el valor total",IF(AND(X55&lt;W55,Y55="No"),"El valor total supera el de 2027: requiere vigencias futuras",IF(AND(Y55="Sí",OR(Z55="",Z55="No aplica")),"Indique el estado de la solicitud de vigencias futuras",IF(IF(AND(S55="Mínima cuantía",ISNUMBER(PN_TOPE_MINIMA)),W55&gt;PN_TOPE_MINIMA,FALSE()),"El valor supera el tope de mínima cuantía 2027",IF(IF(AND(S55="Selección abreviada de menor cuantía",ISNUMBER(PN_TOPE_MENOR)),W55&gt;PN_TOPE_MENOR,FALSE()),"El valor supera el tope de menor cuantía 2027",IF(OR(ISERROR(SEARCH("@itc.edu.co",AE55)),SUMPRODUCT(--ISNUMBER(SEARCH({"á","é","í","ó","ú","ñ"," "},AE55)))&gt;0),"El correo del responsable no es institucional válido",IF(AND(AF55="Sí",AG55=""),"Indique el N.° de registro 2026 que continúa","OK")))))))))))))))))</f>
        <v/>
      </c>
      <c r="AK55" s="114">
        <f>IF(AJ55="OK",COUNTIF($AJ$7:AJ55,"OK"),"")</f>
        <v/>
      </c>
    </row>
    <row r="56">
      <c r="A56" s="110">
        <f>"PN27-"&amp;TEXT(ROW()-6,"000")</f>
        <v/>
      </c>
      <c r="B56" s="111" t="n"/>
      <c r="C56" s="110">
        <f>IF(B56="","",IFERROR(INDEX('Catalogos_PDN'!$R$5:$R$51,MATCH(B56,PN_AREAS,0)),""))</f>
        <v/>
      </c>
      <c r="D56" s="110">
        <f>IF(B56="","",IFERROR(INDEX('Catalogos_PDN'!$O$5:$O$51,MATCH(B56,PN_AREAS,0)),""))</f>
        <v/>
      </c>
      <c r="E56" s="111" t="n"/>
      <c r="F56" s="110">
        <f>IF(E56="","",IFERROR(INDEX('Catalogos_PDN'!$C$5:$C$49,MATCH(E56,PN_METAS,0)),""))</f>
        <v/>
      </c>
      <c r="G56" s="110">
        <f>IF(E56="","",IFERROR(INDEX('Catalogos_PDN'!$E$5:$E$49,MATCH(E56,PN_METAS,0)),""))</f>
        <v/>
      </c>
      <c r="H56" s="111" t="n"/>
      <c r="I56" s="111" t="n"/>
      <c r="J56" s="111" t="n"/>
      <c r="K56" s="111" t="n"/>
      <c r="L56" s="111" t="n"/>
      <c r="M56" s="112" t="n"/>
      <c r="N56" s="111" t="n"/>
      <c r="O56" s="111" t="n"/>
      <c r="P56" s="111" t="n"/>
      <c r="Q56" s="111" t="n"/>
      <c r="R56" s="111" t="n"/>
      <c r="S56" s="111" t="n"/>
      <c r="T56" s="111" t="n"/>
      <c r="U56" s="111" t="n"/>
      <c r="V56" s="111" t="n"/>
      <c r="W56" s="113" t="n"/>
      <c r="X56" s="113" t="n"/>
      <c r="Y56" s="111" t="n"/>
      <c r="Z56" s="111" t="n"/>
      <c r="AA56" s="111" t="n"/>
      <c r="AB56" s="111" t="n"/>
      <c r="AC56" s="111" t="n"/>
      <c r="AD56" s="111" t="n"/>
      <c r="AE56" s="111" t="n"/>
      <c r="AF56" s="111" t="n"/>
      <c r="AG56" s="111" t="n"/>
      <c r="AH56" s="111" t="n"/>
      <c r="AI56" s="111" t="n"/>
      <c r="AJ56" s="114">
        <f>IF(COUNTA(B56,E56,H56,I56,J56,K56,L56,M56,N56,O56,P56,Q56,R56,S56,T56,U56,V56,W56,X56,Y56,Z56,AA56,AB56,AC56,AD56,AE56,AF56,AG56,AH56,AI56)=0,"",IF(OR(B56="",E56="",H56="",J56="",K56="",L56="",M56="",O56="",P56="",Q56="",R56="",S56="",T56="",U56="",W56="",X56="",Y56="",AB56="",AC56="",AE56="",AF56=""),"Incompleta: faltan campos obligatorios",IF(AND(LEFT(H56,6)="PROPIA",I56=""),"Falta el nombre de la acción propia del área",IF(AND(LEFT(H56,4)="AC27",IFERROR(INDEX('Catalogos_PDN'!$T$5:$T$207,MATCH(H56,'Catalogos_PDN'!$U$5:$U$207,0)),"x")&lt;&gt;LEFT(E56,7)),"La acción no corresponde a la meta seleccionada",IF(OR(NOT(ISNUMBER(M56)),M56&lt;10000000,M56&gt;99999999),"Código UNSPSC inválido: registre 8 dígitos",IF(MOD(M56,10000)=0,"UNSPSC a nivel de segmento o familia: use clase o producto",IF(IFERROR(MATCH(P56,PN_MESES,0)&lt;MATCH(O56,PN_MESES,0),TRUE()),"El mes de ofertas es anterior al de inicio del proceso",IF(OR(NOT(ISNUMBER(Q56)),Q56&lt;=0),"Duración inválida",IF(OR(NOT(ISNUMBER(W56)),NOT(ISNUMBER(X56))),"Valor inválido: registre solo números",IF(OR(W56&lt;=0,X56&lt;=0),"Valor inválido: debe ser mayor que cero",IF(X56&gt;W56,"El valor de la vigencia 2027 supera el valor total",IF(AND(X56&lt;W56,Y56="No"),"El valor total supera el de 2027: requiere vigencias futuras",IF(AND(Y56="Sí",OR(Z56="",Z56="No aplica")),"Indique el estado de la solicitud de vigencias futuras",IF(IF(AND(S56="Mínima cuantía",ISNUMBER(PN_TOPE_MINIMA)),W56&gt;PN_TOPE_MINIMA,FALSE()),"El valor supera el tope de mínima cuantía 2027",IF(IF(AND(S56="Selección abreviada de menor cuantía",ISNUMBER(PN_TOPE_MENOR)),W56&gt;PN_TOPE_MENOR,FALSE()),"El valor supera el tope de menor cuantía 2027",IF(OR(ISERROR(SEARCH("@itc.edu.co",AE56)),SUMPRODUCT(--ISNUMBER(SEARCH({"á","é","í","ó","ú","ñ"," "},AE56)))&gt;0),"El correo del responsable no es institucional válido",IF(AND(AF56="Sí",AG56=""),"Indique el N.° de registro 2026 que continúa","OK")))))))))))))))))</f>
        <v/>
      </c>
      <c r="AK56" s="114">
        <f>IF(AJ56="OK",COUNTIF($AJ$7:AJ56,"OK"),"")</f>
        <v/>
      </c>
    </row>
    <row r="57">
      <c r="A57" s="110">
        <f>"PN27-"&amp;TEXT(ROW()-6,"000")</f>
        <v/>
      </c>
      <c r="B57" s="111" t="n"/>
      <c r="C57" s="110">
        <f>IF(B57="","",IFERROR(INDEX('Catalogos_PDN'!$R$5:$R$51,MATCH(B57,PN_AREAS,0)),""))</f>
        <v/>
      </c>
      <c r="D57" s="110">
        <f>IF(B57="","",IFERROR(INDEX('Catalogos_PDN'!$O$5:$O$51,MATCH(B57,PN_AREAS,0)),""))</f>
        <v/>
      </c>
      <c r="E57" s="111" t="n"/>
      <c r="F57" s="110">
        <f>IF(E57="","",IFERROR(INDEX('Catalogos_PDN'!$C$5:$C$49,MATCH(E57,PN_METAS,0)),""))</f>
        <v/>
      </c>
      <c r="G57" s="110">
        <f>IF(E57="","",IFERROR(INDEX('Catalogos_PDN'!$E$5:$E$49,MATCH(E57,PN_METAS,0)),""))</f>
        <v/>
      </c>
      <c r="H57" s="111" t="n"/>
      <c r="I57" s="111" t="n"/>
      <c r="J57" s="111" t="n"/>
      <c r="K57" s="111" t="n"/>
      <c r="L57" s="111" t="n"/>
      <c r="M57" s="112" t="n"/>
      <c r="N57" s="111" t="n"/>
      <c r="O57" s="111" t="n"/>
      <c r="P57" s="111" t="n"/>
      <c r="Q57" s="111" t="n"/>
      <c r="R57" s="111" t="n"/>
      <c r="S57" s="111" t="n"/>
      <c r="T57" s="111" t="n"/>
      <c r="U57" s="111" t="n"/>
      <c r="V57" s="111" t="n"/>
      <c r="W57" s="113" t="n"/>
      <c r="X57" s="113" t="n"/>
      <c r="Y57" s="111" t="n"/>
      <c r="Z57" s="111" t="n"/>
      <c r="AA57" s="111" t="n"/>
      <c r="AB57" s="111" t="n"/>
      <c r="AC57" s="111" t="n"/>
      <c r="AD57" s="111" t="n"/>
      <c r="AE57" s="111" t="n"/>
      <c r="AF57" s="111" t="n"/>
      <c r="AG57" s="111" t="n"/>
      <c r="AH57" s="111" t="n"/>
      <c r="AI57" s="111" t="n"/>
      <c r="AJ57" s="114">
        <f>IF(COUNTA(B57,E57,H57,I57,J57,K57,L57,M57,N57,O57,P57,Q57,R57,S57,T57,U57,V57,W57,X57,Y57,Z57,AA57,AB57,AC57,AD57,AE57,AF57,AG57,AH57,AI57)=0,"",IF(OR(B57="",E57="",H57="",J57="",K57="",L57="",M57="",O57="",P57="",Q57="",R57="",S57="",T57="",U57="",W57="",X57="",Y57="",AB57="",AC57="",AE57="",AF57=""),"Incompleta: faltan campos obligatorios",IF(AND(LEFT(H57,6)="PROPIA",I57=""),"Falta el nombre de la acción propia del área",IF(AND(LEFT(H57,4)="AC27",IFERROR(INDEX('Catalogos_PDN'!$T$5:$T$207,MATCH(H57,'Catalogos_PDN'!$U$5:$U$207,0)),"x")&lt;&gt;LEFT(E57,7)),"La acción no corresponde a la meta seleccionada",IF(OR(NOT(ISNUMBER(M57)),M57&lt;10000000,M57&gt;99999999),"Código UNSPSC inválido: registre 8 dígitos",IF(MOD(M57,10000)=0,"UNSPSC a nivel de segmento o familia: use clase o producto",IF(IFERROR(MATCH(P57,PN_MESES,0)&lt;MATCH(O57,PN_MESES,0),TRUE()),"El mes de ofertas es anterior al de inicio del proceso",IF(OR(NOT(ISNUMBER(Q57)),Q57&lt;=0),"Duración inválida",IF(OR(NOT(ISNUMBER(W57)),NOT(ISNUMBER(X57))),"Valor inválido: registre solo números",IF(OR(W57&lt;=0,X57&lt;=0),"Valor inválido: debe ser mayor que cero",IF(X57&gt;W57,"El valor de la vigencia 2027 supera el valor total",IF(AND(X57&lt;W57,Y57="No"),"El valor total supera el de 2027: requiere vigencias futuras",IF(AND(Y57="Sí",OR(Z57="",Z57="No aplica")),"Indique el estado de la solicitud de vigencias futuras",IF(IF(AND(S57="Mínima cuantía",ISNUMBER(PN_TOPE_MINIMA)),W57&gt;PN_TOPE_MINIMA,FALSE()),"El valor supera el tope de mínima cuantía 2027",IF(IF(AND(S57="Selección abreviada de menor cuantía",ISNUMBER(PN_TOPE_MENOR)),W57&gt;PN_TOPE_MENOR,FALSE()),"El valor supera el tope de menor cuantía 2027",IF(OR(ISERROR(SEARCH("@itc.edu.co",AE57)),SUMPRODUCT(--ISNUMBER(SEARCH({"á","é","í","ó","ú","ñ"," "},AE57)))&gt;0),"El correo del responsable no es institucional válido",IF(AND(AF57="Sí",AG57=""),"Indique el N.° de registro 2026 que continúa","OK")))))))))))))))))</f>
        <v/>
      </c>
      <c r="AK57" s="114">
        <f>IF(AJ57="OK",COUNTIF($AJ$7:AJ57,"OK"),"")</f>
        <v/>
      </c>
    </row>
    <row r="58">
      <c r="A58" s="110">
        <f>"PN27-"&amp;TEXT(ROW()-6,"000")</f>
        <v/>
      </c>
      <c r="B58" s="111" t="n"/>
      <c r="C58" s="110">
        <f>IF(B58="","",IFERROR(INDEX('Catalogos_PDN'!$R$5:$R$51,MATCH(B58,PN_AREAS,0)),""))</f>
        <v/>
      </c>
      <c r="D58" s="110">
        <f>IF(B58="","",IFERROR(INDEX('Catalogos_PDN'!$O$5:$O$51,MATCH(B58,PN_AREAS,0)),""))</f>
        <v/>
      </c>
      <c r="E58" s="111" t="n"/>
      <c r="F58" s="110">
        <f>IF(E58="","",IFERROR(INDEX('Catalogos_PDN'!$C$5:$C$49,MATCH(E58,PN_METAS,0)),""))</f>
        <v/>
      </c>
      <c r="G58" s="110">
        <f>IF(E58="","",IFERROR(INDEX('Catalogos_PDN'!$E$5:$E$49,MATCH(E58,PN_METAS,0)),""))</f>
        <v/>
      </c>
      <c r="H58" s="111" t="n"/>
      <c r="I58" s="111" t="n"/>
      <c r="J58" s="111" t="n"/>
      <c r="K58" s="111" t="n"/>
      <c r="L58" s="111" t="n"/>
      <c r="M58" s="112" t="n"/>
      <c r="N58" s="111" t="n"/>
      <c r="O58" s="111" t="n"/>
      <c r="P58" s="111" t="n"/>
      <c r="Q58" s="111" t="n"/>
      <c r="R58" s="111" t="n"/>
      <c r="S58" s="111" t="n"/>
      <c r="T58" s="111" t="n"/>
      <c r="U58" s="111" t="n"/>
      <c r="V58" s="111" t="n"/>
      <c r="W58" s="113" t="n"/>
      <c r="X58" s="113" t="n"/>
      <c r="Y58" s="111" t="n"/>
      <c r="Z58" s="111" t="n"/>
      <c r="AA58" s="111" t="n"/>
      <c r="AB58" s="111" t="n"/>
      <c r="AC58" s="111" t="n"/>
      <c r="AD58" s="111" t="n"/>
      <c r="AE58" s="111" t="n"/>
      <c r="AF58" s="111" t="n"/>
      <c r="AG58" s="111" t="n"/>
      <c r="AH58" s="111" t="n"/>
      <c r="AI58" s="111" t="n"/>
      <c r="AJ58" s="114">
        <f>IF(COUNTA(B58,E58,H58,I58,J58,K58,L58,M58,N58,O58,P58,Q58,R58,S58,T58,U58,V58,W58,X58,Y58,Z58,AA58,AB58,AC58,AD58,AE58,AF58,AG58,AH58,AI58)=0,"",IF(OR(B58="",E58="",H58="",J58="",K58="",L58="",M58="",O58="",P58="",Q58="",R58="",S58="",T58="",U58="",W58="",X58="",Y58="",AB58="",AC58="",AE58="",AF58=""),"Incompleta: faltan campos obligatorios",IF(AND(LEFT(H58,6)="PROPIA",I58=""),"Falta el nombre de la acción propia del área",IF(AND(LEFT(H58,4)="AC27",IFERROR(INDEX('Catalogos_PDN'!$T$5:$T$207,MATCH(H58,'Catalogos_PDN'!$U$5:$U$207,0)),"x")&lt;&gt;LEFT(E58,7)),"La acción no corresponde a la meta seleccionada",IF(OR(NOT(ISNUMBER(M58)),M58&lt;10000000,M58&gt;99999999),"Código UNSPSC inválido: registre 8 dígitos",IF(MOD(M58,10000)=0,"UNSPSC a nivel de segmento o familia: use clase o producto",IF(IFERROR(MATCH(P58,PN_MESES,0)&lt;MATCH(O58,PN_MESES,0),TRUE()),"El mes de ofertas es anterior al de inicio del proceso",IF(OR(NOT(ISNUMBER(Q58)),Q58&lt;=0),"Duración inválida",IF(OR(NOT(ISNUMBER(W58)),NOT(ISNUMBER(X58))),"Valor inválido: registre solo números",IF(OR(W58&lt;=0,X58&lt;=0),"Valor inválido: debe ser mayor que cero",IF(X58&gt;W58,"El valor de la vigencia 2027 supera el valor total",IF(AND(X58&lt;W58,Y58="No"),"El valor total supera el de 2027: requiere vigencias futuras",IF(AND(Y58="Sí",OR(Z58="",Z58="No aplica")),"Indique el estado de la solicitud de vigencias futuras",IF(IF(AND(S58="Mínima cuantía",ISNUMBER(PN_TOPE_MINIMA)),W58&gt;PN_TOPE_MINIMA,FALSE()),"El valor supera el tope de mínima cuantía 2027",IF(IF(AND(S58="Selección abreviada de menor cuantía",ISNUMBER(PN_TOPE_MENOR)),W58&gt;PN_TOPE_MENOR,FALSE()),"El valor supera el tope de menor cuantía 2027",IF(OR(ISERROR(SEARCH("@itc.edu.co",AE58)),SUMPRODUCT(--ISNUMBER(SEARCH({"á","é","í","ó","ú","ñ"," "},AE58)))&gt;0),"El correo del responsable no es institucional válido",IF(AND(AF58="Sí",AG58=""),"Indique el N.° de registro 2026 que continúa","OK")))))))))))))))))</f>
        <v/>
      </c>
      <c r="AK58" s="114">
        <f>IF(AJ58="OK",COUNTIF($AJ$7:AJ58,"OK"),"")</f>
        <v/>
      </c>
    </row>
    <row r="59">
      <c r="A59" s="110">
        <f>"PN27-"&amp;TEXT(ROW()-6,"000")</f>
        <v/>
      </c>
      <c r="B59" s="111" t="n"/>
      <c r="C59" s="110">
        <f>IF(B59="","",IFERROR(INDEX('Catalogos_PDN'!$R$5:$R$51,MATCH(B59,PN_AREAS,0)),""))</f>
        <v/>
      </c>
      <c r="D59" s="110">
        <f>IF(B59="","",IFERROR(INDEX('Catalogos_PDN'!$O$5:$O$51,MATCH(B59,PN_AREAS,0)),""))</f>
        <v/>
      </c>
      <c r="E59" s="111" t="n"/>
      <c r="F59" s="110">
        <f>IF(E59="","",IFERROR(INDEX('Catalogos_PDN'!$C$5:$C$49,MATCH(E59,PN_METAS,0)),""))</f>
        <v/>
      </c>
      <c r="G59" s="110">
        <f>IF(E59="","",IFERROR(INDEX('Catalogos_PDN'!$E$5:$E$49,MATCH(E59,PN_METAS,0)),""))</f>
        <v/>
      </c>
      <c r="H59" s="111" t="n"/>
      <c r="I59" s="111" t="n"/>
      <c r="J59" s="111" t="n"/>
      <c r="K59" s="111" t="n"/>
      <c r="L59" s="111" t="n"/>
      <c r="M59" s="112" t="n"/>
      <c r="N59" s="111" t="n"/>
      <c r="O59" s="111" t="n"/>
      <c r="P59" s="111" t="n"/>
      <c r="Q59" s="111" t="n"/>
      <c r="R59" s="111" t="n"/>
      <c r="S59" s="111" t="n"/>
      <c r="T59" s="111" t="n"/>
      <c r="U59" s="111" t="n"/>
      <c r="V59" s="111" t="n"/>
      <c r="W59" s="113" t="n"/>
      <c r="X59" s="113" t="n"/>
      <c r="Y59" s="111" t="n"/>
      <c r="Z59" s="111" t="n"/>
      <c r="AA59" s="111" t="n"/>
      <c r="AB59" s="111" t="n"/>
      <c r="AC59" s="111" t="n"/>
      <c r="AD59" s="111" t="n"/>
      <c r="AE59" s="111" t="n"/>
      <c r="AF59" s="111" t="n"/>
      <c r="AG59" s="111" t="n"/>
      <c r="AH59" s="111" t="n"/>
      <c r="AI59" s="111" t="n"/>
      <c r="AJ59" s="114">
        <f>IF(COUNTA(B59,E59,H59,I59,J59,K59,L59,M59,N59,O59,P59,Q59,R59,S59,T59,U59,V59,W59,X59,Y59,Z59,AA59,AB59,AC59,AD59,AE59,AF59,AG59,AH59,AI59)=0,"",IF(OR(B59="",E59="",H59="",J59="",K59="",L59="",M59="",O59="",P59="",Q59="",R59="",S59="",T59="",U59="",W59="",X59="",Y59="",AB59="",AC59="",AE59="",AF59=""),"Incompleta: faltan campos obligatorios",IF(AND(LEFT(H59,6)="PROPIA",I59=""),"Falta el nombre de la acción propia del área",IF(AND(LEFT(H59,4)="AC27",IFERROR(INDEX('Catalogos_PDN'!$T$5:$T$207,MATCH(H59,'Catalogos_PDN'!$U$5:$U$207,0)),"x")&lt;&gt;LEFT(E59,7)),"La acción no corresponde a la meta seleccionada",IF(OR(NOT(ISNUMBER(M59)),M59&lt;10000000,M59&gt;99999999),"Código UNSPSC inválido: registre 8 dígitos",IF(MOD(M59,10000)=0,"UNSPSC a nivel de segmento o familia: use clase o producto",IF(IFERROR(MATCH(P59,PN_MESES,0)&lt;MATCH(O59,PN_MESES,0),TRUE()),"El mes de ofertas es anterior al de inicio del proceso",IF(OR(NOT(ISNUMBER(Q59)),Q59&lt;=0),"Duración inválida",IF(OR(NOT(ISNUMBER(W59)),NOT(ISNUMBER(X59))),"Valor inválido: registre solo números",IF(OR(W59&lt;=0,X59&lt;=0),"Valor inválido: debe ser mayor que cero",IF(X59&gt;W59,"El valor de la vigencia 2027 supera el valor total",IF(AND(X59&lt;W59,Y59="No"),"El valor total supera el de 2027: requiere vigencias futuras",IF(AND(Y59="Sí",OR(Z59="",Z59="No aplica")),"Indique el estado de la solicitud de vigencias futuras",IF(IF(AND(S59="Mínima cuantía",ISNUMBER(PN_TOPE_MINIMA)),W59&gt;PN_TOPE_MINIMA,FALSE()),"El valor supera el tope de mínima cuantía 2027",IF(IF(AND(S59="Selección abreviada de menor cuantía",ISNUMBER(PN_TOPE_MENOR)),W59&gt;PN_TOPE_MENOR,FALSE()),"El valor supera el tope de menor cuantía 2027",IF(OR(ISERROR(SEARCH("@itc.edu.co",AE59)),SUMPRODUCT(--ISNUMBER(SEARCH({"á","é","í","ó","ú","ñ"," "},AE59)))&gt;0),"El correo del responsable no es institucional válido",IF(AND(AF59="Sí",AG59=""),"Indique el N.° de registro 2026 que continúa","OK")))))))))))))))))</f>
        <v/>
      </c>
      <c r="AK59" s="114">
        <f>IF(AJ59="OK",COUNTIF($AJ$7:AJ59,"OK"),"")</f>
        <v/>
      </c>
    </row>
    <row r="60">
      <c r="A60" s="110">
        <f>"PN27-"&amp;TEXT(ROW()-6,"000")</f>
        <v/>
      </c>
      <c r="B60" s="111" t="n"/>
      <c r="C60" s="110">
        <f>IF(B60="","",IFERROR(INDEX('Catalogos_PDN'!$R$5:$R$51,MATCH(B60,PN_AREAS,0)),""))</f>
        <v/>
      </c>
      <c r="D60" s="110">
        <f>IF(B60="","",IFERROR(INDEX('Catalogos_PDN'!$O$5:$O$51,MATCH(B60,PN_AREAS,0)),""))</f>
        <v/>
      </c>
      <c r="E60" s="111" t="n"/>
      <c r="F60" s="110">
        <f>IF(E60="","",IFERROR(INDEX('Catalogos_PDN'!$C$5:$C$49,MATCH(E60,PN_METAS,0)),""))</f>
        <v/>
      </c>
      <c r="G60" s="110">
        <f>IF(E60="","",IFERROR(INDEX('Catalogos_PDN'!$E$5:$E$49,MATCH(E60,PN_METAS,0)),""))</f>
        <v/>
      </c>
      <c r="H60" s="111" t="n"/>
      <c r="I60" s="111" t="n"/>
      <c r="J60" s="111" t="n"/>
      <c r="K60" s="111" t="n"/>
      <c r="L60" s="111" t="n"/>
      <c r="M60" s="112" t="n"/>
      <c r="N60" s="111" t="n"/>
      <c r="O60" s="111" t="n"/>
      <c r="P60" s="111" t="n"/>
      <c r="Q60" s="111" t="n"/>
      <c r="R60" s="111" t="n"/>
      <c r="S60" s="111" t="n"/>
      <c r="T60" s="111" t="n"/>
      <c r="U60" s="111" t="n"/>
      <c r="V60" s="111" t="n"/>
      <c r="W60" s="113" t="n"/>
      <c r="X60" s="113" t="n"/>
      <c r="Y60" s="111" t="n"/>
      <c r="Z60" s="111" t="n"/>
      <c r="AA60" s="111" t="n"/>
      <c r="AB60" s="111" t="n"/>
      <c r="AC60" s="111" t="n"/>
      <c r="AD60" s="111" t="n"/>
      <c r="AE60" s="111" t="n"/>
      <c r="AF60" s="111" t="n"/>
      <c r="AG60" s="111" t="n"/>
      <c r="AH60" s="111" t="n"/>
      <c r="AI60" s="111" t="n"/>
      <c r="AJ60" s="114">
        <f>IF(COUNTA(B60,E60,H60,I60,J60,K60,L60,M60,N60,O60,P60,Q60,R60,S60,T60,U60,V60,W60,X60,Y60,Z60,AA60,AB60,AC60,AD60,AE60,AF60,AG60,AH60,AI60)=0,"",IF(OR(B60="",E60="",H60="",J60="",K60="",L60="",M60="",O60="",P60="",Q60="",R60="",S60="",T60="",U60="",W60="",X60="",Y60="",AB60="",AC60="",AE60="",AF60=""),"Incompleta: faltan campos obligatorios",IF(AND(LEFT(H60,6)="PROPIA",I60=""),"Falta el nombre de la acción propia del área",IF(AND(LEFT(H60,4)="AC27",IFERROR(INDEX('Catalogos_PDN'!$T$5:$T$207,MATCH(H60,'Catalogos_PDN'!$U$5:$U$207,0)),"x")&lt;&gt;LEFT(E60,7)),"La acción no corresponde a la meta seleccionada",IF(OR(NOT(ISNUMBER(M60)),M60&lt;10000000,M60&gt;99999999),"Código UNSPSC inválido: registre 8 dígitos",IF(MOD(M60,10000)=0,"UNSPSC a nivel de segmento o familia: use clase o producto",IF(IFERROR(MATCH(P60,PN_MESES,0)&lt;MATCH(O60,PN_MESES,0),TRUE()),"El mes de ofertas es anterior al de inicio del proceso",IF(OR(NOT(ISNUMBER(Q60)),Q60&lt;=0),"Duración inválida",IF(OR(NOT(ISNUMBER(W60)),NOT(ISNUMBER(X60))),"Valor inválido: registre solo números",IF(OR(W60&lt;=0,X60&lt;=0),"Valor inválido: debe ser mayor que cero",IF(X60&gt;W60,"El valor de la vigencia 2027 supera el valor total",IF(AND(X60&lt;W60,Y60="No"),"El valor total supera el de 2027: requiere vigencias futuras",IF(AND(Y60="Sí",OR(Z60="",Z60="No aplica")),"Indique el estado de la solicitud de vigencias futuras",IF(IF(AND(S60="Mínima cuantía",ISNUMBER(PN_TOPE_MINIMA)),W60&gt;PN_TOPE_MINIMA,FALSE()),"El valor supera el tope de mínima cuantía 2027",IF(IF(AND(S60="Selección abreviada de menor cuantía",ISNUMBER(PN_TOPE_MENOR)),W60&gt;PN_TOPE_MENOR,FALSE()),"El valor supera el tope de menor cuantía 2027",IF(OR(ISERROR(SEARCH("@itc.edu.co",AE60)),SUMPRODUCT(--ISNUMBER(SEARCH({"á","é","í","ó","ú","ñ"," "},AE60)))&gt;0),"El correo del responsable no es institucional válido",IF(AND(AF60="Sí",AG60=""),"Indique el N.° de registro 2026 que continúa","OK")))))))))))))))))</f>
        <v/>
      </c>
      <c r="AK60" s="114">
        <f>IF(AJ60="OK",COUNTIF($AJ$7:AJ60,"OK"),"")</f>
        <v/>
      </c>
    </row>
    <row r="61">
      <c r="A61" s="110">
        <f>"PN27-"&amp;TEXT(ROW()-6,"000")</f>
        <v/>
      </c>
      <c r="B61" s="111" t="n"/>
      <c r="C61" s="110">
        <f>IF(B61="","",IFERROR(INDEX('Catalogos_PDN'!$R$5:$R$51,MATCH(B61,PN_AREAS,0)),""))</f>
        <v/>
      </c>
      <c r="D61" s="110">
        <f>IF(B61="","",IFERROR(INDEX('Catalogos_PDN'!$O$5:$O$51,MATCH(B61,PN_AREAS,0)),""))</f>
        <v/>
      </c>
      <c r="E61" s="111" t="n"/>
      <c r="F61" s="110">
        <f>IF(E61="","",IFERROR(INDEX('Catalogos_PDN'!$C$5:$C$49,MATCH(E61,PN_METAS,0)),""))</f>
        <v/>
      </c>
      <c r="G61" s="110">
        <f>IF(E61="","",IFERROR(INDEX('Catalogos_PDN'!$E$5:$E$49,MATCH(E61,PN_METAS,0)),""))</f>
        <v/>
      </c>
      <c r="H61" s="111" t="n"/>
      <c r="I61" s="111" t="n"/>
      <c r="J61" s="111" t="n"/>
      <c r="K61" s="111" t="n"/>
      <c r="L61" s="111" t="n"/>
      <c r="M61" s="112" t="n"/>
      <c r="N61" s="111" t="n"/>
      <c r="O61" s="111" t="n"/>
      <c r="P61" s="111" t="n"/>
      <c r="Q61" s="111" t="n"/>
      <c r="R61" s="111" t="n"/>
      <c r="S61" s="111" t="n"/>
      <c r="T61" s="111" t="n"/>
      <c r="U61" s="111" t="n"/>
      <c r="V61" s="111" t="n"/>
      <c r="W61" s="113" t="n"/>
      <c r="X61" s="113" t="n"/>
      <c r="Y61" s="111" t="n"/>
      <c r="Z61" s="111" t="n"/>
      <c r="AA61" s="111" t="n"/>
      <c r="AB61" s="111" t="n"/>
      <c r="AC61" s="111" t="n"/>
      <c r="AD61" s="111" t="n"/>
      <c r="AE61" s="111" t="n"/>
      <c r="AF61" s="111" t="n"/>
      <c r="AG61" s="111" t="n"/>
      <c r="AH61" s="111" t="n"/>
      <c r="AI61" s="111" t="n"/>
      <c r="AJ61" s="114">
        <f>IF(COUNTA(B61,E61,H61,I61,J61,K61,L61,M61,N61,O61,P61,Q61,R61,S61,T61,U61,V61,W61,X61,Y61,Z61,AA61,AB61,AC61,AD61,AE61,AF61,AG61,AH61,AI61)=0,"",IF(OR(B61="",E61="",H61="",J61="",K61="",L61="",M61="",O61="",P61="",Q61="",R61="",S61="",T61="",U61="",W61="",X61="",Y61="",AB61="",AC61="",AE61="",AF61=""),"Incompleta: faltan campos obligatorios",IF(AND(LEFT(H61,6)="PROPIA",I61=""),"Falta el nombre de la acción propia del área",IF(AND(LEFT(H61,4)="AC27",IFERROR(INDEX('Catalogos_PDN'!$T$5:$T$207,MATCH(H61,'Catalogos_PDN'!$U$5:$U$207,0)),"x")&lt;&gt;LEFT(E61,7)),"La acción no corresponde a la meta seleccionada",IF(OR(NOT(ISNUMBER(M61)),M61&lt;10000000,M61&gt;99999999),"Código UNSPSC inválido: registre 8 dígitos",IF(MOD(M61,10000)=0,"UNSPSC a nivel de segmento o familia: use clase o producto",IF(IFERROR(MATCH(P61,PN_MESES,0)&lt;MATCH(O61,PN_MESES,0),TRUE()),"El mes de ofertas es anterior al de inicio del proceso",IF(OR(NOT(ISNUMBER(Q61)),Q61&lt;=0),"Duración inválida",IF(OR(NOT(ISNUMBER(W61)),NOT(ISNUMBER(X61))),"Valor inválido: registre solo números",IF(OR(W61&lt;=0,X61&lt;=0),"Valor inválido: debe ser mayor que cero",IF(X61&gt;W61,"El valor de la vigencia 2027 supera el valor total",IF(AND(X61&lt;W61,Y61="No"),"El valor total supera el de 2027: requiere vigencias futuras",IF(AND(Y61="Sí",OR(Z61="",Z61="No aplica")),"Indique el estado de la solicitud de vigencias futuras",IF(IF(AND(S61="Mínima cuantía",ISNUMBER(PN_TOPE_MINIMA)),W61&gt;PN_TOPE_MINIMA,FALSE()),"El valor supera el tope de mínima cuantía 2027",IF(IF(AND(S61="Selección abreviada de menor cuantía",ISNUMBER(PN_TOPE_MENOR)),W61&gt;PN_TOPE_MENOR,FALSE()),"El valor supera el tope de menor cuantía 2027",IF(OR(ISERROR(SEARCH("@itc.edu.co",AE61)),SUMPRODUCT(--ISNUMBER(SEARCH({"á","é","í","ó","ú","ñ"," "},AE61)))&gt;0),"El correo del responsable no es institucional válido",IF(AND(AF61="Sí",AG61=""),"Indique el N.° de registro 2026 que continúa","OK")))))))))))))))))</f>
        <v/>
      </c>
      <c r="AK61" s="114">
        <f>IF(AJ61="OK",COUNTIF($AJ$7:AJ61,"OK"),"")</f>
        <v/>
      </c>
    </row>
    <row r="62">
      <c r="A62" s="110">
        <f>"PN27-"&amp;TEXT(ROW()-6,"000")</f>
        <v/>
      </c>
      <c r="B62" s="111" t="n"/>
      <c r="C62" s="110">
        <f>IF(B62="","",IFERROR(INDEX('Catalogos_PDN'!$R$5:$R$51,MATCH(B62,PN_AREAS,0)),""))</f>
        <v/>
      </c>
      <c r="D62" s="110">
        <f>IF(B62="","",IFERROR(INDEX('Catalogos_PDN'!$O$5:$O$51,MATCH(B62,PN_AREAS,0)),""))</f>
        <v/>
      </c>
      <c r="E62" s="111" t="n"/>
      <c r="F62" s="110">
        <f>IF(E62="","",IFERROR(INDEX('Catalogos_PDN'!$C$5:$C$49,MATCH(E62,PN_METAS,0)),""))</f>
        <v/>
      </c>
      <c r="G62" s="110">
        <f>IF(E62="","",IFERROR(INDEX('Catalogos_PDN'!$E$5:$E$49,MATCH(E62,PN_METAS,0)),""))</f>
        <v/>
      </c>
      <c r="H62" s="111" t="n"/>
      <c r="I62" s="111" t="n"/>
      <c r="J62" s="111" t="n"/>
      <c r="K62" s="111" t="n"/>
      <c r="L62" s="111" t="n"/>
      <c r="M62" s="112" t="n"/>
      <c r="N62" s="111" t="n"/>
      <c r="O62" s="111" t="n"/>
      <c r="P62" s="111" t="n"/>
      <c r="Q62" s="111" t="n"/>
      <c r="R62" s="111" t="n"/>
      <c r="S62" s="111" t="n"/>
      <c r="T62" s="111" t="n"/>
      <c r="U62" s="111" t="n"/>
      <c r="V62" s="111" t="n"/>
      <c r="W62" s="113" t="n"/>
      <c r="X62" s="113" t="n"/>
      <c r="Y62" s="111" t="n"/>
      <c r="Z62" s="111" t="n"/>
      <c r="AA62" s="111" t="n"/>
      <c r="AB62" s="111" t="n"/>
      <c r="AC62" s="111" t="n"/>
      <c r="AD62" s="111" t="n"/>
      <c r="AE62" s="111" t="n"/>
      <c r="AF62" s="111" t="n"/>
      <c r="AG62" s="111" t="n"/>
      <c r="AH62" s="111" t="n"/>
      <c r="AI62" s="111" t="n"/>
      <c r="AJ62" s="114">
        <f>IF(COUNTA(B62,E62,H62,I62,J62,K62,L62,M62,N62,O62,P62,Q62,R62,S62,T62,U62,V62,W62,X62,Y62,Z62,AA62,AB62,AC62,AD62,AE62,AF62,AG62,AH62,AI62)=0,"",IF(OR(B62="",E62="",H62="",J62="",K62="",L62="",M62="",O62="",P62="",Q62="",R62="",S62="",T62="",U62="",W62="",X62="",Y62="",AB62="",AC62="",AE62="",AF62=""),"Incompleta: faltan campos obligatorios",IF(AND(LEFT(H62,6)="PROPIA",I62=""),"Falta el nombre de la acción propia del área",IF(AND(LEFT(H62,4)="AC27",IFERROR(INDEX('Catalogos_PDN'!$T$5:$T$207,MATCH(H62,'Catalogos_PDN'!$U$5:$U$207,0)),"x")&lt;&gt;LEFT(E62,7)),"La acción no corresponde a la meta seleccionada",IF(OR(NOT(ISNUMBER(M62)),M62&lt;10000000,M62&gt;99999999),"Código UNSPSC inválido: registre 8 dígitos",IF(MOD(M62,10000)=0,"UNSPSC a nivel de segmento o familia: use clase o producto",IF(IFERROR(MATCH(P62,PN_MESES,0)&lt;MATCH(O62,PN_MESES,0),TRUE()),"El mes de ofertas es anterior al de inicio del proceso",IF(OR(NOT(ISNUMBER(Q62)),Q62&lt;=0),"Duración inválida",IF(OR(NOT(ISNUMBER(W62)),NOT(ISNUMBER(X62))),"Valor inválido: registre solo números",IF(OR(W62&lt;=0,X62&lt;=0),"Valor inválido: debe ser mayor que cero",IF(X62&gt;W62,"El valor de la vigencia 2027 supera el valor total",IF(AND(X62&lt;W62,Y62="No"),"El valor total supera el de 2027: requiere vigencias futuras",IF(AND(Y62="Sí",OR(Z62="",Z62="No aplica")),"Indique el estado de la solicitud de vigencias futuras",IF(IF(AND(S62="Mínima cuantía",ISNUMBER(PN_TOPE_MINIMA)),W62&gt;PN_TOPE_MINIMA,FALSE()),"El valor supera el tope de mínima cuantía 2027",IF(IF(AND(S62="Selección abreviada de menor cuantía",ISNUMBER(PN_TOPE_MENOR)),W62&gt;PN_TOPE_MENOR,FALSE()),"El valor supera el tope de menor cuantía 2027",IF(OR(ISERROR(SEARCH("@itc.edu.co",AE62)),SUMPRODUCT(--ISNUMBER(SEARCH({"á","é","í","ó","ú","ñ"," "},AE62)))&gt;0),"El correo del responsable no es institucional válido",IF(AND(AF62="Sí",AG62=""),"Indique el N.° de registro 2026 que continúa","OK")))))))))))))))))</f>
        <v/>
      </c>
      <c r="AK62" s="114">
        <f>IF(AJ62="OK",COUNTIF($AJ$7:AJ62,"OK"),"")</f>
        <v/>
      </c>
    </row>
    <row r="63">
      <c r="A63" s="110">
        <f>"PN27-"&amp;TEXT(ROW()-6,"000")</f>
        <v/>
      </c>
      <c r="B63" s="111" t="n"/>
      <c r="C63" s="110">
        <f>IF(B63="","",IFERROR(INDEX('Catalogos_PDN'!$R$5:$R$51,MATCH(B63,PN_AREAS,0)),""))</f>
        <v/>
      </c>
      <c r="D63" s="110">
        <f>IF(B63="","",IFERROR(INDEX('Catalogos_PDN'!$O$5:$O$51,MATCH(B63,PN_AREAS,0)),""))</f>
        <v/>
      </c>
      <c r="E63" s="111" t="n"/>
      <c r="F63" s="110">
        <f>IF(E63="","",IFERROR(INDEX('Catalogos_PDN'!$C$5:$C$49,MATCH(E63,PN_METAS,0)),""))</f>
        <v/>
      </c>
      <c r="G63" s="110">
        <f>IF(E63="","",IFERROR(INDEX('Catalogos_PDN'!$E$5:$E$49,MATCH(E63,PN_METAS,0)),""))</f>
        <v/>
      </c>
      <c r="H63" s="111" t="n"/>
      <c r="I63" s="111" t="n"/>
      <c r="J63" s="111" t="n"/>
      <c r="K63" s="111" t="n"/>
      <c r="L63" s="111" t="n"/>
      <c r="M63" s="112" t="n"/>
      <c r="N63" s="111" t="n"/>
      <c r="O63" s="111" t="n"/>
      <c r="P63" s="111" t="n"/>
      <c r="Q63" s="111" t="n"/>
      <c r="R63" s="111" t="n"/>
      <c r="S63" s="111" t="n"/>
      <c r="T63" s="111" t="n"/>
      <c r="U63" s="111" t="n"/>
      <c r="V63" s="111" t="n"/>
      <c r="W63" s="113" t="n"/>
      <c r="X63" s="113" t="n"/>
      <c r="Y63" s="111" t="n"/>
      <c r="Z63" s="111" t="n"/>
      <c r="AA63" s="111" t="n"/>
      <c r="AB63" s="111" t="n"/>
      <c r="AC63" s="111" t="n"/>
      <c r="AD63" s="111" t="n"/>
      <c r="AE63" s="111" t="n"/>
      <c r="AF63" s="111" t="n"/>
      <c r="AG63" s="111" t="n"/>
      <c r="AH63" s="111" t="n"/>
      <c r="AI63" s="111" t="n"/>
      <c r="AJ63" s="114">
        <f>IF(COUNTA(B63,E63,H63,I63,J63,K63,L63,M63,N63,O63,P63,Q63,R63,S63,T63,U63,V63,W63,X63,Y63,Z63,AA63,AB63,AC63,AD63,AE63,AF63,AG63,AH63,AI63)=0,"",IF(OR(B63="",E63="",H63="",J63="",K63="",L63="",M63="",O63="",P63="",Q63="",R63="",S63="",T63="",U63="",W63="",X63="",Y63="",AB63="",AC63="",AE63="",AF63=""),"Incompleta: faltan campos obligatorios",IF(AND(LEFT(H63,6)="PROPIA",I63=""),"Falta el nombre de la acción propia del área",IF(AND(LEFT(H63,4)="AC27",IFERROR(INDEX('Catalogos_PDN'!$T$5:$T$207,MATCH(H63,'Catalogos_PDN'!$U$5:$U$207,0)),"x")&lt;&gt;LEFT(E63,7)),"La acción no corresponde a la meta seleccionada",IF(OR(NOT(ISNUMBER(M63)),M63&lt;10000000,M63&gt;99999999),"Código UNSPSC inválido: registre 8 dígitos",IF(MOD(M63,10000)=0,"UNSPSC a nivel de segmento o familia: use clase o producto",IF(IFERROR(MATCH(P63,PN_MESES,0)&lt;MATCH(O63,PN_MESES,0),TRUE()),"El mes de ofertas es anterior al de inicio del proceso",IF(OR(NOT(ISNUMBER(Q63)),Q63&lt;=0),"Duración inválida",IF(OR(NOT(ISNUMBER(W63)),NOT(ISNUMBER(X63))),"Valor inválido: registre solo números",IF(OR(W63&lt;=0,X63&lt;=0),"Valor inválido: debe ser mayor que cero",IF(X63&gt;W63,"El valor de la vigencia 2027 supera el valor total",IF(AND(X63&lt;W63,Y63="No"),"El valor total supera el de 2027: requiere vigencias futuras",IF(AND(Y63="Sí",OR(Z63="",Z63="No aplica")),"Indique el estado de la solicitud de vigencias futuras",IF(IF(AND(S63="Mínima cuantía",ISNUMBER(PN_TOPE_MINIMA)),W63&gt;PN_TOPE_MINIMA,FALSE()),"El valor supera el tope de mínima cuantía 2027",IF(IF(AND(S63="Selección abreviada de menor cuantía",ISNUMBER(PN_TOPE_MENOR)),W63&gt;PN_TOPE_MENOR,FALSE()),"El valor supera el tope de menor cuantía 2027",IF(OR(ISERROR(SEARCH("@itc.edu.co",AE63)),SUMPRODUCT(--ISNUMBER(SEARCH({"á","é","í","ó","ú","ñ"," "},AE63)))&gt;0),"El correo del responsable no es institucional válido",IF(AND(AF63="Sí",AG63=""),"Indique el N.° de registro 2026 que continúa","OK")))))))))))))))))</f>
        <v/>
      </c>
      <c r="AK63" s="114">
        <f>IF(AJ63="OK",COUNTIF($AJ$7:AJ63,"OK"),"")</f>
        <v/>
      </c>
    </row>
    <row r="64">
      <c r="A64" s="110">
        <f>"PN27-"&amp;TEXT(ROW()-6,"000")</f>
        <v/>
      </c>
      <c r="B64" s="111" t="n"/>
      <c r="C64" s="110">
        <f>IF(B64="","",IFERROR(INDEX('Catalogos_PDN'!$R$5:$R$51,MATCH(B64,PN_AREAS,0)),""))</f>
        <v/>
      </c>
      <c r="D64" s="110">
        <f>IF(B64="","",IFERROR(INDEX('Catalogos_PDN'!$O$5:$O$51,MATCH(B64,PN_AREAS,0)),""))</f>
        <v/>
      </c>
      <c r="E64" s="111" t="n"/>
      <c r="F64" s="110">
        <f>IF(E64="","",IFERROR(INDEX('Catalogos_PDN'!$C$5:$C$49,MATCH(E64,PN_METAS,0)),""))</f>
        <v/>
      </c>
      <c r="G64" s="110">
        <f>IF(E64="","",IFERROR(INDEX('Catalogos_PDN'!$E$5:$E$49,MATCH(E64,PN_METAS,0)),""))</f>
        <v/>
      </c>
      <c r="H64" s="111" t="n"/>
      <c r="I64" s="111" t="n"/>
      <c r="J64" s="111" t="n"/>
      <c r="K64" s="111" t="n"/>
      <c r="L64" s="111" t="n"/>
      <c r="M64" s="112" t="n"/>
      <c r="N64" s="111" t="n"/>
      <c r="O64" s="111" t="n"/>
      <c r="P64" s="111" t="n"/>
      <c r="Q64" s="111" t="n"/>
      <c r="R64" s="111" t="n"/>
      <c r="S64" s="111" t="n"/>
      <c r="T64" s="111" t="n"/>
      <c r="U64" s="111" t="n"/>
      <c r="V64" s="111" t="n"/>
      <c r="W64" s="113" t="n"/>
      <c r="X64" s="113" t="n"/>
      <c r="Y64" s="111" t="n"/>
      <c r="Z64" s="111" t="n"/>
      <c r="AA64" s="111" t="n"/>
      <c r="AB64" s="111" t="n"/>
      <c r="AC64" s="111" t="n"/>
      <c r="AD64" s="111" t="n"/>
      <c r="AE64" s="111" t="n"/>
      <c r="AF64" s="111" t="n"/>
      <c r="AG64" s="111" t="n"/>
      <c r="AH64" s="111" t="n"/>
      <c r="AI64" s="111" t="n"/>
      <c r="AJ64" s="114">
        <f>IF(COUNTA(B64,E64,H64,I64,J64,K64,L64,M64,N64,O64,P64,Q64,R64,S64,T64,U64,V64,W64,X64,Y64,Z64,AA64,AB64,AC64,AD64,AE64,AF64,AG64,AH64,AI64)=0,"",IF(OR(B64="",E64="",H64="",J64="",K64="",L64="",M64="",O64="",P64="",Q64="",R64="",S64="",T64="",U64="",W64="",X64="",Y64="",AB64="",AC64="",AE64="",AF64=""),"Incompleta: faltan campos obligatorios",IF(AND(LEFT(H64,6)="PROPIA",I64=""),"Falta el nombre de la acción propia del área",IF(AND(LEFT(H64,4)="AC27",IFERROR(INDEX('Catalogos_PDN'!$T$5:$T$207,MATCH(H64,'Catalogos_PDN'!$U$5:$U$207,0)),"x")&lt;&gt;LEFT(E64,7)),"La acción no corresponde a la meta seleccionada",IF(OR(NOT(ISNUMBER(M64)),M64&lt;10000000,M64&gt;99999999),"Código UNSPSC inválido: registre 8 dígitos",IF(MOD(M64,10000)=0,"UNSPSC a nivel de segmento o familia: use clase o producto",IF(IFERROR(MATCH(P64,PN_MESES,0)&lt;MATCH(O64,PN_MESES,0),TRUE()),"El mes de ofertas es anterior al de inicio del proceso",IF(OR(NOT(ISNUMBER(Q64)),Q64&lt;=0),"Duración inválida",IF(OR(NOT(ISNUMBER(W64)),NOT(ISNUMBER(X64))),"Valor inválido: registre solo números",IF(OR(W64&lt;=0,X64&lt;=0),"Valor inválido: debe ser mayor que cero",IF(X64&gt;W64,"El valor de la vigencia 2027 supera el valor total",IF(AND(X64&lt;W64,Y64="No"),"El valor total supera el de 2027: requiere vigencias futuras",IF(AND(Y64="Sí",OR(Z64="",Z64="No aplica")),"Indique el estado de la solicitud de vigencias futuras",IF(IF(AND(S64="Mínima cuantía",ISNUMBER(PN_TOPE_MINIMA)),W64&gt;PN_TOPE_MINIMA,FALSE()),"El valor supera el tope de mínima cuantía 2027",IF(IF(AND(S64="Selección abreviada de menor cuantía",ISNUMBER(PN_TOPE_MENOR)),W64&gt;PN_TOPE_MENOR,FALSE()),"El valor supera el tope de menor cuantía 2027",IF(OR(ISERROR(SEARCH("@itc.edu.co",AE64)),SUMPRODUCT(--ISNUMBER(SEARCH({"á","é","í","ó","ú","ñ"," "},AE64)))&gt;0),"El correo del responsable no es institucional válido",IF(AND(AF64="Sí",AG64=""),"Indique el N.° de registro 2026 que continúa","OK")))))))))))))))))</f>
        <v/>
      </c>
      <c r="AK64" s="114">
        <f>IF(AJ64="OK",COUNTIF($AJ$7:AJ64,"OK"),"")</f>
        <v/>
      </c>
    </row>
    <row r="65">
      <c r="A65" s="110">
        <f>"PN27-"&amp;TEXT(ROW()-6,"000")</f>
        <v/>
      </c>
      <c r="B65" s="111" t="n"/>
      <c r="C65" s="110">
        <f>IF(B65="","",IFERROR(INDEX('Catalogos_PDN'!$R$5:$R$51,MATCH(B65,PN_AREAS,0)),""))</f>
        <v/>
      </c>
      <c r="D65" s="110">
        <f>IF(B65="","",IFERROR(INDEX('Catalogos_PDN'!$O$5:$O$51,MATCH(B65,PN_AREAS,0)),""))</f>
        <v/>
      </c>
      <c r="E65" s="111" t="n"/>
      <c r="F65" s="110">
        <f>IF(E65="","",IFERROR(INDEX('Catalogos_PDN'!$C$5:$C$49,MATCH(E65,PN_METAS,0)),""))</f>
        <v/>
      </c>
      <c r="G65" s="110">
        <f>IF(E65="","",IFERROR(INDEX('Catalogos_PDN'!$E$5:$E$49,MATCH(E65,PN_METAS,0)),""))</f>
        <v/>
      </c>
      <c r="H65" s="111" t="n"/>
      <c r="I65" s="111" t="n"/>
      <c r="J65" s="111" t="n"/>
      <c r="K65" s="111" t="n"/>
      <c r="L65" s="111" t="n"/>
      <c r="M65" s="112" t="n"/>
      <c r="N65" s="111" t="n"/>
      <c r="O65" s="111" t="n"/>
      <c r="P65" s="111" t="n"/>
      <c r="Q65" s="111" t="n"/>
      <c r="R65" s="111" t="n"/>
      <c r="S65" s="111" t="n"/>
      <c r="T65" s="111" t="n"/>
      <c r="U65" s="111" t="n"/>
      <c r="V65" s="111" t="n"/>
      <c r="W65" s="113" t="n"/>
      <c r="X65" s="113" t="n"/>
      <c r="Y65" s="111" t="n"/>
      <c r="Z65" s="111" t="n"/>
      <c r="AA65" s="111" t="n"/>
      <c r="AB65" s="111" t="n"/>
      <c r="AC65" s="111" t="n"/>
      <c r="AD65" s="111" t="n"/>
      <c r="AE65" s="111" t="n"/>
      <c r="AF65" s="111" t="n"/>
      <c r="AG65" s="111" t="n"/>
      <c r="AH65" s="111" t="n"/>
      <c r="AI65" s="111" t="n"/>
      <c r="AJ65" s="114">
        <f>IF(COUNTA(B65,E65,H65,I65,J65,K65,L65,M65,N65,O65,P65,Q65,R65,S65,T65,U65,V65,W65,X65,Y65,Z65,AA65,AB65,AC65,AD65,AE65,AF65,AG65,AH65,AI65)=0,"",IF(OR(B65="",E65="",H65="",J65="",K65="",L65="",M65="",O65="",P65="",Q65="",R65="",S65="",T65="",U65="",W65="",X65="",Y65="",AB65="",AC65="",AE65="",AF65=""),"Incompleta: faltan campos obligatorios",IF(AND(LEFT(H65,6)="PROPIA",I65=""),"Falta el nombre de la acción propia del área",IF(AND(LEFT(H65,4)="AC27",IFERROR(INDEX('Catalogos_PDN'!$T$5:$T$207,MATCH(H65,'Catalogos_PDN'!$U$5:$U$207,0)),"x")&lt;&gt;LEFT(E65,7)),"La acción no corresponde a la meta seleccionada",IF(OR(NOT(ISNUMBER(M65)),M65&lt;10000000,M65&gt;99999999),"Código UNSPSC inválido: registre 8 dígitos",IF(MOD(M65,10000)=0,"UNSPSC a nivel de segmento o familia: use clase o producto",IF(IFERROR(MATCH(P65,PN_MESES,0)&lt;MATCH(O65,PN_MESES,0),TRUE()),"El mes de ofertas es anterior al de inicio del proceso",IF(OR(NOT(ISNUMBER(Q65)),Q65&lt;=0),"Duración inválida",IF(OR(NOT(ISNUMBER(W65)),NOT(ISNUMBER(X65))),"Valor inválido: registre solo números",IF(OR(W65&lt;=0,X65&lt;=0),"Valor inválido: debe ser mayor que cero",IF(X65&gt;W65,"El valor de la vigencia 2027 supera el valor total",IF(AND(X65&lt;W65,Y65="No"),"El valor total supera el de 2027: requiere vigencias futuras",IF(AND(Y65="Sí",OR(Z65="",Z65="No aplica")),"Indique el estado de la solicitud de vigencias futuras",IF(IF(AND(S65="Mínima cuantía",ISNUMBER(PN_TOPE_MINIMA)),W65&gt;PN_TOPE_MINIMA,FALSE()),"El valor supera el tope de mínima cuantía 2027",IF(IF(AND(S65="Selección abreviada de menor cuantía",ISNUMBER(PN_TOPE_MENOR)),W65&gt;PN_TOPE_MENOR,FALSE()),"El valor supera el tope de menor cuantía 2027",IF(OR(ISERROR(SEARCH("@itc.edu.co",AE65)),SUMPRODUCT(--ISNUMBER(SEARCH({"á","é","í","ó","ú","ñ"," "},AE65)))&gt;0),"El correo del responsable no es institucional válido",IF(AND(AF65="Sí",AG65=""),"Indique el N.° de registro 2026 que continúa","OK")))))))))))))))))</f>
        <v/>
      </c>
      <c r="AK65" s="114">
        <f>IF(AJ65="OK",COUNTIF($AJ$7:AJ65,"OK"),"")</f>
        <v/>
      </c>
    </row>
    <row r="66">
      <c r="A66" s="110">
        <f>"PN27-"&amp;TEXT(ROW()-6,"000")</f>
        <v/>
      </c>
      <c r="B66" s="111" t="n"/>
      <c r="C66" s="110">
        <f>IF(B66="","",IFERROR(INDEX('Catalogos_PDN'!$R$5:$R$51,MATCH(B66,PN_AREAS,0)),""))</f>
        <v/>
      </c>
      <c r="D66" s="110">
        <f>IF(B66="","",IFERROR(INDEX('Catalogos_PDN'!$O$5:$O$51,MATCH(B66,PN_AREAS,0)),""))</f>
        <v/>
      </c>
      <c r="E66" s="111" t="n"/>
      <c r="F66" s="110">
        <f>IF(E66="","",IFERROR(INDEX('Catalogos_PDN'!$C$5:$C$49,MATCH(E66,PN_METAS,0)),""))</f>
        <v/>
      </c>
      <c r="G66" s="110">
        <f>IF(E66="","",IFERROR(INDEX('Catalogos_PDN'!$E$5:$E$49,MATCH(E66,PN_METAS,0)),""))</f>
        <v/>
      </c>
      <c r="H66" s="111" t="n"/>
      <c r="I66" s="111" t="n"/>
      <c r="J66" s="111" t="n"/>
      <c r="K66" s="111" t="n"/>
      <c r="L66" s="111" t="n"/>
      <c r="M66" s="112" t="n"/>
      <c r="N66" s="111" t="n"/>
      <c r="O66" s="111" t="n"/>
      <c r="P66" s="111" t="n"/>
      <c r="Q66" s="111" t="n"/>
      <c r="R66" s="111" t="n"/>
      <c r="S66" s="111" t="n"/>
      <c r="T66" s="111" t="n"/>
      <c r="U66" s="111" t="n"/>
      <c r="V66" s="111" t="n"/>
      <c r="W66" s="113" t="n"/>
      <c r="X66" s="113" t="n"/>
      <c r="Y66" s="111" t="n"/>
      <c r="Z66" s="111" t="n"/>
      <c r="AA66" s="111" t="n"/>
      <c r="AB66" s="111" t="n"/>
      <c r="AC66" s="111" t="n"/>
      <c r="AD66" s="111" t="n"/>
      <c r="AE66" s="111" t="n"/>
      <c r="AF66" s="111" t="n"/>
      <c r="AG66" s="111" t="n"/>
      <c r="AH66" s="111" t="n"/>
      <c r="AI66" s="111" t="n"/>
      <c r="AJ66" s="114">
        <f>IF(COUNTA(B66,E66,H66,I66,J66,K66,L66,M66,N66,O66,P66,Q66,R66,S66,T66,U66,V66,W66,X66,Y66,Z66,AA66,AB66,AC66,AD66,AE66,AF66,AG66,AH66,AI66)=0,"",IF(OR(B66="",E66="",H66="",J66="",K66="",L66="",M66="",O66="",P66="",Q66="",R66="",S66="",T66="",U66="",W66="",X66="",Y66="",AB66="",AC66="",AE66="",AF66=""),"Incompleta: faltan campos obligatorios",IF(AND(LEFT(H66,6)="PROPIA",I66=""),"Falta el nombre de la acción propia del área",IF(AND(LEFT(H66,4)="AC27",IFERROR(INDEX('Catalogos_PDN'!$T$5:$T$207,MATCH(H66,'Catalogos_PDN'!$U$5:$U$207,0)),"x")&lt;&gt;LEFT(E66,7)),"La acción no corresponde a la meta seleccionada",IF(OR(NOT(ISNUMBER(M66)),M66&lt;10000000,M66&gt;99999999),"Código UNSPSC inválido: registre 8 dígitos",IF(MOD(M66,10000)=0,"UNSPSC a nivel de segmento o familia: use clase o producto",IF(IFERROR(MATCH(P66,PN_MESES,0)&lt;MATCH(O66,PN_MESES,0),TRUE()),"El mes de ofertas es anterior al de inicio del proceso",IF(OR(NOT(ISNUMBER(Q66)),Q66&lt;=0),"Duración inválida",IF(OR(NOT(ISNUMBER(W66)),NOT(ISNUMBER(X66))),"Valor inválido: registre solo números",IF(OR(W66&lt;=0,X66&lt;=0),"Valor inválido: debe ser mayor que cero",IF(X66&gt;W66,"El valor de la vigencia 2027 supera el valor total",IF(AND(X66&lt;W66,Y66="No"),"El valor total supera el de 2027: requiere vigencias futuras",IF(AND(Y66="Sí",OR(Z66="",Z66="No aplica")),"Indique el estado de la solicitud de vigencias futuras",IF(IF(AND(S66="Mínima cuantía",ISNUMBER(PN_TOPE_MINIMA)),W66&gt;PN_TOPE_MINIMA,FALSE()),"El valor supera el tope de mínima cuantía 2027",IF(IF(AND(S66="Selección abreviada de menor cuantía",ISNUMBER(PN_TOPE_MENOR)),W66&gt;PN_TOPE_MENOR,FALSE()),"El valor supera el tope de menor cuantía 2027",IF(OR(ISERROR(SEARCH("@itc.edu.co",AE66)),SUMPRODUCT(--ISNUMBER(SEARCH({"á","é","í","ó","ú","ñ"," "},AE66)))&gt;0),"El correo del responsable no es institucional válido",IF(AND(AF66="Sí",AG66=""),"Indique el N.° de registro 2026 que continúa","OK")))))))))))))))))</f>
        <v/>
      </c>
      <c r="AK66" s="114">
        <f>IF(AJ66="OK",COUNTIF($AJ$7:AJ66,"OK"),"")</f>
        <v/>
      </c>
    </row>
    <row r="67">
      <c r="A67" s="110">
        <f>"PN27-"&amp;TEXT(ROW()-6,"000")</f>
        <v/>
      </c>
      <c r="B67" s="111" t="n"/>
      <c r="C67" s="110">
        <f>IF(B67="","",IFERROR(INDEX('Catalogos_PDN'!$R$5:$R$51,MATCH(B67,PN_AREAS,0)),""))</f>
        <v/>
      </c>
      <c r="D67" s="110">
        <f>IF(B67="","",IFERROR(INDEX('Catalogos_PDN'!$O$5:$O$51,MATCH(B67,PN_AREAS,0)),""))</f>
        <v/>
      </c>
      <c r="E67" s="111" t="n"/>
      <c r="F67" s="110">
        <f>IF(E67="","",IFERROR(INDEX('Catalogos_PDN'!$C$5:$C$49,MATCH(E67,PN_METAS,0)),""))</f>
        <v/>
      </c>
      <c r="G67" s="110">
        <f>IF(E67="","",IFERROR(INDEX('Catalogos_PDN'!$E$5:$E$49,MATCH(E67,PN_METAS,0)),""))</f>
        <v/>
      </c>
      <c r="H67" s="111" t="n"/>
      <c r="I67" s="111" t="n"/>
      <c r="J67" s="111" t="n"/>
      <c r="K67" s="111" t="n"/>
      <c r="L67" s="111" t="n"/>
      <c r="M67" s="112" t="n"/>
      <c r="N67" s="111" t="n"/>
      <c r="O67" s="111" t="n"/>
      <c r="P67" s="111" t="n"/>
      <c r="Q67" s="111" t="n"/>
      <c r="R67" s="111" t="n"/>
      <c r="S67" s="111" t="n"/>
      <c r="T67" s="111" t="n"/>
      <c r="U67" s="111" t="n"/>
      <c r="V67" s="111" t="n"/>
      <c r="W67" s="113" t="n"/>
      <c r="X67" s="113" t="n"/>
      <c r="Y67" s="111" t="n"/>
      <c r="Z67" s="111" t="n"/>
      <c r="AA67" s="111" t="n"/>
      <c r="AB67" s="111" t="n"/>
      <c r="AC67" s="111" t="n"/>
      <c r="AD67" s="111" t="n"/>
      <c r="AE67" s="111" t="n"/>
      <c r="AF67" s="111" t="n"/>
      <c r="AG67" s="111" t="n"/>
      <c r="AH67" s="111" t="n"/>
      <c r="AI67" s="111" t="n"/>
      <c r="AJ67" s="114">
        <f>IF(COUNTA(B67,E67,H67,I67,J67,K67,L67,M67,N67,O67,P67,Q67,R67,S67,T67,U67,V67,W67,X67,Y67,Z67,AA67,AB67,AC67,AD67,AE67,AF67,AG67,AH67,AI67)=0,"",IF(OR(B67="",E67="",H67="",J67="",K67="",L67="",M67="",O67="",P67="",Q67="",R67="",S67="",T67="",U67="",W67="",X67="",Y67="",AB67="",AC67="",AE67="",AF67=""),"Incompleta: faltan campos obligatorios",IF(AND(LEFT(H67,6)="PROPIA",I67=""),"Falta el nombre de la acción propia del área",IF(AND(LEFT(H67,4)="AC27",IFERROR(INDEX('Catalogos_PDN'!$T$5:$T$207,MATCH(H67,'Catalogos_PDN'!$U$5:$U$207,0)),"x")&lt;&gt;LEFT(E67,7)),"La acción no corresponde a la meta seleccionada",IF(OR(NOT(ISNUMBER(M67)),M67&lt;10000000,M67&gt;99999999),"Código UNSPSC inválido: registre 8 dígitos",IF(MOD(M67,10000)=0,"UNSPSC a nivel de segmento o familia: use clase o producto",IF(IFERROR(MATCH(P67,PN_MESES,0)&lt;MATCH(O67,PN_MESES,0),TRUE()),"El mes de ofertas es anterior al de inicio del proceso",IF(OR(NOT(ISNUMBER(Q67)),Q67&lt;=0),"Duración inválida",IF(OR(NOT(ISNUMBER(W67)),NOT(ISNUMBER(X67))),"Valor inválido: registre solo números",IF(OR(W67&lt;=0,X67&lt;=0),"Valor inválido: debe ser mayor que cero",IF(X67&gt;W67,"El valor de la vigencia 2027 supera el valor total",IF(AND(X67&lt;W67,Y67="No"),"El valor total supera el de 2027: requiere vigencias futuras",IF(AND(Y67="Sí",OR(Z67="",Z67="No aplica")),"Indique el estado de la solicitud de vigencias futuras",IF(IF(AND(S67="Mínima cuantía",ISNUMBER(PN_TOPE_MINIMA)),W67&gt;PN_TOPE_MINIMA,FALSE()),"El valor supera el tope de mínima cuantía 2027",IF(IF(AND(S67="Selección abreviada de menor cuantía",ISNUMBER(PN_TOPE_MENOR)),W67&gt;PN_TOPE_MENOR,FALSE()),"El valor supera el tope de menor cuantía 2027",IF(OR(ISERROR(SEARCH("@itc.edu.co",AE67)),SUMPRODUCT(--ISNUMBER(SEARCH({"á","é","í","ó","ú","ñ"," "},AE67)))&gt;0),"El correo del responsable no es institucional válido",IF(AND(AF67="Sí",AG67=""),"Indique el N.° de registro 2026 que continúa","OK")))))))))))))))))</f>
        <v/>
      </c>
      <c r="AK67" s="114">
        <f>IF(AJ67="OK",COUNTIF($AJ$7:AJ67,"OK"),"")</f>
        <v/>
      </c>
    </row>
    <row r="68">
      <c r="A68" s="110">
        <f>"PN27-"&amp;TEXT(ROW()-6,"000")</f>
        <v/>
      </c>
      <c r="B68" s="111" t="n"/>
      <c r="C68" s="110">
        <f>IF(B68="","",IFERROR(INDEX('Catalogos_PDN'!$R$5:$R$51,MATCH(B68,PN_AREAS,0)),""))</f>
        <v/>
      </c>
      <c r="D68" s="110">
        <f>IF(B68="","",IFERROR(INDEX('Catalogos_PDN'!$O$5:$O$51,MATCH(B68,PN_AREAS,0)),""))</f>
        <v/>
      </c>
      <c r="E68" s="111" t="n"/>
      <c r="F68" s="110">
        <f>IF(E68="","",IFERROR(INDEX('Catalogos_PDN'!$C$5:$C$49,MATCH(E68,PN_METAS,0)),""))</f>
        <v/>
      </c>
      <c r="G68" s="110">
        <f>IF(E68="","",IFERROR(INDEX('Catalogos_PDN'!$E$5:$E$49,MATCH(E68,PN_METAS,0)),""))</f>
        <v/>
      </c>
      <c r="H68" s="111" t="n"/>
      <c r="I68" s="111" t="n"/>
      <c r="J68" s="111" t="n"/>
      <c r="K68" s="111" t="n"/>
      <c r="L68" s="111" t="n"/>
      <c r="M68" s="112" t="n"/>
      <c r="N68" s="111" t="n"/>
      <c r="O68" s="111" t="n"/>
      <c r="P68" s="111" t="n"/>
      <c r="Q68" s="111" t="n"/>
      <c r="R68" s="111" t="n"/>
      <c r="S68" s="111" t="n"/>
      <c r="T68" s="111" t="n"/>
      <c r="U68" s="111" t="n"/>
      <c r="V68" s="111" t="n"/>
      <c r="W68" s="113" t="n"/>
      <c r="X68" s="113" t="n"/>
      <c r="Y68" s="111" t="n"/>
      <c r="Z68" s="111" t="n"/>
      <c r="AA68" s="111" t="n"/>
      <c r="AB68" s="111" t="n"/>
      <c r="AC68" s="111" t="n"/>
      <c r="AD68" s="111" t="n"/>
      <c r="AE68" s="111" t="n"/>
      <c r="AF68" s="111" t="n"/>
      <c r="AG68" s="111" t="n"/>
      <c r="AH68" s="111" t="n"/>
      <c r="AI68" s="111" t="n"/>
      <c r="AJ68" s="114">
        <f>IF(COUNTA(B68,E68,H68,I68,J68,K68,L68,M68,N68,O68,P68,Q68,R68,S68,T68,U68,V68,W68,X68,Y68,Z68,AA68,AB68,AC68,AD68,AE68,AF68,AG68,AH68,AI68)=0,"",IF(OR(B68="",E68="",H68="",J68="",K68="",L68="",M68="",O68="",P68="",Q68="",R68="",S68="",T68="",U68="",W68="",X68="",Y68="",AB68="",AC68="",AE68="",AF68=""),"Incompleta: faltan campos obligatorios",IF(AND(LEFT(H68,6)="PROPIA",I68=""),"Falta el nombre de la acción propia del área",IF(AND(LEFT(H68,4)="AC27",IFERROR(INDEX('Catalogos_PDN'!$T$5:$T$207,MATCH(H68,'Catalogos_PDN'!$U$5:$U$207,0)),"x")&lt;&gt;LEFT(E68,7)),"La acción no corresponde a la meta seleccionada",IF(OR(NOT(ISNUMBER(M68)),M68&lt;10000000,M68&gt;99999999),"Código UNSPSC inválido: registre 8 dígitos",IF(MOD(M68,10000)=0,"UNSPSC a nivel de segmento o familia: use clase o producto",IF(IFERROR(MATCH(P68,PN_MESES,0)&lt;MATCH(O68,PN_MESES,0),TRUE()),"El mes de ofertas es anterior al de inicio del proceso",IF(OR(NOT(ISNUMBER(Q68)),Q68&lt;=0),"Duración inválida",IF(OR(NOT(ISNUMBER(W68)),NOT(ISNUMBER(X68))),"Valor inválido: registre solo números",IF(OR(W68&lt;=0,X68&lt;=0),"Valor inválido: debe ser mayor que cero",IF(X68&gt;W68,"El valor de la vigencia 2027 supera el valor total",IF(AND(X68&lt;W68,Y68="No"),"El valor total supera el de 2027: requiere vigencias futuras",IF(AND(Y68="Sí",OR(Z68="",Z68="No aplica")),"Indique el estado de la solicitud de vigencias futuras",IF(IF(AND(S68="Mínima cuantía",ISNUMBER(PN_TOPE_MINIMA)),W68&gt;PN_TOPE_MINIMA,FALSE()),"El valor supera el tope de mínima cuantía 2027",IF(IF(AND(S68="Selección abreviada de menor cuantía",ISNUMBER(PN_TOPE_MENOR)),W68&gt;PN_TOPE_MENOR,FALSE()),"El valor supera el tope de menor cuantía 2027",IF(OR(ISERROR(SEARCH("@itc.edu.co",AE68)),SUMPRODUCT(--ISNUMBER(SEARCH({"á","é","í","ó","ú","ñ"," "},AE68)))&gt;0),"El correo del responsable no es institucional válido",IF(AND(AF68="Sí",AG68=""),"Indique el N.° de registro 2026 que continúa","OK")))))))))))))))))</f>
        <v/>
      </c>
      <c r="AK68" s="114">
        <f>IF(AJ68="OK",COUNTIF($AJ$7:AJ68,"OK"),"")</f>
        <v/>
      </c>
    </row>
    <row r="69">
      <c r="A69" s="110">
        <f>"PN27-"&amp;TEXT(ROW()-6,"000")</f>
        <v/>
      </c>
      <c r="B69" s="111" t="n"/>
      <c r="C69" s="110">
        <f>IF(B69="","",IFERROR(INDEX('Catalogos_PDN'!$R$5:$R$51,MATCH(B69,PN_AREAS,0)),""))</f>
        <v/>
      </c>
      <c r="D69" s="110">
        <f>IF(B69="","",IFERROR(INDEX('Catalogos_PDN'!$O$5:$O$51,MATCH(B69,PN_AREAS,0)),""))</f>
        <v/>
      </c>
      <c r="E69" s="111" t="n"/>
      <c r="F69" s="110">
        <f>IF(E69="","",IFERROR(INDEX('Catalogos_PDN'!$C$5:$C$49,MATCH(E69,PN_METAS,0)),""))</f>
        <v/>
      </c>
      <c r="G69" s="110">
        <f>IF(E69="","",IFERROR(INDEX('Catalogos_PDN'!$E$5:$E$49,MATCH(E69,PN_METAS,0)),""))</f>
        <v/>
      </c>
      <c r="H69" s="111" t="n"/>
      <c r="I69" s="111" t="n"/>
      <c r="J69" s="111" t="n"/>
      <c r="K69" s="111" t="n"/>
      <c r="L69" s="111" t="n"/>
      <c r="M69" s="112" t="n"/>
      <c r="N69" s="111" t="n"/>
      <c r="O69" s="111" t="n"/>
      <c r="P69" s="111" t="n"/>
      <c r="Q69" s="111" t="n"/>
      <c r="R69" s="111" t="n"/>
      <c r="S69" s="111" t="n"/>
      <c r="T69" s="111" t="n"/>
      <c r="U69" s="111" t="n"/>
      <c r="V69" s="111" t="n"/>
      <c r="W69" s="113" t="n"/>
      <c r="X69" s="113" t="n"/>
      <c r="Y69" s="111" t="n"/>
      <c r="Z69" s="111" t="n"/>
      <c r="AA69" s="111" t="n"/>
      <c r="AB69" s="111" t="n"/>
      <c r="AC69" s="111" t="n"/>
      <c r="AD69" s="111" t="n"/>
      <c r="AE69" s="111" t="n"/>
      <c r="AF69" s="111" t="n"/>
      <c r="AG69" s="111" t="n"/>
      <c r="AH69" s="111" t="n"/>
      <c r="AI69" s="111" t="n"/>
      <c r="AJ69" s="114">
        <f>IF(COUNTA(B69,E69,H69,I69,J69,K69,L69,M69,N69,O69,P69,Q69,R69,S69,T69,U69,V69,W69,X69,Y69,Z69,AA69,AB69,AC69,AD69,AE69,AF69,AG69,AH69,AI69)=0,"",IF(OR(B69="",E69="",H69="",J69="",K69="",L69="",M69="",O69="",P69="",Q69="",R69="",S69="",T69="",U69="",W69="",X69="",Y69="",AB69="",AC69="",AE69="",AF69=""),"Incompleta: faltan campos obligatorios",IF(AND(LEFT(H69,6)="PROPIA",I69=""),"Falta el nombre de la acción propia del área",IF(AND(LEFT(H69,4)="AC27",IFERROR(INDEX('Catalogos_PDN'!$T$5:$T$207,MATCH(H69,'Catalogos_PDN'!$U$5:$U$207,0)),"x")&lt;&gt;LEFT(E69,7)),"La acción no corresponde a la meta seleccionada",IF(OR(NOT(ISNUMBER(M69)),M69&lt;10000000,M69&gt;99999999),"Código UNSPSC inválido: registre 8 dígitos",IF(MOD(M69,10000)=0,"UNSPSC a nivel de segmento o familia: use clase o producto",IF(IFERROR(MATCH(P69,PN_MESES,0)&lt;MATCH(O69,PN_MESES,0),TRUE()),"El mes de ofertas es anterior al de inicio del proceso",IF(OR(NOT(ISNUMBER(Q69)),Q69&lt;=0),"Duración inválida",IF(OR(NOT(ISNUMBER(W69)),NOT(ISNUMBER(X69))),"Valor inválido: registre solo números",IF(OR(W69&lt;=0,X69&lt;=0),"Valor inválido: debe ser mayor que cero",IF(X69&gt;W69,"El valor de la vigencia 2027 supera el valor total",IF(AND(X69&lt;W69,Y69="No"),"El valor total supera el de 2027: requiere vigencias futuras",IF(AND(Y69="Sí",OR(Z69="",Z69="No aplica")),"Indique el estado de la solicitud de vigencias futuras",IF(IF(AND(S69="Mínima cuantía",ISNUMBER(PN_TOPE_MINIMA)),W69&gt;PN_TOPE_MINIMA,FALSE()),"El valor supera el tope de mínima cuantía 2027",IF(IF(AND(S69="Selección abreviada de menor cuantía",ISNUMBER(PN_TOPE_MENOR)),W69&gt;PN_TOPE_MENOR,FALSE()),"El valor supera el tope de menor cuantía 2027",IF(OR(ISERROR(SEARCH("@itc.edu.co",AE69)),SUMPRODUCT(--ISNUMBER(SEARCH({"á","é","í","ó","ú","ñ"," "},AE69)))&gt;0),"El correo del responsable no es institucional válido",IF(AND(AF69="Sí",AG69=""),"Indique el N.° de registro 2026 que continúa","OK")))))))))))))))))</f>
        <v/>
      </c>
      <c r="AK69" s="114">
        <f>IF(AJ69="OK",COUNTIF($AJ$7:AJ69,"OK"),"")</f>
        <v/>
      </c>
    </row>
    <row r="70">
      <c r="A70" s="110">
        <f>"PN27-"&amp;TEXT(ROW()-6,"000")</f>
        <v/>
      </c>
      <c r="B70" s="111" t="n"/>
      <c r="C70" s="110">
        <f>IF(B70="","",IFERROR(INDEX('Catalogos_PDN'!$R$5:$R$51,MATCH(B70,PN_AREAS,0)),""))</f>
        <v/>
      </c>
      <c r="D70" s="110">
        <f>IF(B70="","",IFERROR(INDEX('Catalogos_PDN'!$O$5:$O$51,MATCH(B70,PN_AREAS,0)),""))</f>
        <v/>
      </c>
      <c r="E70" s="111" t="n"/>
      <c r="F70" s="110">
        <f>IF(E70="","",IFERROR(INDEX('Catalogos_PDN'!$C$5:$C$49,MATCH(E70,PN_METAS,0)),""))</f>
        <v/>
      </c>
      <c r="G70" s="110">
        <f>IF(E70="","",IFERROR(INDEX('Catalogos_PDN'!$E$5:$E$49,MATCH(E70,PN_METAS,0)),""))</f>
        <v/>
      </c>
      <c r="H70" s="111" t="n"/>
      <c r="I70" s="111" t="n"/>
      <c r="J70" s="111" t="n"/>
      <c r="K70" s="111" t="n"/>
      <c r="L70" s="111" t="n"/>
      <c r="M70" s="112" t="n"/>
      <c r="N70" s="111" t="n"/>
      <c r="O70" s="111" t="n"/>
      <c r="P70" s="111" t="n"/>
      <c r="Q70" s="111" t="n"/>
      <c r="R70" s="111" t="n"/>
      <c r="S70" s="111" t="n"/>
      <c r="T70" s="111" t="n"/>
      <c r="U70" s="111" t="n"/>
      <c r="V70" s="111" t="n"/>
      <c r="W70" s="113" t="n"/>
      <c r="X70" s="113" t="n"/>
      <c r="Y70" s="111" t="n"/>
      <c r="Z70" s="111" t="n"/>
      <c r="AA70" s="111" t="n"/>
      <c r="AB70" s="111" t="n"/>
      <c r="AC70" s="111" t="n"/>
      <c r="AD70" s="111" t="n"/>
      <c r="AE70" s="111" t="n"/>
      <c r="AF70" s="111" t="n"/>
      <c r="AG70" s="111" t="n"/>
      <c r="AH70" s="111" t="n"/>
      <c r="AI70" s="111" t="n"/>
      <c r="AJ70" s="114">
        <f>IF(COUNTA(B70,E70,H70,I70,J70,K70,L70,M70,N70,O70,P70,Q70,R70,S70,T70,U70,V70,W70,X70,Y70,Z70,AA70,AB70,AC70,AD70,AE70,AF70,AG70,AH70,AI70)=0,"",IF(OR(B70="",E70="",H70="",J70="",K70="",L70="",M70="",O70="",P70="",Q70="",R70="",S70="",T70="",U70="",W70="",X70="",Y70="",AB70="",AC70="",AE70="",AF70=""),"Incompleta: faltan campos obligatorios",IF(AND(LEFT(H70,6)="PROPIA",I70=""),"Falta el nombre de la acción propia del área",IF(AND(LEFT(H70,4)="AC27",IFERROR(INDEX('Catalogos_PDN'!$T$5:$T$207,MATCH(H70,'Catalogos_PDN'!$U$5:$U$207,0)),"x")&lt;&gt;LEFT(E70,7)),"La acción no corresponde a la meta seleccionada",IF(OR(NOT(ISNUMBER(M70)),M70&lt;10000000,M70&gt;99999999),"Código UNSPSC inválido: registre 8 dígitos",IF(MOD(M70,10000)=0,"UNSPSC a nivel de segmento o familia: use clase o producto",IF(IFERROR(MATCH(P70,PN_MESES,0)&lt;MATCH(O70,PN_MESES,0),TRUE()),"El mes de ofertas es anterior al de inicio del proceso",IF(OR(NOT(ISNUMBER(Q70)),Q70&lt;=0),"Duración inválida",IF(OR(NOT(ISNUMBER(W70)),NOT(ISNUMBER(X70))),"Valor inválido: registre solo números",IF(OR(W70&lt;=0,X70&lt;=0),"Valor inválido: debe ser mayor que cero",IF(X70&gt;W70,"El valor de la vigencia 2027 supera el valor total",IF(AND(X70&lt;W70,Y70="No"),"El valor total supera el de 2027: requiere vigencias futuras",IF(AND(Y70="Sí",OR(Z70="",Z70="No aplica")),"Indique el estado de la solicitud de vigencias futuras",IF(IF(AND(S70="Mínima cuantía",ISNUMBER(PN_TOPE_MINIMA)),W70&gt;PN_TOPE_MINIMA,FALSE()),"El valor supera el tope de mínima cuantía 2027",IF(IF(AND(S70="Selección abreviada de menor cuantía",ISNUMBER(PN_TOPE_MENOR)),W70&gt;PN_TOPE_MENOR,FALSE()),"El valor supera el tope de menor cuantía 2027",IF(OR(ISERROR(SEARCH("@itc.edu.co",AE70)),SUMPRODUCT(--ISNUMBER(SEARCH({"á","é","í","ó","ú","ñ"," "},AE70)))&gt;0),"El correo del responsable no es institucional válido",IF(AND(AF70="Sí",AG70=""),"Indique el N.° de registro 2026 que continúa","OK")))))))))))))))))</f>
        <v/>
      </c>
      <c r="AK70" s="114">
        <f>IF(AJ70="OK",COUNTIF($AJ$7:AJ70,"OK"),"")</f>
        <v/>
      </c>
    </row>
    <row r="71">
      <c r="A71" s="110">
        <f>"PN27-"&amp;TEXT(ROW()-6,"000")</f>
        <v/>
      </c>
      <c r="B71" s="111" t="n"/>
      <c r="C71" s="110">
        <f>IF(B71="","",IFERROR(INDEX('Catalogos_PDN'!$R$5:$R$51,MATCH(B71,PN_AREAS,0)),""))</f>
        <v/>
      </c>
      <c r="D71" s="110">
        <f>IF(B71="","",IFERROR(INDEX('Catalogos_PDN'!$O$5:$O$51,MATCH(B71,PN_AREAS,0)),""))</f>
        <v/>
      </c>
      <c r="E71" s="111" t="n"/>
      <c r="F71" s="110">
        <f>IF(E71="","",IFERROR(INDEX('Catalogos_PDN'!$C$5:$C$49,MATCH(E71,PN_METAS,0)),""))</f>
        <v/>
      </c>
      <c r="G71" s="110">
        <f>IF(E71="","",IFERROR(INDEX('Catalogos_PDN'!$E$5:$E$49,MATCH(E71,PN_METAS,0)),""))</f>
        <v/>
      </c>
      <c r="H71" s="111" t="n"/>
      <c r="I71" s="111" t="n"/>
      <c r="J71" s="111" t="n"/>
      <c r="K71" s="111" t="n"/>
      <c r="L71" s="111" t="n"/>
      <c r="M71" s="112" t="n"/>
      <c r="N71" s="111" t="n"/>
      <c r="O71" s="111" t="n"/>
      <c r="P71" s="111" t="n"/>
      <c r="Q71" s="111" t="n"/>
      <c r="R71" s="111" t="n"/>
      <c r="S71" s="111" t="n"/>
      <c r="T71" s="111" t="n"/>
      <c r="U71" s="111" t="n"/>
      <c r="V71" s="111" t="n"/>
      <c r="W71" s="113" t="n"/>
      <c r="X71" s="113" t="n"/>
      <c r="Y71" s="111" t="n"/>
      <c r="Z71" s="111" t="n"/>
      <c r="AA71" s="111" t="n"/>
      <c r="AB71" s="111" t="n"/>
      <c r="AC71" s="111" t="n"/>
      <c r="AD71" s="111" t="n"/>
      <c r="AE71" s="111" t="n"/>
      <c r="AF71" s="111" t="n"/>
      <c r="AG71" s="111" t="n"/>
      <c r="AH71" s="111" t="n"/>
      <c r="AI71" s="111" t="n"/>
      <c r="AJ71" s="114">
        <f>IF(COUNTA(B71,E71,H71,I71,J71,K71,L71,M71,N71,O71,P71,Q71,R71,S71,T71,U71,V71,W71,X71,Y71,Z71,AA71,AB71,AC71,AD71,AE71,AF71,AG71,AH71,AI71)=0,"",IF(OR(B71="",E71="",H71="",J71="",K71="",L71="",M71="",O71="",P71="",Q71="",R71="",S71="",T71="",U71="",W71="",X71="",Y71="",AB71="",AC71="",AE71="",AF71=""),"Incompleta: faltan campos obligatorios",IF(AND(LEFT(H71,6)="PROPIA",I71=""),"Falta el nombre de la acción propia del área",IF(AND(LEFT(H71,4)="AC27",IFERROR(INDEX('Catalogos_PDN'!$T$5:$T$207,MATCH(H71,'Catalogos_PDN'!$U$5:$U$207,0)),"x")&lt;&gt;LEFT(E71,7)),"La acción no corresponde a la meta seleccionada",IF(OR(NOT(ISNUMBER(M71)),M71&lt;10000000,M71&gt;99999999),"Código UNSPSC inválido: registre 8 dígitos",IF(MOD(M71,10000)=0,"UNSPSC a nivel de segmento o familia: use clase o producto",IF(IFERROR(MATCH(P71,PN_MESES,0)&lt;MATCH(O71,PN_MESES,0),TRUE()),"El mes de ofertas es anterior al de inicio del proceso",IF(OR(NOT(ISNUMBER(Q71)),Q71&lt;=0),"Duración inválida",IF(OR(NOT(ISNUMBER(W71)),NOT(ISNUMBER(X71))),"Valor inválido: registre solo números",IF(OR(W71&lt;=0,X71&lt;=0),"Valor inválido: debe ser mayor que cero",IF(X71&gt;W71,"El valor de la vigencia 2027 supera el valor total",IF(AND(X71&lt;W71,Y71="No"),"El valor total supera el de 2027: requiere vigencias futuras",IF(AND(Y71="Sí",OR(Z71="",Z71="No aplica")),"Indique el estado de la solicitud de vigencias futuras",IF(IF(AND(S71="Mínima cuantía",ISNUMBER(PN_TOPE_MINIMA)),W71&gt;PN_TOPE_MINIMA,FALSE()),"El valor supera el tope de mínima cuantía 2027",IF(IF(AND(S71="Selección abreviada de menor cuantía",ISNUMBER(PN_TOPE_MENOR)),W71&gt;PN_TOPE_MENOR,FALSE()),"El valor supera el tope de menor cuantía 2027",IF(OR(ISERROR(SEARCH("@itc.edu.co",AE71)),SUMPRODUCT(--ISNUMBER(SEARCH({"á","é","í","ó","ú","ñ"," "},AE71)))&gt;0),"El correo del responsable no es institucional válido",IF(AND(AF71="Sí",AG71=""),"Indique el N.° de registro 2026 que continúa","OK")))))))))))))))))</f>
        <v/>
      </c>
      <c r="AK71" s="114">
        <f>IF(AJ71="OK",COUNTIF($AJ$7:AJ71,"OK"),"")</f>
        <v/>
      </c>
    </row>
    <row r="72">
      <c r="A72" s="110">
        <f>"PN27-"&amp;TEXT(ROW()-6,"000")</f>
        <v/>
      </c>
      <c r="B72" s="111" t="n"/>
      <c r="C72" s="110">
        <f>IF(B72="","",IFERROR(INDEX('Catalogos_PDN'!$R$5:$R$51,MATCH(B72,PN_AREAS,0)),""))</f>
        <v/>
      </c>
      <c r="D72" s="110">
        <f>IF(B72="","",IFERROR(INDEX('Catalogos_PDN'!$O$5:$O$51,MATCH(B72,PN_AREAS,0)),""))</f>
        <v/>
      </c>
      <c r="E72" s="111" t="n"/>
      <c r="F72" s="110">
        <f>IF(E72="","",IFERROR(INDEX('Catalogos_PDN'!$C$5:$C$49,MATCH(E72,PN_METAS,0)),""))</f>
        <v/>
      </c>
      <c r="G72" s="110">
        <f>IF(E72="","",IFERROR(INDEX('Catalogos_PDN'!$E$5:$E$49,MATCH(E72,PN_METAS,0)),""))</f>
        <v/>
      </c>
      <c r="H72" s="111" t="n"/>
      <c r="I72" s="111" t="n"/>
      <c r="J72" s="111" t="n"/>
      <c r="K72" s="111" t="n"/>
      <c r="L72" s="111" t="n"/>
      <c r="M72" s="112" t="n"/>
      <c r="N72" s="111" t="n"/>
      <c r="O72" s="111" t="n"/>
      <c r="P72" s="111" t="n"/>
      <c r="Q72" s="111" t="n"/>
      <c r="R72" s="111" t="n"/>
      <c r="S72" s="111" t="n"/>
      <c r="T72" s="111" t="n"/>
      <c r="U72" s="111" t="n"/>
      <c r="V72" s="111" t="n"/>
      <c r="W72" s="113" t="n"/>
      <c r="X72" s="113" t="n"/>
      <c r="Y72" s="111" t="n"/>
      <c r="Z72" s="111" t="n"/>
      <c r="AA72" s="111" t="n"/>
      <c r="AB72" s="111" t="n"/>
      <c r="AC72" s="111" t="n"/>
      <c r="AD72" s="111" t="n"/>
      <c r="AE72" s="111" t="n"/>
      <c r="AF72" s="111" t="n"/>
      <c r="AG72" s="111" t="n"/>
      <c r="AH72" s="111" t="n"/>
      <c r="AI72" s="111" t="n"/>
      <c r="AJ72" s="114">
        <f>IF(COUNTA(B72,E72,H72,I72,J72,K72,L72,M72,N72,O72,P72,Q72,R72,S72,T72,U72,V72,W72,X72,Y72,Z72,AA72,AB72,AC72,AD72,AE72,AF72,AG72,AH72,AI72)=0,"",IF(OR(B72="",E72="",H72="",J72="",K72="",L72="",M72="",O72="",P72="",Q72="",R72="",S72="",T72="",U72="",W72="",X72="",Y72="",AB72="",AC72="",AE72="",AF72=""),"Incompleta: faltan campos obligatorios",IF(AND(LEFT(H72,6)="PROPIA",I72=""),"Falta el nombre de la acción propia del área",IF(AND(LEFT(H72,4)="AC27",IFERROR(INDEX('Catalogos_PDN'!$T$5:$T$207,MATCH(H72,'Catalogos_PDN'!$U$5:$U$207,0)),"x")&lt;&gt;LEFT(E72,7)),"La acción no corresponde a la meta seleccionada",IF(OR(NOT(ISNUMBER(M72)),M72&lt;10000000,M72&gt;99999999),"Código UNSPSC inválido: registre 8 dígitos",IF(MOD(M72,10000)=0,"UNSPSC a nivel de segmento o familia: use clase o producto",IF(IFERROR(MATCH(P72,PN_MESES,0)&lt;MATCH(O72,PN_MESES,0),TRUE()),"El mes de ofertas es anterior al de inicio del proceso",IF(OR(NOT(ISNUMBER(Q72)),Q72&lt;=0),"Duración inválida",IF(OR(NOT(ISNUMBER(W72)),NOT(ISNUMBER(X72))),"Valor inválido: registre solo números",IF(OR(W72&lt;=0,X72&lt;=0),"Valor inválido: debe ser mayor que cero",IF(X72&gt;W72,"El valor de la vigencia 2027 supera el valor total",IF(AND(X72&lt;W72,Y72="No"),"El valor total supera el de 2027: requiere vigencias futuras",IF(AND(Y72="Sí",OR(Z72="",Z72="No aplica")),"Indique el estado de la solicitud de vigencias futuras",IF(IF(AND(S72="Mínima cuantía",ISNUMBER(PN_TOPE_MINIMA)),W72&gt;PN_TOPE_MINIMA,FALSE()),"El valor supera el tope de mínima cuantía 2027",IF(IF(AND(S72="Selección abreviada de menor cuantía",ISNUMBER(PN_TOPE_MENOR)),W72&gt;PN_TOPE_MENOR,FALSE()),"El valor supera el tope de menor cuantía 2027",IF(OR(ISERROR(SEARCH("@itc.edu.co",AE72)),SUMPRODUCT(--ISNUMBER(SEARCH({"á","é","í","ó","ú","ñ"," "},AE72)))&gt;0),"El correo del responsable no es institucional válido",IF(AND(AF72="Sí",AG72=""),"Indique el N.° de registro 2026 que continúa","OK")))))))))))))))))</f>
        <v/>
      </c>
      <c r="AK72" s="114">
        <f>IF(AJ72="OK",COUNTIF($AJ$7:AJ72,"OK"),"")</f>
        <v/>
      </c>
    </row>
    <row r="73">
      <c r="A73" s="110">
        <f>"PN27-"&amp;TEXT(ROW()-6,"000")</f>
        <v/>
      </c>
      <c r="B73" s="111" t="n"/>
      <c r="C73" s="110">
        <f>IF(B73="","",IFERROR(INDEX('Catalogos_PDN'!$R$5:$R$51,MATCH(B73,PN_AREAS,0)),""))</f>
        <v/>
      </c>
      <c r="D73" s="110">
        <f>IF(B73="","",IFERROR(INDEX('Catalogos_PDN'!$O$5:$O$51,MATCH(B73,PN_AREAS,0)),""))</f>
        <v/>
      </c>
      <c r="E73" s="111" t="n"/>
      <c r="F73" s="110">
        <f>IF(E73="","",IFERROR(INDEX('Catalogos_PDN'!$C$5:$C$49,MATCH(E73,PN_METAS,0)),""))</f>
        <v/>
      </c>
      <c r="G73" s="110">
        <f>IF(E73="","",IFERROR(INDEX('Catalogos_PDN'!$E$5:$E$49,MATCH(E73,PN_METAS,0)),""))</f>
        <v/>
      </c>
      <c r="H73" s="111" t="n"/>
      <c r="I73" s="111" t="n"/>
      <c r="J73" s="111" t="n"/>
      <c r="K73" s="111" t="n"/>
      <c r="L73" s="111" t="n"/>
      <c r="M73" s="112" t="n"/>
      <c r="N73" s="111" t="n"/>
      <c r="O73" s="111" t="n"/>
      <c r="P73" s="111" t="n"/>
      <c r="Q73" s="111" t="n"/>
      <c r="R73" s="111" t="n"/>
      <c r="S73" s="111" t="n"/>
      <c r="T73" s="111" t="n"/>
      <c r="U73" s="111" t="n"/>
      <c r="V73" s="111" t="n"/>
      <c r="W73" s="113" t="n"/>
      <c r="X73" s="113" t="n"/>
      <c r="Y73" s="111" t="n"/>
      <c r="Z73" s="111" t="n"/>
      <c r="AA73" s="111" t="n"/>
      <c r="AB73" s="111" t="n"/>
      <c r="AC73" s="111" t="n"/>
      <c r="AD73" s="111" t="n"/>
      <c r="AE73" s="111" t="n"/>
      <c r="AF73" s="111" t="n"/>
      <c r="AG73" s="111" t="n"/>
      <c r="AH73" s="111" t="n"/>
      <c r="AI73" s="111" t="n"/>
      <c r="AJ73" s="114">
        <f>IF(COUNTA(B73,E73,H73,I73,J73,K73,L73,M73,N73,O73,P73,Q73,R73,S73,T73,U73,V73,W73,X73,Y73,Z73,AA73,AB73,AC73,AD73,AE73,AF73,AG73,AH73,AI73)=0,"",IF(OR(B73="",E73="",H73="",J73="",K73="",L73="",M73="",O73="",P73="",Q73="",R73="",S73="",T73="",U73="",W73="",X73="",Y73="",AB73="",AC73="",AE73="",AF73=""),"Incompleta: faltan campos obligatorios",IF(AND(LEFT(H73,6)="PROPIA",I73=""),"Falta el nombre de la acción propia del área",IF(AND(LEFT(H73,4)="AC27",IFERROR(INDEX('Catalogos_PDN'!$T$5:$T$207,MATCH(H73,'Catalogos_PDN'!$U$5:$U$207,0)),"x")&lt;&gt;LEFT(E73,7)),"La acción no corresponde a la meta seleccionada",IF(OR(NOT(ISNUMBER(M73)),M73&lt;10000000,M73&gt;99999999),"Código UNSPSC inválido: registre 8 dígitos",IF(MOD(M73,10000)=0,"UNSPSC a nivel de segmento o familia: use clase o producto",IF(IFERROR(MATCH(P73,PN_MESES,0)&lt;MATCH(O73,PN_MESES,0),TRUE()),"El mes de ofertas es anterior al de inicio del proceso",IF(OR(NOT(ISNUMBER(Q73)),Q73&lt;=0),"Duración inválida",IF(OR(NOT(ISNUMBER(W73)),NOT(ISNUMBER(X73))),"Valor inválido: registre solo números",IF(OR(W73&lt;=0,X73&lt;=0),"Valor inválido: debe ser mayor que cero",IF(X73&gt;W73,"El valor de la vigencia 2027 supera el valor total",IF(AND(X73&lt;W73,Y73="No"),"El valor total supera el de 2027: requiere vigencias futuras",IF(AND(Y73="Sí",OR(Z73="",Z73="No aplica")),"Indique el estado de la solicitud de vigencias futuras",IF(IF(AND(S73="Mínima cuantía",ISNUMBER(PN_TOPE_MINIMA)),W73&gt;PN_TOPE_MINIMA,FALSE()),"El valor supera el tope de mínima cuantía 2027",IF(IF(AND(S73="Selección abreviada de menor cuantía",ISNUMBER(PN_TOPE_MENOR)),W73&gt;PN_TOPE_MENOR,FALSE()),"El valor supera el tope de menor cuantía 2027",IF(OR(ISERROR(SEARCH("@itc.edu.co",AE73)),SUMPRODUCT(--ISNUMBER(SEARCH({"á","é","í","ó","ú","ñ"," "},AE73)))&gt;0),"El correo del responsable no es institucional válido",IF(AND(AF73="Sí",AG73=""),"Indique el N.° de registro 2026 que continúa","OK")))))))))))))))))</f>
        <v/>
      </c>
      <c r="AK73" s="114">
        <f>IF(AJ73="OK",COUNTIF($AJ$7:AJ73,"OK"),"")</f>
        <v/>
      </c>
    </row>
    <row r="74">
      <c r="A74" s="110">
        <f>"PN27-"&amp;TEXT(ROW()-6,"000")</f>
        <v/>
      </c>
      <c r="B74" s="111" t="n"/>
      <c r="C74" s="110">
        <f>IF(B74="","",IFERROR(INDEX('Catalogos_PDN'!$R$5:$R$51,MATCH(B74,PN_AREAS,0)),""))</f>
        <v/>
      </c>
      <c r="D74" s="110">
        <f>IF(B74="","",IFERROR(INDEX('Catalogos_PDN'!$O$5:$O$51,MATCH(B74,PN_AREAS,0)),""))</f>
        <v/>
      </c>
      <c r="E74" s="111" t="n"/>
      <c r="F74" s="110">
        <f>IF(E74="","",IFERROR(INDEX('Catalogos_PDN'!$C$5:$C$49,MATCH(E74,PN_METAS,0)),""))</f>
        <v/>
      </c>
      <c r="G74" s="110">
        <f>IF(E74="","",IFERROR(INDEX('Catalogos_PDN'!$E$5:$E$49,MATCH(E74,PN_METAS,0)),""))</f>
        <v/>
      </c>
      <c r="H74" s="111" t="n"/>
      <c r="I74" s="111" t="n"/>
      <c r="J74" s="111" t="n"/>
      <c r="K74" s="111" t="n"/>
      <c r="L74" s="111" t="n"/>
      <c r="M74" s="112" t="n"/>
      <c r="N74" s="111" t="n"/>
      <c r="O74" s="111" t="n"/>
      <c r="P74" s="111" t="n"/>
      <c r="Q74" s="111" t="n"/>
      <c r="R74" s="111" t="n"/>
      <c r="S74" s="111" t="n"/>
      <c r="T74" s="111" t="n"/>
      <c r="U74" s="111" t="n"/>
      <c r="V74" s="111" t="n"/>
      <c r="W74" s="113" t="n"/>
      <c r="X74" s="113" t="n"/>
      <c r="Y74" s="111" t="n"/>
      <c r="Z74" s="111" t="n"/>
      <c r="AA74" s="111" t="n"/>
      <c r="AB74" s="111" t="n"/>
      <c r="AC74" s="111" t="n"/>
      <c r="AD74" s="111" t="n"/>
      <c r="AE74" s="111" t="n"/>
      <c r="AF74" s="111" t="n"/>
      <c r="AG74" s="111" t="n"/>
      <c r="AH74" s="111" t="n"/>
      <c r="AI74" s="111" t="n"/>
      <c r="AJ74" s="114">
        <f>IF(COUNTA(B74,E74,H74,I74,J74,K74,L74,M74,N74,O74,P74,Q74,R74,S74,T74,U74,V74,W74,X74,Y74,Z74,AA74,AB74,AC74,AD74,AE74,AF74,AG74,AH74,AI74)=0,"",IF(OR(B74="",E74="",H74="",J74="",K74="",L74="",M74="",O74="",P74="",Q74="",R74="",S74="",T74="",U74="",W74="",X74="",Y74="",AB74="",AC74="",AE74="",AF74=""),"Incompleta: faltan campos obligatorios",IF(AND(LEFT(H74,6)="PROPIA",I74=""),"Falta el nombre de la acción propia del área",IF(AND(LEFT(H74,4)="AC27",IFERROR(INDEX('Catalogos_PDN'!$T$5:$T$207,MATCH(H74,'Catalogos_PDN'!$U$5:$U$207,0)),"x")&lt;&gt;LEFT(E74,7)),"La acción no corresponde a la meta seleccionada",IF(OR(NOT(ISNUMBER(M74)),M74&lt;10000000,M74&gt;99999999),"Código UNSPSC inválido: registre 8 dígitos",IF(MOD(M74,10000)=0,"UNSPSC a nivel de segmento o familia: use clase o producto",IF(IFERROR(MATCH(P74,PN_MESES,0)&lt;MATCH(O74,PN_MESES,0),TRUE()),"El mes de ofertas es anterior al de inicio del proceso",IF(OR(NOT(ISNUMBER(Q74)),Q74&lt;=0),"Duración inválida",IF(OR(NOT(ISNUMBER(W74)),NOT(ISNUMBER(X74))),"Valor inválido: registre solo números",IF(OR(W74&lt;=0,X74&lt;=0),"Valor inválido: debe ser mayor que cero",IF(X74&gt;W74,"El valor de la vigencia 2027 supera el valor total",IF(AND(X74&lt;W74,Y74="No"),"El valor total supera el de 2027: requiere vigencias futuras",IF(AND(Y74="Sí",OR(Z74="",Z74="No aplica")),"Indique el estado de la solicitud de vigencias futuras",IF(IF(AND(S74="Mínima cuantía",ISNUMBER(PN_TOPE_MINIMA)),W74&gt;PN_TOPE_MINIMA,FALSE()),"El valor supera el tope de mínima cuantía 2027",IF(IF(AND(S74="Selección abreviada de menor cuantía",ISNUMBER(PN_TOPE_MENOR)),W74&gt;PN_TOPE_MENOR,FALSE()),"El valor supera el tope de menor cuantía 2027",IF(OR(ISERROR(SEARCH("@itc.edu.co",AE74)),SUMPRODUCT(--ISNUMBER(SEARCH({"á","é","í","ó","ú","ñ"," "},AE74)))&gt;0),"El correo del responsable no es institucional válido",IF(AND(AF74="Sí",AG74=""),"Indique el N.° de registro 2026 que continúa","OK")))))))))))))))))</f>
        <v/>
      </c>
      <c r="AK74" s="114">
        <f>IF(AJ74="OK",COUNTIF($AJ$7:AJ74,"OK"),"")</f>
        <v/>
      </c>
    </row>
    <row r="75">
      <c r="A75" s="110">
        <f>"PN27-"&amp;TEXT(ROW()-6,"000")</f>
        <v/>
      </c>
      <c r="B75" s="111" t="n"/>
      <c r="C75" s="110">
        <f>IF(B75="","",IFERROR(INDEX('Catalogos_PDN'!$R$5:$R$51,MATCH(B75,PN_AREAS,0)),""))</f>
        <v/>
      </c>
      <c r="D75" s="110">
        <f>IF(B75="","",IFERROR(INDEX('Catalogos_PDN'!$O$5:$O$51,MATCH(B75,PN_AREAS,0)),""))</f>
        <v/>
      </c>
      <c r="E75" s="111" t="n"/>
      <c r="F75" s="110">
        <f>IF(E75="","",IFERROR(INDEX('Catalogos_PDN'!$C$5:$C$49,MATCH(E75,PN_METAS,0)),""))</f>
        <v/>
      </c>
      <c r="G75" s="110">
        <f>IF(E75="","",IFERROR(INDEX('Catalogos_PDN'!$E$5:$E$49,MATCH(E75,PN_METAS,0)),""))</f>
        <v/>
      </c>
      <c r="H75" s="111" t="n"/>
      <c r="I75" s="111" t="n"/>
      <c r="J75" s="111" t="n"/>
      <c r="K75" s="111" t="n"/>
      <c r="L75" s="111" t="n"/>
      <c r="M75" s="112" t="n"/>
      <c r="N75" s="111" t="n"/>
      <c r="O75" s="111" t="n"/>
      <c r="P75" s="111" t="n"/>
      <c r="Q75" s="111" t="n"/>
      <c r="R75" s="111" t="n"/>
      <c r="S75" s="111" t="n"/>
      <c r="T75" s="111" t="n"/>
      <c r="U75" s="111" t="n"/>
      <c r="V75" s="111" t="n"/>
      <c r="W75" s="113" t="n"/>
      <c r="X75" s="113" t="n"/>
      <c r="Y75" s="111" t="n"/>
      <c r="Z75" s="111" t="n"/>
      <c r="AA75" s="111" t="n"/>
      <c r="AB75" s="111" t="n"/>
      <c r="AC75" s="111" t="n"/>
      <c r="AD75" s="111" t="n"/>
      <c r="AE75" s="111" t="n"/>
      <c r="AF75" s="111" t="n"/>
      <c r="AG75" s="111" t="n"/>
      <c r="AH75" s="111" t="n"/>
      <c r="AI75" s="111" t="n"/>
      <c r="AJ75" s="114">
        <f>IF(COUNTA(B75,E75,H75,I75,J75,K75,L75,M75,N75,O75,P75,Q75,R75,S75,T75,U75,V75,W75,X75,Y75,Z75,AA75,AB75,AC75,AD75,AE75,AF75,AG75,AH75,AI75)=0,"",IF(OR(B75="",E75="",H75="",J75="",K75="",L75="",M75="",O75="",P75="",Q75="",R75="",S75="",T75="",U75="",W75="",X75="",Y75="",AB75="",AC75="",AE75="",AF75=""),"Incompleta: faltan campos obligatorios",IF(AND(LEFT(H75,6)="PROPIA",I75=""),"Falta el nombre de la acción propia del área",IF(AND(LEFT(H75,4)="AC27",IFERROR(INDEX('Catalogos_PDN'!$T$5:$T$207,MATCH(H75,'Catalogos_PDN'!$U$5:$U$207,0)),"x")&lt;&gt;LEFT(E75,7)),"La acción no corresponde a la meta seleccionada",IF(OR(NOT(ISNUMBER(M75)),M75&lt;10000000,M75&gt;99999999),"Código UNSPSC inválido: registre 8 dígitos",IF(MOD(M75,10000)=0,"UNSPSC a nivel de segmento o familia: use clase o producto",IF(IFERROR(MATCH(P75,PN_MESES,0)&lt;MATCH(O75,PN_MESES,0),TRUE()),"El mes de ofertas es anterior al de inicio del proceso",IF(OR(NOT(ISNUMBER(Q75)),Q75&lt;=0),"Duración inválida",IF(OR(NOT(ISNUMBER(W75)),NOT(ISNUMBER(X75))),"Valor inválido: registre solo números",IF(OR(W75&lt;=0,X75&lt;=0),"Valor inválido: debe ser mayor que cero",IF(X75&gt;W75,"El valor de la vigencia 2027 supera el valor total",IF(AND(X75&lt;W75,Y75="No"),"El valor total supera el de 2027: requiere vigencias futuras",IF(AND(Y75="Sí",OR(Z75="",Z75="No aplica")),"Indique el estado de la solicitud de vigencias futuras",IF(IF(AND(S75="Mínima cuantía",ISNUMBER(PN_TOPE_MINIMA)),W75&gt;PN_TOPE_MINIMA,FALSE()),"El valor supera el tope de mínima cuantía 2027",IF(IF(AND(S75="Selección abreviada de menor cuantía",ISNUMBER(PN_TOPE_MENOR)),W75&gt;PN_TOPE_MENOR,FALSE()),"El valor supera el tope de menor cuantía 2027",IF(OR(ISERROR(SEARCH("@itc.edu.co",AE75)),SUMPRODUCT(--ISNUMBER(SEARCH({"á","é","í","ó","ú","ñ"," "},AE75)))&gt;0),"El correo del responsable no es institucional válido",IF(AND(AF75="Sí",AG75=""),"Indique el N.° de registro 2026 que continúa","OK")))))))))))))))))</f>
        <v/>
      </c>
      <c r="AK75" s="114">
        <f>IF(AJ75="OK",COUNTIF($AJ$7:AJ75,"OK"),"")</f>
        <v/>
      </c>
    </row>
    <row r="76">
      <c r="A76" s="110">
        <f>"PN27-"&amp;TEXT(ROW()-6,"000")</f>
        <v/>
      </c>
      <c r="B76" s="111" t="n"/>
      <c r="C76" s="110">
        <f>IF(B76="","",IFERROR(INDEX('Catalogos_PDN'!$R$5:$R$51,MATCH(B76,PN_AREAS,0)),""))</f>
        <v/>
      </c>
      <c r="D76" s="110">
        <f>IF(B76="","",IFERROR(INDEX('Catalogos_PDN'!$O$5:$O$51,MATCH(B76,PN_AREAS,0)),""))</f>
        <v/>
      </c>
      <c r="E76" s="111" t="n"/>
      <c r="F76" s="110">
        <f>IF(E76="","",IFERROR(INDEX('Catalogos_PDN'!$C$5:$C$49,MATCH(E76,PN_METAS,0)),""))</f>
        <v/>
      </c>
      <c r="G76" s="110">
        <f>IF(E76="","",IFERROR(INDEX('Catalogos_PDN'!$E$5:$E$49,MATCH(E76,PN_METAS,0)),""))</f>
        <v/>
      </c>
      <c r="H76" s="111" t="n"/>
      <c r="I76" s="111" t="n"/>
      <c r="J76" s="111" t="n"/>
      <c r="K76" s="111" t="n"/>
      <c r="L76" s="111" t="n"/>
      <c r="M76" s="112" t="n"/>
      <c r="N76" s="111" t="n"/>
      <c r="O76" s="111" t="n"/>
      <c r="P76" s="111" t="n"/>
      <c r="Q76" s="111" t="n"/>
      <c r="R76" s="111" t="n"/>
      <c r="S76" s="111" t="n"/>
      <c r="T76" s="111" t="n"/>
      <c r="U76" s="111" t="n"/>
      <c r="V76" s="111" t="n"/>
      <c r="W76" s="113" t="n"/>
      <c r="X76" s="113" t="n"/>
      <c r="Y76" s="111" t="n"/>
      <c r="Z76" s="111" t="n"/>
      <c r="AA76" s="111" t="n"/>
      <c r="AB76" s="111" t="n"/>
      <c r="AC76" s="111" t="n"/>
      <c r="AD76" s="111" t="n"/>
      <c r="AE76" s="111" t="n"/>
      <c r="AF76" s="111" t="n"/>
      <c r="AG76" s="111" t="n"/>
      <c r="AH76" s="111" t="n"/>
      <c r="AI76" s="111" t="n"/>
      <c r="AJ76" s="114">
        <f>IF(COUNTA(B76,E76,H76,I76,J76,K76,L76,M76,N76,O76,P76,Q76,R76,S76,T76,U76,V76,W76,X76,Y76,Z76,AA76,AB76,AC76,AD76,AE76,AF76,AG76,AH76,AI76)=0,"",IF(OR(B76="",E76="",H76="",J76="",K76="",L76="",M76="",O76="",P76="",Q76="",R76="",S76="",T76="",U76="",W76="",X76="",Y76="",AB76="",AC76="",AE76="",AF76=""),"Incompleta: faltan campos obligatorios",IF(AND(LEFT(H76,6)="PROPIA",I76=""),"Falta el nombre de la acción propia del área",IF(AND(LEFT(H76,4)="AC27",IFERROR(INDEX('Catalogos_PDN'!$T$5:$T$207,MATCH(H76,'Catalogos_PDN'!$U$5:$U$207,0)),"x")&lt;&gt;LEFT(E76,7)),"La acción no corresponde a la meta seleccionada",IF(OR(NOT(ISNUMBER(M76)),M76&lt;10000000,M76&gt;99999999),"Código UNSPSC inválido: registre 8 dígitos",IF(MOD(M76,10000)=0,"UNSPSC a nivel de segmento o familia: use clase o producto",IF(IFERROR(MATCH(P76,PN_MESES,0)&lt;MATCH(O76,PN_MESES,0),TRUE()),"El mes de ofertas es anterior al de inicio del proceso",IF(OR(NOT(ISNUMBER(Q76)),Q76&lt;=0),"Duración inválida",IF(OR(NOT(ISNUMBER(W76)),NOT(ISNUMBER(X76))),"Valor inválido: registre solo números",IF(OR(W76&lt;=0,X76&lt;=0),"Valor inválido: debe ser mayor que cero",IF(X76&gt;W76,"El valor de la vigencia 2027 supera el valor total",IF(AND(X76&lt;W76,Y76="No"),"El valor total supera el de 2027: requiere vigencias futuras",IF(AND(Y76="Sí",OR(Z76="",Z76="No aplica")),"Indique el estado de la solicitud de vigencias futuras",IF(IF(AND(S76="Mínima cuantía",ISNUMBER(PN_TOPE_MINIMA)),W76&gt;PN_TOPE_MINIMA,FALSE()),"El valor supera el tope de mínima cuantía 2027",IF(IF(AND(S76="Selección abreviada de menor cuantía",ISNUMBER(PN_TOPE_MENOR)),W76&gt;PN_TOPE_MENOR,FALSE()),"El valor supera el tope de menor cuantía 2027",IF(OR(ISERROR(SEARCH("@itc.edu.co",AE76)),SUMPRODUCT(--ISNUMBER(SEARCH({"á","é","í","ó","ú","ñ"," "},AE76)))&gt;0),"El correo del responsable no es institucional válido",IF(AND(AF76="Sí",AG76=""),"Indique el N.° de registro 2026 que continúa","OK")))))))))))))))))</f>
        <v/>
      </c>
      <c r="AK76" s="114">
        <f>IF(AJ76="OK",COUNTIF($AJ$7:AJ76,"OK"),"")</f>
        <v/>
      </c>
    </row>
    <row r="77">
      <c r="A77" s="110">
        <f>"PN27-"&amp;TEXT(ROW()-6,"000")</f>
        <v/>
      </c>
      <c r="B77" s="111" t="n"/>
      <c r="C77" s="110">
        <f>IF(B77="","",IFERROR(INDEX('Catalogos_PDN'!$R$5:$R$51,MATCH(B77,PN_AREAS,0)),""))</f>
        <v/>
      </c>
      <c r="D77" s="110">
        <f>IF(B77="","",IFERROR(INDEX('Catalogos_PDN'!$O$5:$O$51,MATCH(B77,PN_AREAS,0)),""))</f>
        <v/>
      </c>
      <c r="E77" s="111" t="n"/>
      <c r="F77" s="110">
        <f>IF(E77="","",IFERROR(INDEX('Catalogos_PDN'!$C$5:$C$49,MATCH(E77,PN_METAS,0)),""))</f>
        <v/>
      </c>
      <c r="G77" s="110">
        <f>IF(E77="","",IFERROR(INDEX('Catalogos_PDN'!$E$5:$E$49,MATCH(E77,PN_METAS,0)),""))</f>
        <v/>
      </c>
      <c r="H77" s="111" t="n"/>
      <c r="I77" s="111" t="n"/>
      <c r="J77" s="111" t="n"/>
      <c r="K77" s="111" t="n"/>
      <c r="L77" s="111" t="n"/>
      <c r="M77" s="112" t="n"/>
      <c r="N77" s="111" t="n"/>
      <c r="O77" s="111" t="n"/>
      <c r="P77" s="111" t="n"/>
      <c r="Q77" s="111" t="n"/>
      <c r="R77" s="111" t="n"/>
      <c r="S77" s="111" t="n"/>
      <c r="T77" s="111" t="n"/>
      <c r="U77" s="111" t="n"/>
      <c r="V77" s="111" t="n"/>
      <c r="W77" s="113" t="n"/>
      <c r="X77" s="113" t="n"/>
      <c r="Y77" s="111" t="n"/>
      <c r="Z77" s="111" t="n"/>
      <c r="AA77" s="111" t="n"/>
      <c r="AB77" s="111" t="n"/>
      <c r="AC77" s="111" t="n"/>
      <c r="AD77" s="111" t="n"/>
      <c r="AE77" s="111" t="n"/>
      <c r="AF77" s="111" t="n"/>
      <c r="AG77" s="111" t="n"/>
      <c r="AH77" s="111" t="n"/>
      <c r="AI77" s="111" t="n"/>
      <c r="AJ77" s="114">
        <f>IF(COUNTA(B77,E77,H77,I77,J77,K77,L77,M77,N77,O77,P77,Q77,R77,S77,T77,U77,V77,W77,X77,Y77,Z77,AA77,AB77,AC77,AD77,AE77,AF77,AG77,AH77,AI77)=0,"",IF(OR(B77="",E77="",H77="",J77="",K77="",L77="",M77="",O77="",P77="",Q77="",R77="",S77="",T77="",U77="",W77="",X77="",Y77="",AB77="",AC77="",AE77="",AF77=""),"Incompleta: faltan campos obligatorios",IF(AND(LEFT(H77,6)="PROPIA",I77=""),"Falta el nombre de la acción propia del área",IF(AND(LEFT(H77,4)="AC27",IFERROR(INDEX('Catalogos_PDN'!$T$5:$T$207,MATCH(H77,'Catalogos_PDN'!$U$5:$U$207,0)),"x")&lt;&gt;LEFT(E77,7)),"La acción no corresponde a la meta seleccionada",IF(OR(NOT(ISNUMBER(M77)),M77&lt;10000000,M77&gt;99999999),"Código UNSPSC inválido: registre 8 dígitos",IF(MOD(M77,10000)=0,"UNSPSC a nivel de segmento o familia: use clase o producto",IF(IFERROR(MATCH(P77,PN_MESES,0)&lt;MATCH(O77,PN_MESES,0),TRUE()),"El mes de ofertas es anterior al de inicio del proceso",IF(OR(NOT(ISNUMBER(Q77)),Q77&lt;=0),"Duración inválida",IF(OR(NOT(ISNUMBER(W77)),NOT(ISNUMBER(X77))),"Valor inválido: registre solo números",IF(OR(W77&lt;=0,X77&lt;=0),"Valor inválido: debe ser mayor que cero",IF(X77&gt;W77,"El valor de la vigencia 2027 supera el valor total",IF(AND(X77&lt;W77,Y77="No"),"El valor total supera el de 2027: requiere vigencias futuras",IF(AND(Y77="Sí",OR(Z77="",Z77="No aplica")),"Indique el estado de la solicitud de vigencias futuras",IF(IF(AND(S77="Mínima cuantía",ISNUMBER(PN_TOPE_MINIMA)),W77&gt;PN_TOPE_MINIMA,FALSE()),"El valor supera el tope de mínima cuantía 2027",IF(IF(AND(S77="Selección abreviada de menor cuantía",ISNUMBER(PN_TOPE_MENOR)),W77&gt;PN_TOPE_MENOR,FALSE()),"El valor supera el tope de menor cuantía 2027",IF(OR(ISERROR(SEARCH("@itc.edu.co",AE77)),SUMPRODUCT(--ISNUMBER(SEARCH({"á","é","í","ó","ú","ñ"," "},AE77)))&gt;0),"El correo del responsable no es institucional válido",IF(AND(AF77="Sí",AG77=""),"Indique el N.° de registro 2026 que continúa","OK")))))))))))))))))</f>
        <v/>
      </c>
      <c r="AK77" s="114">
        <f>IF(AJ77="OK",COUNTIF($AJ$7:AJ77,"OK"),"")</f>
        <v/>
      </c>
    </row>
    <row r="78">
      <c r="A78" s="110">
        <f>"PN27-"&amp;TEXT(ROW()-6,"000")</f>
        <v/>
      </c>
      <c r="B78" s="111" t="n"/>
      <c r="C78" s="110">
        <f>IF(B78="","",IFERROR(INDEX('Catalogos_PDN'!$R$5:$R$51,MATCH(B78,PN_AREAS,0)),""))</f>
        <v/>
      </c>
      <c r="D78" s="110">
        <f>IF(B78="","",IFERROR(INDEX('Catalogos_PDN'!$O$5:$O$51,MATCH(B78,PN_AREAS,0)),""))</f>
        <v/>
      </c>
      <c r="E78" s="111" t="n"/>
      <c r="F78" s="110">
        <f>IF(E78="","",IFERROR(INDEX('Catalogos_PDN'!$C$5:$C$49,MATCH(E78,PN_METAS,0)),""))</f>
        <v/>
      </c>
      <c r="G78" s="110">
        <f>IF(E78="","",IFERROR(INDEX('Catalogos_PDN'!$E$5:$E$49,MATCH(E78,PN_METAS,0)),""))</f>
        <v/>
      </c>
      <c r="H78" s="111" t="n"/>
      <c r="I78" s="111" t="n"/>
      <c r="J78" s="111" t="n"/>
      <c r="K78" s="111" t="n"/>
      <c r="L78" s="111" t="n"/>
      <c r="M78" s="112" t="n"/>
      <c r="N78" s="111" t="n"/>
      <c r="O78" s="111" t="n"/>
      <c r="P78" s="111" t="n"/>
      <c r="Q78" s="111" t="n"/>
      <c r="R78" s="111" t="n"/>
      <c r="S78" s="111" t="n"/>
      <c r="T78" s="111" t="n"/>
      <c r="U78" s="111" t="n"/>
      <c r="V78" s="111" t="n"/>
      <c r="W78" s="113" t="n"/>
      <c r="X78" s="113" t="n"/>
      <c r="Y78" s="111" t="n"/>
      <c r="Z78" s="111" t="n"/>
      <c r="AA78" s="111" t="n"/>
      <c r="AB78" s="111" t="n"/>
      <c r="AC78" s="111" t="n"/>
      <c r="AD78" s="111" t="n"/>
      <c r="AE78" s="111" t="n"/>
      <c r="AF78" s="111" t="n"/>
      <c r="AG78" s="111" t="n"/>
      <c r="AH78" s="111" t="n"/>
      <c r="AI78" s="111" t="n"/>
      <c r="AJ78" s="114">
        <f>IF(COUNTA(B78,E78,H78,I78,J78,K78,L78,M78,N78,O78,P78,Q78,R78,S78,T78,U78,V78,W78,X78,Y78,Z78,AA78,AB78,AC78,AD78,AE78,AF78,AG78,AH78,AI78)=0,"",IF(OR(B78="",E78="",H78="",J78="",K78="",L78="",M78="",O78="",P78="",Q78="",R78="",S78="",T78="",U78="",W78="",X78="",Y78="",AB78="",AC78="",AE78="",AF78=""),"Incompleta: faltan campos obligatorios",IF(AND(LEFT(H78,6)="PROPIA",I78=""),"Falta el nombre de la acción propia del área",IF(AND(LEFT(H78,4)="AC27",IFERROR(INDEX('Catalogos_PDN'!$T$5:$T$207,MATCH(H78,'Catalogos_PDN'!$U$5:$U$207,0)),"x")&lt;&gt;LEFT(E78,7)),"La acción no corresponde a la meta seleccionada",IF(OR(NOT(ISNUMBER(M78)),M78&lt;10000000,M78&gt;99999999),"Código UNSPSC inválido: registre 8 dígitos",IF(MOD(M78,10000)=0,"UNSPSC a nivel de segmento o familia: use clase o producto",IF(IFERROR(MATCH(P78,PN_MESES,0)&lt;MATCH(O78,PN_MESES,0),TRUE()),"El mes de ofertas es anterior al de inicio del proceso",IF(OR(NOT(ISNUMBER(Q78)),Q78&lt;=0),"Duración inválida",IF(OR(NOT(ISNUMBER(W78)),NOT(ISNUMBER(X78))),"Valor inválido: registre solo números",IF(OR(W78&lt;=0,X78&lt;=0),"Valor inválido: debe ser mayor que cero",IF(X78&gt;W78,"El valor de la vigencia 2027 supera el valor total",IF(AND(X78&lt;W78,Y78="No"),"El valor total supera el de 2027: requiere vigencias futuras",IF(AND(Y78="Sí",OR(Z78="",Z78="No aplica")),"Indique el estado de la solicitud de vigencias futuras",IF(IF(AND(S78="Mínima cuantía",ISNUMBER(PN_TOPE_MINIMA)),W78&gt;PN_TOPE_MINIMA,FALSE()),"El valor supera el tope de mínima cuantía 2027",IF(IF(AND(S78="Selección abreviada de menor cuantía",ISNUMBER(PN_TOPE_MENOR)),W78&gt;PN_TOPE_MENOR,FALSE()),"El valor supera el tope de menor cuantía 2027",IF(OR(ISERROR(SEARCH("@itc.edu.co",AE78)),SUMPRODUCT(--ISNUMBER(SEARCH({"á","é","í","ó","ú","ñ"," "},AE78)))&gt;0),"El correo del responsable no es institucional válido",IF(AND(AF78="Sí",AG78=""),"Indique el N.° de registro 2026 que continúa","OK")))))))))))))))))</f>
        <v/>
      </c>
      <c r="AK78" s="114">
        <f>IF(AJ78="OK",COUNTIF($AJ$7:AJ78,"OK"),"")</f>
        <v/>
      </c>
    </row>
    <row r="79">
      <c r="A79" s="110">
        <f>"PN27-"&amp;TEXT(ROW()-6,"000")</f>
        <v/>
      </c>
      <c r="B79" s="111" t="n"/>
      <c r="C79" s="110">
        <f>IF(B79="","",IFERROR(INDEX('Catalogos_PDN'!$R$5:$R$51,MATCH(B79,PN_AREAS,0)),""))</f>
        <v/>
      </c>
      <c r="D79" s="110">
        <f>IF(B79="","",IFERROR(INDEX('Catalogos_PDN'!$O$5:$O$51,MATCH(B79,PN_AREAS,0)),""))</f>
        <v/>
      </c>
      <c r="E79" s="111" t="n"/>
      <c r="F79" s="110">
        <f>IF(E79="","",IFERROR(INDEX('Catalogos_PDN'!$C$5:$C$49,MATCH(E79,PN_METAS,0)),""))</f>
        <v/>
      </c>
      <c r="G79" s="110">
        <f>IF(E79="","",IFERROR(INDEX('Catalogos_PDN'!$E$5:$E$49,MATCH(E79,PN_METAS,0)),""))</f>
        <v/>
      </c>
      <c r="H79" s="111" t="n"/>
      <c r="I79" s="111" t="n"/>
      <c r="J79" s="111" t="n"/>
      <c r="K79" s="111" t="n"/>
      <c r="L79" s="111" t="n"/>
      <c r="M79" s="112" t="n"/>
      <c r="N79" s="111" t="n"/>
      <c r="O79" s="111" t="n"/>
      <c r="P79" s="111" t="n"/>
      <c r="Q79" s="111" t="n"/>
      <c r="R79" s="111" t="n"/>
      <c r="S79" s="111" t="n"/>
      <c r="T79" s="111" t="n"/>
      <c r="U79" s="111" t="n"/>
      <c r="V79" s="111" t="n"/>
      <c r="W79" s="113" t="n"/>
      <c r="X79" s="113" t="n"/>
      <c r="Y79" s="111" t="n"/>
      <c r="Z79" s="111" t="n"/>
      <c r="AA79" s="111" t="n"/>
      <c r="AB79" s="111" t="n"/>
      <c r="AC79" s="111" t="n"/>
      <c r="AD79" s="111" t="n"/>
      <c r="AE79" s="111" t="n"/>
      <c r="AF79" s="111" t="n"/>
      <c r="AG79" s="111" t="n"/>
      <c r="AH79" s="111" t="n"/>
      <c r="AI79" s="111" t="n"/>
      <c r="AJ79" s="114">
        <f>IF(COUNTA(B79,E79,H79,I79,J79,K79,L79,M79,N79,O79,P79,Q79,R79,S79,T79,U79,V79,W79,X79,Y79,Z79,AA79,AB79,AC79,AD79,AE79,AF79,AG79,AH79,AI79)=0,"",IF(OR(B79="",E79="",H79="",J79="",K79="",L79="",M79="",O79="",P79="",Q79="",R79="",S79="",T79="",U79="",W79="",X79="",Y79="",AB79="",AC79="",AE79="",AF79=""),"Incompleta: faltan campos obligatorios",IF(AND(LEFT(H79,6)="PROPIA",I79=""),"Falta el nombre de la acción propia del área",IF(AND(LEFT(H79,4)="AC27",IFERROR(INDEX('Catalogos_PDN'!$T$5:$T$207,MATCH(H79,'Catalogos_PDN'!$U$5:$U$207,0)),"x")&lt;&gt;LEFT(E79,7)),"La acción no corresponde a la meta seleccionada",IF(OR(NOT(ISNUMBER(M79)),M79&lt;10000000,M79&gt;99999999),"Código UNSPSC inválido: registre 8 dígitos",IF(MOD(M79,10000)=0,"UNSPSC a nivel de segmento o familia: use clase o producto",IF(IFERROR(MATCH(P79,PN_MESES,0)&lt;MATCH(O79,PN_MESES,0),TRUE()),"El mes de ofertas es anterior al de inicio del proceso",IF(OR(NOT(ISNUMBER(Q79)),Q79&lt;=0),"Duración inválida",IF(OR(NOT(ISNUMBER(W79)),NOT(ISNUMBER(X79))),"Valor inválido: registre solo números",IF(OR(W79&lt;=0,X79&lt;=0),"Valor inválido: debe ser mayor que cero",IF(X79&gt;W79,"El valor de la vigencia 2027 supera el valor total",IF(AND(X79&lt;W79,Y79="No"),"El valor total supera el de 2027: requiere vigencias futuras",IF(AND(Y79="Sí",OR(Z79="",Z79="No aplica")),"Indique el estado de la solicitud de vigencias futuras",IF(IF(AND(S79="Mínima cuantía",ISNUMBER(PN_TOPE_MINIMA)),W79&gt;PN_TOPE_MINIMA,FALSE()),"El valor supera el tope de mínima cuantía 2027",IF(IF(AND(S79="Selección abreviada de menor cuantía",ISNUMBER(PN_TOPE_MENOR)),W79&gt;PN_TOPE_MENOR,FALSE()),"El valor supera el tope de menor cuantía 2027",IF(OR(ISERROR(SEARCH("@itc.edu.co",AE79)),SUMPRODUCT(--ISNUMBER(SEARCH({"á","é","í","ó","ú","ñ"," "},AE79)))&gt;0),"El correo del responsable no es institucional válido",IF(AND(AF79="Sí",AG79=""),"Indique el N.° de registro 2026 que continúa","OK")))))))))))))))))</f>
        <v/>
      </c>
      <c r="AK79" s="114">
        <f>IF(AJ79="OK",COUNTIF($AJ$7:AJ79,"OK"),"")</f>
        <v/>
      </c>
    </row>
    <row r="80">
      <c r="A80" s="110">
        <f>"PN27-"&amp;TEXT(ROW()-6,"000")</f>
        <v/>
      </c>
      <c r="B80" s="111" t="n"/>
      <c r="C80" s="110">
        <f>IF(B80="","",IFERROR(INDEX('Catalogos_PDN'!$R$5:$R$51,MATCH(B80,PN_AREAS,0)),""))</f>
        <v/>
      </c>
      <c r="D80" s="110">
        <f>IF(B80="","",IFERROR(INDEX('Catalogos_PDN'!$O$5:$O$51,MATCH(B80,PN_AREAS,0)),""))</f>
        <v/>
      </c>
      <c r="E80" s="111" t="n"/>
      <c r="F80" s="110">
        <f>IF(E80="","",IFERROR(INDEX('Catalogos_PDN'!$C$5:$C$49,MATCH(E80,PN_METAS,0)),""))</f>
        <v/>
      </c>
      <c r="G80" s="110">
        <f>IF(E80="","",IFERROR(INDEX('Catalogos_PDN'!$E$5:$E$49,MATCH(E80,PN_METAS,0)),""))</f>
        <v/>
      </c>
      <c r="H80" s="111" t="n"/>
      <c r="I80" s="111" t="n"/>
      <c r="J80" s="111" t="n"/>
      <c r="K80" s="111" t="n"/>
      <c r="L80" s="111" t="n"/>
      <c r="M80" s="112" t="n"/>
      <c r="N80" s="111" t="n"/>
      <c r="O80" s="111" t="n"/>
      <c r="P80" s="111" t="n"/>
      <c r="Q80" s="111" t="n"/>
      <c r="R80" s="111" t="n"/>
      <c r="S80" s="111" t="n"/>
      <c r="T80" s="111" t="n"/>
      <c r="U80" s="111" t="n"/>
      <c r="V80" s="111" t="n"/>
      <c r="W80" s="113" t="n"/>
      <c r="X80" s="113" t="n"/>
      <c r="Y80" s="111" t="n"/>
      <c r="Z80" s="111" t="n"/>
      <c r="AA80" s="111" t="n"/>
      <c r="AB80" s="111" t="n"/>
      <c r="AC80" s="111" t="n"/>
      <c r="AD80" s="111" t="n"/>
      <c r="AE80" s="111" t="n"/>
      <c r="AF80" s="111" t="n"/>
      <c r="AG80" s="111" t="n"/>
      <c r="AH80" s="111" t="n"/>
      <c r="AI80" s="111" t="n"/>
      <c r="AJ80" s="114">
        <f>IF(COUNTA(B80,E80,H80,I80,J80,K80,L80,M80,N80,O80,P80,Q80,R80,S80,T80,U80,V80,W80,X80,Y80,Z80,AA80,AB80,AC80,AD80,AE80,AF80,AG80,AH80,AI80)=0,"",IF(OR(B80="",E80="",H80="",J80="",K80="",L80="",M80="",O80="",P80="",Q80="",R80="",S80="",T80="",U80="",W80="",X80="",Y80="",AB80="",AC80="",AE80="",AF80=""),"Incompleta: faltan campos obligatorios",IF(AND(LEFT(H80,6)="PROPIA",I80=""),"Falta el nombre de la acción propia del área",IF(AND(LEFT(H80,4)="AC27",IFERROR(INDEX('Catalogos_PDN'!$T$5:$T$207,MATCH(H80,'Catalogos_PDN'!$U$5:$U$207,0)),"x")&lt;&gt;LEFT(E80,7)),"La acción no corresponde a la meta seleccionada",IF(OR(NOT(ISNUMBER(M80)),M80&lt;10000000,M80&gt;99999999),"Código UNSPSC inválido: registre 8 dígitos",IF(MOD(M80,10000)=0,"UNSPSC a nivel de segmento o familia: use clase o producto",IF(IFERROR(MATCH(P80,PN_MESES,0)&lt;MATCH(O80,PN_MESES,0),TRUE()),"El mes de ofertas es anterior al de inicio del proceso",IF(OR(NOT(ISNUMBER(Q80)),Q80&lt;=0),"Duración inválida",IF(OR(NOT(ISNUMBER(W80)),NOT(ISNUMBER(X80))),"Valor inválido: registre solo números",IF(OR(W80&lt;=0,X80&lt;=0),"Valor inválido: debe ser mayor que cero",IF(X80&gt;W80,"El valor de la vigencia 2027 supera el valor total",IF(AND(X80&lt;W80,Y80="No"),"El valor total supera el de 2027: requiere vigencias futuras",IF(AND(Y80="Sí",OR(Z80="",Z80="No aplica")),"Indique el estado de la solicitud de vigencias futuras",IF(IF(AND(S80="Mínima cuantía",ISNUMBER(PN_TOPE_MINIMA)),W80&gt;PN_TOPE_MINIMA,FALSE()),"El valor supera el tope de mínima cuantía 2027",IF(IF(AND(S80="Selección abreviada de menor cuantía",ISNUMBER(PN_TOPE_MENOR)),W80&gt;PN_TOPE_MENOR,FALSE()),"El valor supera el tope de menor cuantía 2027",IF(OR(ISERROR(SEARCH("@itc.edu.co",AE80)),SUMPRODUCT(--ISNUMBER(SEARCH({"á","é","í","ó","ú","ñ"," "},AE80)))&gt;0),"El correo del responsable no es institucional válido",IF(AND(AF80="Sí",AG80=""),"Indique el N.° de registro 2026 que continúa","OK")))))))))))))))))</f>
        <v/>
      </c>
      <c r="AK80" s="114">
        <f>IF(AJ80="OK",COUNTIF($AJ$7:AJ80,"OK"),"")</f>
        <v/>
      </c>
    </row>
    <row r="81">
      <c r="A81" s="110">
        <f>"PN27-"&amp;TEXT(ROW()-6,"000")</f>
        <v/>
      </c>
      <c r="B81" s="111" t="n"/>
      <c r="C81" s="110">
        <f>IF(B81="","",IFERROR(INDEX('Catalogos_PDN'!$R$5:$R$51,MATCH(B81,PN_AREAS,0)),""))</f>
        <v/>
      </c>
      <c r="D81" s="110">
        <f>IF(B81="","",IFERROR(INDEX('Catalogos_PDN'!$O$5:$O$51,MATCH(B81,PN_AREAS,0)),""))</f>
        <v/>
      </c>
      <c r="E81" s="111" t="n"/>
      <c r="F81" s="110">
        <f>IF(E81="","",IFERROR(INDEX('Catalogos_PDN'!$C$5:$C$49,MATCH(E81,PN_METAS,0)),""))</f>
        <v/>
      </c>
      <c r="G81" s="110">
        <f>IF(E81="","",IFERROR(INDEX('Catalogos_PDN'!$E$5:$E$49,MATCH(E81,PN_METAS,0)),""))</f>
        <v/>
      </c>
      <c r="H81" s="111" t="n"/>
      <c r="I81" s="111" t="n"/>
      <c r="J81" s="111" t="n"/>
      <c r="K81" s="111" t="n"/>
      <c r="L81" s="111" t="n"/>
      <c r="M81" s="112" t="n"/>
      <c r="N81" s="111" t="n"/>
      <c r="O81" s="111" t="n"/>
      <c r="P81" s="111" t="n"/>
      <c r="Q81" s="111" t="n"/>
      <c r="R81" s="111" t="n"/>
      <c r="S81" s="111" t="n"/>
      <c r="T81" s="111" t="n"/>
      <c r="U81" s="111" t="n"/>
      <c r="V81" s="111" t="n"/>
      <c r="W81" s="113" t="n"/>
      <c r="X81" s="113" t="n"/>
      <c r="Y81" s="111" t="n"/>
      <c r="Z81" s="111" t="n"/>
      <c r="AA81" s="111" t="n"/>
      <c r="AB81" s="111" t="n"/>
      <c r="AC81" s="111" t="n"/>
      <c r="AD81" s="111" t="n"/>
      <c r="AE81" s="111" t="n"/>
      <c r="AF81" s="111" t="n"/>
      <c r="AG81" s="111" t="n"/>
      <c r="AH81" s="111" t="n"/>
      <c r="AI81" s="111" t="n"/>
      <c r="AJ81" s="114">
        <f>IF(COUNTA(B81,E81,H81,I81,J81,K81,L81,M81,N81,O81,P81,Q81,R81,S81,T81,U81,V81,W81,X81,Y81,Z81,AA81,AB81,AC81,AD81,AE81,AF81,AG81,AH81,AI81)=0,"",IF(OR(B81="",E81="",H81="",J81="",K81="",L81="",M81="",O81="",P81="",Q81="",R81="",S81="",T81="",U81="",W81="",X81="",Y81="",AB81="",AC81="",AE81="",AF81=""),"Incompleta: faltan campos obligatorios",IF(AND(LEFT(H81,6)="PROPIA",I81=""),"Falta el nombre de la acción propia del área",IF(AND(LEFT(H81,4)="AC27",IFERROR(INDEX('Catalogos_PDN'!$T$5:$T$207,MATCH(H81,'Catalogos_PDN'!$U$5:$U$207,0)),"x")&lt;&gt;LEFT(E81,7)),"La acción no corresponde a la meta seleccionada",IF(OR(NOT(ISNUMBER(M81)),M81&lt;10000000,M81&gt;99999999),"Código UNSPSC inválido: registre 8 dígitos",IF(MOD(M81,10000)=0,"UNSPSC a nivel de segmento o familia: use clase o producto",IF(IFERROR(MATCH(P81,PN_MESES,0)&lt;MATCH(O81,PN_MESES,0),TRUE()),"El mes de ofertas es anterior al de inicio del proceso",IF(OR(NOT(ISNUMBER(Q81)),Q81&lt;=0),"Duración inválida",IF(OR(NOT(ISNUMBER(W81)),NOT(ISNUMBER(X81))),"Valor inválido: registre solo números",IF(OR(W81&lt;=0,X81&lt;=0),"Valor inválido: debe ser mayor que cero",IF(X81&gt;W81,"El valor de la vigencia 2027 supera el valor total",IF(AND(X81&lt;W81,Y81="No"),"El valor total supera el de 2027: requiere vigencias futuras",IF(AND(Y81="Sí",OR(Z81="",Z81="No aplica")),"Indique el estado de la solicitud de vigencias futuras",IF(IF(AND(S81="Mínima cuantía",ISNUMBER(PN_TOPE_MINIMA)),W81&gt;PN_TOPE_MINIMA,FALSE()),"El valor supera el tope de mínima cuantía 2027",IF(IF(AND(S81="Selección abreviada de menor cuantía",ISNUMBER(PN_TOPE_MENOR)),W81&gt;PN_TOPE_MENOR,FALSE()),"El valor supera el tope de menor cuantía 2027",IF(OR(ISERROR(SEARCH("@itc.edu.co",AE81)),SUMPRODUCT(--ISNUMBER(SEARCH({"á","é","í","ó","ú","ñ"," "},AE81)))&gt;0),"El correo del responsable no es institucional válido",IF(AND(AF81="Sí",AG81=""),"Indique el N.° de registro 2026 que continúa","OK")))))))))))))))))</f>
        <v/>
      </c>
      <c r="AK81" s="114">
        <f>IF(AJ81="OK",COUNTIF($AJ$7:AJ81,"OK"),"")</f>
        <v/>
      </c>
    </row>
    <row r="82">
      <c r="A82" s="110">
        <f>"PN27-"&amp;TEXT(ROW()-6,"000")</f>
        <v/>
      </c>
      <c r="B82" s="111" t="n"/>
      <c r="C82" s="110">
        <f>IF(B82="","",IFERROR(INDEX('Catalogos_PDN'!$R$5:$R$51,MATCH(B82,PN_AREAS,0)),""))</f>
        <v/>
      </c>
      <c r="D82" s="110">
        <f>IF(B82="","",IFERROR(INDEX('Catalogos_PDN'!$O$5:$O$51,MATCH(B82,PN_AREAS,0)),""))</f>
        <v/>
      </c>
      <c r="E82" s="111" t="n"/>
      <c r="F82" s="110">
        <f>IF(E82="","",IFERROR(INDEX('Catalogos_PDN'!$C$5:$C$49,MATCH(E82,PN_METAS,0)),""))</f>
        <v/>
      </c>
      <c r="G82" s="110">
        <f>IF(E82="","",IFERROR(INDEX('Catalogos_PDN'!$E$5:$E$49,MATCH(E82,PN_METAS,0)),""))</f>
        <v/>
      </c>
      <c r="H82" s="111" t="n"/>
      <c r="I82" s="111" t="n"/>
      <c r="J82" s="111" t="n"/>
      <c r="K82" s="111" t="n"/>
      <c r="L82" s="111" t="n"/>
      <c r="M82" s="112" t="n"/>
      <c r="N82" s="111" t="n"/>
      <c r="O82" s="111" t="n"/>
      <c r="P82" s="111" t="n"/>
      <c r="Q82" s="111" t="n"/>
      <c r="R82" s="111" t="n"/>
      <c r="S82" s="111" t="n"/>
      <c r="T82" s="111" t="n"/>
      <c r="U82" s="111" t="n"/>
      <c r="V82" s="111" t="n"/>
      <c r="W82" s="113" t="n"/>
      <c r="X82" s="113" t="n"/>
      <c r="Y82" s="111" t="n"/>
      <c r="Z82" s="111" t="n"/>
      <c r="AA82" s="111" t="n"/>
      <c r="AB82" s="111" t="n"/>
      <c r="AC82" s="111" t="n"/>
      <c r="AD82" s="111" t="n"/>
      <c r="AE82" s="111" t="n"/>
      <c r="AF82" s="111" t="n"/>
      <c r="AG82" s="111" t="n"/>
      <c r="AH82" s="111" t="n"/>
      <c r="AI82" s="111" t="n"/>
      <c r="AJ82" s="114">
        <f>IF(COUNTA(B82,E82,H82,I82,J82,K82,L82,M82,N82,O82,P82,Q82,R82,S82,T82,U82,V82,W82,X82,Y82,Z82,AA82,AB82,AC82,AD82,AE82,AF82,AG82,AH82,AI82)=0,"",IF(OR(B82="",E82="",H82="",J82="",K82="",L82="",M82="",O82="",P82="",Q82="",R82="",S82="",T82="",U82="",W82="",X82="",Y82="",AB82="",AC82="",AE82="",AF82=""),"Incompleta: faltan campos obligatorios",IF(AND(LEFT(H82,6)="PROPIA",I82=""),"Falta el nombre de la acción propia del área",IF(AND(LEFT(H82,4)="AC27",IFERROR(INDEX('Catalogos_PDN'!$T$5:$T$207,MATCH(H82,'Catalogos_PDN'!$U$5:$U$207,0)),"x")&lt;&gt;LEFT(E82,7)),"La acción no corresponde a la meta seleccionada",IF(OR(NOT(ISNUMBER(M82)),M82&lt;10000000,M82&gt;99999999),"Código UNSPSC inválido: registre 8 dígitos",IF(MOD(M82,10000)=0,"UNSPSC a nivel de segmento o familia: use clase o producto",IF(IFERROR(MATCH(P82,PN_MESES,0)&lt;MATCH(O82,PN_MESES,0),TRUE()),"El mes de ofertas es anterior al de inicio del proceso",IF(OR(NOT(ISNUMBER(Q82)),Q82&lt;=0),"Duración inválida",IF(OR(NOT(ISNUMBER(W82)),NOT(ISNUMBER(X82))),"Valor inválido: registre solo números",IF(OR(W82&lt;=0,X82&lt;=0),"Valor inválido: debe ser mayor que cero",IF(X82&gt;W82,"El valor de la vigencia 2027 supera el valor total",IF(AND(X82&lt;W82,Y82="No"),"El valor total supera el de 2027: requiere vigencias futuras",IF(AND(Y82="Sí",OR(Z82="",Z82="No aplica")),"Indique el estado de la solicitud de vigencias futuras",IF(IF(AND(S82="Mínima cuantía",ISNUMBER(PN_TOPE_MINIMA)),W82&gt;PN_TOPE_MINIMA,FALSE()),"El valor supera el tope de mínima cuantía 2027",IF(IF(AND(S82="Selección abreviada de menor cuantía",ISNUMBER(PN_TOPE_MENOR)),W82&gt;PN_TOPE_MENOR,FALSE()),"El valor supera el tope de menor cuantía 2027",IF(OR(ISERROR(SEARCH("@itc.edu.co",AE82)),SUMPRODUCT(--ISNUMBER(SEARCH({"á","é","í","ó","ú","ñ"," "},AE82)))&gt;0),"El correo del responsable no es institucional válido",IF(AND(AF82="Sí",AG82=""),"Indique el N.° de registro 2026 que continúa","OK")))))))))))))))))</f>
        <v/>
      </c>
      <c r="AK82" s="114">
        <f>IF(AJ82="OK",COUNTIF($AJ$7:AJ82,"OK"),"")</f>
        <v/>
      </c>
    </row>
    <row r="83">
      <c r="A83" s="110">
        <f>"PN27-"&amp;TEXT(ROW()-6,"000")</f>
        <v/>
      </c>
      <c r="B83" s="111" t="n"/>
      <c r="C83" s="110">
        <f>IF(B83="","",IFERROR(INDEX('Catalogos_PDN'!$R$5:$R$51,MATCH(B83,PN_AREAS,0)),""))</f>
        <v/>
      </c>
      <c r="D83" s="110">
        <f>IF(B83="","",IFERROR(INDEX('Catalogos_PDN'!$O$5:$O$51,MATCH(B83,PN_AREAS,0)),""))</f>
        <v/>
      </c>
      <c r="E83" s="111" t="n"/>
      <c r="F83" s="110">
        <f>IF(E83="","",IFERROR(INDEX('Catalogos_PDN'!$C$5:$C$49,MATCH(E83,PN_METAS,0)),""))</f>
        <v/>
      </c>
      <c r="G83" s="110">
        <f>IF(E83="","",IFERROR(INDEX('Catalogos_PDN'!$E$5:$E$49,MATCH(E83,PN_METAS,0)),""))</f>
        <v/>
      </c>
      <c r="H83" s="111" t="n"/>
      <c r="I83" s="111" t="n"/>
      <c r="J83" s="111" t="n"/>
      <c r="K83" s="111" t="n"/>
      <c r="L83" s="111" t="n"/>
      <c r="M83" s="112" t="n"/>
      <c r="N83" s="111" t="n"/>
      <c r="O83" s="111" t="n"/>
      <c r="P83" s="111" t="n"/>
      <c r="Q83" s="111" t="n"/>
      <c r="R83" s="111" t="n"/>
      <c r="S83" s="111" t="n"/>
      <c r="T83" s="111" t="n"/>
      <c r="U83" s="111" t="n"/>
      <c r="V83" s="111" t="n"/>
      <c r="W83" s="113" t="n"/>
      <c r="X83" s="113" t="n"/>
      <c r="Y83" s="111" t="n"/>
      <c r="Z83" s="111" t="n"/>
      <c r="AA83" s="111" t="n"/>
      <c r="AB83" s="111" t="n"/>
      <c r="AC83" s="111" t="n"/>
      <c r="AD83" s="111" t="n"/>
      <c r="AE83" s="111" t="n"/>
      <c r="AF83" s="111" t="n"/>
      <c r="AG83" s="111" t="n"/>
      <c r="AH83" s="111" t="n"/>
      <c r="AI83" s="111" t="n"/>
      <c r="AJ83" s="114">
        <f>IF(COUNTA(B83,E83,H83,I83,J83,K83,L83,M83,N83,O83,P83,Q83,R83,S83,T83,U83,V83,W83,X83,Y83,Z83,AA83,AB83,AC83,AD83,AE83,AF83,AG83,AH83,AI83)=0,"",IF(OR(B83="",E83="",H83="",J83="",K83="",L83="",M83="",O83="",P83="",Q83="",R83="",S83="",T83="",U83="",W83="",X83="",Y83="",AB83="",AC83="",AE83="",AF83=""),"Incompleta: faltan campos obligatorios",IF(AND(LEFT(H83,6)="PROPIA",I83=""),"Falta el nombre de la acción propia del área",IF(AND(LEFT(H83,4)="AC27",IFERROR(INDEX('Catalogos_PDN'!$T$5:$T$207,MATCH(H83,'Catalogos_PDN'!$U$5:$U$207,0)),"x")&lt;&gt;LEFT(E83,7)),"La acción no corresponde a la meta seleccionada",IF(OR(NOT(ISNUMBER(M83)),M83&lt;10000000,M83&gt;99999999),"Código UNSPSC inválido: registre 8 dígitos",IF(MOD(M83,10000)=0,"UNSPSC a nivel de segmento o familia: use clase o producto",IF(IFERROR(MATCH(P83,PN_MESES,0)&lt;MATCH(O83,PN_MESES,0),TRUE()),"El mes de ofertas es anterior al de inicio del proceso",IF(OR(NOT(ISNUMBER(Q83)),Q83&lt;=0),"Duración inválida",IF(OR(NOT(ISNUMBER(W83)),NOT(ISNUMBER(X83))),"Valor inválido: registre solo números",IF(OR(W83&lt;=0,X83&lt;=0),"Valor inválido: debe ser mayor que cero",IF(X83&gt;W83,"El valor de la vigencia 2027 supera el valor total",IF(AND(X83&lt;W83,Y83="No"),"El valor total supera el de 2027: requiere vigencias futuras",IF(AND(Y83="Sí",OR(Z83="",Z83="No aplica")),"Indique el estado de la solicitud de vigencias futuras",IF(IF(AND(S83="Mínima cuantía",ISNUMBER(PN_TOPE_MINIMA)),W83&gt;PN_TOPE_MINIMA,FALSE()),"El valor supera el tope de mínima cuantía 2027",IF(IF(AND(S83="Selección abreviada de menor cuantía",ISNUMBER(PN_TOPE_MENOR)),W83&gt;PN_TOPE_MENOR,FALSE()),"El valor supera el tope de menor cuantía 2027",IF(OR(ISERROR(SEARCH("@itc.edu.co",AE83)),SUMPRODUCT(--ISNUMBER(SEARCH({"á","é","í","ó","ú","ñ"," "},AE83)))&gt;0),"El correo del responsable no es institucional válido",IF(AND(AF83="Sí",AG83=""),"Indique el N.° de registro 2026 que continúa","OK")))))))))))))))))</f>
        <v/>
      </c>
      <c r="AK83" s="114">
        <f>IF(AJ83="OK",COUNTIF($AJ$7:AJ83,"OK"),"")</f>
        <v/>
      </c>
    </row>
    <row r="84">
      <c r="A84" s="110">
        <f>"PN27-"&amp;TEXT(ROW()-6,"000")</f>
        <v/>
      </c>
      <c r="B84" s="111" t="n"/>
      <c r="C84" s="110">
        <f>IF(B84="","",IFERROR(INDEX('Catalogos_PDN'!$R$5:$R$51,MATCH(B84,PN_AREAS,0)),""))</f>
        <v/>
      </c>
      <c r="D84" s="110">
        <f>IF(B84="","",IFERROR(INDEX('Catalogos_PDN'!$O$5:$O$51,MATCH(B84,PN_AREAS,0)),""))</f>
        <v/>
      </c>
      <c r="E84" s="111" t="n"/>
      <c r="F84" s="110">
        <f>IF(E84="","",IFERROR(INDEX('Catalogos_PDN'!$C$5:$C$49,MATCH(E84,PN_METAS,0)),""))</f>
        <v/>
      </c>
      <c r="G84" s="110">
        <f>IF(E84="","",IFERROR(INDEX('Catalogos_PDN'!$E$5:$E$49,MATCH(E84,PN_METAS,0)),""))</f>
        <v/>
      </c>
      <c r="H84" s="111" t="n"/>
      <c r="I84" s="111" t="n"/>
      <c r="J84" s="111" t="n"/>
      <c r="K84" s="111" t="n"/>
      <c r="L84" s="111" t="n"/>
      <c r="M84" s="112" t="n"/>
      <c r="N84" s="111" t="n"/>
      <c r="O84" s="111" t="n"/>
      <c r="P84" s="111" t="n"/>
      <c r="Q84" s="111" t="n"/>
      <c r="R84" s="111" t="n"/>
      <c r="S84" s="111" t="n"/>
      <c r="T84" s="111" t="n"/>
      <c r="U84" s="111" t="n"/>
      <c r="V84" s="111" t="n"/>
      <c r="W84" s="113" t="n"/>
      <c r="X84" s="113" t="n"/>
      <c r="Y84" s="111" t="n"/>
      <c r="Z84" s="111" t="n"/>
      <c r="AA84" s="111" t="n"/>
      <c r="AB84" s="111" t="n"/>
      <c r="AC84" s="111" t="n"/>
      <c r="AD84" s="111" t="n"/>
      <c r="AE84" s="111" t="n"/>
      <c r="AF84" s="111" t="n"/>
      <c r="AG84" s="111" t="n"/>
      <c r="AH84" s="111" t="n"/>
      <c r="AI84" s="111" t="n"/>
      <c r="AJ84" s="114">
        <f>IF(COUNTA(B84,E84,H84,I84,J84,K84,L84,M84,N84,O84,P84,Q84,R84,S84,T84,U84,V84,W84,X84,Y84,Z84,AA84,AB84,AC84,AD84,AE84,AF84,AG84,AH84,AI84)=0,"",IF(OR(B84="",E84="",H84="",J84="",K84="",L84="",M84="",O84="",P84="",Q84="",R84="",S84="",T84="",U84="",W84="",X84="",Y84="",AB84="",AC84="",AE84="",AF84=""),"Incompleta: faltan campos obligatorios",IF(AND(LEFT(H84,6)="PROPIA",I84=""),"Falta el nombre de la acción propia del área",IF(AND(LEFT(H84,4)="AC27",IFERROR(INDEX('Catalogos_PDN'!$T$5:$T$207,MATCH(H84,'Catalogos_PDN'!$U$5:$U$207,0)),"x")&lt;&gt;LEFT(E84,7)),"La acción no corresponde a la meta seleccionada",IF(OR(NOT(ISNUMBER(M84)),M84&lt;10000000,M84&gt;99999999),"Código UNSPSC inválido: registre 8 dígitos",IF(MOD(M84,10000)=0,"UNSPSC a nivel de segmento o familia: use clase o producto",IF(IFERROR(MATCH(P84,PN_MESES,0)&lt;MATCH(O84,PN_MESES,0),TRUE()),"El mes de ofertas es anterior al de inicio del proceso",IF(OR(NOT(ISNUMBER(Q84)),Q84&lt;=0),"Duración inválida",IF(OR(NOT(ISNUMBER(W84)),NOT(ISNUMBER(X84))),"Valor inválido: registre solo números",IF(OR(W84&lt;=0,X84&lt;=0),"Valor inválido: debe ser mayor que cero",IF(X84&gt;W84,"El valor de la vigencia 2027 supera el valor total",IF(AND(X84&lt;W84,Y84="No"),"El valor total supera el de 2027: requiere vigencias futuras",IF(AND(Y84="Sí",OR(Z84="",Z84="No aplica")),"Indique el estado de la solicitud de vigencias futuras",IF(IF(AND(S84="Mínima cuantía",ISNUMBER(PN_TOPE_MINIMA)),W84&gt;PN_TOPE_MINIMA,FALSE()),"El valor supera el tope de mínima cuantía 2027",IF(IF(AND(S84="Selección abreviada de menor cuantía",ISNUMBER(PN_TOPE_MENOR)),W84&gt;PN_TOPE_MENOR,FALSE()),"El valor supera el tope de menor cuantía 2027",IF(OR(ISERROR(SEARCH("@itc.edu.co",AE84)),SUMPRODUCT(--ISNUMBER(SEARCH({"á","é","í","ó","ú","ñ"," "},AE84)))&gt;0),"El correo del responsable no es institucional válido",IF(AND(AF84="Sí",AG84=""),"Indique el N.° de registro 2026 que continúa","OK")))))))))))))))))</f>
        <v/>
      </c>
      <c r="AK84" s="114">
        <f>IF(AJ84="OK",COUNTIF($AJ$7:AJ84,"OK"),"")</f>
        <v/>
      </c>
    </row>
    <row r="85">
      <c r="A85" s="110">
        <f>"PN27-"&amp;TEXT(ROW()-6,"000")</f>
        <v/>
      </c>
      <c r="B85" s="111" t="n"/>
      <c r="C85" s="110">
        <f>IF(B85="","",IFERROR(INDEX('Catalogos_PDN'!$R$5:$R$51,MATCH(B85,PN_AREAS,0)),""))</f>
        <v/>
      </c>
      <c r="D85" s="110">
        <f>IF(B85="","",IFERROR(INDEX('Catalogos_PDN'!$O$5:$O$51,MATCH(B85,PN_AREAS,0)),""))</f>
        <v/>
      </c>
      <c r="E85" s="111" t="n"/>
      <c r="F85" s="110">
        <f>IF(E85="","",IFERROR(INDEX('Catalogos_PDN'!$C$5:$C$49,MATCH(E85,PN_METAS,0)),""))</f>
        <v/>
      </c>
      <c r="G85" s="110">
        <f>IF(E85="","",IFERROR(INDEX('Catalogos_PDN'!$E$5:$E$49,MATCH(E85,PN_METAS,0)),""))</f>
        <v/>
      </c>
      <c r="H85" s="111" t="n"/>
      <c r="I85" s="111" t="n"/>
      <c r="J85" s="111" t="n"/>
      <c r="K85" s="111" t="n"/>
      <c r="L85" s="111" t="n"/>
      <c r="M85" s="112" t="n"/>
      <c r="N85" s="111" t="n"/>
      <c r="O85" s="111" t="n"/>
      <c r="P85" s="111" t="n"/>
      <c r="Q85" s="111" t="n"/>
      <c r="R85" s="111" t="n"/>
      <c r="S85" s="111" t="n"/>
      <c r="T85" s="111" t="n"/>
      <c r="U85" s="111" t="n"/>
      <c r="V85" s="111" t="n"/>
      <c r="W85" s="113" t="n"/>
      <c r="X85" s="113" t="n"/>
      <c r="Y85" s="111" t="n"/>
      <c r="Z85" s="111" t="n"/>
      <c r="AA85" s="111" t="n"/>
      <c r="AB85" s="111" t="n"/>
      <c r="AC85" s="111" t="n"/>
      <c r="AD85" s="111" t="n"/>
      <c r="AE85" s="111" t="n"/>
      <c r="AF85" s="111" t="n"/>
      <c r="AG85" s="111" t="n"/>
      <c r="AH85" s="111" t="n"/>
      <c r="AI85" s="111" t="n"/>
      <c r="AJ85" s="114">
        <f>IF(COUNTA(B85,E85,H85,I85,J85,K85,L85,M85,N85,O85,P85,Q85,R85,S85,T85,U85,V85,W85,X85,Y85,Z85,AA85,AB85,AC85,AD85,AE85,AF85,AG85,AH85,AI85)=0,"",IF(OR(B85="",E85="",H85="",J85="",K85="",L85="",M85="",O85="",P85="",Q85="",R85="",S85="",T85="",U85="",W85="",X85="",Y85="",AB85="",AC85="",AE85="",AF85=""),"Incompleta: faltan campos obligatorios",IF(AND(LEFT(H85,6)="PROPIA",I85=""),"Falta el nombre de la acción propia del área",IF(AND(LEFT(H85,4)="AC27",IFERROR(INDEX('Catalogos_PDN'!$T$5:$T$207,MATCH(H85,'Catalogos_PDN'!$U$5:$U$207,0)),"x")&lt;&gt;LEFT(E85,7)),"La acción no corresponde a la meta seleccionada",IF(OR(NOT(ISNUMBER(M85)),M85&lt;10000000,M85&gt;99999999),"Código UNSPSC inválido: registre 8 dígitos",IF(MOD(M85,10000)=0,"UNSPSC a nivel de segmento o familia: use clase o producto",IF(IFERROR(MATCH(P85,PN_MESES,0)&lt;MATCH(O85,PN_MESES,0),TRUE()),"El mes de ofertas es anterior al de inicio del proceso",IF(OR(NOT(ISNUMBER(Q85)),Q85&lt;=0),"Duración inválida",IF(OR(NOT(ISNUMBER(W85)),NOT(ISNUMBER(X85))),"Valor inválido: registre solo números",IF(OR(W85&lt;=0,X85&lt;=0),"Valor inválido: debe ser mayor que cero",IF(X85&gt;W85,"El valor de la vigencia 2027 supera el valor total",IF(AND(X85&lt;W85,Y85="No"),"El valor total supera el de 2027: requiere vigencias futuras",IF(AND(Y85="Sí",OR(Z85="",Z85="No aplica")),"Indique el estado de la solicitud de vigencias futuras",IF(IF(AND(S85="Mínima cuantía",ISNUMBER(PN_TOPE_MINIMA)),W85&gt;PN_TOPE_MINIMA,FALSE()),"El valor supera el tope de mínima cuantía 2027",IF(IF(AND(S85="Selección abreviada de menor cuantía",ISNUMBER(PN_TOPE_MENOR)),W85&gt;PN_TOPE_MENOR,FALSE()),"El valor supera el tope de menor cuantía 2027",IF(OR(ISERROR(SEARCH("@itc.edu.co",AE85)),SUMPRODUCT(--ISNUMBER(SEARCH({"á","é","í","ó","ú","ñ"," "},AE85)))&gt;0),"El correo del responsable no es institucional válido",IF(AND(AF85="Sí",AG85=""),"Indique el N.° de registro 2026 que continúa","OK")))))))))))))))))</f>
        <v/>
      </c>
      <c r="AK85" s="114">
        <f>IF(AJ85="OK",COUNTIF($AJ$7:AJ85,"OK"),"")</f>
        <v/>
      </c>
    </row>
    <row r="86">
      <c r="A86" s="110">
        <f>"PN27-"&amp;TEXT(ROW()-6,"000")</f>
        <v/>
      </c>
      <c r="B86" s="111" t="n"/>
      <c r="C86" s="110">
        <f>IF(B86="","",IFERROR(INDEX('Catalogos_PDN'!$R$5:$R$51,MATCH(B86,PN_AREAS,0)),""))</f>
        <v/>
      </c>
      <c r="D86" s="110">
        <f>IF(B86="","",IFERROR(INDEX('Catalogos_PDN'!$O$5:$O$51,MATCH(B86,PN_AREAS,0)),""))</f>
        <v/>
      </c>
      <c r="E86" s="111" t="n"/>
      <c r="F86" s="110">
        <f>IF(E86="","",IFERROR(INDEX('Catalogos_PDN'!$C$5:$C$49,MATCH(E86,PN_METAS,0)),""))</f>
        <v/>
      </c>
      <c r="G86" s="110">
        <f>IF(E86="","",IFERROR(INDEX('Catalogos_PDN'!$E$5:$E$49,MATCH(E86,PN_METAS,0)),""))</f>
        <v/>
      </c>
      <c r="H86" s="111" t="n"/>
      <c r="I86" s="111" t="n"/>
      <c r="J86" s="111" t="n"/>
      <c r="K86" s="111" t="n"/>
      <c r="L86" s="111" t="n"/>
      <c r="M86" s="112" t="n"/>
      <c r="N86" s="111" t="n"/>
      <c r="O86" s="111" t="n"/>
      <c r="P86" s="111" t="n"/>
      <c r="Q86" s="111" t="n"/>
      <c r="R86" s="111" t="n"/>
      <c r="S86" s="111" t="n"/>
      <c r="T86" s="111" t="n"/>
      <c r="U86" s="111" t="n"/>
      <c r="V86" s="111" t="n"/>
      <c r="W86" s="113" t="n"/>
      <c r="X86" s="113" t="n"/>
      <c r="Y86" s="111" t="n"/>
      <c r="Z86" s="111" t="n"/>
      <c r="AA86" s="111" t="n"/>
      <c r="AB86" s="111" t="n"/>
      <c r="AC86" s="111" t="n"/>
      <c r="AD86" s="111" t="n"/>
      <c r="AE86" s="111" t="n"/>
      <c r="AF86" s="111" t="n"/>
      <c r="AG86" s="111" t="n"/>
      <c r="AH86" s="111" t="n"/>
      <c r="AI86" s="111" t="n"/>
      <c r="AJ86" s="114">
        <f>IF(COUNTA(B86,E86,H86,I86,J86,K86,L86,M86,N86,O86,P86,Q86,R86,S86,T86,U86,V86,W86,X86,Y86,Z86,AA86,AB86,AC86,AD86,AE86,AF86,AG86,AH86,AI86)=0,"",IF(OR(B86="",E86="",H86="",J86="",K86="",L86="",M86="",O86="",P86="",Q86="",R86="",S86="",T86="",U86="",W86="",X86="",Y86="",AB86="",AC86="",AE86="",AF86=""),"Incompleta: faltan campos obligatorios",IF(AND(LEFT(H86,6)="PROPIA",I86=""),"Falta el nombre de la acción propia del área",IF(AND(LEFT(H86,4)="AC27",IFERROR(INDEX('Catalogos_PDN'!$T$5:$T$207,MATCH(H86,'Catalogos_PDN'!$U$5:$U$207,0)),"x")&lt;&gt;LEFT(E86,7)),"La acción no corresponde a la meta seleccionada",IF(OR(NOT(ISNUMBER(M86)),M86&lt;10000000,M86&gt;99999999),"Código UNSPSC inválido: registre 8 dígitos",IF(MOD(M86,10000)=0,"UNSPSC a nivel de segmento o familia: use clase o producto",IF(IFERROR(MATCH(P86,PN_MESES,0)&lt;MATCH(O86,PN_MESES,0),TRUE()),"El mes de ofertas es anterior al de inicio del proceso",IF(OR(NOT(ISNUMBER(Q86)),Q86&lt;=0),"Duración inválida",IF(OR(NOT(ISNUMBER(W86)),NOT(ISNUMBER(X86))),"Valor inválido: registre solo números",IF(OR(W86&lt;=0,X86&lt;=0),"Valor inválido: debe ser mayor que cero",IF(X86&gt;W86,"El valor de la vigencia 2027 supera el valor total",IF(AND(X86&lt;W86,Y86="No"),"El valor total supera el de 2027: requiere vigencias futuras",IF(AND(Y86="Sí",OR(Z86="",Z86="No aplica")),"Indique el estado de la solicitud de vigencias futuras",IF(IF(AND(S86="Mínima cuantía",ISNUMBER(PN_TOPE_MINIMA)),W86&gt;PN_TOPE_MINIMA,FALSE()),"El valor supera el tope de mínima cuantía 2027",IF(IF(AND(S86="Selección abreviada de menor cuantía",ISNUMBER(PN_TOPE_MENOR)),W86&gt;PN_TOPE_MENOR,FALSE()),"El valor supera el tope de menor cuantía 2027",IF(OR(ISERROR(SEARCH("@itc.edu.co",AE86)),SUMPRODUCT(--ISNUMBER(SEARCH({"á","é","í","ó","ú","ñ"," "},AE86)))&gt;0),"El correo del responsable no es institucional válido",IF(AND(AF86="Sí",AG86=""),"Indique el N.° de registro 2026 que continúa","OK")))))))))))))))))</f>
        <v/>
      </c>
      <c r="AK86" s="114">
        <f>IF(AJ86="OK",COUNTIF($AJ$7:AJ86,"OK"),"")</f>
        <v/>
      </c>
    </row>
    <row r="87">
      <c r="A87" s="110">
        <f>"PN27-"&amp;TEXT(ROW()-6,"000")</f>
        <v/>
      </c>
      <c r="B87" s="111" t="n"/>
      <c r="C87" s="110">
        <f>IF(B87="","",IFERROR(INDEX('Catalogos_PDN'!$R$5:$R$51,MATCH(B87,PN_AREAS,0)),""))</f>
        <v/>
      </c>
      <c r="D87" s="110">
        <f>IF(B87="","",IFERROR(INDEX('Catalogos_PDN'!$O$5:$O$51,MATCH(B87,PN_AREAS,0)),""))</f>
        <v/>
      </c>
      <c r="E87" s="111" t="n"/>
      <c r="F87" s="110">
        <f>IF(E87="","",IFERROR(INDEX('Catalogos_PDN'!$C$5:$C$49,MATCH(E87,PN_METAS,0)),""))</f>
        <v/>
      </c>
      <c r="G87" s="110">
        <f>IF(E87="","",IFERROR(INDEX('Catalogos_PDN'!$E$5:$E$49,MATCH(E87,PN_METAS,0)),""))</f>
        <v/>
      </c>
      <c r="H87" s="111" t="n"/>
      <c r="I87" s="111" t="n"/>
      <c r="J87" s="111" t="n"/>
      <c r="K87" s="111" t="n"/>
      <c r="L87" s="111" t="n"/>
      <c r="M87" s="112" t="n"/>
      <c r="N87" s="111" t="n"/>
      <c r="O87" s="111" t="n"/>
      <c r="P87" s="111" t="n"/>
      <c r="Q87" s="111" t="n"/>
      <c r="R87" s="111" t="n"/>
      <c r="S87" s="111" t="n"/>
      <c r="T87" s="111" t="n"/>
      <c r="U87" s="111" t="n"/>
      <c r="V87" s="111" t="n"/>
      <c r="W87" s="113" t="n"/>
      <c r="X87" s="113" t="n"/>
      <c r="Y87" s="111" t="n"/>
      <c r="Z87" s="111" t="n"/>
      <c r="AA87" s="111" t="n"/>
      <c r="AB87" s="111" t="n"/>
      <c r="AC87" s="111" t="n"/>
      <c r="AD87" s="111" t="n"/>
      <c r="AE87" s="111" t="n"/>
      <c r="AF87" s="111" t="n"/>
      <c r="AG87" s="111" t="n"/>
      <c r="AH87" s="111" t="n"/>
      <c r="AI87" s="111" t="n"/>
      <c r="AJ87" s="114">
        <f>IF(COUNTA(B87,E87,H87,I87,J87,K87,L87,M87,N87,O87,P87,Q87,R87,S87,T87,U87,V87,W87,X87,Y87,Z87,AA87,AB87,AC87,AD87,AE87,AF87,AG87,AH87,AI87)=0,"",IF(OR(B87="",E87="",H87="",J87="",K87="",L87="",M87="",O87="",P87="",Q87="",R87="",S87="",T87="",U87="",W87="",X87="",Y87="",AB87="",AC87="",AE87="",AF87=""),"Incompleta: faltan campos obligatorios",IF(AND(LEFT(H87,6)="PROPIA",I87=""),"Falta el nombre de la acción propia del área",IF(AND(LEFT(H87,4)="AC27",IFERROR(INDEX('Catalogos_PDN'!$T$5:$T$207,MATCH(H87,'Catalogos_PDN'!$U$5:$U$207,0)),"x")&lt;&gt;LEFT(E87,7)),"La acción no corresponde a la meta seleccionada",IF(OR(NOT(ISNUMBER(M87)),M87&lt;10000000,M87&gt;99999999),"Código UNSPSC inválido: registre 8 dígitos",IF(MOD(M87,10000)=0,"UNSPSC a nivel de segmento o familia: use clase o producto",IF(IFERROR(MATCH(P87,PN_MESES,0)&lt;MATCH(O87,PN_MESES,0),TRUE()),"El mes de ofertas es anterior al de inicio del proceso",IF(OR(NOT(ISNUMBER(Q87)),Q87&lt;=0),"Duración inválida",IF(OR(NOT(ISNUMBER(W87)),NOT(ISNUMBER(X87))),"Valor inválido: registre solo números",IF(OR(W87&lt;=0,X87&lt;=0),"Valor inválido: debe ser mayor que cero",IF(X87&gt;W87,"El valor de la vigencia 2027 supera el valor total",IF(AND(X87&lt;W87,Y87="No"),"El valor total supera el de 2027: requiere vigencias futuras",IF(AND(Y87="Sí",OR(Z87="",Z87="No aplica")),"Indique el estado de la solicitud de vigencias futuras",IF(IF(AND(S87="Mínima cuantía",ISNUMBER(PN_TOPE_MINIMA)),W87&gt;PN_TOPE_MINIMA,FALSE()),"El valor supera el tope de mínima cuantía 2027",IF(IF(AND(S87="Selección abreviada de menor cuantía",ISNUMBER(PN_TOPE_MENOR)),W87&gt;PN_TOPE_MENOR,FALSE()),"El valor supera el tope de menor cuantía 2027",IF(OR(ISERROR(SEARCH("@itc.edu.co",AE87)),SUMPRODUCT(--ISNUMBER(SEARCH({"á","é","í","ó","ú","ñ"," "},AE87)))&gt;0),"El correo del responsable no es institucional válido",IF(AND(AF87="Sí",AG87=""),"Indique el N.° de registro 2026 que continúa","OK")))))))))))))))))</f>
        <v/>
      </c>
      <c r="AK87" s="114">
        <f>IF(AJ87="OK",COUNTIF($AJ$7:AJ87,"OK"),"")</f>
        <v/>
      </c>
    </row>
    <row r="88">
      <c r="A88" s="110">
        <f>"PN27-"&amp;TEXT(ROW()-6,"000")</f>
        <v/>
      </c>
      <c r="B88" s="111" t="n"/>
      <c r="C88" s="110">
        <f>IF(B88="","",IFERROR(INDEX('Catalogos_PDN'!$R$5:$R$51,MATCH(B88,PN_AREAS,0)),""))</f>
        <v/>
      </c>
      <c r="D88" s="110">
        <f>IF(B88="","",IFERROR(INDEX('Catalogos_PDN'!$O$5:$O$51,MATCH(B88,PN_AREAS,0)),""))</f>
        <v/>
      </c>
      <c r="E88" s="111" t="n"/>
      <c r="F88" s="110">
        <f>IF(E88="","",IFERROR(INDEX('Catalogos_PDN'!$C$5:$C$49,MATCH(E88,PN_METAS,0)),""))</f>
        <v/>
      </c>
      <c r="G88" s="110">
        <f>IF(E88="","",IFERROR(INDEX('Catalogos_PDN'!$E$5:$E$49,MATCH(E88,PN_METAS,0)),""))</f>
        <v/>
      </c>
      <c r="H88" s="111" t="n"/>
      <c r="I88" s="111" t="n"/>
      <c r="J88" s="111" t="n"/>
      <c r="K88" s="111" t="n"/>
      <c r="L88" s="111" t="n"/>
      <c r="M88" s="112" t="n"/>
      <c r="N88" s="111" t="n"/>
      <c r="O88" s="111" t="n"/>
      <c r="P88" s="111" t="n"/>
      <c r="Q88" s="111" t="n"/>
      <c r="R88" s="111" t="n"/>
      <c r="S88" s="111" t="n"/>
      <c r="T88" s="111" t="n"/>
      <c r="U88" s="111" t="n"/>
      <c r="V88" s="111" t="n"/>
      <c r="W88" s="113" t="n"/>
      <c r="X88" s="113" t="n"/>
      <c r="Y88" s="111" t="n"/>
      <c r="Z88" s="111" t="n"/>
      <c r="AA88" s="111" t="n"/>
      <c r="AB88" s="111" t="n"/>
      <c r="AC88" s="111" t="n"/>
      <c r="AD88" s="111" t="n"/>
      <c r="AE88" s="111" t="n"/>
      <c r="AF88" s="111" t="n"/>
      <c r="AG88" s="111" t="n"/>
      <c r="AH88" s="111" t="n"/>
      <c r="AI88" s="111" t="n"/>
      <c r="AJ88" s="114">
        <f>IF(COUNTA(B88,E88,H88,I88,J88,K88,L88,M88,N88,O88,P88,Q88,R88,S88,T88,U88,V88,W88,X88,Y88,Z88,AA88,AB88,AC88,AD88,AE88,AF88,AG88,AH88,AI88)=0,"",IF(OR(B88="",E88="",H88="",J88="",K88="",L88="",M88="",O88="",P88="",Q88="",R88="",S88="",T88="",U88="",W88="",X88="",Y88="",AB88="",AC88="",AE88="",AF88=""),"Incompleta: faltan campos obligatorios",IF(AND(LEFT(H88,6)="PROPIA",I88=""),"Falta el nombre de la acción propia del área",IF(AND(LEFT(H88,4)="AC27",IFERROR(INDEX('Catalogos_PDN'!$T$5:$T$207,MATCH(H88,'Catalogos_PDN'!$U$5:$U$207,0)),"x")&lt;&gt;LEFT(E88,7)),"La acción no corresponde a la meta seleccionada",IF(OR(NOT(ISNUMBER(M88)),M88&lt;10000000,M88&gt;99999999),"Código UNSPSC inválido: registre 8 dígitos",IF(MOD(M88,10000)=0,"UNSPSC a nivel de segmento o familia: use clase o producto",IF(IFERROR(MATCH(P88,PN_MESES,0)&lt;MATCH(O88,PN_MESES,0),TRUE()),"El mes de ofertas es anterior al de inicio del proceso",IF(OR(NOT(ISNUMBER(Q88)),Q88&lt;=0),"Duración inválida",IF(OR(NOT(ISNUMBER(W88)),NOT(ISNUMBER(X88))),"Valor inválido: registre solo números",IF(OR(W88&lt;=0,X88&lt;=0),"Valor inválido: debe ser mayor que cero",IF(X88&gt;W88,"El valor de la vigencia 2027 supera el valor total",IF(AND(X88&lt;W88,Y88="No"),"El valor total supera el de 2027: requiere vigencias futuras",IF(AND(Y88="Sí",OR(Z88="",Z88="No aplica")),"Indique el estado de la solicitud de vigencias futuras",IF(IF(AND(S88="Mínima cuantía",ISNUMBER(PN_TOPE_MINIMA)),W88&gt;PN_TOPE_MINIMA,FALSE()),"El valor supera el tope de mínima cuantía 2027",IF(IF(AND(S88="Selección abreviada de menor cuantía",ISNUMBER(PN_TOPE_MENOR)),W88&gt;PN_TOPE_MENOR,FALSE()),"El valor supera el tope de menor cuantía 2027",IF(OR(ISERROR(SEARCH("@itc.edu.co",AE88)),SUMPRODUCT(--ISNUMBER(SEARCH({"á","é","í","ó","ú","ñ"," "},AE88)))&gt;0),"El correo del responsable no es institucional válido",IF(AND(AF88="Sí",AG88=""),"Indique el N.° de registro 2026 que continúa","OK")))))))))))))))))</f>
        <v/>
      </c>
      <c r="AK88" s="114">
        <f>IF(AJ88="OK",COUNTIF($AJ$7:AJ88,"OK"),"")</f>
        <v/>
      </c>
    </row>
    <row r="89">
      <c r="A89" s="110">
        <f>"PN27-"&amp;TEXT(ROW()-6,"000")</f>
        <v/>
      </c>
      <c r="B89" s="111" t="n"/>
      <c r="C89" s="110">
        <f>IF(B89="","",IFERROR(INDEX('Catalogos_PDN'!$R$5:$R$51,MATCH(B89,PN_AREAS,0)),""))</f>
        <v/>
      </c>
      <c r="D89" s="110">
        <f>IF(B89="","",IFERROR(INDEX('Catalogos_PDN'!$O$5:$O$51,MATCH(B89,PN_AREAS,0)),""))</f>
        <v/>
      </c>
      <c r="E89" s="111" t="n"/>
      <c r="F89" s="110">
        <f>IF(E89="","",IFERROR(INDEX('Catalogos_PDN'!$C$5:$C$49,MATCH(E89,PN_METAS,0)),""))</f>
        <v/>
      </c>
      <c r="G89" s="110">
        <f>IF(E89="","",IFERROR(INDEX('Catalogos_PDN'!$E$5:$E$49,MATCH(E89,PN_METAS,0)),""))</f>
        <v/>
      </c>
      <c r="H89" s="111" t="n"/>
      <c r="I89" s="111" t="n"/>
      <c r="J89" s="111" t="n"/>
      <c r="K89" s="111" t="n"/>
      <c r="L89" s="111" t="n"/>
      <c r="M89" s="112" t="n"/>
      <c r="N89" s="111" t="n"/>
      <c r="O89" s="111" t="n"/>
      <c r="P89" s="111" t="n"/>
      <c r="Q89" s="111" t="n"/>
      <c r="R89" s="111" t="n"/>
      <c r="S89" s="111" t="n"/>
      <c r="T89" s="111" t="n"/>
      <c r="U89" s="111" t="n"/>
      <c r="V89" s="111" t="n"/>
      <c r="W89" s="113" t="n"/>
      <c r="X89" s="113" t="n"/>
      <c r="Y89" s="111" t="n"/>
      <c r="Z89" s="111" t="n"/>
      <c r="AA89" s="111" t="n"/>
      <c r="AB89" s="111" t="n"/>
      <c r="AC89" s="111" t="n"/>
      <c r="AD89" s="111" t="n"/>
      <c r="AE89" s="111" t="n"/>
      <c r="AF89" s="111" t="n"/>
      <c r="AG89" s="111" t="n"/>
      <c r="AH89" s="111" t="n"/>
      <c r="AI89" s="111" t="n"/>
      <c r="AJ89" s="114">
        <f>IF(COUNTA(B89,E89,H89,I89,J89,K89,L89,M89,N89,O89,P89,Q89,R89,S89,T89,U89,V89,W89,X89,Y89,Z89,AA89,AB89,AC89,AD89,AE89,AF89,AG89,AH89,AI89)=0,"",IF(OR(B89="",E89="",H89="",J89="",K89="",L89="",M89="",O89="",P89="",Q89="",R89="",S89="",T89="",U89="",W89="",X89="",Y89="",AB89="",AC89="",AE89="",AF89=""),"Incompleta: faltan campos obligatorios",IF(AND(LEFT(H89,6)="PROPIA",I89=""),"Falta el nombre de la acción propia del área",IF(AND(LEFT(H89,4)="AC27",IFERROR(INDEX('Catalogos_PDN'!$T$5:$T$207,MATCH(H89,'Catalogos_PDN'!$U$5:$U$207,0)),"x")&lt;&gt;LEFT(E89,7)),"La acción no corresponde a la meta seleccionada",IF(OR(NOT(ISNUMBER(M89)),M89&lt;10000000,M89&gt;99999999),"Código UNSPSC inválido: registre 8 dígitos",IF(MOD(M89,10000)=0,"UNSPSC a nivel de segmento o familia: use clase o producto",IF(IFERROR(MATCH(P89,PN_MESES,0)&lt;MATCH(O89,PN_MESES,0),TRUE()),"El mes de ofertas es anterior al de inicio del proceso",IF(OR(NOT(ISNUMBER(Q89)),Q89&lt;=0),"Duración inválida",IF(OR(NOT(ISNUMBER(W89)),NOT(ISNUMBER(X89))),"Valor inválido: registre solo números",IF(OR(W89&lt;=0,X89&lt;=0),"Valor inválido: debe ser mayor que cero",IF(X89&gt;W89,"El valor de la vigencia 2027 supera el valor total",IF(AND(X89&lt;W89,Y89="No"),"El valor total supera el de 2027: requiere vigencias futuras",IF(AND(Y89="Sí",OR(Z89="",Z89="No aplica")),"Indique el estado de la solicitud de vigencias futuras",IF(IF(AND(S89="Mínima cuantía",ISNUMBER(PN_TOPE_MINIMA)),W89&gt;PN_TOPE_MINIMA,FALSE()),"El valor supera el tope de mínima cuantía 2027",IF(IF(AND(S89="Selección abreviada de menor cuantía",ISNUMBER(PN_TOPE_MENOR)),W89&gt;PN_TOPE_MENOR,FALSE()),"El valor supera el tope de menor cuantía 2027",IF(OR(ISERROR(SEARCH("@itc.edu.co",AE89)),SUMPRODUCT(--ISNUMBER(SEARCH({"á","é","í","ó","ú","ñ"," "},AE89)))&gt;0),"El correo del responsable no es institucional válido",IF(AND(AF89="Sí",AG89=""),"Indique el N.° de registro 2026 que continúa","OK")))))))))))))))))</f>
        <v/>
      </c>
      <c r="AK89" s="114">
        <f>IF(AJ89="OK",COUNTIF($AJ$7:AJ89,"OK"),"")</f>
        <v/>
      </c>
    </row>
    <row r="90">
      <c r="A90" s="110">
        <f>"PN27-"&amp;TEXT(ROW()-6,"000")</f>
        <v/>
      </c>
      <c r="B90" s="111" t="n"/>
      <c r="C90" s="110">
        <f>IF(B90="","",IFERROR(INDEX('Catalogos_PDN'!$R$5:$R$51,MATCH(B90,PN_AREAS,0)),""))</f>
        <v/>
      </c>
      <c r="D90" s="110">
        <f>IF(B90="","",IFERROR(INDEX('Catalogos_PDN'!$O$5:$O$51,MATCH(B90,PN_AREAS,0)),""))</f>
        <v/>
      </c>
      <c r="E90" s="111" t="n"/>
      <c r="F90" s="110">
        <f>IF(E90="","",IFERROR(INDEX('Catalogos_PDN'!$C$5:$C$49,MATCH(E90,PN_METAS,0)),""))</f>
        <v/>
      </c>
      <c r="G90" s="110">
        <f>IF(E90="","",IFERROR(INDEX('Catalogos_PDN'!$E$5:$E$49,MATCH(E90,PN_METAS,0)),""))</f>
        <v/>
      </c>
      <c r="H90" s="111" t="n"/>
      <c r="I90" s="111" t="n"/>
      <c r="J90" s="111" t="n"/>
      <c r="K90" s="111" t="n"/>
      <c r="L90" s="111" t="n"/>
      <c r="M90" s="112" t="n"/>
      <c r="N90" s="111" t="n"/>
      <c r="O90" s="111" t="n"/>
      <c r="P90" s="111" t="n"/>
      <c r="Q90" s="111" t="n"/>
      <c r="R90" s="111" t="n"/>
      <c r="S90" s="111" t="n"/>
      <c r="T90" s="111" t="n"/>
      <c r="U90" s="111" t="n"/>
      <c r="V90" s="111" t="n"/>
      <c r="W90" s="113" t="n"/>
      <c r="X90" s="113" t="n"/>
      <c r="Y90" s="111" t="n"/>
      <c r="Z90" s="111" t="n"/>
      <c r="AA90" s="111" t="n"/>
      <c r="AB90" s="111" t="n"/>
      <c r="AC90" s="111" t="n"/>
      <c r="AD90" s="111" t="n"/>
      <c r="AE90" s="111" t="n"/>
      <c r="AF90" s="111" t="n"/>
      <c r="AG90" s="111" t="n"/>
      <c r="AH90" s="111" t="n"/>
      <c r="AI90" s="111" t="n"/>
      <c r="AJ90" s="114">
        <f>IF(COUNTA(B90,E90,H90,I90,J90,K90,L90,M90,N90,O90,P90,Q90,R90,S90,T90,U90,V90,W90,X90,Y90,Z90,AA90,AB90,AC90,AD90,AE90,AF90,AG90,AH90,AI90)=0,"",IF(OR(B90="",E90="",H90="",J90="",K90="",L90="",M90="",O90="",P90="",Q90="",R90="",S90="",T90="",U90="",W90="",X90="",Y90="",AB90="",AC90="",AE90="",AF90=""),"Incompleta: faltan campos obligatorios",IF(AND(LEFT(H90,6)="PROPIA",I90=""),"Falta el nombre de la acción propia del área",IF(AND(LEFT(H90,4)="AC27",IFERROR(INDEX('Catalogos_PDN'!$T$5:$T$207,MATCH(H90,'Catalogos_PDN'!$U$5:$U$207,0)),"x")&lt;&gt;LEFT(E90,7)),"La acción no corresponde a la meta seleccionada",IF(OR(NOT(ISNUMBER(M90)),M90&lt;10000000,M90&gt;99999999),"Código UNSPSC inválido: registre 8 dígitos",IF(MOD(M90,10000)=0,"UNSPSC a nivel de segmento o familia: use clase o producto",IF(IFERROR(MATCH(P90,PN_MESES,0)&lt;MATCH(O90,PN_MESES,0),TRUE()),"El mes de ofertas es anterior al de inicio del proceso",IF(OR(NOT(ISNUMBER(Q90)),Q90&lt;=0),"Duración inválida",IF(OR(NOT(ISNUMBER(W90)),NOT(ISNUMBER(X90))),"Valor inválido: registre solo números",IF(OR(W90&lt;=0,X90&lt;=0),"Valor inválido: debe ser mayor que cero",IF(X90&gt;W90,"El valor de la vigencia 2027 supera el valor total",IF(AND(X90&lt;W90,Y90="No"),"El valor total supera el de 2027: requiere vigencias futuras",IF(AND(Y90="Sí",OR(Z90="",Z90="No aplica")),"Indique el estado de la solicitud de vigencias futuras",IF(IF(AND(S90="Mínima cuantía",ISNUMBER(PN_TOPE_MINIMA)),W90&gt;PN_TOPE_MINIMA,FALSE()),"El valor supera el tope de mínima cuantía 2027",IF(IF(AND(S90="Selección abreviada de menor cuantía",ISNUMBER(PN_TOPE_MENOR)),W90&gt;PN_TOPE_MENOR,FALSE()),"El valor supera el tope de menor cuantía 2027",IF(OR(ISERROR(SEARCH("@itc.edu.co",AE90)),SUMPRODUCT(--ISNUMBER(SEARCH({"á","é","í","ó","ú","ñ"," "},AE90)))&gt;0),"El correo del responsable no es institucional válido",IF(AND(AF90="Sí",AG90=""),"Indique el N.° de registro 2026 que continúa","OK")))))))))))))))))</f>
        <v/>
      </c>
      <c r="AK90" s="114">
        <f>IF(AJ90="OK",COUNTIF($AJ$7:AJ90,"OK"),"")</f>
        <v/>
      </c>
    </row>
    <row r="91">
      <c r="A91" s="110">
        <f>"PN27-"&amp;TEXT(ROW()-6,"000")</f>
        <v/>
      </c>
      <c r="B91" s="111" t="n"/>
      <c r="C91" s="110">
        <f>IF(B91="","",IFERROR(INDEX('Catalogos_PDN'!$R$5:$R$51,MATCH(B91,PN_AREAS,0)),""))</f>
        <v/>
      </c>
      <c r="D91" s="110">
        <f>IF(B91="","",IFERROR(INDEX('Catalogos_PDN'!$O$5:$O$51,MATCH(B91,PN_AREAS,0)),""))</f>
        <v/>
      </c>
      <c r="E91" s="111" t="n"/>
      <c r="F91" s="110">
        <f>IF(E91="","",IFERROR(INDEX('Catalogos_PDN'!$C$5:$C$49,MATCH(E91,PN_METAS,0)),""))</f>
        <v/>
      </c>
      <c r="G91" s="110">
        <f>IF(E91="","",IFERROR(INDEX('Catalogos_PDN'!$E$5:$E$49,MATCH(E91,PN_METAS,0)),""))</f>
        <v/>
      </c>
      <c r="H91" s="111" t="n"/>
      <c r="I91" s="111" t="n"/>
      <c r="J91" s="111" t="n"/>
      <c r="K91" s="111" t="n"/>
      <c r="L91" s="111" t="n"/>
      <c r="M91" s="112" t="n"/>
      <c r="N91" s="111" t="n"/>
      <c r="O91" s="111" t="n"/>
      <c r="P91" s="111" t="n"/>
      <c r="Q91" s="111" t="n"/>
      <c r="R91" s="111" t="n"/>
      <c r="S91" s="111" t="n"/>
      <c r="T91" s="111" t="n"/>
      <c r="U91" s="111" t="n"/>
      <c r="V91" s="111" t="n"/>
      <c r="W91" s="113" t="n"/>
      <c r="X91" s="113" t="n"/>
      <c r="Y91" s="111" t="n"/>
      <c r="Z91" s="111" t="n"/>
      <c r="AA91" s="111" t="n"/>
      <c r="AB91" s="111" t="n"/>
      <c r="AC91" s="111" t="n"/>
      <c r="AD91" s="111" t="n"/>
      <c r="AE91" s="111" t="n"/>
      <c r="AF91" s="111" t="n"/>
      <c r="AG91" s="111" t="n"/>
      <c r="AH91" s="111" t="n"/>
      <c r="AI91" s="111" t="n"/>
      <c r="AJ91" s="114">
        <f>IF(COUNTA(B91,E91,H91,I91,J91,K91,L91,M91,N91,O91,P91,Q91,R91,S91,T91,U91,V91,W91,X91,Y91,Z91,AA91,AB91,AC91,AD91,AE91,AF91,AG91,AH91,AI91)=0,"",IF(OR(B91="",E91="",H91="",J91="",K91="",L91="",M91="",O91="",P91="",Q91="",R91="",S91="",T91="",U91="",W91="",X91="",Y91="",AB91="",AC91="",AE91="",AF91=""),"Incompleta: faltan campos obligatorios",IF(AND(LEFT(H91,6)="PROPIA",I91=""),"Falta el nombre de la acción propia del área",IF(AND(LEFT(H91,4)="AC27",IFERROR(INDEX('Catalogos_PDN'!$T$5:$T$207,MATCH(H91,'Catalogos_PDN'!$U$5:$U$207,0)),"x")&lt;&gt;LEFT(E91,7)),"La acción no corresponde a la meta seleccionada",IF(OR(NOT(ISNUMBER(M91)),M91&lt;10000000,M91&gt;99999999),"Código UNSPSC inválido: registre 8 dígitos",IF(MOD(M91,10000)=0,"UNSPSC a nivel de segmento o familia: use clase o producto",IF(IFERROR(MATCH(P91,PN_MESES,0)&lt;MATCH(O91,PN_MESES,0),TRUE()),"El mes de ofertas es anterior al de inicio del proceso",IF(OR(NOT(ISNUMBER(Q91)),Q91&lt;=0),"Duración inválida",IF(OR(NOT(ISNUMBER(W91)),NOT(ISNUMBER(X91))),"Valor inválido: registre solo números",IF(OR(W91&lt;=0,X91&lt;=0),"Valor inválido: debe ser mayor que cero",IF(X91&gt;W91,"El valor de la vigencia 2027 supera el valor total",IF(AND(X91&lt;W91,Y91="No"),"El valor total supera el de 2027: requiere vigencias futuras",IF(AND(Y91="Sí",OR(Z91="",Z91="No aplica")),"Indique el estado de la solicitud de vigencias futuras",IF(IF(AND(S91="Mínima cuantía",ISNUMBER(PN_TOPE_MINIMA)),W91&gt;PN_TOPE_MINIMA,FALSE()),"El valor supera el tope de mínima cuantía 2027",IF(IF(AND(S91="Selección abreviada de menor cuantía",ISNUMBER(PN_TOPE_MENOR)),W91&gt;PN_TOPE_MENOR,FALSE()),"El valor supera el tope de menor cuantía 2027",IF(OR(ISERROR(SEARCH("@itc.edu.co",AE91)),SUMPRODUCT(--ISNUMBER(SEARCH({"á","é","í","ó","ú","ñ"," "},AE91)))&gt;0),"El correo del responsable no es institucional válido",IF(AND(AF91="Sí",AG91=""),"Indique el N.° de registro 2026 que continúa","OK")))))))))))))))))</f>
        <v/>
      </c>
      <c r="AK91" s="114">
        <f>IF(AJ91="OK",COUNTIF($AJ$7:AJ91,"OK"),"")</f>
        <v/>
      </c>
    </row>
    <row r="92">
      <c r="A92" s="110">
        <f>"PN27-"&amp;TEXT(ROW()-6,"000")</f>
        <v/>
      </c>
      <c r="B92" s="111" t="n"/>
      <c r="C92" s="110">
        <f>IF(B92="","",IFERROR(INDEX('Catalogos_PDN'!$R$5:$R$51,MATCH(B92,PN_AREAS,0)),""))</f>
        <v/>
      </c>
      <c r="D92" s="110">
        <f>IF(B92="","",IFERROR(INDEX('Catalogos_PDN'!$O$5:$O$51,MATCH(B92,PN_AREAS,0)),""))</f>
        <v/>
      </c>
      <c r="E92" s="111" t="n"/>
      <c r="F92" s="110">
        <f>IF(E92="","",IFERROR(INDEX('Catalogos_PDN'!$C$5:$C$49,MATCH(E92,PN_METAS,0)),""))</f>
        <v/>
      </c>
      <c r="G92" s="110">
        <f>IF(E92="","",IFERROR(INDEX('Catalogos_PDN'!$E$5:$E$49,MATCH(E92,PN_METAS,0)),""))</f>
        <v/>
      </c>
      <c r="H92" s="111" t="n"/>
      <c r="I92" s="111" t="n"/>
      <c r="J92" s="111" t="n"/>
      <c r="K92" s="111" t="n"/>
      <c r="L92" s="111" t="n"/>
      <c r="M92" s="112" t="n"/>
      <c r="N92" s="111" t="n"/>
      <c r="O92" s="111" t="n"/>
      <c r="P92" s="111" t="n"/>
      <c r="Q92" s="111" t="n"/>
      <c r="R92" s="111" t="n"/>
      <c r="S92" s="111" t="n"/>
      <c r="T92" s="111" t="n"/>
      <c r="U92" s="111" t="n"/>
      <c r="V92" s="111" t="n"/>
      <c r="W92" s="113" t="n"/>
      <c r="X92" s="113" t="n"/>
      <c r="Y92" s="111" t="n"/>
      <c r="Z92" s="111" t="n"/>
      <c r="AA92" s="111" t="n"/>
      <c r="AB92" s="111" t="n"/>
      <c r="AC92" s="111" t="n"/>
      <c r="AD92" s="111" t="n"/>
      <c r="AE92" s="111" t="n"/>
      <c r="AF92" s="111" t="n"/>
      <c r="AG92" s="111" t="n"/>
      <c r="AH92" s="111" t="n"/>
      <c r="AI92" s="111" t="n"/>
      <c r="AJ92" s="114">
        <f>IF(COUNTA(B92,E92,H92,I92,J92,K92,L92,M92,N92,O92,P92,Q92,R92,S92,T92,U92,V92,W92,X92,Y92,Z92,AA92,AB92,AC92,AD92,AE92,AF92,AG92,AH92,AI92)=0,"",IF(OR(B92="",E92="",H92="",J92="",K92="",L92="",M92="",O92="",P92="",Q92="",R92="",S92="",T92="",U92="",W92="",X92="",Y92="",AB92="",AC92="",AE92="",AF92=""),"Incompleta: faltan campos obligatorios",IF(AND(LEFT(H92,6)="PROPIA",I92=""),"Falta el nombre de la acción propia del área",IF(AND(LEFT(H92,4)="AC27",IFERROR(INDEX('Catalogos_PDN'!$T$5:$T$207,MATCH(H92,'Catalogos_PDN'!$U$5:$U$207,0)),"x")&lt;&gt;LEFT(E92,7)),"La acción no corresponde a la meta seleccionada",IF(OR(NOT(ISNUMBER(M92)),M92&lt;10000000,M92&gt;99999999),"Código UNSPSC inválido: registre 8 dígitos",IF(MOD(M92,10000)=0,"UNSPSC a nivel de segmento o familia: use clase o producto",IF(IFERROR(MATCH(P92,PN_MESES,0)&lt;MATCH(O92,PN_MESES,0),TRUE()),"El mes de ofertas es anterior al de inicio del proceso",IF(OR(NOT(ISNUMBER(Q92)),Q92&lt;=0),"Duración inválida",IF(OR(NOT(ISNUMBER(W92)),NOT(ISNUMBER(X92))),"Valor inválido: registre solo números",IF(OR(W92&lt;=0,X92&lt;=0),"Valor inválido: debe ser mayor que cero",IF(X92&gt;W92,"El valor de la vigencia 2027 supera el valor total",IF(AND(X92&lt;W92,Y92="No"),"El valor total supera el de 2027: requiere vigencias futuras",IF(AND(Y92="Sí",OR(Z92="",Z92="No aplica")),"Indique el estado de la solicitud de vigencias futuras",IF(IF(AND(S92="Mínima cuantía",ISNUMBER(PN_TOPE_MINIMA)),W92&gt;PN_TOPE_MINIMA,FALSE()),"El valor supera el tope de mínima cuantía 2027",IF(IF(AND(S92="Selección abreviada de menor cuantía",ISNUMBER(PN_TOPE_MENOR)),W92&gt;PN_TOPE_MENOR,FALSE()),"El valor supera el tope de menor cuantía 2027",IF(OR(ISERROR(SEARCH("@itc.edu.co",AE92)),SUMPRODUCT(--ISNUMBER(SEARCH({"á","é","í","ó","ú","ñ"," "},AE92)))&gt;0),"El correo del responsable no es institucional válido",IF(AND(AF92="Sí",AG92=""),"Indique el N.° de registro 2026 que continúa","OK")))))))))))))))))</f>
        <v/>
      </c>
      <c r="AK92" s="114">
        <f>IF(AJ92="OK",COUNTIF($AJ$7:AJ92,"OK"),"")</f>
        <v/>
      </c>
    </row>
    <row r="93">
      <c r="A93" s="110">
        <f>"PN27-"&amp;TEXT(ROW()-6,"000")</f>
        <v/>
      </c>
      <c r="B93" s="111" t="n"/>
      <c r="C93" s="110">
        <f>IF(B93="","",IFERROR(INDEX('Catalogos_PDN'!$R$5:$R$51,MATCH(B93,PN_AREAS,0)),""))</f>
        <v/>
      </c>
      <c r="D93" s="110">
        <f>IF(B93="","",IFERROR(INDEX('Catalogos_PDN'!$O$5:$O$51,MATCH(B93,PN_AREAS,0)),""))</f>
        <v/>
      </c>
      <c r="E93" s="111" t="n"/>
      <c r="F93" s="110">
        <f>IF(E93="","",IFERROR(INDEX('Catalogos_PDN'!$C$5:$C$49,MATCH(E93,PN_METAS,0)),""))</f>
        <v/>
      </c>
      <c r="G93" s="110">
        <f>IF(E93="","",IFERROR(INDEX('Catalogos_PDN'!$E$5:$E$49,MATCH(E93,PN_METAS,0)),""))</f>
        <v/>
      </c>
      <c r="H93" s="111" t="n"/>
      <c r="I93" s="111" t="n"/>
      <c r="J93" s="111" t="n"/>
      <c r="K93" s="111" t="n"/>
      <c r="L93" s="111" t="n"/>
      <c r="M93" s="112" t="n"/>
      <c r="N93" s="111" t="n"/>
      <c r="O93" s="111" t="n"/>
      <c r="P93" s="111" t="n"/>
      <c r="Q93" s="111" t="n"/>
      <c r="R93" s="111" t="n"/>
      <c r="S93" s="111" t="n"/>
      <c r="T93" s="111" t="n"/>
      <c r="U93" s="111" t="n"/>
      <c r="V93" s="111" t="n"/>
      <c r="W93" s="113" t="n"/>
      <c r="X93" s="113" t="n"/>
      <c r="Y93" s="111" t="n"/>
      <c r="Z93" s="111" t="n"/>
      <c r="AA93" s="111" t="n"/>
      <c r="AB93" s="111" t="n"/>
      <c r="AC93" s="111" t="n"/>
      <c r="AD93" s="111" t="n"/>
      <c r="AE93" s="111" t="n"/>
      <c r="AF93" s="111" t="n"/>
      <c r="AG93" s="111" t="n"/>
      <c r="AH93" s="111" t="n"/>
      <c r="AI93" s="111" t="n"/>
      <c r="AJ93" s="114">
        <f>IF(COUNTA(B93,E93,H93,I93,J93,K93,L93,M93,N93,O93,P93,Q93,R93,S93,T93,U93,V93,W93,X93,Y93,Z93,AA93,AB93,AC93,AD93,AE93,AF93,AG93,AH93,AI93)=0,"",IF(OR(B93="",E93="",H93="",J93="",K93="",L93="",M93="",O93="",P93="",Q93="",R93="",S93="",T93="",U93="",W93="",X93="",Y93="",AB93="",AC93="",AE93="",AF93=""),"Incompleta: faltan campos obligatorios",IF(AND(LEFT(H93,6)="PROPIA",I93=""),"Falta el nombre de la acción propia del área",IF(AND(LEFT(H93,4)="AC27",IFERROR(INDEX('Catalogos_PDN'!$T$5:$T$207,MATCH(H93,'Catalogos_PDN'!$U$5:$U$207,0)),"x")&lt;&gt;LEFT(E93,7)),"La acción no corresponde a la meta seleccionada",IF(OR(NOT(ISNUMBER(M93)),M93&lt;10000000,M93&gt;99999999),"Código UNSPSC inválido: registre 8 dígitos",IF(MOD(M93,10000)=0,"UNSPSC a nivel de segmento o familia: use clase o producto",IF(IFERROR(MATCH(P93,PN_MESES,0)&lt;MATCH(O93,PN_MESES,0),TRUE()),"El mes de ofertas es anterior al de inicio del proceso",IF(OR(NOT(ISNUMBER(Q93)),Q93&lt;=0),"Duración inválida",IF(OR(NOT(ISNUMBER(W93)),NOT(ISNUMBER(X93))),"Valor inválido: registre solo números",IF(OR(W93&lt;=0,X93&lt;=0),"Valor inválido: debe ser mayor que cero",IF(X93&gt;W93,"El valor de la vigencia 2027 supera el valor total",IF(AND(X93&lt;W93,Y93="No"),"El valor total supera el de 2027: requiere vigencias futuras",IF(AND(Y93="Sí",OR(Z93="",Z93="No aplica")),"Indique el estado de la solicitud de vigencias futuras",IF(IF(AND(S93="Mínima cuantía",ISNUMBER(PN_TOPE_MINIMA)),W93&gt;PN_TOPE_MINIMA,FALSE()),"El valor supera el tope de mínima cuantía 2027",IF(IF(AND(S93="Selección abreviada de menor cuantía",ISNUMBER(PN_TOPE_MENOR)),W93&gt;PN_TOPE_MENOR,FALSE()),"El valor supera el tope de menor cuantía 2027",IF(OR(ISERROR(SEARCH("@itc.edu.co",AE93)),SUMPRODUCT(--ISNUMBER(SEARCH({"á","é","í","ó","ú","ñ"," "},AE93)))&gt;0),"El correo del responsable no es institucional válido",IF(AND(AF93="Sí",AG93=""),"Indique el N.° de registro 2026 que continúa","OK")))))))))))))))))</f>
        <v/>
      </c>
      <c r="AK93" s="114">
        <f>IF(AJ93="OK",COUNTIF($AJ$7:AJ93,"OK"),"")</f>
        <v/>
      </c>
    </row>
    <row r="94">
      <c r="A94" s="110">
        <f>"PN27-"&amp;TEXT(ROW()-6,"000")</f>
        <v/>
      </c>
      <c r="B94" s="111" t="n"/>
      <c r="C94" s="110">
        <f>IF(B94="","",IFERROR(INDEX('Catalogos_PDN'!$R$5:$R$51,MATCH(B94,PN_AREAS,0)),""))</f>
        <v/>
      </c>
      <c r="D94" s="110">
        <f>IF(B94="","",IFERROR(INDEX('Catalogos_PDN'!$O$5:$O$51,MATCH(B94,PN_AREAS,0)),""))</f>
        <v/>
      </c>
      <c r="E94" s="111" t="n"/>
      <c r="F94" s="110">
        <f>IF(E94="","",IFERROR(INDEX('Catalogos_PDN'!$C$5:$C$49,MATCH(E94,PN_METAS,0)),""))</f>
        <v/>
      </c>
      <c r="G94" s="110">
        <f>IF(E94="","",IFERROR(INDEX('Catalogos_PDN'!$E$5:$E$49,MATCH(E94,PN_METAS,0)),""))</f>
        <v/>
      </c>
      <c r="H94" s="111" t="n"/>
      <c r="I94" s="111" t="n"/>
      <c r="J94" s="111" t="n"/>
      <c r="K94" s="111" t="n"/>
      <c r="L94" s="111" t="n"/>
      <c r="M94" s="112" t="n"/>
      <c r="N94" s="111" t="n"/>
      <c r="O94" s="111" t="n"/>
      <c r="P94" s="111" t="n"/>
      <c r="Q94" s="111" t="n"/>
      <c r="R94" s="111" t="n"/>
      <c r="S94" s="111" t="n"/>
      <c r="T94" s="111" t="n"/>
      <c r="U94" s="111" t="n"/>
      <c r="V94" s="111" t="n"/>
      <c r="W94" s="113" t="n"/>
      <c r="X94" s="113" t="n"/>
      <c r="Y94" s="111" t="n"/>
      <c r="Z94" s="111" t="n"/>
      <c r="AA94" s="111" t="n"/>
      <c r="AB94" s="111" t="n"/>
      <c r="AC94" s="111" t="n"/>
      <c r="AD94" s="111" t="n"/>
      <c r="AE94" s="111" t="n"/>
      <c r="AF94" s="111" t="n"/>
      <c r="AG94" s="111" t="n"/>
      <c r="AH94" s="111" t="n"/>
      <c r="AI94" s="111" t="n"/>
      <c r="AJ94" s="114">
        <f>IF(COUNTA(B94,E94,H94,I94,J94,K94,L94,M94,N94,O94,P94,Q94,R94,S94,T94,U94,V94,W94,X94,Y94,Z94,AA94,AB94,AC94,AD94,AE94,AF94,AG94,AH94,AI94)=0,"",IF(OR(B94="",E94="",H94="",J94="",K94="",L94="",M94="",O94="",P94="",Q94="",R94="",S94="",T94="",U94="",W94="",X94="",Y94="",AB94="",AC94="",AE94="",AF94=""),"Incompleta: faltan campos obligatorios",IF(AND(LEFT(H94,6)="PROPIA",I94=""),"Falta el nombre de la acción propia del área",IF(AND(LEFT(H94,4)="AC27",IFERROR(INDEX('Catalogos_PDN'!$T$5:$T$207,MATCH(H94,'Catalogos_PDN'!$U$5:$U$207,0)),"x")&lt;&gt;LEFT(E94,7)),"La acción no corresponde a la meta seleccionada",IF(OR(NOT(ISNUMBER(M94)),M94&lt;10000000,M94&gt;99999999),"Código UNSPSC inválido: registre 8 dígitos",IF(MOD(M94,10000)=0,"UNSPSC a nivel de segmento o familia: use clase o producto",IF(IFERROR(MATCH(P94,PN_MESES,0)&lt;MATCH(O94,PN_MESES,0),TRUE()),"El mes de ofertas es anterior al de inicio del proceso",IF(OR(NOT(ISNUMBER(Q94)),Q94&lt;=0),"Duración inválida",IF(OR(NOT(ISNUMBER(W94)),NOT(ISNUMBER(X94))),"Valor inválido: registre solo números",IF(OR(W94&lt;=0,X94&lt;=0),"Valor inválido: debe ser mayor que cero",IF(X94&gt;W94,"El valor de la vigencia 2027 supera el valor total",IF(AND(X94&lt;W94,Y94="No"),"El valor total supera el de 2027: requiere vigencias futuras",IF(AND(Y94="Sí",OR(Z94="",Z94="No aplica")),"Indique el estado de la solicitud de vigencias futuras",IF(IF(AND(S94="Mínima cuantía",ISNUMBER(PN_TOPE_MINIMA)),W94&gt;PN_TOPE_MINIMA,FALSE()),"El valor supera el tope de mínima cuantía 2027",IF(IF(AND(S94="Selección abreviada de menor cuantía",ISNUMBER(PN_TOPE_MENOR)),W94&gt;PN_TOPE_MENOR,FALSE()),"El valor supera el tope de menor cuantía 2027",IF(OR(ISERROR(SEARCH("@itc.edu.co",AE94)),SUMPRODUCT(--ISNUMBER(SEARCH({"á","é","í","ó","ú","ñ"," "},AE94)))&gt;0),"El correo del responsable no es institucional válido",IF(AND(AF94="Sí",AG94=""),"Indique el N.° de registro 2026 que continúa","OK")))))))))))))))))</f>
        <v/>
      </c>
      <c r="AK94" s="114">
        <f>IF(AJ94="OK",COUNTIF($AJ$7:AJ94,"OK"),"")</f>
        <v/>
      </c>
    </row>
    <row r="95">
      <c r="A95" s="110">
        <f>"PN27-"&amp;TEXT(ROW()-6,"000")</f>
        <v/>
      </c>
      <c r="B95" s="111" t="n"/>
      <c r="C95" s="110">
        <f>IF(B95="","",IFERROR(INDEX('Catalogos_PDN'!$R$5:$R$51,MATCH(B95,PN_AREAS,0)),""))</f>
        <v/>
      </c>
      <c r="D95" s="110">
        <f>IF(B95="","",IFERROR(INDEX('Catalogos_PDN'!$O$5:$O$51,MATCH(B95,PN_AREAS,0)),""))</f>
        <v/>
      </c>
      <c r="E95" s="111" t="n"/>
      <c r="F95" s="110">
        <f>IF(E95="","",IFERROR(INDEX('Catalogos_PDN'!$C$5:$C$49,MATCH(E95,PN_METAS,0)),""))</f>
        <v/>
      </c>
      <c r="G95" s="110">
        <f>IF(E95="","",IFERROR(INDEX('Catalogos_PDN'!$E$5:$E$49,MATCH(E95,PN_METAS,0)),""))</f>
        <v/>
      </c>
      <c r="H95" s="111" t="n"/>
      <c r="I95" s="111" t="n"/>
      <c r="J95" s="111" t="n"/>
      <c r="K95" s="111" t="n"/>
      <c r="L95" s="111" t="n"/>
      <c r="M95" s="112" t="n"/>
      <c r="N95" s="111" t="n"/>
      <c r="O95" s="111" t="n"/>
      <c r="P95" s="111" t="n"/>
      <c r="Q95" s="111" t="n"/>
      <c r="R95" s="111" t="n"/>
      <c r="S95" s="111" t="n"/>
      <c r="T95" s="111" t="n"/>
      <c r="U95" s="111" t="n"/>
      <c r="V95" s="111" t="n"/>
      <c r="W95" s="113" t="n"/>
      <c r="X95" s="113" t="n"/>
      <c r="Y95" s="111" t="n"/>
      <c r="Z95" s="111" t="n"/>
      <c r="AA95" s="111" t="n"/>
      <c r="AB95" s="111" t="n"/>
      <c r="AC95" s="111" t="n"/>
      <c r="AD95" s="111" t="n"/>
      <c r="AE95" s="111" t="n"/>
      <c r="AF95" s="111" t="n"/>
      <c r="AG95" s="111" t="n"/>
      <c r="AH95" s="111" t="n"/>
      <c r="AI95" s="111" t="n"/>
      <c r="AJ95" s="114">
        <f>IF(COUNTA(B95,E95,H95,I95,J95,K95,L95,M95,N95,O95,P95,Q95,R95,S95,T95,U95,V95,W95,X95,Y95,Z95,AA95,AB95,AC95,AD95,AE95,AF95,AG95,AH95,AI95)=0,"",IF(OR(B95="",E95="",H95="",J95="",K95="",L95="",M95="",O95="",P95="",Q95="",R95="",S95="",T95="",U95="",W95="",X95="",Y95="",AB95="",AC95="",AE95="",AF95=""),"Incompleta: faltan campos obligatorios",IF(AND(LEFT(H95,6)="PROPIA",I95=""),"Falta el nombre de la acción propia del área",IF(AND(LEFT(H95,4)="AC27",IFERROR(INDEX('Catalogos_PDN'!$T$5:$T$207,MATCH(H95,'Catalogos_PDN'!$U$5:$U$207,0)),"x")&lt;&gt;LEFT(E95,7)),"La acción no corresponde a la meta seleccionada",IF(OR(NOT(ISNUMBER(M95)),M95&lt;10000000,M95&gt;99999999),"Código UNSPSC inválido: registre 8 dígitos",IF(MOD(M95,10000)=0,"UNSPSC a nivel de segmento o familia: use clase o producto",IF(IFERROR(MATCH(P95,PN_MESES,0)&lt;MATCH(O95,PN_MESES,0),TRUE()),"El mes de ofertas es anterior al de inicio del proceso",IF(OR(NOT(ISNUMBER(Q95)),Q95&lt;=0),"Duración inválida",IF(OR(NOT(ISNUMBER(W95)),NOT(ISNUMBER(X95))),"Valor inválido: registre solo números",IF(OR(W95&lt;=0,X95&lt;=0),"Valor inválido: debe ser mayor que cero",IF(X95&gt;W95,"El valor de la vigencia 2027 supera el valor total",IF(AND(X95&lt;W95,Y95="No"),"El valor total supera el de 2027: requiere vigencias futuras",IF(AND(Y95="Sí",OR(Z95="",Z95="No aplica")),"Indique el estado de la solicitud de vigencias futuras",IF(IF(AND(S95="Mínima cuantía",ISNUMBER(PN_TOPE_MINIMA)),W95&gt;PN_TOPE_MINIMA,FALSE()),"El valor supera el tope de mínima cuantía 2027",IF(IF(AND(S95="Selección abreviada de menor cuantía",ISNUMBER(PN_TOPE_MENOR)),W95&gt;PN_TOPE_MENOR,FALSE()),"El valor supera el tope de menor cuantía 2027",IF(OR(ISERROR(SEARCH("@itc.edu.co",AE95)),SUMPRODUCT(--ISNUMBER(SEARCH({"á","é","í","ó","ú","ñ"," "},AE95)))&gt;0),"El correo del responsable no es institucional válido",IF(AND(AF95="Sí",AG95=""),"Indique el N.° de registro 2026 que continúa","OK")))))))))))))))))</f>
        <v/>
      </c>
      <c r="AK95" s="114">
        <f>IF(AJ95="OK",COUNTIF($AJ$7:AJ95,"OK"),"")</f>
        <v/>
      </c>
    </row>
    <row r="96">
      <c r="A96" s="110">
        <f>"PN27-"&amp;TEXT(ROW()-6,"000")</f>
        <v/>
      </c>
      <c r="B96" s="111" t="n"/>
      <c r="C96" s="110">
        <f>IF(B96="","",IFERROR(INDEX('Catalogos_PDN'!$R$5:$R$51,MATCH(B96,PN_AREAS,0)),""))</f>
        <v/>
      </c>
      <c r="D96" s="110">
        <f>IF(B96="","",IFERROR(INDEX('Catalogos_PDN'!$O$5:$O$51,MATCH(B96,PN_AREAS,0)),""))</f>
        <v/>
      </c>
      <c r="E96" s="111" t="n"/>
      <c r="F96" s="110">
        <f>IF(E96="","",IFERROR(INDEX('Catalogos_PDN'!$C$5:$C$49,MATCH(E96,PN_METAS,0)),""))</f>
        <v/>
      </c>
      <c r="G96" s="110">
        <f>IF(E96="","",IFERROR(INDEX('Catalogos_PDN'!$E$5:$E$49,MATCH(E96,PN_METAS,0)),""))</f>
        <v/>
      </c>
      <c r="H96" s="111" t="n"/>
      <c r="I96" s="111" t="n"/>
      <c r="J96" s="111" t="n"/>
      <c r="K96" s="111" t="n"/>
      <c r="L96" s="111" t="n"/>
      <c r="M96" s="112" t="n"/>
      <c r="N96" s="111" t="n"/>
      <c r="O96" s="111" t="n"/>
      <c r="P96" s="111" t="n"/>
      <c r="Q96" s="111" t="n"/>
      <c r="R96" s="111" t="n"/>
      <c r="S96" s="111" t="n"/>
      <c r="T96" s="111" t="n"/>
      <c r="U96" s="111" t="n"/>
      <c r="V96" s="111" t="n"/>
      <c r="W96" s="113" t="n"/>
      <c r="X96" s="113" t="n"/>
      <c r="Y96" s="111" t="n"/>
      <c r="Z96" s="111" t="n"/>
      <c r="AA96" s="111" t="n"/>
      <c r="AB96" s="111" t="n"/>
      <c r="AC96" s="111" t="n"/>
      <c r="AD96" s="111" t="n"/>
      <c r="AE96" s="111" t="n"/>
      <c r="AF96" s="111" t="n"/>
      <c r="AG96" s="111" t="n"/>
      <c r="AH96" s="111" t="n"/>
      <c r="AI96" s="111" t="n"/>
      <c r="AJ96" s="114">
        <f>IF(COUNTA(B96,E96,H96,I96,J96,K96,L96,M96,N96,O96,P96,Q96,R96,S96,T96,U96,V96,W96,X96,Y96,Z96,AA96,AB96,AC96,AD96,AE96,AF96,AG96,AH96,AI96)=0,"",IF(OR(B96="",E96="",H96="",J96="",K96="",L96="",M96="",O96="",P96="",Q96="",R96="",S96="",T96="",U96="",W96="",X96="",Y96="",AB96="",AC96="",AE96="",AF96=""),"Incompleta: faltan campos obligatorios",IF(AND(LEFT(H96,6)="PROPIA",I96=""),"Falta el nombre de la acción propia del área",IF(AND(LEFT(H96,4)="AC27",IFERROR(INDEX('Catalogos_PDN'!$T$5:$T$207,MATCH(H96,'Catalogos_PDN'!$U$5:$U$207,0)),"x")&lt;&gt;LEFT(E96,7)),"La acción no corresponde a la meta seleccionada",IF(OR(NOT(ISNUMBER(M96)),M96&lt;10000000,M96&gt;99999999),"Código UNSPSC inválido: registre 8 dígitos",IF(MOD(M96,10000)=0,"UNSPSC a nivel de segmento o familia: use clase o producto",IF(IFERROR(MATCH(P96,PN_MESES,0)&lt;MATCH(O96,PN_MESES,0),TRUE()),"El mes de ofertas es anterior al de inicio del proceso",IF(OR(NOT(ISNUMBER(Q96)),Q96&lt;=0),"Duración inválida",IF(OR(NOT(ISNUMBER(W96)),NOT(ISNUMBER(X96))),"Valor inválido: registre solo números",IF(OR(W96&lt;=0,X96&lt;=0),"Valor inválido: debe ser mayor que cero",IF(X96&gt;W96,"El valor de la vigencia 2027 supera el valor total",IF(AND(X96&lt;W96,Y96="No"),"El valor total supera el de 2027: requiere vigencias futuras",IF(AND(Y96="Sí",OR(Z96="",Z96="No aplica")),"Indique el estado de la solicitud de vigencias futuras",IF(IF(AND(S96="Mínima cuantía",ISNUMBER(PN_TOPE_MINIMA)),W96&gt;PN_TOPE_MINIMA,FALSE()),"El valor supera el tope de mínima cuantía 2027",IF(IF(AND(S96="Selección abreviada de menor cuantía",ISNUMBER(PN_TOPE_MENOR)),W96&gt;PN_TOPE_MENOR,FALSE()),"El valor supera el tope de menor cuantía 2027",IF(OR(ISERROR(SEARCH("@itc.edu.co",AE96)),SUMPRODUCT(--ISNUMBER(SEARCH({"á","é","í","ó","ú","ñ"," "},AE96)))&gt;0),"El correo del responsable no es institucional válido",IF(AND(AF96="Sí",AG96=""),"Indique el N.° de registro 2026 que continúa","OK")))))))))))))))))</f>
        <v/>
      </c>
      <c r="AK96" s="114">
        <f>IF(AJ96="OK",COUNTIF($AJ$7:AJ96,"OK"),"")</f>
        <v/>
      </c>
    </row>
    <row r="97">
      <c r="A97" s="110">
        <f>"PN27-"&amp;TEXT(ROW()-6,"000")</f>
        <v/>
      </c>
      <c r="B97" s="111" t="n"/>
      <c r="C97" s="110">
        <f>IF(B97="","",IFERROR(INDEX('Catalogos_PDN'!$R$5:$R$51,MATCH(B97,PN_AREAS,0)),""))</f>
        <v/>
      </c>
      <c r="D97" s="110">
        <f>IF(B97="","",IFERROR(INDEX('Catalogos_PDN'!$O$5:$O$51,MATCH(B97,PN_AREAS,0)),""))</f>
        <v/>
      </c>
      <c r="E97" s="111" t="n"/>
      <c r="F97" s="110">
        <f>IF(E97="","",IFERROR(INDEX('Catalogos_PDN'!$C$5:$C$49,MATCH(E97,PN_METAS,0)),""))</f>
        <v/>
      </c>
      <c r="G97" s="110">
        <f>IF(E97="","",IFERROR(INDEX('Catalogos_PDN'!$E$5:$E$49,MATCH(E97,PN_METAS,0)),""))</f>
        <v/>
      </c>
      <c r="H97" s="111" t="n"/>
      <c r="I97" s="111" t="n"/>
      <c r="J97" s="111" t="n"/>
      <c r="K97" s="111" t="n"/>
      <c r="L97" s="111" t="n"/>
      <c r="M97" s="112" t="n"/>
      <c r="N97" s="111" t="n"/>
      <c r="O97" s="111" t="n"/>
      <c r="P97" s="111" t="n"/>
      <c r="Q97" s="111" t="n"/>
      <c r="R97" s="111" t="n"/>
      <c r="S97" s="111" t="n"/>
      <c r="T97" s="111" t="n"/>
      <c r="U97" s="111" t="n"/>
      <c r="V97" s="111" t="n"/>
      <c r="W97" s="113" t="n"/>
      <c r="X97" s="113" t="n"/>
      <c r="Y97" s="111" t="n"/>
      <c r="Z97" s="111" t="n"/>
      <c r="AA97" s="111" t="n"/>
      <c r="AB97" s="111" t="n"/>
      <c r="AC97" s="111" t="n"/>
      <c r="AD97" s="111" t="n"/>
      <c r="AE97" s="111" t="n"/>
      <c r="AF97" s="111" t="n"/>
      <c r="AG97" s="111" t="n"/>
      <c r="AH97" s="111" t="n"/>
      <c r="AI97" s="111" t="n"/>
      <c r="AJ97" s="114">
        <f>IF(COUNTA(B97,E97,H97,I97,J97,K97,L97,M97,N97,O97,P97,Q97,R97,S97,T97,U97,V97,W97,X97,Y97,Z97,AA97,AB97,AC97,AD97,AE97,AF97,AG97,AH97,AI97)=0,"",IF(OR(B97="",E97="",H97="",J97="",K97="",L97="",M97="",O97="",P97="",Q97="",R97="",S97="",T97="",U97="",W97="",X97="",Y97="",AB97="",AC97="",AE97="",AF97=""),"Incompleta: faltan campos obligatorios",IF(AND(LEFT(H97,6)="PROPIA",I97=""),"Falta el nombre de la acción propia del área",IF(AND(LEFT(H97,4)="AC27",IFERROR(INDEX('Catalogos_PDN'!$T$5:$T$207,MATCH(H97,'Catalogos_PDN'!$U$5:$U$207,0)),"x")&lt;&gt;LEFT(E97,7)),"La acción no corresponde a la meta seleccionada",IF(OR(NOT(ISNUMBER(M97)),M97&lt;10000000,M97&gt;99999999),"Código UNSPSC inválido: registre 8 dígitos",IF(MOD(M97,10000)=0,"UNSPSC a nivel de segmento o familia: use clase o producto",IF(IFERROR(MATCH(P97,PN_MESES,0)&lt;MATCH(O97,PN_MESES,0),TRUE()),"El mes de ofertas es anterior al de inicio del proceso",IF(OR(NOT(ISNUMBER(Q97)),Q97&lt;=0),"Duración inválida",IF(OR(NOT(ISNUMBER(W97)),NOT(ISNUMBER(X97))),"Valor inválido: registre solo números",IF(OR(W97&lt;=0,X97&lt;=0),"Valor inválido: debe ser mayor que cero",IF(X97&gt;W97,"El valor de la vigencia 2027 supera el valor total",IF(AND(X97&lt;W97,Y97="No"),"El valor total supera el de 2027: requiere vigencias futuras",IF(AND(Y97="Sí",OR(Z97="",Z97="No aplica")),"Indique el estado de la solicitud de vigencias futuras",IF(IF(AND(S97="Mínima cuantía",ISNUMBER(PN_TOPE_MINIMA)),W97&gt;PN_TOPE_MINIMA,FALSE()),"El valor supera el tope de mínima cuantía 2027",IF(IF(AND(S97="Selección abreviada de menor cuantía",ISNUMBER(PN_TOPE_MENOR)),W97&gt;PN_TOPE_MENOR,FALSE()),"El valor supera el tope de menor cuantía 2027",IF(OR(ISERROR(SEARCH("@itc.edu.co",AE97)),SUMPRODUCT(--ISNUMBER(SEARCH({"á","é","í","ó","ú","ñ"," "},AE97)))&gt;0),"El correo del responsable no es institucional válido",IF(AND(AF97="Sí",AG97=""),"Indique el N.° de registro 2026 que continúa","OK")))))))))))))))))</f>
        <v/>
      </c>
      <c r="AK97" s="114">
        <f>IF(AJ97="OK",COUNTIF($AJ$7:AJ97,"OK"),"")</f>
        <v/>
      </c>
    </row>
    <row r="98">
      <c r="A98" s="110">
        <f>"PN27-"&amp;TEXT(ROW()-6,"000")</f>
        <v/>
      </c>
      <c r="B98" s="111" t="n"/>
      <c r="C98" s="110">
        <f>IF(B98="","",IFERROR(INDEX('Catalogos_PDN'!$R$5:$R$51,MATCH(B98,PN_AREAS,0)),""))</f>
        <v/>
      </c>
      <c r="D98" s="110">
        <f>IF(B98="","",IFERROR(INDEX('Catalogos_PDN'!$O$5:$O$51,MATCH(B98,PN_AREAS,0)),""))</f>
        <v/>
      </c>
      <c r="E98" s="111" t="n"/>
      <c r="F98" s="110">
        <f>IF(E98="","",IFERROR(INDEX('Catalogos_PDN'!$C$5:$C$49,MATCH(E98,PN_METAS,0)),""))</f>
        <v/>
      </c>
      <c r="G98" s="110">
        <f>IF(E98="","",IFERROR(INDEX('Catalogos_PDN'!$E$5:$E$49,MATCH(E98,PN_METAS,0)),""))</f>
        <v/>
      </c>
      <c r="H98" s="111" t="n"/>
      <c r="I98" s="111" t="n"/>
      <c r="J98" s="111" t="n"/>
      <c r="K98" s="111" t="n"/>
      <c r="L98" s="111" t="n"/>
      <c r="M98" s="112" t="n"/>
      <c r="N98" s="111" t="n"/>
      <c r="O98" s="111" t="n"/>
      <c r="P98" s="111" t="n"/>
      <c r="Q98" s="111" t="n"/>
      <c r="R98" s="111" t="n"/>
      <c r="S98" s="111" t="n"/>
      <c r="T98" s="111" t="n"/>
      <c r="U98" s="111" t="n"/>
      <c r="V98" s="111" t="n"/>
      <c r="W98" s="113" t="n"/>
      <c r="X98" s="113" t="n"/>
      <c r="Y98" s="111" t="n"/>
      <c r="Z98" s="111" t="n"/>
      <c r="AA98" s="111" t="n"/>
      <c r="AB98" s="111" t="n"/>
      <c r="AC98" s="111" t="n"/>
      <c r="AD98" s="111" t="n"/>
      <c r="AE98" s="111" t="n"/>
      <c r="AF98" s="111" t="n"/>
      <c r="AG98" s="111" t="n"/>
      <c r="AH98" s="111" t="n"/>
      <c r="AI98" s="111" t="n"/>
      <c r="AJ98" s="114">
        <f>IF(COUNTA(B98,E98,H98,I98,J98,K98,L98,M98,N98,O98,P98,Q98,R98,S98,T98,U98,V98,W98,X98,Y98,Z98,AA98,AB98,AC98,AD98,AE98,AF98,AG98,AH98,AI98)=0,"",IF(OR(B98="",E98="",H98="",J98="",K98="",L98="",M98="",O98="",P98="",Q98="",R98="",S98="",T98="",U98="",W98="",X98="",Y98="",AB98="",AC98="",AE98="",AF98=""),"Incompleta: faltan campos obligatorios",IF(AND(LEFT(H98,6)="PROPIA",I98=""),"Falta el nombre de la acción propia del área",IF(AND(LEFT(H98,4)="AC27",IFERROR(INDEX('Catalogos_PDN'!$T$5:$T$207,MATCH(H98,'Catalogos_PDN'!$U$5:$U$207,0)),"x")&lt;&gt;LEFT(E98,7)),"La acción no corresponde a la meta seleccionada",IF(OR(NOT(ISNUMBER(M98)),M98&lt;10000000,M98&gt;99999999),"Código UNSPSC inválido: registre 8 dígitos",IF(MOD(M98,10000)=0,"UNSPSC a nivel de segmento o familia: use clase o producto",IF(IFERROR(MATCH(P98,PN_MESES,0)&lt;MATCH(O98,PN_MESES,0),TRUE()),"El mes de ofertas es anterior al de inicio del proceso",IF(OR(NOT(ISNUMBER(Q98)),Q98&lt;=0),"Duración inválida",IF(OR(NOT(ISNUMBER(W98)),NOT(ISNUMBER(X98))),"Valor inválido: registre solo números",IF(OR(W98&lt;=0,X98&lt;=0),"Valor inválido: debe ser mayor que cero",IF(X98&gt;W98,"El valor de la vigencia 2027 supera el valor total",IF(AND(X98&lt;W98,Y98="No"),"El valor total supera el de 2027: requiere vigencias futuras",IF(AND(Y98="Sí",OR(Z98="",Z98="No aplica")),"Indique el estado de la solicitud de vigencias futuras",IF(IF(AND(S98="Mínima cuantía",ISNUMBER(PN_TOPE_MINIMA)),W98&gt;PN_TOPE_MINIMA,FALSE()),"El valor supera el tope de mínima cuantía 2027",IF(IF(AND(S98="Selección abreviada de menor cuantía",ISNUMBER(PN_TOPE_MENOR)),W98&gt;PN_TOPE_MENOR,FALSE()),"El valor supera el tope de menor cuantía 2027",IF(OR(ISERROR(SEARCH("@itc.edu.co",AE98)),SUMPRODUCT(--ISNUMBER(SEARCH({"á","é","í","ó","ú","ñ"," "},AE98)))&gt;0),"El correo del responsable no es institucional válido",IF(AND(AF98="Sí",AG98=""),"Indique el N.° de registro 2026 que continúa","OK")))))))))))))))))</f>
        <v/>
      </c>
      <c r="AK98" s="114">
        <f>IF(AJ98="OK",COUNTIF($AJ$7:AJ98,"OK"),"")</f>
        <v/>
      </c>
    </row>
    <row r="99">
      <c r="A99" s="110">
        <f>"PN27-"&amp;TEXT(ROW()-6,"000")</f>
        <v/>
      </c>
      <c r="B99" s="111" t="n"/>
      <c r="C99" s="110">
        <f>IF(B99="","",IFERROR(INDEX('Catalogos_PDN'!$R$5:$R$51,MATCH(B99,PN_AREAS,0)),""))</f>
        <v/>
      </c>
      <c r="D99" s="110">
        <f>IF(B99="","",IFERROR(INDEX('Catalogos_PDN'!$O$5:$O$51,MATCH(B99,PN_AREAS,0)),""))</f>
        <v/>
      </c>
      <c r="E99" s="111" t="n"/>
      <c r="F99" s="110">
        <f>IF(E99="","",IFERROR(INDEX('Catalogos_PDN'!$C$5:$C$49,MATCH(E99,PN_METAS,0)),""))</f>
        <v/>
      </c>
      <c r="G99" s="110">
        <f>IF(E99="","",IFERROR(INDEX('Catalogos_PDN'!$E$5:$E$49,MATCH(E99,PN_METAS,0)),""))</f>
        <v/>
      </c>
      <c r="H99" s="111" t="n"/>
      <c r="I99" s="111" t="n"/>
      <c r="J99" s="111" t="n"/>
      <c r="K99" s="111" t="n"/>
      <c r="L99" s="111" t="n"/>
      <c r="M99" s="112" t="n"/>
      <c r="N99" s="111" t="n"/>
      <c r="O99" s="111" t="n"/>
      <c r="P99" s="111" t="n"/>
      <c r="Q99" s="111" t="n"/>
      <c r="R99" s="111" t="n"/>
      <c r="S99" s="111" t="n"/>
      <c r="T99" s="111" t="n"/>
      <c r="U99" s="111" t="n"/>
      <c r="V99" s="111" t="n"/>
      <c r="W99" s="113" t="n"/>
      <c r="X99" s="113" t="n"/>
      <c r="Y99" s="111" t="n"/>
      <c r="Z99" s="111" t="n"/>
      <c r="AA99" s="111" t="n"/>
      <c r="AB99" s="111" t="n"/>
      <c r="AC99" s="111" t="n"/>
      <c r="AD99" s="111" t="n"/>
      <c r="AE99" s="111" t="n"/>
      <c r="AF99" s="111" t="n"/>
      <c r="AG99" s="111" t="n"/>
      <c r="AH99" s="111" t="n"/>
      <c r="AI99" s="111" t="n"/>
      <c r="AJ99" s="114">
        <f>IF(COUNTA(B99,E99,H99,I99,J99,K99,L99,M99,N99,O99,P99,Q99,R99,S99,T99,U99,V99,W99,X99,Y99,Z99,AA99,AB99,AC99,AD99,AE99,AF99,AG99,AH99,AI99)=0,"",IF(OR(B99="",E99="",H99="",J99="",K99="",L99="",M99="",O99="",P99="",Q99="",R99="",S99="",T99="",U99="",W99="",X99="",Y99="",AB99="",AC99="",AE99="",AF99=""),"Incompleta: faltan campos obligatorios",IF(AND(LEFT(H99,6)="PROPIA",I99=""),"Falta el nombre de la acción propia del área",IF(AND(LEFT(H99,4)="AC27",IFERROR(INDEX('Catalogos_PDN'!$T$5:$T$207,MATCH(H99,'Catalogos_PDN'!$U$5:$U$207,0)),"x")&lt;&gt;LEFT(E99,7)),"La acción no corresponde a la meta seleccionada",IF(OR(NOT(ISNUMBER(M99)),M99&lt;10000000,M99&gt;99999999),"Código UNSPSC inválido: registre 8 dígitos",IF(MOD(M99,10000)=0,"UNSPSC a nivel de segmento o familia: use clase o producto",IF(IFERROR(MATCH(P99,PN_MESES,0)&lt;MATCH(O99,PN_MESES,0),TRUE()),"El mes de ofertas es anterior al de inicio del proceso",IF(OR(NOT(ISNUMBER(Q99)),Q99&lt;=0),"Duración inválida",IF(OR(NOT(ISNUMBER(W99)),NOT(ISNUMBER(X99))),"Valor inválido: registre solo números",IF(OR(W99&lt;=0,X99&lt;=0),"Valor inválido: debe ser mayor que cero",IF(X99&gt;W99,"El valor de la vigencia 2027 supera el valor total",IF(AND(X99&lt;W99,Y99="No"),"El valor total supera el de 2027: requiere vigencias futuras",IF(AND(Y99="Sí",OR(Z99="",Z99="No aplica")),"Indique el estado de la solicitud de vigencias futuras",IF(IF(AND(S99="Mínima cuantía",ISNUMBER(PN_TOPE_MINIMA)),W99&gt;PN_TOPE_MINIMA,FALSE()),"El valor supera el tope de mínima cuantía 2027",IF(IF(AND(S99="Selección abreviada de menor cuantía",ISNUMBER(PN_TOPE_MENOR)),W99&gt;PN_TOPE_MENOR,FALSE()),"El valor supera el tope de menor cuantía 2027",IF(OR(ISERROR(SEARCH("@itc.edu.co",AE99)),SUMPRODUCT(--ISNUMBER(SEARCH({"á","é","í","ó","ú","ñ"," "},AE99)))&gt;0),"El correo del responsable no es institucional válido",IF(AND(AF99="Sí",AG99=""),"Indique el N.° de registro 2026 que continúa","OK")))))))))))))))))</f>
        <v/>
      </c>
      <c r="AK99" s="114">
        <f>IF(AJ99="OK",COUNTIF($AJ$7:AJ99,"OK"),"")</f>
        <v/>
      </c>
    </row>
    <row r="100">
      <c r="A100" s="110">
        <f>"PN27-"&amp;TEXT(ROW()-6,"000")</f>
        <v/>
      </c>
      <c r="B100" s="111" t="n"/>
      <c r="C100" s="110">
        <f>IF(B100="","",IFERROR(INDEX('Catalogos_PDN'!$R$5:$R$51,MATCH(B100,PN_AREAS,0)),""))</f>
        <v/>
      </c>
      <c r="D100" s="110">
        <f>IF(B100="","",IFERROR(INDEX('Catalogos_PDN'!$O$5:$O$51,MATCH(B100,PN_AREAS,0)),""))</f>
        <v/>
      </c>
      <c r="E100" s="111" t="n"/>
      <c r="F100" s="110">
        <f>IF(E100="","",IFERROR(INDEX('Catalogos_PDN'!$C$5:$C$49,MATCH(E100,PN_METAS,0)),""))</f>
        <v/>
      </c>
      <c r="G100" s="110">
        <f>IF(E100="","",IFERROR(INDEX('Catalogos_PDN'!$E$5:$E$49,MATCH(E100,PN_METAS,0)),""))</f>
        <v/>
      </c>
      <c r="H100" s="111" t="n"/>
      <c r="I100" s="111" t="n"/>
      <c r="J100" s="111" t="n"/>
      <c r="K100" s="111" t="n"/>
      <c r="L100" s="111" t="n"/>
      <c r="M100" s="112" t="n"/>
      <c r="N100" s="111" t="n"/>
      <c r="O100" s="111" t="n"/>
      <c r="P100" s="111" t="n"/>
      <c r="Q100" s="111" t="n"/>
      <c r="R100" s="111" t="n"/>
      <c r="S100" s="111" t="n"/>
      <c r="T100" s="111" t="n"/>
      <c r="U100" s="111" t="n"/>
      <c r="V100" s="111" t="n"/>
      <c r="W100" s="113" t="n"/>
      <c r="X100" s="113" t="n"/>
      <c r="Y100" s="111" t="n"/>
      <c r="Z100" s="111" t="n"/>
      <c r="AA100" s="111" t="n"/>
      <c r="AB100" s="111" t="n"/>
      <c r="AC100" s="111" t="n"/>
      <c r="AD100" s="111" t="n"/>
      <c r="AE100" s="111" t="n"/>
      <c r="AF100" s="111" t="n"/>
      <c r="AG100" s="111" t="n"/>
      <c r="AH100" s="111" t="n"/>
      <c r="AI100" s="111" t="n"/>
      <c r="AJ100" s="114">
        <f>IF(COUNTA(B100,E100,H100,I100,J100,K100,L100,M100,N100,O100,P100,Q100,R100,S100,T100,U100,V100,W100,X100,Y100,Z100,AA100,AB100,AC100,AD100,AE100,AF100,AG100,AH100,AI100)=0,"",IF(OR(B100="",E100="",H100="",J100="",K100="",L100="",M100="",O100="",P100="",Q100="",R100="",S100="",T100="",U100="",W100="",X100="",Y100="",AB100="",AC100="",AE100="",AF100=""),"Incompleta: faltan campos obligatorios",IF(AND(LEFT(H100,6)="PROPIA",I100=""),"Falta el nombre de la acción propia del área",IF(AND(LEFT(H100,4)="AC27",IFERROR(INDEX('Catalogos_PDN'!$T$5:$T$207,MATCH(H100,'Catalogos_PDN'!$U$5:$U$207,0)),"x")&lt;&gt;LEFT(E100,7)),"La acción no corresponde a la meta seleccionada",IF(OR(NOT(ISNUMBER(M100)),M100&lt;10000000,M100&gt;99999999),"Código UNSPSC inválido: registre 8 dígitos",IF(MOD(M100,10000)=0,"UNSPSC a nivel de segmento o familia: use clase o producto",IF(IFERROR(MATCH(P100,PN_MESES,0)&lt;MATCH(O100,PN_MESES,0),TRUE()),"El mes de ofertas es anterior al de inicio del proceso",IF(OR(NOT(ISNUMBER(Q100)),Q100&lt;=0),"Duración inválida",IF(OR(NOT(ISNUMBER(W100)),NOT(ISNUMBER(X100))),"Valor inválido: registre solo números",IF(OR(W100&lt;=0,X100&lt;=0),"Valor inválido: debe ser mayor que cero",IF(X100&gt;W100,"El valor de la vigencia 2027 supera el valor total",IF(AND(X100&lt;W100,Y100="No"),"El valor total supera el de 2027: requiere vigencias futuras",IF(AND(Y100="Sí",OR(Z100="",Z100="No aplica")),"Indique el estado de la solicitud de vigencias futuras",IF(IF(AND(S100="Mínima cuantía",ISNUMBER(PN_TOPE_MINIMA)),W100&gt;PN_TOPE_MINIMA,FALSE()),"El valor supera el tope de mínima cuantía 2027",IF(IF(AND(S100="Selección abreviada de menor cuantía",ISNUMBER(PN_TOPE_MENOR)),W100&gt;PN_TOPE_MENOR,FALSE()),"El valor supera el tope de menor cuantía 2027",IF(OR(ISERROR(SEARCH("@itc.edu.co",AE100)),SUMPRODUCT(--ISNUMBER(SEARCH({"á","é","í","ó","ú","ñ"," "},AE100)))&gt;0),"El correo del responsable no es institucional válido",IF(AND(AF100="Sí",AG100=""),"Indique el N.° de registro 2026 que continúa","OK")))))))))))))))))</f>
        <v/>
      </c>
      <c r="AK100" s="114">
        <f>IF(AJ100="OK",COUNTIF($AJ$7:AJ100,"OK"),"")</f>
        <v/>
      </c>
    </row>
    <row r="101">
      <c r="A101" s="110">
        <f>"PN27-"&amp;TEXT(ROW()-6,"000")</f>
        <v/>
      </c>
      <c r="B101" s="111" t="n"/>
      <c r="C101" s="110">
        <f>IF(B101="","",IFERROR(INDEX('Catalogos_PDN'!$R$5:$R$51,MATCH(B101,PN_AREAS,0)),""))</f>
        <v/>
      </c>
      <c r="D101" s="110">
        <f>IF(B101="","",IFERROR(INDEX('Catalogos_PDN'!$O$5:$O$51,MATCH(B101,PN_AREAS,0)),""))</f>
        <v/>
      </c>
      <c r="E101" s="111" t="n"/>
      <c r="F101" s="110">
        <f>IF(E101="","",IFERROR(INDEX('Catalogos_PDN'!$C$5:$C$49,MATCH(E101,PN_METAS,0)),""))</f>
        <v/>
      </c>
      <c r="G101" s="110">
        <f>IF(E101="","",IFERROR(INDEX('Catalogos_PDN'!$E$5:$E$49,MATCH(E101,PN_METAS,0)),""))</f>
        <v/>
      </c>
      <c r="H101" s="111" t="n"/>
      <c r="I101" s="111" t="n"/>
      <c r="J101" s="111" t="n"/>
      <c r="K101" s="111" t="n"/>
      <c r="L101" s="111" t="n"/>
      <c r="M101" s="112" t="n"/>
      <c r="N101" s="111" t="n"/>
      <c r="O101" s="111" t="n"/>
      <c r="P101" s="111" t="n"/>
      <c r="Q101" s="111" t="n"/>
      <c r="R101" s="111" t="n"/>
      <c r="S101" s="111" t="n"/>
      <c r="T101" s="111" t="n"/>
      <c r="U101" s="111" t="n"/>
      <c r="V101" s="111" t="n"/>
      <c r="W101" s="113" t="n"/>
      <c r="X101" s="113" t="n"/>
      <c r="Y101" s="111" t="n"/>
      <c r="Z101" s="111" t="n"/>
      <c r="AA101" s="111" t="n"/>
      <c r="AB101" s="111" t="n"/>
      <c r="AC101" s="111" t="n"/>
      <c r="AD101" s="111" t="n"/>
      <c r="AE101" s="111" t="n"/>
      <c r="AF101" s="111" t="n"/>
      <c r="AG101" s="111" t="n"/>
      <c r="AH101" s="111" t="n"/>
      <c r="AI101" s="111" t="n"/>
      <c r="AJ101" s="114">
        <f>IF(COUNTA(B101,E101,H101,I101,J101,K101,L101,M101,N101,O101,P101,Q101,R101,S101,T101,U101,V101,W101,X101,Y101,Z101,AA101,AB101,AC101,AD101,AE101,AF101,AG101,AH101,AI101)=0,"",IF(OR(B101="",E101="",H101="",J101="",K101="",L101="",M101="",O101="",P101="",Q101="",R101="",S101="",T101="",U101="",W101="",X101="",Y101="",AB101="",AC101="",AE101="",AF101=""),"Incompleta: faltan campos obligatorios",IF(AND(LEFT(H101,6)="PROPIA",I101=""),"Falta el nombre de la acción propia del área",IF(AND(LEFT(H101,4)="AC27",IFERROR(INDEX('Catalogos_PDN'!$T$5:$T$207,MATCH(H101,'Catalogos_PDN'!$U$5:$U$207,0)),"x")&lt;&gt;LEFT(E101,7)),"La acción no corresponde a la meta seleccionada",IF(OR(NOT(ISNUMBER(M101)),M101&lt;10000000,M101&gt;99999999),"Código UNSPSC inválido: registre 8 dígitos",IF(MOD(M101,10000)=0,"UNSPSC a nivel de segmento o familia: use clase o producto",IF(IFERROR(MATCH(P101,PN_MESES,0)&lt;MATCH(O101,PN_MESES,0),TRUE()),"El mes de ofertas es anterior al de inicio del proceso",IF(OR(NOT(ISNUMBER(Q101)),Q101&lt;=0),"Duración inválida",IF(OR(NOT(ISNUMBER(W101)),NOT(ISNUMBER(X101))),"Valor inválido: registre solo números",IF(OR(W101&lt;=0,X101&lt;=0),"Valor inválido: debe ser mayor que cero",IF(X101&gt;W101,"El valor de la vigencia 2027 supera el valor total",IF(AND(X101&lt;W101,Y101="No"),"El valor total supera el de 2027: requiere vigencias futuras",IF(AND(Y101="Sí",OR(Z101="",Z101="No aplica")),"Indique el estado de la solicitud de vigencias futuras",IF(IF(AND(S101="Mínima cuantía",ISNUMBER(PN_TOPE_MINIMA)),W101&gt;PN_TOPE_MINIMA,FALSE()),"El valor supera el tope de mínima cuantía 2027",IF(IF(AND(S101="Selección abreviada de menor cuantía",ISNUMBER(PN_TOPE_MENOR)),W101&gt;PN_TOPE_MENOR,FALSE()),"El valor supera el tope de menor cuantía 2027",IF(OR(ISERROR(SEARCH("@itc.edu.co",AE101)),SUMPRODUCT(--ISNUMBER(SEARCH({"á","é","í","ó","ú","ñ"," "},AE101)))&gt;0),"El correo del responsable no es institucional válido",IF(AND(AF101="Sí",AG101=""),"Indique el N.° de registro 2026 que continúa","OK")))))))))))))))))</f>
        <v/>
      </c>
      <c r="AK101" s="114">
        <f>IF(AJ101="OK",COUNTIF($AJ$7:AJ101,"OK"),"")</f>
        <v/>
      </c>
    </row>
    <row r="102">
      <c r="A102" s="110">
        <f>"PN27-"&amp;TEXT(ROW()-6,"000")</f>
        <v/>
      </c>
      <c r="B102" s="111" t="n"/>
      <c r="C102" s="110">
        <f>IF(B102="","",IFERROR(INDEX('Catalogos_PDN'!$R$5:$R$51,MATCH(B102,PN_AREAS,0)),""))</f>
        <v/>
      </c>
      <c r="D102" s="110">
        <f>IF(B102="","",IFERROR(INDEX('Catalogos_PDN'!$O$5:$O$51,MATCH(B102,PN_AREAS,0)),""))</f>
        <v/>
      </c>
      <c r="E102" s="111" t="n"/>
      <c r="F102" s="110">
        <f>IF(E102="","",IFERROR(INDEX('Catalogos_PDN'!$C$5:$C$49,MATCH(E102,PN_METAS,0)),""))</f>
        <v/>
      </c>
      <c r="G102" s="110">
        <f>IF(E102="","",IFERROR(INDEX('Catalogos_PDN'!$E$5:$E$49,MATCH(E102,PN_METAS,0)),""))</f>
        <v/>
      </c>
      <c r="H102" s="111" t="n"/>
      <c r="I102" s="111" t="n"/>
      <c r="J102" s="111" t="n"/>
      <c r="K102" s="111" t="n"/>
      <c r="L102" s="111" t="n"/>
      <c r="M102" s="112" t="n"/>
      <c r="N102" s="111" t="n"/>
      <c r="O102" s="111" t="n"/>
      <c r="P102" s="111" t="n"/>
      <c r="Q102" s="111" t="n"/>
      <c r="R102" s="111" t="n"/>
      <c r="S102" s="111" t="n"/>
      <c r="T102" s="111" t="n"/>
      <c r="U102" s="111" t="n"/>
      <c r="V102" s="111" t="n"/>
      <c r="W102" s="113" t="n"/>
      <c r="X102" s="113" t="n"/>
      <c r="Y102" s="111" t="n"/>
      <c r="Z102" s="111" t="n"/>
      <c r="AA102" s="111" t="n"/>
      <c r="AB102" s="111" t="n"/>
      <c r="AC102" s="111" t="n"/>
      <c r="AD102" s="111" t="n"/>
      <c r="AE102" s="111" t="n"/>
      <c r="AF102" s="111" t="n"/>
      <c r="AG102" s="111" t="n"/>
      <c r="AH102" s="111" t="n"/>
      <c r="AI102" s="111" t="n"/>
      <c r="AJ102" s="114">
        <f>IF(COUNTA(B102,E102,H102,I102,J102,K102,L102,M102,N102,O102,P102,Q102,R102,S102,T102,U102,V102,W102,X102,Y102,Z102,AA102,AB102,AC102,AD102,AE102,AF102,AG102,AH102,AI102)=0,"",IF(OR(B102="",E102="",H102="",J102="",K102="",L102="",M102="",O102="",P102="",Q102="",R102="",S102="",T102="",U102="",W102="",X102="",Y102="",AB102="",AC102="",AE102="",AF102=""),"Incompleta: faltan campos obligatorios",IF(AND(LEFT(H102,6)="PROPIA",I102=""),"Falta el nombre de la acción propia del área",IF(AND(LEFT(H102,4)="AC27",IFERROR(INDEX('Catalogos_PDN'!$T$5:$T$207,MATCH(H102,'Catalogos_PDN'!$U$5:$U$207,0)),"x")&lt;&gt;LEFT(E102,7)),"La acción no corresponde a la meta seleccionada",IF(OR(NOT(ISNUMBER(M102)),M102&lt;10000000,M102&gt;99999999),"Código UNSPSC inválido: registre 8 dígitos",IF(MOD(M102,10000)=0,"UNSPSC a nivel de segmento o familia: use clase o producto",IF(IFERROR(MATCH(P102,PN_MESES,0)&lt;MATCH(O102,PN_MESES,0),TRUE()),"El mes de ofertas es anterior al de inicio del proceso",IF(OR(NOT(ISNUMBER(Q102)),Q102&lt;=0),"Duración inválida",IF(OR(NOT(ISNUMBER(W102)),NOT(ISNUMBER(X102))),"Valor inválido: registre solo números",IF(OR(W102&lt;=0,X102&lt;=0),"Valor inválido: debe ser mayor que cero",IF(X102&gt;W102,"El valor de la vigencia 2027 supera el valor total",IF(AND(X102&lt;W102,Y102="No"),"El valor total supera el de 2027: requiere vigencias futuras",IF(AND(Y102="Sí",OR(Z102="",Z102="No aplica")),"Indique el estado de la solicitud de vigencias futuras",IF(IF(AND(S102="Mínima cuantía",ISNUMBER(PN_TOPE_MINIMA)),W102&gt;PN_TOPE_MINIMA,FALSE()),"El valor supera el tope de mínima cuantía 2027",IF(IF(AND(S102="Selección abreviada de menor cuantía",ISNUMBER(PN_TOPE_MENOR)),W102&gt;PN_TOPE_MENOR,FALSE()),"El valor supera el tope de menor cuantía 2027",IF(OR(ISERROR(SEARCH("@itc.edu.co",AE102)),SUMPRODUCT(--ISNUMBER(SEARCH({"á","é","í","ó","ú","ñ"," "},AE102)))&gt;0),"El correo del responsable no es institucional válido",IF(AND(AF102="Sí",AG102=""),"Indique el N.° de registro 2026 que continúa","OK")))))))))))))))))</f>
        <v/>
      </c>
      <c r="AK102" s="114">
        <f>IF(AJ102="OK",COUNTIF($AJ$7:AJ102,"OK"),"")</f>
        <v/>
      </c>
    </row>
    <row r="103">
      <c r="A103" s="110">
        <f>"PN27-"&amp;TEXT(ROW()-6,"000")</f>
        <v/>
      </c>
      <c r="B103" s="111" t="n"/>
      <c r="C103" s="110">
        <f>IF(B103="","",IFERROR(INDEX('Catalogos_PDN'!$R$5:$R$51,MATCH(B103,PN_AREAS,0)),""))</f>
        <v/>
      </c>
      <c r="D103" s="110">
        <f>IF(B103="","",IFERROR(INDEX('Catalogos_PDN'!$O$5:$O$51,MATCH(B103,PN_AREAS,0)),""))</f>
        <v/>
      </c>
      <c r="E103" s="111" t="n"/>
      <c r="F103" s="110">
        <f>IF(E103="","",IFERROR(INDEX('Catalogos_PDN'!$C$5:$C$49,MATCH(E103,PN_METAS,0)),""))</f>
        <v/>
      </c>
      <c r="G103" s="110">
        <f>IF(E103="","",IFERROR(INDEX('Catalogos_PDN'!$E$5:$E$49,MATCH(E103,PN_METAS,0)),""))</f>
        <v/>
      </c>
      <c r="H103" s="111" t="n"/>
      <c r="I103" s="111" t="n"/>
      <c r="J103" s="111" t="n"/>
      <c r="K103" s="111" t="n"/>
      <c r="L103" s="111" t="n"/>
      <c r="M103" s="112" t="n"/>
      <c r="N103" s="111" t="n"/>
      <c r="O103" s="111" t="n"/>
      <c r="P103" s="111" t="n"/>
      <c r="Q103" s="111" t="n"/>
      <c r="R103" s="111" t="n"/>
      <c r="S103" s="111" t="n"/>
      <c r="T103" s="111" t="n"/>
      <c r="U103" s="111" t="n"/>
      <c r="V103" s="111" t="n"/>
      <c r="W103" s="113" t="n"/>
      <c r="X103" s="113" t="n"/>
      <c r="Y103" s="111" t="n"/>
      <c r="Z103" s="111" t="n"/>
      <c r="AA103" s="111" t="n"/>
      <c r="AB103" s="111" t="n"/>
      <c r="AC103" s="111" t="n"/>
      <c r="AD103" s="111" t="n"/>
      <c r="AE103" s="111" t="n"/>
      <c r="AF103" s="111" t="n"/>
      <c r="AG103" s="111" t="n"/>
      <c r="AH103" s="111" t="n"/>
      <c r="AI103" s="111" t="n"/>
      <c r="AJ103" s="114">
        <f>IF(COUNTA(B103,E103,H103,I103,J103,K103,L103,M103,N103,O103,P103,Q103,R103,S103,T103,U103,V103,W103,X103,Y103,Z103,AA103,AB103,AC103,AD103,AE103,AF103,AG103,AH103,AI103)=0,"",IF(OR(B103="",E103="",H103="",J103="",K103="",L103="",M103="",O103="",P103="",Q103="",R103="",S103="",T103="",U103="",W103="",X103="",Y103="",AB103="",AC103="",AE103="",AF103=""),"Incompleta: faltan campos obligatorios",IF(AND(LEFT(H103,6)="PROPIA",I103=""),"Falta el nombre de la acción propia del área",IF(AND(LEFT(H103,4)="AC27",IFERROR(INDEX('Catalogos_PDN'!$T$5:$T$207,MATCH(H103,'Catalogos_PDN'!$U$5:$U$207,0)),"x")&lt;&gt;LEFT(E103,7)),"La acción no corresponde a la meta seleccionada",IF(OR(NOT(ISNUMBER(M103)),M103&lt;10000000,M103&gt;99999999),"Código UNSPSC inválido: registre 8 dígitos",IF(MOD(M103,10000)=0,"UNSPSC a nivel de segmento o familia: use clase o producto",IF(IFERROR(MATCH(P103,PN_MESES,0)&lt;MATCH(O103,PN_MESES,0),TRUE()),"El mes de ofertas es anterior al de inicio del proceso",IF(OR(NOT(ISNUMBER(Q103)),Q103&lt;=0),"Duración inválida",IF(OR(NOT(ISNUMBER(W103)),NOT(ISNUMBER(X103))),"Valor inválido: registre solo números",IF(OR(W103&lt;=0,X103&lt;=0),"Valor inválido: debe ser mayor que cero",IF(X103&gt;W103,"El valor de la vigencia 2027 supera el valor total",IF(AND(X103&lt;W103,Y103="No"),"El valor total supera el de 2027: requiere vigencias futuras",IF(AND(Y103="Sí",OR(Z103="",Z103="No aplica")),"Indique el estado de la solicitud de vigencias futuras",IF(IF(AND(S103="Mínima cuantía",ISNUMBER(PN_TOPE_MINIMA)),W103&gt;PN_TOPE_MINIMA,FALSE()),"El valor supera el tope de mínima cuantía 2027",IF(IF(AND(S103="Selección abreviada de menor cuantía",ISNUMBER(PN_TOPE_MENOR)),W103&gt;PN_TOPE_MENOR,FALSE()),"El valor supera el tope de menor cuantía 2027",IF(OR(ISERROR(SEARCH("@itc.edu.co",AE103)),SUMPRODUCT(--ISNUMBER(SEARCH({"á","é","í","ó","ú","ñ"," "},AE103)))&gt;0),"El correo del responsable no es institucional válido",IF(AND(AF103="Sí",AG103=""),"Indique el N.° de registro 2026 que continúa","OK")))))))))))))))))</f>
        <v/>
      </c>
      <c r="AK103" s="114">
        <f>IF(AJ103="OK",COUNTIF($AJ$7:AJ103,"OK"),"")</f>
        <v/>
      </c>
    </row>
    <row r="104">
      <c r="A104" s="110">
        <f>"PN27-"&amp;TEXT(ROW()-6,"000")</f>
        <v/>
      </c>
      <c r="B104" s="111" t="n"/>
      <c r="C104" s="110">
        <f>IF(B104="","",IFERROR(INDEX('Catalogos_PDN'!$R$5:$R$51,MATCH(B104,PN_AREAS,0)),""))</f>
        <v/>
      </c>
      <c r="D104" s="110">
        <f>IF(B104="","",IFERROR(INDEX('Catalogos_PDN'!$O$5:$O$51,MATCH(B104,PN_AREAS,0)),""))</f>
        <v/>
      </c>
      <c r="E104" s="111" t="n"/>
      <c r="F104" s="110">
        <f>IF(E104="","",IFERROR(INDEX('Catalogos_PDN'!$C$5:$C$49,MATCH(E104,PN_METAS,0)),""))</f>
        <v/>
      </c>
      <c r="G104" s="110">
        <f>IF(E104="","",IFERROR(INDEX('Catalogos_PDN'!$E$5:$E$49,MATCH(E104,PN_METAS,0)),""))</f>
        <v/>
      </c>
      <c r="H104" s="111" t="n"/>
      <c r="I104" s="111" t="n"/>
      <c r="J104" s="111" t="n"/>
      <c r="K104" s="111" t="n"/>
      <c r="L104" s="111" t="n"/>
      <c r="M104" s="112" t="n"/>
      <c r="N104" s="111" t="n"/>
      <c r="O104" s="111" t="n"/>
      <c r="P104" s="111" t="n"/>
      <c r="Q104" s="111" t="n"/>
      <c r="R104" s="111" t="n"/>
      <c r="S104" s="111" t="n"/>
      <c r="T104" s="111" t="n"/>
      <c r="U104" s="111" t="n"/>
      <c r="V104" s="111" t="n"/>
      <c r="W104" s="113" t="n"/>
      <c r="X104" s="113" t="n"/>
      <c r="Y104" s="111" t="n"/>
      <c r="Z104" s="111" t="n"/>
      <c r="AA104" s="111" t="n"/>
      <c r="AB104" s="111" t="n"/>
      <c r="AC104" s="111" t="n"/>
      <c r="AD104" s="111" t="n"/>
      <c r="AE104" s="111" t="n"/>
      <c r="AF104" s="111" t="n"/>
      <c r="AG104" s="111" t="n"/>
      <c r="AH104" s="111" t="n"/>
      <c r="AI104" s="111" t="n"/>
      <c r="AJ104" s="114">
        <f>IF(COUNTA(B104,E104,H104,I104,J104,K104,L104,M104,N104,O104,P104,Q104,R104,S104,T104,U104,V104,W104,X104,Y104,Z104,AA104,AB104,AC104,AD104,AE104,AF104,AG104,AH104,AI104)=0,"",IF(OR(B104="",E104="",H104="",J104="",K104="",L104="",M104="",O104="",P104="",Q104="",R104="",S104="",T104="",U104="",W104="",X104="",Y104="",AB104="",AC104="",AE104="",AF104=""),"Incompleta: faltan campos obligatorios",IF(AND(LEFT(H104,6)="PROPIA",I104=""),"Falta el nombre de la acción propia del área",IF(AND(LEFT(H104,4)="AC27",IFERROR(INDEX('Catalogos_PDN'!$T$5:$T$207,MATCH(H104,'Catalogos_PDN'!$U$5:$U$207,0)),"x")&lt;&gt;LEFT(E104,7)),"La acción no corresponde a la meta seleccionada",IF(OR(NOT(ISNUMBER(M104)),M104&lt;10000000,M104&gt;99999999),"Código UNSPSC inválido: registre 8 dígitos",IF(MOD(M104,10000)=0,"UNSPSC a nivel de segmento o familia: use clase o producto",IF(IFERROR(MATCH(P104,PN_MESES,0)&lt;MATCH(O104,PN_MESES,0),TRUE()),"El mes de ofertas es anterior al de inicio del proceso",IF(OR(NOT(ISNUMBER(Q104)),Q104&lt;=0),"Duración inválida",IF(OR(NOT(ISNUMBER(W104)),NOT(ISNUMBER(X104))),"Valor inválido: registre solo números",IF(OR(W104&lt;=0,X104&lt;=0),"Valor inválido: debe ser mayor que cero",IF(X104&gt;W104,"El valor de la vigencia 2027 supera el valor total",IF(AND(X104&lt;W104,Y104="No"),"El valor total supera el de 2027: requiere vigencias futuras",IF(AND(Y104="Sí",OR(Z104="",Z104="No aplica")),"Indique el estado de la solicitud de vigencias futuras",IF(IF(AND(S104="Mínima cuantía",ISNUMBER(PN_TOPE_MINIMA)),W104&gt;PN_TOPE_MINIMA,FALSE()),"El valor supera el tope de mínima cuantía 2027",IF(IF(AND(S104="Selección abreviada de menor cuantía",ISNUMBER(PN_TOPE_MENOR)),W104&gt;PN_TOPE_MENOR,FALSE()),"El valor supera el tope de menor cuantía 2027",IF(OR(ISERROR(SEARCH("@itc.edu.co",AE104)),SUMPRODUCT(--ISNUMBER(SEARCH({"á","é","í","ó","ú","ñ"," "},AE104)))&gt;0),"El correo del responsable no es institucional válido",IF(AND(AF104="Sí",AG104=""),"Indique el N.° de registro 2026 que continúa","OK")))))))))))))))))</f>
        <v/>
      </c>
      <c r="AK104" s="114">
        <f>IF(AJ104="OK",COUNTIF($AJ$7:AJ104,"OK"),"")</f>
        <v/>
      </c>
    </row>
    <row r="105">
      <c r="A105" s="110">
        <f>"PN27-"&amp;TEXT(ROW()-6,"000")</f>
        <v/>
      </c>
      <c r="B105" s="111" t="n"/>
      <c r="C105" s="110">
        <f>IF(B105="","",IFERROR(INDEX('Catalogos_PDN'!$R$5:$R$51,MATCH(B105,PN_AREAS,0)),""))</f>
        <v/>
      </c>
      <c r="D105" s="110">
        <f>IF(B105="","",IFERROR(INDEX('Catalogos_PDN'!$O$5:$O$51,MATCH(B105,PN_AREAS,0)),""))</f>
        <v/>
      </c>
      <c r="E105" s="111" t="n"/>
      <c r="F105" s="110">
        <f>IF(E105="","",IFERROR(INDEX('Catalogos_PDN'!$C$5:$C$49,MATCH(E105,PN_METAS,0)),""))</f>
        <v/>
      </c>
      <c r="G105" s="110">
        <f>IF(E105="","",IFERROR(INDEX('Catalogos_PDN'!$E$5:$E$49,MATCH(E105,PN_METAS,0)),""))</f>
        <v/>
      </c>
      <c r="H105" s="111" t="n"/>
      <c r="I105" s="111" t="n"/>
      <c r="J105" s="111" t="n"/>
      <c r="K105" s="111" t="n"/>
      <c r="L105" s="111" t="n"/>
      <c r="M105" s="112" t="n"/>
      <c r="N105" s="111" t="n"/>
      <c r="O105" s="111" t="n"/>
      <c r="P105" s="111" t="n"/>
      <c r="Q105" s="111" t="n"/>
      <c r="R105" s="111" t="n"/>
      <c r="S105" s="111" t="n"/>
      <c r="T105" s="111" t="n"/>
      <c r="U105" s="111" t="n"/>
      <c r="V105" s="111" t="n"/>
      <c r="W105" s="113" t="n"/>
      <c r="X105" s="113" t="n"/>
      <c r="Y105" s="111" t="n"/>
      <c r="Z105" s="111" t="n"/>
      <c r="AA105" s="111" t="n"/>
      <c r="AB105" s="111" t="n"/>
      <c r="AC105" s="111" t="n"/>
      <c r="AD105" s="111" t="n"/>
      <c r="AE105" s="111" t="n"/>
      <c r="AF105" s="111" t="n"/>
      <c r="AG105" s="111" t="n"/>
      <c r="AH105" s="111" t="n"/>
      <c r="AI105" s="111" t="n"/>
      <c r="AJ105" s="114">
        <f>IF(COUNTA(B105,E105,H105,I105,J105,K105,L105,M105,N105,O105,P105,Q105,R105,S105,T105,U105,V105,W105,X105,Y105,Z105,AA105,AB105,AC105,AD105,AE105,AF105,AG105,AH105,AI105)=0,"",IF(OR(B105="",E105="",H105="",J105="",K105="",L105="",M105="",O105="",P105="",Q105="",R105="",S105="",T105="",U105="",W105="",X105="",Y105="",AB105="",AC105="",AE105="",AF105=""),"Incompleta: faltan campos obligatorios",IF(AND(LEFT(H105,6)="PROPIA",I105=""),"Falta el nombre de la acción propia del área",IF(AND(LEFT(H105,4)="AC27",IFERROR(INDEX('Catalogos_PDN'!$T$5:$T$207,MATCH(H105,'Catalogos_PDN'!$U$5:$U$207,0)),"x")&lt;&gt;LEFT(E105,7)),"La acción no corresponde a la meta seleccionada",IF(OR(NOT(ISNUMBER(M105)),M105&lt;10000000,M105&gt;99999999),"Código UNSPSC inválido: registre 8 dígitos",IF(MOD(M105,10000)=0,"UNSPSC a nivel de segmento o familia: use clase o producto",IF(IFERROR(MATCH(P105,PN_MESES,0)&lt;MATCH(O105,PN_MESES,0),TRUE()),"El mes de ofertas es anterior al de inicio del proceso",IF(OR(NOT(ISNUMBER(Q105)),Q105&lt;=0),"Duración inválida",IF(OR(NOT(ISNUMBER(W105)),NOT(ISNUMBER(X105))),"Valor inválido: registre solo números",IF(OR(W105&lt;=0,X105&lt;=0),"Valor inválido: debe ser mayor que cero",IF(X105&gt;W105,"El valor de la vigencia 2027 supera el valor total",IF(AND(X105&lt;W105,Y105="No"),"El valor total supera el de 2027: requiere vigencias futuras",IF(AND(Y105="Sí",OR(Z105="",Z105="No aplica")),"Indique el estado de la solicitud de vigencias futuras",IF(IF(AND(S105="Mínima cuantía",ISNUMBER(PN_TOPE_MINIMA)),W105&gt;PN_TOPE_MINIMA,FALSE()),"El valor supera el tope de mínima cuantía 2027",IF(IF(AND(S105="Selección abreviada de menor cuantía",ISNUMBER(PN_TOPE_MENOR)),W105&gt;PN_TOPE_MENOR,FALSE()),"El valor supera el tope de menor cuantía 2027",IF(OR(ISERROR(SEARCH("@itc.edu.co",AE105)),SUMPRODUCT(--ISNUMBER(SEARCH({"á","é","í","ó","ú","ñ"," "},AE105)))&gt;0),"El correo del responsable no es institucional válido",IF(AND(AF105="Sí",AG105=""),"Indique el N.° de registro 2026 que continúa","OK")))))))))))))))))</f>
        <v/>
      </c>
      <c r="AK105" s="114">
        <f>IF(AJ105="OK",COUNTIF($AJ$7:AJ105,"OK"),"")</f>
        <v/>
      </c>
    </row>
    <row r="106">
      <c r="A106" s="110">
        <f>"PN27-"&amp;TEXT(ROW()-6,"000")</f>
        <v/>
      </c>
      <c r="B106" s="111" t="n"/>
      <c r="C106" s="110">
        <f>IF(B106="","",IFERROR(INDEX('Catalogos_PDN'!$R$5:$R$51,MATCH(B106,PN_AREAS,0)),""))</f>
        <v/>
      </c>
      <c r="D106" s="110">
        <f>IF(B106="","",IFERROR(INDEX('Catalogos_PDN'!$O$5:$O$51,MATCH(B106,PN_AREAS,0)),""))</f>
        <v/>
      </c>
      <c r="E106" s="111" t="n"/>
      <c r="F106" s="110">
        <f>IF(E106="","",IFERROR(INDEX('Catalogos_PDN'!$C$5:$C$49,MATCH(E106,PN_METAS,0)),""))</f>
        <v/>
      </c>
      <c r="G106" s="110">
        <f>IF(E106="","",IFERROR(INDEX('Catalogos_PDN'!$E$5:$E$49,MATCH(E106,PN_METAS,0)),""))</f>
        <v/>
      </c>
      <c r="H106" s="111" t="n"/>
      <c r="I106" s="111" t="n"/>
      <c r="J106" s="111" t="n"/>
      <c r="K106" s="111" t="n"/>
      <c r="L106" s="111" t="n"/>
      <c r="M106" s="112" t="n"/>
      <c r="N106" s="111" t="n"/>
      <c r="O106" s="111" t="n"/>
      <c r="P106" s="111" t="n"/>
      <c r="Q106" s="111" t="n"/>
      <c r="R106" s="111" t="n"/>
      <c r="S106" s="111" t="n"/>
      <c r="T106" s="111" t="n"/>
      <c r="U106" s="111" t="n"/>
      <c r="V106" s="111" t="n"/>
      <c r="W106" s="113" t="n"/>
      <c r="X106" s="113" t="n"/>
      <c r="Y106" s="111" t="n"/>
      <c r="Z106" s="111" t="n"/>
      <c r="AA106" s="111" t="n"/>
      <c r="AB106" s="111" t="n"/>
      <c r="AC106" s="111" t="n"/>
      <c r="AD106" s="111" t="n"/>
      <c r="AE106" s="111" t="n"/>
      <c r="AF106" s="111" t="n"/>
      <c r="AG106" s="111" t="n"/>
      <c r="AH106" s="111" t="n"/>
      <c r="AI106" s="111" t="n"/>
      <c r="AJ106" s="114">
        <f>IF(COUNTA(B106,E106,H106,I106,J106,K106,L106,M106,N106,O106,P106,Q106,R106,S106,T106,U106,V106,W106,X106,Y106,Z106,AA106,AB106,AC106,AD106,AE106,AF106,AG106,AH106,AI106)=0,"",IF(OR(B106="",E106="",H106="",J106="",K106="",L106="",M106="",O106="",P106="",Q106="",R106="",S106="",T106="",U106="",W106="",X106="",Y106="",AB106="",AC106="",AE106="",AF106=""),"Incompleta: faltan campos obligatorios",IF(AND(LEFT(H106,6)="PROPIA",I106=""),"Falta el nombre de la acción propia del área",IF(AND(LEFT(H106,4)="AC27",IFERROR(INDEX('Catalogos_PDN'!$T$5:$T$207,MATCH(H106,'Catalogos_PDN'!$U$5:$U$207,0)),"x")&lt;&gt;LEFT(E106,7)),"La acción no corresponde a la meta seleccionada",IF(OR(NOT(ISNUMBER(M106)),M106&lt;10000000,M106&gt;99999999),"Código UNSPSC inválido: registre 8 dígitos",IF(MOD(M106,10000)=0,"UNSPSC a nivel de segmento o familia: use clase o producto",IF(IFERROR(MATCH(P106,PN_MESES,0)&lt;MATCH(O106,PN_MESES,0),TRUE()),"El mes de ofertas es anterior al de inicio del proceso",IF(OR(NOT(ISNUMBER(Q106)),Q106&lt;=0),"Duración inválida",IF(OR(NOT(ISNUMBER(W106)),NOT(ISNUMBER(X106))),"Valor inválido: registre solo números",IF(OR(W106&lt;=0,X106&lt;=0),"Valor inválido: debe ser mayor que cero",IF(X106&gt;W106,"El valor de la vigencia 2027 supera el valor total",IF(AND(X106&lt;W106,Y106="No"),"El valor total supera el de 2027: requiere vigencias futuras",IF(AND(Y106="Sí",OR(Z106="",Z106="No aplica")),"Indique el estado de la solicitud de vigencias futuras",IF(IF(AND(S106="Mínima cuantía",ISNUMBER(PN_TOPE_MINIMA)),W106&gt;PN_TOPE_MINIMA,FALSE()),"El valor supera el tope de mínima cuantía 2027",IF(IF(AND(S106="Selección abreviada de menor cuantía",ISNUMBER(PN_TOPE_MENOR)),W106&gt;PN_TOPE_MENOR,FALSE()),"El valor supera el tope de menor cuantía 2027",IF(OR(ISERROR(SEARCH("@itc.edu.co",AE106)),SUMPRODUCT(--ISNUMBER(SEARCH({"á","é","í","ó","ú","ñ"," "},AE106)))&gt;0),"El correo del responsable no es institucional válido",IF(AND(AF106="Sí",AG106=""),"Indique el N.° de registro 2026 que continúa","OK")))))))))))))))))</f>
        <v/>
      </c>
      <c r="AK106" s="114">
        <f>IF(AJ106="OK",COUNTIF($AJ$7:AJ106,"OK"),"")</f>
        <v/>
      </c>
    </row>
    <row r="107">
      <c r="A107" s="110">
        <f>"PN27-"&amp;TEXT(ROW()-6,"000")</f>
        <v/>
      </c>
      <c r="B107" s="111" t="n"/>
      <c r="C107" s="110">
        <f>IF(B107="","",IFERROR(INDEX('Catalogos_PDN'!$R$5:$R$51,MATCH(B107,PN_AREAS,0)),""))</f>
        <v/>
      </c>
      <c r="D107" s="110">
        <f>IF(B107="","",IFERROR(INDEX('Catalogos_PDN'!$O$5:$O$51,MATCH(B107,PN_AREAS,0)),""))</f>
        <v/>
      </c>
      <c r="E107" s="111" t="n"/>
      <c r="F107" s="110">
        <f>IF(E107="","",IFERROR(INDEX('Catalogos_PDN'!$C$5:$C$49,MATCH(E107,PN_METAS,0)),""))</f>
        <v/>
      </c>
      <c r="G107" s="110">
        <f>IF(E107="","",IFERROR(INDEX('Catalogos_PDN'!$E$5:$E$49,MATCH(E107,PN_METAS,0)),""))</f>
        <v/>
      </c>
      <c r="H107" s="111" t="n"/>
      <c r="I107" s="111" t="n"/>
      <c r="J107" s="111" t="n"/>
      <c r="K107" s="111" t="n"/>
      <c r="L107" s="111" t="n"/>
      <c r="M107" s="112" t="n"/>
      <c r="N107" s="111" t="n"/>
      <c r="O107" s="111" t="n"/>
      <c r="P107" s="111" t="n"/>
      <c r="Q107" s="111" t="n"/>
      <c r="R107" s="111" t="n"/>
      <c r="S107" s="111" t="n"/>
      <c r="T107" s="111" t="n"/>
      <c r="U107" s="111" t="n"/>
      <c r="V107" s="111" t="n"/>
      <c r="W107" s="113" t="n"/>
      <c r="X107" s="113" t="n"/>
      <c r="Y107" s="111" t="n"/>
      <c r="Z107" s="111" t="n"/>
      <c r="AA107" s="111" t="n"/>
      <c r="AB107" s="111" t="n"/>
      <c r="AC107" s="111" t="n"/>
      <c r="AD107" s="111" t="n"/>
      <c r="AE107" s="111" t="n"/>
      <c r="AF107" s="111" t="n"/>
      <c r="AG107" s="111" t="n"/>
      <c r="AH107" s="111" t="n"/>
      <c r="AI107" s="111" t="n"/>
      <c r="AJ107" s="114">
        <f>IF(COUNTA(B107,E107,H107,I107,J107,K107,L107,M107,N107,O107,P107,Q107,R107,S107,T107,U107,V107,W107,X107,Y107,Z107,AA107,AB107,AC107,AD107,AE107,AF107,AG107,AH107,AI107)=0,"",IF(OR(B107="",E107="",H107="",J107="",K107="",L107="",M107="",O107="",P107="",Q107="",R107="",S107="",T107="",U107="",W107="",X107="",Y107="",AB107="",AC107="",AE107="",AF107=""),"Incompleta: faltan campos obligatorios",IF(AND(LEFT(H107,6)="PROPIA",I107=""),"Falta el nombre de la acción propia del área",IF(AND(LEFT(H107,4)="AC27",IFERROR(INDEX('Catalogos_PDN'!$T$5:$T$207,MATCH(H107,'Catalogos_PDN'!$U$5:$U$207,0)),"x")&lt;&gt;LEFT(E107,7)),"La acción no corresponde a la meta seleccionada",IF(OR(NOT(ISNUMBER(M107)),M107&lt;10000000,M107&gt;99999999),"Código UNSPSC inválido: registre 8 dígitos",IF(MOD(M107,10000)=0,"UNSPSC a nivel de segmento o familia: use clase o producto",IF(IFERROR(MATCH(P107,PN_MESES,0)&lt;MATCH(O107,PN_MESES,0),TRUE()),"El mes de ofertas es anterior al de inicio del proceso",IF(OR(NOT(ISNUMBER(Q107)),Q107&lt;=0),"Duración inválida",IF(OR(NOT(ISNUMBER(W107)),NOT(ISNUMBER(X107))),"Valor inválido: registre solo números",IF(OR(W107&lt;=0,X107&lt;=0),"Valor inválido: debe ser mayor que cero",IF(X107&gt;W107,"El valor de la vigencia 2027 supera el valor total",IF(AND(X107&lt;W107,Y107="No"),"El valor total supera el de 2027: requiere vigencias futuras",IF(AND(Y107="Sí",OR(Z107="",Z107="No aplica")),"Indique el estado de la solicitud de vigencias futuras",IF(IF(AND(S107="Mínima cuantía",ISNUMBER(PN_TOPE_MINIMA)),W107&gt;PN_TOPE_MINIMA,FALSE()),"El valor supera el tope de mínima cuantía 2027",IF(IF(AND(S107="Selección abreviada de menor cuantía",ISNUMBER(PN_TOPE_MENOR)),W107&gt;PN_TOPE_MENOR,FALSE()),"El valor supera el tope de menor cuantía 2027",IF(OR(ISERROR(SEARCH("@itc.edu.co",AE107)),SUMPRODUCT(--ISNUMBER(SEARCH({"á","é","í","ó","ú","ñ"," "},AE107)))&gt;0),"El correo del responsable no es institucional válido",IF(AND(AF107="Sí",AG107=""),"Indique el N.° de registro 2026 que continúa","OK")))))))))))))))))</f>
        <v/>
      </c>
      <c r="AK107" s="114">
        <f>IF(AJ107="OK",COUNTIF($AJ$7:AJ107,"OK"),"")</f>
        <v/>
      </c>
    </row>
    <row r="108">
      <c r="A108" s="110">
        <f>"PN27-"&amp;TEXT(ROW()-6,"000")</f>
        <v/>
      </c>
      <c r="B108" s="111" t="n"/>
      <c r="C108" s="110">
        <f>IF(B108="","",IFERROR(INDEX('Catalogos_PDN'!$R$5:$R$51,MATCH(B108,PN_AREAS,0)),""))</f>
        <v/>
      </c>
      <c r="D108" s="110">
        <f>IF(B108="","",IFERROR(INDEX('Catalogos_PDN'!$O$5:$O$51,MATCH(B108,PN_AREAS,0)),""))</f>
        <v/>
      </c>
      <c r="E108" s="111" t="n"/>
      <c r="F108" s="110">
        <f>IF(E108="","",IFERROR(INDEX('Catalogos_PDN'!$C$5:$C$49,MATCH(E108,PN_METAS,0)),""))</f>
        <v/>
      </c>
      <c r="G108" s="110">
        <f>IF(E108="","",IFERROR(INDEX('Catalogos_PDN'!$E$5:$E$49,MATCH(E108,PN_METAS,0)),""))</f>
        <v/>
      </c>
      <c r="H108" s="111" t="n"/>
      <c r="I108" s="111" t="n"/>
      <c r="J108" s="111" t="n"/>
      <c r="K108" s="111" t="n"/>
      <c r="L108" s="111" t="n"/>
      <c r="M108" s="112" t="n"/>
      <c r="N108" s="111" t="n"/>
      <c r="O108" s="111" t="n"/>
      <c r="P108" s="111" t="n"/>
      <c r="Q108" s="111" t="n"/>
      <c r="R108" s="111" t="n"/>
      <c r="S108" s="111" t="n"/>
      <c r="T108" s="111" t="n"/>
      <c r="U108" s="111" t="n"/>
      <c r="V108" s="111" t="n"/>
      <c r="W108" s="113" t="n"/>
      <c r="X108" s="113" t="n"/>
      <c r="Y108" s="111" t="n"/>
      <c r="Z108" s="111" t="n"/>
      <c r="AA108" s="111" t="n"/>
      <c r="AB108" s="111" t="n"/>
      <c r="AC108" s="111" t="n"/>
      <c r="AD108" s="111" t="n"/>
      <c r="AE108" s="111" t="n"/>
      <c r="AF108" s="111" t="n"/>
      <c r="AG108" s="111" t="n"/>
      <c r="AH108" s="111" t="n"/>
      <c r="AI108" s="111" t="n"/>
      <c r="AJ108" s="114">
        <f>IF(COUNTA(B108,E108,H108,I108,J108,K108,L108,M108,N108,O108,P108,Q108,R108,S108,T108,U108,V108,W108,X108,Y108,Z108,AA108,AB108,AC108,AD108,AE108,AF108,AG108,AH108,AI108)=0,"",IF(OR(B108="",E108="",H108="",J108="",K108="",L108="",M108="",O108="",P108="",Q108="",R108="",S108="",T108="",U108="",W108="",X108="",Y108="",AB108="",AC108="",AE108="",AF108=""),"Incompleta: faltan campos obligatorios",IF(AND(LEFT(H108,6)="PROPIA",I108=""),"Falta el nombre de la acción propia del área",IF(AND(LEFT(H108,4)="AC27",IFERROR(INDEX('Catalogos_PDN'!$T$5:$T$207,MATCH(H108,'Catalogos_PDN'!$U$5:$U$207,0)),"x")&lt;&gt;LEFT(E108,7)),"La acción no corresponde a la meta seleccionada",IF(OR(NOT(ISNUMBER(M108)),M108&lt;10000000,M108&gt;99999999),"Código UNSPSC inválido: registre 8 dígitos",IF(MOD(M108,10000)=0,"UNSPSC a nivel de segmento o familia: use clase o producto",IF(IFERROR(MATCH(P108,PN_MESES,0)&lt;MATCH(O108,PN_MESES,0),TRUE()),"El mes de ofertas es anterior al de inicio del proceso",IF(OR(NOT(ISNUMBER(Q108)),Q108&lt;=0),"Duración inválida",IF(OR(NOT(ISNUMBER(W108)),NOT(ISNUMBER(X108))),"Valor inválido: registre solo números",IF(OR(W108&lt;=0,X108&lt;=0),"Valor inválido: debe ser mayor que cero",IF(X108&gt;W108,"El valor de la vigencia 2027 supera el valor total",IF(AND(X108&lt;W108,Y108="No"),"El valor total supera el de 2027: requiere vigencias futuras",IF(AND(Y108="Sí",OR(Z108="",Z108="No aplica")),"Indique el estado de la solicitud de vigencias futuras",IF(IF(AND(S108="Mínima cuantía",ISNUMBER(PN_TOPE_MINIMA)),W108&gt;PN_TOPE_MINIMA,FALSE()),"El valor supera el tope de mínima cuantía 2027",IF(IF(AND(S108="Selección abreviada de menor cuantía",ISNUMBER(PN_TOPE_MENOR)),W108&gt;PN_TOPE_MENOR,FALSE()),"El valor supera el tope de menor cuantía 2027",IF(OR(ISERROR(SEARCH("@itc.edu.co",AE108)),SUMPRODUCT(--ISNUMBER(SEARCH({"á","é","í","ó","ú","ñ"," "},AE108)))&gt;0),"El correo del responsable no es institucional válido",IF(AND(AF108="Sí",AG108=""),"Indique el N.° de registro 2026 que continúa","OK")))))))))))))))))</f>
        <v/>
      </c>
      <c r="AK108" s="114">
        <f>IF(AJ108="OK",COUNTIF($AJ$7:AJ108,"OK"),"")</f>
        <v/>
      </c>
    </row>
    <row r="109">
      <c r="A109" s="110">
        <f>"PN27-"&amp;TEXT(ROW()-6,"000")</f>
        <v/>
      </c>
      <c r="B109" s="111" t="n"/>
      <c r="C109" s="110">
        <f>IF(B109="","",IFERROR(INDEX('Catalogos_PDN'!$R$5:$R$51,MATCH(B109,PN_AREAS,0)),""))</f>
        <v/>
      </c>
      <c r="D109" s="110">
        <f>IF(B109="","",IFERROR(INDEX('Catalogos_PDN'!$O$5:$O$51,MATCH(B109,PN_AREAS,0)),""))</f>
        <v/>
      </c>
      <c r="E109" s="111" t="n"/>
      <c r="F109" s="110">
        <f>IF(E109="","",IFERROR(INDEX('Catalogos_PDN'!$C$5:$C$49,MATCH(E109,PN_METAS,0)),""))</f>
        <v/>
      </c>
      <c r="G109" s="110">
        <f>IF(E109="","",IFERROR(INDEX('Catalogos_PDN'!$E$5:$E$49,MATCH(E109,PN_METAS,0)),""))</f>
        <v/>
      </c>
      <c r="H109" s="111" t="n"/>
      <c r="I109" s="111" t="n"/>
      <c r="J109" s="111" t="n"/>
      <c r="K109" s="111" t="n"/>
      <c r="L109" s="111" t="n"/>
      <c r="M109" s="112" t="n"/>
      <c r="N109" s="111" t="n"/>
      <c r="O109" s="111" t="n"/>
      <c r="P109" s="111" t="n"/>
      <c r="Q109" s="111" t="n"/>
      <c r="R109" s="111" t="n"/>
      <c r="S109" s="111" t="n"/>
      <c r="T109" s="111" t="n"/>
      <c r="U109" s="111" t="n"/>
      <c r="V109" s="111" t="n"/>
      <c r="W109" s="113" t="n"/>
      <c r="X109" s="113" t="n"/>
      <c r="Y109" s="111" t="n"/>
      <c r="Z109" s="111" t="n"/>
      <c r="AA109" s="111" t="n"/>
      <c r="AB109" s="111" t="n"/>
      <c r="AC109" s="111" t="n"/>
      <c r="AD109" s="111" t="n"/>
      <c r="AE109" s="111" t="n"/>
      <c r="AF109" s="111" t="n"/>
      <c r="AG109" s="111" t="n"/>
      <c r="AH109" s="111" t="n"/>
      <c r="AI109" s="111" t="n"/>
      <c r="AJ109" s="114">
        <f>IF(COUNTA(B109,E109,H109,I109,J109,K109,L109,M109,N109,O109,P109,Q109,R109,S109,T109,U109,V109,W109,X109,Y109,Z109,AA109,AB109,AC109,AD109,AE109,AF109,AG109,AH109,AI109)=0,"",IF(OR(B109="",E109="",H109="",J109="",K109="",L109="",M109="",O109="",P109="",Q109="",R109="",S109="",T109="",U109="",W109="",X109="",Y109="",AB109="",AC109="",AE109="",AF109=""),"Incompleta: faltan campos obligatorios",IF(AND(LEFT(H109,6)="PROPIA",I109=""),"Falta el nombre de la acción propia del área",IF(AND(LEFT(H109,4)="AC27",IFERROR(INDEX('Catalogos_PDN'!$T$5:$T$207,MATCH(H109,'Catalogos_PDN'!$U$5:$U$207,0)),"x")&lt;&gt;LEFT(E109,7)),"La acción no corresponde a la meta seleccionada",IF(OR(NOT(ISNUMBER(M109)),M109&lt;10000000,M109&gt;99999999),"Código UNSPSC inválido: registre 8 dígitos",IF(MOD(M109,10000)=0,"UNSPSC a nivel de segmento o familia: use clase o producto",IF(IFERROR(MATCH(P109,PN_MESES,0)&lt;MATCH(O109,PN_MESES,0),TRUE()),"El mes de ofertas es anterior al de inicio del proceso",IF(OR(NOT(ISNUMBER(Q109)),Q109&lt;=0),"Duración inválida",IF(OR(NOT(ISNUMBER(W109)),NOT(ISNUMBER(X109))),"Valor inválido: registre solo números",IF(OR(W109&lt;=0,X109&lt;=0),"Valor inválido: debe ser mayor que cero",IF(X109&gt;W109,"El valor de la vigencia 2027 supera el valor total",IF(AND(X109&lt;W109,Y109="No"),"El valor total supera el de 2027: requiere vigencias futuras",IF(AND(Y109="Sí",OR(Z109="",Z109="No aplica")),"Indique el estado de la solicitud de vigencias futuras",IF(IF(AND(S109="Mínima cuantía",ISNUMBER(PN_TOPE_MINIMA)),W109&gt;PN_TOPE_MINIMA,FALSE()),"El valor supera el tope de mínima cuantía 2027",IF(IF(AND(S109="Selección abreviada de menor cuantía",ISNUMBER(PN_TOPE_MENOR)),W109&gt;PN_TOPE_MENOR,FALSE()),"El valor supera el tope de menor cuantía 2027",IF(OR(ISERROR(SEARCH("@itc.edu.co",AE109)),SUMPRODUCT(--ISNUMBER(SEARCH({"á","é","í","ó","ú","ñ"," "},AE109)))&gt;0),"El correo del responsable no es institucional válido",IF(AND(AF109="Sí",AG109=""),"Indique el N.° de registro 2026 que continúa","OK")))))))))))))))))</f>
        <v/>
      </c>
      <c r="AK109" s="114">
        <f>IF(AJ109="OK",COUNTIF($AJ$7:AJ109,"OK"),"")</f>
        <v/>
      </c>
    </row>
    <row r="110">
      <c r="A110" s="110">
        <f>"PN27-"&amp;TEXT(ROW()-6,"000")</f>
        <v/>
      </c>
      <c r="B110" s="111" t="n"/>
      <c r="C110" s="110">
        <f>IF(B110="","",IFERROR(INDEX('Catalogos_PDN'!$R$5:$R$51,MATCH(B110,PN_AREAS,0)),""))</f>
        <v/>
      </c>
      <c r="D110" s="110">
        <f>IF(B110="","",IFERROR(INDEX('Catalogos_PDN'!$O$5:$O$51,MATCH(B110,PN_AREAS,0)),""))</f>
        <v/>
      </c>
      <c r="E110" s="111" t="n"/>
      <c r="F110" s="110">
        <f>IF(E110="","",IFERROR(INDEX('Catalogos_PDN'!$C$5:$C$49,MATCH(E110,PN_METAS,0)),""))</f>
        <v/>
      </c>
      <c r="G110" s="110">
        <f>IF(E110="","",IFERROR(INDEX('Catalogos_PDN'!$E$5:$E$49,MATCH(E110,PN_METAS,0)),""))</f>
        <v/>
      </c>
      <c r="H110" s="111" t="n"/>
      <c r="I110" s="111" t="n"/>
      <c r="J110" s="111" t="n"/>
      <c r="K110" s="111" t="n"/>
      <c r="L110" s="111" t="n"/>
      <c r="M110" s="112" t="n"/>
      <c r="N110" s="111" t="n"/>
      <c r="O110" s="111" t="n"/>
      <c r="P110" s="111" t="n"/>
      <c r="Q110" s="111" t="n"/>
      <c r="R110" s="111" t="n"/>
      <c r="S110" s="111" t="n"/>
      <c r="T110" s="111" t="n"/>
      <c r="U110" s="111" t="n"/>
      <c r="V110" s="111" t="n"/>
      <c r="W110" s="113" t="n"/>
      <c r="X110" s="113" t="n"/>
      <c r="Y110" s="111" t="n"/>
      <c r="Z110" s="111" t="n"/>
      <c r="AA110" s="111" t="n"/>
      <c r="AB110" s="111" t="n"/>
      <c r="AC110" s="111" t="n"/>
      <c r="AD110" s="111" t="n"/>
      <c r="AE110" s="111" t="n"/>
      <c r="AF110" s="111" t="n"/>
      <c r="AG110" s="111" t="n"/>
      <c r="AH110" s="111" t="n"/>
      <c r="AI110" s="111" t="n"/>
      <c r="AJ110" s="114">
        <f>IF(COUNTA(B110,E110,H110,I110,J110,K110,L110,M110,N110,O110,P110,Q110,R110,S110,T110,U110,V110,W110,X110,Y110,Z110,AA110,AB110,AC110,AD110,AE110,AF110,AG110,AH110,AI110)=0,"",IF(OR(B110="",E110="",H110="",J110="",K110="",L110="",M110="",O110="",P110="",Q110="",R110="",S110="",T110="",U110="",W110="",X110="",Y110="",AB110="",AC110="",AE110="",AF110=""),"Incompleta: faltan campos obligatorios",IF(AND(LEFT(H110,6)="PROPIA",I110=""),"Falta el nombre de la acción propia del área",IF(AND(LEFT(H110,4)="AC27",IFERROR(INDEX('Catalogos_PDN'!$T$5:$T$207,MATCH(H110,'Catalogos_PDN'!$U$5:$U$207,0)),"x")&lt;&gt;LEFT(E110,7)),"La acción no corresponde a la meta seleccionada",IF(OR(NOT(ISNUMBER(M110)),M110&lt;10000000,M110&gt;99999999),"Código UNSPSC inválido: registre 8 dígitos",IF(MOD(M110,10000)=0,"UNSPSC a nivel de segmento o familia: use clase o producto",IF(IFERROR(MATCH(P110,PN_MESES,0)&lt;MATCH(O110,PN_MESES,0),TRUE()),"El mes de ofertas es anterior al de inicio del proceso",IF(OR(NOT(ISNUMBER(Q110)),Q110&lt;=0),"Duración inválida",IF(OR(NOT(ISNUMBER(W110)),NOT(ISNUMBER(X110))),"Valor inválido: registre solo números",IF(OR(W110&lt;=0,X110&lt;=0),"Valor inválido: debe ser mayor que cero",IF(X110&gt;W110,"El valor de la vigencia 2027 supera el valor total",IF(AND(X110&lt;W110,Y110="No"),"El valor total supera el de 2027: requiere vigencias futuras",IF(AND(Y110="Sí",OR(Z110="",Z110="No aplica")),"Indique el estado de la solicitud de vigencias futuras",IF(IF(AND(S110="Mínima cuantía",ISNUMBER(PN_TOPE_MINIMA)),W110&gt;PN_TOPE_MINIMA,FALSE()),"El valor supera el tope de mínima cuantía 2027",IF(IF(AND(S110="Selección abreviada de menor cuantía",ISNUMBER(PN_TOPE_MENOR)),W110&gt;PN_TOPE_MENOR,FALSE()),"El valor supera el tope de menor cuantía 2027",IF(OR(ISERROR(SEARCH("@itc.edu.co",AE110)),SUMPRODUCT(--ISNUMBER(SEARCH({"á","é","í","ó","ú","ñ"," "},AE110)))&gt;0),"El correo del responsable no es institucional válido",IF(AND(AF110="Sí",AG110=""),"Indique el N.° de registro 2026 que continúa","OK")))))))))))))))))</f>
        <v/>
      </c>
      <c r="AK110" s="114">
        <f>IF(AJ110="OK",COUNTIF($AJ$7:AJ110,"OK"),"")</f>
        <v/>
      </c>
    </row>
    <row r="111">
      <c r="A111" s="110">
        <f>"PN27-"&amp;TEXT(ROW()-6,"000")</f>
        <v/>
      </c>
      <c r="B111" s="111" t="n"/>
      <c r="C111" s="110">
        <f>IF(B111="","",IFERROR(INDEX('Catalogos_PDN'!$R$5:$R$51,MATCH(B111,PN_AREAS,0)),""))</f>
        <v/>
      </c>
      <c r="D111" s="110">
        <f>IF(B111="","",IFERROR(INDEX('Catalogos_PDN'!$O$5:$O$51,MATCH(B111,PN_AREAS,0)),""))</f>
        <v/>
      </c>
      <c r="E111" s="111" t="n"/>
      <c r="F111" s="110">
        <f>IF(E111="","",IFERROR(INDEX('Catalogos_PDN'!$C$5:$C$49,MATCH(E111,PN_METAS,0)),""))</f>
        <v/>
      </c>
      <c r="G111" s="110">
        <f>IF(E111="","",IFERROR(INDEX('Catalogos_PDN'!$E$5:$E$49,MATCH(E111,PN_METAS,0)),""))</f>
        <v/>
      </c>
      <c r="H111" s="111" t="n"/>
      <c r="I111" s="111" t="n"/>
      <c r="J111" s="111" t="n"/>
      <c r="K111" s="111" t="n"/>
      <c r="L111" s="111" t="n"/>
      <c r="M111" s="112" t="n"/>
      <c r="N111" s="111" t="n"/>
      <c r="O111" s="111" t="n"/>
      <c r="P111" s="111" t="n"/>
      <c r="Q111" s="111" t="n"/>
      <c r="R111" s="111" t="n"/>
      <c r="S111" s="111" t="n"/>
      <c r="T111" s="111" t="n"/>
      <c r="U111" s="111" t="n"/>
      <c r="V111" s="111" t="n"/>
      <c r="W111" s="113" t="n"/>
      <c r="X111" s="113" t="n"/>
      <c r="Y111" s="111" t="n"/>
      <c r="Z111" s="111" t="n"/>
      <c r="AA111" s="111" t="n"/>
      <c r="AB111" s="111" t="n"/>
      <c r="AC111" s="111" t="n"/>
      <c r="AD111" s="111" t="n"/>
      <c r="AE111" s="111" t="n"/>
      <c r="AF111" s="111" t="n"/>
      <c r="AG111" s="111" t="n"/>
      <c r="AH111" s="111" t="n"/>
      <c r="AI111" s="111" t="n"/>
      <c r="AJ111" s="114">
        <f>IF(COUNTA(B111,E111,H111,I111,J111,K111,L111,M111,N111,O111,P111,Q111,R111,S111,T111,U111,V111,W111,X111,Y111,Z111,AA111,AB111,AC111,AD111,AE111,AF111,AG111,AH111,AI111)=0,"",IF(OR(B111="",E111="",H111="",J111="",K111="",L111="",M111="",O111="",P111="",Q111="",R111="",S111="",T111="",U111="",W111="",X111="",Y111="",AB111="",AC111="",AE111="",AF111=""),"Incompleta: faltan campos obligatorios",IF(AND(LEFT(H111,6)="PROPIA",I111=""),"Falta el nombre de la acción propia del área",IF(AND(LEFT(H111,4)="AC27",IFERROR(INDEX('Catalogos_PDN'!$T$5:$T$207,MATCH(H111,'Catalogos_PDN'!$U$5:$U$207,0)),"x")&lt;&gt;LEFT(E111,7)),"La acción no corresponde a la meta seleccionada",IF(OR(NOT(ISNUMBER(M111)),M111&lt;10000000,M111&gt;99999999),"Código UNSPSC inválido: registre 8 dígitos",IF(MOD(M111,10000)=0,"UNSPSC a nivel de segmento o familia: use clase o producto",IF(IFERROR(MATCH(P111,PN_MESES,0)&lt;MATCH(O111,PN_MESES,0),TRUE()),"El mes de ofertas es anterior al de inicio del proceso",IF(OR(NOT(ISNUMBER(Q111)),Q111&lt;=0),"Duración inválida",IF(OR(NOT(ISNUMBER(W111)),NOT(ISNUMBER(X111))),"Valor inválido: registre solo números",IF(OR(W111&lt;=0,X111&lt;=0),"Valor inválido: debe ser mayor que cero",IF(X111&gt;W111,"El valor de la vigencia 2027 supera el valor total",IF(AND(X111&lt;W111,Y111="No"),"El valor total supera el de 2027: requiere vigencias futuras",IF(AND(Y111="Sí",OR(Z111="",Z111="No aplica")),"Indique el estado de la solicitud de vigencias futuras",IF(IF(AND(S111="Mínima cuantía",ISNUMBER(PN_TOPE_MINIMA)),W111&gt;PN_TOPE_MINIMA,FALSE()),"El valor supera el tope de mínima cuantía 2027",IF(IF(AND(S111="Selección abreviada de menor cuantía",ISNUMBER(PN_TOPE_MENOR)),W111&gt;PN_TOPE_MENOR,FALSE()),"El valor supera el tope de menor cuantía 2027",IF(OR(ISERROR(SEARCH("@itc.edu.co",AE111)),SUMPRODUCT(--ISNUMBER(SEARCH({"á","é","í","ó","ú","ñ"," "},AE111)))&gt;0),"El correo del responsable no es institucional válido",IF(AND(AF111="Sí",AG111=""),"Indique el N.° de registro 2026 que continúa","OK")))))))))))))))))</f>
        <v/>
      </c>
      <c r="AK111" s="114">
        <f>IF(AJ111="OK",COUNTIF($AJ$7:AJ111,"OK"),"")</f>
        <v/>
      </c>
    </row>
    <row r="112">
      <c r="A112" s="110">
        <f>"PN27-"&amp;TEXT(ROW()-6,"000")</f>
        <v/>
      </c>
      <c r="B112" s="111" t="n"/>
      <c r="C112" s="110">
        <f>IF(B112="","",IFERROR(INDEX('Catalogos_PDN'!$R$5:$R$51,MATCH(B112,PN_AREAS,0)),""))</f>
        <v/>
      </c>
      <c r="D112" s="110">
        <f>IF(B112="","",IFERROR(INDEX('Catalogos_PDN'!$O$5:$O$51,MATCH(B112,PN_AREAS,0)),""))</f>
        <v/>
      </c>
      <c r="E112" s="111" t="n"/>
      <c r="F112" s="110">
        <f>IF(E112="","",IFERROR(INDEX('Catalogos_PDN'!$C$5:$C$49,MATCH(E112,PN_METAS,0)),""))</f>
        <v/>
      </c>
      <c r="G112" s="110">
        <f>IF(E112="","",IFERROR(INDEX('Catalogos_PDN'!$E$5:$E$49,MATCH(E112,PN_METAS,0)),""))</f>
        <v/>
      </c>
      <c r="H112" s="111" t="n"/>
      <c r="I112" s="111" t="n"/>
      <c r="J112" s="111" t="n"/>
      <c r="K112" s="111" t="n"/>
      <c r="L112" s="111" t="n"/>
      <c r="M112" s="112" t="n"/>
      <c r="N112" s="111" t="n"/>
      <c r="O112" s="111" t="n"/>
      <c r="P112" s="111" t="n"/>
      <c r="Q112" s="111" t="n"/>
      <c r="R112" s="111" t="n"/>
      <c r="S112" s="111" t="n"/>
      <c r="T112" s="111" t="n"/>
      <c r="U112" s="111" t="n"/>
      <c r="V112" s="111" t="n"/>
      <c r="W112" s="113" t="n"/>
      <c r="X112" s="113" t="n"/>
      <c r="Y112" s="111" t="n"/>
      <c r="Z112" s="111" t="n"/>
      <c r="AA112" s="111" t="n"/>
      <c r="AB112" s="111" t="n"/>
      <c r="AC112" s="111" t="n"/>
      <c r="AD112" s="111" t="n"/>
      <c r="AE112" s="111" t="n"/>
      <c r="AF112" s="111" t="n"/>
      <c r="AG112" s="111" t="n"/>
      <c r="AH112" s="111" t="n"/>
      <c r="AI112" s="111" t="n"/>
      <c r="AJ112" s="114">
        <f>IF(COUNTA(B112,E112,H112,I112,J112,K112,L112,M112,N112,O112,P112,Q112,R112,S112,T112,U112,V112,W112,X112,Y112,Z112,AA112,AB112,AC112,AD112,AE112,AF112,AG112,AH112,AI112)=0,"",IF(OR(B112="",E112="",H112="",J112="",K112="",L112="",M112="",O112="",P112="",Q112="",R112="",S112="",T112="",U112="",W112="",X112="",Y112="",AB112="",AC112="",AE112="",AF112=""),"Incompleta: faltan campos obligatorios",IF(AND(LEFT(H112,6)="PROPIA",I112=""),"Falta el nombre de la acción propia del área",IF(AND(LEFT(H112,4)="AC27",IFERROR(INDEX('Catalogos_PDN'!$T$5:$T$207,MATCH(H112,'Catalogos_PDN'!$U$5:$U$207,0)),"x")&lt;&gt;LEFT(E112,7)),"La acción no corresponde a la meta seleccionada",IF(OR(NOT(ISNUMBER(M112)),M112&lt;10000000,M112&gt;99999999),"Código UNSPSC inválido: registre 8 dígitos",IF(MOD(M112,10000)=0,"UNSPSC a nivel de segmento o familia: use clase o producto",IF(IFERROR(MATCH(P112,PN_MESES,0)&lt;MATCH(O112,PN_MESES,0),TRUE()),"El mes de ofertas es anterior al de inicio del proceso",IF(OR(NOT(ISNUMBER(Q112)),Q112&lt;=0),"Duración inválida",IF(OR(NOT(ISNUMBER(W112)),NOT(ISNUMBER(X112))),"Valor inválido: registre solo números",IF(OR(W112&lt;=0,X112&lt;=0),"Valor inválido: debe ser mayor que cero",IF(X112&gt;W112,"El valor de la vigencia 2027 supera el valor total",IF(AND(X112&lt;W112,Y112="No"),"El valor total supera el de 2027: requiere vigencias futuras",IF(AND(Y112="Sí",OR(Z112="",Z112="No aplica")),"Indique el estado de la solicitud de vigencias futuras",IF(IF(AND(S112="Mínima cuantía",ISNUMBER(PN_TOPE_MINIMA)),W112&gt;PN_TOPE_MINIMA,FALSE()),"El valor supera el tope de mínima cuantía 2027",IF(IF(AND(S112="Selección abreviada de menor cuantía",ISNUMBER(PN_TOPE_MENOR)),W112&gt;PN_TOPE_MENOR,FALSE()),"El valor supera el tope de menor cuantía 2027",IF(OR(ISERROR(SEARCH("@itc.edu.co",AE112)),SUMPRODUCT(--ISNUMBER(SEARCH({"á","é","í","ó","ú","ñ"," "},AE112)))&gt;0),"El correo del responsable no es institucional válido",IF(AND(AF112="Sí",AG112=""),"Indique el N.° de registro 2026 que continúa","OK")))))))))))))))))</f>
        <v/>
      </c>
      <c r="AK112" s="114">
        <f>IF(AJ112="OK",COUNTIF($AJ$7:AJ112,"OK"),"")</f>
        <v/>
      </c>
    </row>
    <row r="113">
      <c r="A113" s="110">
        <f>"PN27-"&amp;TEXT(ROW()-6,"000")</f>
        <v/>
      </c>
      <c r="B113" s="111" t="n"/>
      <c r="C113" s="110">
        <f>IF(B113="","",IFERROR(INDEX('Catalogos_PDN'!$R$5:$R$51,MATCH(B113,PN_AREAS,0)),""))</f>
        <v/>
      </c>
      <c r="D113" s="110">
        <f>IF(B113="","",IFERROR(INDEX('Catalogos_PDN'!$O$5:$O$51,MATCH(B113,PN_AREAS,0)),""))</f>
        <v/>
      </c>
      <c r="E113" s="111" t="n"/>
      <c r="F113" s="110">
        <f>IF(E113="","",IFERROR(INDEX('Catalogos_PDN'!$C$5:$C$49,MATCH(E113,PN_METAS,0)),""))</f>
        <v/>
      </c>
      <c r="G113" s="110">
        <f>IF(E113="","",IFERROR(INDEX('Catalogos_PDN'!$E$5:$E$49,MATCH(E113,PN_METAS,0)),""))</f>
        <v/>
      </c>
      <c r="H113" s="111" t="n"/>
      <c r="I113" s="111" t="n"/>
      <c r="J113" s="111" t="n"/>
      <c r="K113" s="111" t="n"/>
      <c r="L113" s="111" t="n"/>
      <c r="M113" s="112" t="n"/>
      <c r="N113" s="111" t="n"/>
      <c r="O113" s="111" t="n"/>
      <c r="P113" s="111" t="n"/>
      <c r="Q113" s="111" t="n"/>
      <c r="R113" s="111" t="n"/>
      <c r="S113" s="111" t="n"/>
      <c r="T113" s="111" t="n"/>
      <c r="U113" s="111" t="n"/>
      <c r="V113" s="111" t="n"/>
      <c r="W113" s="113" t="n"/>
      <c r="X113" s="113" t="n"/>
      <c r="Y113" s="111" t="n"/>
      <c r="Z113" s="111" t="n"/>
      <c r="AA113" s="111" t="n"/>
      <c r="AB113" s="111" t="n"/>
      <c r="AC113" s="111" t="n"/>
      <c r="AD113" s="111" t="n"/>
      <c r="AE113" s="111" t="n"/>
      <c r="AF113" s="111" t="n"/>
      <c r="AG113" s="111" t="n"/>
      <c r="AH113" s="111" t="n"/>
      <c r="AI113" s="111" t="n"/>
      <c r="AJ113" s="114">
        <f>IF(COUNTA(B113,E113,H113,I113,J113,K113,L113,M113,N113,O113,P113,Q113,R113,S113,T113,U113,V113,W113,X113,Y113,Z113,AA113,AB113,AC113,AD113,AE113,AF113,AG113,AH113,AI113)=0,"",IF(OR(B113="",E113="",H113="",J113="",K113="",L113="",M113="",O113="",P113="",Q113="",R113="",S113="",T113="",U113="",W113="",X113="",Y113="",AB113="",AC113="",AE113="",AF113=""),"Incompleta: faltan campos obligatorios",IF(AND(LEFT(H113,6)="PROPIA",I113=""),"Falta el nombre de la acción propia del área",IF(AND(LEFT(H113,4)="AC27",IFERROR(INDEX('Catalogos_PDN'!$T$5:$T$207,MATCH(H113,'Catalogos_PDN'!$U$5:$U$207,0)),"x")&lt;&gt;LEFT(E113,7)),"La acción no corresponde a la meta seleccionada",IF(OR(NOT(ISNUMBER(M113)),M113&lt;10000000,M113&gt;99999999),"Código UNSPSC inválido: registre 8 dígitos",IF(MOD(M113,10000)=0,"UNSPSC a nivel de segmento o familia: use clase o producto",IF(IFERROR(MATCH(P113,PN_MESES,0)&lt;MATCH(O113,PN_MESES,0),TRUE()),"El mes de ofertas es anterior al de inicio del proceso",IF(OR(NOT(ISNUMBER(Q113)),Q113&lt;=0),"Duración inválida",IF(OR(NOT(ISNUMBER(W113)),NOT(ISNUMBER(X113))),"Valor inválido: registre solo números",IF(OR(W113&lt;=0,X113&lt;=0),"Valor inválido: debe ser mayor que cero",IF(X113&gt;W113,"El valor de la vigencia 2027 supera el valor total",IF(AND(X113&lt;W113,Y113="No"),"El valor total supera el de 2027: requiere vigencias futuras",IF(AND(Y113="Sí",OR(Z113="",Z113="No aplica")),"Indique el estado de la solicitud de vigencias futuras",IF(IF(AND(S113="Mínima cuantía",ISNUMBER(PN_TOPE_MINIMA)),W113&gt;PN_TOPE_MINIMA,FALSE()),"El valor supera el tope de mínima cuantía 2027",IF(IF(AND(S113="Selección abreviada de menor cuantía",ISNUMBER(PN_TOPE_MENOR)),W113&gt;PN_TOPE_MENOR,FALSE()),"El valor supera el tope de menor cuantía 2027",IF(OR(ISERROR(SEARCH("@itc.edu.co",AE113)),SUMPRODUCT(--ISNUMBER(SEARCH({"á","é","í","ó","ú","ñ"," "},AE113)))&gt;0),"El correo del responsable no es institucional válido",IF(AND(AF113="Sí",AG113=""),"Indique el N.° de registro 2026 que continúa","OK")))))))))))))))))</f>
        <v/>
      </c>
      <c r="AK113" s="114">
        <f>IF(AJ113="OK",COUNTIF($AJ$7:AJ113,"OK"),"")</f>
        <v/>
      </c>
    </row>
    <row r="114">
      <c r="A114" s="110">
        <f>"PN27-"&amp;TEXT(ROW()-6,"000")</f>
        <v/>
      </c>
      <c r="B114" s="111" t="n"/>
      <c r="C114" s="110">
        <f>IF(B114="","",IFERROR(INDEX('Catalogos_PDN'!$R$5:$R$51,MATCH(B114,PN_AREAS,0)),""))</f>
        <v/>
      </c>
      <c r="D114" s="110">
        <f>IF(B114="","",IFERROR(INDEX('Catalogos_PDN'!$O$5:$O$51,MATCH(B114,PN_AREAS,0)),""))</f>
        <v/>
      </c>
      <c r="E114" s="111" t="n"/>
      <c r="F114" s="110">
        <f>IF(E114="","",IFERROR(INDEX('Catalogos_PDN'!$C$5:$C$49,MATCH(E114,PN_METAS,0)),""))</f>
        <v/>
      </c>
      <c r="G114" s="110">
        <f>IF(E114="","",IFERROR(INDEX('Catalogos_PDN'!$E$5:$E$49,MATCH(E114,PN_METAS,0)),""))</f>
        <v/>
      </c>
      <c r="H114" s="111" t="n"/>
      <c r="I114" s="111" t="n"/>
      <c r="J114" s="111" t="n"/>
      <c r="K114" s="111" t="n"/>
      <c r="L114" s="111" t="n"/>
      <c r="M114" s="112" t="n"/>
      <c r="N114" s="111" t="n"/>
      <c r="O114" s="111" t="n"/>
      <c r="P114" s="111" t="n"/>
      <c r="Q114" s="111" t="n"/>
      <c r="R114" s="111" t="n"/>
      <c r="S114" s="111" t="n"/>
      <c r="T114" s="111" t="n"/>
      <c r="U114" s="111" t="n"/>
      <c r="V114" s="111" t="n"/>
      <c r="W114" s="113" t="n"/>
      <c r="X114" s="113" t="n"/>
      <c r="Y114" s="111" t="n"/>
      <c r="Z114" s="111" t="n"/>
      <c r="AA114" s="111" t="n"/>
      <c r="AB114" s="111" t="n"/>
      <c r="AC114" s="111" t="n"/>
      <c r="AD114" s="111" t="n"/>
      <c r="AE114" s="111" t="n"/>
      <c r="AF114" s="111" t="n"/>
      <c r="AG114" s="111" t="n"/>
      <c r="AH114" s="111" t="n"/>
      <c r="AI114" s="111" t="n"/>
      <c r="AJ114" s="114">
        <f>IF(COUNTA(B114,E114,H114,I114,J114,K114,L114,M114,N114,O114,P114,Q114,R114,S114,T114,U114,V114,W114,X114,Y114,Z114,AA114,AB114,AC114,AD114,AE114,AF114,AG114,AH114,AI114)=0,"",IF(OR(B114="",E114="",H114="",J114="",K114="",L114="",M114="",O114="",P114="",Q114="",R114="",S114="",T114="",U114="",W114="",X114="",Y114="",AB114="",AC114="",AE114="",AF114=""),"Incompleta: faltan campos obligatorios",IF(AND(LEFT(H114,6)="PROPIA",I114=""),"Falta el nombre de la acción propia del área",IF(AND(LEFT(H114,4)="AC27",IFERROR(INDEX('Catalogos_PDN'!$T$5:$T$207,MATCH(H114,'Catalogos_PDN'!$U$5:$U$207,0)),"x")&lt;&gt;LEFT(E114,7)),"La acción no corresponde a la meta seleccionada",IF(OR(NOT(ISNUMBER(M114)),M114&lt;10000000,M114&gt;99999999),"Código UNSPSC inválido: registre 8 dígitos",IF(MOD(M114,10000)=0,"UNSPSC a nivel de segmento o familia: use clase o producto",IF(IFERROR(MATCH(P114,PN_MESES,0)&lt;MATCH(O114,PN_MESES,0),TRUE()),"El mes de ofertas es anterior al de inicio del proceso",IF(OR(NOT(ISNUMBER(Q114)),Q114&lt;=0),"Duración inválida",IF(OR(NOT(ISNUMBER(W114)),NOT(ISNUMBER(X114))),"Valor inválido: registre solo números",IF(OR(W114&lt;=0,X114&lt;=0),"Valor inválido: debe ser mayor que cero",IF(X114&gt;W114,"El valor de la vigencia 2027 supera el valor total",IF(AND(X114&lt;W114,Y114="No"),"El valor total supera el de 2027: requiere vigencias futuras",IF(AND(Y114="Sí",OR(Z114="",Z114="No aplica")),"Indique el estado de la solicitud de vigencias futuras",IF(IF(AND(S114="Mínima cuantía",ISNUMBER(PN_TOPE_MINIMA)),W114&gt;PN_TOPE_MINIMA,FALSE()),"El valor supera el tope de mínima cuantía 2027",IF(IF(AND(S114="Selección abreviada de menor cuantía",ISNUMBER(PN_TOPE_MENOR)),W114&gt;PN_TOPE_MENOR,FALSE()),"El valor supera el tope de menor cuantía 2027",IF(OR(ISERROR(SEARCH("@itc.edu.co",AE114)),SUMPRODUCT(--ISNUMBER(SEARCH({"á","é","í","ó","ú","ñ"," "},AE114)))&gt;0),"El correo del responsable no es institucional válido",IF(AND(AF114="Sí",AG114=""),"Indique el N.° de registro 2026 que continúa","OK")))))))))))))))))</f>
        <v/>
      </c>
      <c r="AK114" s="114">
        <f>IF(AJ114="OK",COUNTIF($AJ$7:AJ114,"OK"),"")</f>
        <v/>
      </c>
    </row>
    <row r="115">
      <c r="A115" s="110">
        <f>"PN27-"&amp;TEXT(ROW()-6,"000")</f>
        <v/>
      </c>
      <c r="B115" s="111" t="n"/>
      <c r="C115" s="110">
        <f>IF(B115="","",IFERROR(INDEX('Catalogos_PDN'!$R$5:$R$51,MATCH(B115,PN_AREAS,0)),""))</f>
        <v/>
      </c>
      <c r="D115" s="110">
        <f>IF(B115="","",IFERROR(INDEX('Catalogos_PDN'!$O$5:$O$51,MATCH(B115,PN_AREAS,0)),""))</f>
        <v/>
      </c>
      <c r="E115" s="111" t="n"/>
      <c r="F115" s="110">
        <f>IF(E115="","",IFERROR(INDEX('Catalogos_PDN'!$C$5:$C$49,MATCH(E115,PN_METAS,0)),""))</f>
        <v/>
      </c>
      <c r="G115" s="110">
        <f>IF(E115="","",IFERROR(INDEX('Catalogos_PDN'!$E$5:$E$49,MATCH(E115,PN_METAS,0)),""))</f>
        <v/>
      </c>
      <c r="H115" s="111" t="n"/>
      <c r="I115" s="111" t="n"/>
      <c r="J115" s="111" t="n"/>
      <c r="K115" s="111" t="n"/>
      <c r="L115" s="111" t="n"/>
      <c r="M115" s="112" t="n"/>
      <c r="N115" s="111" t="n"/>
      <c r="O115" s="111" t="n"/>
      <c r="P115" s="111" t="n"/>
      <c r="Q115" s="111" t="n"/>
      <c r="R115" s="111" t="n"/>
      <c r="S115" s="111" t="n"/>
      <c r="T115" s="111" t="n"/>
      <c r="U115" s="111" t="n"/>
      <c r="V115" s="111" t="n"/>
      <c r="W115" s="113" t="n"/>
      <c r="X115" s="113" t="n"/>
      <c r="Y115" s="111" t="n"/>
      <c r="Z115" s="111" t="n"/>
      <c r="AA115" s="111" t="n"/>
      <c r="AB115" s="111" t="n"/>
      <c r="AC115" s="111" t="n"/>
      <c r="AD115" s="111" t="n"/>
      <c r="AE115" s="111" t="n"/>
      <c r="AF115" s="111" t="n"/>
      <c r="AG115" s="111" t="n"/>
      <c r="AH115" s="111" t="n"/>
      <c r="AI115" s="111" t="n"/>
      <c r="AJ115" s="114">
        <f>IF(COUNTA(B115,E115,H115,I115,J115,K115,L115,M115,N115,O115,P115,Q115,R115,S115,T115,U115,V115,W115,X115,Y115,Z115,AA115,AB115,AC115,AD115,AE115,AF115,AG115,AH115,AI115)=0,"",IF(OR(B115="",E115="",H115="",J115="",K115="",L115="",M115="",O115="",P115="",Q115="",R115="",S115="",T115="",U115="",W115="",X115="",Y115="",AB115="",AC115="",AE115="",AF115=""),"Incompleta: faltan campos obligatorios",IF(AND(LEFT(H115,6)="PROPIA",I115=""),"Falta el nombre de la acción propia del área",IF(AND(LEFT(H115,4)="AC27",IFERROR(INDEX('Catalogos_PDN'!$T$5:$T$207,MATCH(H115,'Catalogos_PDN'!$U$5:$U$207,0)),"x")&lt;&gt;LEFT(E115,7)),"La acción no corresponde a la meta seleccionada",IF(OR(NOT(ISNUMBER(M115)),M115&lt;10000000,M115&gt;99999999),"Código UNSPSC inválido: registre 8 dígitos",IF(MOD(M115,10000)=0,"UNSPSC a nivel de segmento o familia: use clase o producto",IF(IFERROR(MATCH(P115,PN_MESES,0)&lt;MATCH(O115,PN_MESES,0),TRUE()),"El mes de ofertas es anterior al de inicio del proceso",IF(OR(NOT(ISNUMBER(Q115)),Q115&lt;=0),"Duración inválida",IF(OR(NOT(ISNUMBER(W115)),NOT(ISNUMBER(X115))),"Valor inválido: registre solo números",IF(OR(W115&lt;=0,X115&lt;=0),"Valor inválido: debe ser mayor que cero",IF(X115&gt;W115,"El valor de la vigencia 2027 supera el valor total",IF(AND(X115&lt;W115,Y115="No"),"El valor total supera el de 2027: requiere vigencias futuras",IF(AND(Y115="Sí",OR(Z115="",Z115="No aplica")),"Indique el estado de la solicitud de vigencias futuras",IF(IF(AND(S115="Mínima cuantía",ISNUMBER(PN_TOPE_MINIMA)),W115&gt;PN_TOPE_MINIMA,FALSE()),"El valor supera el tope de mínima cuantía 2027",IF(IF(AND(S115="Selección abreviada de menor cuantía",ISNUMBER(PN_TOPE_MENOR)),W115&gt;PN_TOPE_MENOR,FALSE()),"El valor supera el tope de menor cuantía 2027",IF(OR(ISERROR(SEARCH("@itc.edu.co",AE115)),SUMPRODUCT(--ISNUMBER(SEARCH({"á","é","í","ó","ú","ñ"," "},AE115)))&gt;0),"El correo del responsable no es institucional válido",IF(AND(AF115="Sí",AG115=""),"Indique el N.° de registro 2026 que continúa","OK")))))))))))))))))</f>
        <v/>
      </c>
      <c r="AK115" s="114">
        <f>IF(AJ115="OK",COUNTIF($AJ$7:AJ115,"OK"),"")</f>
        <v/>
      </c>
    </row>
    <row r="116">
      <c r="A116" s="110">
        <f>"PN27-"&amp;TEXT(ROW()-6,"000")</f>
        <v/>
      </c>
      <c r="B116" s="111" t="n"/>
      <c r="C116" s="110">
        <f>IF(B116="","",IFERROR(INDEX('Catalogos_PDN'!$R$5:$R$51,MATCH(B116,PN_AREAS,0)),""))</f>
        <v/>
      </c>
      <c r="D116" s="110">
        <f>IF(B116="","",IFERROR(INDEX('Catalogos_PDN'!$O$5:$O$51,MATCH(B116,PN_AREAS,0)),""))</f>
        <v/>
      </c>
      <c r="E116" s="111" t="n"/>
      <c r="F116" s="110">
        <f>IF(E116="","",IFERROR(INDEX('Catalogos_PDN'!$C$5:$C$49,MATCH(E116,PN_METAS,0)),""))</f>
        <v/>
      </c>
      <c r="G116" s="110">
        <f>IF(E116="","",IFERROR(INDEX('Catalogos_PDN'!$E$5:$E$49,MATCH(E116,PN_METAS,0)),""))</f>
        <v/>
      </c>
      <c r="H116" s="111" t="n"/>
      <c r="I116" s="111" t="n"/>
      <c r="J116" s="111" t="n"/>
      <c r="K116" s="111" t="n"/>
      <c r="L116" s="111" t="n"/>
      <c r="M116" s="112" t="n"/>
      <c r="N116" s="111" t="n"/>
      <c r="O116" s="111" t="n"/>
      <c r="P116" s="111" t="n"/>
      <c r="Q116" s="111" t="n"/>
      <c r="R116" s="111" t="n"/>
      <c r="S116" s="111" t="n"/>
      <c r="T116" s="111" t="n"/>
      <c r="U116" s="111" t="n"/>
      <c r="V116" s="111" t="n"/>
      <c r="W116" s="113" t="n"/>
      <c r="X116" s="113" t="n"/>
      <c r="Y116" s="111" t="n"/>
      <c r="Z116" s="111" t="n"/>
      <c r="AA116" s="111" t="n"/>
      <c r="AB116" s="111" t="n"/>
      <c r="AC116" s="111" t="n"/>
      <c r="AD116" s="111" t="n"/>
      <c r="AE116" s="111" t="n"/>
      <c r="AF116" s="111" t="n"/>
      <c r="AG116" s="111" t="n"/>
      <c r="AH116" s="111" t="n"/>
      <c r="AI116" s="111" t="n"/>
      <c r="AJ116" s="114">
        <f>IF(COUNTA(B116,E116,H116,I116,J116,K116,L116,M116,N116,O116,P116,Q116,R116,S116,T116,U116,V116,W116,X116,Y116,Z116,AA116,AB116,AC116,AD116,AE116,AF116,AG116,AH116,AI116)=0,"",IF(OR(B116="",E116="",H116="",J116="",K116="",L116="",M116="",O116="",P116="",Q116="",R116="",S116="",T116="",U116="",W116="",X116="",Y116="",AB116="",AC116="",AE116="",AF116=""),"Incompleta: faltan campos obligatorios",IF(AND(LEFT(H116,6)="PROPIA",I116=""),"Falta el nombre de la acción propia del área",IF(AND(LEFT(H116,4)="AC27",IFERROR(INDEX('Catalogos_PDN'!$T$5:$T$207,MATCH(H116,'Catalogos_PDN'!$U$5:$U$207,0)),"x")&lt;&gt;LEFT(E116,7)),"La acción no corresponde a la meta seleccionada",IF(OR(NOT(ISNUMBER(M116)),M116&lt;10000000,M116&gt;99999999),"Código UNSPSC inválido: registre 8 dígitos",IF(MOD(M116,10000)=0,"UNSPSC a nivel de segmento o familia: use clase o producto",IF(IFERROR(MATCH(P116,PN_MESES,0)&lt;MATCH(O116,PN_MESES,0),TRUE()),"El mes de ofertas es anterior al de inicio del proceso",IF(OR(NOT(ISNUMBER(Q116)),Q116&lt;=0),"Duración inválida",IF(OR(NOT(ISNUMBER(W116)),NOT(ISNUMBER(X116))),"Valor inválido: registre solo números",IF(OR(W116&lt;=0,X116&lt;=0),"Valor inválido: debe ser mayor que cero",IF(X116&gt;W116,"El valor de la vigencia 2027 supera el valor total",IF(AND(X116&lt;W116,Y116="No"),"El valor total supera el de 2027: requiere vigencias futuras",IF(AND(Y116="Sí",OR(Z116="",Z116="No aplica")),"Indique el estado de la solicitud de vigencias futuras",IF(IF(AND(S116="Mínima cuantía",ISNUMBER(PN_TOPE_MINIMA)),W116&gt;PN_TOPE_MINIMA,FALSE()),"El valor supera el tope de mínima cuantía 2027",IF(IF(AND(S116="Selección abreviada de menor cuantía",ISNUMBER(PN_TOPE_MENOR)),W116&gt;PN_TOPE_MENOR,FALSE()),"El valor supera el tope de menor cuantía 2027",IF(OR(ISERROR(SEARCH("@itc.edu.co",AE116)),SUMPRODUCT(--ISNUMBER(SEARCH({"á","é","í","ó","ú","ñ"," "},AE116)))&gt;0),"El correo del responsable no es institucional válido",IF(AND(AF116="Sí",AG116=""),"Indique el N.° de registro 2026 que continúa","OK")))))))))))))))))</f>
        <v/>
      </c>
      <c r="AK116" s="114">
        <f>IF(AJ116="OK",COUNTIF($AJ$7:AJ116,"OK"),"")</f>
        <v/>
      </c>
    </row>
    <row r="117">
      <c r="A117" s="110">
        <f>"PN27-"&amp;TEXT(ROW()-6,"000")</f>
        <v/>
      </c>
      <c r="B117" s="111" t="n"/>
      <c r="C117" s="110">
        <f>IF(B117="","",IFERROR(INDEX('Catalogos_PDN'!$R$5:$R$51,MATCH(B117,PN_AREAS,0)),""))</f>
        <v/>
      </c>
      <c r="D117" s="110">
        <f>IF(B117="","",IFERROR(INDEX('Catalogos_PDN'!$O$5:$O$51,MATCH(B117,PN_AREAS,0)),""))</f>
        <v/>
      </c>
      <c r="E117" s="111" t="n"/>
      <c r="F117" s="110">
        <f>IF(E117="","",IFERROR(INDEX('Catalogos_PDN'!$C$5:$C$49,MATCH(E117,PN_METAS,0)),""))</f>
        <v/>
      </c>
      <c r="G117" s="110">
        <f>IF(E117="","",IFERROR(INDEX('Catalogos_PDN'!$E$5:$E$49,MATCH(E117,PN_METAS,0)),""))</f>
        <v/>
      </c>
      <c r="H117" s="111" t="n"/>
      <c r="I117" s="111" t="n"/>
      <c r="J117" s="111" t="n"/>
      <c r="K117" s="111" t="n"/>
      <c r="L117" s="111" t="n"/>
      <c r="M117" s="112" t="n"/>
      <c r="N117" s="111" t="n"/>
      <c r="O117" s="111" t="n"/>
      <c r="P117" s="111" t="n"/>
      <c r="Q117" s="111" t="n"/>
      <c r="R117" s="111" t="n"/>
      <c r="S117" s="111" t="n"/>
      <c r="T117" s="111" t="n"/>
      <c r="U117" s="111" t="n"/>
      <c r="V117" s="111" t="n"/>
      <c r="W117" s="113" t="n"/>
      <c r="X117" s="113" t="n"/>
      <c r="Y117" s="111" t="n"/>
      <c r="Z117" s="111" t="n"/>
      <c r="AA117" s="111" t="n"/>
      <c r="AB117" s="111" t="n"/>
      <c r="AC117" s="111" t="n"/>
      <c r="AD117" s="111" t="n"/>
      <c r="AE117" s="111" t="n"/>
      <c r="AF117" s="111" t="n"/>
      <c r="AG117" s="111" t="n"/>
      <c r="AH117" s="111" t="n"/>
      <c r="AI117" s="111" t="n"/>
      <c r="AJ117" s="114">
        <f>IF(COUNTA(B117,E117,H117,I117,J117,K117,L117,M117,N117,O117,P117,Q117,R117,S117,T117,U117,V117,W117,X117,Y117,Z117,AA117,AB117,AC117,AD117,AE117,AF117,AG117,AH117,AI117)=0,"",IF(OR(B117="",E117="",H117="",J117="",K117="",L117="",M117="",O117="",P117="",Q117="",R117="",S117="",T117="",U117="",W117="",X117="",Y117="",AB117="",AC117="",AE117="",AF117=""),"Incompleta: faltan campos obligatorios",IF(AND(LEFT(H117,6)="PROPIA",I117=""),"Falta el nombre de la acción propia del área",IF(AND(LEFT(H117,4)="AC27",IFERROR(INDEX('Catalogos_PDN'!$T$5:$T$207,MATCH(H117,'Catalogos_PDN'!$U$5:$U$207,0)),"x")&lt;&gt;LEFT(E117,7)),"La acción no corresponde a la meta seleccionada",IF(OR(NOT(ISNUMBER(M117)),M117&lt;10000000,M117&gt;99999999),"Código UNSPSC inválido: registre 8 dígitos",IF(MOD(M117,10000)=0,"UNSPSC a nivel de segmento o familia: use clase o producto",IF(IFERROR(MATCH(P117,PN_MESES,0)&lt;MATCH(O117,PN_MESES,0),TRUE()),"El mes de ofertas es anterior al de inicio del proceso",IF(OR(NOT(ISNUMBER(Q117)),Q117&lt;=0),"Duración inválida",IF(OR(NOT(ISNUMBER(W117)),NOT(ISNUMBER(X117))),"Valor inválido: registre solo números",IF(OR(W117&lt;=0,X117&lt;=0),"Valor inválido: debe ser mayor que cero",IF(X117&gt;W117,"El valor de la vigencia 2027 supera el valor total",IF(AND(X117&lt;W117,Y117="No"),"El valor total supera el de 2027: requiere vigencias futuras",IF(AND(Y117="Sí",OR(Z117="",Z117="No aplica")),"Indique el estado de la solicitud de vigencias futuras",IF(IF(AND(S117="Mínima cuantía",ISNUMBER(PN_TOPE_MINIMA)),W117&gt;PN_TOPE_MINIMA,FALSE()),"El valor supera el tope de mínima cuantía 2027",IF(IF(AND(S117="Selección abreviada de menor cuantía",ISNUMBER(PN_TOPE_MENOR)),W117&gt;PN_TOPE_MENOR,FALSE()),"El valor supera el tope de menor cuantía 2027",IF(OR(ISERROR(SEARCH("@itc.edu.co",AE117)),SUMPRODUCT(--ISNUMBER(SEARCH({"á","é","í","ó","ú","ñ"," "},AE117)))&gt;0),"El correo del responsable no es institucional válido",IF(AND(AF117="Sí",AG117=""),"Indique el N.° de registro 2026 que continúa","OK")))))))))))))))))</f>
        <v/>
      </c>
      <c r="AK117" s="114">
        <f>IF(AJ117="OK",COUNTIF($AJ$7:AJ117,"OK"),"")</f>
        <v/>
      </c>
    </row>
    <row r="118">
      <c r="A118" s="110">
        <f>"PN27-"&amp;TEXT(ROW()-6,"000")</f>
        <v/>
      </c>
      <c r="B118" s="111" t="n"/>
      <c r="C118" s="110">
        <f>IF(B118="","",IFERROR(INDEX('Catalogos_PDN'!$R$5:$R$51,MATCH(B118,PN_AREAS,0)),""))</f>
        <v/>
      </c>
      <c r="D118" s="110">
        <f>IF(B118="","",IFERROR(INDEX('Catalogos_PDN'!$O$5:$O$51,MATCH(B118,PN_AREAS,0)),""))</f>
        <v/>
      </c>
      <c r="E118" s="111" t="n"/>
      <c r="F118" s="110">
        <f>IF(E118="","",IFERROR(INDEX('Catalogos_PDN'!$C$5:$C$49,MATCH(E118,PN_METAS,0)),""))</f>
        <v/>
      </c>
      <c r="G118" s="110">
        <f>IF(E118="","",IFERROR(INDEX('Catalogos_PDN'!$E$5:$E$49,MATCH(E118,PN_METAS,0)),""))</f>
        <v/>
      </c>
      <c r="H118" s="111" t="n"/>
      <c r="I118" s="111" t="n"/>
      <c r="J118" s="111" t="n"/>
      <c r="K118" s="111" t="n"/>
      <c r="L118" s="111" t="n"/>
      <c r="M118" s="112" t="n"/>
      <c r="N118" s="111" t="n"/>
      <c r="O118" s="111" t="n"/>
      <c r="P118" s="111" t="n"/>
      <c r="Q118" s="111" t="n"/>
      <c r="R118" s="111" t="n"/>
      <c r="S118" s="111" t="n"/>
      <c r="T118" s="111" t="n"/>
      <c r="U118" s="111" t="n"/>
      <c r="V118" s="111" t="n"/>
      <c r="W118" s="113" t="n"/>
      <c r="X118" s="113" t="n"/>
      <c r="Y118" s="111" t="n"/>
      <c r="Z118" s="111" t="n"/>
      <c r="AA118" s="111" t="n"/>
      <c r="AB118" s="111" t="n"/>
      <c r="AC118" s="111" t="n"/>
      <c r="AD118" s="111" t="n"/>
      <c r="AE118" s="111" t="n"/>
      <c r="AF118" s="111" t="n"/>
      <c r="AG118" s="111" t="n"/>
      <c r="AH118" s="111" t="n"/>
      <c r="AI118" s="111" t="n"/>
      <c r="AJ118" s="114">
        <f>IF(COUNTA(B118,E118,H118,I118,J118,K118,L118,M118,N118,O118,P118,Q118,R118,S118,T118,U118,V118,W118,X118,Y118,Z118,AA118,AB118,AC118,AD118,AE118,AF118,AG118,AH118,AI118)=0,"",IF(OR(B118="",E118="",H118="",J118="",K118="",L118="",M118="",O118="",P118="",Q118="",R118="",S118="",T118="",U118="",W118="",X118="",Y118="",AB118="",AC118="",AE118="",AF118=""),"Incompleta: faltan campos obligatorios",IF(AND(LEFT(H118,6)="PROPIA",I118=""),"Falta el nombre de la acción propia del área",IF(AND(LEFT(H118,4)="AC27",IFERROR(INDEX('Catalogos_PDN'!$T$5:$T$207,MATCH(H118,'Catalogos_PDN'!$U$5:$U$207,0)),"x")&lt;&gt;LEFT(E118,7)),"La acción no corresponde a la meta seleccionada",IF(OR(NOT(ISNUMBER(M118)),M118&lt;10000000,M118&gt;99999999),"Código UNSPSC inválido: registre 8 dígitos",IF(MOD(M118,10000)=0,"UNSPSC a nivel de segmento o familia: use clase o producto",IF(IFERROR(MATCH(P118,PN_MESES,0)&lt;MATCH(O118,PN_MESES,0),TRUE()),"El mes de ofertas es anterior al de inicio del proceso",IF(OR(NOT(ISNUMBER(Q118)),Q118&lt;=0),"Duración inválida",IF(OR(NOT(ISNUMBER(W118)),NOT(ISNUMBER(X118))),"Valor inválido: registre solo números",IF(OR(W118&lt;=0,X118&lt;=0),"Valor inválido: debe ser mayor que cero",IF(X118&gt;W118,"El valor de la vigencia 2027 supera el valor total",IF(AND(X118&lt;W118,Y118="No"),"El valor total supera el de 2027: requiere vigencias futuras",IF(AND(Y118="Sí",OR(Z118="",Z118="No aplica")),"Indique el estado de la solicitud de vigencias futuras",IF(IF(AND(S118="Mínima cuantía",ISNUMBER(PN_TOPE_MINIMA)),W118&gt;PN_TOPE_MINIMA,FALSE()),"El valor supera el tope de mínima cuantía 2027",IF(IF(AND(S118="Selección abreviada de menor cuantía",ISNUMBER(PN_TOPE_MENOR)),W118&gt;PN_TOPE_MENOR,FALSE()),"El valor supera el tope de menor cuantía 2027",IF(OR(ISERROR(SEARCH("@itc.edu.co",AE118)),SUMPRODUCT(--ISNUMBER(SEARCH({"á","é","í","ó","ú","ñ"," "},AE118)))&gt;0),"El correo del responsable no es institucional válido",IF(AND(AF118="Sí",AG118=""),"Indique el N.° de registro 2026 que continúa","OK")))))))))))))))))</f>
        <v/>
      </c>
      <c r="AK118" s="114">
        <f>IF(AJ118="OK",COUNTIF($AJ$7:AJ118,"OK"),"")</f>
        <v/>
      </c>
    </row>
    <row r="119">
      <c r="A119" s="110">
        <f>"PN27-"&amp;TEXT(ROW()-6,"000")</f>
        <v/>
      </c>
      <c r="B119" s="111" t="n"/>
      <c r="C119" s="110">
        <f>IF(B119="","",IFERROR(INDEX('Catalogos_PDN'!$R$5:$R$51,MATCH(B119,PN_AREAS,0)),""))</f>
        <v/>
      </c>
      <c r="D119" s="110">
        <f>IF(B119="","",IFERROR(INDEX('Catalogos_PDN'!$O$5:$O$51,MATCH(B119,PN_AREAS,0)),""))</f>
        <v/>
      </c>
      <c r="E119" s="111" t="n"/>
      <c r="F119" s="110">
        <f>IF(E119="","",IFERROR(INDEX('Catalogos_PDN'!$C$5:$C$49,MATCH(E119,PN_METAS,0)),""))</f>
        <v/>
      </c>
      <c r="G119" s="110">
        <f>IF(E119="","",IFERROR(INDEX('Catalogos_PDN'!$E$5:$E$49,MATCH(E119,PN_METAS,0)),""))</f>
        <v/>
      </c>
      <c r="H119" s="111" t="n"/>
      <c r="I119" s="111" t="n"/>
      <c r="J119" s="111" t="n"/>
      <c r="K119" s="111" t="n"/>
      <c r="L119" s="111" t="n"/>
      <c r="M119" s="112" t="n"/>
      <c r="N119" s="111" t="n"/>
      <c r="O119" s="111" t="n"/>
      <c r="P119" s="111" t="n"/>
      <c r="Q119" s="111" t="n"/>
      <c r="R119" s="111" t="n"/>
      <c r="S119" s="111" t="n"/>
      <c r="T119" s="111" t="n"/>
      <c r="U119" s="111" t="n"/>
      <c r="V119" s="111" t="n"/>
      <c r="W119" s="113" t="n"/>
      <c r="X119" s="113" t="n"/>
      <c r="Y119" s="111" t="n"/>
      <c r="Z119" s="111" t="n"/>
      <c r="AA119" s="111" t="n"/>
      <c r="AB119" s="111" t="n"/>
      <c r="AC119" s="111" t="n"/>
      <c r="AD119" s="111" t="n"/>
      <c r="AE119" s="111" t="n"/>
      <c r="AF119" s="111" t="n"/>
      <c r="AG119" s="111" t="n"/>
      <c r="AH119" s="111" t="n"/>
      <c r="AI119" s="111" t="n"/>
      <c r="AJ119" s="114">
        <f>IF(COUNTA(B119,E119,H119,I119,J119,K119,L119,M119,N119,O119,P119,Q119,R119,S119,T119,U119,V119,W119,X119,Y119,Z119,AA119,AB119,AC119,AD119,AE119,AF119,AG119,AH119,AI119)=0,"",IF(OR(B119="",E119="",H119="",J119="",K119="",L119="",M119="",O119="",P119="",Q119="",R119="",S119="",T119="",U119="",W119="",X119="",Y119="",AB119="",AC119="",AE119="",AF119=""),"Incompleta: faltan campos obligatorios",IF(AND(LEFT(H119,6)="PROPIA",I119=""),"Falta el nombre de la acción propia del área",IF(AND(LEFT(H119,4)="AC27",IFERROR(INDEX('Catalogos_PDN'!$T$5:$T$207,MATCH(H119,'Catalogos_PDN'!$U$5:$U$207,0)),"x")&lt;&gt;LEFT(E119,7)),"La acción no corresponde a la meta seleccionada",IF(OR(NOT(ISNUMBER(M119)),M119&lt;10000000,M119&gt;99999999),"Código UNSPSC inválido: registre 8 dígitos",IF(MOD(M119,10000)=0,"UNSPSC a nivel de segmento o familia: use clase o producto",IF(IFERROR(MATCH(P119,PN_MESES,0)&lt;MATCH(O119,PN_MESES,0),TRUE()),"El mes de ofertas es anterior al de inicio del proceso",IF(OR(NOT(ISNUMBER(Q119)),Q119&lt;=0),"Duración inválida",IF(OR(NOT(ISNUMBER(W119)),NOT(ISNUMBER(X119))),"Valor inválido: registre solo números",IF(OR(W119&lt;=0,X119&lt;=0),"Valor inválido: debe ser mayor que cero",IF(X119&gt;W119,"El valor de la vigencia 2027 supera el valor total",IF(AND(X119&lt;W119,Y119="No"),"El valor total supera el de 2027: requiere vigencias futuras",IF(AND(Y119="Sí",OR(Z119="",Z119="No aplica")),"Indique el estado de la solicitud de vigencias futuras",IF(IF(AND(S119="Mínima cuantía",ISNUMBER(PN_TOPE_MINIMA)),W119&gt;PN_TOPE_MINIMA,FALSE()),"El valor supera el tope de mínima cuantía 2027",IF(IF(AND(S119="Selección abreviada de menor cuantía",ISNUMBER(PN_TOPE_MENOR)),W119&gt;PN_TOPE_MENOR,FALSE()),"El valor supera el tope de menor cuantía 2027",IF(OR(ISERROR(SEARCH("@itc.edu.co",AE119)),SUMPRODUCT(--ISNUMBER(SEARCH({"á","é","í","ó","ú","ñ"," "},AE119)))&gt;0),"El correo del responsable no es institucional válido",IF(AND(AF119="Sí",AG119=""),"Indique el N.° de registro 2026 que continúa","OK")))))))))))))))))</f>
        <v/>
      </c>
      <c r="AK119" s="114">
        <f>IF(AJ119="OK",COUNTIF($AJ$7:AJ119,"OK"),"")</f>
        <v/>
      </c>
    </row>
    <row r="120">
      <c r="A120" s="110">
        <f>"PN27-"&amp;TEXT(ROW()-6,"000")</f>
        <v/>
      </c>
      <c r="B120" s="111" t="n"/>
      <c r="C120" s="110">
        <f>IF(B120="","",IFERROR(INDEX('Catalogos_PDN'!$R$5:$R$51,MATCH(B120,PN_AREAS,0)),""))</f>
        <v/>
      </c>
      <c r="D120" s="110">
        <f>IF(B120="","",IFERROR(INDEX('Catalogos_PDN'!$O$5:$O$51,MATCH(B120,PN_AREAS,0)),""))</f>
        <v/>
      </c>
      <c r="E120" s="111" t="n"/>
      <c r="F120" s="110">
        <f>IF(E120="","",IFERROR(INDEX('Catalogos_PDN'!$C$5:$C$49,MATCH(E120,PN_METAS,0)),""))</f>
        <v/>
      </c>
      <c r="G120" s="110">
        <f>IF(E120="","",IFERROR(INDEX('Catalogos_PDN'!$E$5:$E$49,MATCH(E120,PN_METAS,0)),""))</f>
        <v/>
      </c>
      <c r="H120" s="111" t="n"/>
      <c r="I120" s="111" t="n"/>
      <c r="J120" s="111" t="n"/>
      <c r="K120" s="111" t="n"/>
      <c r="L120" s="111" t="n"/>
      <c r="M120" s="112" t="n"/>
      <c r="N120" s="111" t="n"/>
      <c r="O120" s="111" t="n"/>
      <c r="P120" s="111" t="n"/>
      <c r="Q120" s="111" t="n"/>
      <c r="R120" s="111" t="n"/>
      <c r="S120" s="111" t="n"/>
      <c r="T120" s="111" t="n"/>
      <c r="U120" s="111" t="n"/>
      <c r="V120" s="111" t="n"/>
      <c r="W120" s="113" t="n"/>
      <c r="X120" s="113" t="n"/>
      <c r="Y120" s="111" t="n"/>
      <c r="Z120" s="111" t="n"/>
      <c r="AA120" s="111" t="n"/>
      <c r="AB120" s="111" t="n"/>
      <c r="AC120" s="111" t="n"/>
      <c r="AD120" s="111" t="n"/>
      <c r="AE120" s="111" t="n"/>
      <c r="AF120" s="111" t="n"/>
      <c r="AG120" s="111" t="n"/>
      <c r="AH120" s="111" t="n"/>
      <c r="AI120" s="111" t="n"/>
      <c r="AJ120" s="114">
        <f>IF(COUNTA(B120,E120,H120,I120,J120,K120,L120,M120,N120,O120,P120,Q120,R120,S120,T120,U120,V120,W120,X120,Y120,Z120,AA120,AB120,AC120,AD120,AE120,AF120,AG120,AH120,AI120)=0,"",IF(OR(B120="",E120="",H120="",J120="",K120="",L120="",M120="",O120="",P120="",Q120="",R120="",S120="",T120="",U120="",W120="",X120="",Y120="",AB120="",AC120="",AE120="",AF120=""),"Incompleta: faltan campos obligatorios",IF(AND(LEFT(H120,6)="PROPIA",I120=""),"Falta el nombre de la acción propia del área",IF(AND(LEFT(H120,4)="AC27",IFERROR(INDEX('Catalogos_PDN'!$T$5:$T$207,MATCH(H120,'Catalogos_PDN'!$U$5:$U$207,0)),"x")&lt;&gt;LEFT(E120,7)),"La acción no corresponde a la meta seleccionada",IF(OR(NOT(ISNUMBER(M120)),M120&lt;10000000,M120&gt;99999999),"Código UNSPSC inválido: registre 8 dígitos",IF(MOD(M120,10000)=0,"UNSPSC a nivel de segmento o familia: use clase o producto",IF(IFERROR(MATCH(P120,PN_MESES,0)&lt;MATCH(O120,PN_MESES,0),TRUE()),"El mes de ofertas es anterior al de inicio del proceso",IF(OR(NOT(ISNUMBER(Q120)),Q120&lt;=0),"Duración inválida",IF(OR(NOT(ISNUMBER(W120)),NOT(ISNUMBER(X120))),"Valor inválido: registre solo números",IF(OR(W120&lt;=0,X120&lt;=0),"Valor inválido: debe ser mayor que cero",IF(X120&gt;W120,"El valor de la vigencia 2027 supera el valor total",IF(AND(X120&lt;W120,Y120="No"),"El valor total supera el de 2027: requiere vigencias futuras",IF(AND(Y120="Sí",OR(Z120="",Z120="No aplica")),"Indique el estado de la solicitud de vigencias futuras",IF(IF(AND(S120="Mínima cuantía",ISNUMBER(PN_TOPE_MINIMA)),W120&gt;PN_TOPE_MINIMA,FALSE()),"El valor supera el tope de mínima cuantía 2027",IF(IF(AND(S120="Selección abreviada de menor cuantía",ISNUMBER(PN_TOPE_MENOR)),W120&gt;PN_TOPE_MENOR,FALSE()),"El valor supera el tope de menor cuantía 2027",IF(OR(ISERROR(SEARCH("@itc.edu.co",AE120)),SUMPRODUCT(--ISNUMBER(SEARCH({"á","é","í","ó","ú","ñ"," "},AE120)))&gt;0),"El correo del responsable no es institucional válido",IF(AND(AF120="Sí",AG120=""),"Indique el N.° de registro 2026 que continúa","OK")))))))))))))))))</f>
        <v/>
      </c>
      <c r="AK120" s="114">
        <f>IF(AJ120="OK",COUNTIF($AJ$7:AJ120,"OK"),"")</f>
        <v/>
      </c>
    </row>
    <row r="121">
      <c r="A121" s="110">
        <f>"PN27-"&amp;TEXT(ROW()-6,"000")</f>
        <v/>
      </c>
      <c r="B121" s="111" t="n"/>
      <c r="C121" s="110">
        <f>IF(B121="","",IFERROR(INDEX('Catalogos_PDN'!$R$5:$R$51,MATCH(B121,PN_AREAS,0)),""))</f>
        <v/>
      </c>
      <c r="D121" s="110">
        <f>IF(B121="","",IFERROR(INDEX('Catalogos_PDN'!$O$5:$O$51,MATCH(B121,PN_AREAS,0)),""))</f>
        <v/>
      </c>
      <c r="E121" s="111" t="n"/>
      <c r="F121" s="110">
        <f>IF(E121="","",IFERROR(INDEX('Catalogos_PDN'!$C$5:$C$49,MATCH(E121,PN_METAS,0)),""))</f>
        <v/>
      </c>
      <c r="G121" s="110">
        <f>IF(E121="","",IFERROR(INDEX('Catalogos_PDN'!$E$5:$E$49,MATCH(E121,PN_METAS,0)),""))</f>
        <v/>
      </c>
      <c r="H121" s="111" t="n"/>
      <c r="I121" s="111" t="n"/>
      <c r="J121" s="111" t="n"/>
      <c r="K121" s="111" t="n"/>
      <c r="L121" s="111" t="n"/>
      <c r="M121" s="112" t="n"/>
      <c r="N121" s="111" t="n"/>
      <c r="O121" s="111" t="n"/>
      <c r="P121" s="111" t="n"/>
      <c r="Q121" s="111" t="n"/>
      <c r="R121" s="111" t="n"/>
      <c r="S121" s="111" t="n"/>
      <c r="T121" s="111" t="n"/>
      <c r="U121" s="111" t="n"/>
      <c r="V121" s="111" t="n"/>
      <c r="W121" s="113" t="n"/>
      <c r="X121" s="113" t="n"/>
      <c r="Y121" s="111" t="n"/>
      <c r="Z121" s="111" t="n"/>
      <c r="AA121" s="111" t="n"/>
      <c r="AB121" s="111" t="n"/>
      <c r="AC121" s="111" t="n"/>
      <c r="AD121" s="111" t="n"/>
      <c r="AE121" s="111" t="n"/>
      <c r="AF121" s="111" t="n"/>
      <c r="AG121" s="111" t="n"/>
      <c r="AH121" s="111" t="n"/>
      <c r="AI121" s="111" t="n"/>
      <c r="AJ121" s="114">
        <f>IF(COUNTA(B121,E121,H121,I121,J121,K121,L121,M121,N121,O121,P121,Q121,R121,S121,T121,U121,V121,W121,X121,Y121,Z121,AA121,AB121,AC121,AD121,AE121,AF121,AG121,AH121,AI121)=0,"",IF(OR(B121="",E121="",H121="",J121="",K121="",L121="",M121="",O121="",P121="",Q121="",R121="",S121="",T121="",U121="",W121="",X121="",Y121="",AB121="",AC121="",AE121="",AF121=""),"Incompleta: faltan campos obligatorios",IF(AND(LEFT(H121,6)="PROPIA",I121=""),"Falta el nombre de la acción propia del área",IF(AND(LEFT(H121,4)="AC27",IFERROR(INDEX('Catalogos_PDN'!$T$5:$T$207,MATCH(H121,'Catalogos_PDN'!$U$5:$U$207,0)),"x")&lt;&gt;LEFT(E121,7)),"La acción no corresponde a la meta seleccionada",IF(OR(NOT(ISNUMBER(M121)),M121&lt;10000000,M121&gt;99999999),"Código UNSPSC inválido: registre 8 dígitos",IF(MOD(M121,10000)=0,"UNSPSC a nivel de segmento o familia: use clase o producto",IF(IFERROR(MATCH(P121,PN_MESES,0)&lt;MATCH(O121,PN_MESES,0),TRUE()),"El mes de ofertas es anterior al de inicio del proceso",IF(OR(NOT(ISNUMBER(Q121)),Q121&lt;=0),"Duración inválida",IF(OR(NOT(ISNUMBER(W121)),NOT(ISNUMBER(X121))),"Valor inválido: registre solo números",IF(OR(W121&lt;=0,X121&lt;=0),"Valor inválido: debe ser mayor que cero",IF(X121&gt;W121,"El valor de la vigencia 2027 supera el valor total",IF(AND(X121&lt;W121,Y121="No"),"El valor total supera el de 2027: requiere vigencias futuras",IF(AND(Y121="Sí",OR(Z121="",Z121="No aplica")),"Indique el estado de la solicitud de vigencias futuras",IF(IF(AND(S121="Mínima cuantía",ISNUMBER(PN_TOPE_MINIMA)),W121&gt;PN_TOPE_MINIMA,FALSE()),"El valor supera el tope de mínima cuantía 2027",IF(IF(AND(S121="Selección abreviada de menor cuantía",ISNUMBER(PN_TOPE_MENOR)),W121&gt;PN_TOPE_MENOR,FALSE()),"El valor supera el tope de menor cuantía 2027",IF(OR(ISERROR(SEARCH("@itc.edu.co",AE121)),SUMPRODUCT(--ISNUMBER(SEARCH({"á","é","í","ó","ú","ñ"," "},AE121)))&gt;0),"El correo del responsable no es institucional válido",IF(AND(AF121="Sí",AG121=""),"Indique el N.° de registro 2026 que continúa","OK")))))))))))))))))</f>
        <v/>
      </c>
      <c r="AK121" s="114">
        <f>IF(AJ121="OK",COUNTIF($AJ$7:AJ121,"OK"),"")</f>
        <v/>
      </c>
    </row>
    <row r="122">
      <c r="A122" s="110">
        <f>"PN27-"&amp;TEXT(ROW()-6,"000")</f>
        <v/>
      </c>
      <c r="B122" s="111" t="n"/>
      <c r="C122" s="110">
        <f>IF(B122="","",IFERROR(INDEX('Catalogos_PDN'!$R$5:$R$51,MATCH(B122,PN_AREAS,0)),""))</f>
        <v/>
      </c>
      <c r="D122" s="110">
        <f>IF(B122="","",IFERROR(INDEX('Catalogos_PDN'!$O$5:$O$51,MATCH(B122,PN_AREAS,0)),""))</f>
        <v/>
      </c>
      <c r="E122" s="111" t="n"/>
      <c r="F122" s="110">
        <f>IF(E122="","",IFERROR(INDEX('Catalogos_PDN'!$C$5:$C$49,MATCH(E122,PN_METAS,0)),""))</f>
        <v/>
      </c>
      <c r="G122" s="110">
        <f>IF(E122="","",IFERROR(INDEX('Catalogos_PDN'!$E$5:$E$49,MATCH(E122,PN_METAS,0)),""))</f>
        <v/>
      </c>
      <c r="H122" s="111" t="n"/>
      <c r="I122" s="111" t="n"/>
      <c r="J122" s="111" t="n"/>
      <c r="K122" s="111" t="n"/>
      <c r="L122" s="111" t="n"/>
      <c r="M122" s="112" t="n"/>
      <c r="N122" s="111" t="n"/>
      <c r="O122" s="111" t="n"/>
      <c r="P122" s="111" t="n"/>
      <c r="Q122" s="111" t="n"/>
      <c r="R122" s="111" t="n"/>
      <c r="S122" s="111" t="n"/>
      <c r="T122" s="111" t="n"/>
      <c r="U122" s="111" t="n"/>
      <c r="V122" s="111" t="n"/>
      <c r="W122" s="113" t="n"/>
      <c r="X122" s="113" t="n"/>
      <c r="Y122" s="111" t="n"/>
      <c r="Z122" s="111" t="n"/>
      <c r="AA122" s="111" t="n"/>
      <c r="AB122" s="111" t="n"/>
      <c r="AC122" s="111" t="n"/>
      <c r="AD122" s="111" t="n"/>
      <c r="AE122" s="111" t="n"/>
      <c r="AF122" s="111" t="n"/>
      <c r="AG122" s="111" t="n"/>
      <c r="AH122" s="111" t="n"/>
      <c r="AI122" s="111" t="n"/>
      <c r="AJ122" s="114">
        <f>IF(COUNTA(B122,E122,H122,I122,J122,K122,L122,M122,N122,O122,P122,Q122,R122,S122,T122,U122,V122,W122,X122,Y122,Z122,AA122,AB122,AC122,AD122,AE122,AF122,AG122,AH122,AI122)=0,"",IF(OR(B122="",E122="",H122="",J122="",K122="",L122="",M122="",O122="",P122="",Q122="",R122="",S122="",T122="",U122="",W122="",X122="",Y122="",AB122="",AC122="",AE122="",AF122=""),"Incompleta: faltan campos obligatorios",IF(AND(LEFT(H122,6)="PROPIA",I122=""),"Falta el nombre de la acción propia del área",IF(AND(LEFT(H122,4)="AC27",IFERROR(INDEX('Catalogos_PDN'!$T$5:$T$207,MATCH(H122,'Catalogos_PDN'!$U$5:$U$207,0)),"x")&lt;&gt;LEFT(E122,7)),"La acción no corresponde a la meta seleccionada",IF(OR(NOT(ISNUMBER(M122)),M122&lt;10000000,M122&gt;99999999),"Código UNSPSC inválido: registre 8 dígitos",IF(MOD(M122,10000)=0,"UNSPSC a nivel de segmento o familia: use clase o producto",IF(IFERROR(MATCH(P122,PN_MESES,0)&lt;MATCH(O122,PN_MESES,0),TRUE()),"El mes de ofertas es anterior al de inicio del proceso",IF(OR(NOT(ISNUMBER(Q122)),Q122&lt;=0),"Duración inválida",IF(OR(NOT(ISNUMBER(W122)),NOT(ISNUMBER(X122))),"Valor inválido: registre solo números",IF(OR(W122&lt;=0,X122&lt;=0),"Valor inválido: debe ser mayor que cero",IF(X122&gt;W122,"El valor de la vigencia 2027 supera el valor total",IF(AND(X122&lt;W122,Y122="No"),"El valor total supera el de 2027: requiere vigencias futuras",IF(AND(Y122="Sí",OR(Z122="",Z122="No aplica")),"Indique el estado de la solicitud de vigencias futuras",IF(IF(AND(S122="Mínima cuantía",ISNUMBER(PN_TOPE_MINIMA)),W122&gt;PN_TOPE_MINIMA,FALSE()),"El valor supera el tope de mínima cuantía 2027",IF(IF(AND(S122="Selección abreviada de menor cuantía",ISNUMBER(PN_TOPE_MENOR)),W122&gt;PN_TOPE_MENOR,FALSE()),"El valor supera el tope de menor cuantía 2027",IF(OR(ISERROR(SEARCH("@itc.edu.co",AE122)),SUMPRODUCT(--ISNUMBER(SEARCH({"á","é","í","ó","ú","ñ"," "},AE122)))&gt;0),"El correo del responsable no es institucional válido",IF(AND(AF122="Sí",AG122=""),"Indique el N.° de registro 2026 que continúa","OK")))))))))))))))))</f>
        <v/>
      </c>
      <c r="AK122" s="114">
        <f>IF(AJ122="OK",COUNTIF($AJ$7:AJ122,"OK"),"")</f>
        <v/>
      </c>
    </row>
    <row r="123">
      <c r="A123" s="110">
        <f>"PN27-"&amp;TEXT(ROW()-6,"000")</f>
        <v/>
      </c>
      <c r="B123" s="111" t="n"/>
      <c r="C123" s="110">
        <f>IF(B123="","",IFERROR(INDEX('Catalogos_PDN'!$R$5:$R$51,MATCH(B123,PN_AREAS,0)),""))</f>
        <v/>
      </c>
      <c r="D123" s="110">
        <f>IF(B123="","",IFERROR(INDEX('Catalogos_PDN'!$O$5:$O$51,MATCH(B123,PN_AREAS,0)),""))</f>
        <v/>
      </c>
      <c r="E123" s="111" t="n"/>
      <c r="F123" s="110">
        <f>IF(E123="","",IFERROR(INDEX('Catalogos_PDN'!$C$5:$C$49,MATCH(E123,PN_METAS,0)),""))</f>
        <v/>
      </c>
      <c r="G123" s="110">
        <f>IF(E123="","",IFERROR(INDEX('Catalogos_PDN'!$E$5:$E$49,MATCH(E123,PN_METAS,0)),""))</f>
        <v/>
      </c>
      <c r="H123" s="111" t="n"/>
      <c r="I123" s="111" t="n"/>
      <c r="J123" s="111" t="n"/>
      <c r="K123" s="111" t="n"/>
      <c r="L123" s="111" t="n"/>
      <c r="M123" s="112" t="n"/>
      <c r="N123" s="111" t="n"/>
      <c r="O123" s="111" t="n"/>
      <c r="P123" s="111" t="n"/>
      <c r="Q123" s="111" t="n"/>
      <c r="R123" s="111" t="n"/>
      <c r="S123" s="111" t="n"/>
      <c r="T123" s="111" t="n"/>
      <c r="U123" s="111" t="n"/>
      <c r="V123" s="111" t="n"/>
      <c r="W123" s="113" t="n"/>
      <c r="X123" s="113" t="n"/>
      <c r="Y123" s="111" t="n"/>
      <c r="Z123" s="111" t="n"/>
      <c r="AA123" s="111" t="n"/>
      <c r="AB123" s="111" t="n"/>
      <c r="AC123" s="111" t="n"/>
      <c r="AD123" s="111" t="n"/>
      <c r="AE123" s="111" t="n"/>
      <c r="AF123" s="111" t="n"/>
      <c r="AG123" s="111" t="n"/>
      <c r="AH123" s="111" t="n"/>
      <c r="AI123" s="111" t="n"/>
      <c r="AJ123" s="114">
        <f>IF(COUNTA(B123,E123,H123,I123,J123,K123,L123,M123,N123,O123,P123,Q123,R123,S123,T123,U123,V123,W123,X123,Y123,Z123,AA123,AB123,AC123,AD123,AE123,AF123,AG123,AH123,AI123)=0,"",IF(OR(B123="",E123="",H123="",J123="",K123="",L123="",M123="",O123="",P123="",Q123="",R123="",S123="",T123="",U123="",W123="",X123="",Y123="",AB123="",AC123="",AE123="",AF123=""),"Incompleta: faltan campos obligatorios",IF(AND(LEFT(H123,6)="PROPIA",I123=""),"Falta el nombre de la acción propia del área",IF(AND(LEFT(H123,4)="AC27",IFERROR(INDEX('Catalogos_PDN'!$T$5:$T$207,MATCH(H123,'Catalogos_PDN'!$U$5:$U$207,0)),"x")&lt;&gt;LEFT(E123,7)),"La acción no corresponde a la meta seleccionada",IF(OR(NOT(ISNUMBER(M123)),M123&lt;10000000,M123&gt;99999999),"Código UNSPSC inválido: registre 8 dígitos",IF(MOD(M123,10000)=0,"UNSPSC a nivel de segmento o familia: use clase o producto",IF(IFERROR(MATCH(P123,PN_MESES,0)&lt;MATCH(O123,PN_MESES,0),TRUE()),"El mes de ofertas es anterior al de inicio del proceso",IF(OR(NOT(ISNUMBER(Q123)),Q123&lt;=0),"Duración inválida",IF(OR(NOT(ISNUMBER(W123)),NOT(ISNUMBER(X123))),"Valor inválido: registre solo números",IF(OR(W123&lt;=0,X123&lt;=0),"Valor inválido: debe ser mayor que cero",IF(X123&gt;W123,"El valor de la vigencia 2027 supera el valor total",IF(AND(X123&lt;W123,Y123="No"),"El valor total supera el de 2027: requiere vigencias futuras",IF(AND(Y123="Sí",OR(Z123="",Z123="No aplica")),"Indique el estado de la solicitud de vigencias futuras",IF(IF(AND(S123="Mínima cuantía",ISNUMBER(PN_TOPE_MINIMA)),W123&gt;PN_TOPE_MINIMA,FALSE()),"El valor supera el tope de mínima cuantía 2027",IF(IF(AND(S123="Selección abreviada de menor cuantía",ISNUMBER(PN_TOPE_MENOR)),W123&gt;PN_TOPE_MENOR,FALSE()),"El valor supera el tope de menor cuantía 2027",IF(OR(ISERROR(SEARCH("@itc.edu.co",AE123)),SUMPRODUCT(--ISNUMBER(SEARCH({"á","é","í","ó","ú","ñ"," "},AE123)))&gt;0),"El correo del responsable no es institucional válido",IF(AND(AF123="Sí",AG123=""),"Indique el N.° de registro 2026 que continúa","OK")))))))))))))))))</f>
        <v/>
      </c>
      <c r="AK123" s="114">
        <f>IF(AJ123="OK",COUNTIF($AJ$7:AJ123,"OK"),"")</f>
        <v/>
      </c>
    </row>
    <row r="124">
      <c r="A124" s="110">
        <f>"PN27-"&amp;TEXT(ROW()-6,"000")</f>
        <v/>
      </c>
      <c r="B124" s="111" t="n"/>
      <c r="C124" s="110">
        <f>IF(B124="","",IFERROR(INDEX('Catalogos_PDN'!$R$5:$R$51,MATCH(B124,PN_AREAS,0)),""))</f>
        <v/>
      </c>
      <c r="D124" s="110">
        <f>IF(B124="","",IFERROR(INDEX('Catalogos_PDN'!$O$5:$O$51,MATCH(B124,PN_AREAS,0)),""))</f>
        <v/>
      </c>
      <c r="E124" s="111" t="n"/>
      <c r="F124" s="110">
        <f>IF(E124="","",IFERROR(INDEX('Catalogos_PDN'!$C$5:$C$49,MATCH(E124,PN_METAS,0)),""))</f>
        <v/>
      </c>
      <c r="G124" s="110">
        <f>IF(E124="","",IFERROR(INDEX('Catalogos_PDN'!$E$5:$E$49,MATCH(E124,PN_METAS,0)),""))</f>
        <v/>
      </c>
      <c r="H124" s="111" t="n"/>
      <c r="I124" s="111" t="n"/>
      <c r="J124" s="111" t="n"/>
      <c r="K124" s="111" t="n"/>
      <c r="L124" s="111" t="n"/>
      <c r="M124" s="112" t="n"/>
      <c r="N124" s="111" t="n"/>
      <c r="O124" s="111" t="n"/>
      <c r="P124" s="111" t="n"/>
      <c r="Q124" s="111" t="n"/>
      <c r="R124" s="111" t="n"/>
      <c r="S124" s="111" t="n"/>
      <c r="T124" s="111" t="n"/>
      <c r="U124" s="111" t="n"/>
      <c r="V124" s="111" t="n"/>
      <c r="W124" s="113" t="n"/>
      <c r="X124" s="113" t="n"/>
      <c r="Y124" s="111" t="n"/>
      <c r="Z124" s="111" t="n"/>
      <c r="AA124" s="111" t="n"/>
      <c r="AB124" s="111" t="n"/>
      <c r="AC124" s="111" t="n"/>
      <c r="AD124" s="111" t="n"/>
      <c r="AE124" s="111" t="n"/>
      <c r="AF124" s="111" t="n"/>
      <c r="AG124" s="111" t="n"/>
      <c r="AH124" s="111" t="n"/>
      <c r="AI124" s="111" t="n"/>
      <c r="AJ124" s="114">
        <f>IF(COUNTA(B124,E124,H124,I124,J124,K124,L124,M124,N124,O124,P124,Q124,R124,S124,T124,U124,V124,W124,X124,Y124,Z124,AA124,AB124,AC124,AD124,AE124,AF124,AG124,AH124,AI124)=0,"",IF(OR(B124="",E124="",H124="",J124="",K124="",L124="",M124="",O124="",P124="",Q124="",R124="",S124="",T124="",U124="",W124="",X124="",Y124="",AB124="",AC124="",AE124="",AF124=""),"Incompleta: faltan campos obligatorios",IF(AND(LEFT(H124,6)="PROPIA",I124=""),"Falta el nombre de la acción propia del área",IF(AND(LEFT(H124,4)="AC27",IFERROR(INDEX('Catalogos_PDN'!$T$5:$T$207,MATCH(H124,'Catalogos_PDN'!$U$5:$U$207,0)),"x")&lt;&gt;LEFT(E124,7)),"La acción no corresponde a la meta seleccionada",IF(OR(NOT(ISNUMBER(M124)),M124&lt;10000000,M124&gt;99999999),"Código UNSPSC inválido: registre 8 dígitos",IF(MOD(M124,10000)=0,"UNSPSC a nivel de segmento o familia: use clase o producto",IF(IFERROR(MATCH(P124,PN_MESES,0)&lt;MATCH(O124,PN_MESES,0),TRUE()),"El mes de ofertas es anterior al de inicio del proceso",IF(OR(NOT(ISNUMBER(Q124)),Q124&lt;=0),"Duración inválida",IF(OR(NOT(ISNUMBER(W124)),NOT(ISNUMBER(X124))),"Valor inválido: registre solo números",IF(OR(W124&lt;=0,X124&lt;=0),"Valor inválido: debe ser mayor que cero",IF(X124&gt;W124,"El valor de la vigencia 2027 supera el valor total",IF(AND(X124&lt;W124,Y124="No"),"El valor total supera el de 2027: requiere vigencias futuras",IF(AND(Y124="Sí",OR(Z124="",Z124="No aplica")),"Indique el estado de la solicitud de vigencias futuras",IF(IF(AND(S124="Mínima cuantía",ISNUMBER(PN_TOPE_MINIMA)),W124&gt;PN_TOPE_MINIMA,FALSE()),"El valor supera el tope de mínima cuantía 2027",IF(IF(AND(S124="Selección abreviada de menor cuantía",ISNUMBER(PN_TOPE_MENOR)),W124&gt;PN_TOPE_MENOR,FALSE()),"El valor supera el tope de menor cuantía 2027",IF(OR(ISERROR(SEARCH("@itc.edu.co",AE124)),SUMPRODUCT(--ISNUMBER(SEARCH({"á","é","í","ó","ú","ñ"," "},AE124)))&gt;0),"El correo del responsable no es institucional válido",IF(AND(AF124="Sí",AG124=""),"Indique el N.° de registro 2026 que continúa","OK")))))))))))))))))</f>
        <v/>
      </c>
      <c r="AK124" s="114">
        <f>IF(AJ124="OK",COUNTIF($AJ$7:AJ124,"OK"),"")</f>
        <v/>
      </c>
    </row>
    <row r="125">
      <c r="A125" s="110">
        <f>"PN27-"&amp;TEXT(ROW()-6,"000")</f>
        <v/>
      </c>
      <c r="B125" s="111" t="n"/>
      <c r="C125" s="110">
        <f>IF(B125="","",IFERROR(INDEX('Catalogos_PDN'!$R$5:$R$51,MATCH(B125,PN_AREAS,0)),""))</f>
        <v/>
      </c>
      <c r="D125" s="110">
        <f>IF(B125="","",IFERROR(INDEX('Catalogos_PDN'!$O$5:$O$51,MATCH(B125,PN_AREAS,0)),""))</f>
        <v/>
      </c>
      <c r="E125" s="111" t="n"/>
      <c r="F125" s="110">
        <f>IF(E125="","",IFERROR(INDEX('Catalogos_PDN'!$C$5:$C$49,MATCH(E125,PN_METAS,0)),""))</f>
        <v/>
      </c>
      <c r="G125" s="110">
        <f>IF(E125="","",IFERROR(INDEX('Catalogos_PDN'!$E$5:$E$49,MATCH(E125,PN_METAS,0)),""))</f>
        <v/>
      </c>
      <c r="H125" s="111" t="n"/>
      <c r="I125" s="111" t="n"/>
      <c r="J125" s="111" t="n"/>
      <c r="K125" s="111" t="n"/>
      <c r="L125" s="111" t="n"/>
      <c r="M125" s="112" t="n"/>
      <c r="N125" s="111" t="n"/>
      <c r="O125" s="111" t="n"/>
      <c r="P125" s="111" t="n"/>
      <c r="Q125" s="111" t="n"/>
      <c r="R125" s="111" t="n"/>
      <c r="S125" s="111" t="n"/>
      <c r="T125" s="111" t="n"/>
      <c r="U125" s="111" t="n"/>
      <c r="V125" s="111" t="n"/>
      <c r="W125" s="113" t="n"/>
      <c r="X125" s="113" t="n"/>
      <c r="Y125" s="111" t="n"/>
      <c r="Z125" s="111" t="n"/>
      <c r="AA125" s="111" t="n"/>
      <c r="AB125" s="111" t="n"/>
      <c r="AC125" s="111" t="n"/>
      <c r="AD125" s="111" t="n"/>
      <c r="AE125" s="111" t="n"/>
      <c r="AF125" s="111" t="n"/>
      <c r="AG125" s="111" t="n"/>
      <c r="AH125" s="111" t="n"/>
      <c r="AI125" s="111" t="n"/>
      <c r="AJ125" s="114">
        <f>IF(COUNTA(B125,E125,H125,I125,J125,K125,L125,M125,N125,O125,P125,Q125,R125,S125,T125,U125,V125,W125,X125,Y125,Z125,AA125,AB125,AC125,AD125,AE125,AF125,AG125,AH125,AI125)=0,"",IF(OR(B125="",E125="",H125="",J125="",K125="",L125="",M125="",O125="",P125="",Q125="",R125="",S125="",T125="",U125="",W125="",X125="",Y125="",AB125="",AC125="",AE125="",AF125=""),"Incompleta: faltan campos obligatorios",IF(AND(LEFT(H125,6)="PROPIA",I125=""),"Falta el nombre de la acción propia del área",IF(AND(LEFT(H125,4)="AC27",IFERROR(INDEX('Catalogos_PDN'!$T$5:$T$207,MATCH(H125,'Catalogos_PDN'!$U$5:$U$207,0)),"x")&lt;&gt;LEFT(E125,7)),"La acción no corresponde a la meta seleccionada",IF(OR(NOT(ISNUMBER(M125)),M125&lt;10000000,M125&gt;99999999),"Código UNSPSC inválido: registre 8 dígitos",IF(MOD(M125,10000)=0,"UNSPSC a nivel de segmento o familia: use clase o producto",IF(IFERROR(MATCH(P125,PN_MESES,0)&lt;MATCH(O125,PN_MESES,0),TRUE()),"El mes de ofertas es anterior al de inicio del proceso",IF(OR(NOT(ISNUMBER(Q125)),Q125&lt;=0),"Duración inválida",IF(OR(NOT(ISNUMBER(W125)),NOT(ISNUMBER(X125))),"Valor inválido: registre solo números",IF(OR(W125&lt;=0,X125&lt;=0),"Valor inválido: debe ser mayor que cero",IF(X125&gt;W125,"El valor de la vigencia 2027 supera el valor total",IF(AND(X125&lt;W125,Y125="No"),"El valor total supera el de 2027: requiere vigencias futuras",IF(AND(Y125="Sí",OR(Z125="",Z125="No aplica")),"Indique el estado de la solicitud de vigencias futuras",IF(IF(AND(S125="Mínima cuantía",ISNUMBER(PN_TOPE_MINIMA)),W125&gt;PN_TOPE_MINIMA,FALSE()),"El valor supera el tope de mínima cuantía 2027",IF(IF(AND(S125="Selección abreviada de menor cuantía",ISNUMBER(PN_TOPE_MENOR)),W125&gt;PN_TOPE_MENOR,FALSE()),"El valor supera el tope de menor cuantía 2027",IF(OR(ISERROR(SEARCH("@itc.edu.co",AE125)),SUMPRODUCT(--ISNUMBER(SEARCH({"á","é","í","ó","ú","ñ"," "},AE125)))&gt;0),"El correo del responsable no es institucional válido",IF(AND(AF125="Sí",AG125=""),"Indique el N.° de registro 2026 que continúa","OK")))))))))))))))))</f>
        <v/>
      </c>
      <c r="AK125" s="114">
        <f>IF(AJ125="OK",COUNTIF($AJ$7:AJ125,"OK"),"")</f>
        <v/>
      </c>
    </row>
    <row r="126">
      <c r="A126" s="110">
        <f>"PN27-"&amp;TEXT(ROW()-6,"000")</f>
        <v/>
      </c>
      <c r="B126" s="111" t="n"/>
      <c r="C126" s="110">
        <f>IF(B126="","",IFERROR(INDEX('Catalogos_PDN'!$R$5:$R$51,MATCH(B126,PN_AREAS,0)),""))</f>
        <v/>
      </c>
      <c r="D126" s="110">
        <f>IF(B126="","",IFERROR(INDEX('Catalogos_PDN'!$O$5:$O$51,MATCH(B126,PN_AREAS,0)),""))</f>
        <v/>
      </c>
      <c r="E126" s="111" t="n"/>
      <c r="F126" s="110">
        <f>IF(E126="","",IFERROR(INDEX('Catalogos_PDN'!$C$5:$C$49,MATCH(E126,PN_METAS,0)),""))</f>
        <v/>
      </c>
      <c r="G126" s="110">
        <f>IF(E126="","",IFERROR(INDEX('Catalogos_PDN'!$E$5:$E$49,MATCH(E126,PN_METAS,0)),""))</f>
        <v/>
      </c>
      <c r="H126" s="111" t="n"/>
      <c r="I126" s="111" t="n"/>
      <c r="J126" s="111" t="n"/>
      <c r="K126" s="111" t="n"/>
      <c r="L126" s="111" t="n"/>
      <c r="M126" s="112" t="n"/>
      <c r="N126" s="111" t="n"/>
      <c r="O126" s="111" t="n"/>
      <c r="P126" s="111" t="n"/>
      <c r="Q126" s="111" t="n"/>
      <c r="R126" s="111" t="n"/>
      <c r="S126" s="111" t="n"/>
      <c r="T126" s="111" t="n"/>
      <c r="U126" s="111" t="n"/>
      <c r="V126" s="111" t="n"/>
      <c r="W126" s="113" t="n"/>
      <c r="X126" s="113" t="n"/>
      <c r="Y126" s="111" t="n"/>
      <c r="Z126" s="111" t="n"/>
      <c r="AA126" s="111" t="n"/>
      <c r="AB126" s="111" t="n"/>
      <c r="AC126" s="111" t="n"/>
      <c r="AD126" s="111" t="n"/>
      <c r="AE126" s="111" t="n"/>
      <c r="AF126" s="111" t="n"/>
      <c r="AG126" s="111" t="n"/>
      <c r="AH126" s="111" t="n"/>
      <c r="AI126" s="111" t="n"/>
      <c r="AJ126" s="114">
        <f>IF(COUNTA(B126,E126,H126,I126,J126,K126,L126,M126,N126,O126,P126,Q126,R126,S126,T126,U126,V126,W126,X126,Y126,Z126,AA126,AB126,AC126,AD126,AE126,AF126,AG126,AH126,AI126)=0,"",IF(OR(B126="",E126="",H126="",J126="",K126="",L126="",M126="",O126="",P126="",Q126="",R126="",S126="",T126="",U126="",W126="",X126="",Y126="",AB126="",AC126="",AE126="",AF126=""),"Incompleta: faltan campos obligatorios",IF(AND(LEFT(H126,6)="PROPIA",I126=""),"Falta el nombre de la acción propia del área",IF(AND(LEFT(H126,4)="AC27",IFERROR(INDEX('Catalogos_PDN'!$T$5:$T$207,MATCH(H126,'Catalogos_PDN'!$U$5:$U$207,0)),"x")&lt;&gt;LEFT(E126,7)),"La acción no corresponde a la meta seleccionada",IF(OR(NOT(ISNUMBER(M126)),M126&lt;10000000,M126&gt;99999999),"Código UNSPSC inválido: registre 8 dígitos",IF(MOD(M126,10000)=0,"UNSPSC a nivel de segmento o familia: use clase o producto",IF(IFERROR(MATCH(P126,PN_MESES,0)&lt;MATCH(O126,PN_MESES,0),TRUE()),"El mes de ofertas es anterior al de inicio del proceso",IF(OR(NOT(ISNUMBER(Q126)),Q126&lt;=0),"Duración inválida",IF(OR(NOT(ISNUMBER(W126)),NOT(ISNUMBER(X126))),"Valor inválido: registre solo números",IF(OR(W126&lt;=0,X126&lt;=0),"Valor inválido: debe ser mayor que cero",IF(X126&gt;W126,"El valor de la vigencia 2027 supera el valor total",IF(AND(X126&lt;W126,Y126="No"),"El valor total supera el de 2027: requiere vigencias futuras",IF(AND(Y126="Sí",OR(Z126="",Z126="No aplica")),"Indique el estado de la solicitud de vigencias futuras",IF(IF(AND(S126="Mínima cuantía",ISNUMBER(PN_TOPE_MINIMA)),W126&gt;PN_TOPE_MINIMA,FALSE()),"El valor supera el tope de mínima cuantía 2027",IF(IF(AND(S126="Selección abreviada de menor cuantía",ISNUMBER(PN_TOPE_MENOR)),W126&gt;PN_TOPE_MENOR,FALSE()),"El valor supera el tope de menor cuantía 2027",IF(OR(ISERROR(SEARCH("@itc.edu.co",AE126)),SUMPRODUCT(--ISNUMBER(SEARCH({"á","é","í","ó","ú","ñ"," "},AE126)))&gt;0),"El correo del responsable no es institucional válido",IF(AND(AF126="Sí",AG126=""),"Indique el N.° de registro 2026 que continúa","OK")))))))))))))))))</f>
        <v/>
      </c>
      <c r="AK126" s="114">
        <f>IF(AJ126="OK",COUNTIF($AJ$7:AJ126,"OK"),"")</f>
        <v/>
      </c>
    </row>
    <row r="127">
      <c r="A127" s="110">
        <f>"PN27-"&amp;TEXT(ROW()-6,"000")</f>
        <v/>
      </c>
      <c r="B127" s="111" t="n"/>
      <c r="C127" s="110">
        <f>IF(B127="","",IFERROR(INDEX('Catalogos_PDN'!$R$5:$R$51,MATCH(B127,PN_AREAS,0)),""))</f>
        <v/>
      </c>
      <c r="D127" s="110">
        <f>IF(B127="","",IFERROR(INDEX('Catalogos_PDN'!$O$5:$O$51,MATCH(B127,PN_AREAS,0)),""))</f>
        <v/>
      </c>
      <c r="E127" s="111" t="n"/>
      <c r="F127" s="110">
        <f>IF(E127="","",IFERROR(INDEX('Catalogos_PDN'!$C$5:$C$49,MATCH(E127,PN_METAS,0)),""))</f>
        <v/>
      </c>
      <c r="G127" s="110">
        <f>IF(E127="","",IFERROR(INDEX('Catalogos_PDN'!$E$5:$E$49,MATCH(E127,PN_METAS,0)),""))</f>
        <v/>
      </c>
      <c r="H127" s="111" t="n"/>
      <c r="I127" s="111" t="n"/>
      <c r="J127" s="111" t="n"/>
      <c r="K127" s="111" t="n"/>
      <c r="L127" s="111" t="n"/>
      <c r="M127" s="112" t="n"/>
      <c r="N127" s="111" t="n"/>
      <c r="O127" s="111" t="n"/>
      <c r="P127" s="111" t="n"/>
      <c r="Q127" s="111" t="n"/>
      <c r="R127" s="111" t="n"/>
      <c r="S127" s="111" t="n"/>
      <c r="T127" s="111" t="n"/>
      <c r="U127" s="111" t="n"/>
      <c r="V127" s="111" t="n"/>
      <c r="W127" s="113" t="n"/>
      <c r="X127" s="113" t="n"/>
      <c r="Y127" s="111" t="n"/>
      <c r="Z127" s="111" t="n"/>
      <c r="AA127" s="111" t="n"/>
      <c r="AB127" s="111" t="n"/>
      <c r="AC127" s="111" t="n"/>
      <c r="AD127" s="111" t="n"/>
      <c r="AE127" s="111" t="n"/>
      <c r="AF127" s="111" t="n"/>
      <c r="AG127" s="111" t="n"/>
      <c r="AH127" s="111" t="n"/>
      <c r="AI127" s="111" t="n"/>
      <c r="AJ127" s="114">
        <f>IF(COUNTA(B127,E127,H127,I127,J127,K127,L127,M127,N127,O127,P127,Q127,R127,S127,T127,U127,V127,W127,X127,Y127,Z127,AA127,AB127,AC127,AD127,AE127,AF127,AG127,AH127,AI127)=0,"",IF(OR(B127="",E127="",H127="",J127="",K127="",L127="",M127="",O127="",P127="",Q127="",R127="",S127="",T127="",U127="",W127="",X127="",Y127="",AB127="",AC127="",AE127="",AF127=""),"Incompleta: faltan campos obligatorios",IF(AND(LEFT(H127,6)="PROPIA",I127=""),"Falta el nombre de la acción propia del área",IF(AND(LEFT(H127,4)="AC27",IFERROR(INDEX('Catalogos_PDN'!$T$5:$T$207,MATCH(H127,'Catalogos_PDN'!$U$5:$U$207,0)),"x")&lt;&gt;LEFT(E127,7)),"La acción no corresponde a la meta seleccionada",IF(OR(NOT(ISNUMBER(M127)),M127&lt;10000000,M127&gt;99999999),"Código UNSPSC inválido: registre 8 dígitos",IF(MOD(M127,10000)=0,"UNSPSC a nivel de segmento o familia: use clase o producto",IF(IFERROR(MATCH(P127,PN_MESES,0)&lt;MATCH(O127,PN_MESES,0),TRUE()),"El mes de ofertas es anterior al de inicio del proceso",IF(OR(NOT(ISNUMBER(Q127)),Q127&lt;=0),"Duración inválida",IF(OR(NOT(ISNUMBER(W127)),NOT(ISNUMBER(X127))),"Valor inválido: registre solo números",IF(OR(W127&lt;=0,X127&lt;=0),"Valor inválido: debe ser mayor que cero",IF(X127&gt;W127,"El valor de la vigencia 2027 supera el valor total",IF(AND(X127&lt;W127,Y127="No"),"El valor total supera el de 2027: requiere vigencias futuras",IF(AND(Y127="Sí",OR(Z127="",Z127="No aplica")),"Indique el estado de la solicitud de vigencias futuras",IF(IF(AND(S127="Mínima cuantía",ISNUMBER(PN_TOPE_MINIMA)),W127&gt;PN_TOPE_MINIMA,FALSE()),"El valor supera el tope de mínima cuantía 2027",IF(IF(AND(S127="Selección abreviada de menor cuantía",ISNUMBER(PN_TOPE_MENOR)),W127&gt;PN_TOPE_MENOR,FALSE()),"El valor supera el tope de menor cuantía 2027",IF(OR(ISERROR(SEARCH("@itc.edu.co",AE127)),SUMPRODUCT(--ISNUMBER(SEARCH({"á","é","í","ó","ú","ñ"," "},AE127)))&gt;0),"El correo del responsable no es institucional válido",IF(AND(AF127="Sí",AG127=""),"Indique el N.° de registro 2026 que continúa","OK")))))))))))))))))</f>
        <v/>
      </c>
      <c r="AK127" s="114">
        <f>IF(AJ127="OK",COUNTIF($AJ$7:AJ127,"OK"),"")</f>
        <v/>
      </c>
    </row>
    <row r="128">
      <c r="A128" s="110">
        <f>"PN27-"&amp;TEXT(ROW()-6,"000")</f>
        <v/>
      </c>
      <c r="B128" s="111" t="n"/>
      <c r="C128" s="110">
        <f>IF(B128="","",IFERROR(INDEX('Catalogos_PDN'!$R$5:$R$51,MATCH(B128,PN_AREAS,0)),""))</f>
        <v/>
      </c>
      <c r="D128" s="110">
        <f>IF(B128="","",IFERROR(INDEX('Catalogos_PDN'!$O$5:$O$51,MATCH(B128,PN_AREAS,0)),""))</f>
        <v/>
      </c>
      <c r="E128" s="111" t="n"/>
      <c r="F128" s="110">
        <f>IF(E128="","",IFERROR(INDEX('Catalogos_PDN'!$C$5:$C$49,MATCH(E128,PN_METAS,0)),""))</f>
        <v/>
      </c>
      <c r="G128" s="110">
        <f>IF(E128="","",IFERROR(INDEX('Catalogos_PDN'!$E$5:$E$49,MATCH(E128,PN_METAS,0)),""))</f>
        <v/>
      </c>
      <c r="H128" s="111" t="n"/>
      <c r="I128" s="111" t="n"/>
      <c r="J128" s="111" t="n"/>
      <c r="K128" s="111" t="n"/>
      <c r="L128" s="111" t="n"/>
      <c r="M128" s="112" t="n"/>
      <c r="N128" s="111" t="n"/>
      <c r="O128" s="111" t="n"/>
      <c r="P128" s="111" t="n"/>
      <c r="Q128" s="111" t="n"/>
      <c r="R128" s="111" t="n"/>
      <c r="S128" s="111" t="n"/>
      <c r="T128" s="111" t="n"/>
      <c r="U128" s="111" t="n"/>
      <c r="V128" s="111" t="n"/>
      <c r="W128" s="113" t="n"/>
      <c r="X128" s="113" t="n"/>
      <c r="Y128" s="111" t="n"/>
      <c r="Z128" s="111" t="n"/>
      <c r="AA128" s="111" t="n"/>
      <c r="AB128" s="111" t="n"/>
      <c r="AC128" s="111" t="n"/>
      <c r="AD128" s="111" t="n"/>
      <c r="AE128" s="111" t="n"/>
      <c r="AF128" s="111" t="n"/>
      <c r="AG128" s="111" t="n"/>
      <c r="AH128" s="111" t="n"/>
      <c r="AI128" s="111" t="n"/>
      <c r="AJ128" s="114">
        <f>IF(COUNTA(B128,E128,H128,I128,J128,K128,L128,M128,N128,O128,P128,Q128,R128,S128,T128,U128,V128,W128,X128,Y128,Z128,AA128,AB128,AC128,AD128,AE128,AF128,AG128,AH128,AI128)=0,"",IF(OR(B128="",E128="",H128="",J128="",K128="",L128="",M128="",O128="",P128="",Q128="",R128="",S128="",T128="",U128="",W128="",X128="",Y128="",AB128="",AC128="",AE128="",AF128=""),"Incompleta: faltan campos obligatorios",IF(AND(LEFT(H128,6)="PROPIA",I128=""),"Falta el nombre de la acción propia del área",IF(AND(LEFT(H128,4)="AC27",IFERROR(INDEX('Catalogos_PDN'!$T$5:$T$207,MATCH(H128,'Catalogos_PDN'!$U$5:$U$207,0)),"x")&lt;&gt;LEFT(E128,7)),"La acción no corresponde a la meta seleccionada",IF(OR(NOT(ISNUMBER(M128)),M128&lt;10000000,M128&gt;99999999),"Código UNSPSC inválido: registre 8 dígitos",IF(MOD(M128,10000)=0,"UNSPSC a nivel de segmento o familia: use clase o producto",IF(IFERROR(MATCH(P128,PN_MESES,0)&lt;MATCH(O128,PN_MESES,0),TRUE()),"El mes de ofertas es anterior al de inicio del proceso",IF(OR(NOT(ISNUMBER(Q128)),Q128&lt;=0),"Duración inválida",IF(OR(NOT(ISNUMBER(W128)),NOT(ISNUMBER(X128))),"Valor inválido: registre solo números",IF(OR(W128&lt;=0,X128&lt;=0),"Valor inválido: debe ser mayor que cero",IF(X128&gt;W128,"El valor de la vigencia 2027 supera el valor total",IF(AND(X128&lt;W128,Y128="No"),"El valor total supera el de 2027: requiere vigencias futuras",IF(AND(Y128="Sí",OR(Z128="",Z128="No aplica")),"Indique el estado de la solicitud de vigencias futuras",IF(IF(AND(S128="Mínima cuantía",ISNUMBER(PN_TOPE_MINIMA)),W128&gt;PN_TOPE_MINIMA,FALSE()),"El valor supera el tope de mínima cuantía 2027",IF(IF(AND(S128="Selección abreviada de menor cuantía",ISNUMBER(PN_TOPE_MENOR)),W128&gt;PN_TOPE_MENOR,FALSE()),"El valor supera el tope de menor cuantía 2027",IF(OR(ISERROR(SEARCH("@itc.edu.co",AE128)),SUMPRODUCT(--ISNUMBER(SEARCH({"á","é","í","ó","ú","ñ"," "},AE128)))&gt;0),"El correo del responsable no es institucional válido",IF(AND(AF128="Sí",AG128=""),"Indique el N.° de registro 2026 que continúa","OK")))))))))))))))))</f>
        <v/>
      </c>
      <c r="AK128" s="114">
        <f>IF(AJ128="OK",COUNTIF($AJ$7:AJ128,"OK"),"")</f>
        <v/>
      </c>
    </row>
    <row r="129">
      <c r="A129" s="110">
        <f>"PN27-"&amp;TEXT(ROW()-6,"000")</f>
        <v/>
      </c>
      <c r="B129" s="111" t="n"/>
      <c r="C129" s="110">
        <f>IF(B129="","",IFERROR(INDEX('Catalogos_PDN'!$R$5:$R$51,MATCH(B129,PN_AREAS,0)),""))</f>
        <v/>
      </c>
      <c r="D129" s="110">
        <f>IF(B129="","",IFERROR(INDEX('Catalogos_PDN'!$O$5:$O$51,MATCH(B129,PN_AREAS,0)),""))</f>
        <v/>
      </c>
      <c r="E129" s="111" t="n"/>
      <c r="F129" s="110">
        <f>IF(E129="","",IFERROR(INDEX('Catalogos_PDN'!$C$5:$C$49,MATCH(E129,PN_METAS,0)),""))</f>
        <v/>
      </c>
      <c r="G129" s="110">
        <f>IF(E129="","",IFERROR(INDEX('Catalogos_PDN'!$E$5:$E$49,MATCH(E129,PN_METAS,0)),""))</f>
        <v/>
      </c>
      <c r="H129" s="111" t="n"/>
      <c r="I129" s="111" t="n"/>
      <c r="J129" s="111" t="n"/>
      <c r="K129" s="111" t="n"/>
      <c r="L129" s="111" t="n"/>
      <c r="M129" s="112" t="n"/>
      <c r="N129" s="111" t="n"/>
      <c r="O129" s="111" t="n"/>
      <c r="P129" s="111" t="n"/>
      <c r="Q129" s="111" t="n"/>
      <c r="R129" s="111" t="n"/>
      <c r="S129" s="111" t="n"/>
      <c r="T129" s="111" t="n"/>
      <c r="U129" s="111" t="n"/>
      <c r="V129" s="111" t="n"/>
      <c r="W129" s="113" t="n"/>
      <c r="X129" s="113" t="n"/>
      <c r="Y129" s="111" t="n"/>
      <c r="Z129" s="111" t="n"/>
      <c r="AA129" s="111" t="n"/>
      <c r="AB129" s="111" t="n"/>
      <c r="AC129" s="111" t="n"/>
      <c r="AD129" s="111" t="n"/>
      <c r="AE129" s="111" t="n"/>
      <c r="AF129" s="111" t="n"/>
      <c r="AG129" s="111" t="n"/>
      <c r="AH129" s="111" t="n"/>
      <c r="AI129" s="111" t="n"/>
      <c r="AJ129" s="114">
        <f>IF(COUNTA(B129,E129,H129,I129,J129,K129,L129,M129,N129,O129,P129,Q129,R129,S129,T129,U129,V129,W129,X129,Y129,Z129,AA129,AB129,AC129,AD129,AE129,AF129,AG129,AH129,AI129)=0,"",IF(OR(B129="",E129="",H129="",J129="",K129="",L129="",M129="",O129="",P129="",Q129="",R129="",S129="",T129="",U129="",W129="",X129="",Y129="",AB129="",AC129="",AE129="",AF129=""),"Incompleta: faltan campos obligatorios",IF(AND(LEFT(H129,6)="PROPIA",I129=""),"Falta el nombre de la acción propia del área",IF(AND(LEFT(H129,4)="AC27",IFERROR(INDEX('Catalogos_PDN'!$T$5:$T$207,MATCH(H129,'Catalogos_PDN'!$U$5:$U$207,0)),"x")&lt;&gt;LEFT(E129,7)),"La acción no corresponde a la meta seleccionada",IF(OR(NOT(ISNUMBER(M129)),M129&lt;10000000,M129&gt;99999999),"Código UNSPSC inválido: registre 8 dígitos",IF(MOD(M129,10000)=0,"UNSPSC a nivel de segmento o familia: use clase o producto",IF(IFERROR(MATCH(P129,PN_MESES,0)&lt;MATCH(O129,PN_MESES,0),TRUE()),"El mes de ofertas es anterior al de inicio del proceso",IF(OR(NOT(ISNUMBER(Q129)),Q129&lt;=0),"Duración inválida",IF(OR(NOT(ISNUMBER(W129)),NOT(ISNUMBER(X129))),"Valor inválido: registre solo números",IF(OR(W129&lt;=0,X129&lt;=0),"Valor inválido: debe ser mayor que cero",IF(X129&gt;W129,"El valor de la vigencia 2027 supera el valor total",IF(AND(X129&lt;W129,Y129="No"),"El valor total supera el de 2027: requiere vigencias futuras",IF(AND(Y129="Sí",OR(Z129="",Z129="No aplica")),"Indique el estado de la solicitud de vigencias futuras",IF(IF(AND(S129="Mínima cuantía",ISNUMBER(PN_TOPE_MINIMA)),W129&gt;PN_TOPE_MINIMA,FALSE()),"El valor supera el tope de mínima cuantía 2027",IF(IF(AND(S129="Selección abreviada de menor cuantía",ISNUMBER(PN_TOPE_MENOR)),W129&gt;PN_TOPE_MENOR,FALSE()),"El valor supera el tope de menor cuantía 2027",IF(OR(ISERROR(SEARCH("@itc.edu.co",AE129)),SUMPRODUCT(--ISNUMBER(SEARCH({"á","é","í","ó","ú","ñ"," "},AE129)))&gt;0),"El correo del responsable no es institucional válido",IF(AND(AF129="Sí",AG129=""),"Indique el N.° de registro 2026 que continúa","OK")))))))))))))))))</f>
        <v/>
      </c>
      <c r="AK129" s="114">
        <f>IF(AJ129="OK",COUNTIF($AJ$7:AJ129,"OK"),"")</f>
        <v/>
      </c>
    </row>
    <row r="130">
      <c r="A130" s="110">
        <f>"PN27-"&amp;TEXT(ROW()-6,"000")</f>
        <v/>
      </c>
      <c r="B130" s="111" t="n"/>
      <c r="C130" s="110">
        <f>IF(B130="","",IFERROR(INDEX('Catalogos_PDN'!$R$5:$R$51,MATCH(B130,PN_AREAS,0)),""))</f>
        <v/>
      </c>
      <c r="D130" s="110">
        <f>IF(B130="","",IFERROR(INDEX('Catalogos_PDN'!$O$5:$O$51,MATCH(B130,PN_AREAS,0)),""))</f>
        <v/>
      </c>
      <c r="E130" s="111" t="n"/>
      <c r="F130" s="110">
        <f>IF(E130="","",IFERROR(INDEX('Catalogos_PDN'!$C$5:$C$49,MATCH(E130,PN_METAS,0)),""))</f>
        <v/>
      </c>
      <c r="G130" s="110">
        <f>IF(E130="","",IFERROR(INDEX('Catalogos_PDN'!$E$5:$E$49,MATCH(E130,PN_METAS,0)),""))</f>
        <v/>
      </c>
      <c r="H130" s="111" t="n"/>
      <c r="I130" s="111" t="n"/>
      <c r="J130" s="111" t="n"/>
      <c r="K130" s="111" t="n"/>
      <c r="L130" s="111" t="n"/>
      <c r="M130" s="112" t="n"/>
      <c r="N130" s="111" t="n"/>
      <c r="O130" s="111" t="n"/>
      <c r="P130" s="111" t="n"/>
      <c r="Q130" s="111" t="n"/>
      <c r="R130" s="111" t="n"/>
      <c r="S130" s="111" t="n"/>
      <c r="T130" s="111" t="n"/>
      <c r="U130" s="111" t="n"/>
      <c r="V130" s="111" t="n"/>
      <c r="W130" s="113" t="n"/>
      <c r="X130" s="113" t="n"/>
      <c r="Y130" s="111" t="n"/>
      <c r="Z130" s="111" t="n"/>
      <c r="AA130" s="111" t="n"/>
      <c r="AB130" s="111" t="n"/>
      <c r="AC130" s="111" t="n"/>
      <c r="AD130" s="111" t="n"/>
      <c r="AE130" s="111" t="n"/>
      <c r="AF130" s="111" t="n"/>
      <c r="AG130" s="111" t="n"/>
      <c r="AH130" s="111" t="n"/>
      <c r="AI130" s="111" t="n"/>
      <c r="AJ130" s="114">
        <f>IF(COUNTA(B130,E130,H130,I130,J130,K130,L130,M130,N130,O130,P130,Q130,R130,S130,T130,U130,V130,W130,X130,Y130,Z130,AA130,AB130,AC130,AD130,AE130,AF130,AG130,AH130,AI130)=0,"",IF(OR(B130="",E130="",H130="",J130="",K130="",L130="",M130="",O130="",P130="",Q130="",R130="",S130="",T130="",U130="",W130="",X130="",Y130="",AB130="",AC130="",AE130="",AF130=""),"Incompleta: faltan campos obligatorios",IF(AND(LEFT(H130,6)="PROPIA",I130=""),"Falta el nombre de la acción propia del área",IF(AND(LEFT(H130,4)="AC27",IFERROR(INDEX('Catalogos_PDN'!$T$5:$T$207,MATCH(H130,'Catalogos_PDN'!$U$5:$U$207,0)),"x")&lt;&gt;LEFT(E130,7)),"La acción no corresponde a la meta seleccionada",IF(OR(NOT(ISNUMBER(M130)),M130&lt;10000000,M130&gt;99999999),"Código UNSPSC inválido: registre 8 dígitos",IF(MOD(M130,10000)=0,"UNSPSC a nivel de segmento o familia: use clase o producto",IF(IFERROR(MATCH(P130,PN_MESES,0)&lt;MATCH(O130,PN_MESES,0),TRUE()),"El mes de ofertas es anterior al de inicio del proceso",IF(OR(NOT(ISNUMBER(Q130)),Q130&lt;=0),"Duración inválida",IF(OR(NOT(ISNUMBER(W130)),NOT(ISNUMBER(X130))),"Valor inválido: registre solo números",IF(OR(W130&lt;=0,X130&lt;=0),"Valor inválido: debe ser mayor que cero",IF(X130&gt;W130,"El valor de la vigencia 2027 supera el valor total",IF(AND(X130&lt;W130,Y130="No"),"El valor total supera el de 2027: requiere vigencias futuras",IF(AND(Y130="Sí",OR(Z130="",Z130="No aplica")),"Indique el estado de la solicitud de vigencias futuras",IF(IF(AND(S130="Mínima cuantía",ISNUMBER(PN_TOPE_MINIMA)),W130&gt;PN_TOPE_MINIMA,FALSE()),"El valor supera el tope de mínima cuantía 2027",IF(IF(AND(S130="Selección abreviada de menor cuantía",ISNUMBER(PN_TOPE_MENOR)),W130&gt;PN_TOPE_MENOR,FALSE()),"El valor supera el tope de menor cuantía 2027",IF(OR(ISERROR(SEARCH("@itc.edu.co",AE130)),SUMPRODUCT(--ISNUMBER(SEARCH({"á","é","í","ó","ú","ñ"," "},AE130)))&gt;0),"El correo del responsable no es institucional válido",IF(AND(AF130="Sí",AG130=""),"Indique el N.° de registro 2026 que continúa","OK")))))))))))))))))</f>
        <v/>
      </c>
      <c r="AK130" s="114">
        <f>IF(AJ130="OK",COUNTIF($AJ$7:AJ130,"OK"),"")</f>
        <v/>
      </c>
    </row>
    <row r="131">
      <c r="A131" s="110">
        <f>"PN27-"&amp;TEXT(ROW()-6,"000")</f>
        <v/>
      </c>
      <c r="B131" s="111" t="n"/>
      <c r="C131" s="110">
        <f>IF(B131="","",IFERROR(INDEX('Catalogos_PDN'!$R$5:$R$51,MATCH(B131,PN_AREAS,0)),""))</f>
        <v/>
      </c>
      <c r="D131" s="110">
        <f>IF(B131="","",IFERROR(INDEX('Catalogos_PDN'!$O$5:$O$51,MATCH(B131,PN_AREAS,0)),""))</f>
        <v/>
      </c>
      <c r="E131" s="111" t="n"/>
      <c r="F131" s="110">
        <f>IF(E131="","",IFERROR(INDEX('Catalogos_PDN'!$C$5:$C$49,MATCH(E131,PN_METAS,0)),""))</f>
        <v/>
      </c>
      <c r="G131" s="110">
        <f>IF(E131="","",IFERROR(INDEX('Catalogos_PDN'!$E$5:$E$49,MATCH(E131,PN_METAS,0)),""))</f>
        <v/>
      </c>
      <c r="H131" s="111" t="n"/>
      <c r="I131" s="111" t="n"/>
      <c r="J131" s="111" t="n"/>
      <c r="K131" s="111" t="n"/>
      <c r="L131" s="111" t="n"/>
      <c r="M131" s="112" t="n"/>
      <c r="N131" s="111" t="n"/>
      <c r="O131" s="111" t="n"/>
      <c r="P131" s="111" t="n"/>
      <c r="Q131" s="111" t="n"/>
      <c r="R131" s="111" t="n"/>
      <c r="S131" s="111" t="n"/>
      <c r="T131" s="111" t="n"/>
      <c r="U131" s="111" t="n"/>
      <c r="V131" s="111" t="n"/>
      <c r="W131" s="113" t="n"/>
      <c r="X131" s="113" t="n"/>
      <c r="Y131" s="111" t="n"/>
      <c r="Z131" s="111" t="n"/>
      <c r="AA131" s="111" t="n"/>
      <c r="AB131" s="111" t="n"/>
      <c r="AC131" s="111" t="n"/>
      <c r="AD131" s="111" t="n"/>
      <c r="AE131" s="111" t="n"/>
      <c r="AF131" s="111" t="n"/>
      <c r="AG131" s="111" t="n"/>
      <c r="AH131" s="111" t="n"/>
      <c r="AI131" s="111" t="n"/>
      <c r="AJ131" s="114">
        <f>IF(COUNTA(B131,E131,H131,I131,J131,K131,L131,M131,N131,O131,P131,Q131,R131,S131,T131,U131,V131,W131,X131,Y131,Z131,AA131,AB131,AC131,AD131,AE131,AF131,AG131,AH131,AI131)=0,"",IF(OR(B131="",E131="",H131="",J131="",K131="",L131="",M131="",O131="",P131="",Q131="",R131="",S131="",T131="",U131="",W131="",X131="",Y131="",AB131="",AC131="",AE131="",AF131=""),"Incompleta: faltan campos obligatorios",IF(AND(LEFT(H131,6)="PROPIA",I131=""),"Falta el nombre de la acción propia del área",IF(AND(LEFT(H131,4)="AC27",IFERROR(INDEX('Catalogos_PDN'!$T$5:$T$207,MATCH(H131,'Catalogos_PDN'!$U$5:$U$207,0)),"x")&lt;&gt;LEFT(E131,7)),"La acción no corresponde a la meta seleccionada",IF(OR(NOT(ISNUMBER(M131)),M131&lt;10000000,M131&gt;99999999),"Código UNSPSC inválido: registre 8 dígitos",IF(MOD(M131,10000)=0,"UNSPSC a nivel de segmento o familia: use clase o producto",IF(IFERROR(MATCH(P131,PN_MESES,0)&lt;MATCH(O131,PN_MESES,0),TRUE()),"El mes de ofertas es anterior al de inicio del proceso",IF(OR(NOT(ISNUMBER(Q131)),Q131&lt;=0),"Duración inválida",IF(OR(NOT(ISNUMBER(W131)),NOT(ISNUMBER(X131))),"Valor inválido: registre solo números",IF(OR(W131&lt;=0,X131&lt;=0),"Valor inválido: debe ser mayor que cero",IF(X131&gt;W131,"El valor de la vigencia 2027 supera el valor total",IF(AND(X131&lt;W131,Y131="No"),"El valor total supera el de 2027: requiere vigencias futuras",IF(AND(Y131="Sí",OR(Z131="",Z131="No aplica")),"Indique el estado de la solicitud de vigencias futuras",IF(IF(AND(S131="Mínima cuantía",ISNUMBER(PN_TOPE_MINIMA)),W131&gt;PN_TOPE_MINIMA,FALSE()),"El valor supera el tope de mínima cuantía 2027",IF(IF(AND(S131="Selección abreviada de menor cuantía",ISNUMBER(PN_TOPE_MENOR)),W131&gt;PN_TOPE_MENOR,FALSE()),"El valor supera el tope de menor cuantía 2027",IF(OR(ISERROR(SEARCH("@itc.edu.co",AE131)),SUMPRODUCT(--ISNUMBER(SEARCH({"á","é","í","ó","ú","ñ"," "},AE131)))&gt;0),"El correo del responsable no es institucional válido",IF(AND(AF131="Sí",AG131=""),"Indique el N.° de registro 2026 que continúa","OK")))))))))))))))))</f>
        <v/>
      </c>
      <c r="AK131" s="114">
        <f>IF(AJ131="OK",COUNTIF($AJ$7:AJ131,"OK"),"")</f>
        <v/>
      </c>
    </row>
    <row r="132">
      <c r="A132" s="110">
        <f>"PN27-"&amp;TEXT(ROW()-6,"000")</f>
        <v/>
      </c>
      <c r="B132" s="111" t="n"/>
      <c r="C132" s="110">
        <f>IF(B132="","",IFERROR(INDEX('Catalogos_PDN'!$R$5:$R$51,MATCH(B132,PN_AREAS,0)),""))</f>
        <v/>
      </c>
      <c r="D132" s="110">
        <f>IF(B132="","",IFERROR(INDEX('Catalogos_PDN'!$O$5:$O$51,MATCH(B132,PN_AREAS,0)),""))</f>
        <v/>
      </c>
      <c r="E132" s="111" t="n"/>
      <c r="F132" s="110">
        <f>IF(E132="","",IFERROR(INDEX('Catalogos_PDN'!$C$5:$C$49,MATCH(E132,PN_METAS,0)),""))</f>
        <v/>
      </c>
      <c r="G132" s="110">
        <f>IF(E132="","",IFERROR(INDEX('Catalogos_PDN'!$E$5:$E$49,MATCH(E132,PN_METAS,0)),""))</f>
        <v/>
      </c>
      <c r="H132" s="111" t="n"/>
      <c r="I132" s="111" t="n"/>
      <c r="J132" s="111" t="n"/>
      <c r="K132" s="111" t="n"/>
      <c r="L132" s="111" t="n"/>
      <c r="M132" s="112" t="n"/>
      <c r="N132" s="111" t="n"/>
      <c r="O132" s="111" t="n"/>
      <c r="P132" s="111" t="n"/>
      <c r="Q132" s="111" t="n"/>
      <c r="R132" s="111" t="n"/>
      <c r="S132" s="111" t="n"/>
      <c r="T132" s="111" t="n"/>
      <c r="U132" s="111" t="n"/>
      <c r="V132" s="111" t="n"/>
      <c r="W132" s="113" t="n"/>
      <c r="X132" s="113" t="n"/>
      <c r="Y132" s="111" t="n"/>
      <c r="Z132" s="111" t="n"/>
      <c r="AA132" s="111" t="n"/>
      <c r="AB132" s="111" t="n"/>
      <c r="AC132" s="111" t="n"/>
      <c r="AD132" s="111" t="n"/>
      <c r="AE132" s="111" t="n"/>
      <c r="AF132" s="111" t="n"/>
      <c r="AG132" s="111" t="n"/>
      <c r="AH132" s="111" t="n"/>
      <c r="AI132" s="111" t="n"/>
      <c r="AJ132" s="114">
        <f>IF(COUNTA(B132,E132,H132,I132,J132,K132,L132,M132,N132,O132,P132,Q132,R132,S132,T132,U132,V132,W132,X132,Y132,Z132,AA132,AB132,AC132,AD132,AE132,AF132,AG132,AH132,AI132)=0,"",IF(OR(B132="",E132="",H132="",J132="",K132="",L132="",M132="",O132="",P132="",Q132="",R132="",S132="",T132="",U132="",W132="",X132="",Y132="",AB132="",AC132="",AE132="",AF132=""),"Incompleta: faltan campos obligatorios",IF(AND(LEFT(H132,6)="PROPIA",I132=""),"Falta el nombre de la acción propia del área",IF(AND(LEFT(H132,4)="AC27",IFERROR(INDEX('Catalogos_PDN'!$T$5:$T$207,MATCH(H132,'Catalogos_PDN'!$U$5:$U$207,0)),"x")&lt;&gt;LEFT(E132,7)),"La acción no corresponde a la meta seleccionada",IF(OR(NOT(ISNUMBER(M132)),M132&lt;10000000,M132&gt;99999999),"Código UNSPSC inválido: registre 8 dígitos",IF(MOD(M132,10000)=0,"UNSPSC a nivel de segmento o familia: use clase o producto",IF(IFERROR(MATCH(P132,PN_MESES,0)&lt;MATCH(O132,PN_MESES,0),TRUE()),"El mes de ofertas es anterior al de inicio del proceso",IF(OR(NOT(ISNUMBER(Q132)),Q132&lt;=0),"Duración inválida",IF(OR(NOT(ISNUMBER(W132)),NOT(ISNUMBER(X132))),"Valor inválido: registre solo números",IF(OR(W132&lt;=0,X132&lt;=0),"Valor inválido: debe ser mayor que cero",IF(X132&gt;W132,"El valor de la vigencia 2027 supera el valor total",IF(AND(X132&lt;W132,Y132="No"),"El valor total supera el de 2027: requiere vigencias futuras",IF(AND(Y132="Sí",OR(Z132="",Z132="No aplica")),"Indique el estado de la solicitud de vigencias futuras",IF(IF(AND(S132="Mínima cuantía",ISNUMBER(PN_TOPE_MINIMA)),W132&gt;PN_TOPE_MINIMA,FALSE()),"El valor supera el tope de mínima cuantía 2027",IF(IF(AND(S132="Selección abreviada de menor cuantía",ISNUMBER(PN_TOPE_MENOR)),W132&gt;PN_TOPE_MENOR,FALSE()),"El valor supera el tope de menor cuantía 2027",IF(OR(ISERROR(SEARCH("@itc.edu.co",AE132)),SUMPRODUCT(--ISNUMBER(SEARCH({"á","é","í","ó","ú","ñ"," "},AE132)))&gt;0),"El correo del responsable no es institucional válido",IF(AND(AF132="Sí",AG132=""),"Indique el N.° de registro 2026 que continúa","OK")))))))))))))))))</f>
        <v/>
      </c>
      <c r="AK132" s="114">
        <f>IF(AJ132="OK",COUNTIF($AJ$7:AJ132,"OK"),"")</f>
        <v/>
      </c>
    </row>
    <row r="133">
      <c r="A133" s="110">
        <f>"PN27-"&amp;TEXT(ROW()-6,"000")</f>
        <v/>
      </c>
      <c r="B133" s="111" t="n"/>
      <c r="C133" s="110">
        <f>IF(B133="","",IFERROR(INDEX('Catalogos_PDN'!$R$5:$R$51,MATCH(B133,PN_AREAS,0)),""))</f>
        <v/>
      </c>
      <c r="D133" s="110">
        <f>IF(B133="","",IFERROR(INDEX('Catalogos_PDN'!$O$5:$O$51,MATCH(B133,PN_AREAS,0)),""))</f>
        <v/>
      </c>
      <c r="E133" s="111" t="n"/>
      <c r="F133" s="110">
        <f>IF(E133="","",IFERROR(INDEX('Catalogos_PDN'!$C$5:$C$49,MATCH(E133,PN_METAS,0)),""))</f>
        <v/>
      </c>
      <c r="G133" s="110">
        <f>IF(E133="","",IFERROR(INDEX('Catalogos_PDN'!$E$5:$E$49,MATCH(E133,PN_METAS,0)),""))</f>
        <v/>
      </c>
      <c r="H133" s="111" t="n"/>
      <c r="I133" s="111" t="n"/>
      <c r="J133" s="111" t="n"/>
      <c r="K133" s="111" t="n"/>
      <c r="L133" s="111" t="n"/>
      <c r="M133" s="112" t="n"/>
      <c r="N133" s="111" t="n"/>
      <c r="O133" s="111" t="n"/>
      <c r="P133" s="111" t="n"/>
      <c r="Q133" s="111" t="n"/>
      <c r="R133" s="111" t="n"/>
      <c r="S133" s="111" t="n"/>
      <c r="T133" s="111" t="n"/>
      <c r="U133" s="111" t="n"/>
      <c r="V133" s="111" t="n"/>
      <c r="W133" s="113" t="n"/>
      <c r="X133" s="113" t="n"/>
      <c r="Y133" s="111" t="n"/>
      <c r="Z133" s="111" t="n"/>
      <c r="AA133" s="111" t="n"/>
      <c r="AB133" s="111" t="n"/>
      <c r="AC133" s="111" t="n"/>
      <c r="AD133" s="111" t="n"/>
      <c r="AE133" s="111" t="n"/>
      <c r="AF133" s="111" t="n"/>
      <c r="AG133" s="111" t="n"/>
      <c r="AH133" s="111" t="n"/>
      <c r="AI133" s="111" t="n"/>
      <c r="AJ133" s="114">
        <f>IF(COUNTA(B133,E133,H133,I133,J133,K133,L133,M133,N133,O133,P133,Q133,R133,S133,T133,U133,V133,W133,X133,Y133,Z133,AA133,AB133,AC133,AD133,AE133,AF133,AG133,AH133,AI133)=0,"",IF(OR(B133="",E133="",H133="",J133="",K133="",L133="",M133="",O133="",P133="",Q133="",R133="",S133="",T133="",U133="",W133="",X133="",Y133="",AB133="",AC133="",AE133="",AF133=""),"Incompleta: faltan campos obligatorios",IF(AND(LEFT(H133,6)="PROPIA",I133=""),"Falta el nombre de la acción propia del área",IF(AND(LEFT(H133,4)="AC27",IFERROR(INDEX('Catalogos_PDN'!$T$5:$T$207,MATCH(H133,'Catalogos_PDN'!$U$5:$U$207,0)),"x")&lt;&gt;LEFT(E133,7)),"La acción no corresponde a la meta seleccionada",IF(OR(NOT(ISNUMBER(M133)),M133&lt;10000000,M133&gt;99999999),"Código UNSPSC inválido: registre 8 dígitos",IF(MOD(M133,10000)=0,"UNSPSC a nivel de segmento o familia: use clase o producto",IF(IFERROR(MATCH(P133,PN_MESES,0)&lt;MATCH(O133,PN_MESES,0),TRUE()),"El mes de ofertas es anterior al de inicio del proceso",IF(OR(NOT(ISNUMBER(Q133)),Q133&lt;=0),"Duración inválida",IF(OR(NOT(ISNUMBER(W133)),NOT(ISNUMBER(X133))),"Valor inválido: registre solo números",IF(OR(W133&lt;=0,X133&lt;=0),"Valor inválido: debe ser mayor que cero",IF(X133&gt;W133,"El valor de la vigencia 2027 supera el valor total",IF(AND(X133&lt;W133,Y133="No"),"El valor total supera el de 2027: requiere vigencias futuras",IF(AND(Y133="Sí",OR(Z133="",Z133="No aplica")),"Indique el estado de la solicitud de vigencias futuras",IF(IF(AND(S133="Mínima cuantía",ISNUMBER(PN_TOPE_MINIMA)),W133&gt;PN_TOPE_MINIMA,FALSE()),"El valor supera el tope de mínima cuantía 2027",IF(IF(AND(S133="Selección abreviada de menor cuantía",ISNUMBER(PN_TOPE_MENOR)),W133&gt;PN_TOPE_MENOR,FALSE()),"El valor supera el tope de menor cuantía 2027",IF(OR(ISERROR(SEARCH("@itc.edu.co",AE133)),SUMPRODUCT(--ISNUMBER(SEARCH({"á","é","í","ó","ú","ñ"," "},AE133)))&gt;0),"El correo del responsable no es institucional válido",IF(AND(AF133="Sí",AG133=""),"Indique el N.° de registro 2026 que continúa","OK")))))))))))))))))</f>
        <v/>
      </c>
      <c r="AK133" s="114">
        <f>IF(AJ133="OK",COUNTIF($AJ$7:AJ133,"OK"),"")</f>
        <v/>
      </c>
    </row>
    <row r="134">
      <c r="A134" s="110">
        <f>"PN27-"&amp;TEXT(ROW()-6,"000")</f>
        <v/>
      </c>
      <c r="B134" s="111" t="n"/>
      <c r="C134" s="110">
        <f>IF(B134="","",IFERROR(INDEX('Catalogos_PDN'!$R$5:$R$51,MATCH(B134,PN_AREAS,0)),""))</f>
        <v/>
      </c>
      <c r="D134" s="110">
        <f>IF(B134="","",IFERROR(INDEX('Catalogos_PDN'!$O$5:$O$51,MATCH(B134,PN_AREAS,0)),""))</f>
        <v/>
      </c>
      <c r="E134" s="111" t="n"/>
      <c r="F134" s="110">
        <f>IF(E134="","",IFERROR(INDEX('Catalogos_PDN'!$C$5:$C$49,MATCH(E134,PN_METAS,0)),""))</f>
        <v/>
      </c>
      <c r="G134" s="110">
        <f>IF(E134="","",IFERROR(INDEX('Catalogos_PDN'!$E$5:$E$49,MATCH(E134,PN_METAS,0)),""))</f>
        <v/>
      </c>
      <c r="H134" s="111" t="n"/>
      <c r="I134" s="111" t="n"/>
      <c r="J134" s="111" t="n"/>
      <c r="K134" s="111" t="n"/>
      <c r="L134" s="111" t="n"/>
      <c r="M134" s="112" t="n"/>
      <c r="N134" s="111" t="n"/>
      <c r="O134" s="111" t="n"/>
      <c r="P134" s="111" t="n"/>
      <c r="Q134" s="111" t="n"/>
      <c r="R134" s="111" t="n"/>
      <c r="S134" s="111" t="n"/>
      <c r="T134" s="111" t="n"/>
      <c r="U134" s="111" t="n"/>
      <c r="V134" s="111" t="n"/>
      <c r="W134" s="113" t="n"/>
      <c r="X134" s="113" t="n"/>
      <c r="Y134" s="111" t="n"/>
      <c r="Z134" s="111" t="n"/>
      <c r="AA134" s="111" t="n"/>
      <c r="AB134" s="111" t="n"/>
      <c r="AC134" s="111" t="n"/>
      <c r="AD134" s="111" t="n"/>
      <c r="AE134" s="111" t="n"/>
      <c r="AF134" s="111" t="n"/>
      <c r="AG134" s="111" t="n"/>
      <c r="AH134" s="111" t="n"/>
      <c r="AI134" s="111" t="n"/>
      <c r="AJ134" s="114">
        <f>IF(COUNTA(B134,E134,H134,I134,J134,K134,L134,M134,N134,O134,P134,Q134,R134,S134,T134,U134,V134,W134,X134,Y134,Z134,AA134,AB134,AC134,AD134,AE134,AF134,AG134,AH134,AI134)=0,"",IF(OR(B134="",E134="",H134="",J134="",K134="",L134="",M134="",O134="",P134="",Q134="",R134="",S134="",T134="",U134="",W134="",X134="",Y134="",AB134="",AC134="",AE134="",AF134=""),"Incompleta: faltan campos obligatorios",IF(AND(LEFT(H134,6)="PROPIA",I134=""),"Falta el nombre de la acción propia del área",IF(AND(LEFT(H134,4)="AC27",IFERROR(INDEX('Catalogos_PDN'!$T$5:$T$207,MATCH(H134,'Catalogos_PDN'!$U$5:$U$207,0)),"x")&lt;&gt;LEFT(E134,7)),"La acción no corresponde a la meta seleccionada",IF(OR(NOT(ISNUMBER(M134)),M134&lt;10000000,M134&gt;99999999),"Código UNSPSC inválido: registre 8 dígitos",IF(MOD(M134,10000)=0,"UNSPSC a nivel de segmento o familia: use clase o producto",IF(IFERROR(MATCH(P134,PN_MESES,0)&lt;MATCH(O134,PN_MESES,0),TRUE()),"El mes de ofertas es anterior al de inicio del proceso",IF(OR(NOT(ISNUMBER(Q134)),Q134&lt;=0),"Duración inválida",IF(OR(NOT(ISNUMBER(W134)),NOT(ISNUMBER(X134))),"Valor inválido: registre solo números",IF(OR(W134&lt;=0,X134&lt;=0),"Valor inválido: debe ser mayor que cero",IF(X134&gt;W134,"El valor de la vigencia 2027 supera el valor total",IF(AND(X134&lt;W134,Y134="No"),"El valor total supera el de 2027: requiere vigencias futuras",IF(AND(Y134="Sí",OR(Z134="",Z134="No aplica")),"Indique el estado de la solicitud de vigencias futuras",IF(IF(AND(S134="Mínima cuantía",ISNUMBER(PN_TOPE_MINIMA)),W134&gt;PN_TOPE_MINIMA,FALSE()),"El valor supera el tope de mínima cuantía 2027",IF(IF(AND(S134="Selección abreviada de menor cuantía",ISNUMBER(PN_TOPE_MENOR)),W134&gt;PN_TOPE_MENOR,FALSE()),"El valor supera el tope de menor cuantía 2027",IF(OR(ISERROR(SEARCH("@itc.edu.co",AE134)),SUMPRODUCT(--ISNUMBER(SEARCH({"á","é","í","ó","ú","ñ"," "},AE134)))&gt;0),"El correo del responsable no es institucional válido",IF(AND(AF134="Sí",AG134=""),"Indique el N.° de registro 2026 que continúa","OK")))))))))))))))))</f>
        <v/>
      </c>
      <c r="AK134" s="114">
        <f>IF(AJ134="OK",COUNTIF($AJ$7:AJ134,"OK"),"")</f>
        <v/>
      </c>
    </row>
    <row r="135">
      <c r="A135" s="110">
        <f>"PN27-"&amp;TEXT(ROW()-6,"000")</f>
        <v/>
      </c>
      <c r="B135" s="111" t="n"/>
      <c r="C135" s="110">
        <f>IF(B135="","",IFERROR(INDEX('Catalogos_PDN'!$R$5:$R$51,MATCH(B135,PN_AREAS,0)),""))</f>
        <v/>
      </c>
      <c r="D135" s="110">
        <f>IF(B135="","",IFERROR(INDEX('Catalogos_PDN'!$O$5:$O$51,MATCH(B135,PN_AREAS,0)),""))</f>
        <v/>
      </c>
      <c r="E135" s="111" t="n"/>
      <c r="F135" s="110">
        <f>IF(E135="","",IFERROR(INDEX('Catalogos_PDN'!$C$5:$C$49,MATCH(E135,PN_METAS,0)),""))</f>
        <v/>
      </c>
      <c r="G135" s="110">
        <f>IF(E135="","",IFERROR(INDEX('Catalogos_PDN'!$E$5:$E$49,MATCH(E135,PN_METAS,0)),""))</f>
        <v/>
      </c>
      <c r="H135" s="111" t="n"/>
      <c r="I135" s="111" t="n"/>
      <c r="J135" s="111" t="n"/>
      <c r="K135" s="111" t="n"/>
      <c r="L135" s="111" t="n"/>
      <c r="M135" s="112" t="n"/>
      <c r="N135" s="111" t="n"/>
      <c r="O135" s="111" t="n"/>
      <c r="P135" s="111" t="n"/>
      <c r="Q135" s="111" t="n"/>
      <c r="R135" s="111" t="n"/>
      <c r="S135" s="111" t="n"/>
      <c r="T135" s="111" t="n"/>
      <c r="U135" s="111" t="n"/>
      <c r="V135" s="111" t="n"/>
      <c r="W135" s="113" t="n"/>
      <c r="X135" s="113" t="n"/>
      <c r="Y135" s="111" t="n"/>
      <c r="Z135" s="111" t="n"/>
      <c r="AA135" s="111" t="n"/>
      <c r="AB135" s="111" t="n"/>
      <c r="AC135" s="111" t="n"/>
      <c r="AD135" s="111" t="n"/>
      <c r="AE135" s="111" t="n"/>
      <c r="AF135" s="111" t="n"/>
      <c r="AG135" s="111" t="n"/>
      <c r="AH135" s="111" t="n"/>
      <c r="AI135" s="111" t="n"/>
      <c r="AJ135" s="114">
        <f>IF(COUNTA(B135,E135,H135,I135,J135,K135,L135,M135,N135,O135,P135,Q135,R135,S135,T135,U135,V135,W135,X135,Y135,Z135,AA135,AB135,AC135,AD135,AE135,AF135,AG135,AH135,AI135)=0,"",IF(OR(B135="",E135="",H135="",J135="",K135="",L135="",M135="",O135="",P135="",Q135="",R135="",S135="",T135="",U135="",W135="",X135="",Y135="",AB135="",AC135="",AE135="",AF135=""),"Incompleta: faltan campos obligatorios",IF(AND(LEFT(H135,6)="PROPIA",I135=""),"Falta el nombre de la acción propia del área",IF(AND(LEFT(H135,4)="AC27",IFERROR(INDEX('Catalogos_PDN'!$T$5:$T$207,MATCH(H135,'Catalogos_PDN'!$U$5:$U$207,0)),"x")&lt;&gt;LEFT(E135,7)),"La acción no corresponde a la meta seleccionada",IF(OR(NOT(ISNUMBER(M135)),M135&lt;10000000,M135&gt;99999999),"Código UNSPSC inválido: registre 8 dígitos",IF(MOD(M135,10000)=0,"UNSPSC a nivel de segmento o familia: use clase o producto",IF(IFERROR(MATCH(P135,PN_MESES,0)&lt;MATCH(O135,PN_MESES,0),TRUE()),"El mes de ofertas es anterior al de inicio del proceso",IF(OR(NOT(ISNUMBER(Q135)),Q135&lt;=0),"Duración inválida",IF(OR(NOT(ISNUMBER(W135)),NOT(ISNUMBER(X135))),"Valor inválido: registre solo números",IF(OR(W135&lt;=0,X135&lt;=0),"Valor inválido: debe ser mayor que cero",IF(X135&gt;W135,"El valor de la vigencia 2027 supera el valor total",IF(AND(X135&lt;W135,Y135="No"),"El valor total supera el de 2027: requiere vigencias futuras",IF(AND(Y135="Sí",OR(Z135="",Z135="No aplica")),"Indique el estado de la solicitud de vigencias futuras",IF(IF(AND(S135="Mínima cuantía",ISNUMBER(PN_TOPE_MINIMA)),W135&gt;PN_TOPE_MINIMA,FALSE()),"El valor supera el tope de mínima cuantía 2027",IF(IF(AND(S135="Selección abreviada de menor cuantía",ISNUMBER(PN_TOPE_MENOR)),W135&gt;PN_TOPE_MENOR,FALSE()),"El valor supera el tope de menor cuantía 2027",IF(OR(ISERROR(SEARCH("@itc.edu.co",AE135)),SUMPRODUCT(--ISNUMBER(SEARCH({"á","é","í","ó","ú","ñ"," "},AE135)))&gt;0),"El correo del responsable no es institucional válido",IF(AND(AF135="Sí",AG135=""),"Indique el N.° de registro 2026 que continúa","OK")))))))))))))))))</f>
        <v/>
      </c>
      <c r="AK135" s="114">
        <f>IF(AJ135="OK",COUNTIF($AJ$7:AJ135,"OK"),"")</f>
        <v/>
      </c>
    </row>
    <row r="136">
      <c r="A136" s="110">
        <f>"PN27-"&amp;TEXT(ROW()-6,"000")</f>
        <v/>
      </c>
      <c r="B136" s="111" t="n"/>
      <c r="C136" s="110">
        <f>IF(B136="","",IFERROR(INDEX('Catalogos_PDN'!$R$5:$R$51,MATCH(B136,PN_AREAS,0)),""))</f>
        <v/>
      </c>
      <c r="D136" s="110">
        <f>IF(B136="","",IFERROR(INDEX('Catalogos_PDN'!$O$5:$O$51,MATCH(B136,PN_AREAS,0)),""))</f>
        <v/>
      </c>
      <c r="E136" s="111" t="n"/>
      <c r="F136" s="110">
        <f>IF(E136="","",IFERROR(INDEX('Catalogos_PDN'!$C$5:$C$49,MATCH(E136,PN_METAS,0)),""))</f>
        <v/>
      </c>
      <c r="G136" s="110">
        <f>IF(E136="","",IFERROR(INDEX('Catalogos_PDN'!$E$5:$E$49,MATCH(E136,PN_METAS,0)),""))</f>
        <v/>
      </c>
      <c r="H136" s="111" t="n"/>
      <c r="I136" s="111" t="n"/>
      <c r="J136" s="111" t="n"/>
      <c r="K136" s="111" t="n"/>
      <c r="L136" s="111" t="n"/>
      <c r="M136" s="112" t="n"/>
      <c r="N136" s="111" t="n"/>
      <c r="O136" s="111" t="n"/>
      <c r="P136" s="111" t="n"/>
      <c r="Q136" s="111" t="n"/>
      <c r="R136" s="111" t="n"/>
      <c r="S136" s="111" t="n"/>
      <c r="T136" s="111" t="n"/>
      <c r="U136" s="111" t="n"/>
      <c r="V136" s="111" t="n"/>
      <c r="W136" s="113" t="n"/>
      <c r="X136" s="113" t="n"/>
      <c r="Y136" s="111" t="n"/>
      <c r="Z136" s="111" t="n"/>
      <c r="AA136" s="111" t="n"/>
      <c r="AB136" s="111" t="n"/>
      <c r="AC136" s="111" t="n"/>
      <c r="AD136" s="111" t="n"/>
      <c r="AE136" s="111" t="n"/>
      <c r="AF136" s="111" t="n"/>
      <c r="AG136" s="111" t="n"/>
      <c r="AH136" s="111" t="n"/>
      <c r="AI136" s="111" t="n"/>
      <c r="AJ136" s="114">
        <f>IF(COUNTA(B136,E136,H136,I136,J136,K136,L136,M136,N136,O136,P136,Q136,R136,S136,T136,U136,V136,W136,X136,Y136,Z136,AA136,AB136,AC136,AD136,AE136,AF136,AG136,AH136,AI136)=0,"",IF(OR(B136="",E136="",H136="",J136="",K136="",L136="",M136="",O136="",P136="",Q136="",R136="",S136="",T136="",U136="",W136="",X136="",Y136="",AB136="",AC136="",AE136="",AF136=""),"Incompleta: faltan campos obligatorios",IF(AND(LEFT(H136,6)="PROPIA",I136=""),"Falta el nombre de la acción propia del área",IF(AND(LEFT(H136,4)="AC27",IFERROR(INDEX('Catalogos_PDN'!$T$5:$T$207,MATCH(H136,'Catalogos_PDN'!$U$5:$U$207,0)),"x")&lt;&gt;LEFT(E136,7)),"La acción no corresponde a la meta seleccionada",IF(OR(NOT(ISNUMBER(M136)),M136&lt;10000000,M136&gt;99999999),"Código UNSPSC inválido: registre 8 dígitos",IF(MOD(M136,10000)=0,"UNSPSC a nivel de segmento o familia: use clase o producto",IF(IFERROR(MATCH(P136,PN_MESES,0)&lt;MATCH(O136,PN_MESES,0),TRUE()),"El mes de ofertas es anterior al de inicio del proceso",IF(OR(NOT(ISNUMBER(Q136)),Q136&lt;=0),"Duración inválida",IF(OR(NOT(ISNUMBER(W136)),NOT(ISNUMBER(X136))),"Valor inválido: registre solo números",IF(OR(W136&lt;=0,X136&lt;=0),"Valor inválido: debe ser mayor que cero",IF(X136&gt;W136,"El valor de la vigencia 2027 supera el valor total",IF(AND(X136&lt;W136,Y136="No"),"El valor total supera el de 2027: requiere vigencias futuras",IF(AND(Y136="Sí",OR(Z136="",Z136="No aplica")),"Indique el estado de la solicitud de vigencias futuras",IF(IF(AND(S136="Mínima cuantía",ISNUMBER(PN_TOPE_MINIMA)),W136&gt;PN_TOPE_MINIMA,FALSE()),"El valor supera el tope de mínima cuantía 2027",IF(IF(AND(S136="Selección abreviada de menor cuantía",ISNUMBER(PN_TOPE_MENOR)),W136&gt;PN_TOPE_MENOR,FALSE()),"El valor supera el tope de menor cuantía 2027",IF(OR(ISERROR(SEARCH("@itc.edu.co",AE136)),SUMPRODUCT(--ISNUMBER(SEARCH({"á","é","í","ó","ú","ñ"," "},AE136)))&gt;0),"El correo del responsable no es institucional válido",IF(AND(AF136="Sí",AG136=""),"Indique el N.° de registro 2026 que continúa","OK")))))))))))))))))</f>
        <v/>
      </c>
      <c r="AK136" s="114">
        <f>IF(AJ136="OK",COUNTIF($AJ$7:AJ136,"OK"),"")</f>
        <v/>
      </c>
    </row>
    <row r="137">
      <c r="A137" s="110">
        <f>"PN27-"&amp;TEXT(ROW()-6,"000")</f>
        <v/>
      </c>
      <c r="B137" s="111" t="n"/>
      <c r="C137" s="110">
        <f>IF(B137="","",IFERROR(INDEX('Catalogos_PDN'!$R$5:$R$51,MATCH(B137,PN_AREAS,0)),""))</f>
        <v/>
      </c>
      <c r="D137" s="110">
        <f>IF(B137="","",IFERROR(INDEX('Catalogos_PDN'!$O$5:$O$51,MATCH(B137,PN_AREAS,0)),""))</f>
        <v/>
      </c>
      <c r="E137" s="111" t="n"/>
      <c r="F137" s="110">
        <f>IF(E137="","",IFERROR(INDEX('Catalogos_PDN'!$C$5:$C$49,MATCH(E137,PN_METAS,0)),""))</f>
        <v/>
      </c>
      <c r="G137" s="110">
        <f>IF(E137="","",IFERROR(INDEX('Catalogos_PDN'!$E$5:$E$49,MATCH(E137,PN_METAS,0)),""))</f>
        <v/>
      </c>
      <c r="H137" s="111" t="n"/>
      <c r="I137" s="111" t="n"/>
      <c r="J137" s="111" t="n"/>
      <c r="K137" s="111" t="n"/>
      <c r="L137" s="111" t="n"/>
      <c r="M137" s="112" t="n"/>
      <c r="N137" s="111" t="n"/>
      <c r="O137" s="111" t="n"/>
      <c r="P137" s="111" t="n"/>
      <c r="Q137" s="111" t="n"/>
      <c r="R137" s="111" t="n"/>
      <c r="S137" s="111" t="n"/>
      <c r="T137" s="111" t="n"/>
      <c r="U137" s="111" t="n"/>
      <c r="V137" s="111" t="n"/>
      <c r="W137" s="113" t="n"/>
      <c r="X137" s="113" t="n"/>
      <c r="Y137" s="111" t="n"/>
      <c r="Z137" s="111" t="n"/>
      <c r="AA137" s="111" t="n"/>
      <c r="AB137" s="111" t="n"/>
      <c r="AC137" s="111" t="n"/>
      <c r="AD137" s="111" t="n"/>
      <c r="AE137" s="111" t="n"/>
      <c r="AF137" s="111" t="n"/>
      <c r="AG137" s="111" t="n"/>
      <c r="AH137" s="111" t="n"/>
      <c r="AI137" s="111" t="n"/>
      <c r="AJ137" s="114">
        <f>IF(COUNTA(B137,E137,H137,I137,J137,K137,L137,M137,N137,O137,P137,Q137,R137,S137,T137,U137,V137,W137,X137,Y137,Z137,AA137,AB137,AC137,AD137,AE137,AF137,AG137,AH137,AI137)=0,"",IF(OR(B137="",E137="",H137="",J137="",K137="",L137="",M137="",O137="",P137="",Q137="",R137="",S137="",T137="",U137="",W137="",X137="",Y137="",AB137="",AC137="",AE137="",AF137=""),"Incompleta: faltan campos obligatorios",IF(AND(LEFT(H137,6)="PROPIA",I137=""),"Falta el nombre de la acción propia del área",IF(AND(LEFT(H137,4)="AC27",IFERROR(INDEX('Catalogos_PDN'!$T$5:$T$207,MATCH(H137,'Catalogos_PDN'!$U$5:$U$207,0)),"x")&lt;&gt;LEFT(E137,7)),"La acción no corresponde a la meta seleccionada",IF(OR(NOT(ISNUMBER(M137)),M137&lt;10000000,M137&gt;99999999),"Código UNSPSC inválido: registre 8 dígitos",IF(MOD(M137,10000)=0,"UNSPSC a nivel de segmento o familia: use clase o producto",IF(IFERROR(MATCH(P137,PN_MESES,0)&lt;MATCH(O137,PN_MESES,0),TRUE()),"El mes de ofertas es anterior al de inicio del proceso",IF(OR(NOT(ISNUMBER(Q137)),Q137&lt;=0),"Duración inválida",IF(OR(NOT(ISNUMBER(W137)),NOT(ISNUMBER(X137))),"Valor inválido: registre solo números",IF(OR(W137&lt;=0,X137&lt;=0),"Valor inválido: debe ser mayor que cero",IF(X137&gt;W137,"El valor de la vigencia 2027 supera el valor total",IF(AND(X137&lt;W137,Y137="No"),"El valor total supera el de 2027: requiere vigencias futuras",IF(AND(Y137="Sí",OR(Z137="",Z137="No aplica")),"Indique el estado de la solicitud de vigencias futuras",IF(IF(AND(S137="Mínima cuantía",ISNUMBER(PN_TOPE_MINIMA)),W137&gt;PN_TOPE_MINIMA,FALSE()),"El valor supera el tope de mínima cuantía 2027",IF(IF(AND(S137="Selección abreviada de menor cuantía",ISNUMBER(PN_TOPE_MENOR)),W137&gt;PN_TOPE_MENOR,FALSE()),"El valor supera el tope de menor cuantía 2027",IF(OR(ISERROR(SEARCH("@itc.edu.co",AE137)),SUMPRODUCT(--ISNUMBER(SEARCH({"á","é","í","ó","ú","ñ"," "},AE137)))&gt;0),"El correo del responsable no es institucional válido",IF(AND(AF137="Sí",AG137=""),"Indique el N.° de registro 2026 que continúa","OK")))))))))))))))))</f>
        <v/>
      </c>
      <c r="AK137" s="114">
        <f>IF(AJ137="OK",COUNTIF($AJ$7:AJ137,"OK"),"")</f>
        <v/>
      </c>
    </row>
    <row r="138">
      <c r="A138" s="110">
        <f>"PN27-"&amp;TEXT(ROW()-6,"000")</f>
        <v/>
      </c>
      <c r="B138" s="111" t="n"/>
      <c r="C138" s="110">
        <f>IF(B138="","",IFERROR(INDEX('Catalogos_PDN'!$R$5:$R$51,MATCH(B138,PN_AREAS,0)),""))</f>
        <v/>
      </c>
      <c r="D138" s="110">
        <f>IF(B138="","",IFERROR(INDEX('Catalogos_PDN'!$O$5:$O$51,MATCH(B138,PN_AREAS,0)),""))</f>
        <v/>
      </c>
      <c r="E138" s="111" t="n"/>
      <c r="F138" s="110">
        <f>IF(E138="","",IFERROR(INDEX('Catalogos_PDN'!$C$5:$C$49,MATCH(E138,PN_METAS,0)),""))</f>
        <v/>
      </c>
      <c r="G138" s="110">
        <f>IF(E138="","",IFERROR(INDEX('Catalogos_PDN'!$E$5:$E$49,MATCH(E138,PN_METAS,0)),""))</f>
        <v/>
      </c>
      <c r="H138" s="111" t="n"/>
      <c r="I138" s="111" t="n"/>
      <c r="J138" s="111" t="n"/>
      <c r="K138" s="111" t="n"/>
      <c r="L138" s="111" t="n"/>
      <c r="M138" s="112" t="n"/>
      <c r="N138" s="111" t="n"/>
      <c r="O138" s="111" t="n"/>
      <c r="P138" s="111" t="n"/>
      <c r="Q138" s="111" t="n"/>
      <c r="R138" s="111" t="n"/>
      <c r="S138" s="111" t="n"/>
      <c r="T138" s="111" t="n"/>
      <c r="U138" s="111" t="n"/>
      <c r="V138" s="111" t="n"/>
      <c r="W138" s="113" t="n"/>
      <c r="X138" s="113" t="n"/>
      <c r="Y138" s="111" t="n"/>
      <c r="Z138" s="111" t="n"/>
      <c r="AA138" s="111" t="n"/>
      <c r="AB138" s="111" t="n"/>
      <c r="AC138" s="111" t="n"/>
      <c r="AD138" s="111" t="n"/>
      <c r="AE138" s="111" t="n"/>
      <c r="AF138" s="111" t="n"/>
      <c r="AG138" s="111" t="n"/>
      <c r="AH138" s="111" t="n"/>
      <c r="AI138" s="111" t="n"/>
      <c r="AJ138" s="114">
        <f>IF(COUNTA(B138,E138,H138,I138,J138,K138,L138,M138,N138,O138,P138,Q138,R138,S138,T138,U138,V138,W138,X138,Y138,Z138,AA138,AB138,AC138,AD138,AE138,AF138,AG138,AH138,AI138)=0,"",IF(OR(B138="",E138="",H138="",J138="",K138="",L138="",M138="",O138="",P138="",Q138="",R138="",S138="",T138="",U138="",W138="",X138="",Y138="",AB138="",AC138="",AE138="",AF138=""),"Incompleta: faltan campos obligatorios",IF(AND(LEFT(H138,6)="PROPIA",I138=""),"Falta el nombre de la acción propia del área",IF(AND(LEFT(H138,4)="AC27",IFERROR(INDEX('Catalogos_PDN'!$T$5:$T$207,MATCH(H138,'Catalogos_PDN'!$U$5:$U$207,0)),"x")&lt;&gt;LEFT(E138,7)),"La acción no corresponde a la meta seleccionada",IF(OR(NOT(ISNUMBER(M138)),M138&lt;10000000,M138&gt;99999999),"Código UNSPSC inválido: registre 8 dígitos",IF(MOD(M138,10000)=0,"UNSPSC a nivel de segmento o familia: use clase o producto",IF(IFERROR(MATCH(P138,PN_MESES,0)&lt;MATCH(O138,PN_MESES,0),TRUE()),"El mes de ofertas es anterior al de inicio del proceso",IF(OR(NOT(ISNUMBER(Q138)),Q138&lt;=0),"Duración inválida",IF(OR(NOT(ISNUMBER(W138)),NOT(ISNUMBER(X138))),"Valor inválido: registre solo números",IF(OR(W138&lt;=0,X138&lt;=0),"Valor inválido: debe ser mayor que cero",IF(X138&gt;W138,"El valor de la vigencia 2027 supera el valor total",IF(AND(X138&lt;W138,Y138="No"),"El valor total supera el de 2027: requiere vigencias futuras",IF(AND(Y138="Sí",OR(Z138="",Z138="No aplica")),"Indique el estado de la solicitud de vigencias futuras",IF(IF(AND(S138="Mínima cuantía",ISNUMBER(PN_TOPE_MINIMA)),W138&gt;PN_TOPE_MINIMA,FALSE()),"El valor supera el tope de mínima cuantía 2027",IF(IF(AND(S138="Selección abreviada de menor cuantía",ISNUMBER(PN_TOPE_MENOR)),W138&gt;PN_TOPE_MENOR,FALSE()),"El valor supera el tope de menor cuantía 2027",IF(OR(ISERROR(SEARCH("@itc.edu.co",AE138)),SUMPRODUCT(--ISNUMBER(SEARCH({"á","é","í","ó","ú","ñ"," "},AE138)))&gt;0),"El correo del responsable no es institucional válido",IF(AND(AF138="Sí",AG138=""),"Indique el N.° de registro 2026 que continúa","OK")))))))))))))))))</f>
        <v/>
      </c>
      <c r="AK138" s="114">
        <f>IF(AJ138="OK",COUNTIF($AJ$7:AJ138,"OK"),"")</f>
        <v/>
      </c>
    </row>
    <row r="139">
      <c r="A139" s="110">
        <f>"PN27-"&amp;TEXT(ROW()-6,"000")</f>
        <v/>
      </c>
      <c r="B139" s="111" t="n"/>
      <c r="C139" s="110">
        <f>IF(B139="","",IFERROR(INDEX('Catalogos_PDN'!$R$5:$R$51,MATCH(B139,PN_AREAS,0)),""))</f>
        <v/>
      </c>
      <c r="D139" s="110">
        <f>IF(B139="","",IFERROR(INDEX('Catalogos_PDN'!$O$5:$O$51,MATCH(B139,PN_AREAS,0)),""))</f>
        <v/>
      </c>
      <c r="E139" s="111" t="n"/>
      <c r="F139" s="110">
        <f>IF(E139="","",IFERROR(INDEX('Catalogos_PDN'!$C$5:$C$49,MATCH(E139,PN_METAS,0)),""))</f>
        <v/>
      </c>
      <c r="G139" s="110">
        <f>IF(E139="","",IFERROR(INDEX('Catalogos_PDN'!$E$5:$E$49,MATCH(E139,PN_METAS,0)),""))</f>
        <v/>
      </c>
      <c r="H139" s="111" t="n"/>
      <c r="I139" s="111" t="n"/>
      <c r="J139" s="111" t="n"/>
      <c r="K139" s="111" t="n"/>
      <c r="L139" s="111" t="n"/>
      <c r="M139" s="112" t="n"/>
      <c r="N139" s="111" t="n"/>
      <c r="O139" s="111" t="n"/>
      <c r="P139" s="111" t="n"/>
      <c r="Q139" s="111" t="n"/>
      <c r="R139" s="111" t="n"/>
      <c r="S139" s="111" t="n"/>
      <c r="T139" s="111" t="n"/>
      <c r="U139" s="111" t="n"/>
      <c r="V139" s="111" t="n"/>
      <c r="W139" s="113" t="n"/>
      <c r="X139" s="113" t="n"/>
      <c r="Y139" s="111" t="n"/>
      <c r="Z139" s="111" t="n"/>
      <c r="AA139" s="111" t="n"/>
      <c r="AB139" s="111" t="n"/>
      <c r="AC139" s="111" t="n"/>
      <c r="AD139" s="111" t="n"/>
      <c r="AE139" s="111" t="n"/>
      <c r="AF139" s="111" t="n"/>
      <c r="AG139" s="111" t="n"/>
      <c r="AH139" s="111" t="n"/>
      <c r="AI139" s="111" t="n"/>
      <c r="AJ139" s="114">
        <f>IF(COUNTA(B139,E139,H139,I139,J139,K139,L139,M139,N139,O139,P139,Q139,R139,S139,T139,U139,V139,W139,X139,Y139,Z139,AA139,AB139,AC139,AD139,AE139,AF139,AG139,AH139,AI139)=0,"",IF(OR(B139="",E139="",H139="",J139="",K139="",L139="",M139="",O139="",P139="",Q139="",R139="",S139="",T139="",U139="",W139="",X139="",Y139="",AB139="",AC139="",AE139="",AF139=""),"Incompleta: faltan campos obligatorios",IF(AND(LEFT(H139,6)="PROPIA",I139=""),"Falta el nombre de la acción propia del área",IF(AND(LEFT(H139,4)="AC27",IFERROR(INDEX('Catalogos_PDN'!$T$5:$T$207,MATCH(H139,'Catalogos_PDN'!$U$5:$U$207,0)),"x")&lt;&gt;LEFT(E139,7)),"La acción no corresponde a la meta seleccionada",IF(OR(NOT(ISNUMBER(M139)),M139&lt;10000000,M139&gt;99999999),"Código UNSPSC inválido: registre 8 dígitos",IF(MOD(M139,10000)=0,"UNSPSC a nivel de segmento o familia: use clase o producto",IF(IFERROR(MATCH(P139,PN_MESES,0)&lt;MATCH(O139,PN_MESES,0),TRUE()),"El mes de ofertas es anterior al de inicio del proceso",IF(OR(NOT(ISNUMBER(Q139)),Q139&lt;=0),"Duración inválida",IF(OR(NOT(ISNUMBER(W139)),NOT(ISNUMBER(X139))),"Valor inválido: registre solo números",IF(OR(W139&lt;=0,X139&lt;=0),"Valor inválido: debe ser mayor que cero",IF(X139&gt;W139,"El valor de la vigencia 2027 supera el valor total",IF(AND(X139&lt;W139,Y139="No"),"El valor total supera el de 2027: requiere vigencias futuras",IF(AND(Y139="Sí",OR(Z139="",Z139="No aplica")),"Indique el estado de la solicitud de vigencias futuras",IF(IF(AND(S139="Mínima cuantía",ISNUMBER(PN_TOPE_MINIMA)),W139&gt;PN_TOPE_MINIMA,FALSE()),"El valor supera el tope de mínima cuantía 2027",IF(IF(AND(S139="Selección abreviada de menor cuantía",ISNUMBER(PN_TOPE_MENOR)),W139&gt;PN_TOPE_MENOR,FALSE()),"El valor supera el tope de menor cuantía 2027",IF(OR(ISERROR(SEARCH("@itc.edu.co",AE139)),SUMPRODUCT(--ISNUMBER(SEARCH({"á","é","í","ó","ú","ñ"," "},AE139)))&gt;0),"El correo del responsable no es institucional válido",IF(AND(AF139="Sí",AG139=""),"Indique el N.° de registro 2026 que continúa","OK")))))))))))))))))</f>
        <v/>
      </c>
      <c r="AK139" s="114">
        <f>IF(AJ139="OK",COUNTIF($AJ$7:AJ139,"OK"),"")</f>
        <v/>
      </c>
    </row>
    <row r="140">
      <c r="A140" s="110">
        <f>"PN27-"&amp;TEXT(ROW()-6,"000")</f>
        <v/>
      </c>
      <c r="B140" s="111" t="n"/>
      <c r="C140" s="110">
        <f>IF(B140="","",IFERROR(INDEX('Catalogos_PDN'!$R$5:$R$51,MATCH(B140,PN_AREAS,0)),""))</f>
        <v/>
      </c>
      <c r="D140" s="110">
        <f>IF(B140="","",IFERROR(INDEX('Catalogos_PDN'!$O$5:$O$51,MATCH(B140,PN_AREAS,0)),""))</f>
        <v/>
      </c>
      <c r="E140" s="111" t="n"/>
      <c r="F140" s="110">
        <f>IF(E140="","",IFERROR(INDEX('Catalogos_PDN'!$C$5:$C$49,MATCH(E140,PN_METAS,0)),""))</f>
        <v/>
      </c>
      <c r="G140" s="110">
        <f>IF(E140="","",IFERROR(INDEX('Catalogos_PDN'!$E$5:$E$49,MATCH(E140,PN_METAS,0)),""))</f>
        <v/>
      </c>
      <c r="H140" s="111" t="n"/>
      <c r="I140" s="111" t="n"/>
      <c r="J140" s="111" t="n"/>
      <c r="K140" s="111" t="n"/>
      <c r="L140" s="111" t="n"/>
      <c r="M140" s="112" t="n"/>
      <c r="N140" s="111" t="n"/>
      <c r="O140" s="111" t="n"/>
      <c r="P140" s="111" t="n"/>
      <c r="Q140" s="111" t="n"/>
      <c r="R140" s="111" t="n"/>
      <c r="S140" s="111" t="n"/>
      <c r="T140" s="111" t="n"/>
      <c r="U140" s="111" t="n"/>
      <c r="V140" s="111" t="n"/>
      <c r="W140" s="113" t="n"/>
      <c r="X140" s="113" t="n"/>
      <c r="Y140" s="111" t="n"/>
      <c r="Z140" s="111" t="n"/>
      <c r="AA140" s="111" t="n"/>
      <c r="AB140" s="111" t="n"/>
      <c r="AC140" s="111" t="n"/>
      <c r="AD140" s="111" t="n"/>
      <c r="AE140" s="111" t="n"/>
      <c r="AF140" s="111" t="n"/>
      <c r="AG140" s="111" t="n"/>
      <c r="AH140" s="111" t="n"/>
      <c r="AI140" s="111" t="n"/>
      <c r="AJ140" s="114">
        <f>IF(COUNTA(B140,E140,H140,I140,J140,K140,L140,M140,N140,O140,P140,Q140,R140,S140,T140,U140,V140,W140,X140,Y140,Z140,AA140,AB140,AC140,AD140,AE140,AF140,AG140,AH140,AI140)=0,"",IF(OR(B140="",E140="",H140="",J140="",K140="",L140="",M140="",O140="",P140="",Q140="",R140="",S140="",T140="",U140="",W140="",X140="",Y140="",AB140="",AC140="",AE140="",AF140=""),"Incompleta: faltan campos obligatorios",IF(AND(LEFT(H140,6)="PROPIA",I140=""),"Falta el nombre de la acción propia del área",IF(AND(LEFT(H140,4)="AC27",IFERROR(INDEX('Catalogos_PDN'!$T$5:$T$207,MATCH(H140,'Catalogos_PDN'!$U$5:$U$207,0)),"x")&lt;&gt;LEFT(E140,7)),"La acción no corresponde a la meta seleccionada",IF(OR(NOT(ISNUMBER(M140)),M140&lt;10000000,M140&gt;99999999),"Código UNSPSC inválido: registre 8 dígitos",IF(MOD(M140,10000)=0,"UNSPSC a nivel de segmento o familia: use clase o producto",IF(IFERROR(MATCH(P140,PN_MESES,0)&lt;MATCH(O140,PN_MESES,0),TRUE()),"El mes de ofertas es anterior al de inicio del proceso",IF(OR(NOT(ISNUMBER(Q140)),Q140&lt;=0),"Duración inválida",IF(OR(NOT(ISNUMBER(W140)),NOT(ISNUMBER(X140))),"Valor inválido: registre solo números",IF(OR(W140&lt;=0,X140&lt;=0),"Valor inválido: debe ser mayor que cero",IF(X140&gt;W140,"El valor de la vigencia 2027 supera el valor total",IF(AND(X140&lt;W140,Y140="No"),"El valor total supera el de 2027: requiere vigencias futuras",IF(AND(Y140="Sí",OR(Z140="",Z140="No aplica")),"Indique el estado de la solicitud de vigencias futuras",IF(IF(AND(S140="Mínima cuantía",ISNUMBER(PN_TOPE_MINIMA)),W140&gt;PN_TOPE_MINIMA,FALSE()),"El valor supera el tope de mínima cuantía 2027",IF(IF(AND(S140="Selección abreviada de menor cuantía",ISNUMBER(PN_TOPE_MENOR)),W140&gt;PN_TOPE_MENOR,FALSE()),"El valor supera el tope de menor cuantía 2027",IF(OR(ISERROR(SEARCH("@itc.edu.co",AE140)),SUMPRODUCT(--ISNUMBER(SEARCH({"á","é","í","ó","ú","ñ"," "},AE140)))&gt;0),"El correo del responsable no es institucional válido",IF(AND(AF140="Sí",AG140=""),"Indique el N.° de registro 2026 que continúa","OK")))))))))))))))))</f>
        <v/>
      </c>
      <c r="AK140" s="114">
        <f>IF(AJ140="OK",COUNTIF($AJ$7:AJ140,"OK"),"")</f>
        <v/>
      </c>
    </row>
    <row r="141">
      <c r="A141" s="110">
        <f>"PN27-"&amp;TEXT(ROW()-6,"000")</f>
        <v/>
      </c>
      <c r="B141" s="111" t="n"/>
      <c r="C141" s="110">
        <f>IF(B141="","",IFERROR(INDEX('Catalogos_PDN'!$R$5:$R$51,MATCH(B141,PN_AREAS,0)),""))</f>
        <v/>
      </c>
      <c r="D141" s="110">
        <f>IF(B141="","",IFERROR(INDEX('Catalogos_PDN'!$O$5:$O$51,MATCH(B141,PN_AREAS,0)),""))</f>
        <v/>
      </c>
      <c r="E141" s="111" t="n"/>
      <c r="F141" s="110">
        <f>IF(E141="","",IFERROR(INDEX('Catalogos_PDN'!$C$5:$C$49,MATCH(E141,PN_METAS,0)),""))</f>
        <v/>
      </c>
      <c r="G141" s="110">
        <f>IF(E141="","",IFERROR(INDEX('Catalogos_PDN'!$E$5:$E$49,MATCH(E141,PN_METAS,0)),""))</f>
        <v/>
      </c>
      <c r="H141" s="111" t="n"/>
      <c r="I141" s="111" t="n"/>
      <c r="J141" s="111" t="n"/>
      <c r="K141" s="111" t="n"/>
      <c r="L141" s="111" t="n"/>
      <c r="M141" s="112" t="n"/>
      <c r="N141" s="111" t="n"/>
      <c r="O141" s="111" t="n"/>
      <c r="P141" s="111" t="n"/>
      <c r="Q141" s="111" t="n"/>
      <c r="R141" s="111" t="n"/>
      <c r="S141" s="111" t="n"/>
      <c r="T141" s="111" t="n"/>
      <c r="U141" s="111" t="n"/>
      <c r="V141" s="111" t="n"/>
      <c r="W141" s="113" t="n"/>
      <c r="X141" s="113" t="n"/>
      <c r="Y141" s="111" t="n"/>
      <c r="Z141" s="111" t="n"/>
      <c r="AA141" s="111" t="n"/>
      <c r="AB141" s="111" t="n"/>
      <c r="AC141" s="111" t="n"/>
      <c r="AD141" s="111" t="n"/>
      <c r="AE141" s="111" t="n"/>
      <c r="AF141" s="111" t="n"/>
      <c r="AG141" s="111" t="n"/>
      <c r="AH141" s="111" t="n"/>
      <c r="AI141" s="111" t="n"/>
      <c r="AJ141" s="114">
        <f>IF(COUNTA(B141,E141,H141,I141,J141,K141,L141,M141,N141,O141,P141,Q141,R141,S141,T141,U141,V141,W141,X141,Y141,Z141,AA141,AB141,AC141,AD141,AE141,AF141,AG141,AH141,AI141)=0,"",IF(OR(B141="",E141="",H141="",J141="",K141="",L141="",M141="",O141="",P141="",Q141="",R141="",S141="",T141="",U141="",W141="",X141="",Y141="",AB141="",AC141="",AE141="",AF141=""),"Incompleta: faltan campos obligatorios",IF(AND(LEFT(H141,6)="PROPIA",I141=""),"Falta el nombre de la acción propia del área",IF(AND(LEFT(H141,4)="AC27",IFERROR(INDEX('Catalogos_PDN'!$T$5:$T$207,MATCH(H141,'Catalogos_PDN'!$U$5:$U$207,0)),"x")&lt;&gt;LEFT(E141,7)),"La acción no corresponde a la meta seleccionada",IF(OR(NOT(ISNUMBER(M141)),M141&lt;10000000,M141&gt;99999999),"Código UNSPSC inválido: registre 8 dígitos",IF(MOD(M141,10000)=0,"UNSPSC a nivel de segmento o familia: use clase o producto",IF(IFERROR(MATCH(P141,PN_MESES,0)&lt;MATCH(O141,PN_MESES,0),TRUE()),"El mes de ofertas es anterior al de inicio del proceso",IF(OR(NOT(ISNUMBER(Q141)),Q141&lt;=0),"Duración inválida",IF(OR(NOT(ISNUMBER(W141)),NOT(ISNUMBER(X141))),"Valor inválido: registre solo números",IF(OR(W141&lt;=0,X141&lt;=0),"Valor inválido: debe ser mayor que cero",IF(X141&gt;W141,"El valor de la vigencia 2027 supera el valor total",IF(AND(X141&lt;W141,Y141="No"),"El valor total supera el de 2027: requiere vigencias futuras",IF(AND(Y141="Sí",OR(Z141="",Z141="No aplica")),"Indique el estado de la solicitud de vigencias futuras",IF(IF(AND(S141="Mínima cuantía",ISNUMBER(PN_TOPE_MINIMA)),W141&gt;PN_TOPE_MINIMA,FALSE()),"El valor supera el tope de mínima cuantía 2027",IF(IF(AND(S141="Selección abreviada de menor cuantía",ISNUMBER(PN_TOPE_MENOR)),W141&gt;PN_TOPE_MENOR,FALSE()),"El valor supera el tope de menor cuantía 2027",IF(OR(ISERROR(SEARCH("@itc.edu.co",AE141)),SUMPRODUCT(--ISNUMBER(SEARCH({"á","é","í","ó","ú","ñ"," "},AE141)))&gt;0),"El correo del responsable no es institucional válido",IF(AND(AF141="Sí",AG141=""),"Indique el N.° de registro 2026 que continúa","OK")))))))))))))))))</f>
        <v/>
      </c>
      <c r="AK141" s="114">
        <f>IF(AJ141="OK",COUNTIF($AJ$7:AJ141,"OK"),"")</f>
        <v/>
      </c>
    </row>
    <row r="142">
      <c r="A142" s="110">
        <f>"PN27-"&amp;TEXT(ROW()-6,"000")</f>
        <v/>
      </c>
      <c r="B142" s="111" t="n"/>
      <c r="C142" s="110">
        <f>IF(B142="","",IFERROR(INDEX('Catalogos_PDN'!$R$5:$R$51,MATCH(B142,PN_AREAS,0)),""))</f>
        <v/>
      </c>
      <c r="D142" s="110">
        <f>IF(B142="","",IFERROR(INDEX('Catalogos_PDN'!$O$5:$O$51,MATCH(B142,PN_AREAS,0)),""))</f>
        <v/>
      </c>
      <c r="E142" s="111" t="n"/>
      <c r="F142" s="110">
        <f>IF(E142="","",IFERROR(INDEX('Catalogos_PDN'!$C$5:$C$49,MATCH(E142,PN_METAS,0)),""))</f>
        <v/>
      </c>
      <c r="G142" s="110">
        <f>IF(E142="","",IFERROR(INDEX('Catalogos_PDN'!$E$5:$E$49,MATCH(E142,PN_METAS,0)),""))</f>
        <v/>
      </c>
      <c r="H142" s="111" t="n"/>
      <c r="I142" s="111" t="n"/>
      <c r="J142" s="111" t="n"/>
      <c r="K142" s="111" t="n"/>
      <c r="L142" s="111" t="n"/>
      <c r="M142" s="112" t="n"/>
      <c r="N142" s="111" t="n"/>
      <c r="O142" s="111" t="n"/>
      <c r="P142" s="111" t="n"/>
      <c r="Q142" s="111" t="n"/>
      <c r="R142" s="111" t="n"/>
      <c r="S142" s="111" t="n"/>
      <c r="T142" s="111" t="n"/>
      <c r="U142" s="111" t="n"/>
      <c r="V142" s="111" t="n"/>
      <c r="W142" s="113" t="n"/>
      <c r="X142" s="113" t="n"/>
      <c r="Y142" s="111" t="n"/>
      <c r="Z142" s="111" t="n"/>
      <c r="AA142" s="111" t="n"/>
      <c r="AB142" s="111" t="n"/>
      <c r="AC142" s="111" t="n"/>
      <c r="AD142" s="111" t="n"/>
      <c r="AE142" s="111" t="n"/>
      <c r="AF142" s="111" t="n"/>
      <c r="AG142" s="111" t="n"/>
      <c r="AH142" s="111" t="n"/>
      <c r="AI142" s="111" t="n"/>
      <c r="AJ142" s="114">
        <f>IF(COUNTA(B142,E142,H142,I142,J142,K142,L142,M142,N142,O142,P142,Q142,R142,S142,T142,U142,V142,W142,X142,Y142,Z142,AA142,AB142,AC142,AD142,AE142,AF142,AG142,AH142,AI142)=0,"",IF(OR(B142="",E142="",H142="",J142="",K142="",L142="",M142="",O142="",P142="",Q142="",R142="",S142="",T142="",U142="",W142="",X142="",Y142="",AB142="",AC142="",AE142="",AF142=""),"Incompleta: faltan campos obligatorios",IF(AND(LEFT(H142,6)="PROPIA",I142=""),"Falta el nombre de la acción propia del área",IF(AND(LEFT(H142,4)="AC27",IFERROR(INDEX('Catalogos_PDN'!$T$5:$T$207,MATCH(H142,'Catalogos_PDN'!$U$5:$U$207,0)),"x")&lt;&gt;LEFT(E142,7)),"La acción no corresponde a la meta seleccionada",IF(OR(NOT(ISNUMBER(M142)),M142&lt;10000000,M142&gt;99999999),"Código UNSPSC inválido: registre 8 dígitos",IF(MOD(M142,10000)=0,"UNSPSC a nivel de segmento o familia: use clase o producto",IF(IFERROR(MATCH(P142,PN_MESES,0)&lt;MATCH(O142,PN_MESES,0),TRUE()),"El mes de ofertas es anterior al de inicio del proceso",IF(OR(NOT(ISNUMBER(Q142)),Q142&lt;=0),"Duración inválida",IF(OR(NOT(ISNUMBER(W142)),NOT(ISNUMBER(X142))),"Valor inválido: registre solo números",IF(OR(W142&lt;=0,X142&lt;=0),"Valor inválido: debe ser mayor que cero",IF(X142&gt;W142,"El valor de la vigencia 2027 supera el valor total",IF(AND(X142&lt;W142,Y142="No"),"El valor total supera el de 2027: requiere vigencias futuras",IF(AND(Y142="Sí",OR(Z142="",Z142="No aplica")),"Indique el estado de la solicitud de vigencias futuras",IF(IF(AND(S142="Mínima cuantía",ISNUMBER(PN_TOPE_MINIMA)),W142&gt;PN_TOPE_MINIMA,FALSE()),"El valor supera el tope de mínima cuantía 2027",IF(IF(AND(S142="Selección abreviada de menor cuantía",ISNUMBER(PN_TOPE_MENOR)),W142&gt;PN_TOPE_MENOR,FALSE()),"El valor supera el tope de menor cuantía 2027",IF(OR(ISERROR(SEARCH("@itc.edu.co",AE142)),SUMPRODUCT(--ISNUMBER(SEARCH({"á","é","í","ó","ú","ñ"," "},AE142)))&gt;0),"El correo del responsable no es institucional válido",IF(AND(AF142="Sí",AG142=""),"Indique el N.° de registro 2026 que continúa","OK")))))))))))))))))</f>
        <v/>
      </c>
      <c r="AK142" s="114">
        <f>IF(AJ142="OK",COUNTIF($AJ$7:AJ142,"OK"),"")</f>
        <v/>
      </c>
    </row>
    <row r="143">
      <c r="A143" s="110">
        <f>"PN27-"&amp;TEXT(ROW()-6,"000")</f>
        <v/>
      </c>
      <c r="B143" s="111" t="n"/>
      <c r="C143" s="110">
        <f>IF(B143="","",IFERROR(INDEX('Catalogos_PDN'!$R$5:$R$51,MATCH(B143,PN_AREAS,0)),""))</f>
        <v/>
      </c>
      <c r="D143" s="110">
        <f>IF(B143="","",IFERROR(INDEX('Catalogos_PDN'!$O$5:$O$51,MATCH(B143,PN_AREAS,0)),""))</f>
        <v/>
      </c>
      <c r="E143" s="111" t="n"/>
      <c r="F143" s="110">
        <f>IF(E143="","",IFERROR(INDEX('Catalogos_PDN'!$C$5:$C$49,MATCH(E143,PN_METAS,0)),""))</f>
        <v/>
      </c>
      <c r="G143" s="110">
        <f>IF(E143="","",IFERROR(INDEX('Catalogos_PDN'!$E$5:$E$49,MATCH(E143,PN_METAS,0)),""))</f>
        <v/>
      </c>
      <c r="H143" s="111" t="n"/>
      <c r="I143" s="111" t="n"/>
      <c r="J143" s="111" t="n"/>
      <c r="K143" s="111" t="n"/>
      <c r="L143" s="111" t="n"/>
      <c r="M143" s="112" t="n"/>
      <c r="N143" s="111" t="n"/>
      <c r="O143" s="111" t="n"/>
      <c r="P143" s="111" t="n"/>
      <c r="Q143" s="111" t="n"/>
      <c r="R143" s="111" t="n"/>
      <c r="S143" s="111" t="n"/>
      <c r="T143" s="111" t="n"/>
      <c r="U143" s="111" t="n"/>
      <c r="V143" s="111" t="n"/>
      <c r="W143" s="113" t="n"/>
      <c r="X143" s="113" t="n"/>
      <c r="Y143" s="111" t="n"/>
      <c r="Z143" s="111" t="n"/>
      <c r="AA143" s="111" t="n"/>
      <c r="AB143" s="111" t="n"/>
      <c r="AC143" s="111" t="n"/>
      <c r="AD143" s="111" t="n"/>
      <c r="AE143" s="111" t="n"/>
      <c r="AF143" s="111" t="n"/>
      <c r="AG143" s="111" t="n"/>
      <c r="AH143" s="111" t="n"/>
      <c r="AI143" s="111" t="n"/>
      <c r="AJ143" s="114">
        <f>IF(COUNTA(B143,E143,H143,I143,J143,K143,L143,M143,N143,O143,P143,Q143,R143,S143,T143,U143,V143,W143,X143,Y143,Z143,AA143,AB143,AC143,AD143,AE143,AF143,AG143,AH143,AI143)=0,"",IF(OR(B143="",E143="",H143="",J143="",K143="",L143="",M143="",O143="",P143="",Q143="",R143="",S143="",T143="",U143="",W143="",X143="",Y143="",AB143="",AC143="",AE143="",AF143=""),"Incompleta: faltan campos obligatorios",IF(AND(LEFT(H143,6)="PROPIA",I143=""),"Falta el nombre de la acción propia del área",IF(AND(LEFT(H143,4)="AC27",IFERROR(INDEX('Catalogos_PDN'!$T$5:$T$207,MATCH(H143,'Catalogos_PDN'!$U$5:$U$207,0)),"x")&lt;&gt;LEFT(E143,7)),"La acción no corresponde a la meta seleccionada",IF(OR(NOT(ISNUMBER(M143)),M143&lt;10000000,M143&gt;99999999),"Código UNSPSC inválido: registre 8 dígitos",IF(MOD(M143,10000)=0,"UNSPSC a nivel de segmento o familia: use clase o producto",IF(IFERROR(MATCH(P143,PN_MESES,0)&lt;MATCH(O143,PN_MESES,0),TRUE()),"El mes de ofertas es anterior al de inicio del proceso",IF(OR(NOT(ISNUMBER(Q143)),Q143&lt;=0),"Duración inválida",IF(OR(NOT(ISNUMBER(W143)),NOT(ISNUMBER(X143))),"Valor inválido: registre solo números",IF(OR(W143&lt;=0,X143&lt;=0),"Valor inválido: debe ser mayor que cero",IF(X143&gt;W143,"El valor de la vigencia 2027 supera el valor total",IF(AND(X143&lt;W143,Y143="No"),"El valor total supera el de 2027: requiere vigencias futuras",IF(AND(Y143="Sí",OR(Z143="",Z143="No aplica")),"Indique el estado de la solicitud de vigencias futuras",IF(IF(AND(S143="Mínima cuantía",ISNUMBER(PN_TOPE_MINIMA)),W143&gt;PN_TOPE_MINIMA,FALSE()),"El valor supera el tope de mínima cuantía 2027",IF(IF(AND(S143="Selección abreviada de menor cuantía",ISNUMBER(PN_TOPE_MENOR)),W143&gt;PN_TOPE_MENOR,FALSE()),"El valor supera el tope de menor cuantía 2027",IF(OR(ISERROR(SEARCH("@itc.edu.co",AE143)),SUMPRODUCT(--ISNUMBER(SEARCH({"á","é","í","ó","ú","ñ"," "},AE143)))&gt;0),"El correo del responsable no es institucional válido",IF(AND(AF143="Sí",AG143=""),"Indique el N.° de registro 2026 que continúa","OK")))))))))))))))))</f>
        <v/>
      </c>
      <c r="AK143" s="114">
        <f>IF(AJ143="OK",COUNTIF($AJ$7:AJ143,"OK"),"")</f>
        <v/>
      </c>
    </row>
    <row r="144">
      <c r="A144" s="110">
        <f>"PN27-"&amp;TEXT(ROW()-6,"000")</f>
        <v/>
      </c>
      <c r="B144" s="111" t="n"/>
      <c r="C144" s="110">
        <f>IF(B144="","",IFERROR(INDEX('Catalogos_PDN'!$R$5:$R$51,MATCH(B144,PN_AREAS,0)),""))</f>
        <v/>
      </c>
      <c r="D144" s="110">
        <f>IF(B144="","",IFERROR(INDEX('Catalogos_PDN'!$O$5:$O$51,MATCH(B144,PN_AREAS,0)),""))</f>
        <v/>
      </c>
      <c r="E144" s="111" t="n"/>
      <c r="F144" s="110">
        <f>IF(E144="","",IFERROR(INDEX('Catalogos_PDN'!$C$5:$C$49,MATCH(E144,PN_METAS,0)),""))</f>
        <v/>
      </c>
      <c r="G144" s="110">
        <f>IF(E144="","",IFERROR(INDEX('Catalogos_PDN'!$E$5:$E$49,MATCH(E144,PN_METAS,0)),""))</f>
        <v/>
      </c>
      <c r="H144" s="111" t="n"/>
      <c r="I144" s="111" t="n"/>
      <c r="J144" s="111" t="n"/>
      <c r="K144" s="111" t="n"/>
      <c r="L144" s="111" t="n"/>
      <c r="M144" s="112" t="n"/>
      <c r="N144" s="111" t="n"/>
      <c r="O144" s="111" t="n"/>
      <c r="P144" s="111" t="n"/>
      <c r="Q144" s="111" t="n"/>
      <c r="R144" s="111" t="n"/>
      <c r="S144" s="111" t="n"/>
      <c r="T144" s="111" t="n"/>
      <c r="U144" s="111" t="n"/>
      <c r="V144" s="111" t="n"/>
      <c r="W144" s="113" t="n"/>
      <c r="X144" s="113" t="n"/>
      <c r="Y144" s="111" t="n"/>
      <c r="Z144" s="111" t="n"/>
      <c r="AA144" s="111" t="n"/>
      <c r="AB144" s="111" t="n"/>
      <c r="AC144" s="111" t="n"/>
      <c r="AD144" s="111" t="n"/>
      <c r="AE144" s="111" t="n"/>
      <c r="AF144" s="111" t="n"/>
      <c r="AG144" s="111" t="n"/>
      <c r="AH144" s="111" t="n"/>
      <c r="AI144" s="111" t="n"/>
      <c r="AJ144" s="114">
        <f>IF(COUNTA(B144,E144,H144,I144,J144,K144,L144,M144,N144,O144,P144,Q144,R144,S144,T144,U144,V144,W144,X144,Y144,Z144,AA144,AB144,AC144,AD144,AE144,AF144,AG144,AH144,AI144)=0,"",IF(OR(B144="",E144="",H144="",J144="",K144="",L144="",M144="",O144="",P144="",Q144="",R144="",S144="",T144="",U144="",W144="",X144="",Y144="",AB144="",AC144="",AE144="",AF144=""),"Incompleta: faltan campos obligatorios",IF(AND(LEFT(H144,6)="PROPIA",I144=""),"Falta el nombre de la acción propia del área",IF(AND(LEFT(H144,4)="AC27",IFERROR(INDEX('Catalogos_PDN'!$T$5:$T$207,MATCH(H144,'Catalogos_PDN'!$U$5:$U$207,0)),"x")&lt;&gt;LEFT(E144,7)),"La acción no corresponde a la meta seleccionada",IF(OR(NOT(ISNUMBER(M144)),M144&lt;10000000,M144&gt;99999999),"Código UNSPSC inválido: registre 8 dígitos",IF(MOD(M144,10000)=0,"UNSPSC a nivel de segmento o familia: use clase o producto",IF(IFERROR(MATCH(P144,PN_MESES,0)&lt;MATCH(O144,PN_MESES,0),TRUE()),"El mes de ofertas es anterior al de inicio del proceso",IF(OR(NOT(ISNUMBER(Q144)),Q144&lt;=0),"Duración inválida",IF(OR(NOT(ISNUMBER(W144)),NOT(ISNUMBER(X144))),"Valor inválido: registre solo números",IF(OR(W144&lt;=0,X144&lt;=0),"Valor inválido: debe ser mayor que cero",IF(X144&gt;W144,"El valor de la vigencia 2027 supera el valor total",IF(AND(X144&lt;W144,Y144="No"),"El valor total supera el de 2027: requiere vigencias futuras",IF(AND(Y144="Sí",OR(Z144="",Z144="No aplica")),"Indique el estado de la solicitud de vigencias futuras",IF(IF(AND(S144="Mínima cuantía",ISNUMBER(PN_TOPE_MINIMA)),W144&gt;PN_TOPE_MINIMA,FALSE()),"El valor supera el tope de mínima cuantía 2027",IF(IF(AND(S144="Selección abreviada de menor cuantía",ISNUMBER(PN_TOPE_MENOR)),W144&gt;PN_TOPE_MENOR,FALSE()),"El valor supera el tope de menor cuantía 2027",IF(OR(ISERROR(SEARCH("@itc.edu.co",AE144)),SUMPRODUCT(--ISNUMBER(SEARCH({"á","é","í","ó","ú","ñ"," "},AE144)))&gt;0),"El correo del responsable no es institucional válido",IF(AND(AF144="Sí",AG144=""),"Indique el N.° de registro 2026 que continúa","OK")))))))))))))))))</f>
        <v/>
      </c>
      <c r="AK144" s="114">
        <f>IF(AJ144="OK",COUNTIF($AJ$7:AJ144,"OK"),"")</f>
        <v/>
      </c>
    </row>
    <row r="145">
      <c r="A145" s="110">
        <f>"PN27-"&amp;TEXT(ROW()-6,"000")</f>
        <v/>
      </c>
      <c r="B145" s="111" t="n"/>
      <c r="C145" s="110">
        <f>IF(B145="","",IFERROR(INDEX('Catalogos_PDN'!$R$5:$R$51,MATCH(B145,PN_AREAS,0)),""))</f>
        <v/>
      </c>
      <c r="D145" s="110">
        <f>IF(B145="","",IFERROR(INDEX('Catalogos_PDN'!$O$5:$O$51,MATCH(B145,PN_AREAS,0)),""))</f>
        <v/>
      </c>
      <c r="E145" s="111" t="n"/>
      <c r="F145" s="110">
        <f>IF(E145="","",IFERROR(INDEX('Catalogos_PDN'!$C$5:$C$49,MATCH(E145,PN_METAS,0)),""))</f>
        <v/>
      </c>
      <c r="G145" s="110">
        <f>IF(E145="","",IFERROR(INDEX('Catalogos_PDN'!$E$5:$E$49,MATCH(E145,PN_METAS,0)),""))</f>
        <v/>
      </c>
      <c r="H145" s="111" t="n"/>
      <c r="I145" s="111" t="n"/>
      <c r="J145" s="111" t="n"/>
      <c r="K145" s="111" t="n"/>
      <c r="L145" s="111" t="n"/>
      <c r="M145" s="112" t="n"/>
      <c r="N145" s="111" t="n"/>
      <c r="O145" s="111" t="n"/>
      <c r="P145" s="111" t="n"/>
      <c r="Q145" s="111" t="n"/>
      <c r="R145" s="111" t="n"/>
      <c r="S145" s="111" t="n"/>
      <c r="T145" s="111" t="n"/>
      <c r="U145" s="111" t="n"/>
      <c r="V145" s="111" t="n"/>
      <c r="W145" s="113" t="n"/>
      <c r="X145" s="113" t="n"/>
      <c r="Y145" s="111" t="n"/>
      <c r="Z145" s="111" t="n"/>
      <c r="AA145" s="111" t="n"/>
      <c r="AB145" s="111" t="n"/>
      <c r="AC145" s="111" t="n"/>
      <c r="AD145" s="111" t="n"/>
      <c r="AE145" s="111" t="n"/>
      <c r="AF145" s="111" t="n"/>
      <c r="AG145" s="111" t="n"/>
      <c r="AH145" s="111" t="n"/>
      <c r="AI145" s="111" t="n"/>
      <c r="AJ145" s="114">
        <f>IF(COUNTA(B145,E145,H145,I145,J145,K145,L145,M145,N145,O145,P145,Q145,R145,S145,T145,U145,V145,W145,X145,Y145,Z145,AA145,AB145,AC145,AD145,AE145,AF145,AG145,AH145,AI145)=0,"",IF(OR(B145="",E145="",H145="",J145="",K145="",L145="",M145="",O145="",P145="",Q145="",R145="",S145="",T145="",U145="",W145="",X145="",Y145="",AB145="",AC145="",AE145="",AF145=""),"Incompleta: faltan campos obligatorios",IF(AND(LEFT(H145,6)="PROPIA",I145=""),"Falta el nombre de la acción propia del área",IF(AND(LEFT(H145,4)="AC27",IFERROR(INDEX('Catalogos_PDN'!$T$5:$T$207,MATCH(H145,'Catalogos_PDN'!$U$5:$U$207,0)),"x")&lt;&gt;LEFT(E145,7)),"La acción no corresponde a la meta seleccionada",IF(OR(NOT(ISNUMBER(M145)),M145&lt;10000000,M145&gt;99999999),"Código UNSPSC inválido: registre 8 dígitos",IF(MOD(M145,10000)=0,"UNSPSC a nivel de segmento o familia: use clase o producto",IF(IFERROR(MATCH(P145,PN_MESES,0)&lt;MATCH(O145,PN_MESES,0),TRUE()),"El mes de ofertas es anterior al de inicio del proceso",IF(OR(NOT(ISNUMBER(Q145)),Q145&lt;=0),"Duración inválida",IF(OR(NOT(ISNUMBER(W145)),NOT(ISNUMBER(X145))),"Valor inválido: registre solo números",IF(OR(W145&lt;=0,X145&lt;=0),"Valor inválido: debe ser mayor que cero",IF(X145&gt;W145,"El valor de la vigencia 2027 supera el valor total",IF(AND(X145&lt;W145,Y145="No"),"El valor total supera el de 2027: requiere vigencias futuras",IF(AND(Y145="Sí",OR(Z145="",Z145="No aplica")),"Indique el estado de la solicitud de vigencias futuras",IF(IF(AND(S145="Mínima cuantía",ISNUMBER(PN_TOPE_MINIMA)),W145&gt;PN_TOPE_MINIMA,FALSE()),"El valor supera el tope de mínima cuantía 2027",IF(IF(AND(S145="Selección abreviada de menor cuantía",ISNUMBER(PN_TOPE_MENOR)),W145&gt;PN_TOPE_MENOR,FALSE()),"El valor supera el tope de menor cuantía 2027",IF(OR(ISERROR(SEARCH("@itc.edu.co",AE145)),SUMPRODUCT(--ISNUMBER(SEARCH({"á","é","í","ó","ú","ñ"," "},AE145)))&gt;0),"El correo del responsable no es institucional válido",IF(AND(AF145="Sí",AG145=""),"Indique el N.° de registro 2026 que continúa","OK")))))))))))))))))</f>
        <v/>
      </c>
      <c r="AK145" s="114">
        <f>IF(AJ145="OK",COUNTIF($AJ$7:AJ145,"OK"),"")</f>
        <v/>
      </c>
    </row>
    <row r="146">
      <c r="A146" s="110">
        <f>"PN27-"&amp;TEXT(ROW()-6,"000")</f>
        <v/>
      </c>
      <c r="B146" s="111" t="n"/>
      <c r="C146" s="110">
        <f>IF(B146="","",IFERROR(INDEX('Catalogos_PDN'!$R$5:$R$51,MATCH(B146,PN_AREAS,0)),""))</f>
        <v/>
      </c>
      <c r="D146" s="110">
        <f>IF(B146="","",IFERROR(INDEX('Catalogos_PDN'!$O$5:$O$51,MATCH(B146,PN_AREAS,0)),""))</f>
        <v/>
      </c>
      <c r="E146" s="111" t="n"/>
      <c r="F146" s="110">
        <f>IF(E146="","",IFERROR(INDEX('Catalogos_PDN'!$C$5:$C$49,MATCH(E146,PN_METAS,0)),""))</f>
        <v/>
      </c>
      <c r="G146" s="110">
        <f>IF(E146="","",IFERROR(INDEX('Catalogos_PDN'!$E$5:$E$49,MATCH(E146,PN_METAS,0)),""))</f>
        <v/>
      </c>
      <c r="H146" s="111" t="n"/>
      <c r="I146" s="111" t="n"/>
      <c r="J146" s="111" t="n"/>
      <c r="K146" s="111" t="n"/>
      <c r="L146" s="111" t="n"/>
      <c r="M146" s="112" t="n"/>
      <c r="N146" s="111" t="n"/>
      <c r="O146" s="111" t="n"/>
      <c r="P146" s="111" t="n"/>
      <c r="Q146" s="111" t="n"/>
      <c r="R146" s="111" t="n"/>
      <c r="S146" s="111" t="n"/>
      <c r="T146" s="111" t="n"/>
      <c r="U146" s="111" t="n"/>
      <c r="V146" s="111" t="n"/>
      <c r="W146" s="113" t="n"/>
      <c r="X146" s="113" t="n"/>
      <c r="Y146" s="111" t="n"/>
      <c r="Z146" s="111" t="n"/>
      <c r="AA146" s="111" t="n"/>
      <c r="AB146" s="111" t="n"/>
      <c r="AC146" s="111" t="n"/>
      <c r="AD146" s="111" t="n"/>
      <c r="AE146" s="111" t="n"/>
      <c r="AF146" s="111" t="n"/>
      <c r="AG146" s="111" t="n"/>
      <c r="AH146" s="111" t="n"/>
      <c r="AI146" s="111" t="n"/>
      <c r="AJ146" s="114">
        <f>IF(COUNTA(B146,E146,H146,I146,J146,K146,L146,M146,N146,O146,P146,Q146,R146,S146,T146,U146,V146,W146,X146,Y146,Z146,AA146,AB146,AC146,AD146,AE146,AF146,AG146,AH146,AI146)=0,"",IF(OR(B146="",E146="",H146="",J146="",K146="",L146="",M146="",O146="",P146="",Q146="",R146="",S146="",T146="",U146="",W146="",X146="",Y146="",AB146="",AC146="",AE146="",AF146=""),"Incompleta: faltan campos obligatorios",IF(AND(LEFT(H146,6)="PROPIA",I146=""),"Falta el nombre de la acción propia del área",IF(AND(LEFT(H146,4)="AC27",IFERROR(INDEX('Catalogos_PDN'!$T$5:$T$207,MATCH(H146,'Catalogos_PDN'!$U$5:$U$207,0)),"x")&lt;&gt;LEFT(E146,7)),"La acción no corresponde a la meta seleccionada",IF(OR(NOT(ISNUMBER(M146)),M146&lt;10000000,M146&gt;99999999),"Código UNSPSC inválido: registre 8 dígitos",IF(MOD(M146,10000)=0,"UNSPSC a nivel de segmento o familia: use clase o producto",IF(IFERROR(MATCH(P146,PN_MESES,0)&lt;MATCH(O146,PN_MESES,0),TRUE()),"El mes de ofertas es anterior al de inicio del proceso",IF(OR(NOT(ISNUMBER(Q146)),Q146&lt;=0),"Duración inválida",IF(OR(NOT(ISNUMBER(W146)),NOT(ISNUMBER(X146))),"Valor inválido: registre solo números",IF(OR(W146&lt;=0,X146&lt;=0),"Valor inválido: debe ser mayor que cero",IF(X146&gt;W146,"El valor de la vigencia 2027 supera el valor total",IF(AND(X146&lt;W146,Y146="No"),"El valor total supera el de 2027: requiere vigencias futuras",IF(AND(Y146="Sí",OR(Z146="",Z146="No aplica")),"Indique el estado de la solicitud de vigencias futuras",IF(IF(AND(S146="Mínima cuantía",ISNUMBER(PN_TOPE_MINIMA)),W146&gt;PN_TOPE_MINIMA,FALSE()),"El valor supera el tope de mínima cuantía 2027",IF(IF(AND(S146="Selección abreviada de menor cuantía",ISNUMBER(PN_TOPE_MENOR)),W146&gt;PN_TOPE_MENOR,FALSE()),"El valor supera el tope de menor cuantía 2027",IF(OR(ISERROR(SEARCH("@itc.edu.co",AE146)),SUMPRODUCT(--ISNUMBER(SEARCH({"á","é","í","ó","ú","ñ"," "},AE146)))&gt;0),"El correo del responsable no es institucional válido",IF(AND(AF146="Sí",AG146=""),"Indique el N.° de registro 2026 que continúa","OK")))))))))))))))))</f>
        <v/>
      </c>
      <c r="AK146" s="114">
        <f>IF(AJ146="OK",COUNTIF($AJ$7:AJ146,"OK"),"")</f>
        <v/>
      </c>
    </row>
    <row r="147">
      <c r="A147" s="110">
        <f>"PN27-"&amp;TEXT(ROW()-6,"000")</f>
        <v/>
      </c>
      <c r="B147" s="111" t="n"/>
      <c r="C147" s="110">
        <f>IF(B147="","",IFERROR(INDEX('Catalogos_PDN'!$R$5:$R$51,MATCH(B147,PN_AREAS,0)),""))</f>
        <v/>
      </c>
      <c r="D147" s="110">
        <f>IF(B147="","",IFERROR(INDEX('Catalogos_PDN'!$O$5:$O$51,MATCH(B147,PN_AREAS,0)),""))</f>
        <v/>
      </c>
      <c r="E147" s="111" t="n"/>
      <c r="F147" s="110">
        <f>IF(E147="","",IFERROR(INDEX('Catalogos_PDN'!$C$5:$C$49,MATCH(E147,PN_METAS,0)),""))</f>
        <v/>
      </c>
      <c r="G147" s="110">
        <f>IF(E147="","",IFERROR(INDEX('Catalogos_PDN'!$E$5:$E$49,MATCH(E147,PN_METAS,0)),""))</f>
        <v/>
      </c>
      <c r="H147" s="111" t="n"/>
      <c r="I147" s="111" t="n"/>
      <c r="J147" s="111" t="n"/>
      <c r="K147" s="111" t="n"/>
      <c r="L147" s="111" t="n"/>
      <c r="M147" s="112" t="n"/>
      <c r="N147" s="111" t="n"/>
      <c r="O147" s="111" t="n"/>
      <c r="P147" s="111" t="n"/>
      <c r="Q147" s="111" t="n"/>
      <c r="R147" s="111" t="n"/>
      <c r="S147" s="111" t="n"/>
      <c r="T147" s="111" t="n"/>
      <c r="U147" s="111" t="n"/>
      <c r="V147" s="111" t="n"/>
      <c r="W147" s="113" t="n"/>
      <c r="X147" s="113" t="n"/>
      <c r="Y147" s="111" t="n"/>
      <c r="Z147" s="111" t="n"/>
      <c r="AA147" s="111" t="n"/>
      <c r="AB147" s="111" t="n"/>
      <c r="AC147" s="111" t="n"/>
      <c r="AD147" s="111" t="n"/>
      <c r="AE147" s="111" t="n"/>
      <c r="AF147" s="111" t="n"/>
      <c r="AG147" s="111" t="n"/>
      <c r="AH147" s="111" t="n"/>
      <c r="AI147" s="111" t="n"/>
      <c r="AJ147" s="114">
        <f>IF(COUNTA(B147,E147,H147,I147,J147,K147,L147,M147,N147,O147,P147,Q147,R147,S147,T147,U147,V147,W147,X147,Y147,Z147,AA147,AB147,AC147,AD147,AE147,AF147,AG147,AH147,AI147)=0,"",IF(OR(B147="",E147="",H147="",J147="",K147="",L147="",M147="",O147="",P147="",Q147="",R147="",S147="",T147="",U147="",W147="",X147="",Y147="",AB147="",AC147="",AE147="",AF147=""),"Incompleta: faltan campos obligatorios",IF(AND(LEFT(H147,6)="PROPIA",I147=""),"Falta el nombre de la acción propia del área",IF(AND(LEFT(H147,4)="AC27",IFERROR(INDEX('Catalogos_PDN'!$T$5:$T$207,MATCH(H147,'Catalogos_PDN'!$U$5:$U$207,0)),"x")&lt;&gt;LEFT(E147,7)),"La acción no corresponde a la meta seleccionada",IF(OR(NOT(ISNUMBER(M147)),M147&lt;10000000,M147&gt;99999999),"Código UNSPSC inválido: registre 8 dígitos",IF(MOD(M147,10000)=0,"UNSPSC a nivel de segmento o familia: use clase o producto",IF(IFERROR(MATCH(P147,PN_MESES,0)&lt;MATCH(O147,PN_MESES,0),TRUE()),"El mes de ofertas es anterior al de inicio del proceso",IF(OR(NOT(ISNUMBER(Q147)),Q147&lt;=0),"Duración inválida",IF(OR(NOT(ISNUMBER(W147)),NOT(ISNUMBER(X147))),"Valor inválido: registre solo números",IF(OR(W147&lt;=0,X147&lt;=0),"Valor inválido: debe ser mayor que cero",IF(X147&gt;W147,"El valor de la vigencia 2027 supera el valor total",IF(AND(X147&lt;W147,Y147="No"),"El valor total supera el de 2027: requiere vigencias futuras",IF(AND(Y147="Sí",OR(Z147="",Z147="No aplica")),"Indique el estado de la solicitud de vigencias futuras",IF(IF(AND(S147="Mínima cuantía",ISNUMBER(PN_TOPE_MINIMA)),W147&gt;PN_TOPE_MINIMA,FALSE()),"El valor supera el tope de mínima cuantía 2027",IF(IF(AND(S147="Selección abreviada de menor cuantía",ISNUMBER(PN_TOPE_MENOR)),W147&gt;PN_TOPE_MENOR,FALSE()),"El valor supera el tope de menor cuantía 2027",IF(OR(ISERROR(SEARCH("@itc.edu.co",AE147)),SUMPRODUCT(--ISNUMBER(SEARCH({"á","é","í","ó","ú","ñ"," "},AE147)))&gt;0),"El correo del responsable no es institucional válido",IF(AND(AF147="Sí",AG147=""),"Indique el N.° de registro 2026 que continúa","OK")))))))))))))))))</f>
        <v/>
      </c>
      <c r="AK147" s="114">
        <f>IF(AJ147="OK",COUNTIF($AJ$7:AJ147,"OK"),"")</f>
        <v/>
      </c>
    </row>
    <row r="148">
      <c r="A148" s="110">
        <f>"PN27-"&amp;TEXT(ROW()-6,"000")</f>
        <v/>
      </c>
      <c r="B148" s="111" t="n"/>
      <c r="C148" s="110">
        <f>IF(B148="","",IFERROR(INDEX('Catalogos_PDN'!$R$5:$R$51,MATCH(B148,PN_AREAS,0)),""))</f>
        <v/>
      </c>
      <c r="D148" s="110">
        <f>IF(B148="","",IFERROR(INDEX('Catalogos_PDN'!$O$5:$O$51,MATCH(B148,PN_AREAS,0)),""))</f>
        <v/>
      </c>
      <c r="E148" s="111" t="n"/>
      <c r="F148" s="110">
        <f>IF(E148="","",IFERROR(INDEX('Catalogos_PDN'!$C$5:$C$49,MATCH(E148,PN_METAS,0)),""))</f>
        <v/>
      </c>
      <c r="G148" s="110">
        <f>IF(E148="","",IFERROR(INDEX('Catalogos_PDN'!$E$5:$E$49,MATCH(E148,PN_METAS,0)),""))</f>
        <v/>
      </c>
      <c r="H148" s="111" t="n"/>
      <c r="I148" s="111" t="n"/>
      <c r="J148" s="111" t="n"/>
      <c r="K148" s="111" t="n"/>
      <c r="L148" s="111" t="n"/>
      <c r="M148" s="112" t="n"/>
      <c r="N148" s="111" t="n"/>
      <c r="O148" s="111" t="n"/>
      <c r="P148" s="111" t="n"/>
      <c r="Q148" s="111" t="n"/>
      <c r="R148" s="111" t="n"/>
      <c r="S148" s="111" t="n"/>
      <c r="T148" s="111" t="n"/>
      <c r="U148" s="111" t="n"/>
      <c r="V148" s="111" t="n"/>
      <c r="W148" s="113" t="n"/>
      <c r="X148" s="113" t="n"/>
      <c r="Y148" s="111" t="n"/>
      <c r="Z148" s="111" t="n"/>
      <c r="AA148" s="111" t="n"/>
      <c r="AB148" s="111" t="n"/>
      <c r="AC148" s="111" t="n"/>
      <c r="AD148" s="111" t="n"/>
      <c r="AE148" s="111" t="n"/>
      <c r="AF148" s="111" t="n"/>
      <c r="AG148" s="111" t="n"/>
      <c r="AH148" s="111" t="n"/>
      <c r="AI148" s="111" t="n"/>
      <c r="AJ148" s="114">
        <f>IF(COUNTA(B148,E148,H148,I148,J148,K148,L148,M148,N148,O148,P148,Q148,R148,S148,T148,U148,V148,W148,X148,Y148,Z148,AA148,AB148,AC148,AD148,AE148,AF148,AG148,AH148,AI148)=0,"",IF(OR(B148="",E148="",H148="",J148="",K148="",L148="",M148="",O148="",P148="",Q148="",R148="",S148="",T148="",U148="",W148="",X148="",Y148="",AB148="",AC148="",AE148="",AF148=""),"Incompleta: faltan campos obligatorios",IF(AND(LEFT(H148,6)="PROPIA",I148=""),"Falta el nombre de la acción propia del área",IF(AND(LEFT(H148,4)="AC27",IFERROR(INDEX('Catalogos_PDN'!$T$5:$T$207,MATCH(H148,'Catalogos_PDN'!$U$5:$U$207,0)),"x")&lt;&gt;LEFT(E148,7)),"La acción no corresponde a la meta seleccionada",IF(OR(NOT(ISNUMBER(M148)),M148&lt;10000000,M148&gt;99999999),"Código UNSPSC inválido: registre 8 dígitos",IF(MOD(M148,10000)=0,"UNSPSC a nivel de segmento o familia: use clase o producto",IF(IFERROR(MATCH(P148,PN_MESES,0)&lt;MATCH(O148,PN_MESES,0),TRUE()),"El mes de ofertas es anterior al de inicio del proceso",IF(OR(NOT(ISNUMBER(Q148)),Q148&lt;=0),"Duración inválida",IF(OR(NOT(ISNUMBER(W148)),NOT(ISNUMBER(X148))),"Valor inválido: registre solo números",IF(OR(W148&lt;=0,X148&lt;=0),"Valor inválido: debe ser mayor que cero",IF(X148&gt;W148,"El valor de la vigencia 2027 supera el valor total",IF(AND(X148&lt;W148,Y148="No"),"El valor total supera el de 2027: requiere vigencias futuras",IF(AND(Y148="Sí",OR(Z148="",Z148="No aplica")),"Indique el estado de la solicitud de vigencias futuras",IF(IF(AND(S148="Mínima cuantía",ISNUMBER(PN_TOPE_MINIMA)),W148&gt;PN_TOPE_MINIMA,FALSE()),"El valor supera el tope de mínima cuantía 2027",IF(IF(AND(S148="Selección abreviada de menor cuantía",ISNUMBER(PN_TOPE_MENOR)),W148&gt;PN_TOPE_MENOR,FALSE()),"El valor supera el tope de menor cuantía 2027",IF(OR(ISERROR(SEARCH("@itc.edu.co",AE148)),SUMPRODUCT(--ISNUMBER(SEARCH({"á","é","í","ó","ú","ñ"," "},AE148)))&gt;0),"El correo del responsable no es institucional válido",IF(AND(AF148="Sí",AG148=""),"Indique el N.° de registro 2026 que continúa","OK")))))))))))))))))</f>
        <v/>
      </c>
      <c r="AK148" s="114">
        <f>IF(AJ148="OK",COUNTIF($AJ$7:AJ148,"OK"),"")</f>
        <v/>
      </c>
    </row>
    <row r="149">
      <c r="A149" s="110">
        <f>"PN27-"&amp;TEXT(ROW()-6,"000")</f>
        <v/>
      </c>
      <c r="B149" s="111" t="n"/>
      <c r="C149" s="110">
        <f>IF(B149="","",IFERROR(INDEX('Catalogos_PDN'!$R$5:$R$51,MATCH(B149,PN_AREAS,0)),""))</f>
        <v/>
      </c>
      <c r="D149" s="110">
        <f>IF(B149="","",IFERROR(INDEX('Catalogos_PDN'!$O$5:$O$51,MATCH(B149,PN_AREAS,0)),""))</f>
        <v/>
      </c>
      <c r="E149" s="111" t="n"/>
      <c r="F149" s="110">
        <f>IF(E149="","",IFERROR(INDEX('Catalogos_PDN'!$C$5:$C$49,MATCH(E149,PN_METAS,0)),""))</f>
        <v/>
      </c>
      <c r="G149" s="110">
        <f>IF(E149="","",IFERROR(INDEX('Catalogos_PDN'!$E$5:$E$49,MATCH(E149,PN_METAS,0)),""))</f>
        <v/>
      </c>
      <c r="H149" s="111" t="n"/>
      <c r="I149" s="111" t="n"/>
      <c r="J149" s="111" t="n"/>
      <c r="K149" s="111" t="n"/>
      <c r="L149" s="111" t="n"/>
      <c r="M149" s="112" t="n"/>
      <c r="N149" s="111" t="n"/>
      <c r="O149" s="111" t="n"/>
      <c r="P149" s="111" t="n"/>
      <c r="Q149" s="111" t="n"/>
      <c r="R149" s="111" t="n"/>
      <c r="S149" s="111" t="n"/>
      <c r="T149" s="111" t="n"/>
      <c r="U149" s="111" t="n"/>
      <c r="V149" s="111" t="n"/>
      <c r="W149" s="113" t="n"/>
      <c r="X149" s="113" t="n"/>
      <c r="Y149" s="111" t="n"/>
      <c r="Z149" s="111" t="n"/>
      <c r="AA149" s="111" t="n"/>
      <c r="AB149" s="111" t="n"/>
      <c r="AC149" s="111" t="n"/>
      <c r="AD149" s="111" t="n"/>
      <c r="AE149" s="111" t="n"/>
      <c r="AF149" s="111" t="n"/>
      <c r="AG149" s="111" t="n"/>
      <c r="AH149" s="111" t="n"/>
      <c r="AI149" s="111" t="n"/>
      <c r="AJ149" s="114">
        <f>IF(COUNTA(B149,E149,H149,I149,J149,K149,L149,M149,N149,O149,P149,Q149,R149,S149,T149,U149,V149,W149,X149,Y149,Z149,AA149,AB149,AC149,AD149,AE149,AF149,AG149,AH149,AI149)=0,"",IF(OR(B149="",E149="",H149="",J149="",K149="",L149="",M149="",O149="",P149="",Q149="",R149="",S149="",T149="",U149="",W149="",X149="",Y149="",AB149="",AC149="",AE149="",AF149=""),"Incompleta: faltan campos obligatorios",IF(AND(LEFT(H149,6)="PROPIA",I149=""),"Falta el nombre de la acción propia del área",IF(AND(LEFT(H149,4)="AC27",IFERROR(INDEX('Catalogos_PDN'!$T$5:$T$207,MATCH(H149,'Catalogos_PDN'!$U$5:$U$207,0)),"x")&lt;&gt;LEFT(E149,7)),"La acción no corresponde a la meta seleccionada",IF(OR(NOT(ISNUMBER(M149)),M149&lt;10000000,M149&gt;99999999),"Código UNSPSC inválido: registre 8 dígitos",IF(MOD(M149,10000)=0,"UNSPSC a nivel de segmento o familia: use clase o producto",IF(IFERROR(MATCH(P149,PN_MESES,0)&lt;MATCH(O149,PN_MESES,0),TRUE()),"El mes de ofertas es anterior al de inicio del proceso",IF(OR(NOT(ISNUMBER(Q149)),Q149&lt;=0),"Duración inválida",IF(OR(NOT(ISNUMBER(W149)),NOT(ISNUMBER(X149))),"Valor inválido: registre solo números",IF(OR(W149&lt;=0,X149&lt;=0),"Valor inválido: debe ser mayor que cero",IF(X149&gt;W149,"El valor de la vigencia 2027 supera el valor total",IF(AND(X149&lt;W149,Y149="No"),"El valor total supera el de 2027: requiere vigencias futuras",IF(AND(Y149="Sí",OR(Z149="",Z149="No aplica")),"Indique el estado de la solicitud de vigencias futuras",IF(IF(AND(S149="Mínima cuantía",ISNUMBER(PN_TOPE_MINIMA)),W149&gt;PN_TOPE_MINIMA,FALSE()),"El valor supera el tope de mínima cuantía 2027",IF(IF(AND(S149="Selección abreviada de menor cuantía",ISNUMBER(PN_TOPE_MENOR)),W149&gt;PN_TOPE_MENOR,FALSE()),"El valor supera el tope de menor cuantía 2027",IF(OR(ISERROR(SEARCH("@itc.edu.co",AE149)),SUMPRODUCT(--ISNUMBER(SEARCH({"á","é","í","ó","ú","ñ"," "},AE149)))&gt;0),"El correo del responsable no es institucional válido",IF(AND(AF149="Sí",AG149=""),"Indique el N.° de registro 2026 que continúa","OK")))))))))))))))))</f>
        <v/>
      </c>
      <c r="AK149" s="114">
        <f>IF(AJ149="OK",COUNTIF($AJ$7:AJ149,"OK"),"")</f>
        <v/>
      </c>
    </row>
    <row r="150">
      <c r="A150" s="110">
        <f>"PN27-"&amp;TEXT(ROW()-6,"000")</f>
        <v/>
      </c>
      <c r="B150" s="111" t="n"/>
      <c r="C150" s="110">
        <f>IF(B150="","",IFERROR(INDEX('Catalogos_PDN'!$R$5:$R$51,MATCH(B150,PN_AREAS,0)),""))</f>
        <v/>
      </c>
      <c r="D150" s="110">
        <f>IF(B150="","",IFERROR(INDEX('Catalogos_PDN'!$O$5:$O$51,MATCH(B150,PN_AREAS,0)),""))</f>
        <v/>
      </c>
      <c r="E150" s="111" t="n"/>
      <c r="F150" s="110">
        <f>IF(E150="","",IFERROR(INDEX('Catalogos_PDN'!$C$5:$C$49,MATCH(E150,PN_METAS,0)),""))</f>
        <v/>
      </c>
      <c r="G150" s="110">
        <f>IF(E150="","",IFERROR(INDEX('Catalogos_PDN'!$E$5:$E$49,MATCH(E150,PN_METAS,0)),""))</f>
        <v/>
      </c>
      <c r="H150" s="111" t="n"/>
      <c r="I150" s="111" t="n"/>
      <c r="J150" s="111" t="n"/>
      <c r="K150" s="111" t="n"/>
      <c r="L150" s="111" t="n"/>
      <c r="M150" s="112" t="n"/>
      <c r="N150" s="111" t="n"/>
      <c r="O150" s="111" t="n"/>
      <c r="P150" s="111" t="n"/>
      <c r="Q150" s="111" t="n"/>
      <c r="R150" s="111" t="n"/>
      <c r="S150" s="111" t="n"/>
      <c r="T150" s="111" t="n"/>
      <c r="U150" s="111" t="n"/>
      <c r="V150" s="111" t="n"/>
      <c r="W150" s="113" t="n"/>
      <c r="X150" s="113" t="n"/>
      <c r="Y150" s="111" t="n"/>
      <c r="Z150" s="111" t="n"/>
      <c r="AA150" s="111" t="n"/>
      <c r="AB150" s="111" t="n"/>
      <c r="AC150" s="111" t="n"/>
      <c r="AD150" s="111" t="n"/>
      <c r="AE150" s="111" t="n"/>
      <c r="AF150" s="111" t="n"/>
      <c r="AG150" s="111" t="n"/>
      <c r="AH150" s="111" t="n"/>
      <c r="AI150" s="111" t="n"/>
      <c r="AJ150" s="114">
        <f>IF(COUNTA(B150,E150,H150,I150,J150,K150,L150,M150,N150,O150,P150,Q150,R150,S150,T150,U150,V150,W150,X150,Y150,Z150,AA150,AB150,AC150,AD150,AE150,AF150,AG150,AH150,AI150)=0,"",IF(OR(B150="",E150="",H150="",J150="",K150="",L150="",M150="",O150="",P150="",Q150="",R150="",S150="",T150="",U150="",W150="",X150="",Y150="",AB150="",AC150="",AE150="",AF150=""),"Incompleta: faltan campos obligatorios",IF(AND(LEFT(H150,6)="PROPIA",I150=""),"Falta el nombre de la acción propia del área",IF(AND(LEFT(H150,4)="AC27",IFERROR(INDEX('Catalogos_PDN'!$T$5:$T$207,MATCH(H150,'Catalogos_PDN'!$U$5:$U$207,0)),"x")&lt;&gt;LEFT(E150,7)),"La acción no corresponde a la meta seleccionada",IF(OR(NOT(ISNUMBER(M150)),M150&lt;10000000,M150&gt;99999999),"Código UNSPSC inválido: registre 8 dígitos",IF(MOD(M150,10000)=0,"UNSPSC a nivel de segmento o familia: use clase o producto",IF(IFERROR(MATCH(P150,PN_MESES,0)&lt;MATCH(O150,PN_MESES,0),TRUE()),"El mes de ofertas es anterior al de inicio del proceso",IF(OR(NOT(ISNUMBER(Q150)),Q150&lt;=0),"Duración inválida",IF(OR(NOT(ISNUMBER(W150)),NOT(ISNUMBER(X150))),"Valor inválido: registre solo números",IF(OR(W150&lt;=0,X150&lt;=0),"Valor inválido: debe ser mayor que cero",IF(X150&gt;W150,"El valor de la vigencia 2027 supera el valor total",IF(AND(X150&lt;W150,Y150="No"),"El valor total supera el de 2027: requiere vigencias futuras",IF(AND(Y150="Sí",OR(Z150="",Z150="No aplica")),"Indique el estado de la solicitud de vigencias futuras",IF(IF(AND(S150="Mínima cuantía",ISNUMBER(PN_TOPE_MINIMA)),W150&gt;PN_TOPE_MINIMA,FALSE()),"El valor supera el tope de mínima cuantía 2027",IF(IF(AND(S150="Selección abreviada de menor cuantía",ISNUMBER(PN_TOPE_MENOR)),W150&gt;PN_TOPE_MENOR,FALSE()),"El valor supera el tope de menor cuantía 2027",IF(OR(ISERROR(SEARCH("@itc.edu.co",AE150)),SUMPRODUCT(--ISNUMBER(SEARCH({"á","é","í","ó","ú","ñ"," "},AE150)))&gt;0),"El correo del responsable no es institucional válido",IF(AND(AF150="Sí",AG150=""),"Indique el N.° de registro 2026 que continúa","OK")))))))))))))))))</f>
        <v/>
      </c>
      <c r="AK150" s="114">
        <f>IF(AJ150="OK",COUNTIF($AJ$7:AJ150,"OK"),"")</f>
        <v/>
      </c>
    </row>
    <row r="151">
      <c r="A151" s="110">
        <f>"PN27-"&amp;TEXT(ROW()-6,"000")</f>
        <v/>
      </c>
      <c r="B151" s="111" t="n"/>
      <c r="C151" s="110">
        <f>IF(B151="","",IFERROR(INDEX('Catalogos_PDN'!$R$5:$R$51,MATCH(B151,PN_AREAS,0)),""))</f>
        <v/>
      </c>
      <c r="D151" s="110">
        <f>IF(B151="","",IFERROR(INDEX('Catalogos_PDN'!$O$5:$O$51,MATCH(B151,PN_AREAS,0)),""))</f>
        <v/>
      </c>
      <c r="E151" s="111" t="n"/>
      <c r="F151" s="110">
        <f>IF(E151="","",IFERROR(INDEX('Catalogos_PDN'!$C$5:$C$49,MATCH(E151,PN_METAS,0)),""))</f>
        <v/>
      </c>
      <c r="G151" s="110">
        <f>IF(E151="","",IFERROR(INDEX('Catalogos_PDN'!$E$5:$E$49,MATCH(E151,PN_METAS,0)),""))</f>
        <v/>
      </c>
      <c r="H151" s="111" t="n"/>
      <c r="I151" s="111" t="n"/>
      <c r="J151" s="111" t="n"/>
      <c r="K151" s="111" t="n"/>
      <c r="L151" s="111" t="n"/>
      <c r="M151" s="112" t="n"/>
      <c r="N151" s="111" t="n"/>
      <c r="O151" s="111" t="n"/>
      <c r="P151" s="111" t="n"/>
      <c r="Q151" s="111" t="n"/>
      <c r="R151" s="111" t="n"/>
      <c r="S151" s="111" t="n"/>
      <c r="T151" s="111" t="n"/>
      <c r="U151" s="111" t="n"/>
      <c r="V151" s="111" t="n"/>
      <c r="W151" s="113" t="n"/>
      <c r="X151" s="113" t="n"/>
      <c r="Y151" s="111" t="n"/>
      <c r="Z151" s="111" t="n"/>
      <c r="AA151" s="111" t="n"/>
      <c r="AB151" s="111" t="n"/>
      <c r="AC151" s="111" t="n"/>
      <c r="AD151" s="111" t="n"/>
      <c r="AE151" s="111" t="n"/>
      <c r="AF151" s="111" t="n"/>
      <c r="AG151" s="111" t="n"/>
      <c r="AH151" s="111" t="n"/>
      <c r="AI151" s="111" t="n"/>
      <c r="AJ151" s="114">
        <f>IF(COUNTA(B151,E151,H151,I151,J151,K151,L151,M151,N151,O151,P151,Q151,R151,S151,T151,U151,V151,W151,X151,Y151,Z151,AA151,AB151,AC151,AD151,AE151,AF151,AG151,AH151,AI151)=0,"",IF(OR(B151="",E151="",H151="",J151="",K151="",L151="",M151="",O151="",P151="",Q151="",R151="",S151="",T151="",U151="",W151="",X151="",Y151="",AB151="",AC151="",AE151="",AF151=""),"Incompleta: faltan campos obligatorios",IF(AND(LEFT(H151,6)="PROPIA",I151=""),"Falta el nombre de la acción propia del área",IF(AND(LEFT(H151,4)="AC27",IFERROR(INDEX('Catalogos_PDN'!$T$5:$T$207,MATCH(H151,'Catalogos_PDN'!$U$5:$U$207,0)),"x")&lt;&gt;LEFT(E151,7)),"La acción no corresponde a la meta seleccionada",IF(OR(NOT(ISNUMBER(M151)),M151&lt;10000000,M151&gt;99999999),"Código UNSPSC inválido: registre 8 dígitos",IF(MOD(M151,10000)=0,"UNSPSC a nivel de segmento o familia: use clase o producto",IF(IFERROR(MATCH(P151,PN_MESES,0)&lt;MATCH(O151,PN_MESES,0),TRUE()),"El mes de ofertas es anterior al de inicio del proceso",IF(OR(NOT(ISNUMBER(Q151)),Q151&lt;=0),"Duración inválida",IF(OR(NOT(ISNUMBER(W151)),NOT(ISNUMBER(X151))),"Valor inválido: registre solo números",IF(OR(W151&lt;=0,X151&lt;=0),"Valor inválido: debe ser mayor que cero",IF(X151&gt;W151,"El valor de la vigencia 2027 supera el valor total",IF(AND(X151&lt;W151,Y151="No"),"El valor total supera el de 2027: requiere vigencias futuras",IF(AND(Y151="Sí",OR(Z151="",Z151="No aplica")),"Indique el estado de la solicitud de vigencias futuras",IF(IF(AND(S151="Mínima cuantía",ISNUMBER(PN_TOPE_MINIMA)),W151&gt;PN_TOPE_MINIMA,FALSE()),"El valor supera el tope de mínima cuantía 2027",IF(IF(AND(S151="Selección abreviada de menor cuantía",ISNUMBER(PN_TOPE_MENOR)),W151&gt;PN_TOPE_MENOR,FALSE()),"El valor supera el tope de menor cuantía 2027",IF(OR(ISERROR(SEARCH("@itc.edu.co",AE151)),SUMPRODUCT(--ISNUMBER(SEARCH({"á","é","í","ó","ú","ñ"," "},AE151)))&gt;0),"El correo del responsable no es institucional válido",IF(AND(AF151="Sí",AG151=""),"Indique el N.° de registro 2026 que continúa","OK")))))))))))))))))</f>
        <v/>
      </c>
      <c r="AK151" s="114">
        <f>IF(AJ151="OK",COUNTIF($AJ$7:AJ151,"OK"),"")</f>
        <v/>
      </c>
    </row>
    <row r="152">
      <c r="A152" s="110">
        <f>"PN27-"&amp;TEXT(ROW()-6,"000")</f>
        <v/>
      </c>
      <c r="B152" s="111" t="n"/>
      <c r="C152" s="110">
        <f>IF(B152="","",IFERROR(INDEX('Catalogos_PDN'!$R$5:$R$51,MATCH(B152,PN_AREAS,0)),""))</f>
        <v/>
      </c>
      <c r="D152" s="110">
        <f>IF(B152="","",IFERROR(INDEX('Catalogos_PDN'!$O$5:$O$51,MATCH(B152,PN_AREAS,0)),""))</f>
        <v/>
      </c>
      <c r="E152" s="111" t="n"/>
      <c r="F152" s="110">
        <f>IF(E152="","",IFERROR(INDEX('Catalogos_PDN'!$C$5:$C$49,MATCH(E152,PN_METAS,0)),""))</f>
        <v/>
      </c>
      <c r="G152" s="110">
        <f>IF(E152="","",IFERROR(INDEX('Catalogos_PDN'!$E$5:$E$49,MATCH(E152,PN_METAS,0)),""))</f>
        <v/>
      </c>
      <c r="H152" s="111" t="n"/>
      <c r="I152" s="111" t="n"/>
      <c r="J152" s="111" t="n"/>
      <c r="K152" s="111" t="n"/>
      <c r="L152" s="111" t="n"/>
      <c r="M152" s="112" t="n"/>
      <c r="N152" s="111" t="n"/>
      <c r="O152" s="111" t="n"/>
      <c r="P152" s="111" t="n"/>
      <c r="Q152" s="111" t="n"/>
      <c r="R152" s="111" t="n"/>
      <c r="S152" s="111" t="n"/>
      <c r="T152" s="111" t="n"/>
      <c r="U152" s="111" t="n"/>
      <c r="V152" s="111" t="n"/>
      <c r="W152" s="113" t="n"/>
      <c r="X152" s="113" t="n"/>
      <c r="Y152" s="111" t="n"/>
      <c r="Z152" s="111" t="n"/>
      <c r="AA152" s="111" t="n"/>
      <c r="AB152" s="111" t="n"/>
      <c r="AC152" s="111" t="n"/>
      <c r="AD152" s="111" t="n"/>
      <c r="AE152" s="111" t="n"/>
      <c r="AF152" s="111" t="n"/>
      <c r="AG152" s="111" t="n"/>
      <c r="AH152" s="111" t="n"/>
      <c r="AI152" s="111" t="n"/>
      <c r="AJ152" s="114">
        <f>IF(COUNTA(B152,E152,H152,I152,J152,K152,L152,M152,N152,O152,P152,Q152,R152,S152,T152,U152,V152,W152,X152,Y152,Z152,AA152,AB152,AC152,AD152,AE152,AF152,AG152,AH152,AI152)=0,"",IF(OR(B152="",E152="",H152="",J152="",K152="",L152="",M152="",O152="",P152="",Q152="",R152="",S152="",T152="",U152="",W152="",X152="",Y152="",AB152="",AC152="",AE152="",AF152=""),"Incompleta: faltan campos obligatorios",IF(AND(LEFT(H152,6)="PROPIA",I152=""),"Falta el nombre de la acción propia del área",IF(AND(LEFT(H152,4)="AC27",IFERROR(INDEX('Catalogos_PDN'!$T$5:$T$207,MATCH(H152,'Catalogos_PDN'!$U$5:$U$207,0)),"x")&lt;&gt;LEFT(E152,7)),"La acción no corresponde a la meta seleccionada",IF(OR(NOT(ISNUMBER(M152)),M152&lt;10000000,M152&gt;99999999),"Código UNSPSC inválido: registre 8 dígitos",IF(MOD(M152,10000)=0,"UNSPSC a nivel de segmento o familia: use clase o producto",IF(IFERROR(MATCH(P152,PN_MESES,0)&lt;MATCH(O152,PN_MESES,0),TRUE()),"El mes de ofertas es anterior al de inicio del proceso",IF(OR(NOT(ISNUMBER(Q152)),Q152&lt;=0),"Duración inválida",IF(OR(NOT(ISNUMBER(W152)),NOT(ISNUMBER(X152))),"Valor inválido: registre solo números",IF(OR(W152&lt;=0,X152&lt;=0),"Valor inválido: debe ser mayor que cero",IF(X152&gt;W152,"El valor de la vigencia 2027 supera el valor total",IF(AND(X152&lt;W152,Y152="No"),"El valor total supera el de 2027: requiere vigencias futuras",IF(AND(Y152="Sí",OR(Z152="",Z152="No aplica")),"Indique el estado de la solicitud de vigencias futuras",IF(IF(AND(S152="Mínima cuantía",ISNUMBER(PN_TOPE_MINIMA)),W152&gt;PN_TOPE_MINIMA,FALSE()),"El valor supera el tope de mínima cuantía 2027",IF(IF(AND(S152="Selección abreviada de menor cuantía",ISNUMBER(PN_TOPE_MENOR)),W152&gt;PN_TOPE_MENOR,FALSE()),"El valor supera el tope de menor cuantía 2027",IF(OR(ISERROR(SEARCH("@itc.edu.co",AE152)),SUMPRODUCT(--ISNUMBER(SEARCH({"á","é","í","ó","ú","ñ"," "},AE152)))&gt;0),"El correo del responsable no es institucional válido",IF(AND(AF152="Sí",AG152=""),"Indique el N.° de registro 2026 que continúa","OK")))))))))))))))))</f>
        <v/>
      </c>
      <c r="AK152" s="114">
        <f>IF(AJ152="OK",COUNTIF($AJ$7:AJ152,"OK"),"")</f>
        <v/>
      </c>
    </row>
    <row r="153">
      <c r="A153" s="110">
        <f>"PN27-"&amp;TEXT(ROW()-6,"000")</f>
        <v/>
      </c>
      <c r="B153" s="111" t="n"/>
      <c r="C153" s="110">
        <f>IF(B153="","",IFERROR(INDEX('Catalogos_PDN'!$R$5:$R$51,MATCH(B153,PN_AREAS,0)),""))</f>
        <v/>
      </c>
      <c r="D153" s="110">
        <f>IF(B153="","",IFERROR(INDEX('Catalogos_PDN'!$O$5:$O$51,MATCH(B153,PN_AREAS,0)),""))</f>
        <v/>
      </c>
      <c r="E153" s="111" t="n"/>
      <c r="F153" s="110">
        <f>IF(E153="","",IFERROR(INDEX('Catalogos_PDN'!$C$5:$C$49,MATCH(E153,PN_METAS,0)),""))</f>
        <v/>
      </c>
      <c r="G153" s="110">
        <f>IF(E153="","",IFERROR(INDEX('Catalogos_PDN'!$E$5:$E$49,MATCH(E153,PN_METAS,0)),""))</f>
        <v/>
      </c>
      <c r="H153" s="111" t="n"/>
      <c r="I153" s="111" t="n"/>
      <c r="J153" s="111" t="n"/>
      <c r="K153" s="111" t="n"/>
      <c r="L153" s="111" t="n"/>
      <c r="M153" s="112" t="n"/>
      <c r="N153" s="111" t="n"/>
      <c r="O153" s="111" t="n"/>
      <c r="P153" s="111" t="n"/>
      <c r="Q153" s="111" t="n"/>
      <c r="R153" s="111" t="n"/>
      <c r="S153" s="111" t="n"/>
      <c r="T153" s="111" t="n"/>
      <c r="U153" s="111" t="n"/>
      <c r="V153" s="111" t="n"/>
      <c r="W153" s="113" t="n"/>
      <c r="X153" s="113" t="n"/>
      <c r="Y153" s="111" t="n"/>
      <c r="Z153" s="111" t="n"/>
      <c r="AA153" s="111" t="n"/>
      <c r="AB153" s="111" t="n"/>
      <c r="AC153" s="111" t="n"/>
      <c r="AD153" s="111" t="n"/>
      <c r="AE153" s="111" t="n"/>
      <c r="AF153" s="111" t="n"/>
      <c r="AG153" s="111" t="n"/>
      <c r="AH153" s="111" t="n"/>
      <c r="AI153" s="111" t="n"/>
      <c r="AJ153" s="114">
        <f>IF(COUNTA(B153,E153,H153,I153,J153,K153,L153,M153,N153,O153,P153,Q153,R153,S153,T153,U153,V153,W153,X153,Y153,Z153,AA153,AB153,AC153,AD153,AE153,AF153,AG153,AH153,AI153)=0,"",IF(OR(B153="",E153="",H153="",J153="",K153="",L153="",M153="",O153="",P153="",Q153="",R153="",S153="",T153="",U153="",W153="",X153="",Y153="",AB153="",AC153="",AE153="",AF153=""),"Incompleta: faltan campos obligatorios",IF(AND(LEFT(H153,6)="PROPIA",I153=""),"Falta el nombre de la acción propia del área",IF(AND(LEFT(H153,4)="AC27",IFERROR(INDEX('Catalogos_PDN'!$T$5:$T$207,MATCH(H153,'Catalogos_PDN'!$U$5:$U$207,0)),"x")&lt;&gt;LEFT(E153,7)),"La acción no corresponde a la meta seleccionada",IF(OR(NOT(ISNUMBER(M153)),M153&lt;10000000,M153&gt;99999999),"Código UNSPSC inválido: registre 8 dígitos",IF(MOD(M153,10000)=0,"UNSPSC a nivel de segmento o familia: use clase o producto",IF(IFERROR(MATCH(P153,PN_MESES,0)&lt;MATCH(O153,PN_MESES,0),TRUE()),"El mes de ofertas es anterior al de inicio del proceso",IF(OR(NOT(ISNUMBER(Q153)),Q153&lt;=0),"Duración inválida",IF(OR(NOT(ISNUMBER(W153)),NOT(ISNUMBER(X153))),"Valor inválido: registre solo números",IF(OR(W153&lt;=0,X153&lt;=0),"Valor inválido: debe ser mayor que cero",IF(X153&gt;W153,"El valor de la vigencia 2027 supera el valor total",IF(AND(X153&lt;W153,Y153="No"),"El valor total supera el de 2027: requiere vigencias futuras",IF(AND(Y153="Sí",OR(Z153="",Z153="No aplica")),"Indique el estado de la solicitud de vigencias futuras",IF(IF(AND(S153="Mínima cuantía",ISNUMBER(PN_TOPE_MINIMA)),W153&gt;PN_TOPE_MINIMA,FALSE()),"El valor supera el tope de mínima cuantía 2027",IF(IF(AND(S153="Selección abreviada de menor cuantía",ISNUMBER(PN_TOPE_MENOR)),W153&gt;PN_TOPE_MENOR,FALSE()),"El valor supera el tope de menor cuantía 2027",IF(OR(ISERROR(SEARCH("@itc.edu.co",AE153)),SUMPRODUCT(--ISNUMBER(SEARCH({"á","é","í","ó","ú","ñ"," "},AE153)))&gt;0),"El correo del responsable no es institucional válido",IF(AND(AF153="Sí",AG153=""),"Indique el N.° de registro 2026 que continúa","OK")))))))))))))))))</f>
        <v/>
      </c>
      <c r="AK153" s="114">
        <f>IF(AJ153="OK",COUNTIF($AJ$7:AJ153,"OK"),"")</f>
        <v/>
      </c>
    </row>
    <row r="154">
      <c r="A154" s="110">
        <f>"PN27-"&amp;TEXT(ROW()-6,"000")</f>
        <v/>
      </c>
      <c r="B154" s="111" t="n"/>
      <c r="C154" s="110">
        <f>IF(B154="","",IFERROR(INDEX('Catalogos_PDN'!$R$5:$R$51,MATCH(B154,PN_AREAS,0)),""))</f>
        <v/>
      </c>
      <c r="D154" s="110">
        <f>IF(B154="","",IFERROR(INDEX('Catalogos_PDN'!$O$5:$O$51,MATCH(B154,PN_AREAS,0)),""))</f>
        <v/>
      </c>
      <c r="E154" s="111" t="n"/>
      <c r="F154" s="110">
        <f>IF(E154="","",IFERROR(INDEX('Catalogos_PDN'!$C$5:$C$49,MATCH(E154,PN_METAS,0)),""))</f>
        <v/>
      </c>
      <c r="G154" s="110">
        <f>IF(E154="","",IFERROR(INDEX('Catalogos_PDN'!$E$5:$E$49,MATCH(E154,PN_METAS,0)),""))</f>
        <v/>
      </c>
      <c r="H154" s="111" t="n"/>
      <c r="I154" s="111" t="n"/>
      <c r="J154" s="111" t="n"/>
      <c r="K154" s="111" t="n"/>
      <c r="L154" s="111" t="n"/>
      <c r="M154" s="112" t="n"/>
      <c r="N154" s="111" t="n"/>
      <c r="O154" s="111" t="n"/>
      <c r="P154" s="111" t="n"/>
      <c r="Q154" s="111" t="n"/>
      <c r="R154" s="111" t="n"/>
      <c r="S154" s="111" t="n"/>
      <c r="T154" s="111" t="n"/>
      <c r="U154" s="111" t="n"/>
      <c r="V154" s="111" t="n"/>
      <c r="W154" s="113" t="n"/>
      <c r="X154" s="113" t="n"/>
      <c r="Y154" s="111" t="n"/>
      <c r="Z154" s="111" t="n"/>
      <c r="AA154" s="111" t="n"/>
      <c r="AB154" s="111" t="n"/>
      <c r="AC154" s="111" t="n"/>
      <c r="AD154" s="111" t="n"/>
      <c r="AE154" s="111" t="n"/>
      <c r="AF154" s="111" t="n"/>
      <c r="AG154" s="111" t="n"/>
      <c r="AH154" s="111" t="n"/>
      <c r="AI154" s="111" t="n"/>
      <c r="AJ154" s="114">
        <f>IF(COUNTA(B154,E154,H154,I154,J154,K154,L154,M154,N154,O154,P154,Q154,R154,S154,T154,U154,V154,W154,X154,Y154,Z154,AA154,AB154,AC154,AD154,AE154,AF154,AG154,AH154,AI154)=0,"",IF(OR(B154="",E154="",H154="",J154="",K154="",L154="",M154="",O154="",P154="",Q154="",R154="",S154="",T154="",U154="",W154="",X154="",Y154="",AB154="",AC154="",AE154="",AF154=""),"Incompleta: faltan campos obligatorios",IF(AND(LEFT(H154,6)="PROPIA",I154=""),"Falta el nombre de la acción propia del área",IF(AND(LEFT(H154,4)="AC27",IFERROR(INDEX('Catalogos_PDN'!$T$5:$T$207,MATCH(H154,'Catalogos_PDN'!$U$5:$U$207,0)),"x")&lt;&gt;LEFT(E154,7)),"La acción no corresponde a la meta seleccionada",IF(OR(NOT(ISNUMBER(M154)),M154&lt;10000000,M154&gt;99999999),"Código UNSPSC inválido: registre 8 dígitos",IF(MOD(M154,10000)=0,"UNSPSC a nivel de segmento o familia: use clase o producto",IF(IFERROR(MATCH(P154,PN_MESES,0)&lt;MATCH(O154,PN_MESES,0),TRUE()),"El mes de ofertas es anterior al de inicio del proceso",IF(OR(NOT(ISNUMBER(Q154)),Q154&lt;=0),"Duración inválida",IF(OR(NOT(ISNUMBER(W154)),NOT(ISNUMBER(X154))),"Valor inválido: registre solo números",IF(OR(W154&lt;=0,X154&lt;=0),"Valor inválido: debe ser mayor que cero",IF(X154&gt;W154,"El valor de la vigencia 2027 supera el valor total",IF(AND(X154&lt;W154,Y154="No"),"El valor total supera el de 2027: requiere vigencias futuras",IF(AND(Y154="Sí",OR(Z154="",Z154="No aplica")),"Indique el estado de la solicitud de vigencias futuras",IF(IF(AND(S154="Mínima cuantía",ISNUMBER(PN_TOPE_MINIMA)),W154&gt;PN_TOPE_MINIMA,FALSE()),"El valor supera el tope de mínima cuantía 2027",IF(IF(AND(S154="Selección abreviada de menor cuantía",ISNUMBER(PN_TOPE_MENOR)),W154&gt;PN_TOPE_MENOR,FALSE()),"El valor supera el tope de menor cuantía 2027",IF(OR(ISERROR(SEARCH("@itc.edu.co",AE154)),SUMPRODUCT(--ISNUMBER(SEARCH({"á","é","í","ó","ú","ñ"," "},AE154)))&gt;0),"El correo del responsable no es institucional válido",IF(AND(AF154="Sí",AG154=""),"Indique el N.° de registro 2026 que continúa","OK")))))))))))))))))</f>
        <v/>
      </c>
      <c r="AK154" s="114">
        <f>IF(AJ154="OK",COUNTIF($AJ$7:AJ154,"OK"),"")</f>
        <v/>
      </c>
    </row>
    <row r="155">
      <c r="A155" s="110">
        <f>"PN27-"&amp;TEXT(ROW()-6,"000")</f>
        <v/>
      </c>
      <c r="B155" s="111" t="n"/>
      <c r="C155" s="110">
        <f>IF(B155="","",IFERROR(INDEX('Catalogos_PDN'!$R$5:$R$51,MATCH(B155,PN_AREAS,0)),""))</f>
        <v/>
      </c>
      <c r="D155" s="110">
        <f>IF(B155="","",IFERROR(INDEX('Catalogos_PDN'!$O$5:$O$51,MATCH(B155,PN_AREAS,0)),""))</f>
        <v/>
      </c>
      <c r="E155" s="111" t="n"/>
      <c r="F155" s="110">
        <f>IF(E155="","",IFERROR(INDEX('Catalogos_PDN'!$C$5:$C$49,MATCH(E155,PN_METAS,0)),""))</f>
        <v/>
      </c>
      <c r="G155" s="110">
        <f>IF(E155="","",IFERROR(INDEX('Catalogos_PDN'!$E$5:$E$49,MATCH(E155,PN_METAS,0)),""))</f>
        <v/>
      </c>
      <c r="H155" s="111" t="n"/>
      <c r="I155" s="111" t="n"/>
      <c r="J155" s="111" t="n"/>
      <c r="K155" s="111" t="n"/>
      <c r="L155" s="111" t="n"/>
      <c r="M155" s="112" t="n"/>
      <c r="N155" s="111" t="n"/>
      <c r="O155" s="111" t="n"/>
      <c r="P155" s="111" t="n"/>
      <c r="Q155" s="111" t="n"/>
      <c r="R155" s="111" t="n"/>
      <c r="S155" s="111" t="n"/>
      <c r="T155" s="111" t="n"/>
      <c r="U155" s="111" t="n"/>
      <c r="V155" s="111" t="n"/>
      <c r="W155" s="113" t="n"/>
      <c r="X155" s="113" t="n"/>
      <c r="Y155" s="111" t="n"/>
      <c r="Z155" s="111" t="n"/>
      <c r="AA155" s="111" t="n"/>
      <c r="AB155" s="111" t="n"/>
      <c r="AC155" s="111" t="n"/>
      <c r="AD155" s="111" t="n"/>
      <c r="AE155" s="111" t="n"/>
      <c r="AF155" s="111" t="n"/>
      <c r="AG155" s="111" t="n"/>
      <c r="AH155" s="111" t="n"/>
      <c r="AI155" s="111" t="n"/>
      <c r="AJ155" s="114">
        <f>IF(COUNTA(B155,E155,H155,I155,J155,K155,L155,M155,N155,O155,P155,Q155,R155,S155,T155,U155,V155,W155,X155,Y155,Z155,AA155,AB155,AC155,AD155,AE155,AF155,AG155,AH155,AI155)=0,"",IF(OR(B155="",E155="",H155="",J155="",K155="",L155="",M155="",O155="",P155="",Q155="",R155="",S155="",T155="",U155="",W155="",X155="",Y155="",AB155="",AC155="",AE155="",AF155=""),"Incompleta: faltan campos obligatorios",IF(AND(LEFT(H155,6)="PROPIA",I155=""),"Falta el nombre de la acción propia del área",IF(AND(LEFT(H155,4)="AC27",IFERROR(INDEX('Catalogos_PDN'!$T$5:$T$207,MATCH(H155,'Catalogos_PDN'!$U$5:$U$207,0)),"x")&lt;&gt;LEFT(E155,7)),"La acción no corresponde a la meta seleccionada",IF(OR(NOT(ISNUMBER(M155)),M155&lt;10000000,M155&gt;99999999),"Código UNSPSC inválido: registre 8 dígitos",IF(MOD(M155,10000)=0,"UNSPSC a nivel de segmento o familia: use clase o producto",IF(IFERROR(MATCH(P155,PN_MESES,0)&lt;MATCH(O155,PN_MESES,0),TRUE()),"El mes de ofertas es anterior al de inicio del proceso",IF(OR(NOT(ISNUMBER(Q155)),Q155&lt;=0),"Duración inválida",IF(OR(NOT(ISNUMBER(W155)),NOT(ISNUMBER(X155))),"Valor inválido: registre solo números",IF(OR(W155&lt;=0,X155&lt;=0),"Valor inválido: debe ser mayor que cero",IF(X155&gt;W155,"El valor de la vigencia 2027 supera el valor total",IF(AND(X155&lt;W155,Y155="No"),"El valor total supera el de 2027: requiere vigencias futuras",IF(AND(Y155="Sí",OR(Z155="",Z155="No aplica")),"Indique el estado de la solicitud de vigencias futuras",IF(IF(AND(S155="Mínima cuantía",ISNUMBER(PN_TOPE_MINIMA)),W155&gt;PN_TOPE_MINIMA,FALSE()),"El valor supera el tope de mínima cuantía 2027",IF(IF(AND(S155="Selección abreviada de menor cuantía",ISNUMBER(PN_TOPE_MENOR)),W155&gt;PN_TOPE_MENOR,FALSE()),"El valor supera el tope de menor cuantía 2027",IF(OR(ISERROR(SEARCH("@itc.edu.co",AE155)),SUMPRODUCT(--ISNUMBER(SEARCH({"á","é","í","ó","ú","ñ"," "},AE155)))&gt;0),"El correo del responsable no es institucional válido",IF(AND(AF155="Sí",AG155=""),"Indique el N.° de registro 2026 que continúa","OK")))))))))))))))))</f>
        <v/>
      </c>
      <c r="AK155" s="114">
        <f>IF(AJ155="OK",COUNTIF($AJ$7:AJ155,"OK"),"")</f>
        <v/>
      </c>
    </row>
    <row r="156">
      <c r="A156" s="110">
        <f>"PN27-"&amp;TEXT(ROW()-6,"000")</f>
        <v/>
      </c>
      <c r="B156" s="111" t="n"/>
      <c r="C156" s="110">
        <f>IF(B156="","",IFERROR(INDEX('Catalogos_PDN'!$R$5:$R$51,MATCH(B156,PN_AREAS,0)),""))</f>
        <v/>
      </c>
      <c r="D156" s="110">
        <f>IF(B156="","",IFERROR(INDEX('Catalogos_PDN'!$O$5:$O$51,MATCH(B156,PN_AREAS,0)),""))</f>
        <v/>
      </c>
      <c r="E156" s="111" t="n"/>
      <c r="F156" s="110">
        <f>IF(E156="","",IFERROR(INDEX('Catalogos_PDN'!$C$5:$C$49,MATCH(E156,PN_METAS,0)),""))</f>
        <v/>
      </c>
      <c r="G156" s="110">
        <f>IF(E156="","",IFERROR(INDEX('Catalogos_PDN'!$E$5:$E$49,MATCH(E156,PN_METAS,0)),""))</f>
        <v/>
      </c>
      <c r="H156" s="111" t="n"/>
      <c r="I156" s="111" t="n"/>
      <c r="J156" s="111" t="n"/>
      <c r="K156" s="111" t="n"/>
      <c r="L156" s="111" t="n"/>
      <c r="M156" s="112" t="n"/>
      <c r="N156" s="111" t="n"/>
      <c r="O156" s="111" t="n"/>
      <c r="P156" s="111" t="n"/>
      <c r="Q156" s="111" t="n"/>
      <c r="R156" s="111" t="n"/>
      <c r="S156" s="111" t="n"/>
      <c r="T156" s="111" t="n"/>
      <c r="U156" s="111" t="n"/>
      <c r="V156" s="111" t="n"/>
      <c r="W156" s="113" t="n"/>
      <c r="X156" s="113" t="n"/>
      <c r="Y156" s="111" t="n"/>
      <c r="Z156" s="111" t="n"/>
      <c r="AA156" s="111" t="n"/>
      <c r="AB156" s="111" t="n"/>
      <c r="AC156" s="111" t="n"/>
      <c r="AD156" s="111" t="n"/>
      <c r="AE156" s="111" t="n"/>
      <c r="AF156" s="111" t="n"/>
      <c r="AG156" s="111" t="n"/>
      <c r="AH156" s="111" t="n"/>
      <c r="AI156" s="111" t="n"/>
      <c r="AJ156" s="114">
        <f>IF(COUNTA(B156,E156,H156,I156,J156,K156,L156,M156,N156,O156,P156,Q156,R156,S156,T156,U156,V156,W156,X156,Y156,Z156,AA156,AB156,AC156,AD156,AE156,AF156,AG156,AH156,AI156)=0,"",IF(OR(B156="",E156="",H156="",J156="",K156="",L156="",M156="",O156="",P156="",Q156="",R156="",S156="",T156="",U156="",W156="",X156="",Y156="",AB156="",AC156="",AE156="",AF156=""),"Incompleta: faltan campos obligatorios",IF(AND(LEFT(H156,6)="PROPIA",I156=""),"Falta el nombre de la acción propia del área",IF(AND(LEFT(H156,4)="AC27",IFERROR(INDEX('Catalogos_PDN'!$T$5:$T$207,MATCH(H156,'Catalogos_PDN'!$U$5:$U$207,0)),"x")&lt;&gt;LEFT(E156,7)),"La acción no corresponde a la meta seleccionada",IF(OR(NOT(ISNUMBER(M156)),M156&lt;10000000,M156&gt;99999999),"Código UNSPSC inválido: registre 8 dígitos",IF(MOD(M156,10000)=0,"UNSPSC a nivel de segmento o familia: use clase o producto",IF(IFERROR(MATCH(P156,PN_MESES,0)&lt;MATCH(O156,PN_MESES,0),TRUE()),"El mes de ofertas es anterior al de inicio del proceso",IF(OR(NOT(ISNUMBER(Q156)),Q156&lt;=0),"Duración inválida",IF(OR(NOT(ISNUMBER(W156)),NOT(ISNUMBER(X156))),"Valor inválido: registre solo números",IF(OR(W156&lt;=0,X156&lt;=0),"Valor inválido: debe ser mayor que cero",IF(X156&gt;W156,"El valor de la vigencia 2027 supera el valor total",IF(AND(X156&lt;W156,Y156="No"),"El valor total supera el de 2027: requiere vigencias futuras",IF(AND(Y156="Sí",OR(Z156="",Z156="No aplica")),"Indique el estado de la solicitud de vigencias futuras",IF(IF(AND(S156="Mínima cuantía",ISNUMBER(PN_TOPE_MINIMA)),W156&gt;PN_TOPE_MINIMA,FALSE()),"El valor supera el tope de mínima cuantía 2027",IF(IF(AND(S156="Selección abreviada de menor cuantía",ISNUMBER(PN_TOPE_MENOR)),W156&gt;PN_TOPE_MENOR,FALSE()),"El valor supera el tope de menor cuantía 2027",IF(OR(ISERROR(SEARCH("@itc.edu.co",AE156)),SUMPRODUCT(--ISNUMBER(SEARCH({"á","é","í","ó","ú","ñ"," "},AE156)))&gt;0),"El correo del responsable no es institucional válido",IF(AND(AF156="Sí",AG156=""),"Indique el N.° de registro 2026 que continúa","OK")))))))))))))))))</f>
        <v/>
      </c>
      <c r="AK156" s="114">
        <f>IF(AJ156="OK",COUNTIF($AJ$7:AJ156,"OK"),"")</f>
        <v/>
      </c>
    </row>
    <row r="157">
      <c r="A157" s="110">
        <f>"PN27-"&amp;TEXT(ROW()-6,"000")</f>
        <v/>
      </c>
      <c r="B157" s="111" t="n"/>
      <c r="C157" s="110">
        <f>IF(B157="","",IFERROR(INDEX('Catalogos_PDN'!$R$5:$R$51,MATCH(B157,PN_AREAS,0)),""))</f>
        <v/>
      </c>
      <c r="D157" s="110">
        <f>IF(B157="","",IFERROR(INDEX('Catalogos_PDN'!$O$5:$O$51,MATCH(B157,PN_AREAS,0)),""))</f>
        <v/>
      </c>
      <c r="E157" s="111" t="n"/>
      <c r="F157" s="110">
        <f>IF(E157="","",IFERROR(INDEX('Catalogos_PDN'!$C$5:$C$49,MATCH(E157,PN_METAS,0)),""))</f>
        <v/>
      </c>
      <c r="G157" s="110">
        <f>IF(E157="","",IFERROR(INDEX('Catalogos_PDN'!$E$5:$E$49,MATCH(E157,PN_METAS,0)),""))</f>
        <v/>
      </c>
      <c r="H157" s="111" t="n"/>
      <c r="I157" s="111" t="n"/>
      <c r="J157" s="111" t="n"/>
      <c r="K157" s="111" t="n"/>
      <c r="L157" s="111" t="n"/>
      <c r="M157" s="112" t="n"/>
      <c r="N157" s="111" t="n"/>
      <c r="O157" s="111" t="n"/>
      <c r="P157" s="111" t="n"/>
      <c r="Q157" s="111" t="n"/>
      <c r="R157" s="111" t="n"/>
      <c r="S157" s="111" t="n"/>
      <c r="T157" s="111" t="n"/>
      <c r="U157" s="111" t="n"/>
      <c r="V157" s="111" t="n"/>
      <c r="W157" s="113" t="n"/>
      <c r="X157" s="113" t="n"/>
      <c r="Y157" s="111" t="n"/>
      <c r="Z157" s="111" t="n"/>
      <c r="AA157" s="111" t="n"/>
      <c r="AB157" s="111" t="n"/>
      <c r="AC157" s="111" t="n"/>
      <c r="AD157" s="111" t="n"/>
      <c r="AE157" s="111" t="n"/>
      <c r="AF157" s="111" t="n"/>
      <c r="AG157" s="111" t="n"/>
      <c r="AH157" s="111" t="n"/>
      <c r="AI157" s="111" t="n"/>
      <c r="AJ157" s="114">
        <f>IF(COUNTA(B157,E157,H157,I157,J157,K157,L157,M157,N157,O157,P157,Q157,R157,S157,T157,U157,V157,W157,X157,Y157,Z157,AA157,AB157,AC157,AD157,AE157,AF157,AG157,AH157,AI157)=0,"",IF(OR(B157="",E157="",H157="",J157="",K157="",L157="",M157="",O157="",P157="",Q157="",R157="",S157="",T157="",U157="",W157="",X157="",Y157="",AB157="",AC157="",AE157="",AF157=""),"Incompleta: faltan campos obligatorios",IF(AND(LEFT(H157,6)="PROPIA",I157=""),"Falta el nombre de la acción propia del área",IF(AND(LEFT(H157,4)="AC27",IFERROR(INDEX('Catalogos_PDN'!$T$5:$T$207,MATCH(H157,'Catalogos_PDN'!$U$5:$U$207,0)),"x")&lt;&gt;LEFT(E157,7)),"La acción no corresponde a la meta seleccionada",IF(OR(NOT(ISNUMBER(M157)),M157&lt;10000000,M157&gt;99999999),"Código UNSPSC inválido: registre 8 dígitos",IF(MOD(M157,10000)=0,"UNSPSC a nivel de segmento o familia: use clase o producto",IF(IFERROR(MATCH(P157,PN_MESES,0)&lt;MATCH(O157,PN_MESES,0),TRUE()),"El mes de ofertas es anterior al de inicio del proceso",IF(OR(NOT(ISNUMBER(Q157)),Q157&lt;=0),"Duración inválida",IF(OR(NOT(ISNUMBER(W157)),NOT(ISNUMBER(X157))),"Valor inválido: registre solo números",IF(OR(W157&lt;=0,X157&lt;=0),"Valor inválido: debe ser mayor que cero",IF(X157&gt;W157,"El valor de la vigencia 2027 supera el valor total",IF(AND(X157&lt;W157,Y157="No"),"El valor total supera el de 2027: requiere vigencias futuras",IF(AND(Y157="Sí",OR(Z157="",Z157="No aplica")),"Indique el estado de la solicitud de vigencias futuras",IF(IF(AND(S157="Mínima cuantía",ISNUMBER(PN_TOPE_MINIMA)),W157&gt;PN_TOPE_MINIMA,FALSE()),"El valor supera el tope de mínima cuantía 2027",IF(IF(AND(S157="Selección abreviada de menor cuantía",ISNUMBER(PN_TOPE_MENOR)),W157&gt;PN_TOPE_MENOR,FALSE()),"El valor supera el tope de menor cuantía 2027",IF(OR(ISERROR(SEARCH("@itc.edu.co",AE157)),SUMPRODUCT(--ISNUMBER(SEARCH({"á","é","í","ó","ú","ñ"," "},AE157)))&gt;0),"El correo del responsable no es institucional válido",IF(AND(AF157="Sí",AG157=""),"Indique el N.° de registro 2026 que continúa","OK")))))))))))))))))</f>
        <v/>
      </c>
      <c r="AK157" s="114">
        <f>IF(AJ157="OK",COUNTIF($AJ$7:AJ157,"OK"),"")</f>
        <v/>
      </c>
    </row>
    <row r="158">
      <c r="A158" s="110">
        <f>"PN27-"&amp;TEXT(ROW()-6,"000")</f>
        <v/>
      </c>
      <c r="B158" s="111" t="n"/>
      <c r="C158" s="110">
        <f>IF(B158="","",IFERROR(INDEX('Catalogos_PDN'!$R$5:$R$51,MATCH(B158,PN_AREAS,0)),""))</f>
        <v/>
      </c>
      <c r="D158" s="110">
        <f>IF(B158="","",IFERROR(INDEX('Catalogos_PDN'!$O$5:$O$51,MATCH(B158,PN_AREAS,0)),""))</f>
        <v/>
      </c>
      <c r="E158" s="111" t="n"/>
      <c r="F158" s="110">
        <f>IF(E158="","",IFERROR(INDEX('Catalogos_PDN'!$C$5:$C$49,MATCH(E158,PN_METAS,0)),""))</f>
        <v/>
      </c>
      <c r="G158" s="110">
        <f>IF(E158="","",IFERROR(INDEX('Catalogos_PDN'!$E$5:$E$49,MATCH(E158,PN_METAS,0)),""))</f>
        <v/>
      </c>
      <c r="H158" s="111" t="n"/>
      <c r="I158" s="111" t="n"/>
      <c r="J158" s="111" t="n"/>
      <c r="K158" s="111" t="n"/>
      <c r="L158" s="111" t="n"/>
      <c r="M158" s="112" t="n"/>
      <c r="N158" s="111" t="n"/>
      <c r="O158" s="111" t="n"/>
      <c r="P158" s="111" t="n"/>
      <c r="Q158" s="111" t="n"/>
      <c r="R158" s="111" t="n"/>
      <c r="S158" s="111" t="n"/>
      <c r="T158" s="111" t="n"/>
      <c r="U158" s="111" t="n"/>
      <c r="V158" s="111" t="n"/>
      <c r="W158" s="113" t="n"/>
      <c r="X158" s="113" t="n"/>
      <c r="Y158" s="111" t="n"/>
      <c r="Z158" s="111" t="n"/>
      <c r="AA158" s="111" t="n"/>
      <c r="AB158" s="111" t="n"/>
      <c r="AC158" s="111" t="n"/>
      <c r="AD158" s="111" t="n"/>
      <c r="AE158" s="111" t="n"/>
      <c r="AF158" s="111" t="n"/>
      <c r="AG158" s="111" t="n"/>
      <c r="AH158" s="111" t="n"/>
      <c r="AI158" s="111" t="n"/>
      <c r="AJ158" s="114">
        <f>IF(COUNTA(B158,E158,H158,I158,J158,K158,L158,M158,N158,O158,P158,Q158,R158,S158,T158,U158,V158,W158,X158,Y158,Z158,AA158,AB158,AC158,AD158,AE158,AF158,AG158,AH158,AI158)=0,"",IF(OR(B158="",E158="",H158="",J158="",K158="",L158="",M158="",O158="",P158="",Q158="",R158="",S158="",T158="",U158="",W158="",X158="",Y158="",AB158="",AC158="",AE158="",AF158=""),"Incompleta: faltan campos obligatorios",IF(AND(LEFT(H158,6)="PROPIA",I158=""),"Falta el nombre de la acción propia del área",IF(AND(LEFT(H158,4)="AC27",IFERROR(INDEX('Catalogos_PDN'!$T$5:$T$207,MATCH(H158,'Catalogos_PDN'!$U$5:$U$207,0)),"x")&lt;&gt;LEFT(E158,7)),"La acción no corresponde a la meta seleccionada",IF(OR(NOT(ISNUMBER(M158)),M158&lt;10000000,M158&gt;99999999),"Código UNSPSC inválido: registre 8 dígitos",IF(MOD(M158,10000)=0,"UNSPSC a nivel de segmento o familia: use clase o producto",IF(IFERROR(MATCH(P158,PN_MESES,0)&lt;MATCH(O158,PN_MESES,0),TRUE()),"El mes de ofertas es anterior al de inicio del proceso",IF(OR(NOT(ISNUMBER(Q158)),Q158&lt;=0),"Duración inválida",IF(OR(NOT(ISNUMBER(W158)),NOT(ISNUMBER(X158))),"Valor inválido: registre solo números",IF(OR(W158&lt;=0,X158&lt;=0),"Valor inválido: debe ser mayor que cero",IF(X158&gt;W158,"El valor de la vigencia 2027 supera el valor total",IF(AND(X158&lt;W158,Y158="No"),"El valor total supera el de 2027: requiere vigencias futuras",IF(AND(Y158="Sí",OR(Z158="",Z158="No aplica")),"Indique el estado de la solicitud de vigencias futuras",IF(IF(AND(S158="Mínima cuantía",ISNUMBER(PN_TOPE_MINIMA)),W158&gt;PN_TOPE_MINIMA,FALSE()),"El valor supera el tope de mínima cuantía 2027",IF(IF(AND(S158="Selección abreviada de menor cuantía",ISNUMBER(PN_TOPE_MENOR)),W158&gt;PN_TOPE_MENOR,FALSE()),"El valor supera el tope de menor cuantía 2027",IF(OR(ISERROR(SEARCH("@itc.edu.co",AE158)),SUMPRODUCT(--ISNUMBER(SEARCH({"á","é","í","ó","ú","ñ"," "},AE158)))&gt;0),"El correo del responsable no es institucional válido",IF(AND(AF158="Sí",AG158=""),"Indique el N.° de registro 2026 que continúa","OK")))))))))))))))))</f>
        <v/>
      </c>
      <c r="AK158" s="114">
        <f>IF(AJ158="OK",COUNTIF($AJ$7:AJ158,"OK"),"")</f>
        <v/>
      </c>
    </row>
    <row r="159">
      <c r="A159" s="110">
        <f>"PN27-"&amp;TEXT(ROW()-6,"000")</f>
        <v/>
      </c>
      <c r="B159" s="111" t="n"/>
      <c r="C159" s="110">
        <f>IF(B159="","",IFERROR(INDEX('Catalogos_PDN'!$R$5:$R$51,MATCH(B159,PN_AREAS,0)),""))</f>
        <v/>
      </c>
      <c r="D159" s="110">
        <f>IF(B159="","",IFERROR(INDEX('Catalogos_PDN'!$O$5:$O$51,MATCH(B159,PN_AREAS,0)),""))</f>
        <v/>
      </c>
      <c r="E159" s="111" t="n"/>
      <c r="F159" s="110">
        <f>IF(E159="","",IFERROR(INDEX('Catalogos_PDN'!$C$5:$C$49,MATCH(E159,PN_METAS,0)),""))</f>
        <v/>
      </c>
      <c r="G159" s="110">
        <f>IF(E159="","",IFERROR(INDEX('Catalogos_PDN'!$E$5:$E$49,MATCH(E159,PN_METAS,0)),""))</f>
        <v/>
      </c>
      <c r="H159" s="111" t="n"/>
      <c r="I159" s="111" t="n"/>
      <c r="J159" s="111" t="n"/>
      <c r="K159" s="111" t="n"/>
      <c r="L159" s="111" t="n"/>
      <c r="M159" s="112" t="n"/>
      <c r="N159" s="111" t="n"/>
      <c r="O159" s="111" t="n"/>
      <c r="P159" s="111" t="n"/>
      <c r="Q159" s="111" t="n"/>
      <c r="R159" s="111" t="n"/>
      <c r="S159" s="111" t="n"/>
      <c r="T159" s="111" t="n"/>
      <c r="U159" s="111" t="n"/>
      <c r="V159" s="111" t="n"/>
      <c r="W159" s="113" t="n"/>
      <c r="X159" s="113" t="n"/>
      <c r="Y159" s="111" t="n"/>
      <c r="Z159" s="111" t="n"/>
      <c r="AA159" s="111" t="n"/>
      <c r="AB159" s="111" t="n"/>
      <c r="AC159" s="111" t="n"/>
      <c r="AD159" s="111" t="n"/>
      <c r="AE159" s="111" t="n"/>
      <c r="AF159" s="111" t="n"/>
      <c r="AG159" s="111" t="n"/>
      <c r="AH159" s="111" t="n"/>
      <c r="AI159" s="111" t="n"/>
      <c r="AJ159" s="114">
        <f>IF(COUNTA(B159,E159,H159,I159,J159,K159,L159,M159,N159,O159,P159,Q159,R159,S159,T159,U159,V159,W159,X159,Y159,Z159,AA159,AB159,AC159,AD159,AE159,AF159,AG159,AH159,AI159)=0,"",IF(OR(B159="",E159="",H159="",J159="",K159="",L159="",M159="",O159="",P159="",Q159="",R159="",S159="",T159="",U159="",W159="",X159="",Y159="",AB159="",AC159="",AE159="",AF159=""),"Incompleta: faltan campos obligatorios",IF(AND(LEFT(H159,6)="PROPIA",I159=""),"Falta el nombre de la acción propia del área",IF(AND(LEFT(H159,4)="AC27",IFERROR(INDEX('Catalogos_PDN'!$T$5:$T$207,MATCH(H159,'Catalogos_PDN'!$U$5:$U$207,0)),"x")&lt;&gt;LEFT(E159,7)),"La acción no corresponde a la meta seleccionada",IF(OR(NOT(ISNUMBER(M159)),M159&lt;10000000,M159&gt;99999999),"Código UNSPSC inválido: registre 8 dígitos",IF(MOD(M159,10000)=0,"UNSPSC a nivel de segmento o familia: use clase o producto",IF(IFERROR(MATCH(P159,PN_MESES,0)&lt;MATCH(O159,PN_MESES,0),TRUE()),"El mes de ofertas es anterior al de inicio del proceso",IF(OR(NOT(ISNUMBER(Q159)),Q159&lt;=0),"Duración inválida",IF(OR(NOT(ISNUMBER(W159)),NOT(ISNUMBER(X159))),"Valor inválido: registre solo números",IF(OR(W159&lt;=0,X159&lt;=0),"Valor inválido: debe ser mayor que cero",IF(X159&gt;W159,"El valor de la vigencia 2027 supera el valor total",IF(AND(X159&lt;W159,Y159="No"),"El valor total supera el de 2027: requiere vigencias futuras",IF(AND(Y159="Sí",OR(Z159="",Z159="No aplica")),"Indique el estado de la solicitud de vigencias futuras",IF(IF(AND(S159="Mínima cuantía",ISNUMBER(PN_TOPE_MINIMA)),W159&gt;PN_TOPE_MINIMA,FALSE()),"El valor supera el tope de mínima cuantía 2027",IF(IF(AND(S159="Selección abreviada de menor cuantía",ISNUMBER(PN_TOPE_MENOR)),W159&gt;PN_TOPE_MENOR,FALSE()),"El valor supera el tope de menor cuantía 2027",IF(OR(ISERROR(SEARCH("@itc.edu.co",AE159)),SUMPRODUCT(--ISNUMBER(SEARCH({"á","é","í","ó","ú","ñ"," "},AE159)))&gt;0),"El correo del responsable no es institucional válido",IF(AND(AF159="Sí",AG159=""),"Indique el N.° de registro 2026 que continúa","OK")))))))))))))))))</f>
        <v/>
      </c>
      <c r="AK159" s="114">
        <f>IF(AJ159="OK",COUNTIF($AJ$7:AJ159,"OK"),"")</f>
        <v/>
      </c>
    </row>
    <row r="160">
      <c r="A160" s="110">
        <f>"PN27-"&amp;TEXT(ROW()-6,"000")</f>
        <v/>
      </c>
      <c r="B160" s="111" t="n"/>
      <c r="C160" s="110">
        <f>IF(B160="","",IFERROR(INDEX('Catalogos_PDN'!$R$5:$R$51,MATCH(B160,PN_AREAS,0)),""))</f>
        <v/>
      </c>
      <c r="D160" s="110">
        <f>IF(B160="","",IFERROR(INDEX('Catalogos_PDN'!$O$5:$O$51,MATCH(B160,PN_AREAS,0)),""))</f>
        <v/>
      </c>
      <c r="E160" s="111" t="n"/>
      <c r="F160" s="110">
        <f>IF(E160="","",IFERROR(INDEX('Catalogos_PDN'!$C$5:$C$49,MATCH(E160,PN_METAS,0)),""))</f>
        <v/>
      </c>
      <c r="G160" s="110">
        <f>IF(E160="","",IFERROR(INDEX('Catalogos_PDN'!$E$5:$E$49,MATCH(E160,PN_METAS,0)),""))</f>
        <v/>
      </c>
      <c r="H160" s="111" t="n"/>
      <c r="I160" s="111" t="n"/>
      <c r="J160" s="111" t="n"/>
      <c r="K160" s="111" t="n"/>
      <c r="L160" s="111" t="n"/>
      <c r="M160" s="112" t="n"/>
      <c r="N160" s="111" t="n"/>
      <c r="O160" s="111" t="n"/>
      <c r="P160" s="111" t="n"/>
      <c r="Q160" s="111" t="n"/>
      <c r="R160" s="111" t="n"/>
      <c r="S160" s="111" t="n"/>
      <c r="T160" s="111" t="n"/>
      <c r="U160" s="111" t="n"/>
      <c r="V160" s="111" t="n"/>
      <c r="W160" s="113" t="n"/>
      <c r="X160" s="113" t="n"/>
      <c r="Y160" s="111" t="n"/>
      <c r="Z160" s="111" t="n"/>
      <c r="AA160" s="111" t="n"/>
      <c r="AB160" s="111" t="n"/>
      <c r="AC160" s="111" t="n"/>
      <c r="AD160" s="111" t="n"/>
      <c r="AE160" s="111" t="n"/>
      <c r="AF160" s="111" t="n"/>
      <c r="AG160" s="111" t="n"/>
      <c r="AH160" s="111" t="n"/>
      <c r="AI160" s="111" t="n"/>
      <c r="AJ160" s="114">
        <f>IF(COUNTA(B160,E160,H160,I160,J160,K160,L160,M160,N160,O160,P160,Q160,R160,S160,T160,U160,V160,W160,X160,Y160,Z160,AA160,AB160,AC160,AD160,AE160,AF160,AG160,AH160,AI160)=0,"",IF(OR(B160="",E160="",H160="",J160="",K160="",L160="",M160="",O160="",P160="",Q160="",R160="",S160="",T160="",U160="",W160="",X160="",Y160="",AB160="",AC160="",AE160="",AF160=""),"Incompleta: faltan campos obligatorios",IF(AND(LEFT(H160,6)="PROPIA",I160=""),"Falta el nombre de la acción propia del área",IF(AND(LEFT(H160,4)="AC27",IFERROR(INDEX('Catalogos_PDN'!$T$5:$T$207,MATCH(H160,'Catalogos_PDN'!$U$5:$U$207,0)),"x")&lt;&gt;LEFT(E160,7)),"La acción no corresponde a la meta seleccionada",IF(OR(NOT(ISNUMBER(M160)),M160&lt;10000000,M160&gt;99999999),"Código UNSPSC inválido: registre 8 dígitos",IF(MOD(M160,10000)=0,"UNSPSC a nivel de segmento o familia: use clase o producto",IF(IFERROR(MATCH(P160,PN_MESES,0)&lt;MATCH(O160,PN_MESES,0),TRUE()),"El mes de ofertas es anterior al de inicio del proceso",IF(OR(NOT(ISNUMBER(Q160)),Q160&lt;=0),"Duración inválida",IF(OR(NOT(ISNUMBER(W160)),NOT(ISNUMBER(X160))),"Valor inválido: registre solo números",IF(OR(W160&lt;=0,X160&lt;=0),"Valor inválido: debe ser mayor que cero",IF(X160&gt;W160,"El valor de la vigencia 2027 supera el valor total",IF(AND(X160&lt;W160,Y160="No"),"El valor total supera el de 2027: requiere vigencias futuras",IF(AND(Y160="Sí",OR(Z160="",Z160="No aplica")),"Indique el estado de la solicitud de vigencias futuras",IF(IF(AND(S160="Mínima cuantía",ISNUMBER(PN_TOPE_MINIMA)),W160&gt;PN_TOPE_MINIMA,FALSE()),"El valor supera el tope de mínima cuantía 2027",IF(IF(AND(S160="Selección abreviada de menor cuantía",ISNUMBER(PN_TOPE_MENOR)),W160&gt;PN_TOPE_MENOR,FALSE()),"El valor supera el tope de menor cuantía 2027",IF(OR(ISERROR(SEARCH("@itc.edu.co",AE160)),SUMPRODUCT(--ISNUMBER(SEARCH({"á","é","í","ó","ú","ñ"," "},AE160)))&gt;0),"El correo del responsable no es institucional válido",IF(AND(AF160="Sí",AG160=""),"Indique el N.° de registro 2026 que continúa","OK")))))))))))))))))</f>
        <v/>
      </c>
      <c r="AK160" s="114">
        <f>IF(AJ160="OK",COUNTIF($AJ$7:AJ160,"OK"),"")</f>
        <v/>
      </c>
    </row>
    <row r="161">
      <c r="A161" s="110">
        <f>"PN27-"&amp;TEXT(ROW()-6,"000")</f>
        <v/>
      </c>
      <c r="B161" s="111" t="n"/>
      <c r="C161" s="110">
        <f>IF(B161="","",IFERROR(INDEX('Catalogos_PDN'!$R$5:$R$51,MATCH(B161,PN_AREAS,0)),""))</f>
        <v/>
      </c>
      <c r="D161" s="110">
        <f>IF(B161="","",IFERROR(INDEX('Catalogos_PDN'!$O$5:$O$51,MATCH(B161,PN_AREAS,0)),""))</f>
        <v/>
      </c>
      <c r="E161" s="111" t="n"/>
      <c r="F161" s="110">
        <f>IF(E161="","",IFERROR(INDEX('Catalogos_PDN'!$C$5:$C$49,MATCH(E161,PN_METAS,0)),""))</f>
        <v/>
      </c>
      <c r="G161" s="110">
        <f>IF(E161="","",IFERROR(INDEX('Catalogos_PDN'!$E$5:$E$49,MATCH(E161,PN_METAS,0)),""))</f>
        <v/>
      </c>
      <c r="H161" s="111" t="n"/>
      <c r="I161" s="111" t="n"/>
      <c r="J161" s="111" t="n"/>
      <c r="K161" s="111" t="n"/>
      <c r="L161" s="111" t="n"/>
      <c r="M161" s="112" t="n"/>
      <c r="N161" s="111" t="n"/>
      <c r="O161" s="111" t="n"/>
      <c r="P161" s="111" t="n"/>
      <c r="Q161" s="111" t="n"/>
      <c r="R161" s="111" t="n"/>
      <c r="S161" s="111" t="n"/>
      <c r="T161" s="111" t="n"/>
      <c r="U161" s="111" t="n"/>
      <c r="V161" s="111" t="n"/>
      <c r="W161" s="113" t="n"/>
      <c r="X161" s="113" t="n"/>
      <c r="Y161" s="111" t="n"/>
      <c r="Z161" s="111" t="n"/>
      <c r="AA161" s="111" t="n"/>
      <c r="AB161" s="111" t="n"/>
      <c r="AC161" s="111" t="n"/>
      <c r="AD161" s="111" t="n"/>
      <c r="AE161" s="111" t="n"/>
      <c r="AF161" s="111" t="n"/>
      <c r="AG161" s="111" t="n"/>
      <c r="AH161" s="111" t="n"/>
      <c r="AI161" s="111" t="n"/>
      <c r="AJ161" s="114">
        <f>IF(COUNTA(B161,E161,H161,I161,J161,K161,L161,M161,N161,O161,P161,Q161,R161,S161,T161,U161,V161,W161,X161,Y161,Z161,AA161,AB161,AC161,AD161,AE161,AF161,AG161,AH161,AI161)=0,"",IF(OR(B161="",E161="",H161="",J161="",K161="",L161="",M161="",O161="",P161="",Q161="",R161="",S161="",T161="",U161="",W161="",X161="",Y161="",AB161="",AC161="",AE161="",AF161=""),"Incompleta: faltan campos obligatorios",IF(AND(LEFT(H161,6)="PROPIA",I161=""),"Falta el nombre de la acción propia del área",IF(AND(LEFT(H161,4)="AC27",IFERROR(INDEX('Catalogos_PDN'!$T$5:$T$207,MATCH(H161,'Catalogos_PDN'!$U$5:$U$207,0)),"x")&lt;&gt;LEFT(E161,7)),"La acción no corresponde a la meta seleccionada",IF(OR(NOT(ISNUMBER(M161)),M161&lt;10000000,M161&gt;99999999),"Código UNSPSC inválido: registre 8 dígitos",IF(MOD(M161,10000)=0,"UNSPSC a nivel de segmento o familia: use clase o producto",IF(IFERROR(MATCH(P161,PN_MESES,0)&lt;MATCH(O161,PN_MESES,0),TRUE()),"El mes de ofertas es anterior al de inicio del proceso",IF(OR(NOT(ISNUMBER(Q161)),Q161&lt;=0),"Duración inválida",IF(OR(NOT(ISNUMBER(W161)),NOT(ISNUMBER(X161))),"Valor inválido: registre solo números",IF(OR(W161&lt;=0,X161&lt;=0),"Valor inválido: debe ser mayor que cero",IF(X161&gt;W161,"El valor de la vigencia 2027 supera el valor total",IF(AND(X161&lt;W161,Y161="No"),"El valor total supera el de 2027: requiere vigencias futuras",IF(AND(Y161="Sí",OR(Z161="",Z161="No aplica")),"Indique el estado de la solicitud de vigencias futuras",IF(IF(AND(S161="Mínima cuantía",ISNUMBER(PN_TOPE_MINIMA)),W161&gt;PN_TOPE_MINIMA,FALSE()),"El valor supera el tope de mínima cuantía 2027",IF(IF(AND(S161="Selección abreviada de menor cuantía",ISNUMBER(PN_TOPE_MENOR)),W161&gt;PN_TOPE_MENOR,FALSE()),"El valor supera el tope de menor cuantía 2027",IF(OR(ISERROR(SEARCH("@itc.edu.co",AE161)),SUMPRODUCT(--ISNUMBER(SEARCH({"á","é","í","ó","ú","ñ"," "},AE161)))&gt;0),"El correo del responsable no es institucional válido",IF(AND(AF161="Sí",AG161=""),"Indique el N.° de registro 2026 que continúa","OK")))))))))))))))))</f>
        <v/>
      </c>
      <c r="AK161" s="114">
        <f>IF(AJ161="OK",COUNTIF($AJ$7:AJ161,"OK"),"")</f>
        <v/>
      </c>
    </row>
    <row r="162">
      <c r="A162" s="110">
        <f>"PN27-"&amp;TEXT(ROW()-6,"000")</f>
        <v/>
      </c>
      <c r="B162" s="111" t="n"/>
      <c r="C162" s="110">
        <f>IF(B162="","",IFERROR(INDEX('Catalogos_PDN'!$R$5:$R$51,MATCH(B162,PN_AREAS,0)),""))</f>
        <v/>
      </c>
      <c r="D162" s="110">
        <f>IF(B162="","",IFERROR(INDEX('Catalogos_PDN'!$O$5:$O$51,MATCH(B162,PN_AREAS,0)),""))</f>
        <v/>
      </c>
      <c r="E162" s="111" t="n"/>
      <c r="F162" s="110">
        <f>IF(E162="","",IFERROR(INDEX('Catalogos_PDN'!$C$5:$C$49,MATCH(E162,PN_METAS,0)),""))</f>
        <v/>
      </c>
      <c r="G162" s="110">
        <f>IF(E162="","",IFERROR(INDEX('Catalogos_PDN'!$E$5:$E$49,MATCH(E162,PN_METAS,0)),""))</f>
        <v/>
      </c>
      <c r="H162" s="111" t="n"/>
      <c r="I162" s="111" t="n"/>
      <c r="J162" s="111" t="n"/>
      <c r="K162" s="111" t="n"/>
      <c r="L162" s="111" t="n"/>
      <c r="M162" s="112" t="n"/>
      <c r="N162" s="111" t="n"/>
      <c r="O162" s="111" t="n"/>
      <c r="P162" s="111" t="n"/>
      <c r="Q162" s="111" t="n"/>
      <c r="R162" s="111" t="n"/>
      <c r="S162" s="111" t="n"/>
      <c r="T162" s="111" t="n"/>
      <c r="U162" s="111" t="n"/>
      <c r="V162" s="111" t="n"/>
      <c r="W162" s="113" t="n"/>
      <c r="X162" s="113" t="n"/>
      <c r="Y162" s="111" t="n"/>
      <c r="Z162" s="111" t="n"/>
      <c r="AA162" s="111" t="n"/>
      <c r="AB162" s="111" t="n"/>
      <c r="AC162" s="111" t="n"/>
      <c r="AD162" s="111" t="n"/>
      <c r="AE162" s="111" t="n"/>
      <c r="AF162" s="111" t="n"/>
      <c r="AG162" s="111" t="n"/>
      <c r="AH162" s="111" t="n"/>
      <c r="AI162" s="111" t="n"/>
      <c r="AJ162" s="114">
        <f>IF(COUNTA(B162,E162,H162,I162,J162,K162,L162,M162,N162,O162,P162,Q162,R162,S162,T162,U162,V162,W162,X162,Y162,Z162,AA162,AB162,AC162,AD162,AE162,AF162,AG162,AH162,AI162)=0,"",IF(OR(B162="",E162="",H162="",J162="",K162="",L162="",M162="",O162="",P162="",Q162="",R162="",S162="",T162="",U162="",W162="",X162="",Y162="",AB162="",AC162="",AE162="",AF162=""),"Incompleta: faltan campos obligatorios",IF(AND(LEFT(H162,6)="PROPIA",I162=""),"Falta el nombre de la acción propia del área",IF(AND(LEFT(H162,4)="AC27",IFERROR(INDEX('Catalogos_PDN'!$T$5:$T$207,MATCH(H162,'Catalogos_PDN'!$U$5:$U$207,0)),"x")&lt;&gt;LEFT(E162,7)),"La acción no corresponde a la meta seleccionada",IF(OR(NOT(ISNUMBER(M162)),M162&lt;10000000,M162&gt;99999999),"Código UNSPSC inválido: registre 8 dígitos",IF(MOD(M162,10000)=0,"UNSPSC a nivel de segmento o familia: use clase o producto",IF(IFERROR(MATCH(P162,PN_MESES,0)&lt;MATCH(O162,PN_MESES,0),TRUE()),"El mes de ofertas es anterior al de inicio del proceso",IF(OR(NOT(ISNUMBER(Q162)),Q162&lt;=0),"Duración inválida",IF(OR(NOT(ISNUMBER(W162)),NOT(ISNUMBER(X162))),"Valor inválido: registre solo números",IF(OR(W162&lt;=0,X162&lt;=0),"Valor inválido: debe ser mayor que cero",IF(X162&gt;W162,"El valor de la vigencia 2027 supera el valor total",IF(AND(X162&lt;W162,Y162="No"),"El valor total supera el de 2027: requiere vigencias futuras",IF(AND(Y162="Sí",OR(Z162="",Z162="No aplica")),"Indique el estado de la solicitud de vigencias futuras",IF(IF(AND(S162="Mínima cuantía",ISNUMBER(PN_TOPE_MINIMA)),W162&gt;PN_TOPE_MINIMA,FALSE()),"El valor supera el tope de mínima cuantía 2027",IF(IF(AND(S162="Selección abreviada de menor cuantía",ISNUMBER(PN_TOPE_MENOR)),W162&gt;PN_TOPE_MENOR,FALSE()),"El valor supera el tope de menor cuantía 2027",IF(OR(ISERROR(SEARCH("@itc.edu.co",AE162)),SUMPRODUCT(--ISNUMBER(SEARCH({"á","é","í","ó","ú","ñ"," "},AE162)))&gt;0),"El correo del responsable no es institucional válido",IF(AND(AF162="Sí",AG162=""),"Indique el N.° de registro 2026 que continúa","OK")))))))))))))))))</f>
        <v/>
      </c>
      <c r="AK162" s="114">
        <f>IF(AJ162="OK",COUNTIF($AJ$7:AJ162,"OK"),"")</f>
        <v/>
      </c>
    </row>
    <row r="163">
      <c r="A163" s="110">
        <f>"PN27-"&amp;TEXT(ROW()-6,"000")</f>
        <v/>
      </c>
      <c r="B163" s="111" t="n"/>
      <c r="C163" s="110">
        <f>IF(B163="","",IFERROR(INDEX('Catalogos_PDN'!$R$5:$R$51,MATCH(B163,PN_AREAS,0)),""))</f>
        <v/>
      </c>
      <c r="D163" s="110">
        <f>IF(B163="","",IFERROR(INDEX('Catalogos_PDN'!$O$5:$O$51,MATCH(B163,PN_AREAS,0)),""))</f>
        <v/>
      </c>
      <c r="E163" s="111" t="n"/>
      <c r="F163" s="110">
        <f>IF(E163="","",IFERROR(INDEX('Catalogos_PDN'!$C$5:$C$49,MATCH(E163,PN_METAS,0)),""))</f>
        <v/>
      </c>
      <c r="G163" s="110">
        <f>IF(E163="","",IFERROR(INDEX('Catalogos_PDN'!$E$5:$E$49,MATCH(E163,PN_METAS,0)),""))</f>
        <v/>
      </c>
      <c r="H163" s="111" t="n"/>
      <c r="I163" s="111" t="n"/>
      <c r="J163" s="111" t="n"/>
      <c r="K163" s="111" t="n"/>
      <c r="L163" s="111" t="n"/>
      <c r="M163" s="112" t="n"/>
      <c r="N163" s="111" t="n"/>
      <c r="O163" s="111" t="n"/>
      <c r="P163" s="111" t="n"/>
      <c r="Q163" s="111" t="n"/>
      <c r="R163" s="111" t="n"/>
      <c r="S163" s="111" t="n"/>
      <c r="T163" s="111" t="n"/>
      <c r="U163" s="111" t="n"/>
      <c r="V163" s="111" t="n"/>
      <c r="W163" s="113" t="n"/>
      <c r="X163" s="113" t="n"/>
      <c r="Y163" s="111" t="n"/>
      <c r="Z163" s="111" t="n"/>
      <c r="AA163" s="111" t="n"/>
      <c r="AB163" s="111" t="n"/>
      <c r="AC163" s="111" t="n"/>
      <c r="AD163" s="111" t="n"/>
      <c r="AE163" s="111" t="n"/>
      <c r="AF163" s="111" t="n"/>
      <c r="AG163" s="111" t="n"/>
      <c r="AH163" s="111" t="n"/>
      <c r="AI163" s="111" t="n"/>
      <c r="AJ163" s="114">
        <f>IF(COUNTA(B163,E163,H163,I163,J163,K163,L163,M163,N163,O163,P163,Q163,R163,S163,T163,U163,V163,W163,X163,Y163,Z163,AA163,AB163,AC163,AD163,AE163,AF163,AG163,AH163,AI163)=0,"",IF(OR(B163="",E163="",H163="",J163="",K163="",L163="",M163="",O163="",P163="",Q163="",R163="",S163="",T163="",U163="",W163="",X163="",Y163="",AB163="",AC163="",AE163="",AF163=""),"Incompleta: faltan campos obligatorios",IF(AND(LEFT(H163,6)="PROPIA",I163=""),"Falta el nombre de la acción propia del área",IF(AND(LEFT(H163,4)="AC27",IFERROR(INDEX('Catalogos_PDN'!$T$5:$T$207,MATCH(H163,'Catalogos_PDN'!$U$5:$U$207,0)),"x")&lt;&gt;LEFT(E163,7)),"La acción no corresponde a la meta seleccionada",IF(OR(NOT(ISNUMBER(M163)),M163&lt;10000000,M163&gt;99999999),"Código UNSPSC inválido: registre 8 dígitos",IF(MOD(M163,10000)=0,"UNSPSC a nivel de segmento o familia: use clase o producto",IF(IFERROR(MATCH(P163,PN_MESES,0)&lt;MATCH(O163,PN_MESES,0),TRUE()),"El mes de ofertas es anterior al de inicio del proceso",IF(OR(NOT(ISNUMBER(Q163)),Q163&lt;=0),"Duración inválida",IF(OR(NOT(ISNUMBER(W163)),NOT(ISNUMBER(X163))),"Valor inválido: registre solo números",IF(OR(W163&lt;=0,X163&lt;=0),"Valor inválido: debe ser mayor que cero",IF(X163&gt;W163,"El valor de la vigencia 2027 supera el valor total",IF(AND(X163&lt;W163,Y163="No"),"El valor total supera el de 2027: requiere vigencias futuras",IF(AND(Y163="Sí",OR(Z163="",Z163="No aplica")),"Indique el estado de la solicitud de vigencias futuras",IF(IF(AND(S163="Mínima cuantía",ISNUMBER(PN_TOPE_MINIMA)),W163&gt;PN_TOPE_MINIMA,FALSE()),"El valor supera el tope de mínima cuantía 2027",IF(IF(AND(S163="Selección abreviada de menor cuantía",ISNUMBER(PN_TOPE_MENOR)),W163&gt;PN_TOPE_MENOR,FALSE()),"El valor supera el tope de menor cuantía 2027",IF(OR(ISERROR(SEARCH("@itc.edu.co",AE163)),SUMPRODUCT(--ISNUMBER(SEARCH({"á","é","í","ó","ú","ñ"," "},AE163)))&gt;0),"El correo del responsable no es institucional válido",IF(AND(AF163="Sí",AG163=""),"Indique el N.° de registro 2026 que continúa","OK")))))))))))))))))</f>
        <v/>
      </c>
      <c r="AK163" s="114">
        <f>IF(AJ163="OK",COUNTIF($AJ$7:AJ163,"OK"),"")</f>
        <v/>
      </c>
    </row>
    <row r="164">
      <c r="A164" s="110">
        <f>"PN27-"&amp;TEXT(ROW()-6,"000")</f>
        <v/>
      </c>
      <c r="B164" s="111" t="n"/>
      <c r="C164" s="110">
        <f>IF(B164="","",IFERROR(INDEX('Catalogos_PDN'!$R$5:$R$51,MATCH(B164,PN_AREAS,0)),""))</f>
        <v/>
      </c>
      <c r="D164" s="110">
        <f>IF(B164="","",IFERROR(INDEX('Catalogos_PDN'!$O$5:$O$51,MATCH(B164,PN_AREAS,0)),""))</f>
        <v/>
      </c>
      <c r="E164" s="111" t="n"/>
      <c r="F164" s="110">
        <f>IF(E164="","",IFERROR(INDEX('Catalogos_PDN'!$C$5:$C$49,MATCH(E164,PN_METAS,0)),""))</f>
        <v/>
      </c>
      <c r="G164" s="110">
        <f>IF(E164="","",IFERROR(INDEX('Catalogos_PDN'!$E$5:$E$49,MATCH(E164,PN_METAS,0)),""))</f>
        <v/>
      </c>
      <c r="H164" s="111" t="n"/>
      <c r="I164" s="111" t="n"/>
      <c r="J164" s="111" t="n"/>
      <c r="K164" s="111" t="n"/>
      <c r="L164" s="111" t="n"/>
      <c r="M164" s="112" t="n"/>
      <c r="N164" s="111" t="n"/>
      <c r="O164" s="111" t="n"/>
      <c r="P164" s="111" t="n"/>
      <c r="Q164" s="111" t="n"/>
      <c r="R164" s="111" t="n"/>
      <c r="S164" s="111" t="n"/>
      <c r="T164" s="111" t="n"/>
      <c r="U164" s="111" t="n"/>
      <c r="V164" s="111" t="n"/>
      <c r="W164" s="113" t="n"/>
      <c r="X164" s="113" t="n"/>
      <c r="Y164" s="111" t="n"/>
      <c r="Z164" s="111" t="n"/>
      <c r="AA164" s="111" t="n"/>
      <c r="AB164" s="111" t="n"/>
      <c r="AC164" s="111" t="n"/>
      <c r="AD164" s="111" t="n"/>
      <c r="AE164" s="111" t="n"/>
      <c r="AF164" s="111" t="n"/>
      <c r="AG164" s="111" t="n"/>
      <c r="AH164" s="111" t="n"/>
      <c r="AI164" s="111" t="n"/>
      <c r="AJ164" s="114">
        <f>IF(COUNTA(B164,E164,H164,I164,J164,K164,L164,M164,N164,O164,P164,Q164,R164,S164,T164,U164,V164,W164,X164,Y164,Z164,AA164,AB164,AC164,AD164,AE164,AF164,AG164,AH164,AI164)=0,"",IF(OR(B164="",E164="",H164="",J164="",K164="",L164="",M164="",O164="",P164="",Q164="",R164="",S164="",T164="",U164="",W164="",X164="",Y164="",AB164="",AC164="",AE164="",AF164=""),"Incompleta: faltan campos obligatorios",IF(AND(LEFT(H164,6)="PROPIA",I164=""),"Falta el nombre de la acción propia del área",IF(AND(LEFT(H164,4)="AC27",IFERROR(INDEX('Catalogos_PDN'!$T$5:$T$207,MATCH(H164,'Catalogos_PDN'!$U$5:$U$207,0)),"x")&lt;&gt;LEFT(E164,7)),"La acción no corresponde a la meta seleccionada",IF(OR(NOT(ISNUMBER(M164)),M164&lt;10000000,M164&gt;99999999),"Código UNSPSC inválido: registre 8 dígitos",IF(MOD(M164,10000)=0,"UNSPSC a nivel de segmento o familia: use clase o producto",IF(IFERROR(MATCH(P164,PN_MESES,0)&lt;MATCH(O164,PN_MESES,0),TRUE()),"El mes de ofertas es anterior al de inicio del proceso",IF(OR(NOT(ISNUMBER(Q164)),Q164&lt;=0),"Duración inválida",IF(OR(NOT(ISNUMBER(W164)),NOT(ISNUMBER(X164))),"Valor inválido: registre solo números",IF(OR(W164&lt;=0,X164&lt;=0),"Valor inválido: debe ser mayor que cero",IF(X164&gt;W164,"El valor de la vigencia 2027 supera el valor total",IF(AND(X164&lt;W164,Y164="No"),"El valor total supera el de 2027: requiere vigencias futuras",IF(AND(Y164="Sí",OR(Z164="",Z164="No aplica")),"Indique el estado de la solicitud de vigencias futuras",IF(IF(AND(S164="Mínima cuantía",ISNUMBER(PN_TOPE_MINIMA)),W164&gt;PN_TOPE_MINIMA,FALSE()),"El valor supera el tope de mínima cuantía 2027",IF(IF(AND(S164="Selección abreviada de menor cuantía",ISNUMBER(PN_TOPE_MENOR)),W164&gt;PN_TOPE_MENOR,FALSE()),"El valor supera el tope de menor cuantía 2027",IF(OR(ISERROR(SEARCH("@itc.edu.co",AE164)),SUMPRODUCT(--ISNUMBER(SEARCH({"á","é","í","ó","ú","ñ"," "},AE164)))&gt;0),"El correo del responsable no es institucional válido",IF(AND(AF164="Sí",AG164=""),"Indique el N.° de registro 2026 que continúa","OK")))))))))))))))))</f>
        <v/>
      </c>
      <c r="AK164" s="114">
        <f>IF(AJ164="OK",COUNTIF($AJ$7:AJ164,"OK"),"")</f>
        <v/>
      </c>
    </row>
    <row r="165">
      <c r="A165" s="110">
        <f>"PN27-"&amp;TEXT(ROW()-6,"000")</f>
        <v/>
      </c>
      <c r="B165" s="111" t="n"/>
      <c r="C165" s="110">
        <f>IF(B165="","",IFERROR(INDEX('Catalogos_PDN'!$R$5:$R$51,MATCH(B165,PN_AREAS,0)),""))</f>
        <v/>
      </c>
      <c r="D165" s="110">
        <f>IF(B165="","",IFERROR(INDEX('Catalogos_PDN'!$O$5:$O$51,MATCH(B165,PN_AREAS,0)),""))</f>
        <v/>
      </c>
      <c r="E165" s="111" t="n"/>
      <c r="F165" s="110">
        <f>IF(E165="","",IFERROR(INDEX('Catalogos_PDN'!$C$5:$C$49,MATCH(E165,PN_METAS,0)),""))</f>
        <v/>
      </c>
      <c r="G165" s="110">
        <f>IF(E165="","",IFERROR(INDEX('Catalogos_PDN'!$E$5:$E$49,MATCH(E165,PN_METAS,0)),""))</f>
        <v/>
      </c>
      <c r="H165" s="111" t="n"/>
      <c r="I165" s="111" t="n"/>
      <c r="J165" s="111" t="n"/>
      <c r="K165" s="111" t="n"/>
      <c r="L165" s="111" t="n"/>
      <c r="M165" s="112" t="n"/>
      <c r="N165" s="111" t="n"/>
      <c r="O165" s="111" t="n"/>
      <c r="P165" s="111" t="n"/>
      <c r="Q165" s="111" t="n"/>
      <c r="R165" s="111" t="n"/>
      <c r="S165" s="111" t="n"/>
      <c r="T165" s="111" t="n"/>
      <c r="U165" s="111" t="n"/>
      <c r="V165" s="111" t="n"/>
      <c r="W165" s="113" t="n"/>
      <c r="X165" s="113" t="n"/>
      <c r="Y165" s="111" t="n"/>
      <c r="Z165" s="111" t="n"/>
      <c r="AA165" s="111" t="n"/>
      <c r="AB165" s="111" t="n"/>
      <c r="AC165" s="111" t="n"/>
      <c r="AD165" s="111" t="n"/>
      <c r="AE165" s="111" t="n"/>
      <c r="AF165" s="111" t="n"/>
      <c r="AG165" s="111" t="n"/>
      <c r="AH165" s="111" t="n"/>
      <c r="AI165" s="111" t="n"/>
      <c r="AJ165" s="114">
        <f>IF(COUNTA(B165,E165,H165,I165,J165,K165,L165,M165,N165,O165,P165,Q165,R165,S165,T165,U165,V165,W165,X165,Y165,Z165,AA165,AB165,AC165,AD165,AE165,AF165,AG165,AH165,AI165)=0,"",IF(OR(B165="",E165="",H165="",J165="",K165="",L165="",M165="",O165="",P165="",Q165="",R165="",S165="",T165="",U165="",W165="",X165="",Y165="",AB165="",AC165="",AE165="",AF165=""),"Incompleta: faltan campos obligatorios",IF(AND(LEFT(H165,6)="PROPIA",I165=""),"Falta el nombre de la acción propia del área",IF(AND(LEFT(H165,4)="AC27",IFERROR(INDEX('Catalogos_PDN'!$T$5:$T$207,MATCH(H165,'Catalogos_PDN'!$U$5:$U$207,0)),"x")&lt;&gt;LEFT(E165,7)),"La acción no corresponde a la meta seleccionada",IF(OR(NOT(ISNUMBER(M165)),M165&lt;10000000,M165&gt;99999999),"Código UNSPSC inválido: registre 8 dígitos",IF(MOD(M165,10000)=0,"UNSPSC a nivel de segmento o familia: use clase o producto",IF(IFERROR(MATCH(P165,PN_MESES,0)&lt;MATCH(O165,PN_MESES,0),TRUE()),"El mes de ofertas es anterior al de inicio del proceso",IF(OR(NOT(ISNUMBER(Q165)),Q165&lt;=0),"Duración inválida",IF(OR(NOT(ISNUMBER(W165)),NOT(ISNUMBER(X165))),"Valor inválido: registre solo números",IF(OR(W165&lt;=0,X165&lt;=0),"Valor inválido: debe ser mayor que cero",IF(X165&gt;W165,"El valor de la vigencia 2027 supera el valor total",IF(AND(X165&lt;W165,Y165="No"),"El valor total supera el de 2027: requiere vigencias futuras",IF(AND(Y165="Sí",OR(Z165="",Z165="No aplica")),"Indique el estado de la solicitud de vigencias futuras",IF(IF(AND(S165="Mínima cuantía",ISNUMBER(PN_TOPE_MINIMA)),W165&gt;PN_TOPE_MINIMA,FALSE()),"El valor supera el tope de mínima cuantía 2027",IF(IF(AND(S165="Selección abreviada de menor cuantía",ISNUMBER(PN_TOPE_MENOR)),W165&gt;PN_TOPE_MENOR,FALSE()),"El valor supera el tope de menor cuantía 2027",IF(OR(ISERROR(SEARCH("@itc.edu.co",AE165)),SUMPRODUCT(--ISNUMBER(SEARCH({"á","é","í","ó","ú","ñ"," "},AE165)))&gt;0),"El correo del responsable no es institucional válido",IF(AND(AF165="Sí",AG165=""),"Indique el N.° de registro 2026 que continúa","OK")))))))))))))))))</f>
        <v/>
      </c>
      <c r="AK165" s="114">
        <f>IF(AJ165="OK",COUNTIF($AJ$7:AJ165,"OK"),"")</f>
        <v/>
      </c>
    </row>
    <row r="166">
      <c r="A166" s="110">
        <f>"PN27-"&amp;TEXT(ROW()-6,"000")</f>
        <v/>
      </c>
      <c r="B166" s="111" t="n"/>
      <c r="C166" s="110">
        <f>IF(B166="","",IFERROR(INDEX('Catalogos_PDN'!$R$5:$R$51,MATCH(B166,PN_AREAS,0)),""))</f>
        <v/>
      </c>
      <c r="D166" s="110">
        <f>IF(B166="","",IFERROR(INDEX('Catalogos_PDN'!$O$5:$O$51,MATCH(B166,PN_AREAS,0)),""))</f>
        <v/>
      </c>
      <c r="E166" s="111" t="n"/>
      <c r="F166" s="110">
        <f>IF(E166="","",IFERROR(INDEX('Catalogos_PDN'!$C$5:$C$49,MATCH(E166,PN_METAS,0)),""))</f>
        <v/>
      </c>
      <c r="G166" s="110">
        <f>IF(E166="","",IFERROR(INDEX('Catalogos_PDN'!$E$5:$E$49,MATCH(E166,PN_METAS,0)),""))</f>
        <v/>
      </c>
      <c r="H166" s="111" t="n"/>
      <c r="I166" s="111" t="n"/>
      <c r="J166" s="111" t="n"/>
      <c r="K166" s="111" t="n"/>
      <c r="L166" s="111" t="n"/>
      <c r="M166" s="112" t="n"/>
      <c r="N166" s="111" t="n"/>
      <c r="O166" s="111" t="n"/>
      <c r="P166" s="111" t="n"/>
      <c r="Q166" s="111" t="n"/>
      <c r="R166" s="111" t="n"/>
      <c r="S166" s="111" t="n"/>
      <c r="T166" s="111" t="n"/>
      <c r="U166" s="111" t="n"/>
      <c r="V166" s="111" t="n"/>
      <c r="W166" s="113" t="n"/>
      <c r="X166" s="113" t="n"/>
      <c r="Y166" s="111" t="n"/>
      <c r="Z166" s="111" t="n"/>
      <c r="AA166" s="111" t="n"/>
      <c r="AB166" s="111" t="n"/>
      <c r="AC166" s="111" t="n"/>
      <c r="AD166" s="111" t="n"/>
      <c r="AE166" s="111" t="n"/>
      <c r="AF166" s="111" t="n"/>
      <c r="AG166" s="111" t="n"/>
      <c r="AH166" s="111" t="n"/>
      <c r="AI166" s="111" t="n"/>
      <c r="AJ166" s="114">
        <f>IF(COUNTA(B166,E166,H166,I166,J166,K166,L166,M166,N166,O166,P166,Q166,R166,S166,T166,U166,V166,W166,X166,Y166,Z166,AA166,AB166,AC166,AD166,AE166,AF166,AG166,AH166,AI166)=0,"",IF(OR(B166="",E166="",H166="",J166="",K166="",L166="",M166="",O166="",P166="",Q166="",R166="",S166="",T166="",U166="",W166="",X166="",Y166="",AB166="",AC166="",AE166="",AF166=""),"Incompleta: faltan campos obligatorios",IF(AND(LEFT(H166,6)="PROPIA",I166=""),"Falta el nombre de la acción propia del área",IF(AND(LEFT(H166,4)="AC27",IFERROR(INDEX('Catalogos_PDN'!$T$5:$T$207,MATCH(H166,'Catalogos_PDN'!$U$5:$U$207,0)),"x")&lt;&gt;LEFT(E166,7)),"La acción no corresponde a la meta seleccionada",IF(OR(NOT(ISNUMBER(M166)),M166&lt;10000000,M166&gt;99999999),"Código UNSPSC inválido: registre 8 dígitos",IF(MOD(M166,10000)=0,"UNSPSC a nivel de segmento o familia: use clase o producto",IF(IFERROR(MATCH(P166,PN_MESES,0)&lt;MATCH(O166,PN_MESES,0),TRUE()),"El mes de ofertas es anterior al de inicio del proceso",IF(OR(NOT(ISNUMBER(Q166)),Q166&lt;=0),"Duración inválida",IF(OR(NOT(ISNUMBER(W166)),NOT(ISNUMBER(X166))),"Valor inválido: registre solo números",IF(OR(W166&lt;=0,X166&lt;=0),"Valor inválido: debe ser mayor que cero",IF(X166&gt;W166,"El valor de la vigencia 2027 supera el valor total",IF(AND(X166&lt;W166,Y166="No"),"El valor total supera el de 2027: requiere vigencias futuras",IF(AND(Y166="Sí",OR(Z166="",Z166="No aplica")),"Indique el estado de la solicitud de vigencias futuras",IF(IF(AND(S166="Mínima cuantía",ISNUMBER(PN_TOPE_MINIMA)),W166&gt;PN_TOPE_MINIMA,FALSE()),"El valor supera el tope de mínima cuantía 2027",IF(IF(AND(S166="Selección abreviada de menor cuantía",ISNUMBER(PN_TOPE_MENOR)),W166&gt;PN_TOPE_MENOR,FALSE()),"El valor supera el tope de menor cuantía 2027",IF(OR(ISERROR(SEARCH("@itc.edu.co",AE166)),SUMPRODUCT(--ISNUMBER(SEARCH({"á","é","í","ó","ú","ñ"," "},AE166)))&gt;0),"El correo del responsable no es institucional válido",IF(AND(AF166="Sí",AG166=""),"Indique el N.° de registro 2026 que continúa","OK")))))))))))))))))</f>
        <v/>
      </c>
      <c r="AK166" s="114">
        <f>IF(AJ166="OK",COUNTIF($AJ$7:AJ166,"OK"),"")</f>
        <v/>
      </c>
    </row>
    <row r="167">
      <c r="A167" s="110">
        <f>"PN27-"&amp;TEXT(ROW()-6,"000")</f>
        <v/>
      </c>
      <c r="B167" s="111" t="n"/>
      <c r="C167" s="110">
        <f>IF(B167="","",IFERROR(INDEX('Catalogos_PDN'!$R$5:$R$51,MATCH(B167,PN_AREAS,0)),""))</f>
        <v/>
      </c>
      <c r="D167" s="110">
        <f>IF(B167="","",IFERROR(INDEX('Catalogos_PDN'!$O$5:$O$51,MATCH(B167,PN_AREAS,0)),""))</f>
        <v/>
      </c>
      <c r="E167" s="111" t="n"/>
      <c r="F167" s="110">
        <f>IF(E167="","",IFERROR(INDEX('Catalogos_PDN'!$C$5:$C$49,MATCH(E167,PN_METAS,0)),""))</f>
        <v/>
      </c>
      <c r="G167" s="110">
        <f>IF(E167="","",IFERROR(INDEX('Catalogos_PDN'!$E$5:$E$49,MATCH(E167,PN_METAS,0)),""))</f>
        <v/>
      </c>
      <c r="H167" s="111" t="n"/>
      <c r="I167" s="111" t="n"/>
      <c r="J167" s="111" t="n"/>
      <c r="K167" s="111" t="n"/>
      <c r="L167" s="111" t="n"/>
      <c r="M167" s="112" t="n"/>
      <c r="N167" s="111" t="n"/>
      <c r="O167" s="111" t="n"/>
      <c r="P167" s="111" t="n"/>
      <c r="Q167" s="111" t="n"/>
      <c r="R167" s="111" t="n"/>
      <c r="S167" s="111" t="n"/>
      <c r="T167" s="111" t="n"/>
      <c r="U167" s="111" t="n"/>
      <c r="V167" s="111" t="n"/>
      <c r="W167" s="113" t="n"/>
      <c r="X167" s="113" t="n"/>
      <c r="Y167" s="111" t="n"/>
      <c r="Z167" s="111" t="n"/>
      <c r="AA167" s="111" t="n"/>
      <c r="AB167" s="111" t="n"/>
      <c r="AC167" s="111" t="n"/>
      <c r="AD167" s="111" t="n"/>
      <c r="AE167" s="111" t="n"/>
      <c r="AF167" s="111" t="n"/>
      <c r="AG167" s="111" t="n"/>
      <c r="AH167" s="111" t="n"/>
      <c r="AI167" s="111" t="n"/>
      <c r="AJ167" s="114">
        <f>IF(COUNTA(B167,E167,H167,I167,J167,K167,L167,M167,N167,O167,P167,Q167,R167,S167,T167,U167,V167,W167,X167,Y167,Z167,AA167,AB167,AC167,AD167,AE167,AF167,AG167,AH167,AI167)=0,"",IF(OR(B167="",E167="",H167="",J167="",K167="",L167="",M167="",O167="",P167="",Q167="",R167="",S167="",T167="",U167="",W167="",X167="",Y167="",AB167="",AC167="",AE167="",AF167=""),"Incompleta: faltan campos obligatorios",IF(AND(LEFT(H167,6)="PROPIA",I167=""),"Falta el nombre de la acción propia del área",IF(AND(LEFT(H167,4)="AC27",IFERROR(INDEX('Catalogos_PDN'!$T$5:$T$207,MATCH(H167,'Catalogos_PDN'!$U$5:$U$207,0)),"x")&lt;&gt;LEFT(E167,7)),"La acción no corresponde a la meta seleccionada",IF(OR(NOT(ISNUMBER(M167)),M167&lt;10000000,M167&gt;99999999),"Código UNSPSC inválido: registre 8 dígitos",IF(MOD(M167,10000)=0,"UNSPSC a nivel de segmento o familia: use clase o producto",IF(IFERROR(MATCH(P167,PN_MESES,0)&lt;MATCH(O167,PN_MESES,0),TRUE()),"El mes de ofertas es anterior al de inicio del proceso",IF(OR(NOT(ISNUMBER(Q167)),Q167&lt;=0),"Duración inválida",IF(OR(NOT(ISNUMBER(W167)),NOT(ISNUMBER(X167))),"Valor inválido: registre solo números",IF(OR(W167&lt;=0,X167&lt;=0),"Valor inválido: debe ser mayor que cero",IF(X167&gt;W167,"El valor de la vigencia 2027 supera el valor total",IF(AND(X167&lt;W167,Y167="No"),"El valor total supera el de 2027: requiere vigencias futuras",IF(AND(Y167="Sí",OR(Z167="",Z167="No aplica")),"Indique el estado de la solicitud de vigencias futuras",IF(IF(AND(S167="Mínima cuantía",ISNUMBER(PN_TOPE_MINIMA)),W167&gt;PN_TOPE_MINIMA,FALSE()),"El valor supera el tope de mínima cuantía 2027",IF(IF(AND(S167="Selección abreviada de menor cuantía",ISNUMBER(PN_TOPE_MENOR)),W167&gt;PN_TOPE_MENOR,FALSE()),"El valor supera el tope de menor cuantía 2027",IF(OR(ISERROR(SEARCH("@itc.edu.co",AE167)),SUMPRODUCT(--ISNUMBER(SEARCH({"á","é","í","ó","ú","ñ"," "},AE167)))&gt;0),"El correo del responsable no es institucional válido",IF(AND(AF167="Sí",AG167=""),"Indique el N.° de registro 2026 que continúa","OK")))))))))))))))))</f>
        <v/>
      </c>
      <c r="AK167" s="114">
        <f>IF(AJ167="OK",COUNTIF($AJ$7:AJ167,"OK"),"")</f>
        <v/>
      </c>
    </row>
    <row r="168">
      <c r="A168" s="110">
        <f>"PN27-"&amp;TEXT(ROW()-6,"000")</f>
        <v/>
      </c>
      <c r="B168" s="111" t="n"/>
      <c r="C168" s="110">
        <f>IF(B168="","",IFERROR(INDEX('Catalogos_PDN'!$R$5:$R$51,MATCH(B168,PN_AREAS,0)),""))</f>
        <v/>
      </c>
      <c r="D168" s="110">
        <f>IF(B168="","",IFERROR(INDEX('Catalogos_PDN'!$O$5:$O$51,MATCH(B168,PN_AREAS,0)),""))</f>
        <v/>
      </c>
      <c r="E168" s="111" t="n"/>
      <c r="F168" s="110">
        <f>IF(E168="","",IFERROR(INDEX('Catalogos_PDN'!$C$5:$C$49,MATCH(E168,PN_METAS,0)),""))</f>
        <v/>
      </c>
      <c r="G168" s="110">
        <f>IF(E168="","",IFERROR(INDEX('Catalogos_PDN'!$E$5:$E$49,MATCH(E168,PN_METAS,0)),""))</f>
        <v/>
      </c>
      <c r="H168" s="111" t="n"/>
      <c r="I168" s="111" t="n"/>
      <c r="J168" s="111" t="n"/>
      <c r="K168" s="111" t="n"/>
      <c r="L168" s="111" t="n"/>
      <c r="M168" s="112" t="n"/>
      <c r="N168" s="111" t="n"/>
      <c r="O168" s="111" t="n"/>
      <c r="P168" s="111" t="n"/>
      <c r="Q168" s="111" t="n"/>
      <c r="R168" s="111" t="n"/>
      <c r="S168" s="111" t="n"/>
      <c r="T168" s="111" t="n"/>
      <c r="U168" s="111" t="n"/>
      <c r="V168" s="111" t="n"/>
      <c r="W168" s="113" t="n"/>
      <c r="X168" s="113" t="n"/>
      <c r="Y168" s="111" t="n"/>
      <c r="Z168" s="111" t="n"/>
      <c r="AA168" s="111" t="n"/>
      <c r="AB168" s="111" t="n"/>
      <c r="AC168" s="111" t="n"/>
      <c r="AD168" s="111" t="n"/>
      <c r="AE168" s="111" t="n"/>
      <c r="AF168" s="111" t="n"/>
      <c r="AG168" s="111" t="n"/>
      <c r="AH168" s="111" t="n"/>
      <c r="AI168" s="111" t="n"/>
      <c r="AJ168" s="114">
        <f>IF(COUNTA(B168,E168,H168,I168,J168,K168,L168,M168,N168,O168,P168,Q168,R168,S168,T168,U168,V168,W168,X168,Y168,Z168,AA168,AB168,AC168,AD168,AE168,AF168,AG168,AH168,AI168)=0,"",IF(OR(B168="",E168="",H168="",J168="",K168="",L168="",M168="",O168="",P168="",Q168="",R168="",S168="",T168="",U168="",W168="",X168="",Y168="",AB168="",AC168="",AE168="",AF168=""),"Incompleta: faltan campos obligatorios",IF(AND(LEFT(H168,6)="PROPIA",I168=""),"Falta el nombre de la acción propia del área",IF(AND(LEFT(H168,4)="AC27",IFERROR(INDEX('Catalogos_PDN'!$T$5:$T$207,MATCH(H168,'Catalogos_PDN'!$U$5:$U$207,0)),"x")&lt;&gt;LEFT(E168,7)),"La acción no corresponde a la meta seleccionada",IF(OR(NOT(ISNUMBER(M168)),M168&lt;10000000,M168&gt;99999999),"Código UNSPSC inválido: registre 8 dígitos",IF(MOD(M168,10000)=0,"UNSPSC a nivel de segmento o familia: use clase o producto",IF(IFERROR(MATCH(P168,PN_MESES,0)&lt;MATCH(O168,PN_MESES,0),TRUE()),"El mes de ofertas es anterior al de inicio del proceso",IF(OR(NOT(ISNUMBER(Q168)),Q168&lt;=0),"Duración inválida",IF(OR(NOT(ISNUMBER(W168)),NOT(ISNUMBER(X168))),"Valor inválido: registre solo números",IF(OR(W168&lt;=0,X168&lt;=0),"Valor inválido: debe ser mayor que cero",IF(X168&gt;W168,"El valor de la vigencia 2027 supera el valor total",IF(AND(X168&lt;W168,Y168="No"),"El valor total supera el de 2027: requiere vigencias futuras",IF(AND(Y168="Sí",OR(Z168="",Z168="No aplica")),"Indique el estado de la solicitud de vigencias futuras",IF(IF(AND(S168="Mínima cuantía",ISNUMBER(PN_TOPE_MINIMA)),W168&gt;PN_TOPE_MINIMA,FALSE()),"El valor supera el tope de mínima cuantía 2027",IF(IF(AND(S168="Selección abreviada de menor cuantía",ISNUMBER(PN_TOPE_MENOR)),W168&gt;PN_TOPE_MENOR,FALSE()),"El valor supera el tope de menor cuantía 2027",IF(OR(ISERROR(SEARCH("@itc.edu.co",AE168)),SUMPRODUCT(--ISNUMBER(SEARCH({"á","é","í","ó","ú","ñ"," "},AE168)))&gt;0),"El correo del responsable no es institucional válido",IF(AND(AF168="Sí",AG168=""),"Indique el N.° de registro 2026 que continúa","OK")))))))))))))))))</f>
        <v/>
      </c>
      <c r="AK168" s="114">
        <f>IF(AJ168="OK",COUNTIF($AJ$7:AJ168,"OK"),"")</f>
        <v/>
      </c>
    </row>
    <row r="169">
      <c r="A169" s="110">
        <f>"PN27-"&amp;TEXT(ROW()-6,"000")</f>
        <v/>
      </c>
      <c r="B169" s="111" t="n"/>
      <c r="C169" s="110">
        <f>IF(B169="","",IFERROR(INDEX('Catalogos_PDN'!$R$5:$R$51,MATCH(B169,PN_AREAS,0)),""))</f>
        <v/>
      </c>
      <c r="D169" s="110">
        <f>IF(B169="","",IFERROR(INDEX('Catalogos_PDN'!$O$5:$O$51,MATCH(B169,PN_AREAS,0)),""))</f>
        <v/>
      </c>
      <c r="E169" s="111" t="n"/>
      <c r="F169" s="110">
        <f>IF(E169="","",IFERROR(INDEX('Catalogos_PDN'!$C$5:$C$49,MATCH(E169,PN_METAS,0)),""))</f>
        <v/>
      </c>
      <c r="G169" s="110">
        <f>IF(E169="","",IFERROR(INDEX('Catalogos_PDN'!$E$5:$E$49,MATCH(E169,PN_METAS,0)),""))</f>
        <v/>
      </c>
      <c r="H169" s="111" t="n"/>
      <c r="I169" s="111" t="n"/>
      <c r="J169" s="111" t="n"/>
      <c r="K169" s="111" t="n"/>
      <c r="L169" s="111" t="n"/>
      <c r="M169" s="112" t="n"/>
      <c r="N169" s="111" t="n"/>
      <c r="O169" s="111" t="n"/>
      <c r="P169" s="111" t="n"/>
      <c r="Q169" s="111" t="n"/>
      <c r="R169" s="111" t="n"/>
      <c r="S169" s="111" t="n"/>
      <c r="T169" s="111" t="n"/>
      <c r="U169" s="111" t="n"/>
      <c r="V169" s="111" t="n"/>
      <c r="W169" s="113" t="n"/>
      <c r="X169" s="113" t="n"/>
      <c r="Y169" s="111" t="n"/>
      <c r="Z169" s="111" t="n"/>
      <c r="AA169" s="111" t="n"/>
      <c r="AB169" s="111" t="n"/>
      <c r="AC169" s="111" t="n"/>
      <c r="AD169" s="111" t="n"/>
      <c r="AE169" s="111" t="n"/>
      <c r="AF169" s="111" t="n"/>
      <c r="AG169" s="111" t="n"/>
      <c r="AH169" s="111" t="n"/>
      <c r="AI169" s="111" t="n"/>
      <c r="AJ169" s="114">
        <f>IF(COUNTA(B169,E169,H169,I169,J169,K169,L169,M169,N169,O169,P169,Q169,R169,S169,T169,U169,V169,W169,X169,Y169,Z169,AA169,AB169,AC169,AD169,AE169,AF169,AG169,AH169,AI169)=0,"",IF(OR(B169="",E169="",H169="",J169="",K169="",L169="",M169="",O169="",P169="",Q169="",R169="",S169="",T169="",U169="",W169="",X169="",Y169="",AB169="",AC169="",AE169="",AF169=""),"Incompleta: faltan campos obligatorios",IF(AND(LEFT(H169,6)="PROPIA",I169=""),"Falta el nombre de la acción propia del área",IF(AND(LEFT(H169,4)="AC27",IFERROR(INDEX('Catalogos_PDN'!$T$5:$T$207,MATCH(H169,'Catalogos_PDN'!$U$5:$U$207,0)),"x")&lt;&gt;LEFT(E169,7)),"La acción no corresponde a la meta seleccionada",IF(OR(NOT(ISNUMBER(M169)),M169&lt;10000000,M169&gt;99999999),"Código UNSPSC inválido: registre 8 dígitos",IF(MOD(M169,10000)=0,"UNSPSC a nivel de segmento o familia: use clase o producto",IF(IFERROR(MATCH(P169,PN_MESES,0)&lt;MATCH(O169,PN_MESES,0),TRUE()),"El mes de ofertas es anterior al de inicio del proceso",IF(OR(NOT(ISNUMBER(Q169)),Q169&lt;=0),"Duración inválida",IF(OR(NOT(ISNUMBER(W169)),NOT(ISNUMBER(X169))),"Valor inválido: registre solo números",IF(OR(W169&lt;=0,X169&lt;=0),"Valor inválido: debe ser mayor que cero",IF(X169&gt;W169,"El valor de la vigencia 2027 supera el valor total",IF(AND(X169&lt;W169,Y169="No"),"El valor total supera el de 2027: requiere vigencias futuras",IF(AND(Y169="Sí",OR(Z169="",Z169="No aplica")),"Indique el estado de la solicitud de vigencias futuras",IF(IF(AND(S169="Mínima cuantía",ISNUMBER(PN_TOPE_MINIMA)),W169&gt;PN_TOPE_MINIMA,FALSE()),"El valor supera el tope de mínima cuantía 2027",IF(IF(AND(S169="Selección abreviada de menor cuantía",ISNUMBER(PN_TOPE_MENOR)),W169&gt;PN_TOPE_MENOR,FALSE()),"El valor supera el tope de menor cuantía 2027",IF(OR(ISERROR(SEARCH("@itc.edu.co",AE169)),SUMPRODUCT(--ISNUMBER(SEARCH({"á","é","í","ó","ú","ñ"," "},AE169)))&gt;0),"El correo del responsable no es institucional válido",IF(AND(AF169="Sí",AG169=""),"Indique el N.° de registro 2026 que continúa","OK")))))))))))))))))</f>
        <v/>
      </c>
      <c r="AK169" s="114">
        <f>IF(AJ169="OK",COUNTIF($AJ$7:AJ169,"OK"),"")</f>
        <v/>
      </c>
    </row>
    <row r="170">
      <c r="A170" s="110">
        <f>"PN27-"&amp;TEXT(ROW()-6,"000")</f>
        <v/>
      </c>
      <c r="B170" s="111" t="n"/>
      <c r="C170" s="110">
        <f>IF(B170="","",IFERROR(INDEX('Catalogos_PDN'!$R$5:$R$51,MATCH(B170,PN_AREAS,0)),""))</f>
        <v/>
      </c>
      <c r="D170" s="110">
        <f>IF(B170="","",IFERROR(INDEX('Catalogos_PDN'!$O$5:$O$51,MATCH(B170,PN_AREAS,0)),""))</f>
        <v/>
      </c>
      <c r="E170" s="111" t="n"/>
      <c r="F170" s="110">
        <f>IF(E170="","",IFERROR(INDEX('Catalogos_PDN'!$C$5:$C$49,MATCH(E170,PN_METAS,0)),""))</f>
        <v/>
      </c>
      <c r="G170" s="110">
        <f>IF(E170="","",IFERROR(INDEX('Catalogos_PDN'!$E$5:$E$49,MATCH(E170,PN_METAS,0)),""))</f>
        <v/>
      </c>
      <c r="H170" s="111" t="n"/>
      <c r="I170" s="111" t="n"/>
      <c r="J170" s="111" t="n"/>
      <c r="K170" s="111" t="n"/>
      <c r="L170" s="111" t="n"/>
      <c r="M170" s="112" t="n"/>
      <c r="N170" s="111" t="n"/>
      <c r="O170" s="111" t="n"/>
      <c r="P170" s="111" t="n"/>
      <c r="Q170" s="111" t="n"/>
      <c r="R170" s="111" t="n"/>
      <c r="S170" s="111" t="n"/>
      <c r="T170" s="111" t="n"/>
      <c r="U170" s="111" t="n"/>
      <c r="V170" s="111" t="n"/>
      <c r="W170" s="113" t="n"/>
      <c r="X170" s="113" t="n"/>
      <c r="Y170" s="111" t="n"/>
      <c r="Z170" s="111" t="n"/>
      <c r="AA170" s="111" t="n"/>
      <c r="AB170" s="111" t="n"/>
      <c r="AC170" s="111" t="n"/>
      <c r="AD170" s="111" t="n"/>
      <c r="AE170" s="111" t="n"/>
      <c r="AF170" s="111" t="n"/>
      <c r="AG170" s="111" t="n"/>
      <c r="AH170" s="111" t="n"/>
      <c r="AI170" s="111" t="n"/>
      <c r="AJ170" s="114">
        <f>IF(COUNTA(B170,E170,H170,I170,J170,K170,L170,M170,N170,O170,P170,Q170,R170,S170,T170,U170,V170,W170,X170,Y170,Z170,AA170,AB170,AC170,AD170,AE170,AF170,AG170,AH170,AI170)=0,"",IF(OR(B170="",E170="",H170="",J170="",K170="",L170="",M170="",O170="",P170="",Q170="",R170="",S170="",T170="",U170="",W170="",X170="",Y170="",AB170="",AC170="",AE170="",AF170=""),"Incompleta: faltan campos obligatorios",IF(AND(LEFT(H170,6)="PROPIA",I170=""),"Falta el nombre de la acción propia del área",IF(AND(LEFT(H170,4)="AC27",IFERROR(INDEX('Catalogos_PDN'!$T$5:$T$207,MATCH(H170,'Catalogos_PDN'!$U$5:$U$207,0)),"x")&lt;&gt;LEFT(E170,7)),"La acción no corresponde a la meta seleccionada",IF(OR(NOT(ISNUMBER(M170)),M170&lt;10000000,M170&gt;99999999),"Código UNSPSC inválido: registre 8 dígitos",IF(MOD(M170,10000)=0,"UNSPSC a nivel de segmento o familia: use clase o producto",IF(IFERROR(MATCH(P170,PN_MESES,0)&lt;MATCH(O170,PN_MESES,0),TRUE()),"El mes de ofertas es anterior al de inicio del proceso",IF(OR(NOT(ISNUMBER(Q170)),Q170&lt;=0),"Duración inválida",IF(OR(NOT(ISNUMBER(W170)),NOT(ISNUMBER(X170))),"Valor inválido: registre solo números",IF(OR(W170&lt;=0,X170&lt;=0),"Valor inválido: debe ser mayor que cero",IF(X170&gt;W170,"El valor de la vigencia 2027 supera el valor total",IF(AND(X170&lt;W170,Y170="No"),"El valor total supera el de 2027: requiere vigencias futuras",IF(AND(Y170="Sí",OR(Z170="",Z170="No aplica")),"Indique el estado de la solicitud de vigencias futuras",IF(IF(AND(S170="Mínima cuantía",ISNUMBER(PN_TOPE_MINIMA)),W170&gt;PN_TOPE_MINIMA,FALSE()),"El valor supera el tope de mínima cuantía 2027",IF(IF(AND(S170="Selección abreviada de menor cuantía",ISNUMBER(PN_TOPE_MENOR)),W170&gt;PN_TOPE_MENOR,FALSE()),"El valor supera el tope de menor cuantía 2027",IF(OR(ISERROR(SEARCH("@itc.edu.co",AE170)),SUMPRODUCT(--ISNUMBER(SEARCH({"á","é","í","ó","ú","ñ"," "},AE170)))&gt;0),"El correo del responsable no es institucional válido",IF(AND(AF170="Sí",AG170=""),"Indique el N.° de registro 2026 que continúa","OK")))))))))))))))))</f>
        <v/>
      </c>
      <c r="AK170" s="114">
        <f>IF(AJ170="OK",COUNTIF($AJ$7:AJ170,"OK"),"")</f>
        <v/>
      </c>
    </row>
    <row r="171">
      <c r="A171" s="110">
        <f>"PN27-"&amp;TEXT(ROW()-6,"000")</f>
        <v/>
      </c>
      <c r="B171" s="111" t="n"/>
      <c r="C171" s="110">
        <f>IF(B171="","",IFERROR(INDEX('Catalogos_PDN'!$R$5:$R$51,MATCH(B171,PN_AREAS,0)),""))</f>
        <v/>
      </c>
      <c r="D171" s="110">
        <f>IF(B171="","",IFERROR(INDEX('Catalogos_PDN'!$O$5:$O$51,MATCH(B171,PN_AREAS,0)),""))</f>
        <v/>
      </c>
      <c r="E171" s="111" t="n"/>
      <c r="F171" s="110">
        <f>IF(E171="","",IFERROR(INDEX('Catalogos_PDN'!$C$5:$C$49,MATCH(E171,PN_METAS,0)),""))</f>
        <v/>
      </c>
      <c r="G171" s="110">
        <f>IF(E171="","",IFERROR(INDEX('Catalogos_PDN'!$E$5:$E$49,MATCH(E171,PN_METAS,0)),""))</f>
        <v/>
      </c>
      <c r="H171" s="111" t="n"/>
      <c r="I171" s="111" t="n"/>
      <c r="J171" s="111" t="n"/>
      <c r="K171" s="111" t="n"/>
      <c r="L171" s="111" t="n"/>
      <c r="M171" s="112" t="n"/>
      <c r="N171" s="111" t="n"/>
      <c r="O171" s="111" t="n"/>
      <c r="P171" s="111" t="n"/>
      <c r="Q171" s="111" t="n"/>
      <c r="R171" s="111" t="n"/>
      <c r="S171" s="111" t="n"/>
      <c r="T171" s="111" t="n"/>
      <c r="U171" s="111" t="n"/>
      <c r="V171" s="111" t="n"/>
      <c r="W171" s="113" t="n"/>
      <c r="X171" s="113" t="n"/>
      <c r="Y171" s="111" t="n"/>
      <c r="Z171" s="111" t="n"/>
      <c r="AA171" s="111" t="n"/>
      <c r="AB171" s="111" t="n"/>
      <c r="AC171" s="111" t="n"/>
      <c r="AD171" s="111" t="n"/>
      <c r="AE171" s="111" t="n"/>
      <c r="AF171" s="111" t="n"/>
      <c r="AG171" s="111" t="n"/>
      <c r="AH171" s="111" t="n"/>
      <c r="AI171" s="111" t="n"/>
      <c r="AJ171" s="114">
        <f>IF(COUNTA(B171,E171,H171,I171,J171,K171,L171,M171,N171,O171,P171,Q171,R171,S171,T171,U171,V171,W171,X171,Y171,Z171,AA171,AB171,AC171,AD171,AE171,AF171,AG171,AH171,AI171)=0,"",IF(OR(B171="",E171="",H171="",J171="",K171="",L171="",M171="",O171="",P171="",Q171="",R171="",S171="",T171="",U171="",W171="",X171="",Y171="",AB171="",AC171="",AE171="",AF171=""),"Incompleta: faltan campos obligatorios",IF(AND(LEFT(H171,6)="PROPIA",I171=""),"Falta el nombre de la acción propia del área",IF(AND(LEFT(H171,4)="AC27",IFERROR(INDEX('Catalogos_PDN'!$T$5:$T$207,MATCH(H171,'Catalogos_PDN'!$U$5:$U$207,0)),"x")&lt;&gt;LEFT(E171,7)),"La acción no corresponde a la meta seleccionada",IF(OR(NOT(ISNUMBER(M171)),M171&lt;10000000,M171&gt;99999999),"Código UNSPSC inválido: registre 8 dígitos",IF(MOD(M171,10000)=0,"UNSPSC a nivel de segmento o familia: use clase o producto",IF(IFERROR(MATCH(P171,PN_MESES,0)&lt;MATCH(O171,PN_MESES,0),TRUE()),"El mes de ofertas es anterior al de inicio del proceso",IF(OR(NOT(ISNUMBER(Q171)),Q171&lt;=0),"Duración inválida",IF(OR(NOT(ISNUMBER(W171)),NOT(ISNUMBER(X171))),"Valor inválido: registre solo números",IF(OR(W171&lt;=0,X171&lt;=0),"Valor inválido: debe ser mayor que cero",IF(X171&gt;W171,"El valor de la vigencia 2027 supera el valor total",IF(AND(X171&lt;W171,Y171="No"),"El valor total supera el de 2027: requiere vigencias futuras",IF(AND(Y171="Sí",OR(Z171="",Z171="No aplica")),"Indique el estado de la solicitud de vigencias futuras",IF(IF(AND(S171="Mínima cuantía",ISNUMBER(PN_TOPE_MINIMA)),W171&gt;PN_TOPE_MINIMA,FALSE()),"El valor supera el tope de mínima cuantía 2027",IF(IF(AND(S171="Selección abreviada de menor cuantía",ISNUMBER(PN_TOPE_MENOR)),W171&gt;PN_TOPE_MENOR,FALSE()),"El valor supera el tope de menor cuantía 2027",IF(OR(ISERROR(SEARCH("@itc.edu.co",AE171)),SUMPRODUCT(--ISNUMBER(SEARCH({"á","é","í","ó","ú","ñ"," "},AE171)))&gt;0),"El correo del responsable no es institucional válido",IF(AND(AF171="Sí",AG171=""),"Indique el N.° de registro 2026 que continúa","OK")))))))))))))))))</f>
        <v/>
      </c>
      <c r="AK171" s="114">
        <f>IF(AJ171="OK",COUNTIF($AJ$7:AJ171,"OK"),"")</f>
        <v/>
      </c>
    </row>
    <row r="172">
      <c r="A172" s="110">
        <f>"PN27-"&amp;TEXT(ROW()-6,"000")</f>
        <v/>
      </c>
      <c r="B172" s="111" t="n"/>
      <c r="C172" s="110">
        <f>IF(B172="","",IFERROR(INDEX('Catalogos_PDN'!$R$5:$R$51,MATCH(B172,PN_AREAS,0)),""))</f>
        <v/>
      </c>
      <c r="D172" s="110">
        <f>IF(B172="","",IFERROR(INDEX('Catalogos_PDN'!$O$5:$O$51,MATCH(B172,PN_AREAS,0)),""))</f>
        <v/>
      </c>
      <c r="E172" s="111" t="n"/>
      <c r="F172" s="110">
        <f>IF(E172="","",IFERROR(INDEX('Catalogos_PDN'!$C$5:$C$49,MATCH(E172,PN_METAS,0)),""))</f>
        <v/>
      </c>
      <c r="G172" s="110">
        <f>IF(E172="","",IFERROR(INDEX('Catalogos_PDN'!$E$5:$E$49,MATCH(E172,PN_METAS,0)),""))</f>
        <v/>
      </c>
      <c r="H172" s="111" t="n"/>
      <c r="I172" s="111" t="n"/>
      <c r="J172" s="111" t="n"/>
      <c r="K172" s="111" t="n"/>
      <c r="L172" s="111" t="n"/>
      <c r="M172" s="112" t="n"/>
      <c r="N172" s="111" t="n"/>
      <c r="O172" s="111" t="n"/>
      <c r="P172" s="111" t="n"/>
      <c r="Q172" s="111" t="n"/>
      <c r="R172" s="111" t="n"/>
      <c r="S172" s="111" t="n"/>
      <c r="T172" s="111" t="n"/>
      <c r="U172" s="111" t="n"/>
      <c r="V172" s="111" t="n"/>
      <c r="W172" s="113" t="n"/>
      <c r="X172" s="113" t="n"/>
      <c r="Y172" s="111" t="n"/>
      <c r="Z172" s="111" t="n"/>
      <c r="AA172" s="111" t="n"/>
      <c r="AB172" s="111" t="n"/>
      <c r="AC172" s="111" t="n"/>
      <c r="AD172" s="111" t="n"/>
      <c r="AE172" s="111" t="n"/>
      <c r="AF172" s="111" t="n"/>
      <c r="AG172" s="111" t="n"/>
      <c r="AH172" s="111" t="n"/>
      <c r="AI172" s="111" t="n"/>
      <c r="AJ172" s="114">
        <f>IF(COUNTA(B172,E172,H172,I172,J172,K172,L172,M172,N172,O172,P172,Q172,R172,S172,T172,U172,V172,W172,X172,Y172,Z172,AA172,AB172,AC172,AD172,AE172,AF172,AG172,AH172,AI172)=0,"",IF(OR(B172="",E172="",H172="",J172="",K172="",L172="",M172="",O172="",P172="",Q172="",R172="",S172="",T172="",U172="",W172="",X172="",Y172="",AB172="",AC172="",AE172="",AF172=""),"Incompleta: faltan campos obligatorios",IF(AND(LEFT(H172,6)="PROPIA",I172=""),"Falta el nombre de la acción propia del área",IF(AND(LEFT(H172,4)="AC27",IFERROR(INDEX('Catalogos_PDN'!$T$5:$T$207,MATCH(H172,'Catalogos_PDN'!$U$5:$U$207,0)),"x")&lt;&gt;LEFT(E172,7)),"La acción no corresponde a la meta seleccionada",IF(OR(NOT(ISNUMBER(M172)),M172&lt;10000000,M172&gt;99999999),"Código UNSPSC inválido: registre 8 dígitos",IF(MOD(M172,10000)=0,"UNSPSC a nivel de segmento o familia: use clase o producto",IF(IFERROR(MATCH(P172,PN_MESES,0)&lt;MATCH(O172,PN_MESES,0),TRUE()),"El mes de ofertas es anterior al de inicio del proceso",IF(OR(NOT(ISNUMBER(Q172)),Q172&lt;=0),"Duración inválida",IF(OR(NOT(ISNUMBER(W172)),NOT(ISNUMBER(X172))),"Valor inválido: registre solo números",IF(OR(W172&lt;=0,X172&lt;=0),"Valor inválido: debe ser mayor que cero",IF(X172&gt;W172,"El valor de la vigencia 2027 supera el valor total",IF(AND(X172&lt;W172,Y172="No"),"El valor total supera el de 2027: requiere vigencias futuras",IF(AND(Y172="Sí",OR(Z172="",Z172="No aplica")),"Indique el estado de la solicitud de vigencias futuras",IF(IF(AND(S172="Mínima cuantía",ISNUMBER(PN_TOPE_MINIMA)),W172&gt;PN_TOPE_MINIMA,FALSE()),"El valor supera el tope de mínima cuantía 2027",IF(IF(AND(S172="Selección abreviada de menor cuantía",ISNUMBER(PN_TOPE_MENOR)),W172&gt;PN_TOPE_MENOR,FALSE()),"El valor supera el tope de menor cuantía 2027",IF(OR(ISERROR(SEARCH("@itc.edu.co",AE172)),SUMPRODUCT(--ISNUMBER(SEARCH({"á","é","í","ó","ú","ñ"," "},AE172)))&gt;0),"El correo del responsable no es institucional válido",IF(AND(AF172="Sí",AG172=""),"Indique el N.° de registro 2026 que continúa","OK")))))))))))))))))</f>
        <v/>
      </c>
      <c r="AK172" s="114">
        <f>IF(AJ172="OK",COUNTIF($AJ$7:AJ172,"OK"),"")</f>
        <v/>
      </c>
    </row>
    <row r="173">
      <c r="A173" s="110">
        <f>"PN27-"&amp;TEXT(ROW()-6,"000")</f>
        <v/>
      </c>
      <c r="B173" s="111" t="n"/>
      <c r="C173" s="110">
        <f>IF(B173="","",IFERROR(INDEX('Catalogos_PDN'!$R$5:$R$51,MATCH(B173,PN_AREAS,0)),""))</f>
        <v/>
      </c>
      <c r="D173" s="110">
        <f>IF(B173="","",IFERROR(INDEX('Catalogos_PDN'!$O$5:$O$51,MATCH(B173,PN_AREAS,0)),""))</f>
        <v/>
      </c>
      <c r="E173" s="111" t="n"/>
      <c r="F173" s="110">
        <f>IF(E173="","",IFERROR(INDEX('Catalogos_PDN'!$C$5:$C$49,MATCH(E173,PN_METAS,0)),""))</f>
        <v/>
      </c>
      <c r="G173" s="110">
        <f>IF(E173="","",IFERROR(INDEX('Catalogos_PDN'!$E$5:$E$49,MATCH(E173,PN_METAS,0)),""))</f>
        <v/>
      </c>
      <c r="H173" s="111" t="n"/>
      <c r="I173" s="111" t="n"/>
      <c r="J173" s="111" t="n"/>
      <c r="K173" s="111" t="n"/>
      <c r="L173" s="111" t="n"/>
      <c r="M173" s="112" t="n"/>
      <c r="N173" s="111" t="n"/>
      <c r="O173" s="111" t="n"/>
      <c r="P173" s="111" t="n"/>
      <c r="Q173" s="111" t="n"/>
      <c r="R173" s="111" t="n"/>
      <c r="S173" s="111" t="n"/>
      <c r="T173" s="111" t="n"/>
      <c r="U173" s="111" t="n"/>
      <c r="V173" s="111" t="n"/>
      <c r="W173" s="113" t="n"/>
      <c r="X173" s="113" t="n"/>
      <c r="Y173" s="111" t="n"/>
      <c r="Z173" s="111" t="n"/>
      <c r="AA173" s="111" t="n"/>
      <c r="AB173" s="111" t="n"/>
      <c r="AC173" s="111" t="n"/>
      <c r="AD173" s="111" t="n"/>
      <c r="AE173" s="111" t="n"/>
      <c r="AF173" s="111" t="n"/>
      <c r="AG173" s="111" t="n"/>
      <c r="AH173" s="111" t="n"/>
      <c r="AI173" s="111" t="n"/>
      <c r="AJ173" s="114">
        <f>IF(COUNTA(B173,E173,H173,I173,J173,K173,L173,M173,N173,O173,P173,Q173,R173,S173,T173,U173,V173,W173,X173,Y173,Z173,AA173,AB173,AC173,AD173,AE173,AF173,AG173,AH173,AI173)=0,"",IF(OR(B173="",E173="",H173="",J173="",K173="",L173="",M173="",O173="",P173="",Q173="",R173="",S173="",T173="",U173="",W173="",X173="",Y173="",AB173="",AC173="",AE173="",AF173=""),"Incompleta: faltan campos obligatorios",IF(AND(LEFT(H173,6)="PROPIA",I173=""),"Falta el nombre de la acción propia del área",IF(AND(LEFT(H173,4)="AC27",IFERROR(INDEX('Catalogos_PDN'!$T$5:$T$207,MATCH(H173,'Catalogos_PDN'!$U$5:$U$207,0)),"x")&lt;&gt;LEFT(E173,7)),"La acción no corresponde a la meta seleccionada",IF(OR(NOT(ISNUMBER(M173)),M173&lt;10000000,M173&gt;99999999),"Código UNSPSC inválido: registre 8 dígitos",IF(MOD(M173,10000)=0,"UNSPSC a nivel de segmento o familia: use clase o producto",IF(IFERROR(MATCH(P173,PN_MESES,0)&lt;MATCH(O173,PN_MESES,0),TRUE()),"El mes de ofertas es anterior al de inicio del proceso",IF(OR(NOT(ISNUMBER(Q173)),Q173&lt;=0),"Duración inválida",IF(OR(NOT(ISNUMBER(W173)),NOT(ISNUMBER(X173))),"Valor inválido: registre solo números",IF(OR(W173&lt;=0,X173&lt;=0),"Valor inválido: debe ser mayor que cero",IF(X173&gt;W173,"El valor de la vigencia 2027 supera el valor total",IF(AND(X173&lt;W173,Y173="No"),"El valor total supera el de 2027: requiere vigencias futuras",IF(AND(Y173="Sí",OR(Z173="",Z173="No aplica")),"Indique el estado de la solicitud de vigencias futuras",IF(IF(AND(S173="Mínima cuantía",ISNUMBER(PN_TOPE_MINIMA)),W173&gt;PN_TOPE_MINIMA,FALSE()),"El valor supera el tope de mínima cuantía 2027",IF(IF(AND(S173="Selección abreviada de menor cuantía",ISNUMBER(PN_TOPE_MENOR)),W173&gt;PN_TOPE_MENOR,FALSE()),"El valor supera el tope de menor cuantía 2027",IF(OR(ISERROR(SEARCH("@itc.edu.co",AE173)),SUMPRODUCT(--ISNUMBER(SEARCH({"á","é","í","ó","ú","ñ"," "},AE173)))&gt;0),"El correo del responsable no es institucional válido",IF(AND(AF173="Sí",AG173=""),"Indique el N.° de registro 2026 que continúa","OK")))))))))))))))))</f>
        <v/>
      </c>
      <c r="AK173" s="114">
        <f>IF(AJ173="OK",COUNTIF($AJ$7:AJ173,"OK"),"")</f>
        <v/>
      </c>
    </row>
    <row r="174">
      <c r="A174" s="110">
        <f>"PN27-"&amp;TEXT(ROW()-6,"000")</f>
        <v/>
      </c>
      <c r="B174" s="111" t="n"/>
      <c r="C174" s="110">
        <f>IF(B174="","",IFERROR(INDEX('Catalogos_PDN'!$R$5:$R$51,MATCH(B174,PN_AREAS,0)),""))</f>
        <v/>
      </c>
      <c r="D174" s="110">
        <f>IF(B174="","",IFERROR(INDEX('Catalogos_PDN'!$O$5:$O$51,MATCH(B174,PN_AREAS,0)),""))</f>
        <v/>
      </c>
      <c r="E174" s="111" t="n"/>
      <c r="F174" s="110">
        <f>IF(E174="","",IFERROR(INDEX('Catalogos_PDN'!$C$5:$C$49,MATCH(E174,PN_METAS,0)),""))</f>
        <v/>
      </c>
      <c r="G174" s="110">
        <f>IF(E174="","",IFERROR(INDEX('Catalogos_PDN'!$E$5:$E$49,MATCH(E174,PN_METAS,0)),""))</f>
        <v/>
      </c>
      <c r="H174" s="111" t="n"/>
      <c r="I174" s="111" t="n"/>
      <c r="J174" s="111" t="n"/>
      <c r="K174" s="111" t="n"/>
      <c r="L174" s="111" t="n"/>
      <c r="M174" s="112" t="n"/>
      <c r="N174" s="111" t="n"/>
      <c r="O174" s="111" t="n"/>
      <c r="P174" s="111" t="n"/>
      <c r="Q174" s="111" t="n"/>
      <c r="R174" s="111" t="n"/>
      <c r="S174" s="111" t="n"/>
      <c r="T174" s="111" t="n"/>
      <c r="U174" s="111" t="n"/>
      <c r="V174" s="111" t="n"/>
      <c r="W174" s="113" t="n"/>
      <c r="X174" s="113" t="n"/>
      <c r="Y174" s="111" t="n"/>
      <c r="Z174" s="111" t="n"/>
      <c r="AA174" s="111" t="n"/>
      <c r="AB174" s="111" t="n"/>
      <c r="AC174" s="111" t="n"/>
      <c r="AD174" s="111" t="n"/>
      <c r="AE174" s="111" t="n"/>
      <c r="AF174" s="111" t="n"/>
      <c r="AG174" s="111" t="n"/>
      <c r="AH174" s="111" t="n"/>
      <c r="AI174" s="111" t="n"/>
      <c r="AJ174" s="114">
        <f>IF(COUNTA(B174,E174,H174,I174,J174,K174,L174,M174,N174,O174,P174,Q174,R174,S174,T174,U174,V174,W174,X174,Y174,Z174,AA174,AB174,AC174,AD174,AE174,AF174,AG174,AH174,AI174)=0,"",IF(OR(B174="",E174="",H174="",J174="",K174="",L174="",M174="",O174="",P174="",Q174="",R174="",S174="",T174="",U174="",W174="",X174="",Y174="",AB174="",AC174="",AE174="",AF174=""),"Incompleta: faltan campos obligatorios",IF(AND(LEFT(H174,6)="PROPIA",I174=""),"Falta el nombre de la acción propia del área",IF(AND(LEFT(H174,4)="AC27",IFERROR(INDEX('Catalogos_PDN'!$T$5:$T$207,MATCH(H174,'Catalogos_PDN'!$U$5:$U$207,0)),"x")&lt;&gt;LEFT(E174,7)),"La acción no corresponde a la meta seleccionada",IF(OR(NOT(ISNUMBER(M174)),M174&lt;10000000,M174&gt;99999999),"Código UNSPSC inválido: registre 8 dígitos",IF(MOD(M174,10000)=0,"UNSPSC a nivel de segmento o familia: use clase o producto",IF(IFERROR(MATCH(P174,PN_MESES,0)&lt;MATCH(O174,PN_MESES,0),TRUE()),"El mes de ofertas es anterior al de inicio del proceso",IF(OR(NOT(ISNUMBER(Q174)),Q174&lt;=0),"Duración inválida",IF(OR(NOT(ISNUMBER(W174)),NOT(ISNUMBER(X174))),"Valor inválido: registre solo números",IF(OR(W174&lt;=0,X174&lt;=0),"Valor inválido: debe ser mayor que cero",IF(X174&gt;W174,"El valor de la vigencia 2027 supera el valor total",IF(AND(X174&lt;W174,Y174="No"),"El valor total supera el de 2027: requiere vigencias futuras",IF(AND(Y174="Sí",OR(Z174="",Z174="No aplica")),"Indique el estado de la solicitud de vigencias futuras",IF(IF(AND(S174="Mínima cuantía",ISNUMBER(PN_TOPE_MINIMA)),W174&gt;PN_TOPE_MINIMA,FALSE()),"El valor supera el tope de mínima cuantía 2027",IF(IF(AND(S174="Selección abreviada de menor cuantía",ISNUMBER(PN_TOPE_MENOR)),W174&gt;PN_TOPE_MENOR,FALSE()),"El valor supera el tope de menor cuantía 2027",IF(OR(ISERROR(SEARCH("@itc.edu.co",AE174)),SUMPRODUCT(--ISNUMBER(SEARCH({"á","é","í","ó","ú","ñ"," "},AE174)))&gt;0),"El correo del responsable no es institucional válido",IF(AND(AF174="Sí",AG174=""),"Indique el N.° de registro 2026 que continúa","OK")))))))))))))))))</f>
        <v/>
      </c>
      <c r="AK174" s="114">
        <f>IF(AJ174="OK",COUNTIF($AJ$7:AJ174,"OK"),"")</f>
        <v/>
      </c>
    </row>
    <row r="175">
      <c r="A175" s="110">
        <f>"PN27-"&amp;TEXT(ROW()-6,"000")</f>
        <v/>
      </c>
      <c r="B175" s="111" t="n"/>
      <c r="C175" s="110">
        <f>IF(B175="","",IFERROR(INDEX('Catalogos_PDN'!$R$5:$R$51,MATCH(B175,PN_AREAS,0)),""))</f>
        <v/>
      </c>
      <c r="D175" s="110">
        <f>IF(B175="","",IFERROR(INDEX('Catalogos_PDN'!$O$5:$O$51,MATCH(B175,PN_AREAS,0)),""))</f>
        <v/>
      </c>
      <c r="E175" s="111" t="n"/>
      <c r="F175" s="110">
        <f>IF(E175="","",IFERROR(INDEX('Catalogos_PDN'!$C$5:$C$49,MATCH(E175,PN_METAS,0)),""))</f>
        <v/>
      </c>
      <c r="G175" s="110">
        <f>IF(E175="","",IFERROR(INDEX('Catalogos_PDN'!$E$5:$E$49,MATCH(E175,PN_METAS,0)),""))</f>
        <v/>
      </c>
      <c r="H175" s="111" t="n"/>
      <c r="I175" s="111" t="n"/>
      <c r="J175" s="111" t="n"/>
      <c r="K175" s="111" t="n"/>
      <c r="L175" s="111" t="n"/>
      <c r="M175" s="112" t="n"/>
      <c r="N175" s="111" t="n"/>
      <c r="O175" s="111" t="n"/>
      <c r="P175" s="111" t="n"/>
      <c r="Q175" s="111" t="n"/>
      <c r="R175" s="111" t="n"/>
      <c r="S175" s="111" t="n"/>
      <c r="T175" s="111" t="n"/>
      <c r="U175" s="111" t="n"/>
      <c r="V175" s="111" t="n"/>
      <c r="W175" s="113" t="n"/>
      <c r="X175" s="113" t="n"/>
      <c r="Y175" s="111" t="n"/>
      <c r="Z175" s="111" t="n"/>
      <c r="AA175" s="111" t="n"/>
      <c r="AB175" s="111" t="n"/>
      <c r="AC175" s="111" t="n"/>
      <c r="AD175" s="111" t="n"/>
      <c r="AE175" s="111" t="n"/>
      <c r="AF175" s="111" t="n"/>
      <c r="AG175" s="111" t="n"/>
      <c r="AH175" s="111" t="n"/>
      <c r="AI175" s="111" t="n"/>
      <c r="AJ175" s="114">
        <f>IF(COUNTA(B175,E175,H175,I175,J175,K175,L175,M175,N175,O175,P175,Q175,R175,S175,T175,U175,V175,W175,X175,Y175,Z175,AA175,AB175,AC175,AD175,AE175,AF175,AG175,AH175,AI175)=0,"",IF(OR(B175="",E175="",H175="",J175="",K175="",L175="",M175="",O175="",P175="",Q175="",R175="",S175="",T175="",U175="",W175="",X175="",Y175="",AB175="",AC175="",AE175="",AF175=""),"Incompleta: faltan campos obligatorios",IF(AND(LEFT(H175,6)="PROPIA",I175=""),"Falta el nombre de la acción propia del área",IF(AND(LEFT(H175,4)="AC27",IFERROR(INDEX('Catalogos_PDN'!$T$5:$T$207,MATCH(H175,'Catalogos_PDN'!$U$5:$U$207,0)),"x")&lt;&gt;LEFT(E175,7)),"La acción no corresponde a la meta seleccionada",IF(OR(NOT(ISNUMBER(M175)),M175&lt;10000000,M175&gt;99999999),"Código UNSPSC inválido: registre 8 dígitos",IF(MOD(M175,10000)=0,"UNSPSC a nivel de segmento o familia: use clase o producto",IF(IFERROR(MATCH(P175,PN_MESES,0)&lt;MATCH(O175,PN_MESES,0),TRUE()),"El mes de ofertas es anterior al de inicio del proceso",IF(OR(NOT(ISNUMBER(Q175)),Q175&lt;=0),"Duración inválida",IF(OR(NOT(ISNUMBER(W175)),NOT(ISNUMBER(X175))),"Valor inválido: registre solo números",IF(OR(W175&lt;=0,X175&lt;=0),"Valor inválido: debe ser mayor que cero",IF(X175&gt;W175,"El valor de la vigencia 2027 supera el valor total",IF(AND(X175&lt;W175,Y175="No"),"El valor total supera el de 2027: requiere vigencias futuras",IF(AND(Y175="Sí",OR(Z175="",Z175="No aplica")),"Indique el estado de la solicitud de vigencias futuras",IF(IF(AND(S175="Mínima cuantía",ISNUMBER(PN_TOPE_MINIMA)),W175&gt;PN_TOPE_MINIMA,FALSE()),"El valor supera el tope de mínima cuantía 2027",IF(IF(AND(S175="Selección abreviada de menor cuantía",ISNUMBER(PN_TOPE_MENOR)),W175&gt;PN_TOPE_MENOR,FALSE()),"El valor supera el tope de menor cuantía 2027",IF(OR(ISERROR(SEARCH("@itc.edu.co",AE175)),SUMPRODUCT(--ISNUMBER(SEARCH({"á","é","í","ó","ú","ñ"," "},AE175)))&gt;0),"El correo del responsable no es institucional válido",IF(AND(AF175="Sí",AG175=""),"Indique el N.° de registro 2026 que continúa","OK")))))))))))))))))</f>
        <v/>
      </c>
      <c r="AK175" s="114">
        <f>IF(AJ175="OK",COUNTIF($AJ$7:AJ175,"OK"),"")</f>
        <v/>
      </c>
    </row>
    <row r="176">
      <c r="A176" s="110">
        <f>"PN27-"&amp;TEXT(ROW()-6,"000")</f>
        <v/>
      </c>
      <c r="B176" s="111" t="n"/>
      <c r="C176" s="110">
        <f>IF(B176="","",IFERROR(INDEX('Catalogos_PDN'!$R$5:$R$51,MATCH(B176,PN_AREAS,0)),""))</f>
        <v/>
      </c>
      <c r="D176" s="110">
        <f>IF(B176="","",IFERROR(INDEX('Catalogos_PDN'!$O$5:$O$51,MATCH(B176,PN_AREAS,0)),""))</f>
        <v/>
      </c>
      <c r="E176" s="111" t="n"/>
      <c r="F176" s="110">
        <f>IF(E176="","",IFERROR(INDEX('Catalogos_PDN'!$C$5:$C$49,MATCH(E176,PN_METAS,0)),""))</f>
        <v/>
      </c>
      <c r="G176" s="110">
        <f>IF(E176="","",IFERROR(INDEX('Catalogos_PDN'!$E$5:$E$49,MATCH(E176,PN_METAS,0)),""))</f>
        <v/>
      </c>
      <c r="H176" s="111" t="n"/>
      <c r="I176" s="111" t="n"/>
      <c r="J176" s="111" t="n"/>
      <c r="K176" s="111" t="n"/>
      <c r="L176" s="111" t="n"/>
      <c r="M176" s="112" t="n"/>
      <c r="N176" s="111" t="n"/>
      <c r="O176" s="111" t="n"/>
      <c r="P176" s="111" t="n"/>
      <c r="Q176" s="111" t="n"/>
      <c r="R176" s="111" t="n"/>
      <c r="S176" s="111" t="n"/>
      <c r="T176" s="111" t="n"/>
      <c r="U176" s="111" t="n"/>
      <c r="V176" s="111" t="n"/>
      <c r="W176" s="113" t="n"/>
      <c r="X176" s="113" t="n"/>
      <c r="Y176" s="111" t="n"/>
      <c r="Z176" s="111" t="n"/>
      <c r="AA176" s="111" t="n"/>
      <c r="AB176" s="111" t="n"/>
      <c r="AC176" s="111" t="n"/>
      <c r="AD176" s="111" t="n"/>
      <c r="AE176" s="111" t="n"/>
      <c r="AF176" s="111" t="n"/>
      <c r="AG176" s="111" t="n"/>
      <c r="AH176" s="111" t="n"/>
      <c r="AI176" s="111" t="n"/>
      <c r="AJ176" s="114">
        <f>IF(COUNTA(B176,E176,H176,I176,J176,K176,L176,M176,N176,O176,P176,Q176,R176,S176,T176,U176,V176,W176,X176,Y176,Z176,AA176,AB176,AC176,AD176,AE176,AF176,AG176,AH176,AI176)=0,"",IF(OR(B176="",E176="",H176="",J176="",K176="",L176="",M176="",O176="",P176="",Q176="",R176="",S176="",T176="",U176="",W176="",X176="",Y176="",AB176="",AC176="",AE176="",AF176=""),"Incompleta: faltan campos obligatorios",IF(AND(LEFT(H176,6)="PROPIA",I176=""),"Falta el nombre de la acción propia del área",IF(AND(LEFT(H176,4)="AC27",IFERROR(INDEX('Catalogos_PDN'!$T$5:$T$207,MATCH(H176,'Catalogos_PDN'!$U$5:$U$207,0)),"x")&lt;&gt;LEFT(E176,7)),"La acción no corresponde a la meta seleccionada",IF(OR(NOT(ISNUMBER(M176)),M176&lt;10000000,M176&gt;99999999),"Código UNSPSC inválido: registre 8 dígitos",IF(MOD(M176,10000)=0,"UNSPSC a nivel de segmento o familia: use clase o producto",IF(IFERROR(MATCH(P176,PN_MESES,0)&lt;MATCH(O176,PN_MESES,0),TRUE()),"El mes de ofertas es anterior al de inicio del proceso",IF(OR(NOT(ISNUMBER(Q176)),Q176&lt;=0),"Duración inválida",IF(OR(NOT(ISNUMBER(W176)),NOT(ISNUMBER(X176))),"Valor inválido: registre solo números",IF(OR(W176&lt;=0,X176&lt;=0),"Valor inválido: debe ser mayor que cero",IF(X176&gt;W176,"El valor de la vigencia 2027 supera el valor total",IF(AND(X176&lt;W176,Y176="No"),"El valor total supera el de 2027: requiere vigencias futuras",IF(AND(Y176="Sí",OR(Z176="",Z176="No aplica")),"Indique el estado de la solicitud de vigencias futuras",IF(IF(AND(S176="Mínima cuantía",ISNUMBER(PN_TOPE_MINIMA)),W176&gt;PN_TOPE_MINIMA,FALSE()),"El valor supera el tope de mínima cuantía 2027",IF(IF(AND(S176="Selección abreviada de menor cuantía",ISNUMBER(PN_TOPE_MENOR)),W176&gt;PN_TOPE_MENOR,FALSE()),"El valor supera el tope de menor cuantía 2027",IF(OR(ISERROR(SEARCH("@itc.edu.co",AE176)),SUMPRODUCT(--ISNUMBER(SEARCH({"á","é","í","ó","ú","ñ"," "},AE176)))&gt;0),"El correo del responsable no es institucional válido",IF(AND(AF176="Sí",AG176=""),"Indique el N.° de registro 2026 que continúa","OK")))))))))))))))))</f>
        <v/>
      </c>
      <c r="AK176" s="114">
        <f>IF(AJ176="OK",COUNTIF($AJ$7:AJ176,"OK"),"")</f>
        <v/>
      </c>
    </row>
    <row r="177">
      <c r="A177" s="110">
        <f>"PN27-"&amp;TEXT(ROW()-6,"000")</f>
        <v/>
      </c>
      <c r="B177" s="111" t="n"/>
      <c r="C177" s="110">
        <f>IF(B177="","",IFERROR(INDEX('Catalogos_PDN'!$R$5:$R$51,MATCH(B177,PN_AREAS,0)),""))</f>
        <v/>
      </c>
      <c r="D177" s="110">
        <f>IF(B177="","",IFERROR(INDEX('Catalogos_PDN'!$O$5:$O$51,MATCH(B177,PN_AREAS,0)),""))</f>
        <v/>
      </c>
      <c r="E177" s="111" t="n"/>
      <c r="F177" s="110">
        <f>IF(E177="","",IFERROR(INDEX('Catalogos_PDN'!$C$5:$C$49,MATCH(E177,PN_METAS,0)),""))</f>
        <v/>
      </c>
      <c r="G177" s="110">
        <f>IF(E177="","",IFERROR(INDEX('Catalogos_PDN'!$E$5:$E$49,MATCH(E177,PN_METAS,0)),""))</f>
        <v/>
      </c>
      <c r="H177" s="111" t="n"/>
      <c r="I177" s="111" t="n"/>
      <c r="J177" s="111" t="n"/>
      <c r="K177" s="111" t="n"/>
      <c r="L177" s="111" t="n"/>
      <c r="M177" s="112" t="n"/>
      <c r="N177" s="111" t="n"/>
      <c r="O177" s="111" t="n"/>
      <c r="P177" s="111" t="n"/>
      <c r="Q177" s="111" t="n"/>
      <c r="R177" s="111" t="n"/>
      <c r="S177" s="111" t="n"/>
      <c r="T177" s="111" t="n"/>
      <c r="U177" s="111" t="n"/>
      <c r="V177" s="111" t="n"/>
      <c r="W177" s="113" t="n"/>
      <c r="X177" s="113" t="n"/>
      <c r="Y177" s="111" t="n"/>
      <c r="Z177" s="111" t="n"/>
      <c r="AA177" s="111" t="n"/>
      <c r="AB177" s="111" t="n"/>
      <c r="AC177" s="111" t="n"/>
      <c r="AD177" s="111" t="n"/>
      <c r="AE177" s="111" t="n"/>
      <c r="AF177" s="111" t="n"/>
      <c r="AG177" s="111" t="n"/>
      <c r="AH177" s="111" t="n"/>
      <c r="AI177" s="111" t="n"/>
      <c r="AJ177" s="114">
        <f>IF(COUNTA(B177,E177,H177,I177,J177,K177,L177,M177,N177,O177,P177,Q177,R177,S177,T177,U177,V177,W177,X177,Y177,Z177,AA177,AB177,AC177,AD177,AE177,AF177,AG177,AH177,AI177)=0,"",IF(OR(B177="",E177="",H177="",J177="",K177="",L177="",M177="",O177="",P177="",Q177="",R177="",S177="",T177="",U177="",W177="",X177="",Y177="",AB177="",AC177="",AE177="",AF177=""),"Incompleta: faltan campos obligatorios",IF(AND(LEFT(H177,6)="PROPIA",I177=""),"Falta el nombre de la acción propia del área",IF(AND(LEFT(H177,4)="AC27",IFERROR(INDEX('Catalogos_PDN'!$T$5:$T$207,MATCH(H177,'Catalogos_PDN'!$U$5:$U$207,0)),"x")&lt;&gt;LEFT(E177,7)),"La acción no corresponde a la meta seleccionada",IF(OR(NOT(ISNUMBER(M177)),M177&lt;10000000,M177&gt;99999999),"Código UNSPSC inválido: registre 8 dígitos",IF(MOD(M177,10000)=0,"UNSPSC a nivel de segmento o familia: use clase o producto",IF(IFERROR(MATCH(P177,PN_MESES,0)&lt;MATCH(O177,PN_MESES,0),TRUE()),"El mes de ofertas es anterior al de inicio del proceso",IF(OR(NOT(ISNUMBER(Q177)),Q177&lt;=0),"Duración inválida",IF(OR(NOT(ISNUMBER(W177)),NOT(ISNUMBER(X177))),"Valor inválido: registre solo números",IF(OR(W177&lt;=0,X177&lt;=0),"Valor inválido: debe ser mayor que cero",IF(X177&gt;W177,"El valor de la vigencia 2027 supera el valor total",IF(AND(X177&lt;W177,Y177="No"),"El valor total supera el de 2027: requiere vigencias futuras",IF(AND(Y177="Sí",OR(Z177="",Z177="No aplica")),"Indique el estado de la solicitud de vigencias futuras",IF(IF(AND(S177="Mínima cuantía",ISNUMBER(PN_TOPE_MINIMA)),W177&gt;PN_TOPE_MINIMA,FALSE()),"El valor supera el tope de mínima cuantía 2027",IF(IF(AND(S177="Selección abreviada de menor cuantía",ISNUMBER(PN_TOPE_MENOR)),W177&gt;PN_TOPE_MENOR,FALSE()),"El valor supera el tope de menor cuantía 2027",IF(OR(ISERROR(SEARCH("@itc.edu.co",AE177)),SUMPRODUCT(--ISNUMBER(SEARCH({"á","é","í","ó","ú","ñ"," "},AE177)))&gt;0),"El correo del responsable no es institucional válido",IF(AND(AF177="Sí",AG177=""),"Indique el N.° de registro 2026 que continúa","OK")))))))))))))))))</f>
        <v/>
      </c>
      <c r="AK177" s="114">
        <f>IF(AJ177="OK",COUNTIF($AJ$7:AJ177,"OK"),"")</f>
        <v/>
      </c>
    </row>
    <row r="178">
      <c r="A178" s="110">
        <f>"PN27-"&amp;TEXT(ROW()-6,"000")</f>
        <v/>
      </c>
      <c r="B178" s="111" t="n"/>
      <c r="C178" s="110">
        <f>IF(B178="","",IFERROR(INDEX('Catalogos_PDN'!$R$5:$R$51,MATCH(B178,PN_AREAS,0)),""))</f>
        <v/>
      </c>
      <c r="D178" s="110">
        <f>IF(B178="","",IFERROR(INDEX('Catalogos_PDN'!$O$5:$O$51,MATCH(B178,PN_AREAS,0)),""))</f>
        <v/>
      </c>
      <c r="E178" s="111" t="n"/>
      <c r="F178" s="110">
        <f>IF(E178="","",IFERROR(INDEX('Catalogos_PDN'!$C$5:$C$49,MATCH(E178,PN_METAS,0)),""))</f>
        <v/>
      </c>
      <c r="G178" s="110">
        <f>IF(E178="","",IFERROR(INDEX('Catalogos_PDN'!$E$5:$E$49,MATCH(E178,PN_METAS,0)),""))</f>
        <v/>
      </c>
      <c r="H178" s="111" t="n"/>
      <c r="I178" s="111" t="n"/>
      <c r="J178" s="111" t="n"/>
      <c r="K178" s="111" t="n"/>
      <c r="L178" s="111" t="n"/>
      <c r="M178" s="112" t="n"/>
      <c r="N178" s="111" t="n"/>
      <c r="O178" s="111" t="n"/>
      <c r="P178" s="111" t="n"/>
      <c r="Q178" s="111" t="n"/>
      <c r="R178" s="111" t="n"/>
      <c r="S178" s="111" t="n"/>
      <c r="T178" s="111" t="n"/>
      <c r="U178" s="111" t="n"/>
      <c r="V178" s="111" t="n"/>
      <c r="W178" s="113" t="n"/>
      <c r="X178" s="113" t="n"/>
      <c r="Y178" s="111" t="n"/>
      <c r="Z178" s="111" t="n"/>
      <c r="AA178" s="111" t="n"/>
      <c r="AB178" s="111" t="n"/>
      <c r="AC178" s="111" t="n"/>
      <c r="AD178" s="111" t="n"/>
      <c r="AE178" s="111" t="n"/>
      <c r="AF178" s="111" t="n"/>
      <c r="AG178" s="111" t="n"/>
      <c r="AH178" s="111" t="n"/>
      <c r="AI178" s="111" t="n"/>
      <c r="AJ178" s="114">
        <f>IF(COUNTA(B178,E178,H178,I178,J178,K178,L178,M178,N178,O178,P178,Q178,R178,S178,T178,U178,V178,W178,X178,Y178,Z178,AA178,AB178,AC178,AD178,AE178,AF178,AG178,AH178,AI178)=0,"",IF(OR(B178="",E178="",H178="",J178="",K178="",L178="",M178="",O178="",P178="",Q178="",R178="",S178="",T178="",U178="",W178="",X178="",Y178="",AB178="",AC178="",AE178="",AF178=""),"Incompleta: faltan campos obligatorios",IF(AND(LEFT(H178,6)="PROPIA",I178=""),"Falta el nombre de la acción propia del área",IF(AND(LEFT(H178,4)="AC27",IFERROR(INDEX('Catalogos_PDN'!$T$5:$T$207,MATCH(H178,'Catalogos_PDN'!$U$5:$U$207,0)),"x")&lt;&gt;LEFT(E178,7)),"La acción no corresponde a la meta seleccionada",IF(OR(NOT(ISNUMBER(M178)),M178&lt;10000000,M178&gt;99999999),"Código UNSPSC inválido: registre 8 dígitos",IF(MOD(M178,10000)=0,"UNSPSC a nivel de segmento o familia: use clase o producto",IF(IFERROR(MATCH(P178,PN_MESES,0)&lt;MATCH(O178,PN_MESES,0),TRUE()),"El mes de ofertas es anterior al de inicio del proceso",IF(OR(NOT(ISNUMBER(Q178)),Q178&lt;=0),"Duración inválida",IF(OR(NOT(ISNUMBER(W178)),NOT(ISNUMBER(X178))),"Valor inválido: registre solo números",IF(OR(W178&lt;=0,X178&lt;=0),"Valor inválido: debe ser mayor que cero",IF(X178&gt;W178,"El valor de la vigencia 2027 supera el valor total",IF(AND(X178&lt;W178,Y178="No"),"El valor total supera el de 2027: requiere vigencias futuras",IF(AND(Y178="Sí",OR(Z178="",Z178="No aplica")),"Indique el estado de la solicitud de vigencias futuras",IF(IF(AND(S178="Mínima cuantía",ISNUMBER(PN_TOPE_MINIMA)),W178&gt;PN_TOPE_MINIMA,FALSE()),"El valor supera el tope de mínima cuantía 2027",IF(IF(AND(S178="Selección abreviada de menor cuantía",ISNUMBER(PN_TOPE_MENOR)),W178&gt;PN_TOPE_MENOR,FALSE()),"El valor supera el tope de menor cuantía 2027",IF(OR(ISERROR(SEARCH("@itc.edu.co",AE178)),SUMPRODUCT(--ISNUMBER(SEARCH({"á","é","í","ó","ú","ñ"," "},AE178)))&gt;0),"El correo del responsable no es institucional válido",IF(AND(AF178="Sí",AG178=""),"Indique el N.° de registro 2026 que continúa","OK")))))))))))))))))</f>
        <v/>
      </c>
      <c r="AK178" s="114">
        <f>IF(AJ178="OK",COUNTIF($AJ$7:AJ178,"OK"),"")</f>
        <v/>
      </c>
    </row>
    <row r="179">
      <c r="A179" s="110">
        <f>"PN27-"&amp;TEXT(ROW()-6,"000")</f>
        <v/>
      </c>
      <c r="B179" s="111" t="n"/>
      <c r="C179" s="110">
        <f>IF(B179="","",IFERROR(INDEX('Catalogos_PDN'!$R$5:$R$51,MATCH(B179,PN_AREAS,0)),""))</f>
        <v/>
      </c>
      <c r="D179" s="110">
        <f>IF(B179="","",IFERROR(INDEX('Catalogos_PDN'!$O$5:$O$51,MATCH(B179,PN_AREAS,0)),""))</f>
        <v/>
      </c>
      <c r="E179" s="111" t="n"/>
      <c r="F179" s="110">
        <f>IF(E179="","",IFERROR(INDEX('Catalogos_PDN'!$C$5:$C$49,MATCH(E179,PN_METAS,0)),""))</f>
        <v/>
      </c>
      <c r="G179" s="110">
        <f>IF(E179="","",IFERROR(INDEX('Catalogos_PDN'!$E$5:$E$49,MATCH(E179,PN_METAS,0)),""))</f>
        <v/>
      </c>
      <c r="H179" s="111" t="n"/>
      <c r="I179" s="111" t="n"/>
      <c r="J179" s="111" t="n"/>
      <c r="K179" s="111" t="n"/>
      <c r="L179" s="111" t="n"/>
      <c r="M179" s="112" t="n"/>
      <c r="N179" s="111" t="n"/>
      <c r="O179" s="111" t="n"/>
      <c r="P179" s="111" t="n"/>
      <c r="Q179" s="111" t="n"/>
      <c r="R179" s="111" t="n"/>
      <c r="S179" s="111" t="n"/>
      <c r="T179" s="111" t="n"/>
      <c r="U179" s="111" t="n"/>
      <c r="V179" s="111" t="n"/>
      <c r="W179" s="113" t="n"/>
      <c r="X179" s="113" t="n"/>
      <c r="Y179" s="111" t="n"/>
      <c r="Z179" s="111" t="n"/>
      <c r="AA179" s="111" t="n"/>
      <c r="AB179" s="111" t="n"/>
      <c r="AC179" s="111" t="n"/>
      <c r="AD179" s="111" t="n"/>
      <c r="AE179" s="111" t="n"/>
      <c r="AF179" s="111" t="n"/>
      <c r="AG179" s="111" t="n"/>
      <c r="AH179" s="111" t="n"/>
      <c r="AI179" s="111" t="n"/>
      <c r="AJ179" s="114">
        <f>IF(COUNTA(B179,E179,H179,I179,J179,K179,L179,M179,N179,O179,P179,Q179,R179,S179,T179,U179,V179,W179,X179,Y179,Z179,AA179,AB179,AC179,AD179,AE179,AF179,AG179,AH179,AI179)=0,"",IF(OR(B179="",E179="",H179="",J179="",K179="",L179="",M179="",O179="",P179="",Q179="",R179="",S179="",T179="",U179="",W179="",X179="",Y179="",AB179="",AC179="",AE179="",AF179=""),"Incompleta: faltan campos obligatorios",IF(AND(LEFT(H179,6)="PROPIA",I179=""),"Falta el nombre de la acción propia del área",IF(AND(LEFT(H179,4)="AC27",IFERROR(INDEX('Catalogos_PDN'!$T$5:$T$207,MATCH(H179,'Catalogos_PDN'!$U$5:$U$207,0)),"x")&lt;&gt;LEFT(E179,7)),"La acción no corresponde a la meta seleccionada",IF(OR(NOT(ISNUMBER(M179)),M179&lt;10000000,M179&gt;99999999),"Código UNSPSC inválido: registre 8 dígitos",IF(MOD(M179,10000)=0,"UNSPSC a nivel de segmento o familia: use clase o producto",IF(IFERROR(MATCH(P179,PN_MESES,0)&lt;MATCH(O179,PN_MESES,0),TRUE()),"El mes de ofertas es anterior al de inicio del proceso",IF(OR(NOT(ISNUMBER(Q179)),Q179&lt;=0),"Duración inválida",IF(OR(NOT(ISNUMBER(W179)),NOT(ISNUMBER(X179))),"Valor inválido: registre solo números",IF(OR(W179&lt;=0,X179&lt;=0),"Valor inválido: debe ser mayor que cero",IF(X179&gt;W179,"El valor de la vigencia 2027 supera el valor total",IF(AND(X179&lt;W179,Y179="No"),"El valor total supera el de 2027: requiere vigencias futuras",IF(AND(Y179="Sí",OR(Z179="",Z179="No aplica")),"Indique el estado de la solicitud de vigencias futuras",IF(IF(AND(S179="Mínima cuantía",ISNUMBER(PN_TOPE_MINIMA)),W179&gt;PN_TOPE_MINIMA,FALSE()),"El valor supera el tope de mínima cuantía 2027",IF(IF(AND(S179="Selección abreviada de menor cuantía",ISNUMBER(PN_TOPE_MENOR)),W179&gt;PN_TOPE_MENOR,FALSE()),"El valor supera el tope de menor cuantía 2027",IF(OR(ISERROR(SEARCH("@itc.edu.co",AE179)),SUMPRODUCT(--ISNUMBER(SEARCH({"á","é","í","ó","ú","ñ"," "},AE179)))&gt;0),"El correo del responsable no es institucional válido",IF(AND(AF179="Sí",AG179=""),"Indique el N.° de registro 2026 que continúa","OK")))))))))))))))))</f>
        <v/>
      </c>
      <c r="AK179" s="114">
        <f>IF(AJ179="OK",COUNTIF($AJ$7:AJ179,"OK"),"")</f>
        <v/>
      </c>
    </row>
    <row r="180">
      <c r="A180" s="110">
        <f>"PN27-"&amp;TEXT(ROW()-6,"000")</f>
        <v/>
      </c>
      <c r="B180" s="111" t="n"/>
      <c r="C180" s="110">
        <f>IF(B180="","",IFERROR(INDEX('Catalogos_PDN'!$R$5:$R$51,MATCH(B180,PN_AREAS,0)),""))</f>
        <v/>
      </c>
      <c r="D180" s="110">
        <f>IF(B180="","",IFERROR(INDEX('Catalogos_PDN'!$O$5:$O$51,MATCH(B180,PN_AREAS,0)),""))</f>
        <v/>
      </c>
      <c r="E180" s="111" t="n"/>
      <c r="F180" s="110">
        <f>IF(E180="","",IFERROR(INDEX('Catalogos_PDN'!$C$5:$C$49,MATCH(E180,PN_METAS,0)),""))</f>
        <v/>
      </c>
      <c r="G180" s="110">
        <f>IF(E180="","",IFERROR(INDEX('Catalogos_PDN'!$E$5:$E$49,MATCH(E180,PN_METAS,0)),""))</f>
        <v/>
      </c>
      <c r="H180" s="111" t="n"/>
      <c r="I180" s="111" t="n"/>
      <c r="J180" s="111" t="n"/>
      <c r="K180" s="111" t="n"/>
      <c r="L180" s="111" t="n"/>
      <c r="M180" s="112" t="n"/>
      <c r="N180" s="111" t="n"/>
      <c r="O180" s="111" t="n"/>
      <c r="P180" s="111" t="n"/>
      <c r="Q180" s="111" t="n"/>
      <c r="R180" s="111" t="n"/>
      <c r="S180" s="111" t="n"/>
      <c r="T180" s="111" t="n"/>
      <c r="U180" s="111" t="n"/>
      <c r="V180" s="111" t="n"/>
      <c r="W180" s="113" t="n"/>
      <c r="X180" s="113" t="n"/>
      <c r="Y180" s="111" t="n"/>
      <c r="Z180" s="111" t="n"/>
      <c r="AA180" s="111" t="n"/>
      <c r="AB180" s="111" t="n"/>
      <c r="AC180" s="111" t="n"/>
      <c r="AD180" s="111" t="n"/>
      <c r="AE180" s="111" t="n"/>
      <c r="AF180" s="111" t="n"/>
      <c r="AG180" s="111" t="n"/>
      <c r="AH180" s="111" t="n"/>
      <c r="AI180" s="111" t="n"/>
      <c r="AJ180" s="114">
        <f>IF(COUNTA(B180,E180,H180,I180,J180,K180,L180,M180,N180,O180,P180,Q180,R180,S180,T180,U180,V180,W180,X180,Y180,Z180,AA180,AB180,AC180,AD180,AE180,AF180,AG180,AH180,AI180)=0,"",IF(OR(B180="",E180="",H180="",J180="",K180="",L180="",M180="",O180="",P180="",Q180="",R180="",S180="",T180="",U180="",W180="",X180="",Y180="",AB180="",AC180="",AE180="",AF180=""),"Incompleta: faltan campos obligatorios",IF(AND(LEFT(H180,6)="PROPIA",I180=""),"Falta el nombre de la acción propia del área",IF(AND(LEFT(H180,4)="AC27",IFERROR(INDEX('Catalogos_PDN'!$T$5:$T$207,MATCH(H180,'Catalogos_PDN'!$U$5:$U$207,0)),"x")&lt;&gt;LEFT(E180,7)),"La acción no corresponde a la meta seleccionada",IF(OR(NOT(ISNUMBER(M180)),M180&lt;10000000,M180&gt;99999999),"Código UNSPSC inválido: registre 8 dígitos",IF(MOD(M180,10000)=0,"UNSPSC a nivel de segmento o familia: use clase o producto",IF(IFERROR(MATCH(P180,PN_MESES,0)&lt;MATCH(O180,PN_MESES,0),TRUE()),"El mes de ofertas es anterior al de inicio del proceso",IF(OR(NOT(ISNUMBER(Q180)),Q180&lt;=0),"Duración inválida",IF(OR(NOT(ISNUMBER(W180)),NOT(ISNUMBER(X180))),"Valor inválido: registre solo números",IF(OR(W180&lt;=0,X180&lt;=0),"Valor inválido: debe ser mayor que cero",IF(X180&gt;W180,"El valor de la vigencia 2027 supera el valor total",IF(AND(X180&lt;W180,Y180="No"),"El valor total supera el de 2027: requiere vigencias futuras",IF(AND(Y180="Sí",OR(Z180="",Z180="No aplica")),"Indique el estado de la solicitud de vigencias futuras",IF(IF(AND(S180="Mínima cuantía",ISNUMBER(PN_TOPE_MINIMA)),W180&gt;PN_TOPE_MINIMA,FALSE()),"El valor supera el tope de mínima cuantía 2027",IF(IF(AND(S180="Selección abreviada de menor cuantía",ISNUMBER(PN_TOPE_MENOR)),W180&gt;PN_TOPE_MENOR,FALSE()),"El valor supera el tope de menor cuantía 2027",IF(OR(ISERROR(SEARCH("@itc.edu.co",AE180)),SUMPRODUCT(--ISNUMBER(SEARCH({"á","é","í","ó","ú","ñ"," "},AE180)))&gt;0),"El correo del responsable no es institucional válido",IF(AND(AF180="Sí",AG180=""),"Indique el N.° de registro 2026 que continúa","OK")))))))))))))))))</f>
        <v/>
      </c>
      <c r="AK180" s="114">
        <f>IF(AJ180="OK",COUNTIF($AJ$7:AJ180,"OK"),"")</f>
        <v/>
      </c>
    </row>
    <row r="181">
      <c r="A181" s="110">
        <f>"PN27-"&amp;TEXT(ROW()-6,"000")</f>
        <v/>
      </c>
      <c r="B181" s="111" t="n"/>
      <c r="C181" s="110">
        <f>IF(B181="","",IFERROR(INDEX('Catalogos_PDN'!$R$5:$R$51,MATCH(B181,PN_AREAS,0)),""))</f>
        <v/>
      </c>
      <c r="D181" s="110">
        <f>IF(B181="","",IFERROR(INDEX('Catalogos_PDN'!$O$5:$O$51,MATCH(B181,PN_AREAS,0)),""))</f>
        <v/>
      </c>
      <c r="E181" s="111" t="n"/>
      <c r="F181" s="110">
        <f>IF(E181="","",IFERROR(INDEX('Catalogos_PDN'!$C$5:$C$49,MATCH(E181,PN_METAS,0)),""))</f>
        <v/>
      </c>
      <c r="G181" s="110">
        <f>IF(E181="","",IFERROR(INDEX('Catalogos_PDN'!$E$5:$E$49,MATCH(E181,PN_METAS,0)),""))</f>
        <v/>
      </c>
      <c r="H181" s="111" t="n"/>
      <c r="I181" s="111" t="n"/>
      <c r="J181" s="111" t="n"/>
      <c r="K181" s="111" t="n"/>
      <c r="L181" s="111" t="n"/>
      <c r="M181" s="112" t="n"/>
      <c r="N181" s="111" t="n"/>
      <c r="O181" s="111" t="n"/>
      <c r="P181" s="111" t="n"/>
      <c r="Q181" s="111" t="n"/>
      <c r="R181" s="111" t="n"/>
      <c r="S181" s="111" t="n"/>
      <c r="T181" s="111" t="n"/>
      <c r="U181" s="111" t="n"/>
      <c r="V181" s="111" t="n"/>
      <c r="W181" s="113" t="n"/>
      <c r="X181" s="113" t="n"/>
      <c r="Y181" s="111" t="n"/>
      <c r="Z181" s="111" t="n"/>
      <c r="AA181" s="111" t="n"/>
      <c r="AB181" s="111" t="n"/>
      <c r="AC181" s="111" t="n"/>
      <c r="AD181" s="111" t="n"/>
      <c r="AE181" s="111" t="n"/>
      <c r="AF181" s="111" t="n"/>
      <c r="AG181" s="111" t="n"/>
      <c r="AH181" s="111" t="n"/>
      <c r="AI181" s="111" t="n"/>
      <c r="AJ181" s="114">
        <f>IF(COUNTA(B181,E181,H181,I181,J181,K181,L181,M181,N181,O181,P181,Q181,R181,S181,T181,U181,V181,W181,X181,Y181,Z181,AA181,AB181,AC181,AD181,AE181,AF181,AG181,AH181,AI181)=0,"",IF(OR(B181="",E181="",H181="",J181="",K181="",L181="",M181="",O181="",P181="",Q181="",R181="",S181="",T181="",U181="",W181="",X181="",Y181="",AB181="",AC181="",AE181="",AF181=""),"Incompleta: faltan campos obligatorios",IF(AND(LEFT(H181,6)="PROPIA",I181=""),"Falta el nombre de la acción propia del área",IF(AND(LEFT(H181,4)="AC27",IFERROR(INDEX('Catalogos_PDN'!$T$5:$T$207,MATCH(H181,'Catalogos_PDN'!$U$5:$U$207,0)),"x")&lt;&gt;LEFT(E181,7)),"La acción no corresponde a la meta seleccionada",IF(OR(NOT(ISNUMBER(M181)),M181&lt;10000000,M181&gt;99999999),"Código UNSPSC inválido: registre 8 dígitos",IF(MOD(M181,10000)=0,"UNSPSC a nivel de segmento o familia: use clase o producto",IF(IFERROR(MATCH(P181,PN_MESES,0)&lt;MATCH(O181,PN_MESES,0),TRUE()),"El mes de ofertas es anterior al de inicio del proceso",IF(OR(NOT(ISNUMBER(Q181)),Q181&lt;=0),"Duración inválida",IF(OR(NOT(ISNUMBER(W181)),NOT(ISNUMBER(X181))),"Valor inválido: registre solo números",IF(OR(W181&lt;=0,X181&lt;=0),"Valor inválido: debe ser mayor que cero",IF(X181&gt;W181,"El valor de la vigencia 2027 supera el valor total",IF(AND(X181&lt;W181,Y181="No"),"El valor total supera el de 2027: requiere vigencias futuras",IF(AND(Y181="Sí",OR(Z181="",Z181="No aplica")),"Indique el estado de la solicitud de vigencias futuras",IF(IF(AND(S181="Mínima cuantía",ISNUMBER(PN_TOPE_MINIMA)),W181&gt;PN_TOPE_MINIMA,FALSE()),"El valor supera el tope de mínima cuantía 2027",IF(IF(AND(S181="Selección abreviada de menor cuantía",ISNUMBER(PN_TOPE_MENOR)),W181&gt;PN_TOPE_MENOR,FALSE()),"El valor supera el tope de menor cuantía 2027",IF(OR(ISERROR(SEARCH("@itc.edu.co",AE181)),SUMPRODUCT(--ISNUMBER(SEARCH({"á","é","í","ó","ú","ñ"," "},AE181)))&gt;0),"El correo del responsable no es institucional válido",IF(AND(AF181="Sí",AG181=""),"Indique el N.° de registro 2026 que continúa","OK")))))))))))))))))</f>
        <v/>
      </c>
      <c r="AK181" s="114">
        <f>IF(AJ181="OK",COUNTIF($AJ$7:AJ181,"OK"),"")</f>
        <v/>
      </c>
    </row>
    <row r="182">
      <c r="A182" s="110">
        <f>"PN27-"&amp;TEXT(ROW()-6,"000")</f>
        <v/>
      </c>
      <c r="B182" s="111" t="n"/>
      <c r="C182" s="110">
        <f>IF(B182="","",IFERROR(INDEX('Catalogos_PDN'!$R$5:$R$51,MATCH(B182,PN_AREAS,0)),""))</f>
        <v/>
      </c>
      <c r="D182" s="110">
        <f>IF(B182="","",IFERROR(INDEX('Catalogos_PDN'!$O$5:$O$51,MATCH(B182,PN_AREAS,0)),""))</f>
        <v/>
      </c>
      <c r="E182" s="111" t="n"/>
      <c r="F182" s="110">
        <f>IF(E182="","",IFERROR(INDEX('Catalogos_PDN'!$C$5:$C$49,MATCH(E182,PN_METAS,0)),""))</f>
        <v/>
      </c>
      <c r="G182" s="110">
        <f>IF(E182="","",IFERROR(INDEX('Catalogos_PDN'!$E$5:$E$49,MATCH(E182,PN_METAS,0)),""))</f>
        <v/>
      </c>
      <c r="H182" s="111" t="n"/>
      <c r="I182" s="111" t="n"/>
      <c r="J182" s="111" t="n"/>
      <c r="K182" s="111" t="n"/>
      <c r="L182" s="111" t="n"/>
      <c r="M182" s="112" t="n"/>
      <c r="N182" s="111" t="n"/>
      <c r="O182" s="111" t="n"/>
      <c r="P182" s="111" t="n"/>
      <c r="Q182" s="111" t="n"/>
      <c r="R182" s="111" t="n"/>
      <c r="S182" s="111" t="n"/>
      <c r="T182" s="111" t="n"/>
      <c r="U182" s="111" t="n"/>
      <c r="V182" s="111" t="n"/>
      <c r="W182" s="113" t="n"/>
      <c r="X182" s="113" t="n"/>
      <c r="Y182" s="111" t="n"/>
      <c r="Z182" s="111" t="n"/>
      <c r="AA182" s="111" t="n"/>
      <c r="AB182" s="111" t="n"/>
      <c r="AC182" s="111" t="n"/>
      <c r="AD182" s="111" t="n"/>
      <c r="AE182" s="111" t="n"/>
      <c r="AF182" s="111" t="n"/>
      <c r="AG182" s="111" t="n"/>
      <c r="AH182" s="111" t="n"/>
      <c r="AI182" s="111" t="n"/>
      <c r="AJ182" s="114">
        <f>IF(COUNTA(B182,E182,H182,I182,J182,K182,L182,M182,N182,O182,P182,Q182,R182,S182,T182,U182,V182,W182,X182,Y182,Z182,AA182,AB182,AC182,AD182,AE182,AF182,AG182,AH182,AI182)=0,"",IF(OR(B182="",E182="",H182="",J182="",K182="",L182="",M182="",O182="",P182="",Q182="",R182="",S182="",T182="",U182="",W182="",X182="",Y182="",AB182="",AC182="",AE182="",AF182=""),"Incompleta: faltan campos obligatorios",IF(AND(LEFT(H182,6)="PROPIA",I182=""),"Falta el nombre de la acción propia del área",IF(AND(LEFT(H182,4)="AC27",IFERROR(INDEX('Catalogos_PDN'!$T$5:$T$207,MATCH(H182,'Catalogos_PDN'!$U$5:$U$207,0)),"x")&lt;&gt;LEFT(E182,7)),"La acción no corresponde a la meta seleccionada",IF(OR(NOT(ISNUMBER(M182)),M182&lt;10000000,M182&gt;99999999),"Código UNSPSC inválido: registre 8 dígitos",IF(MOD(M182,10000)=0,"UNSPSC a nivel de segmento o familia: use clase o producto",IF(IFERROR(MATCH(P182,PN_MESES,0)&lt;MATCH(O182,PN_MESES,0),TRUE()),"El mes de ofertas es anterior al de inicio del proceso",IF(OR(NOT(ISNUMBER(Q182)),Q182&lt;=0),"Duración inválida",IF(OR(NOT(ISNUMBER(W182)),NOT(ISNUMBER(X182))),"Valor inválido: registre solo números",IF(OR(W182&lt;=0,X182&lt;=0),"Valor inválido: debe ser mayor que cero",IF(X182&gt;W182,"El valor de la vigencia 2027 supera el valor total",IF(AND(X182&lt;W182,Y182="No"),"El valor total supera el de 2027: requiere vigencias futuras",IF(AND(Y182="Sí",OR(Z182="",Z182="No aplica")),"Indique el estado de la solicitud de vigencias futuras",IF(IF(AND(S182="Mínima cuantía",ISNUMBER(PN_TOPE_MINIMA)),W182&gt;PN_TOPE_MINIMA,FALSE()),"El valor supera el tope de mínima cuantía 2027",IF(IF(AND(S182="Selección abreviada de menor cuantía",ISNUMBER(PN_TOPE_MENOR)),W182&gt;PN_TOPE_MENOR,FALSE()),"El valor supera el tope de menor cuantía 2027",IF(OR(ISERROR(SEARCH("@itc.edu.co",AE182)),SUMPRODUCT(--ISNUMBER(SEARCH({"á","é","í","ó","ú","ñ"," "},AE182)))&gt;0),"El correo del responsable no es institucional válido",IF(AND(AF182="Sí",AG182=""),"Indique el N.° de registro 2026 que continúa","OK")))))))))))))))))</f>
        <v/>
      </c>
      <c r="AK182" s="114">
        <f>IF(AJ182="OK",COUNTIF($AJ$7:AJ182,"OK"),"")</f>
        <v/>
      </c>
    </row>
    <row r="183">
      <c r="A183" s="110">
        <f>"PN27-"&amp;TEXT(ROW()-6,"000")</f>
        <v/>
      </c>
      <c r="B183" s="111" t="n"/>
      <c r="C183" s="110">
        <f>IF(B183="","",IFERROR(INDEX('Catalogos_PDN'!$R$5:$R$51,MATCH(B183,PN_AREAS,0)),""))</f>
        <v/>
      </c>
      <c r="D183" s="110">
        <f>IF(B183="","",IFERROR(INDEX('Catalogos_PDN'!$O$5:$O$51,MATCH(B183,PN_AREAS,0)),""))</f>
        <v/>
      </c>
      <c r="E183" s="111" t="n"/>
      <c r="F183" s="110">
        <f>IF(E183="","",IFERROR(INDEX('Catalogos_PDN'!$C$5:$C$49,MATCH(E183,PN_METAS,0)),""))</f>
        <v/>
      </c>
      <c r="G183" s="110">
        <f>IF(E183="","",IFERROR(INDEX('Catalogos_PDN'!$E$5:$E$49,MATCH(E183,PN_METAS,0)),""))</f>
        <v/>
      </c>
      <c r="H183" s="111" t="n"/>
      <c r="I183" s="111" t="n"/>
      <c r="J183" s="111" t="n"/>
      <c r="K183" s="111" t="n"/>
      <c r="L183" s="111" t="n"/>
      <c r="M183" s="112" t="n"/>
      <c r="N183" s="111" t="n"/>
      <c r="O183" s="111" t="n"/>
      <c r="P183" s="111" t="n"/>
      <c r="Q183" s="111" t="n"/>
      <c r="R183" s="111" t="n"/>
      <c r="S183" s="111" t="n"/>
      <c r="T183" s="111" t="n"/>
      <c r="U183" s="111" t="n"/>
      <c r="V183" s="111" t="n"/>
      <c r="W183" s="113" t="n"/>
      <c r="X183" s="113" t="n"/>
      <c r="Y183" s="111" t="n"/>
      <c r="Z183" s="111" t="n"/>
      <c r="AA183" s="111" t="n"/>
      <c r="AB183" s="111" t="n"/>
      <c r="AC183" s="111" t="n"/>
      <c r="AD183" s="111" t="n"/>
      <c r="AE183" s="111" t="n"/>
      <c r="AF183" s="111" t="n"/>
      <c r="AG183" s="111" t="n"/>
      <c r="AH183" s="111" t="n"/>
      <c r="AI183" s="111" t="n"/>
      <c r="AJ183" s="114">
        <f>IF(COUNTA(B183,E183,H183,I183,J183,K183,L183,M183,N183,O183,P183,Q183,R183,S183,T183,U183,V183,W183,X183,Y183,Z183,AA183,AB183,AC183,AD183,AE183,AF183,AG183,AH183,AI183)=0,"",IF(OR(B183="",E183="",H183="",J183="",K183="",L183="",M183="",O183="",P183="",Q183="",R183="",S183="",T183="",U183="",W183="",X183="",Y183="",AB183="",AC183="",AE183="",AF183=""),"Incompleta: faltan campos obligatorios",IF(AND(LEFT(H183,6)="PROPIA",I183=""),"Falta el nombre de la acción propia del área",IF(AND(LEFT(H183,4)="AC27",IFERROR(INDEX('Catalogos_PDN'!$T$5:$T$207,MATCH(H183,'Catalogos_PDN'!$U$5:$U$207,0)),"x")&lt;&gt;LEFT(E183,7)),"La acción no corresponde a la meta seleccionada",IF(OR(NOT(ISNUMBER(M183)),M183&lt;10000000,M183&gt;99999999),"Código UNSPSC inválido: registre 8 dígitos",IF(MOD(M183,10000)=0,"UNSPSC a nivel de segmento o familia: use clase o producto",IF(IFERROR(MATCH(P183,PN_MESES,0)&lt;MATCH(O183,PN_MESES,0),TRUE()),"El mes de ofertas es anterior al de inicio del proceso",IF(OR(NOT(ISNUMBER(Q183)),Q183&lt;=0),"Duración inválida",IF(OR(NOT(ISNUMBER(W183)),NOT(ISNUMBER(X183))),"Valor inválido: registre solo números",IF(OR(W183&lt;=0,X183&lt;=0),"Valor inválido: debe ser mayor que cero",IF(X183&gt;W183,"El valor de la vigencia 2027 supera el valor total",IF(AND(X183&lt;W183,Y183="No"),"El valor total supera el de 2027: requiere vigencias futuras",IF(AND(Y183="Sí",OR(Z183="",Z183="No aplica")),"Indique el estado de la solicitud de vigencias futuras",IF(IF(AND(S183="Mínima cuantía",ISNUMBER(PN_TOPE_MINIMA)),W183&gt;PN_TOPE_MINIMA,FALSE()),"El valor supera el tope de mínima cuantía 2027",IF(IF(AND(S183="Selección abreviada de menor cuantía",ISNUMBER(PN_TOPE_MENOR)),W183&gt;PN_TOPE_MENOR,FALSE()),"El valor supera el tope de menor cuantía 2027",IF(OR(ISERROR(SEARCH("@itc.edu.co",AE183)),SUMPRODUCT(--ISNUMBER(SEARCH({"á","é","í","ó","ú","ñ"," "},AE183)))&gt;0),"El correo del responsable no es institucional válido",IF(AND(AF183="Sí",AG183=""),"Indique el N.° de registro 2026 que continúa","OK")))))))))))))))))</f>
        <v/>
      </c>
      <c r="AK183" s="114">
        <f>IF(AJ183="OK",COUNTIF($AJ$7:AJ183,"OK"),"")</f>
        <v/>
      </c>
    </row>
    <row r="184">
      <c r="A184" s="110">
        <f>"PN27-"&amp;TEXT(ROW()-6,"000")</f>
        <v/>
      </c>
      <c r="B184" s="111" t="n"/>
      <c r="C184" s="110">
        <f>IF(B184="","",IFERROR(INDEX('Catalogos_PDN'!$R$5:$R$51,MATCH(B184,PN_AREAS,0)),""))</f>
        <v/>
      </c>
      <c r="D184" s="110">
        <f>IF(B184="","",IFERROR(INDEX('Catalogos_PDN'!$O$5:$O$51,MATCH(B184,PN_AREAS,0)),""))</f>
        <v/>
      </c>
      <c r="E184" s="111" t="n"/>
      <c r="F184" s="110">
        <f>IF(E184="","",IFERROR(INDEX('Catalogos_PDN'!$C$5:$C$49,MATCH(E184,PN_METAS,0)),""))</f>
        <v/>
      </c>
      <c r="G184" s="110">
        <f>IF(E184="","",IFERROR(INDEX('Catalogos_PDN'!$E$5:$E$49,MATCH(E184,PN_METAS,0)),""))</f>
        <v/>
      </c>
      <c r="H184" s="111" t="n"/>
      <c r="I184" s="111" t="n"/>
      <c r="J184" s="111" t="n"/>
      <c r="K184" s="111" t="n"/>
      <c r="L184" s="111" t="n"/>
      <c r="M184" s="112" t="n"/>
      <c r="N184" s="111" t="n"/>
      <c r="O184" s="111" t="n"/>
      <c r="P184" s="111" t="n"/>
      <c r="Q184" s="111" t="n"/>
      <c r="R184" s="111" t="n"/>
      <c r="S184" s="111" t="n"/>
      <c r="T184" s="111" t="n"/>
      <c r="U184" s="111" t="n"/>
      <c r="V184" s="111" t="n"/>
      <c r="W184" s="113" t="n"/>
      <c r="X184" s="113" t="n"/>
      <c r="Y184" s="111" t="n"/>
      <c r="Z184" s="111" t="n"/>
      <c r="AA184" s="111" t="n"/>
      <c r="AB184" s="111" t="n"/>
      <c r="AC184" s="111" t="n"/>
      <c r="AD184" s="111" t="n"/>
      <c r="AE184" s="111" t="n"/>
      <c r="AF184" s="111" t="n"/>
      <c r="AG184" s="111" t="n"/>
      <c r="AH184" s="111" t="n"/>
      <c r="AI184" s="111" t="n"/>
      <c r="AJ184" s="114">
        <f>IF(COUNTA(B184,E184,H184,I184,J184,K184,L184,M184,N184,O184,P184,Q184,R184,S184,T184,U184,V184,W184,X184,Y184,Z184,AA184,AB184,AC184,AD184,AE184,AF184,AG184,AH184,AI184)=0,"",IF(OR(B184="",E184="",H184="",J184="",K184="",L184="",M184="",O184="",P184="",Q184="",R184="",S184="",T184="",U184="",W184="",X184="",Y184="",AB184="",AC184="",AE184="",AF184=""),"Incompleta: faltan campos obligatorios",IF(AND(LEFT(H184,6)="PROPIA",I184=""),"Falta el nombre de la acción propia del área",IF(AND(LEFT(H184,4)="AC27",IFERROR(INDEX('Catalogos_PDN'!$T$5:$T$207,MATCH(H184,'Catalogos_PDN'!$U$5:$U$207,0)),"x")&lt;&gt;LEFT(E184,7)),"La acción no corresponde a la meta seleccionada",IF(OR(NOT(ISNUMBER(M184)),M184&lt;10000000,M184&gt;99999999),"Código UNSPSC inválido: registre 8 dígitos",IF(MOD(M184,10000)=0,"UNSPSC a nivel de segmento o familia: use clase o producto",IF(IFERROR(MATCH(P184,PN_MESES,0)&lt;MATCH(O184,PN_MESES,0),TRUE()),"El mes de ofertas es anterior al de inicio del proceso",IF(OR(NOT(ISNUMBER(Q184)),Q184&lt;=0),"Duración inválida",IF(OR(NOT(ISNUMBER(W184)),NOT(ISNUMBER(X184))),"Valor inválido: registre solo números",IF(OR(W184&lt;=0,X184&lt;=0),"Valor inválido: debe ser mayor que cero",IF(X184&gt;W184,"El valor de la vigencia 2027 supera el valor total",IF(AND(X184&lt;W184,Y184="No"),"El valor total supera el de 2027: requiere vigencias futuras",IF(AND(Y184="Sí",OR(Z184="",Z184="No aplica")),"Indique el estado de la solicitud de vigencias futuras",IF(IF(AND(S184="Mínima cuantía",ISNUMBER(PN_TOPE_MINIMA)),W184&gt;PN_TOPE_MINIMA,FALSE()),"El valor supera el tope de mínima cuantía 2027",IF(IF(AND(S184="Selección abreviada de menor cuantía",ISNUMBER(PN_TOPE_MENOR)),W184&gt;PN_TOPE_MENOR,FALSE()),"El valor supera el tope de menor cuantía 2027",IF(OR(ISERROR(SEARCH("@itc.edu.co",AE184)),SUMPRODUCT(--ISNUMBER(SEARCH({"á","é","í","ó","ú","ñ"," "},AE184)))&gt;0),"El correo del responsable no es institucional válido",IF(AND(AF184="Sí",AG184=""),"Indique el N.° de registro 2026 que continúa","OK")))))))))))))))))</f>
        <v/>
      </c>
      <c r="AK184" s="114">
        <f>IF(AJ184="OK",COUNTIF($AJ$7:AJ184,"OK"),"")</f>
        <v/>
      </c>
    </row>
    <row r="185">
      <c r="A185" s="110">
        <f>"PN27-"&amp;TEXT(ROW()-6,"000")</f>
        <v/>
      </c>
      <c r="B185" s="111" t="n"/>
      <c r="C185" s="110">
        <f>IF(B185="","",IFERROR(INDEX('Catalogos_PDN'!$R$5:$R$51,MATCH(B185,PN_AREAS,0)),""))</f>
        <v/>
      </c>
      <c r="D185" s="110">
        <f>IF(B185="","",IFERROR(INDEX('Catalogos_PDN'!$O$5:$O$51,MATCH(B185,PN_AREAS,0)),""))</f>
        <v/>
      </c>
      <c r="E185" s="111" t="n"/>
      <c r="F185" s="110">
        <f>IF(E185="","",IFERROR(INDEX('Catalogos_PDN'!$C$5:$C$49,MATCH(E185,PN_METAS,0)),""))</f>
        <v/>
      </c>
      <c r="G185" s="110">
        <f>IF(E185="","",IFERROR(INDEX('Catalogos_PDN'!$E$5:$E$49,MATCH(E185,PN_METAS,0)),""))</f>
        <v/>
      </c>
      <c r="H185" s="111" t="n"/>
      <c r="I185" s="111" t="n"/>
      <c r="J185" s="111" t="n"/>
      <c r="K185" s="111" t="n"/>
      <c r="L185" s="111" t="n"/>
      <c r="M185" s="112" t="n"/>
      <c r="N185" s="111" t="n"/>
      <c r="O185" s="111" t="n"/>
      <c r="P185" s="111" t="n"/>
      <c r="Q185" s="111" t="n"/>
      <c r="R185" s="111" t="n"/>
      <c r="S185" s="111" t="n"/>
      <c r="T185" s="111" t="n"/>
      <c r="U185" s="111" t="n"/>
      <c r="V185" s="111" t="n"/>
      <c r="W185" s="113" t="n"/>
      <c r="X185" s="113" t="n"/>
      <c r="Y185" s="111" t="n"/>
      <c r="Z185" s="111" t="n"/>
      <c r="AA185" s="111" t="n"/>
      <c r="AB185" s="111" t="n"/>
      <c r="AC185" s="111" t="n"/>
      <c r="AD185" s="111" t="n"/>
      <c r="AE185" s="111" t="n"/>
      <c r="AF185" s="111" t="n"/>
      <c r="AG185" s="111" t="n"/>
      <c r="AH185" s="111" t="n"/>
      <c r="AI185" s="111" t="n"/>
      <c r="AJ185" s="114">
        <f>IF(COUNTA(B185,E185,H185,I185,J185,K185,L185,M185,N185,O185,P185,Q185,R185,S185,T185,U185,V185,W185,X185,Y185,Z185,AA185,AB185,AC185,AD185,AE185,AF185,AG185,AH185,AI185)=0,"",IF(OR(B185="",E185="",H185="",J185="",K185="",L185="",M185="",O185="",P185="",Q185="",R185="",S185="",T185="",U185="",W185="",X185="",Y185="",AB185="",AC185="",AE185="",AF185=""),"Incompleta: faltan campos obligatorios",IF(AND(LEFT(H185,6)="PROPIA",I185=""),"Falta el nombre de la acción propia del área",IF(AND(LEFT(H185,4)="AC27",IFERROR(INDEX('Catalogos_PDN'!$T$5:$T$207,MATCH(H185,'Catalogos_PDN'!$U$5:$U$207,0)),"x")&lt;&gt;LEFT(E185,7)),"La acción no corresponde a la meta seleccionada",IF(OR(NOT(ISNUMBER(M185)),M185&lt;10000000,M185&gt;99999999),"Código UNSPSC inválido: registre 8 dígitos",IF(MOD(M185,10000)=0,"UNSPSC a nivel de segmento o familia: use clase o producto",IF(IFERROR(MATCH(P185,PN_MESES,0)&lt;MATCH(O185,PN_MESES,0),TRUE()),"El mes de ofertas es anterior al de inicio del proceso",IF(OR(NOT(ISNUMBER(Q185)),Q185&lt;=0),"Duración inválida",IF(OR(NOT(ISNUMBER(W185)),NOT(ISNUMBER(X185))),"Valor inválido: registre solo números",IF(OR(W185&lt;=0,X185&lt;=0),"Valor inválido: debe ser mayor que cero",IF(X185&gt;W185,"El valor de la vigencia 2027 supera el valor total",IF(AND(X185&lt;W185,Y185="No"),"El valor total supera el de 2027: requiere vigencias futuras",IF(AND(Y185="Sí",OR(Z185="",Z185="No aplica")),"Indique el estado de la solicitud de vigencias futuras",IF(IF(AND(S185="Mínima cuantía",ISNUMBER(PN_TOPE_MINIMA)),W185&gt;PN_TOPE_MINIMA,FALSE()),"El valor supera el tope de mínima cuantía 2027",IF(IF(AND(S185="Selección abreviada de menor cuantía",ISNUMBER(PN_TOPE_MENOR)),W185&gt;PN_TOPE_MENOR,FALSE()),"El valor supera el tope de menor cuantía 2027",IF(OR(ISERROR(SEARCH("@itc.edu.co",AE185)),SUMPRODUCT(--ISNUMBER(SEARCH({"á","é","í","ó","ú","ñ"," "},AE185)))&gt;0),"El correo del responsable no es institucional válido",IF(AND(AF185="Sí",AG185=""),"Indique el N.° de registro 2026 que continúa","OK")))))))))))))))))</f>
        <v/>
      </c>
      <c r="AK185" s="114">
        <f>IF(AJ185="OK",COUNTIF($AJ$7:AJ185,"OK"),"")</f>
        <v/>
      </c>
    </row>
    <row r="186">
      <c r="A186" s="110">
        <f>"PN27-"&amp;TEXT(ROW()-6,"000")</f>
        <v/>
      </c>
      <c r="B186" s="111" t="n"/>
      <c r="C186" s="110">
        <f>IF(B186="","",IFERROR(INDEX('Catalogos_PDN'!$R$5:$R$51,MATCH(B186,PN_AREAS,0)),""))</f>
        <v/>
      </c>
      <c r="D186" s="110">
        <f>IF(B186="","",IFERROR(INDEX('Catalogos_PDN'!$O$5:$O$51,MATCH(B186,PN_AREAS,0)),""))</f>
        <v/>
      </c>
      <c r="E186" s="111" t="n"/>
      <c r="F186" s="110">
        <f>IF(E186="","",IFERROR(INDEX('Catalogos_PDN'!$C$5:$C$49,MATCH(E186,PN_METAS,0)),""))</f>
        <v/>
      </c>
      <c r="G186" s="110">
        <f>IF(E186="","",IFERROR(INDEX('Catalogos_PDN'!$E$5:$E$49,MATCH(E186,PN_METAS,0)),""))</f>
        <v/>
      </c>
      <c r="H186" s="111" t="n"/>
      <c r="I186" s="111" t="n"/>
      <c r="J186" s="111" t="n"/>
      <c r="K186" s="111" t="n"/>
      <c r="L186" s="111" t="n"/>
      <c r="M186" s="112" t="n"/>
      <c r="N186" s="111" t="n"/>
      <c r="O186" s="111" t="n"/>
      <c r="P186" s="111" t="n"/>
      <c r="Q186" s="111" t="n"/>
      <c r="R186" s="111" t="n"/>
      <c r="S186" s="111" t="n"/>
      <c r="T186" s="111" t="n"/>
      <c r="U186" s="111" t="n"/>
      <c r="V186" s="111" t="n"/>
      <c r="W186" s="113" t="n"/>
      <c r="X186" s="113" t="n"/>
      <c r="Y186" s="111" t="n"/>
      <c r="Z186" s="111" t="n"/>
      <c r="AA186" s="111" t="n"/>
      <c r="AB186" s="111" t="n"/>
      <c r="AC186" s="111" t="n"/>
      <c r="AD186" s="111" t="n"/>
      <c r="AE186" s="111" t="n"/>
      <c r="AF186" s="111" t="n"/>
      <c r="AG186" s="111" t="n"/>
      <c r="AH186" s="111" t="n"/>
      <c r="AI186" s="111" t="n"/>
      <c r="AJ186" s="114">
        <f>IF(COUNTA(B186,E186,H186,I186,J186,K186,L186,M186,N186,O186,P186,Q186,R186,S186,T186,U186,V186,W186,X186,Y186,Z186,AA186,AB186,AC186,AD186,AE186,AF186,AG186,AH186,AI186)=0,"",IF(OR(B186="",E186="",H186="",J186="",K186="",L186="",M186="",O186="",P186="",Q186="",R186="",S186="",T186="",U186="",W186="",X186="",Y186="",AB186="",AC186="",AE186="",AF186=""),"Incompleta: faltan campos obligatorios",IF(AND(LEFT(H186,6)="PROPIA",I186=""),"Falta el nombre de la acción propia del área",IF(AND(LEFT(H186,4)="AC27",IFERROR(INDEX('Catalogos_PDN'!$T$5:$T$207,MATCH(H186,'Catalogos_PDN'!$U$5:$U$207,0)),"x")&lt;&gt;LEFT(E186,7)),"La acción no corresponde a la meta seleccionada",IF(OR(NOT(ISNUMBER(M186)),M186&lt;10000000,M186&gt;99999999),"Código UNSPSC inválido: registre 8 dígitos",IF(MOD(M186,10000)=0,"UNSPSC a nivel de segmento o familia: use clase o producto",IF(IFERROR(MATCH(P186,PN_MESES,0)&lt;MATCH(O186,PN_MESES,0),TRUE()),"El mes de ofertas es anterior al de inicio del proceso",IF(OR(NOT(ISNUMBER(Q186)),Q186&lt;=0),"Duración inválida",IF(OR(NOT(ISNUMBER(W186)),NOT(ISNUMBER(X186))),"Valor inválido: registre solo números",IF(OR(W186&lt;=0,X186&lt;=0),"Valor inválido: debe ser mayor que cero",IF(X186&gt;W186,"El valor de la vigencia 2027 supera el valor total",IF(AND(X186&lt;W186,Y186="No"),"El valor total supera el de 2027: requiere vigencias futuras",IF(AND(Y186="Sí",OR(Z186="",Z186="No aplica")),"Indique el estado de la solicitud de vigencias futuras",IF(IF(AND(S186="Mínima cuantía",ISNUMBER(PN_TOPE_MINIMA)),W186&gt;PN_TOPE_MINIMA,FALSE()),"El valor supera el tope de mínima cuantía 2027",IF(IF(AND(S186="Selección abreviada de menor cuantía",ISNUMBER(PN_TOPE_MENOR)),W186&gt;PN_TOPE_MENOR,FALSE()),"El valor supera el tope de menor cuantía 2027",IF(OR(ISERROR(SEARCH("@itc.edu.co",AE186)),SUMPRODUCT(--ISNUMBER(SEARCH({"á","é","í","ó","ú","ñ"," "},AE186)))&gt;0),"El correo del responsable no es institucional válido",IF(AND(AF186="Sí",AG186=""),"Indique el N.° de registro 2026 que continúa","OK")))))))))))))))))</f>
        <v/>
      </c>
      <c r="AK186" s="114">
        <f>IF(AJ186="OK",COUNTIF($AJ$7:AJ186,"OK"),"")</f>
        <v/>
      </c>
    </row>
    <row r="187">
      <c r="A187" s="110">
        <f>"PN27-"&amp;TEXT(ROW()-6,"000")</f>
        <v/>
      </c>
      <c r="B187" s="111" t="n"/>
      <c r="C187" s="110">
        <f>IF(B187="","",IFERROR(INDEX('Catalogos_PDN'!$R$5:$R$51,MATCH(B187,PN_AREAS,0)),""))</f>
        <v/>
      </c>
      <c r="D187" s="110">
        <f>IF(B187="","",IFERROR(INDEX('Catalogos_PDN'!$O$5:$O$51,MATCH(B187,PN_AREAS,0)),""))</f>
        <v/>
      </c>
      <c r="E187" s="111" t="n"/>
      <c r="F187" s="110">
        <f>IF(E187="","",IFERROR(INDEX('Catalogos_PDN'!$C$5:$C$49,MATCH(E187,PN_METAS,0)),""))</f>
        <v/>
      </c>
      <c r="G187" s="110">
        <f>IF(E187="","",IFERROR(INDEX('Catalogos_PDN'!$E$5:$E$49,MATCH(E187,PN_METAS,0)),""))</f>
        <v/>
      </c>
      <c r="H187" s="111" t="n"/>
      <c r="I187" s="111" t="n"/>
      <c r="J187" s="111" t="n"/>
      <c r="K187" s="111" t="n"/>
      <c r="L187" s="111" t="n"/>
      <c r="M187" s="112" t="n"/>
      <c r="N187" s="111" t="n"/>
      <c r="O187" s="111" t="n"/>
      <c r="P187" s="111" t="n"/>
      <c r="Q187" s="111" t="n"/>
      <c r="R187" s="111" t="n"/>
      <c r="S187" s="111" t="n"/>
      <c r="T187" s="111" t="n"/>
      <c r="U187" s="111" t="n"/>
      <c r="V187" s="111" t="n"/>
      <c r="W187" s="113" t="n"/>
      <c r="X187" s="113" t="n"/>
      <c r="Y187" s="111" t="n"/>
      <c r="Z187" s="111" t="n"/>
      <c r="AA187" s="111" t="n"/>
      <c r="AB187" s="111" t="n"/>
      <c r="AC187" s="111" t="n"/>
      <c r="AD187" s="111" t="n"/>
      <c r="AE187" s="111" t="n"/>
      <c r="AF187" s="111" t="n"/>
      <c r="AG187" s="111" t="n"/>
      <c r="AH187" s="111" t="n"/>
      <c r="AI187" s="111" t="n"/>
      <c r="AJ187" s="114">
        <f>IF(COUNTA(B187,E187,H187,I187,J187,K187,L187,M187,N187,O187,P187,Q187,R187,S187,T187,U187,V187,W187,X187,Y187,Z187,AA187,AB187,AC187,AD187,AE187,AF187,AG187,AH187,AI187)=0,"",IF(OR(B187="",E187="",H187="",J187="",K187="",L187="",M187="",O187="",P187="",Q187="",R187="",S187="",T187="",U187="",W187="",X187="",Y187="",AB187="",AC187="",AE187="",AF187=""),"Incompleta: faltan campos obligatorios",IF(AND(LEFT(H187,6)="PROPIA",I187=""),"Falta el nombre de la acción propia del área",IF(AND(LEFT(H187,4)="AC27",IFERROR(INDEX('Catalogos_PDN'!$T$5:$T$207,MATCH(H187,'Catalogos_PDN'!$U$5:$U$207,0)),"x")&lt;&gt;LEFT(E187,7)),"La acción no corresponde a la meta seleccionada",IF(OR(NOT(ISNUMBER(M187)),M187&lt;10000000,M187&gt;99999999),"Código UNSPSC inválido: registre 8 dígitos",IF(MOD(M187,10000)=0,"UNSPSC a nivel de segmento o familia: use clase o producto",IF(IFERROR(MATCH(P187,PN_MESES,0)&lt;MATCH(O187,PN_MESES,0),TRUE()),"El mes de ofertas es anterior al de inicio del proceso",IF(OR(NOT(ISNUMBER(Q187)),Q187&lt;=0),"Duración inválida",IF(OR(NOT(ISNUMBER(W187)),NOT(ISNUMBER(X187))),"Valor inválido: registre solo números",IF(OR(W187&lt;=0,X187&lt;=0),"Valor inválido: debe ser mayor que cero",IF(X187&gt;W187,"El valor de la vigencia 2027 supera el valor total",IF(AND(X187&lt;W187,Y187="No"),"El valor total supera el de 2027: requiere vigencias futuras",IF(AND(Y187="Sí",OR(Z187="",Z187="No aplica")),"Indique el estado de la solicitud de vigencias futuras",IF(IF(AND(S187="Mínima cuantía",ISNUMBER(PN_TOPE_MINIMA)),W187&gt;PN_TOPE_MINIMA,FALSE()),"El valor supera el tope de mínima cuantía 2027",IF(IF(AND(S187="Selección abreviada de menor cuantía",ISNUMBER(PN_TOPE_MENOR)),W187&gt;PN_TOPE_MENOR,FALSE()),"El valor supera el tope de menor cuantía 2027",IF(OR(ISERROR(SEARCH("@itc.edu.co",AE187)),SUMPRODUCT(--ISNUMBER(SEARCH({"á","é","í","ó","ú","ñ"," "},AE187)))&gt;0),"El correo del responsable no es institucional válido",IF(AND(AF187="Sí",AG187=""),"Indique el N.° de registro 2026 que continúa","OK")))))))))))))))))</f>
        <v/>
      </c>
      <c r="AK187" s="114">
        <f>IF(AJ187="OK",COUNTIF($AJ$7:AJ187,"OK"),"")</f>
        <v/>
      </c>
    </row>
    <row r="188">
      <c r="A188" s="110">
        <f>"PN27-"&amp;TEXT(ROW()-6,"000")</f>
        <v/>
      </c>
      <c r="B188" s="111" t="n"/>
      <c r="C188" s="110">
        <f>IF(B188="","",IFERROR(INDEX('Catalogos_PDN'!$R$5:$R$51,MATCH(B188,PN_AREAS,0)),""))</f>
        <v/>
      </c>
      <c r="D188" s="110">
        <f>IF(B188="","",IFERROR(INDEX('Catalogos_PDN'!$O$5:$O$51,MATCH(B188,PN_AREAS,0)),""))</f>
        <v/>
      </c>
      <c r="E188" s="111" t="n"/>
      <c r="F188" s="110">
        <f>IF(E188="","",IFERROR(INDEX('Catalogos_PDN'!$C$5:$C$49,MATCH(E188,PN_METAS,0)),""))</f>
        <v/>
      </c>
      <c r="G188" s="110">
        <f>IF(E188="","",IFERROR(INDEX('Catalogos_PDN'!$E$5:$E$49,MATCH(E188,PN_METAS,0)),""))</f>
        <v/>
      </c>
      <c r="H188" s="111" t="n"/>
      <c r="I188" s="111" t="n"/>
      <c r="J188" s="111" t="n"/>
      <c r="K188" s="111" t="n"/>
      <c r="L188" s="111" t="n"/>
      <c r="M188" s="112" t="n"/>
      <c r="N188" s="111" t="n"/>
      <c r="O188" s="111" t="n"/>
      <c r="P188" s="111" t="n"/>
      <c r="Q188" s="111" t="n"/>
      <c r="R188" s="111" t="n"/>
      <c r="S188" s="111" t="n"/>
      <c r="T188" s="111" t="n"/>
      <c r="U188" s="111" t="n"/>
      <c r="V188" s="111" t="n"/>
      <c r="W188" s="113" t="n"/>
      <c r="X188" s="113" t="n"/>
      <c r="Y188" s="111" t="n"/>
      <c r="Z188" s="111" t="n"/>
      <c r="AA188" s="111" t="n"/>
      <c r="AB188" s="111" t="n"/>
      <c r="AC188" s="111" t="n"/>
      <c r="AD188" s="111" t="n"/>
      <c r="AE188" s="111" t="n"/>
      <c r="AF188" s="111" t="n"/>
      <c r="AG188" s="111" t="n"/>
      <c r="AH188" s="111" t="n"/>
      <c r="AI188" s="111" t="n"/>
      <c r="AJ188" s="114">
        <f>IF(COUNTA(B188,E188,H188,I188,J188,K188,L188,M188,N188,O188,P188,Q188,R188,S188,T188,U188,V188,W188,X188,Y188,Z188,AA188,AB188,AC188,AD188,AE188,AF188,AG188,AH188,AI188)=0,"",IF(OR(B188="",E188="",H188="",J188="",K188="",L188="",M188="",O188="",P188="",Q188="",R188="",S188="",T188="",U188="",W188="",X188="",Y188="",AB188="",AC188="",AE188="",AF188=""),"Incompleta: faltan campos obligatorios",IF(AND(LEFT(H188,6)="PROPIA",I188=""),"Falta el nombre de la acción propia del área",IF(AND(LEFT(H188,4)="AC27",IFERROR(INDEX('Catalogos_PDN'!$T$5:$T$207,MATCH(H188,'Catalogos_PDN'!$U$5:$U$207,0)),"x")&lt;&gt;LEFT(E188,7)),"La acción no corresponde a la meta seleccionada",IF(OR(NOT(ISNUMBER(M188)),M188&lt;10000000,M188&gt;99999999),"Código UNSPSC inválido: registre 8 dígitos",IF(MOD(M188,10000)=0,"UNSPSC a nivel de segmento o familia: use clase o producto",IF(IFERROR(MATCH(P188,PN_MESES,0)&lt;MATCH(O188,PN_MESES,0),TRUE()),"El mes de ofertas es anterior al de inicio del proceso",IF(OR(NOT(ISNUMBER(Q188)),Q188&lt;=0),"Duración inválida",IF(OR(NOT(ISNUMBER(W188)),NOT(ISNUMBER(X188))),"Valor inválido: registre solo números",IF(OR(W188&lt;=0,X188&lt;=0),"Valor inválido: debe ser mayor que cero",IF(X188&gt;W188,"El valor de la vigencia 2027 supera el valor total",IF(AND(X188&lt;W188,Y188="No"),"El valor total supera el de 2027: requiere vigencias futuras",IF(AND(Y188="Sí",OR(Z188="",Z188="No aplica")),"Indique el estado de la solicitud de vigencias futuras",IF(IF(AND(S188="Mínima cuantía",ISNUMBER(PN_TOPE_MINIMA)),W188&gt;PN_TOPE_MINIMA,FALSE()),"El valor supera el tope de mínima cuantía 2027",IF(IF(AND(S188="Selección abreviada de menor cuantía",ISNUMBER(PN_TOPE_MENOR)),W188&gt;PN_TOPE_MENOR,FALSE()),"El valor supera el tope de menor cuantía 2027",IF(OR(ISERROR(SEARCH("@itc.edu.co",AE188)),SUMPRODUCT(--ISNUMBER(SEARCH({"á","é","í","ó","ú","ñ"," "},AE188)))&gt;0),"El correo del responsable no es institucional válido",IF(AND(AF188="Sí",AG188=""),"Indique el N.° de registro 2026 que continúa","OK")))))))))))))))))</f>
        <v/>
      </c>
      <c r="AK188" s="114">
        <f>IF(AJ188="OK",COUNTIF($AJ$7:AJ188,"OK"),"")</f>
        <v/>
      </c>
    </row>
    <row r="189">
      <c r="A189" s="110">
        <f>"PN27-"&amp;TEXT(ROW()-6,"000")</f>
        <v/>
      </c>
      <c r="B189" s="111" t="n"/>
      <c r="C189" s="110">
        <f>IF(B189="","",IFERROR(INDEX('Catalogos_PDN'!$R$5:$R$51,MATCH(B189,PN_AREAS,0)),""))</f>
        <v/>
      </c>
      <c r="D189" s="110">
        <f>IF(B189="","",IFERROR(INDEX('Catalogos_PDN'!$O$5:$O$51,MATCH(B189,PN_AREAS,0)),""))</f>
        <v/>
      </c>
      <c r="E189" s="111" t="n"/>
      <c r="F189" s="110">
        <f>IF(E189="","",IFERROR(INDEX('Catalogos_PDN'!$C$5:$C$49,MATCH(E189,PN_METAS,0)),""))</f>
        <v/>
      </c>
      <c r="G189" s="110">
        <f>IF(E189="","",IFERROR(INDEX('Catalogos_PDN'!$E$5:$E$49,MATCH(E189,PN_METAS,0)),""))</f>
        <v/>
      </c>
      <c r="H189" s="111" t="n"/>
      <c r="I189" s="111" t="n"/>
      <c r="J189" s="111" t="n"/>
      <c r="K189" s="111" t="n"/>
      <c r="L189" s="111" t="n"/>
      <c r="M189" s="112" t="n"/>
      <c r="N189" s="111" t="n"/>
      <c r="O189" s="111" t="n"/>
      <c r="P189" s="111" t="n"/>
      <c r="Q189" s="111" t="n"/>
      <c r="R189" s="111" t="n"/>
      <c r="S189" s="111" t="n"/>
      <c r="T189" s="111" t="n"/>
      <c r="U189" s="111" t="n"/>
      <c r="V189" s="111" t="n"/>
      <c r="W189" s="113" t="n"/>
      <c r="X189" s="113" t="n"/>
      <c r="Y189" s="111" t="n"/>
      <c r="Z189" s="111" t="n"/>
      <c r="AA189" s="111" t="n"/>
      <c r="AB189" s="111" t="n"/>
      <c r="AC189" s="111" t="n"/>
      <c r="AD189" s="111" t="n"/>
      <c r="AE189" s="111" t="n"/>
      <c r="AF189" s="111" t="n"/>
      <c r="AG189" s="111" t="n"/>
      <c r="AH189" s="111" t="n"/>
      <c r="AI189" s="111" t="n"/>
      <c r="AJ189" s="114">
        <f>IF(COUNTA(B189,E189,H189,I189,J189,K189,L189,M189,N189,O189,P189,Q189,R189,S189,T189,U189,V189,W189,X189,Y189,Z189,AA189,AB189,AC189,AD189,AE189,AF189,AG189,AH189,AI189)=0,"",IF(OR(B189="",E189="",H189="",J189="",K189="",L189="",M189="",O189="",P189="",Q189="",R189="",S189="",T189="",U189="",W189="",X189="",Y189="",AB189="",AC189="",AE189="",AF189=""),"Incompleta: faltan campos obligatorios",IF(AND(LEFT(H189,6)="PROPIA",I189=""),"Falta el nombre de la acción propia del área",IF(AND(LEFT(H189,4)="AC27",IFERROR(INDEX('Catalogos_PDN'!$T$5:$T$207,MATCH(H189,'Catalogos_PDN'!$U$5:$U$207,0)),"x")&lt;&gt;LEFT(E189,7)),"La acción no corresponde a la meta seleccionada",IF(OR(NOT(ISNUMBER(M189)),M189&lt;10000000,M189&gt;99999999),"Código UNSPSC inválido: registre 8 dígitos",IF(MOD(M189,10000)=0,"UNSPSC a nivel de segmento o familia: use clase o producto",IF(IFERROR(MATCH(P189,PN_MESES,0)&lt;MATCH(O189,PN_MESES,0),TRUE()),"El mes de ofertas es anterior al de inicio del proceso",IF(OR(NOT(ISNUMBER(Q189)),Q189&lt;=0),"Duración inválida",IF(OR(NOT(ISNUMBER(W189)),NOT(ISNUMBER(X189))),"Valor inválido: registre solo números",IF(OR(W189&lt;=0,X189&lt;=0),"Valor inválido: debe ser mayor que cero",IF(X189&gt;W189,"El valor de la vigencia 2027 supera el valor total",IF(AND(X189&lt;W189,Y189="No"),"El valor total supera el de 2027: requiere vigencias futuras",IF(AND(Y189="Sí",OR(Z189="",Z189="No aplica")),"Indique el estado de la solicitud de vigencias futuras",IF(IF(AND(S189="Mínima cuantía",ISNUMBER(PN_TOPE_MINIMA)),W189&gt;PN_TOPE_MINIMA,FALSE()),"El valor supera el tope de mínima cuantía 2027",IF(IF(AND(S189="Selección abreviada de menor cuantía",ISNUMBER(PN_TOPE_MENOR)),W189&gt;PN_TOPE_MENOR,FALSE()),"El valor supera el tope de menor cuantía 2027",IF(OR(ISERROR(SEARCH("@itc.edu.co",AE189)),SUMPRODUCT(--ISNUMBER(SEARCH({"á","é","í","ó","ú","ñ"," "},AE189)))&gt;0),"El correo del responsable no es institucional válido",IF(AND(AF189="Sí",AG189=""),"Indique el N.° de registro 2026 que continúa","OK")))))))))))))))))</f>
        <v/>
      </c>
      <c r="AK189" s="114">
        <f>IF(AJ189="OK",COUNTIF($AJ$7:AJ189,"OK"),"")</f>
        <v/>
      </c>
    </row>
    <row r="190">
      <c r="A190" s="110">
        <f>"PN27-"&amp;TEXT(ROW()-6,"000")</f>
        <v/>
      </c>
      <c r="B190" s="111" t="n"/>
      <c r="C190" s="110">
        <f>IF(B190="","",IFERROR(INDEX('Catalogos_PDN'!$R$5:$R$51,MATCH(B190,PN_AREAS,0)),""))</f>
        <v/>
      </c>
      <c r="D190" s="110">
        <f>IF(B190="","",IFERROR(INDEX('Catalogos_PDN'!$O$5:$O$51,MATCH(B190,PN_AREAS,0)),""))</f>
        <v/>
      </c>
      <c r="E190" s="111" t="n"/>
      <c r="F190" s="110">
        <f>IF(E190="","",IFERROR(INDEX('Catalogos_PDN'!$C$5:$C$49,MATCH(E190,PN_METAS,0)),""))</f>
        <v/>
      </c>
      <c r="G190" s="110">
        <f>IF(E190="","",IFERROR(INDEX('Catalogos_PDN'!$E$5:$E$49,MATCH(E190,PN_METAS,0)),""))</f>
        <v/>
      </c>
      <c r="H190" s="111" t="n"/>
      <c r="I190" s="111" t="n"/>
      <c r="J190" s="111" t="n"/>
      <c r="K190" s="111" t="n"/>
      <c r="L190" s="111" t="n"/>
      <c r="M190" s="112" t="n"/>
      <c r="N190" s="111" t="n"/>
      <c r="O190" s="111" t="n"/>
      <c r="P190" s="111" t="n"/>
      <c r="Q190" s="111" t="n"/>
      <c r="R190" s="111" t="n"/>
      <c r="S190" s="111" t="n"/>
      <c r="T190" s="111" t="n"/>
      <c r="U190" s="111" t="n"/>
      <c r="V190" s="111" t="n"/>
      <c r="W190" s="113" t="n"/>
      <c r="X190" s="113" t="n"/>
      <c r="Y190" s="111" t="n"/>
      <c r="Z190" s="111" t="n"/>
      <c r="AA190" s="111" t="n"/>
      <c r="AB190" s="111" t="n"/>
      <c r="AC190" s="111" t="n"/>
      <c r="AD190" s="111" t="n"/>
      <c r="AE190" s="111" t="n"/>
      <c r="AF190" s="111" t="n"/>
      <c r="AG190" s="111" t="n"/>
      <c r="AH190" s="111" t="n"/>
      <c r="AI190" s="111" t="n"/>
      <c r="AJ190" s="114">
        <f>IF(COUNTA(B190,E190,H190,I190,J190,K190,L190,M190,N190,O190,P190,Q190,R190,S190,T190,U190,V190,W190,X190,Y190,Z190,AA190,AB190,AC190,AD190,AE190,AF190,AG190,AH190,AI190)=0,"",IF(OR(B190="",E190="",H190="",J190="",K190="",L190="",M190="",O190="",P190="",Q190="",R190="",S190="",T190="",U190="",W190="",X190="",Y190="",AB190="",AC190="",AE190="",AF190=""),"Incompleta: faltan campos obligatorios",IF(AND(LEFT(H190,6)="PROPIA",I190=""),"Falta el nombre de la acción propia del área",IF(AND(LEFT(H190,4)="AC27",IFERROR(INDEX('Catalogos_PDN'!$T$5:$T$207,MATCH(H190,'Catalogos_PDN'!$U$5:$U$207,0)),"x")&lt;&gt;LEFT(E190,7)),"La acción no corresponde a la meta seleccionada",IF(OR(NOT(ISNUMBER(M190)),M190&lt;10000000,M190&gt;99999999),"Código UNSPSC inválido: registre 8 dígitos",IF(MOD(M190,10000)=0,"UNSPSC a nivel de segmento o familia: use clase o producto",IF(IFERROR(MATCH(P190,PN_MESES,0)&lt;MATCH(O190,PN_MESES,0),TRUE()),"El mes de ofertas es anterior al de inicio del proceso",IF(OR(NOT(ISNUMBER(Q190)),Q190&lt;=0),"Duración inválida",IF(OR(NOT(ISNUMBER(W190)),NOT(ISNUMBER(X190))),"Valor inválido: registre solo números",IF(OR(W190&lt;=0,X190&lt;=0),"Valor inválido: debe ser mayor que cero",IF(X190&gt;W190,"El valor de la vigencia 2027 supera el valor total",IF(AND(X190&lt;W190,Y190="No"),"El valor total supera el de 2027: requiere vigencias futuras",IF(AND(Y190="Sí",OR(Z190="",Z190="No aplica")),"Indique el estado de la solicitud de vigencias futuras",IF(IF(AND(S190="Mínima cuantía",ISNUMBER(PN_TOPE_MINIMA)),W190&gt;PN_TOPE_MINIMA,FALSE()),"El valor supera el tope de mínima cuantía 2027",IF(IF(AND(S190="Selección abreviada de menor cuantía",ISNUMBER(PN_TOPE_MENOR)),W190&gt;PN_TOPE_MENOR,FALSE()),"El valor supera el tope de menor cuantía 2027",IF(OR(ISERROR(SEARCH("@itc.edu.co",AE190)),SUMPRODUCT(--ISNUMBER(SEARCH({"á","é","í","ó","ú","ñ"," "},AE190)))&gt;0),"El correo del responsable no es institucional válido",IF(AND(AF190="Sí",AG190=""),"Indique el N.° de registro 2026 que continúa","OK")))))))))))))))))</f>
        <v/>
      </c>
      <c r="AK190" s="114">
        <f>IF(AJ190="OK",COUNTIF($AJ$7:AJ190,"OK"),"")</f>
        <v/>
      </c>
    </row>
    <row r="191">
      <c r="A191" s="110">
        <f>"PN27-"&amp;TEXT(ROW()-6,"000")</f>
        <v/>
      </c>
      <c r="B191" s="111" t="n"/>
      <c r="C191" s="110">
        <f>IF(B191="","",IFERROR(INDEX('Catalogos_PDN'!$R$5:$R$51,MATCH(B191,PN_AREAS,0)),""))</f>
        <v/>
      </c>
      <c r="D191" s="110">
        <f>IF(B191="","",IFERROR(INDEX('Catalogos_PDN'!$O$5:$O$51,MATCH(B191,PN_AREAS,0)),""))</f>
        <v/>
      </c>
      <c r="E191" s="111" t="n"/>
      <c r="F191" s="110">
        <f>IF(E191="","",IFERROR(INDEX('Catalogos_PDN'!$C$5:$C$49,MATCH(E191,PN_METAS,0)),""))</f>
        <v/>
      </c>
      <c r="G191" s="110">
        <f>IF(E191="","",IFERROR(INDEX('Catalogos_PDN'!$E$5:$E$49,MATCH(E191,PN_METAS,0)),""))</f>
        <v/>
      </c>
      <c r="H191" s="111" t="n"/>
      <c r="I191" s="111" t="n"/>
      <c r="J191" s="111" t="n"/>
      <c r="K191" s="111" t="n"/>
      <c r="L191" s="111" t="n"/>
      <c r="M191" s="112" t="n"/>
      <c r="N191" s="111" t="n"/>
      <c r="O191" s="111" t="n"/>
      <c r="P191" s="111" t="n"/>
      <c r="Q191" s="111" t="n"/>
      <c r="R191" s="111" t="n"/>
      <c r="S191" s="111" t="n"/>
      <c r="T191" s="111" t="n"/>
      <c r="U191" s="111" t="n"/>
      <c r="V191" s="111" t="n"/>
      <c r="W191" s="113" t="n"/>
      <c r="X191" s="113" t="n"/>
      <c r="Y191" s="111" t="n"/>
      <c r="Z191" s="111" t="n"/>
      <c r="AA191" s="111" t="n"/>
      <c r="AB191" s="111" t="n"/>
      <c r="AC191" s="111" t="n"/>
      <c r="AD191" s="111" t="n"/>
      <c r="AE191" s="111" t="n"/>
      <c r="AF191" s="111" t="n"/>
      <c r="AG191" s="111" t="n"/>
      <c r="AH191" s="111" t="n"/>
      <c r="AI191" s="111" t="n"/>
      <c r="AJ191" s="114">
        <f>IF(COUNTA(B191,E191,H191,I191,J191,K191,L191,M191,N191,O191,P191,Q191,R191,S191,T191,U191,V191,W191,X191,Y191,Z191,AA191,AB191,AC191,AD191,AE191,AF191,AG191,AH191,AI191)=0,"",IF(OR(B191="",E191="",H191="",J191="",K191="",L191="",M191="",O191="",P191="",Q191="",R191="",S191="",T191="",U191="",W191="",X191="",Y191="",AB191="",AC191="",AE191="",AF191=""),"Incompleta: faltan campos obligatorios",IF(AND(LEFT(H191,6)="PROPIA",I191=""),"Falta el nombre de la acción propia del área",IF(AND(LEFT(H191,4)="AC27",IFERROR(INDEX('Catalogos_PDN'!$T$5:$T$207,MATCH(H191,'Catalogos_PDN'!$U$5:$U$207,0)),"x")&lt;&gt;LEFT(E191,7)),"La acción no corresponde a la meta seleccionada",IF(OR(NOT(ISNUMBER(M191)),M191&lt;10000000,M191&gt;99999999),"Código UNSPSC inválido: registre 8 dígitos",IF(MOD(M191,10000)=0,"UNSPSC a nivel de segmento o familia: use clase o producto",IF(IFERROR(MATCH(P191,PN_MESES,0)&lt;MATCH(O191,PN_MESES,0),TRUE()),"El mes de ofertas es anterior al de inicio del proceso",IF(OR(NOT(ISNUMBER(Q191)),Q191&lt;=0),"Duración inválida",IF(OR(NOT(ISNUMBER(W191)),NOT(ISNUMBER(X191))),"Valor inválido: registre solo números",IF(OR(W191&lt;=0,X191&lt;=0),"Valor inválido: debe ser mayor que cero",IF(X191&gt;W191,"El valor de la vigencia 2027 supera el valor total",IF(AND(X191&lt;W191,Y191="No"),"El valor total supera el de 2027: requiere vigencias futuras",IF(AND(Y191="Sí",OR(Z191="",Z191="No aplica")),"Indique el estado de la solicitud de vigencias futuras",IF(IF(AND(S191="Mínima cuantía",ISNUMBER(PN_TOPE_MINIMA)),W191&gt;PN_TOPE_MINIMA,FALSE()),"El valor supera el tope de mínima cuantía 2027",IF(IF(AND(S191="Selección abreviada de menor cuantía",ISNUMBER(PN_TOPE_MENOR)),W191&gt;PN_TOPE_MENOR,FALSE()),"El valor supera el tope de menor cuantía 2027",IF(OR(ISERROR(SEARCH("@itc.edu.co",AE191)),SUMPRODUCT(--ISNUMBER(SEARCH({"á","é","í","ó","ú","ñ"," "},AE191)))&gt;0),"El correo del responsable no es institucional válido",IF(AND(AF191="Sí",AG191=""),"Indique el N.° de registro 2026 que continúa","OK")))))))))))))))))</f>
        <v/>
      </c>
      <c r="AK191" s="114">
        <f>IF(AJ191="OK",COUNTIF($AJ$7:AJ191,"OK"),"")</f>
        <v/>
      </c>
    </row>
    <row r="192">
      <c r="A192" s="110">
        <f>"PN27-"&amp;TEXT(ROW()-6,"000")</f>
        <v/>
      </c>
      <c r="B192" s="111" t="n"/>
      <c r="C192" s="110">
        <f>IF(B192="","",IFERROR(INDEX('Catalogos_PDN'!$R$5:$R$51,MATCH(B192,PN_AREAS,0)),""))</f>
        <v/>
      </c>
      <c r="D192" s="110">
        <f>IF(B192="","",IFERROR(INDEX('Catalogos_PDN'!$O$5:$O$51,MATCH(B192,PN_AREAS,0)),""))</f>
        <v/>
      </c>
      <c r="E192" s="111" t="n"/>
      <c r="F192" s="110">
        <f>IF(E192="","",IFERROR(INDEX('Catalogos_PDN'!$C$5:$C$49,MATCH(E192,PN_METAS,0)),""))</f>
        <v/>
      </c>
      <c r="G192" s="110">
        <f>IF(E192="","",IFERROR(INDEX('Catalogos_PDN'!$E$5:$E$49,MATCH(E192,PN_METAS,0)),""))</f>
        <v/>
      </c>
      <c r="H192" s="111" t="n"/>
      <c r="I192" s="111" t="n"/>
      <c r="J192" s="111" t="n"/>
      <c r="K192" s="111" t="n"/>
      <c r="L192" s="111" t="n"/>
      <c r="M192" s="112" t="n"/>
      <c r="N192" s="111" t="n"/>
      <c r="O192" s="111" t="n"/>
      <c r="P192" s="111" t="n"/>
      <c r="Q192" s="111" t="n"/>
      <c r="R192" s="111" t="n"/>
      <c r="S192" s="111" t="n"/>
      <c r="T192" s="111" t="n"/>
      <c r="U192" s="111" t="n"/>
      <c r="V192" s="111" t="n"/>
      <c r="W192" s="113" t="n"/>
      <c r="X192" s="113" t="n"/>
      <c r="Y192" s="111" t="n"/>
      <c r="Z192" s="111" t="n"/>
      <c r="AA192" s="111" t="n"/>
      <c r="AB192" s="111" t="n"/>
      <c r="AC192" s="111" t="n"/>
      <c r="AD192" s="111" t="n"/>
      <c r="AE192" s="111" t="n"/>
      <c r="AF192" s="111" t="n"/>
      <c r="AG192" s="111" t="n"/>
      <c r="AH192" s="111" t="n"/>
      <c r="AI192" s="111" t="n"/>
      <c r="AJ192" s="114">
        <f>IF(COUNTA(B192,E192,H192,I192,J192,K192,L192,M192,N192,O192,P192,Q192,R192,S192,T192,U192,V192,W192,X192,Y192,Z192,AA192,AB192,AC192,AD192,AE192,AF192,AG192,AH192,AI192)=0,"",IF(OR(B192="",E192="",H192="",J192="",K192="",L192="",M192="",O192="",P192="",Q192="",R192="",S192="",T192="",U192="",W192="",X192="",Y192="",AB192="",AC192="",AE192="",AF192=""),"Incompleta: faltan campos obligatorios",IF(AND(LEFT(H192,6)="PROPIA",I192=""),"Falta el nombre de la acción propia del área",IF(AND(LEFT(H192,4)="AC27",IFERROR(INDEX('Catalogos_PDN'!$T$5:$T$207,MATCH(H192,'Catalogos_PDN'!$U$5:$U$207,0)),"x")&lt;&gt;LEFT(E192,7)),"La acción no corresponde a la meta seleccionada",IF(OR(NOT(ISNUMBER(M192)),M192&lt;10000000,M192&gt;99999999),"Código UNSPSC inválido: registre 8 dígitos",IF(MOD(M192,10000)=0,"UNSPSC a nivel de segmento o familia: use clase o producto",IF(IFERROR(MATCH(P192,PN_MESES,0)&lt;MATCH(O192,PN_MESES,0),TRUE()),"El mes de ofertas es anterior al de inicio del proceso",IF(OR(NOT(ISNUMBER(Q192)),Q192&lt;=0),"Duración inválida",IF(OR(NOT(ISNUMBER(W192)),NOT(ISNUMBER(X192))),"Valor inválido: registre solo números",IF(OR(W192&lt;=0,X192&lt;=0),"Valor inválido: debe ser mayor que cero",IF(X192&gt;W192,"El valor de la vigencia 2027 supera el valor total",IF(AND(X192&lt;W192,Y192="No"),"El valor total supera el de 2027: requiere vigencias futuras",IF(AND(Y192="Sí",OR(Z192="",Z192="No aplica")),"Indique el estado de la solicitud de vigencias futuras",IF(IF(AND(S192="Mínima cuantía",ISNUMBER(PN_TOPE_MINIMA)),W192&gt;PN_TOPE_MINIMA,FALSE()),"El valor supera el tope de mínima cuantía 2027",IF(IF(AND(S192="Selección abreviada de menor cuantía",ISNUMBER(PN_TOPE_MENOR)),W192&gt;PN_TOPE_MENOR,FALSE()),"El valor supera el tope de menor cuantía 2027",IF(OR(ISERROR(SEARCH("@itc.edu.co",AE192)),SUMPRODUCT(--ISNUMBER(SEARCH({"á","é","í","ó","ú","ñ"," "},AE192)))&gt;0),"El correo del responsable no es institucional válido",IF(AND(AF192="Sí",AG192=""),"Indique el N.° de registro 2026 que continúa","OK")))))))))))))))))</f>
        <v/>
      </c>
      <c r="AK192" s="114">
        <f>IF(AJ192="OK",COUNTIF($AJ$7:AJ192,"OK"),"")</f>
        <v/>
      </c>
    </row>
    <row r="193">
      <c r="A193" s="110">
        <f>"PN27-"&amp;TEXT(ROW()-6,"000")</f>
        <v/>
      </c>
      <c r="B193" s="111" t="n"/>
      <c r="C193" s="110">
        <f>IF(B193="","",IFERROR(INDEX('Catalogos_PDN'!$R$5:$R$51,MATCH(B193,PN_AREAS,0)),""))</f>
        <v/>
      </c>
      <c r="D193" s="110">
        <f>IF(B193="","",IFERROR(INDEX('Catalogos_PDN'!$O$5:$O$51,MATCH(B193,PN_AREAS,0)),""))</f>
        <v/>
      </c>
      <c r="E193" s="111" t="n"/>
      <c r="F193" s="110">
        <f>IF(E193="","",IFERROR(INDEX('Catalogos_PDN'!$C$5:$C$49,MATCH(E193,PN_METAS,0)),""))</f>
        <v/>
      </c>
      <c r="G193" s="110">
        <f>IF(E193="","",IFERROR(INDEX('Catalogos_PDN'!$E$5:$E$49,MATCH(E193,PN_METAS,0)),""))</f>
        <v/>
      </c>
      <c r="H193" s="111" t="n"/>
      <c r="I193" s="111" t="n"/>
      <c r="J193" s="111" t="n"/>
      <c r="K193" s="111" t="n"/>
      <c r="L193" s="111" t="n"/>
      <c r="M193" s="112" t="n"/>
      <c r="N193" s="111" t="n"/>
      <c r="O193" s="111" t="n"/>
      <c r="P193" s="111" t="n"/>
      <c r="Q193" s="111" t="n"/>
      <c r="R193" s="111" t="n"/>
      <c r="S193" s="111" t="n"/>
      <c r="T193" s="111" t="n"/>
      <c r="U193" s="111" t="n"/>
      <c r="V193" s="111" t="n"/>
      <c r="W193" s="113" t="n"/>
      <c r="X193" s="113" t="n"/>
      <c r="Y193" s="111" t="n"/>
      <c r="Z193" s="111" t="n"/>
      <c r="AA193" s="111" t="n"/>
      <c r="AB193" s="111" t="n"/>
      <c r="AC193" s="111" t="n"/>
      <c r="AD193" s="111" t="n"/>
      <c r="AE193" s="111" t="n"/>
      <c r="AF193" s="111" t="n"/>
      <c r="AG193" s="111" t="n"/>
      <c r="AH193" s="111" t="n"/>
      <c r="AI193" s="111" t="n"/>
      <c r="AJ193" s="114">
        <f>IF(COUNTA(B193,E193,H193,I193,J193,K193,L193,M193,N193,O193,P193,Q193,R193,S193,T193,U193,V193,W193,X193,Y193,Z193,AA193,AB193,AC193,AD193,AE193,AF193,AG193,AH193,AI193)=0,"",IF(OR(B193="",E193="",H193="",J193="",K193="",L193="",M193="",O193="",P193="",Q193="",R193="",S193="",T193="",U193="",W193="",X193="",Y193="",AB193="",AC193="",AE193="",AF193=""),"Incompleta: faltan campos obligatorios",IF(AND(LEFT(H193,6)="PROPIA",I193=""),"Falta el nombre de la acción propia del área",IF(AND(LEFT(H193,4)="AC27",IFERROR(INDEX('Catalogos_PDN'!$T$5:$T$207,MATCH(H193,'Catalogos_PDN'!$U$5:$U$207,0)),"x")&lt;&gt;LEFT(E193,7)),"La acción no corresponde a la meta seleccionada",IF(OR(NOT(ISNUMBER(M193)),M193&lt;10000000,M193&gt;99999999),"Código UNSPSC inválido: registre 8 dígitos",IF(MOD(M193,10000)=0,"UNSPSC a nivel de segmento o familia: use clase o producto",IF(IFERROR(MATCH(P193,PN_MESES,0)&lt;MATCH(O193,PN_MESES,0),TRUE()),"El mes de ofertas es anterior al de inicio del proceso",IF(OR(NOT(ISNUMBER(Q193)),Q193&lt;=0),"Duración inválida",IF(OR(NOT(ISNUMBER(W193)),NOT(ISNUMBER(X193))),"Valor inválido: registre solo números",IF(OR(W193&lt;=0,X193&lt;=0),"Valor inválido: debe ser mayor que cero",IF(X193&gt;W193,"El valor de la vigencia 2027 supera el valor total",IF(AND(X193&lt;W193,Y193="No"),"El valor total supera el de 2027: requiere vigencias futuras",IF(AND(Y193="Sí",OR(Z193="",Z193="No aplica")),"Indique el estado de la solicitud de vigencias futuras",IF(IF(AND(S193="Mínima cuantía",ISNUMBER(PN_TOPE_MINIMA)),W193&gt;PN_TOPE_MINIMA,FALSE()),"El valor supera el tope de mínima cuantía 2027",IF(IF(AND(S193="Selección abreviada de menor cuantía",ISNUMBER(PN_TOPE_MENOR)),W193&gt;PN_TOPE_MENOR,FALSE()),"El valor supera el tope de menor cuantía 2027",IF(OR(ISERROR(SEARCH("@itc.edu.co",AE193)),SUMPRODUCT(--ISNUMBER(SEARCH({"á","é","í","ó","ú","ñ"," "},AE193)))&gt;0),"El correo del responsable no es institucional válido",IF(AND(AF193="Sí",AG193=""),"Indique el N.° de registro 2026 que continúa","OK")))))))))))))))))</f>
        <v/>
      </c>
      <c r="AK193" s="114">
        <f>IF(AJ193="OK",COUNTIF($AJ$7:AJ193,"OK"),"")</f>
        <v/>
      </c>
    </row>
    <row r="194">
      <c r="A194" s="110">
        <f>"PN27-"&amp;TEXT(ROW()-6,"000")</f>
        <v/>
      </c>
      <c r="B194" s="111" t="n"/>
      <c r="C194" s="110">
        <f>IF(B194="","",IFERROR(INDEX('Catalogos_PDN'!$R$5:$R$51,MATCH(B194,PN_AREAS,0)),""))</f>
        <v/>
      </c>
      <c r="D194" s="110">
        <f>IF(B194="","",IFERROR(INDEX('Catalogos_PDN'!$O$5:$O$51,MATCH(B194,PN_AREAS,0)),""))</f>
        <v/>
      </c>
      <c r="E194" s="111" t="n"/>
      <c r="F194" s="110">
        <f>IF(E194="","",IFERROR(INDEX('Catalogos_PDN'!$C$5:$C$49,MATCH(E194,PN_METAS,0)),""))</f>
        <v/>
      </c>
      <c r="G194" s="110">
        <f>IF(E194="","",IFERROR(INDEX('Catalogos_PDN'!$E$5:$E$49,MATCH(E194,PN_METAS,0)),""))</f>
        <v/>
      </c>
      <c r="H194" s="111" t="n"/>
      <c r="I194" s="111" t="n"/>
      <c r="J194" s="111" t="n"/>
      <c r="K194" s="111" t="n"/>
      <c r="L194" s="111" t="n"/>
      <c r="M194" s="112" t="n"/>
      <c r="N194" s="111" t="n"/>
      <c r="O194" s="111" t="n"/>
      <c r="P194" s="111" t="n"/>
      <c r="Q194" s="111" t="n"/>
      <c r="R194" s="111" t="n"/>
      <c r="S194" s="111" t="n"/>
      <c r="T194" s="111" t="n"/>
      <c r="U194" s="111" t="n"/>
      <c r="V194" s="111" t="n"/>
      <c r="W194" s="113" t="n"/>
      <c r="X194" s="113" t="n"/>
      <c r="Y194" s="111" t="n"/>
      <c r="Z194" s="111" t="n"/>
      <c r="AA194" s="111" t="n"/>
      <c r="AB194" s="111" t="n"/>
      <c r="AC194" s="111" t="n"/>
      <c r="AD194" s="111" t="n"/>
      <c r="AE194" s="111" t="n"/>
      <c r="AF194" s="111" t="n"/>
      <c r="AG194" s="111" t="n"/>
      <c r="AH194" s="111" t="n"/>
      <c r="AI194" s="111" t="n"/>
      <c r="AJ194" s="114">
        <f>IF(COUNTA(B194,E194,H194,I194,J194,K194,L194,M194,N194,O194,P194,Q194,R194,S194,T194,U194,V194,W194,X194,Y194,Z194,AA194,AB194,AC194,AD194,AE194,AF194,AG194,AH194,AI194)=0,"",IF(OR(B194="",E194="",H194="",J194="",K194="",L194="",M194="",O194="",P194="",Q194="",R194="",S194="",T194="",U194="",W194="",X194="",Y194="",AB194="",AC194="",AE194="",AF194=""),"Incompleta: faltan campos obligatorios",IF(AND(LEFT(H194,6)="PROPIA",I194=""),"Falta el nombre de la acción propia del área",IF(AND(LEFT(H194,4)="AC27",IFERROR(INDEX('Catalogos_PDN'!$T$5:$T$207,MATCH(H194,'Catalogos_PDN'!$U$5:$U$207,0)),"x")&lt;&gt;LEFT(E194,7)),"La acción no corresponde a la meta seleccionada",IF(OR(NOT(ISNUMBER(M194)),M194&lt;10000000,M194&gt;99999999),"Código UNSPSC inválido: registre 8 dígitos",IF(MOD(M194,10000)=0,"UNSPSC a nivel de segmento o familia: use clase o producto",IF(IFERROR(MATCH(P194,PN_MESES,0)&lt;MATCH(O194,PN_MESES,0),TRUE()),"El mes de ofertas es anterior al de inicio del proceso",IF(OR(NOT(ISNUMBER(Q194)),Q194&lt;=0),"Duración inválida",IF(OR(NOT(ISNUMBER(W194)),NOT(ISNUMBER(X194))),"Valor inválido: registre solo números",IF(OR(W194&lt;=0,X194&lt;=0),"Valor inválido: debe ser mayor que cero",IF(X194&gt;W194,"El valor de la vigencia 2027 supera el valor total",IF(AND(X194&lt;W194,Y194="No"),"El valor total supera el de 2027: requiere vigencias futuras",IF(AND(Y194="Sí",OR(Z194="",Z194="No aplica")),"Indique el estado de la solicitud de vigencias futuras",IF(IF(AND(S194="Mínima cuantía",ISNUMBER(PN_TOPE_MINIMA)),W194&gt;PN_TOPE_MINIMA,FALSE()),"El valor supera el tope de mínima cuantía 2027",IF(IF(AND(S194="Selección abreviada de menor cuantía",ISNUMBER(PN_TOPE_MENOR)),W194&gt;PN_TOPE_MENOR,FALSE()),"El valor supera el tope de menor cuantía 2027",IF(OR(ISERROR(SEARCH("@itc.edu.co",AE194)),SUMPRODUCT(--ISNUMBER(SEARCH({"á","é","í","ó","ú","ñ"," "},AE194)))&gt;0),"El correo del responsable no es institucional válido",IF(AND(AF194="Sí",AG194=""),"Indique el N.° de registro 2026 que continúa","OK")))))))))))))))))</f>
        <v/>
      </c>
      <c r="AK194" s="114">
        <f>IF(AJ194="OK",COUNTIF($AJ$7:AJ194,"OK"),"")</f>
        <v/>
      </c>
    </row>
    <row r="195">
      <c r="A195" s="110">
        <f>"PN27-"&amp;TEXT(ROW()-6,"000")</f>
        <v/>
      </c>
      <c r="B195" s="111" t="n"/>
      <c r="C195" s="110">
        <f>IF(B195="","",IFERROR(INDEX('Catalogos_PDN'!$R$5:$R$51,MATCH(B195,PN_AREAS,0)),""))</f>
        <v/>
      </c>
      <c r="D195" s="110">
        <f>IF(B195="","",IFERROR(INDEX('Catalogos_PDN'!$O$5:$O$51,MATCH(B195,PN_AREAS,0)),""))</f>
        <v/>
      </c>
      <c r="E195" s="111" t="n"/>
      <c r="F195" s="110">
        <f>IF(E195="","",IFERROR(INDEX('Catalogos_PDN'!$C$5:$C$49,MATCH(E195,PN_METAS,0)),""))</f>
        <v/>
      </c>
      <c r="G195" s="110">
        <f>IF(E195="","",IFERROR(INDEX('Catalogos_PDN'!$E$5:$E$49,MATCH(E195,PN_METAS,0)),""))</f>
        <v/>
      </c>
      <c r="H195" s="111" t="n"/>
      <c r="I195" s="111" t="n"/>
      <c r="J195" s="111" t="n"/>
      <c r="K195" s="111" t="n"/>
      <c r="L195" s="111" t="n"/>
      <c r="M195" s="112" t="n"/>
      <c r="N195" s="111" t="n"/>
      <c r="O195" s="111" t="n"/>
      <c r="P195" s="111" t="n"/>
      <c r="Q195" s="111" t="n"/>
      <c r="R195" s="111" t="n"/>
      <c r="S195" s="111" t="n"/>
      <c r="T195" s="111" t="n"/>
      <c r="U195" s="111" t="n"/>
      <c r="V195" s="111" t="n"/>
      <c r="W195" s="113" t="n"/>
      <c r="X195" s="113" t="n"/>
      <c r="Y195" s="111" t="n"/>
      <c r="Z195" s="111" t="n"/>
      <c r="AA195" s="111" t="n"/>
      <c r="AB195" s="111" t="n"/>
      <c r="AC195" s="111" t="n"/>
      <c r="AD195" s="111" t="n"/>
      <c r="AE195" s="111" t="n"/>
      <c r="AF195" s="111" t="n"/>
      <c r="AG195" s="111" t="n"/>
      <c r="AH195" s="111" t="n"/>
      <c r="AI195" s="111" t="n"/>
      <c r="AJ195" s="114">
        <f>IF(COUNTA(B195,E195,H195,I195,J195,K195,L195,M195,N195,O195,P195,Q195,R195,S195,T195,U195,V195,W195,X195,Y195,Z195,AA195,AB195,AC195,AD195,AE195,AF195,AG195,AH195,AI195)=0,"",IF(OR(B195="",E195="",H195="",J195="",K195="",L195="",M195="",O195="",P195="",Q195="",R195="",S195="",T195="",U195="",W195="",X195="",Y195="",AB195="",AC195="",AE195="",AF195=""),"Incompleta: faltan campos obligatorios",IF(AND(LEFT(H195,6)="PROPIA",I195=""),"Falta el nombre de la acción propia del área",IF(AND(LEFT(H195,4)="AC27",IFERROR(INDEX('Catalogos_PDN'!$T$5:$T$207,MATCH(H195,'Catalogos_PDN'!$U$5:$U$207,0)),"x")&lt;&gt;LEFT(E195,7)),"La acción no corresponde a la meta seleccionada",IF(OR(NOT(ISNUMBER(M195)),M195&lt;10000000,M195&gt;99999999),"Código UNSPSC inválido: registre 8 dígitos",IF(MOD(M195,10000)=0,"UNSPSC a nivel de segmento o familia: use clase o producto",IF(IFERROR(MATCH(P195,PN_MESES,0)&lt;MATCH(O195,PN_MESES,0),TRUE()),"El mes de ofertas es anterior al de inicio del proceso",IF(OR(NOT(ISNUMBER(Q195)),Q195&lt;=0),"Duración inválida",IF(OR(NOT(ISNUMBER(W195)),NOT(ISNUMBER(X195))),"Valor inválido: registre solo números",IF(OR(W195&lt;=0,X195&lt;=0),"Valor inválido: debe ser mayor que cero",IF(X195&gt;W195,"El valor de la vigencia 2027 supera el valor total",IF(AND(X195&lt;W195,Y195="No"),"El valor total supera el de 2027: requiere vigencias futuras",IF(AND(Y195="Sí",OR(Z195="",Z195="No aplica")),"Indique el estado de la solicitud de vigencias futuras",IF(IF(AND(S195="Mínima cuantía",ISNUMBER(PN_TOPE_MINIMA)),W195&gt;PN_TOPE_MINIMA,FALSE()),"El valor supera el tope de mínima cuantía 2027",IF(IF(AND(S195="Selección abreviada de menor cuantía",ISNUMBER(PN_TOPE_MENOR)),W195&gt;PN_TOPE_MENOR,FALSE()),"El valor supera el tope de menor cuantía 2027",IF(OR(ISERROR(SEARCH("@itc.edu.co",AE195)),SUMPRODUCT(--ISNUMBER(SEARCH({"á","é","í","ó","ú","ñ"," "},AE195)))&gt;0),"El correo del responsable no es institucional válido",IF(AND(AF195="Sí",AG195=""),"Indique el N.° de registro 2026 que continúa","OK")))))))))))))))))</f>
        <v/>
      </c>
      <c r="AK195" s="114">
        <f>IF(AJ195="OK",COUNTIF($AJ$7:AJ195,"OK"),"")</f>
        <v/>
      </c>
    </row>
    <row r="196">
      <c r="A196" s="110">
        <f>"PN27-"&amp;TEXT(ROW()-6,"000")</f>
        <v/>
      </c>
      <c r="B196" s="111" t="n"/>
      <c r="C196" s="110">
        <f>IF(B196="","",IFERROR(INDEX('Catalogos_PDN'!$R$5:$R$51,MATCH(B196,PN_AREAS,0)),""))</f>
        <v/>
      </c>
      <c r="D196" s="110">
        <f>IF(B196="","",IFERROR(INDEX('Catalogos_PDN'!$O$5:$O$51,MATCH(B196,PN_AREAS,0)),""))</f>
        <v/>
      </c>
      <c r="E196" s="111" t="n"/>
      <c r="F196" s="110">
        <f>IF(E196="","",IFERROR(INDEX('Catalogos_PDN'!$C$5:$C$49,MATCH(E196,PN_METAS,0)),""))</f>
        <v/>
      </c>
      <c r="G196" s="110">
        <f>IF(E196="","",IFERROR(INDEX('Catalogos_PDN'!$E$5:$E$49,MATCH(E196,PN_METAS,0)),""))</f>
        <v/>
      </c>
      <c r="H196" s="111" t="n"/>
      <c r="I196" s="111" t="n"/>
      <c r="J196" s="111" t="n"/>
      <c r="K196" s="111" t="n"/>
      <c r="L196" s="111" t="n"/>
      <c r="M196" s="112" t="n"/>
      <c r="N196" s="111" t="n"/>
      <c r="O196" s="111" t="n"/>
      <c r="P196" s="111" t="n"/>
      <c r="Q196" s="111" t="n"/>
      <c r="R196" s="111" t="n"/>
      <c r="S196" s="111" t="n"/>
      <c r="T196" s="111" t="n"/>
      <c r="U196" s="111" t="n"/>
      <c r="V196" s="111" t="n"/>
      <c r="W196" s="113" t="n"/>
      <c r="X196" s="113" t="n"/>
      <c r="Y196" s="111" t="n"/>
      <c r="Z196" s="111" t="n"/>
      <c r="AA196" s="111" t="n"/>
      <c r="AB196" s="111" t="n"/>
      <c r="AC196" s="111" t="n"/>
      <c r="AD196" s="111" t="n"/>
      <c r="AE196" s="111" t="n"/>
      <c r="AF196" s="111" t="n"/>
      <c r="AG196" s="111" t="n"/>
      <c r="AH196" s="111" t="n"/>
      <c r="AI196" s="111" t="n"/>
      <c r="AJ196" s="114">
        <f>IF(COUNTA(B196,E196,H196,I196,J196,K196,L196,M196,N196,O196,P196,Q196,R196,S196,T196,U196,V196,W196,X196,Y196,Z196,AA196,AB196,AC196,AD196,AE196,AF196,AG196,AH196,AI196)=0,"",IF(OR(B196="",E196="",H196="",J196="",K196="",L196="",M196="",O196="",P196="",Q196="",R196="",S196="",T196="",U196="",W196="",X196="",Y196="",AB196="",AC196="",AE196="",AF196=""),"Incompleta: faltan campos obligatorios",IF(AND(LEFT(H196,6)="PROPIA",I196=""),"Falta el nombre de la acción propia del área",IF(AND(LEFT(H196,4)="AC27",IFERROR(INDEX('Catalogos_PDN'!$T$5:$T$207,MATCH(H196,'Catalogos_PDN'!$U$5:$U$207,0)),"x")&lt;&gt;LEFT(E196,7)),"La acción no corresponde a la meta seleccionada",IF(OR(NOT(ISNUMBER(M196)),M196&lt;10000000,M196&gt;99999999),"Código UNSPSC inválido: registre 8 dígitos",IF(MOD(M196,10000)=0,"UNSPSC a nivel de segmento o familia: use clase o producto",IF(IFERROR(MATCH(P196,PN_MESES,0)&lt;MATCH(O196,PN_MESES,0),TRUE()),"El mes de ofertas es anterior al de inicio del proceso",IF(OR(NOT(ISNUMBER(Q196)),Q196&lt;=0),"Duración inválida",IF(OR(NOT(ISNUMBER(W196)),NOT(ISNUMBER(X196))),"Valor inválido: registre solo números",IF(OR(W196&lt;=0,X196&lt;=0),"Valor inválido: debe ser mayor que cero",IF(X196&gt;W196,"El valor de la vigencia 2027 supera el valor total",IF(AND(X196&lt;W196,Y196="No"),"El valor total supera el de 2027: requiere vigencias futuras",IF(AND(Y196="Sí",OR(Z196="",Z196="No aplica")),"Indique el estado de la solicitud de vigencias futuras",IF(IF(AND(S196="Mínima cuantía",ISNUMBER(PN_TOPE_MINIMA)),W196&gt;PN_TOPE_MINIMA,FALSE()),"El valor supera el tope de mínima cuantía 2027",IF(IF(AND(S196="Selección abreviada de menor cuantía",ISNUMBER(PN_TOPE_MENOR)),W196&gt;PN_TOPE_MENOR,FALSE()),"El valor supera el tope de menor cuantía 2027",IF(OR(ISERROR(SEARCH("@itc.edu.co",AE196)),SUMPRODUCT(--ISNUMBER(SEARCH({"á","é","í","ó","ú","ñ"," "},AE196)))&gt;0),"El correo del responsable no es institucional válido",IF(AND(AF196="Sí",AG196=""),"Indique el N.° de registro 2026 que continúa","OK")))))))))))))))))</f>
        <v/>
      </c>
      <c r="AK196" s="114">
        <f>IF(AJ196="OK",COUNTIF($AJ$7:AJ196,"OK"),"")</f>
        <v/>
      </c>
    </row>
    <row r="197">
      <c r="A197" s="110">
        <f>"PN27-"&amp;TEXT(ROW()-6,"000")</f>
        <v/>
      </c>
      <c r="B197" s="111" t="n"/>
      <c r="C197" s="110">
        <f>IF(B197="","",IFERROR(INDEX('Catalogos_PDN'!$R$5:$R$51,MATCH(B197,PN_AREAS,0)),""))</f>
        <v/>
      </c>
      <c r="D197" s="110">
        <f>IF(B197="","",IFERROR(INDEX('Catalogos_PDN'!$O$5:$O$51,MATCH(B197,PN_AREAS,0)),""))</f>
        <v/>
      </c>
      <c r="E197" s="111" t="n"/>
      <c r="F197" s="110">
        <f>IF(E197="","",IFERROR(INDEX('Catalogos_PDN'!$C$5:$C$49,MATCH(E197,PN_METAS,0)),""))</f>
        <v/>
      </c>
      <c r="G197" s="110">
        <f>IF(E197="","",IFERROR(INDEX('Catalogos_PDN'!$E$5:$E$49,MATCH(E197,PN_METAS,0)),""))</f>
        <v/>
      </c>
      <c r="H197" s="111" t="n"/>
      <c r="I197" s="111" t="n"/>
      <c r="J197" s="111" t="n"/>
      <c r="K197" s="111" t="n"/>
      <c r="L197" s="111" t="n"/>
      <c r="M197" s="112" t="n"/>
      <c r="N197" s="111" t="n"/>
      <c r="O197" s="111" t="n"/>
      <c r="P197" s="111" t="n"/>
      <c r="Q197" s="111" t="n"/>
      <c r="R197" s="111" t="n"/>
      <c r="S197" s="111" t="n"/>
      <c r="T197" s="111" t="n"/>
      <c r="U197" s="111" t="n"/>
      <c r="V197" s="111" t="n"/>
      <c r="W197" s="113" t="n"/>
      <c r="X197" s="113" t="n"/>
      <c r="Y197" s="111" t="n"/>
      <c r="Z197" s="111" t="n"/>
      <c r="AA197" s="111" t="n"/>
      <c r="AB197" s="111" t="n"/>
      <c r="AC197" s="111" t="n"/>
      <c r="AD197" s="111" t="n"/>
      <c r="AE197" s="111" t="n"/>
      <c r="AF197" s="111" t="n"/>
      <c r="AG197" s="111" t="n"/>
      <c r="AH197" s="111" t="n"/>
      <c r="AI197" s="111" t="n"/>
      <c r="AJ197" s="114">
        <f>IF(COUNTA(B197,E197,H197,I197,J197,K197,L197,M197,N197,O197,P197,Q197,R197,S197,T197,U197,V197,W197,X197,Y197,Z197,AA197,AB197,AC197,AD197,AE197,AF197,AG197,AH197,AI197)=0,"",IF(OR(B197="",E197="",H197="",J197="",K197="",L197="",M197="",O197="",P197="",Q197="",R197="",S197="",T197="",U197="",W197="",X197="",Y197="",AB197="",AC197="",AE197="",AF197=""),"Incompleta: faltan campos obligatorios",IF(AND(LEFT(H197,6)="PROPIA",I197=""),"Falta el nombre de la acción propia del área",IF(AND(LEFT(H197,4)="AC27",IFERROR(INDEX('Catalogos_PDN'!$T$5:$T$207,MATCH(H197,'Catalogos_PDN'!$U$5:$U$207,0)),"x")&lt;&gt;LEFT(E197,7)),"La acción no corresponde a la meta seleccionada",IF(OR(NOT(ISNUMBER(M197)),M197&lt;10000000,M197&gt;99999999),"Código UNSPSC inválido: registre 8 dígitos",IF(MOD(M197,10000)=0,"UNSPSC a nivel de segmento o familia: use clase o producto",IF(IFERROR(MATCH(P197,PN_MESES,0)&lt;MATCH(O197,PN_MESES,0),TRUE()),"El mes de ofertas es anterior al de inicio del proceso",IF(OR(NOT(ISNUMBER(Q197)),Q197&lt;=0),"Duración inválida",IF(OR(NOT(ISNUMBER(W197)),NOT(ISNUMBER(X197))),"Valor inválido: registre solo números",IF(OR(W197&lt;=0,X197&lt;=0),"Valor inválido: debe ser mayor que cero",IF(X197&gt;W197,"El valor de la vigencia 2027 supera el valor total",IF(AND(X197&lt;W197,Y197="No"),"El valor total supera el de 2027: requiere vigencias futuras",IF(AND(Y197="Sí",OR(Z197="",Z197="No aplica")),"Indique el estado de la solicitud de vigencias futuras",IF(IF(AND(S197="Mínima cuantía",ISNUMBER(PN_TOPE_MINIMA)),W197&gt;PN_TOPE_MINIMA,FALSE()),"El valor supera el tope de mínima cuantía 2027",IF(IF(AND(S197="Selección abreviada de menor cuantía",ISNUMBER(PN_TOPE_MENOR)),W197&gt;PN_TOPE_MENOR,FALSE()),"El valor supera el tope de menor cuantía 2027",IF(OR(ISERROR(SEARCH("@itc.edu.co",AE197)),SUMPRODUCT(--ISNUMBER(SEARCH({"á","é","í","ó","ú","ñ"," "},AE197)))&gt;0),"El correo del responsable no es institucional válido",IF(AND(AF197="Sí",AG197=""),"Indique el N.° de registro 2026 que continúa","OK")))))))))))))))))</f>
        <v/>
      </c>
      <c r="AK197" s="114">
        <f>IF(AJ197="OK",COUNTIF($AJ$7:AJ197,"OK"),"")</f>
        <v/>
      </c>
    </row>
    <row r="198">
      <c r="A198" s="110">
        <f>"PN27-"&amp;TEXT(ROW()-6,"000")</f>
        <v/>
      </c>
      <c r="B198" s="111" t="n"/>
      <c r="C198" s="110">
        <f>IF(B198="","",IFERROR(INDEX('Catalogos_PDN'!$R$5:$R$51,MATCH(B198,PN_AREAS,0)),""))</f>
        <v/>
      </c>
      <c r="D198" s="110">
        <f>IF(B198="","",IFERROR(INDEX('Catalogos_PDN'!$O$5:$O$51,MATCH(B198,PN_AREAS,0)),""))</f>
        <v/>
      </c>
      <c r="E198" s="111" t="n"/>
      <c r="F198" s="110">
        <f>IF(E198="","",IFERROR(INDEX('Catalogos_PDN'!$C$5:$C$49,MATCH(E198,PN_METAS,0)),""))</f>
        <v/>
      </c>
      <c r="G198" s="110">
        <f>IF(E198="","",IFERROR(INDEX('Catalogos_PDN'!$E$5:$E$49,MATCH(E198,PN_METAS,0)),""))</f>
        <v/>
      </c>
      <c r="H198" s="111" t="n"/>
      <c r="I198" s="111" t="n"/>
      <c r="J198" s="111" t="n"/>
      <c r="K198" s="111" t="n"/>
      <c r="L198" s="111" t="n"/>
      <c r="M198" s="112" t="n"/>
      <c r="N198" s="111" t="n"/>
      <c r="O198" s="111" t="n"/>
      <c r="P198" s="111" t="n"/>
      <c r="Q198" s="111" t="n"/>
      <c r="R198" s="111" t="n"/>
      <c r="S198" s="111" t="n"/>
      <c r="T198" s="111" t="n"/>
      <c r="U198" s="111" t="n"/>
      <c r="V198" s="111" t="n"/>
      <c r="W198" s="113" t="n"/>
      <c r="X198" s="113" t="n"/>
      <c r="Y198" s="111" t="n"/>
      <c r="Z198" s="111" t="n"/>
      <c r="AA198" s="111" t="n"/>
      <c r="AB198" s="111" t="n"/>
      <c r="AC198" s="111" t="n"/>
      <c r="AD198" s="111" t="n"/>
      <c r="AE198" s="111" t="n"/>
      <c r="AF198" s="111" t="n"/>
      <c r="AG198" s="111" t="n"/>
      <c r="AH198" s="111" t="n"/>
      <c r="AI198" s="111" t="n"/>
      <c r="AJ198" s="114">
        <f>IF(COUNTA(B198,E198,H198,I198,J198,K198,L198,M198,N198,O198,P198,Q198,R198,S198,T198,U198,V198,W198,X198,Y198,Z198,AA198,AB198,AC198,AD198,AE198,AF198,AG198,AH198,AI198)=0,"",IF(OR(B198="",E198="",H198="",J198="",K198="",L198="",M198="",O198="",P198="",Q198="",R198="",S198="",T198="",U198="",W198="",X198="",Y198="",AB198="",AC198="",AE198="",AF198=""),"Incompleta: faltan campos obligatorios",IF(AND(LEFT(H198,6)="PROPIA",I198=""),"Falta el nombre de la acción propia del área",IF(AND(LEFT(H198,4)="AC27",IFERROR(INDEX('Catalogos_PDN'!$T$5:$T$207,MATCH(H198,'Catalogos_PDN'!$U$5:$U$207,0)),"x")&lt;&gt;LEFT(E198,7)),"La acción no corresponde a la meta seleccionada",IF(OR(NOT(ISNUMBER(M198)),M198&lt;10000000,M198&gt;99999999),"Código UNSPSC inválido: registre 8 dígitos",IF(MOD(M198,10000)=0,"UNSPSC a nivel de segmento o familia: use clase o producto",IF(IFERROR(MATCH(P198,PN_MESES,0)&lt;MATCH(O198,PN_MESES,0),TRUE()),"El mes de ofertas es anterior al de inicio del proceso",IF(OR(NOT(ISNUMBER(Q198)),Q198&lt;=0),"Duración inválida",IF(OR(NOT(ISNUMBER(W198)),NOT(ISNUMBER(X198))),"Valor inválido: registre solo números",IF(OR(W198&lt;=0,X198&lt;=0),"Valor inválido: debe ser mayor que cero",IF(X198&gt;W198,"El valor de la vigencia 2027 supera el valor total",IF(AND(X198&lt;W198,Y198="No"),"El valor total supera el de 2027: requiere vigencias futuras",IF(AND(Y198="Sí",OR(Z198="",Z198="No aplica")),"Indique el estado de la solicitud de vigencias futuras",IF(IF(AND(S198="Mínima cuantía",ISNUMBER(PN_TOPE_MINIMA)),W198&gt;PN_TOPE_MINIMA,FALSE()),"El valor supera el tope de mínima cuantía 2027",IF(IF(AND(S198="Selección abreviada de menor cuantía",ISNUMBER(PN_TOPE_MENOR)),W198&gt;PN_TOPE_MENOR,FALSE()),"El valor supera el tope de menor cuantía 2027",IF(OR(ISERROR(SEARCH("@itc.edu.co",AE198)),SUMPRODUCT(--ISNUMBER(SEARCH({"á","é","í","ó","ú","ñ"," "},AE198)))&gt;0),"El correo del responsable no es institucional válido",IF(AND(AF198="Sí",AG198=""),"Indique el N.° de registro 2026 que continúa","OK")))))))))))))))))</f>
        <v/>
      </c>
      <c r="AK198" s="114">
        <f>IF(AJ198="OK",COUNTIF($AJ$7:AJ198,"OK"),"")</f>
        <v/>
      </c>
    </row>
    <row r="199">
      <c r="A199" s="110">
        <f>"PN27-"&amp;TEXT(ROW()-6,"000")</f>
        <v/>
      </c>
      <c r="B199" s="111" t="n"/>
      <c r="C199" s="110">
        <f>IF(B199="","",IFERROR(INDEX('Catalogos_PDN'!$R$5:$R$51,MATCH(B199,PN_AREAS,0)),""))</f>
        <v/>
      </c>
      <c r="D199" s="110">
        <f>IF(B199="","",IFERROR(INDEX('Catalogos_PDN'!$O$5:$O$51,MATCH(B199,PN_AREAS,0)),""))</f>
        <v/>
      </c>
      <c r="E199" s="111" t="n"/>
      <c r="F199" s="110">
        <f>IF(E199="","",IFERROR(INDEX('Catalogos_PDN'!$C$5:$C$49,MATCH(E199,PN_METAS,0)),""))</f>
        <v/>
      </c>
      <c r="G199" s="110">
        <f>IF(E199="","",IFERROR(INDEX('Catalogos_PDN'!$E$5:$E$49,MATCH(E199,PN_METAS,0)),""))</f>
        <v/>
      </c>
      <c r="H199" s="111" t="n"/>
      <c r="I199" s="111" t="n"/>
      <c r="J199" s="111" t="n"/>
      <c r="K199" s="111" t="n"/>
      <c r="L199" s="111" t="n"/>
      <c r="M199" s="112" t="n"/>
      <c r="N199" s="111" t="n"/>
      <c r="O199" s="111" t="n"/>
      <c r="P199" s="111" t="n"/>
      <c r="Q199" s="111" t="n"/>
      <c r="R199" s="111" t="n"/>
      <c r="S199" s="111" t="n"/>
      <c r="T199" s="111" t="n"/>
      <c r="U199" s="111" t="n"/>
      <c r="V199" s="111" t="n"/>
      <c r="W199" s="113" t="n"/>
      <c r="X199" s="113" t="n"/>
      <c r="Y199" s="111" t="n"/>
      <c r="Z199" s="111" t="n"/>
      <c r="AA199" s="111" t="n"/>
      <c r="AB199" s="111" t="n"/>
      <c r="AC199" s="111" t="n"/>
      <c r="AD199" s="111" t="n"/>
      <c r="AE199" s="111" t="n"/>
      <c r="AF199" s="111" t="n"/>
      <c r="AG199" s="111" t="n"/>
      <c r="AH199" s="111" t="n"/>
      <c r="AI199" s="111" t="n"/>
      <c r="AJ199" s="114">
        <f>IF(COUNTA(B199,E199,H199,I199,J199,K199,L199,M199,N199,O199,P199,Q199,R199,S199,T199,U199,V199,W199,X199,Y199,Z199,AA199,AB199,AC199,AD199,AE199,AF199,AG199,AH199,AI199)=0,"",IF(OR(B199="",E199="",H199="",J199="",K199="",L199="",M199="",O199="",P199="",Q199="",R199="",S199="",T199="",U199="",W199="",X199="",Y199="",AB199="",AC199="",AE199="",AF199=""),"Incompleta: faltan campos obligatorios",IF(AND(LEFT(H199,6)="PROPIA",I199=""),"Falta el nombre de la acción propia del área",IF(AND(LEFT(H199,4)="AC27",IFERROR(INDEX('Catalogos_PDN'!$T$5:$T$207,MATCH(H199,'Catalogos_PDN'!$U$5:$U$207,0)),"x")&lt;&gt;LEFT(E199,7)),"La acción no corresponde a la meta seleccionada",IF(OR(NOT(ISNUMBER(M199)),M199&lt;10000000,M199&gt;99999999),"Código UNSPSC inválido: registre 8 dígitos",IF(MOD(M199,10000)=0,"UNSPSC a nivel de segmento o familia: use clase o producto",IF(IFERROR(MATCH(P199,PN_MESES,0)&lt;MATCH(O199,PN_MESES,0),TRUE()),"El mes de ofertas es anterior al de inicio del proceso",IF(OR(NOT(ISNUMBER(Q199)),Q199&lt;=0),"Duración inválida",IF(OR(NOT(ISNUMBER(W199)),NOT(ISNUMBER(X199))),"Valor inválido: registre solo números",IF(OR(W199&lt;=0,X199&lt;=0),"Valor inválido: debe ser mayor que cero",IF(X199&gt;W199,"El valor de la vigencia 2027 supera el valor total",IF(AND(X199&lt;W199,Y199="No"),"El valor total supera el de 2027: requiere vigencias futuras",IF(AND(Y199="Sí",OR(Z199="",Z199="No aplica")),"Indique el estado de la solicitud de vigencias futuras",IF(IF(AND(S199="Mínima cuantía",ISNUMBER(PN_TOPE_MINIMA)),W199&gt;PN_TOPE_MINIMA,FALSE()),"El valor supera el tope de mínima cuantía 2027",IF(IF(AND(S199="Selección abreviada de menor cuantía",ISNUMBER(PN_TOPE_MENOR)),W199&gt;PN_TOPE_MENOR,FALSE()),"El valor supera el tope de menor cuantía 2027",IF(OR(ISERROR(SEARCH("@itc.edu.co",AE199)),SUMPRODUCT(--ISNUMBER(SEARCH({"á","é","í","ó","ú","ñ"," "},AE199)))&gt;0),"El correo del responsable no es institucional válido",IF(AND(AF199="Sí",AG199=""),"Indique el N.° de registro 2026 que continúa","OK")))))))))))))))))</f>
        <v/>
      </c>
      <c r="AK199" s="114">
        <f>IF(AJ199="OK",COUNTIF($AJ$7:AJ199,"OK"),"")</f>
        <v/>
      </c>
    </row>
    <row r="200">
      <c r="A200" s="110">
        <f>"PN27-"&amp;TEXT(ROW()-6,"000")</f>
        <v/>
      </c>
      <c r="B200" s="111" t="n"/>
      <c r="C200" s="110">
        <f>IF(B200="","",IFERROR(INDEX('Catalogos_PDN'!$R$5:$R$51,MATCH(B200,PN_AREAS,0)),""))</f>
        <v/>
      </c>
      <c r="D200" s="110">
        <f>IF(B200="","",IFERROR(INDEX('Catalogos_PDN'!$O$5:$O$51,MATCH(B200,PN_AREAS,0)),""))</f>
        <v/>
      </c>
      <c r="E200" s="111" t="n"/>
      <c r="F200" s="110">
        <f>IF(E200="","",IFERROR(INDEX('Catalogos_PDN'!$C$5:$C$49,MATCH(E200,PN_METAS,0)),""))</f>
        <v/>
      </c>
      <c r="G200" s="110">
        <f>IF(E200="","",IFERROR(INDEX('Catalogos_PDN'!$E$5:$E$49,MATCH(E200,PN_METAS,0)),""))</f>
        <v/>
      </c>
      <c r="H200" s="111" t="n"/>
      <c r="I200" s="111" t="n"/>
      <c r="J200" s="111" t="n"/>
      <c r="K200" s="111" t="n"/>
      <c r="L200" s="111" t="n"/>
      <c r="M200" s="112" t="n"/>
      <c r="N200" s="111" t="n"/>
      <c r="O200" s="111" t="n"/>
      <c r="P200" s="111" t="n"/>
      <c r="Q200" s="111" t="n"/>
      <c r="R200" s="111" t="n"/>
      <c r="S200" s="111" t="n"/>
      <c r="T200" s="111" t="n"/>
      <c r="U200" s="111" t="n"/>
      <c r="V200" s="111" t="n"/>
      <c r="W200" s="113" t="n"/>
      <c r="X200" s="113" t="n"/>
      <c r="Y200" s="111" t="n"/>
      <c r="Z200" s="111" t="n"/>
      <c r="AA200" s="111" t="n"/>
      <c r="AB200" s="111" t="n"/>
      <c r="AC200" s="111" t="n"/>
      <c r="AD200" s="111" t="n"/>
      <c r="AE200" s="111" t="n"/>
      <c r="AF200" s="111" t="n"/>
      <c r="AG200" s="111" t="n"/>
      <c r="AH200" s="111" t="n"/>
      <c r="AI200" s="111" t="n"/>
      <c r="AJ200" s="114">
        <f>IF(COUNTA(B200,E200,H200,I200,J200,K200,L200,M200,N200,O200,P200,Q200,R200,S200,T200,U200,V200,W200,X200,Y200,Z200,AA200,AB200,AC200,AD200,AE200,AF200,AG200,AH200,AI200)=0,"",IF(OR(B200="",E200="",H200="",J200="",K200="",L200="",M200="",O200="",P200="",Q200="",R200="",S200="",T200="",U200="",W200="",X200="",Y200="",AB200="",AC200="",AE200="",AF200=""),"Incompleta: faltan campos obligatorios",IF(AND(LEFT(H200,6)="PROPIA",I200=""),"Falta el nombre de la acción propia del área",IF(AND(LEFT(H200,4)="AC27",IFERROR(INDEX('Catalogos_PDN'!$T$5:$T$207,MATCH(H200,'Catalogos_PDN'!$U$5:$U$207,0)),"x")&lt;&gt;LEFT(E200,7)),"La acción no corresponde a la meta seleccionada",IF(OR(NOT(ISNUMBER(M200)),M200&lt;10000000,M200&gt;99999999),"Código UNSPSC inválido: registre 8 dígitos",IF(MOD(M200,10000)=0,"UNSPSC a nivel de segmento o familia: use clase o producto",IF(IFERROR(MATCH(P200,PN_MESES,0)&lt;MATCH(O200,PN_MESES,0),TRUE()),"El mes de ofertas es anterior al de inicio del proceso",IF(OR(NOT(ISNUMBER(Q200)),Q200&lt;=0),"Duración inválida",IF(OR(NOT(ISNUMBER(W200)),NOT(ISNUMBER(X200))),"Valor inválido: registre solo números",IF(OR(W200&lt;=0,X200&lt;=0),"Valor inválido: debe ser mayor que cero",IF(X200&gt;W200,"El valor de la vigencia 2027 supera el valor total",IF(AND(X200&lt;W200,Y200="No"),"El valor total supera el de 2027: requiere vigencias futuras",IF(AND(Y200="Sí",OR(Z200="",Z200="No aplica")),"Indique el estado de la solicitud de vigencias futuras",IF(IF(AND(S200="Mínima cuantía",ISNUMBER(PN_TOPE_MINIMA)),W200&gt;PN_TOPE_MINIMA,FALSE()),"El valor supera el tope de mínima cuantía 2027",IF(IF(AND(S200="Selección abreviada de menor cuantía",ISNUMBER(PN_TOPE_MENOR)),W200&gt;PN_TOPE_MENOR,FALSE()),"El valor supera el tope de menor cuantía 2027",IF(OR(ISERROR(SEARCH("@itc.edu.co",AE200)),SUMPRODUCT(--ISNUMBER(SEARCH({"á","é","í","ó","ú","ñ"," "},AE200)))&gt;0),"El correo del responsable no es institucional válido",IF(AND(AF200="Sí",AG200=""),"Indique el N.° de registro 2026 que continúa","OK")))))))))))))))))</f>
        <v/>
      </c>
      <c r="AK200" s="114">
        <f>IF(AJ200="OK",COUNTIF($AJ$7:AJ200,"OK"),"")</f>
        <v/>
      </c>
    </row>
    <row r="201">
      <c r="A201" s="110">
        <f>"PN27-"&amp;TEXT(ROW()-6,"000")</f>
        <v/>
      </c>
      <c r="B201" s="111" t="n"/>
      <c r="C201" s="110">
        <f>IF(B201="","",IFERROR(INDEX('Catalogos_PDN'!$R$5:$R$51,MATCH(B201,PN_AREAS,0)),""))</f>
        <v/>
      </c>
      <c r="D201" s="110">
        <f>IF(B201="","",IFERROR(INDEX('Catalogos_PDN'!$O$5:$O$51,MATCH(B201,PN_AREAS,0)),""))</f>
        <v/>
      </c>
      <c r="E201" s="111" t="n"/>
      <c r="F201" s="110">
        <f>IF(E201="","",IFERROR(INDEX('Catalogos_PDN'!$C$5:$C$49,MATCH(E201,PN_METAS,0)),""))</f>
        <v/>
      </c>
      <c r="G201" s="110">
        <f>IF(E201="","",IFERROR(INDEX('Catalogos_PDN'!$E$5:$E$49,MATCH(E201,PN_METAS,0)),""))</f>
        <v/>
      </c>
      <c r="H201" s="111" t="n"/>
      <c r="I201" s="111" t="n"/>
      <c r="J201" s="111" t="n"/>
      <c r="K201" s="111" t="n"/>
      <c r="L201" s="111" t="n"/>
      <c r="M201" s="112" t="n"/>
      <c r="N201" s="111" t="n"/>
      <c r="O201" s="111" t="n"/>
      <c r="P201" s="111" t="n"/>
      <c r="Q201" s="111" t="n"/>
      <c r="R201" s="111" t="n"/>
      <c r="S201" s="111" t="n"/>
      <c r="T201" s="111" t="n"/>
      <c r="U201" s="111" t="n"/>
      <c r="V201" s="111" t="n"/>
      <c r="W201" s="113" t="n"/>
      <c r="X201" s="113" t="n"/>
      <c r="Y201" s="111" t="n"/>
      <c r="Z201" s="111" t="n"/>
      <c r="AA201" s="111" t="n"/>
      <c r="AB201" s="111" t="n"/>
      <c r="AC201" s="111" t="n"/>
      <c r="AD201" s="111" t="n"/>
      <c r="AE201" s="111" t="n"/>
      <c r="AF201" s="111" t="n"/>
      <c r="AG201" s="111" t="n"/>
      <c r="AH201" s="111" t="n"/>
      <c r="AI201" s="111" t="n"/>
      <c r="AJ201" s="114">
        <f>IF(COUNTA(B201,E201,H201,I201,J201,K201,L201,M201,N201,O201,P201,Q201,R201,S201,T201,U201,V201,W201,X201,Y201,Z201,AA201,AB201,AC201,AD201,AE201,AF201,AG201,AH201,AI201)=0,"",IF(OR(B201="",E201="",H201="",J201="",K201="",L201="",M201="",O201="",P201="",Q201="",R201="",S201="",T201="",U201="",W201="",X201="",Y201="",AB201="",AC201="",AE201="",AF201=""),"Incompleta: faltan campos obligatorios",IF(AND(LEFT(H201,6)="PROPIA",I201=""),"Falta el nombre de la acción propia del área",IF(AND(LEFT(H201,4)="AC27",IFERROR(INDEX('Catalogos_PDN'!$T$5:$T$207,MATCH(H201,'Catalogos_PDN'!$U$5:$U$207,0)),"x")&lt;&gt;LEFT(E201,7)),"La acción no corresponde a la meta seleccionada",IF(OR(NOT(ISNUMBER(M201)),M201&lt;10000000,M201&gt;99999999),"Código UNSPSC inválido: registre 8 dígitos",IF(MOD(M201,10000)=0,"UNSPSC a nivel de segmento o familia: use clase o producto",IF(IFERROR(MATCH(P201,PN_MESES,0)&lt;MATCH(O201,PN_MESES,0),TRUE()),"El mes de ofertas es anterior al de inicio del proceso",IF(OR(NOT(ISNUMBER(Q201)),Q201&lt;=0),"Duración inválida",IF(OR(NOT(ISNUMBER(W201)),NOT(ISNUMBER(X201))),"Valor inválido: registre solo números",IF(OR(W201&lt;=0,X201&lt;=0),"Valor inválido: debe ser mayor que cero",IF(X201&gt;W201,"El valor de la vigencia 2027 supera el valor total",IF(AND(X201&lt;W201,Y201="No"),"El valor total supera el de 2027: requiere vigencias futuras",IF(AND(Y201="Sí",OR(Z201="",Z201="No aplica")),"Indique el estado de la solicitud de vigencias futuras",IF(IF(AND(S201="Mínima cuantía",ISNUMBER(PN_TOPE_MINIMA)),W201&gt;PN_TOPE_MINIMA,FALSE()),"El valor supera el tope de mínima cuantía 2027",IF(IF(AND(S201="Selección abreviada de menor cuantía",ISNUMBER(PN_TOPE_MENOR)),W201&gt;PN_TOPE_MENOR,FALSE()),"El valor supera el tope de menor cuantía 2027",IF(OR(ISERROR(SEARCH("@itc.edu.co",AE201)),SUMPRODUCT(--ISNUMBER(SEARCH({"á","é","í","ó","ú","ñ"," "},AE201)))&gt;0),"El correo del responsable no es institucional válido",IF(AND(AF201="Sí",AG201=""),"Indique el N.° de registro 2026 que continúa","OK")))))))))))))))))</f>
        <v/>
      </c>
      <c r="AK201" s="114">
        <f>IF(AJ201="OK",COUNTIF($AJ$7:AJ201,"OK"),"")</f>
        <v/>
      </c>
    </row>
    <row r="202">
      <c r="A202" s="110">
        <f>"PN27-"&amp;TEXT(ROW()-6,"000")</f>
        <v/>
      </c>
      <c r="B202" s="111" t="n"/>
      <c r="C202" s="110">
        <f>IF(B202="","",IFERROR(INDEX('Catalogos_PDN'!$R$5:$R$51,MATCH(B202,PN_AREAS,0)),""))</f>
        <v/>
      </c>
      <c r="D202" s="110">
        <f>IF(B202="","",IFERROR(INDEX('Catalogos_PDN'!$O$5:$O$51,MATCH(B202,PN_AREAS,0)),""))</f>
        <v/>
      </c>
      <c r="E202" s="111" t="n"/>
      <c r="F202" s="110">
        <f>IF(E202="","",IFERROR(INDEX('Catalogos_PDN'!$C$5:$C$49,MATCH(E202,PN_METAS,0)),""))</f>
        <v/>
      </c>
      <c r="G202" s="110">
        <f>IF(E202="","",IFERROR(INDEX('Catalogos_PDN'!$E$5:$E$49,MATCH(E202,PN_METAS,0)),""))</f>
        <v/>
      </c>
      <c r="H202" s="111" t="n"/>
      <c r="I202" s="111" t="n"/>
      <c r="J202" s="111" t="n"/>
      <c r="K202" s="111" t="n"/>
      <c r="L202" s="111" t="n"/>
      <c r="M202" s="112" t="n"/>
      <c r="N202" s="111" t="n"/>
      <c r="O202" s="111" t="n"/>
      <c r="P202" s="111" t="n"/>
      <c r="Q202" s="111" t="n"/>
      <c r="R202" s="111" t="n"/>
      <c r="S202" s="111" t="n"/>
      <c r="T202" s="111" t="n"/>
      <c r="U202" s="111" t="n"/>
      <c r="V202" s="111" t="n"/>
      <c r="W202" s="113" t="n"/>
      <c r="X202" s="113" t="n"/>
      <c r="Y202" s="111" t="n"/>
      <c r="Z202" s="111" t="n"/>
      <c r="AA202" s="111" t="n"/>
      <c r="AB202" s="111" t="n"/>
      <c r="AC202" s="111" t="n"/>
      <c r="AD202" s="111" t="n"/>
      <c r="AE202" s="111" t="n"/>
      <c r="AF202" s="111" t="n"/>
      <c r="AG202" s="111" t="n"/>
      <c r="AH202" s="111" t="n"/>
      <c r="AI202" s="111" t="n"/>
      <c r="AJ202" s="114">
        <f>IF(COUNTA(B202,E202,H202,I202,J202,K202,L202,M202,N202,O202,P202,Q202,R202,S202,T202,U202,V202,W202,X202,Y202,Z202,AA202,AB202,AC202,AD202,AE202,AF202,AG202,AH202,AI202)=0,"",IF(OR(B202="",E202="",H202="",J202="",K202="",L202="",M202="",O202="",P202="",Q202="",R202="",S202="",T202="",U202="",W202="",X202="",Y202="",AB202="",AC202="",AE202="",AF202=""),"Incompleta: faltan campos obligatorios",IF(AND(LEFT(H202,6)="PROPIA",I202=""),"Falta el nombre de la acción propia del área",IF(AND(LEFT(H202,4)="AC27",IFERROR(INDEX('Catalogos_PDN'!$T$5:$T$207,MATCH(H202,'Catalogos_PDN'!$U$5:$U$207,0)),"x")&lt;&gt;LEFT(E202,7)),"La acción no corresponde a la meta seleccionada",IF(OR(NOT(ISNUMBER(M202)),M202&lt;10000000,M202&gt;99999999),"Código UNSPSC inválido: registre 8 dígitos",IF(MOD(M202,10000)=0,"UNSPSC a nivel de segmento o familia: use clase o producto",IF(IFERROR(MATCH(P202,PN_MESES,0)&lt;MATCH(O202,PN_MESES,0),TRUE()),"El mes de ofertas es anterior al de inicio del proceso",IF(OR(NOT(ISNUMBER(Q202)),Q202&lt;=0),"Duración inválida",IF(OR(NOT(ISNUMBER(W202)),NOT(ISNUMBER(X202))),"Valor inválido: registre solo números",IF(OR(W202&lt;=0,X202&lt;=0),"Valor inválido: debe ser mayor que cero",IF(X202&gt;W202,"El valor de la vigencia 2027 supera el valor total",IF(AND(X202&lt;W202,Y202="No"),"El valor total supera el de 2027: requiere vigencias futuras",IF(AND(Y202="Sí",OR(Z202="",Z202="No aplica")),"Indique el estado de la solicitud de vigencias futuras",IF(IF(AND(S202="Mínima cuantía",ISNUMBER(PN_TOPE_MINIMA)),W202&gt;PN_TOPE_MINIMA,FALSE()),"El valor supera el tope de mínima cuantía 2027",IF(IF(AND(S202="Selección abreviada de menor cuantía",ISNUMBER(PN_TOPE_MENOR)),W202&gt;PN_TOPE_MENOR,FALSE()),"El valor supera el tope de menor cuantía 2027",IF(OR(ISERROR(SEARCH("@itc.edu.co",AE202)),SUMPRODUCT(--ISNUMBER(SEARCH({"á","é","í","ó","ú","ñ"," "},AE202)))&gt;0),"El correo del responsable no es institucional válido",IF(AND(AF202="Sí",AG202=""),"Indique el N.° de registro 2026 que continúa","OK")))))))))))))))))</f>
        <v/>
      </c>
      <c r="AK202" s="114">
        <f>IF(AJ202="OK",COUNTIF($AJ$7:AJ202,"OK"),"")</f>
        <v/>
      </c>
    </row>
    <row r="203">
      <c r="A203" s="110">
        <f>"PN27-"&amp;TEXT(ROW()-6,"000")</f>
        <v/>
      </c>
      <c r="B203" s="111" t="n"/>
      <c r="C203" s="110">
        <f>IF(B203="","",IFERROR(INDEX('Catalogos_PDN'!$R$5:$R$51,MATCH(B203,PN_AREAS,0)),""))</f>
        <v/>
      </c>
      <c r="D203" s="110">
        <f>IF(B203="","",IFERROR(INDEX('Catalogos_PDN'!$O$5:$O$51,MATCH(B203,PN_AREAS,0)),""))</f>
        <v/>
      </c>
      <c r="E203" s="111" t="n"/>
      <c r="F203" s="110">
        <f>IF(E203="","",IFERROR(INDEX('Catalogos_PDN'!$C$5:$C$49,MATCH(E203,PN_METAS,0)),""))</f>
        <v/>
      </c>
      <c r="G203" s="110">
        <f>IF(E203="","",IFERROR(INDEX('Catalogos_PDN'!$E$5:$E$49,MATCH(E203,PN_METAS,0)),""))</f>
        <v/>
      </c>
      <c r="H203" s="111" t="n"/>
      <c r="I203" s="111" t="n"/>
      <c r="J203" s="111" t="n"/>
      <c r="K203" s="111" t="n"/>
      <c r="L203" s="111" t="n"/>
      <c r="M203" s="112" t="n"/>
      <c r="N203" s="111" t="n"/>
      <c r="O203" s="111" t="n"/>
      <c r="P203" s="111" t="n"/>
      <c r="Q203" s="111" t="n"/>
      <c r="R203" s="111" t="n"/>
      <c r="S203" s="111" t="n"/>
      <c r="T203" s="111" t="n"/>
      <c r="U203" s="111" t="n"/>
      <c r="V203" s="111" t="n"/>
      <c r="W203" s="113" t="n"/>
      <c r="X203" s="113" t="n"/>
      <c r="Y203" s="111" t="n"/>
      <c r="Z203" s="111" t="n"/>
      <c r="AA203" s="111" t="n"/>
      <c r="AB203" s="111" t="n"/>
      <c r="AC203" s="111" t="n"/>
      <c r="AD203" s="111" t="n"/>
      <c r="AE203" s="111" t="n"/>
      <c r="AF203" s="111" t="n"/>
      <c r="AG203" s="111" t="n"/>
      <c r="AH203" s="111" t="n"/>
      <c r="AI203" s="111" t="n"/>
      <c r="AJ203" s="114">
        <f>IF(COUNTA(B203,E203,H203,I203,J203,K203,L203,M203,N203,O203,P203,Q203,R203,S203,T203,U203,V203,W203,X203,Y203,Z203,AA203,AB203,AC203,AD203,AE203,AF203,AG203,AH203,AI203)=0,"",IF(OR(B203="",E203="",H203="",J203="",K203="",L203="",M203="",O203="",P203="",Q203="",R203="",S203="",T203="",U203="",W203="",X203="",Y203="",AB203="",AC203="",AE203="",AF203=""),"Incompleta: faltan campos obligatorios",IF(AND(LEFT(H203,6)="PROPIA",I203=""),"Falta el nombre de la acción propia del área",IF(AND(LEFT(H203,4)="AC27",IFERROR(INDEX('Catalogos_PDN'!$T$5:$T$207,MATCH(H203,'Catalogos_PDN'!$U$5:$U$207,0)),"x")&lt;&gt;LEFT(E203,7)),"La acción no corresponde a la meta seleccionada",IF(OR(NOT(ISNUMBER(M203)),M203&lt;10000000,M203&gt;99999999),"Código UNSPSC inválido: registre 8 dígitos",IF(MOD(M203,10000)=0,"UNSPSC a nivel de segmento o familia: use clase o producto",IF(IFERROR(MATCH(P203,PN_MESES,0)&lt;MATCH(O203,PN_MESES,0),TRUE()),"El mes de ofertas es anterior al de inicio del proceso",IF(OR(NOT(ISNUMBER(Q203)),Q203&lt;=0),"Duración inválida",IF(OR(NOT(ISNUMBER(W203)),NOT(ISNUMBER(X203))),"Valor inválido: registre solo números",IF(OR(W203&lt;=0,X203&lt;=0),"Valor inválido: debe ser mayor que cero",IF(X203&gt;W203,"El valor de la vigencia 2027 supera el valor total",IF(AND(X203&lt;W203,Y203="No"),"El valor total supera el de 2027: requiere vigencias futuras",IF(AND(Y203="Sí",OR(Z203="",Z203="No aplica")),"Indique el estado de la solicitud de vigencias futuras",IF(IF(AND(S203="Mínima cuantía",ISNUMBER(PN_TOPE_MINIMA)),W203&gt;PN_TOPE_MINIMA,FALSE()),"El valor supera el tope de mínima cuantía 2027",IF(IF(AND(S203="Selección abreviada de menor cuantía",ISNUMBER(PN_TOPE_MENOR)),W203&gt;PN_TOPE_MENOR,FALSE()),"El valor supera el tope de menor cuantía 2027",IF(OR(ISERROR(SEARCH("@itc.edu.co",AE203)),SUMPRODUCT(--ISNUMBER(SEARCH({"á","é","í","ó","ú","ñ"," "},AE203)))&gt;0),"El correo del responsable no es institucional válido",IF(AND(AF203="Sí",AG203=""),"Indique el N.° de registro 2026 que continúa","OK")))))))))))))))))</f>
        <v/>
      </c>
      <c r="AK203" s="114">
        <f>IF(AJ203="OK",COUNTIF($AJ$7:AJ203,"OK"),"")</f>
        <v/>
      </c>
    </row>
    <row r="204">
      <c r="A204" s="110">
        <f>"PN27-"&amp;TEXT(ROW()-6,"000")</f>
        <v/>
      </c>
      <c r="B204" s="111" t="n"/>
      <c r="C204" s="110">
        <f>IF(B204="","",IFERROR(INDEX('Catalogos_PDN'!$R$5:$R$51,MATCH(B204,PN_AREAS,0)),""))</f>
        <v/>
      </c>
      <c r="D204" s="110">
        <f>IF(B204="","",IFERROR(INDEX('Catalogos_PDN'!$O$5:$O$51,MATCH(B204,PN_AREAS,0)),""))</f>
        <v/>
      </c>
      <c r="E204" s="111" t="n"/>
      <c r="F204" s="110">
        <f>IF(E204="","",IFERROR(INDEX('Catalogos_PDN'!$C$5:$C$49,MATCH(E204,PN_METAS,0)),""))</f>
        <v/>
      </c>
      <c r="G204" s="110">
        <f>IF(E204="","",IFERROR(INDEX('Catalogos_PDN'!$E$5:$E$49,MATCH(E204,PN_METAS,0)),""))</f>
        <v/>
      </c>
      <c r="H204" s="111" t="n"/>
      <c r="I204" s="111" t="n"/>
      <c r="J204" s="111" t="n"/>
      <c r="K204" s="111" t="n"/>
      <c r="L204" s="111" t="n"/>
      <c r="M204" s="112" t="n"/>
      <c r="N204" s="111" t="n"/>
      <c r="O204" s="111" t="n"/>
      <c r="P204" s="111" t="n"/>
      <c r="Q204" s="111" t="n"/>
      <c r="R204" s="111" t="n"/>
      <c r="S204" s="111" t="n"/>
      <c r="T204" s="111" t="n"/>
      <c r="U204" s="111" t="n"/>
      <c r="V204" s="111" t="n"/>
      <c r="W204" s="113" t="n"/>
      <c r="X204" s="113" t="n"/>
      <c r="Y204" s="111" t="n"/>
      <c r="Z204" s="111" t="n"/>
      <c r="AA204" s="111" t="n"/>
      <c r="AB204" s="111" t="n"/>
      <c r="AC204" s="111" t="n"/>
      <c r="AD204" s="111" t="n"/>
      <c r="AE204" s="111" t="n"/>
      <c r="AF204" s="111" t="n"/>
      <c r="AG204" s="111" t="n"/>
      <c r="AH204" s="111" t="n"/>
      <c r="AI204" s="111" t="n"/>
      <c r="AJ204" s="114">
        <f>IF(COUNTA(B204,E204,H204,I204,J204,K204,L204,M204,N204,O204,P204,Q204,R204,S204,T204,U204,V204,W204,X204,Y204,Z204,AA204,AB204,AC204,AD204,AE204,AF204,AG204,AH204,AI204)=0,"",IF(OR(B204="",E204="",H204="",J204="",K204="",L204="",M204="",O204="",P204="",Q204="",R204="",S204="",T204="",U204="",W204="",X204="",Y204="",AB204="",AC204="",AE204="",AF204=""),"Incompleta: faltan campos obligatorios",IF(AND(LEFT(H204,6)="PROPIA",I204=""),"Falta el nombre de la acción propia del área",IF(AND(LEFT(H204,4)="AC27",IFERROR(INDEX('Catalogos_PDN'!$T$5:$T$207,MATCH(H204,'Catalogos_PDN'!$U$5:$U$207,0)),"x")&lt;&gt;LEFT(E204,7)),"La acción no corresponde a la meta seleccionada",IF(OR(NOT(ISNUMBER(M204)),M204&lt;10000000,M204&gt;99999999),"Código UNSPSC inválido: registre 8 dígitos",IF(MOD(M204,10000)=0,"UNSPSC a nivel de segmento o familia: use clase o producto",IF(IFERROR(MATCH(P204,PN_MESES,0)&lt;MATCH(O204,PN_MESES,0),TRUE()),"El mes de ofertas es anterior al de inicio del proceso",IF(OR(NOT(ISNUMBER(Q204)),Q204&lt;=0),"Duración inválida",IF(OR(NOT(ISNUMBER(W204)),NOT(ISNUMBER(X204))),"Valor inválido: registre solo números",IF(OR(W204&lt;=0,X204&lt;=0),"Valor inválido: debe ser mayor que cero",IF(X204&gt;W204,"El valor de la vigencia 2027 supera el valor total",IF(AND(X204&lt;W204,Y204="No"),"El valor total supera el de 2027: requiere vigencias futuras",IF(AND(Y204="Sí",OR(Z204="",Z204="No aplica")),"Indique el estado de la solicitud de vigencias futuras",IF(IF(AND(S204="Mínima cuantía",ISNUMBER(PN_TOPE_MINIMA)),W204&gt;PN_TOPE_MINIMA,FALSE()),"El valor supera el tope de mínima cuantía 2027",IF(IF(AND(S204="Selección abreviada de menor cuantía",ISNUMBER(PN_TOPE_MENOR)),W204&gt;PN_TOPE_MENOR,FALSE()),"El valor supera el tope de menor cuantía 2027",IF(OR(ISERROR(SEARCH("@itc.edu.co",AE204)),SUMPRODUCT(--ISNUMBER(SEARCH({"á","é","í","ó","ú","ñ"," "},AE204)))&gt;0),"El correo del responsable no es institucional válido",IF(AND(AF204="Sí",AG204=""),"Indique el N.° de registro 2026 que continúa","OK")))))))))))))))))</f>
        <v/>
      </c>
      <c r="AK204" s="114">
        <f>IF(AJ204="OK",COUNTIF($AJ$7:AJ204,"OK"),"")</f>
        <v/>
      </c>
    </row>
    <row r="205">
      <c r="A205" s="110">
        <f>"PN27-"&amp;TEXT(ROW()-6,"000")</f>
        <v/>
      </c>
      <c r="B205" s="111" t="n"/>
      <c r="C205" s="110">
        <f>IF(B205="","",IFERROR(INDEX('Catalogos_PDN'!$R$5:$R$51,MATCH(B205,PN_AREAS,0)),""))</f>
        <v/>
      </c>
      <c r="D205" s="110">
        <f>IF(B205="","",IFERROR(INDEX('Catalogos_PDN'!$O$5:$O$51,MATCH(B205,PN_AREAS,0)),""))</f>
        <v/>
      </c>
      <c r="E205" s="111" t="n"/>
      <c r="F205" s="110">
        <f>IF(E205="","",IFERROR(INDEX('Catalogos_PDN'!$C$5:$C$49,MATCH(E205,PN_METAS,0)),""))</f>
        <v/>
      </c>
      <c r="G205" s="110">
        <f>IF(E205="","",IFERROR(INDEX('Catalogos_PDN'!$E$5:$E$49,MATCH(E205,PN_METAS,0)),""))</f>
        <v/>
      </c>
      <c r="H205" s="111" t="n"/>
      <c r="I205" s="111" t="n"/>
      <c r="J205" s="111" t="n"/>
      <c r="K205" s="111" t="n"/>
      <c r="L205" s="111" t="n"/>
      <c r="M205" s="112" t="n"/>
      <c r="N205" s="111" t="n"/>
      <c r="O205" s="111" t="n"/>
      <c r="P205" s="111" t="n"/>
      <c r="Q205" s="111" t="n"/>
      <c r="R205" s="111" t="n"/>
      <c r="S205" s="111" t="n"/>
      <c r="T205" s="111" t="n"/>
      <c r="U205" s="111" t="n"/>
      <c r="V205" s="111" t="n"/>
      <c r="W205" s="113" t="n"/>
      <c r="X205" s="113" t="n"/>
      <c r="Y205" s="111" t="n"/>
      <c r="Z205" s="111" t="n"/>
      <c r="AA205" s="111" t="n"/>
      <c r="AB205" s="111" t="n"/>
      <c r="AC205" s="111" t="n"/>
      <c r="AD205" s="111" t="n"/>
      <c r="AE205" s="111" t="n"/>
      <c r="AF205" s="111" t="n"/>
      <c r="AG205" s="111" t="n"/>
      <c r="AH205" s="111" t="n"/>
      <c r="AI205" s="111" t="n"/>
      <c r="AJ205" s="114">
        <f>IF(COUNTA(B205,E205,H205,I205,J205,K205,L205,M205,N205,O205,P205,Q205,R205,S205,T205,U205,V205,W205,X205,Y205,Z205,AA205,AB205,AC205,AD205,AE205,AF205,AG205,AH205,AI205)=0,"",IF(OR(B205="",E205="",H205="",J205="",K205="",L205="",M205="",O205="",P205="",Q205="",R205="",S205="",T205="",U205="",W205="",X205="",Y205="",AB205="",AC205="",AE205="",AF205=""),"Incompleta: faltan campos obligatorios",IF(AND(LEFT(H205,6)="PROPIA",I205=""),"Falta el nombre de la acción propia del área",IF(AND(LEFT(H205,4)="AC27",IFERROR(INDEX('Catalogos_PDN'!$T$5:$T$207,MATCH(H205,'Catalogos_PDN'!$U$5:$U$207,0)),"x")&lt;&gt;LEFT(E205,7)),"La acción no corresponde a la meta seleccionada",IF(OR(NOT(ISNUMBER(M205)),M205&lt;10000000,M205&gt;99999999),"Código UNSPSC inválido: registre 8 dígitos",IF(MOD(M205,10000)=0,"UNSPSC a nivel de segmento o familia: use clase o producto",IF(IFERROR(MATCH(P205,PN_MESES,0)&lt;MATCH(O205,PN_MESES,0),TRUE()),"El mes de ofertas es anterior al de inicio del proceso",IF(OR(NOT(ISNUMBER(Q205)),Q205&lt;=0),"Duración inválida",IF(OR(NOT(ISNUMBER(W205)),NOT(ISNUMBER(X205))),"Valor inválido: registre solo números",IF(OR(W205&lt;=0,X205&lt;=0),"Valor inválido: debe ser mayor que cero",IF(X205&gt;W205,"El valor de la vigencia 2027 supera el valor total",IF(AND(X205&lt;W205,Y205="No"),"El valor total supera el de 2027: requiere vigencias futuras",IF(AND(Y205="Sí",OR(Z205="",Z205="No aplica")),"Indique el estado de la solicitud de vigencias futuras",IF(IF(AND(S205="Mínima cuantía",ISNUMBER(PN_TOPE_MINIMA)),W205&gt;PN_TOPE_MINIMA,FALSE()),"El valor supera el tope de mínima cuantía 2027",IF(IF(AND(S205="Selección abreviada de menor cuantía",ISNUMBER(PN_TOPE_MENOR)),W205&gt;PN_TOPE_MENOR,FALSE()),"El valor supera el tope de menor cuantía 2027",IF(OR(ISERROR(SEARCH("@itc.edu.co",AE205)),SUMPRODUCT(--ISNUMBER(SEARCH({"á","é","í","ó","ú","ñ"," "},AE205)))&gt;0),"El correo del responsable no es institucional válido",IF(AND(AF205="Sí",AG205=""),"Indique el N.° de registro 2026 que continúa","OK")))))))))))))))))</f>
        <v/>
      </c>
      <c r="AK205" s="114">
        <f>IF(AJ205="OK",COUNTIF($AJ$7:AJ205,"OK"),"")</f>
        <v/>
      </c>
    </row>
    <row r="206">
      <c r="A206" s="110">
        <f>"PN27-"&amp;TEXT(ROW()-6,"000")</f>
        <v/>
      </c>
      <c r="B206" s="111" t="n"/>
      <c r="C206" s="110">
        <f>IF(B206="","",IFERROR(INDEX('Catalogos_PDN'!$R$5:$R$51,MATCH(B206,PN_AREAS,0)),""))</f>
        <v/>
      </c>
      <c r="D206" s="110">
        <f>IF(B206="","",IFERROR(INDEX('Catalogos_PDN'!$O$5:$O$51,MATCH(B206,PN_AREAS,0)),""))</f>
        <v/>
      </c>
      <c r="E206" s="111" t="n"/>
      <c r="F206" s="110">
        <f>IF(E206="","",IFERROR(INDEX('Catalogos_PDN'!$C$5:$C$49,MATCH(E206,PN_METAS,0)),""))</f>
        <v/>
      </c>
      <c r="G206" s="110">
        <f>IF(E206="","",IFERROR(INDEX('Catalogos_PDN'!$E$5:$E$49,MATCH(E206,PN_METAS,0)),""))</f>
        <v/>
      </c>
      <c r="H206" s="111" t="n"/>
      <c r="I206" s="111" t="n"/>
      <c r="J206" s="111" t="n"/>
      <c r="K206" s="111" t="n"/>
      <c r="L206" s="111" t="n"/>
      <c r="M206" s="112" t="n"/>
      <c r="N206" s="111" t="n"/>
      <c r="O206" s="111" t="n"/>
      <c r="P206" s="111" t="n"/>
      <c r="Q206" s="111" t="n"/>
      <c r="R206" s="111" t="n"/>
      <c r="S206" s="111" t="n"/>
      <c r="T206" s="111" t="n"/>
      <c r="U206" s="111" t="n"/>
      <c r="V206" s="111" t="n"/>
      <c r="W206" s="113" t="n"/>
      <c r="X206" s="113" t="n"/>
      <c r="Y206" s="111" t="n"/>
      <c r="Z206" s="111" t="n"/>
      <c r="AA206" s="111" t="n"/>
      <c r="AB206" s="111" t="n"/>
      <c r="AC206" s="111" t="n"/>
      <c r="AD206" s="111" t="n"/>
      <c r="AE206" s="111" t="n"/>
      <c r="AF206" s="111" t="n"/>
      <c r="AG206" s="111" t="n"/>
      <c r="AH206" s="111" t="n"/>
      <c r="AI206" s="111" t="n"/>
      <c r="AJ206" s="114">
        <f>IF(COUNTA(B206,E206,H206,I206,J206,K206,L206,M206,N206,O206,P206,Q206,R206,S206,T206,U206,V206,W206,X206,Y206,Z206,AA206,AB206,AC206,AD206,AE206,AF206,AG206,AH206,AI206)=0,"",IF(OR(B206="",E206="",H206="",J206="",K206="",L206="",M206="",O206="",P206="",Q206="",R206="",S206="",T206="",U206="",W206="",X206="",Y206="",AB206="",AC206="",AE206="",AF206=""),"Incompleta: faltan campos obligatorios",IF(AND(LEFT(H206,6)="PROPIA",I206=""),"Falta el nombre de la acción propia del área",IF(AND(LEFT(H206,4)="AC27",IFERROR(INDEX('Catalogos_PDN'!$T$5:$T$207,MATCH(H206,'Catalogos_PDN'!$U$5:$U$207,0)),"x")&lt;&gt;LEFT(E206,7)),"La acción no corresponde a la meta seleccionada",IF(OR(NOT(ISNUMBER(M206)),M206&lt;10000000,M206&gt;99999999),"Código UNSPSC inválido: registre 8 dígitos",IF(MOD(M206,10000)=0,"UNSPSC a nivel de segmento o familia: use clase o producto",IF(IFERROR(MATCH(P206,PN_MESES,0)&lt;MATCH(O206,PN_MESES,0),TRUE()),"El mes de ofertas es anterior al de inicio del proceso",IF(OR(NOT(ISNUMBER(Q206)),Q206&lt;=0),"Duración inválida",IF(OR(NOT(ISNUMBER(W206)),NOT(ISNUMBER(X206))),"Valor inválido: registre solo números",IF(OR(W206&lt;=0,X206&lt;=0),"Valor inválido: debe ser mayor que cero",IF(X206&gt;W206,"El valor de la vigencia 2027 supera el valor total",IF(AND(X206&lt;W206,Y206="No"),"El valor total supera el de 2027: requiere vigencias futuras",IF(AND(Y206="Sí",OR(Z206="",Z206="No aplica")),"Indique el estado de la solicitud de vigencias futuras",IF(IF(AND(S206="Mínima cuantía",ISNUMBER(PN_TOPE_MINIMA)),W206&gt;PN_TOPE_MINIMA,FALSE()),"El valor supera el tope de mínima cuantía 2027",IF(IF(AND(S206="Selección abreviada de menor cuantía",ISNUMBER(PN_TOPE_MENOR)),W206&gt;PN_TOPE_MENOR,FALSE()),"El valor supera el tope de menor cuantía 2027",IF(OR(ISERROR(SEARCH("@itc.edu.co",AE206)),SUMPRODUCT(--ISNUMBER(SEARCH({"á","é","í","ó","ú","ñ"," "},AE206)))&gt;0),"El correo del responsable no es institucional válido",IF(AND(AF206="Sí",AG206=""),"Indique el N.° de registro 2026 que continúa","OK")))))))))))))))))</f>
        <v/>
      </c>
      <c r="AK206" s="114">
        <f>IF(AJ206="OK",COUNTIF($AJ$7:AJ206,"OK"),"")</f>
        <v/>
      </c>
    </row>
    <row r="207">
      <c r="A207" s="110">
        <f>"PN27-"&amp;TEXT(ROW()-6,"000")</f>
        <v/>
      </c>
      <c r="B207" s="111" t="n"/>
      <c r="C207" s="110">
        <f>IF(B207="","",IFERROR(INDEX('Catalogos_PDN'!$R$5:$R$51,MATCH(B207,PN_AREAS,0)),""))</f>
        <v/>
      </c>
      <c r="D207" s="110">
        <f>IF(B207="","",IFERROR(INDEX('Catalogos_PDN'!$O$5:$O$51,MATCH(B207,PN_AREAS,0)),""))</f>
        <v/>
      </c>
      <c r="E207" s="111" t="n"/>
      <c r="F207" s="110">
        <f>IF(E207="","",IFERROR(INDEX('Catalogos_PDN'!$C$5:$C$49,MATCH(E207,PN_METAS,0)),""))</f>
        <v/>
      </c>
      <c r="G207" s="110">
        <f>IF(E207="","",IFERROR(INDEX('Catalogos_PDN'!$E$5:$E$49,MATCH(E207,PN_METAS,0)),""))</f>
        <v/>
      </c>
      <c r="H207" s="111" t="n"/>
      <c r="I207" s="111" t="n"/>
      <c r="J207" s="111" t="n"/>
      <c r="K207" s="111" t="n"/>
      <c r="L207" s="111" t="n"/>
      <c r="M207" s="112" t="n"/>
      <c r="N207" s="111" t="n"/>
      <c r="O207" s="111" t="n"/>
      <c r="P207" s="111" t="n"/>
      <c r="Q207" s="111" t="n"/>
      <c r="R207" s="111" t="n"/>
      <c r="S207" s="111" t="n"/>
      <c r="T207" s="111" t="n"/>
      <c r="U207" s="111" t="n"/>
      <c r="V207" s="111" t="n"/>
      <c r="W207" s="113" t="n"/>
      <c r="X207" s="113" t="n"/>
      <c r="Y207" s="111" t="n"/>
      <c r="Z207" s="111" t="n"/>
      <c r="AA207" s="111" t="n"/>
      <c r="AB207" s="111" t="n"/>
      <c r="AC207" s="111" t="n"/>
      <c r="AD207" s="111" t="n"/>
      <c r="AE207" s="111" t="n"/>
      <c r="AF207" s="111" t="n"/>
      <c r="AG207" s="111" t="n"/>
      <c r="AH207" s="111" t="n"/>
      <c r="AI207" s="111" t="n"/>
      <c r="AJ207" s="114">
        <f>IF(COUNTA(B207,E207,H207,I207,J207,K207,L207,M207,N207,O207,P207,Q207,R207,S207,T207,U207,V207,W207,X207,Y207,Z207,AA207,AB207,AC207,AD207,AE207,AF207,AG207,AH207,AI207)=0,"",IF(OR(B207="",E207="",H207="",J207="",K207="",L207="",M207="",O207="",P207="",Q207="",R207="",S207="",T207="",U207="",W207="",X207="",Y207="",AB207="",AC207="",AE207="",AF207=""),"Incompleta: faltan campos obligatorios",IF(AND(LEFT(H207,6)="PROPIA",I207=""),"Falta el nombre de la acción propia del área",IF(AND(LEFT(H207,4)="AC27",IFERROR(INDEX('Catalogos_PDN'!$T$5:$T$207,MATCH(H207,'Catalogos_PDN'!$U$5:$U$207,0)),"x")&lt;&gt;LEFT(E207,7)),"La acción no corresponde a la meta seleccionada",IF(OR(NOT(ISNUMBER(M207)),M207&lt;10000000,M207&gt;99999999),"Código UNSPSC inválido: registre 8 dígitos",IF(MOD(M207,10000)=0,"UNSPSC a nivel de segmento o familia: use clase o producto",IF(IFERROR(MATCH(P207,PN_MESES,0)&lt;MATCH(O207,PN_MESES,0),TRUE()),"El mes de ofertas es anterior al de inicio del proceso",IF(OR(NOT(ISNUMBER(Q207)),Q207&lt;=0),"Duración inválida",IF(OR(NOT(ISNUMBER(W207)),NOT(ISNUMBER(X207))),"Valor inválido: registre solo números",IF(OR(W207&lt;=0,X207&lt;=0),"Valor inválido: debe ser mayor que cero",IF(X207&gt;W207,"El valor de la vigencia 2027 supera el valor total",IF(AND(X207&lt;W207,Y207="No"),"El valor total supera el de 2027: requiere vigencias futuras",IF(AND(Y207="Sí",OR(Z207="",Z207="No aplica")),"Indique el estado de la solicitud de vigencias futuras",IF(IF(AND(S207="Mínima cuantía",ISNUMBER(PN_TOPE_MINIMA)),W207&gt;PN_TOPE_MINIMA,FALSE()),"El valor supera el tope de mínima cuantía 2027",IF(IF(AND(S207="Selección abreviada de menor cuantía",ISNUMBER(PN_TOPE_MENOR)),W207&gt;PN_TOPE_MENOR,FALSE()),"El valor supera el tope de menor cuantía 2027",IF(OR(ISERROR(SEARCH("@itc.edu.co",AE207)),SUMPRODUCT(--ISNUMBER(SEARCH({"á","é","í","ó","ú","ñ"," "},AE207)))&gt;0),"El correo del responsable no es institucional válido",IF(AND(AF207="Sí",AG207=""),"Indique el N.° de registro 2026 que continúa","OK")))))))))))))))))</f>
        <v/>
      </c>
      <c r="AK207" s="114">
        <f>IF(AJ207="OK",COUNTIF($AJ$7:AJ207,"OK"),"")</f>
        <v/>
      </c>
    </row>
    <row r="208">
      <c r="A208" s="110">
        <f>"PN27-"&amp;TEXT(ROW()-6,"000")</f>
        <v/>
      </c>
      <c r="B208" s="111" t="n"/>
      <c r="C208" s="110">
        <f>IF(B208="","",IFERROR(INDEX('Catalogos_PDN'!$R$5:$R$51,MATCH(B208,PN_AREAS,0)),""))</f>
        <v/>
      </c>
      <c r="D208" s="110">
        <f>IF(B208="","",IFERROR(INDEX('Catalogos_PDN'!$O$5:$O$51,MATCH(B208,PN_AREAS,0)),""))</f>
        <v/>
      </c>
      <c r="E208" s="111" t="n"/>
      <c r="F208" s="110">
        <f>IF(E208="","",IFERROR(INDEX('Catalogos_PDN'!$C$5:$C$49,MATCH(E208,PN_METAS,0)),""))</f>
        <v/>
      </c>
      <c r="G208" s="110">
        <f>IF(E208="","",IFERROR(INDEX('Catalogos_PDN'!$E$5:$E$49,MATCH(E208,PN_METAS,0)),""))</f>
        <v/>
      </c>
      <c r="H208" s="111" t="n"/>
      <c r="I208" s="111" t="n"/>
      <c r="J208" s="111" t="n"/>
      <c r="K208" s="111" t="n"/>
      <c r="L208" s="111" t="n"/>
      <c r="M208" s="112" t="n"/>
      <c r="N208" s="111" t="n"/>
      <c r="O208" s="111" t="n"/>
      <c r="P208" s="111" t="n"/>
      <c r="Q208" s="111" t="n"/>
      <c r="R208" s="111" t="n"/>
      <c r="S208" s="111" t="n"/>
      <c r="T208" s="111" t="n"/>
      <c r="U208" s="111" t="n"/>
      <c r="V208" s="111" t="n"/>
      <c r="W208" s="113" t="n"/>
      <c r="X208" s="113" t="n"/>
      <c r="Y208" s="111" t="n"/>
      <c r="Z208" s="111" t="n"/>
      <c r="AA208" s="111" t="n"/>
      <c r="AB208" s="111" t="n"/>
      <c r="AC208" s="111" t="n"/>
      <c r="AD208" s="111" t="n"/>
      <c r="AE208" s="111" t="n"/>
      <c r="AF208" s="111" t="n"/>
      <c r="AG208" s="111" t="n"/>
      <c r="AH208" s="111" t="n"/>
      <c r="AI208" s="111" t="n"/>
      <c r="AJ208" s="114">
        <f>IF(COUNTA(B208,E208,H208,I208,J208,K208,L208,M208,N208,O208,P208,Q208,R208,S208,T208,U208,V208,W208,X208,Y208,Z208,AA208,AB208,AC208,AD208,AE208,AF208,AG208,AH208,AI208)=0,"",IF(OR(B208="",E208="",H208="",J208="",K208="",L208="",M208="",O208="",P208="",Q208="",R208="",S208="",T208="",U208="",W208="",X208="",Y208="",AB208="",AC208="",AE208="",AF208=""),"Incompleta: faltan campos obligatorios",IF(AND(LEFT(H208,6)="PROPIA",I208=""),"Falta el nombre de la acción propia del área",IF(AND(LEFT(H208,4)="AC27",IFERROR(INDEX('Catalogos_PDN'!$T$5:$T$207,MATCH(H208,'Catalogos_PDN'!$U$5:$U$207,0)),"x")&lt;&gt;LEFT(E208,7)),"La acción no corresponde a la meta seleccionada",IF(OR(NOT(ISNUMBER(M208)),M208&lt;10000000,M208&gt;99999999),"Código UNSPSC inválido: registre 8 dígitos",IF(MOD(M208,10000)=0,"UNSPSC a nivel de segmento o familia: use clase o producto",IF(IFERROR(MATCH(P208,PN_MESES,0)&lt;MATCH(O208,PN_MESES,0),TRUE()),"El mes de ofertas es anterior al de inicio del proceso",IF(OR(NOT(ISNUMBER(Q208)),Q208&lt;=0),"Duración inválida",IF(OR(NOT(ISNUMBER(W208)),NOT(ISNUMBER(X208))),"Valor inválido: registre solo números",IF(OR(W208&lt;=0,X208&lt;=0),"Valor inválido: debe ser mayor que cero",IF(X208&gt;W208,"El valor de la vigencia 2027 supera el valor total",IF(AND(X208&lt;W208,Y208="No"),"El valor total supera el de 2027: requiere vigencias futuras",IF(AND(Y208="Sí",OR(Z208="",Z208="No aplica")),"Indique el estado de la solicitud de vigencias futuras",IF(IF(AND(S208="Mínima cuantía",ISNUMBER(PN_TOPE_MINIMA)),W208&gt;PN_TOPE_MINIMA,FALSE()),"El valor supera el tope de mínima cuantía 2027",IF(IF(AND(S208="Selección abreviada de menor cuantía",ISNUMBER(PN_TOPE_MENOR)),W208&gt;PN_TOPE_MENOR,FALSE()),"El valor supera el tope de menor cuantía 2027",IF(OR(ISERROR(SEARCH("@itc.edu.co",AE208)),SUMPRODUCT(--ISNUMBER(SEARCH({"á","é","í","ó","ú","ñ"," "},AE208)))&gt;0),"El correo del responsable no es institucional válido",IF(AND(AF208="Sí",AG208=""),"Indique el N.° de registro 2026 que continúa","OK")))))))))))))))))</f>
        <v/>
      </c>
      <c r="AK208" s="114">
        <f>IF(AJ208="OK",COUNTIF($AJ$7:AJ208,"OK"),"")</f>
        <v/>
      </c>
    </row>
    <row r="209">
      <c r="A209" s="110">
        <f>"PN27-"&amp;TEXT(ROW()-6,"000")</f>
        <v/>
      </c>
      <c r="B209" s="111" t="n"/>
      <c r="C209" s="110">
        <f>IF(B209="","",IFERROR(INDEX('Catalogos_PDN'!$R$5:$R$51,MATCH(B209,PN_AREAS,0)),""))</f>
        <v/>
      </c>
      <c r="D209" s="110">
        <f>IF(B209="","",IFERROR(INDEX('Catalogos_PDN'!$O$5:$O$51,MATCH(B209,PN_AREAS,0)),""))</f>
        <v/>
      </c>
      <c r="E209" s="111" t="n"/>
      <c r="F209" s="110">
        <f>IF(E209="","",IFERROR(INDEX('Catalogos_PDN'!$C$5:$C$49,MATCH(E209,PN_METAS,0)),""))</f>
        <v/>
      </c>
      <c r="G209" s="110">
        <f>IF(E209="","",IFERROR(INDEX('Catalogos_PDN'!$E$5:$E$49,MATCH(E209,PN_METAS,0)),""))</f>
        <v/>
      </c>
      <c r="H209" s="111" t="n"/>
      <c r="I209" s="111" t="n"/>
      <c r="J209" s="111" t="n"/>
      <c r="K209" s="111" t="n"/>
      <c r="L209" s="111" t="n"/>
      <c r="M209" s="112" t="n"/>
      <c r="N209" s="111" t="n"/>
      <c r="O209" s="111" t="n"/>
      <c r="P209" s="111" t="n"/>
      <c r="Q209" s="111" t="n"/>
      <c r="R209" s="111" t="n"/>
      <c r="S209" s="111" t="n"/>
      <c r="T209" s="111" t="n"/>
      <c r="U209" s="111" t="n"/>
      <c r="V209" s="111" t="n"/>
      <c r="W209" s="113" t="n"/>
      <c r="X209" s="113" t="n"/>
      <c r="Y209" s="111" t="n"/>
      <c r="Z209" s="111" t="n"/>
      <c r="AA209" s="111" t="n"/>
      <c r="AB209" s="111" t="n"/>
      <c r="AC209" s="111" t="n"/>
      <c r="AD209" s="111" t="n"/>
      <c r="AE209" s="111" t="n"/>
      <c r="AF209" s="111" t="n"/>
      <c r="AG209" s="111" t="n"/>
      <c r="AH209" s="111" t="n"/>
      <c r="AI209" s="111" t="n"/>
      <c r="AJ209" s="114">
        <f>IF(COUNTA(B209,E209,H209,I209,J209,K209,L209,M209,N209,O209,P209,Q209,R209,S209,T209,U209,V209,W209,X209,Y209,Z209,AA209,AB209,AC209,AD209,AE209,AF209,AG209,AH209,AI209)=0,"",IF(OR(B209="",E209="",H209="",J209="",K209="",L209="",M209="",O209="",P209="",Q209="",R209="",S209="",T209="",U209="",W209="",X209="",Y209="",AB209="",AC209="",AE209="",AF209=""),"Incompleta: faltan campos obligatorios",IF(AND(LEFT(H209,6)="PROPIA",I209=""),"Falta el nombre de la acción propia del área",IF(AND(LEFT(H209,4)="AC27",IFERROR(INDEX('Catalogos_PDN'!$T$5:$T$207,MATCH(H209,'Catalogos_PDN'!$U$5:$U$207,0)),"x")&lt;&gt;LEFT(E209,7)),"La acción no corresponde a la meta seleccionada",IF(OR(NOT(ISNUMBER(M209)),M209&lt;10000000,M209&gt;99999999),"Código UNSPSC inválido: registre 8 dígitos",IF(MOD(M209,10000)=0,"UNSPSC a nivel de segmento o familia: use clase o producto",IF(IFERROR(MATCH(P209,PN_MESES,0)&lt;MATCH(O209,PN_MESES,0),TRUE()),"El mes de ofertas es anterior al de inicio del proceso",IF(OR(NOT(ISNUMBER(Q209)),Q209&lt;=0),"Duración inválida",IF(OR(NOT(ISNUMBER(W209)),NOT(ISNUMBER(X209))),"Valor inválido: registre solo números",IF(OR(W209&lt;=0,X209&lt;=0),"Valor inválido: debe ser mayor que cero",IF(X209&gt;W209,"El valor de la vigencia 2027 supera el valor total",IF(AND(X209&lt;W209,Y209="No"),"El valor total supera el de 2027: requiere vigencias futuras",IF(AND(Y209="Sí",OR(Z209="",Z209="No aplica")),"Indique el estado de la solicitud de vigencias futuras",IF(IF(AND(S209="Mínima cuantía",ISNUMBER(PN_TOPE_MINIMA)),W209&gt;PN_TOPE_MINIMA,FALSE()),"El valor supera el tope de mínima cuantía 2027",IF(IF(AND(S209="Selección abreviada de menor cuantía",ISNUMBER(PN_TOPE_MENOR)),W209&gt;PN_TOPE_MENOR,FALSE()),"El valor supera el tope de menor cuantía 2027",IF(OR(ISERROR(SEARCH("@itc.edu.co",AE209)),SUMPRODUCT(--ISNUMBER(SEARCH({"á","é","í","ó","ú","ñ"," "},AE209)))&gt;0),"El correo del responsable no es institucional válido",IF(AND(AF209="Sí",AG209=""),"Indique el N.° de registro 2026 que continúa","OK")))))))))))))))))</f>
        <v/>
      </c>
      <c r="AK209" s="114">
        <f>IF(AJ209="OK",COUNTIF($AJ$7:AJ209,"OK"),"")</f>
        <v/>
      </c>
    </row>
    <row r="210">
      <c r="A210" s="110">
        <f>"PN27-"&amp;TEXT(ROW()-6,"000")</f>
        <v/>
      </c>
      <c r="B210" s="111" t="n"/>
      <c r="C210" s="110">
        <f>IF(B210="","",IFERROR(INDEX('Catalogos_PDN'!$R$5:$R$51,MATCH(B210,PN_AREAS,0)),""))</f>
        <v/>
      </c>
      <c r="D210" s="110">
        <f>IF(B210="","",IFERROR(INDEX('Catalogos_PDN'!$O$5:$O$51,MATCH(B210,PN_AREAS,0)),""))</f>
        <v/>
      </c>
      <c r="E210" s="111" t="n"/>
      <c r="F210" s="110">
        <f>IF(E210="","",IFERROR(INDEX('Catalogos_PDN'!$C$5:$C$49,MATCH(E210,PN_METAS,0)),""))</f>
        <v/>
      </c>
      <c r="G210" s="110">
        <f>IF(E210="","",IFERROR(INDEX('Catalogos_PDN'!$E$5:$E$49,MATCH(E210,PN_METAS,0)),""))</f>
        <v/>
      </c>
      <c r="H210" s="111" t="n"/>
      <c r="I210" s="111" t="n"/>
      <c r="J210" s="111" t="n"/>
      <c r="K210" s="111" t="n"/>
      <c r="L210" s="111" t="n"/>
      <c r="M210" s="112" t="n"/>
      <c r="N210" s="111" t="n"/>
      <c r="O210" s="111" t="n"/>
      <c r="P210" s="111" t="n"/>
      <c r="Q210" s="111" t="n"/>
      <c r="R210" s="111" t="n"/>
      <c r="S210" s="111" t="n"/>
      <c r="T210" s="111" t="n"/>
      <c r="U210" s="111" t="n"/>
      <c r="V210" s="111" t="n"/>
      <c r="W210" s="113" t="n"/>
      <c r="X210" s="113" t="n"/>
      <c r="Y210" s="111" t="n"/>
      <c r="Z210" s="111" t="n"/>
      <c r="AA210" s="111" t="n"/>
      <c r="AB210" s="111" t="n"/>
      <c r="AC210" s="111" t="n"/>
      <c r="AD210" s="111" t="n"/>
      <c r="AE210" s="111" t="n"/>
      <c r="AF210" s="111" t="n"/>
      <c r="AG210" s="111" t="n"/>
      <c r="AH210" s="111" t="n"/>
      <c r="AI210" s="111" t="n"/>
      <c r="AJ210" s="114">
        <f>IF(COUNTA(B210,E210,H210,I210,J210,K210,L210,M210,N210,O210,P210,Q210,R210,S210,T210,U210,V210,W210,X210,Y210,Z210,AA210,AB210,AC210,AD210,AE210,AF210,AG210,AH210,AI210)=0,"",IF(OR(B210="",E210="",H210="",J210="",K210="",L210="",M210="",O210="",P210="",Q210="",R210="",S210="",T210="",U210="",W210="",X210="",Y210="",AB210="",AC210="",AE210="",AF210=""),"Incompleta: faltan campos obligatorios",IF(AND(LEFT(H210,6)="PROPIA",I210=""),"Falta el nombre de la acción propia del área",IF(AND(LEFT(H210,4)="AC27",IFERROR(INDEX('Catalogos_PDN'!$T$5:$T$207,MATCH(H210,'Catalogos_PDN'!$U$5:$U$207,0)),"x")&lt;&gt;LEFT(E210,7)),"La acción no corresponde a la meta seleccionada",IF(OR(NOT(ISNUMBER(M210)),M210&lt;10000000,M210&gt;99999999),"Código UNSPSC inválido: registre 8 dígitos",IF(MOD(M210,10000)=0,"UNSPSC a nivel de segmento o familia: use clase o producto",IF(IFERROR(MATCH(P210,PN_MESES,0)&lt;MATCH(O210,PN_MESES,0),TRUE()),"El mes de ofertas es anterior al de inicio del proceso",IF(OR(NOT(ISNUMBER(Q210)),Q210&lt;=0),"Duración inválida",IF(OR(NOT(ISNUMBER(W210)),NOT(ISNUMBER(X210))),"Valor inválido: registre solo números",IF(OR(W210&lt;=0,X210&lt;=0),"Valor inválido: debe ser mayor que cero",IF(X210&gt;W210,"El valor de la vigencia 2027 supera el valor total",IF(AND(X210&lt;W210,Y210="No"),"El valor total supera el de 2027: requiere vigencias futuras",IF(AND(Y210="Sí",OR(Z210="",Z210="No aplica")),"Indique el estado de la solicitud de vigencias futuras",IF(IF(AND(S210="Mínima cuantía",ISNUMBER(PN_TOPE_MINIMA)),W210&gt;PN_TOPE_MINIMA,FALSE()),"El valor supera el tope de mínima cuantía 2027",IF(IF(AND(S210="Selección abreviada de menor cuantía",ISNUMBER(PN_TOPE_MENOR)),W210&gt;PN_TOPE_MENOR,FALSE()),"El valor supera el tope de menor cuantía 2027",IF(OR(ISERROR(SEARCH("@itc.edu.co",AE210)),SUMPRODUCT(--ISNUMBER(SEARCH({"á","é","í","ó","ú","ñ"," "},AE210)))&gt;0),"El correo del responsable no es institucional válido",IF(AND(AF210="Sí",AG210=""),"Indique el N.° de registro 2026 que continúa","OK")))))))))))))))))</f>
        <v/>
      </c>
      <c r="AK210" s="114">
        <f>IF(AJ210="OK",COUNTIF($AJ$7:AJ210,"OK"),"")</f>
        <v/>
      </c>
    </row>
    <row r="211">
      <c r="A211" s="110">
        <f>"PN27-"&amp;TEXT(ROW()-6,"000")</f>
        <v/>
      </c>
      <c r="B211" s="111" t="n"/>
      <c r="C211" s="110">
        <f>IF(B211="","",IFERROR(INDEX('Catalogos_PDN'!$R$5:$R$51,MATCH(B211,PN_AREAS,0)),""))</f>
        <v/>
      </c>
      <c r="D211" s="110">
        <f>IF(B211="","",IFERROR(INDEX('Catalogos_PDN'!$O$5:$O$51,MATCH(B211,PN_AREAS,0)),""))</f>
        <v/>
      </c>
      <c r="E211" s="111" t="n"/>
      <c r="F211" s="110">
        <f>IF(E211="","",IFERROR(INDEX('Catalogos_PDN'!$C$5:$C$49,MATCH(E211,PN_METAS,0)),""))</f>
        <v/>
      </c>
      <c r="G211" s="110">
        <f>IF(E211="","",IFERROR(INDEX('Catalogos_PDN'!$E$5:$E$49,MATCH(E211,PN_METAS,0)),""))</f>
        <v/>
      </c>
      <c r="H211" s="111" t="n"/>
      <c r="I211" s="111" t="n"/>
      <c r="J211" s="111" t="n"/>
      <c r="K211" s="111" t="n"/>
      <c r="L211" s="111" t="n"/>
      <c r="M211" s="112" t="n"/>
      <c r="N211" s="111" t="n"/>
      <c r="O211" s="111" t="n"/>
      <c r="P211" s="111" t="n"/>
      <c r="Q211" s="111" t="n"/>
      <c r="R211" s="111" t="n"/>
      <c r="S211" s="111" t="n"/>
      <c r="T211" s="111" t="n"/>
      <c r="U211" s="111" t="n"/>
      <c r="V211" s="111" t="n"/>
      <c r="W211" s="113" t="n"/>
      <c r="X211" s="113" t="n"/>
      <c r="Y211" s="111" t="n"/>
      <c r="Z211" s="111" t="n"/>
      <c r="AA211" s="111" t="n"/>
      <c r="AB211" s="111" t="n"/>
      <c r="AC211" s="111" t="n"/>
      <c r="AD211" s="111" t="n"/>
      <c r="AE211" s="111" t="n"/>
      <c r="AF211" s="111" t="n"/>
      <c r="AG211" s="111" t="n"/>
      <c r="AH211" s="111" t="n"/>
      <c r="AI211" s="111" t="n"/>
      <c r="AJ211" s="114">
        <f>IF(COUNTA(B211,E211,H211,I211,J211,K211,L211,M211,N211,O211,P211,Q211,R211,S211,T211,U211,V211,W211,X211,Y211,Z211,AA211,AB211,AC211,AD211,AE211,AF211,AG211,AH211,AI211)=0,"",IF(OR(B211="",E211="",H211="",J211="",K211="",L211="",M211="",O211="",P211="",Q211="",R211="",S211="",T211="",U211="",W211="",X211="",Y211="",AB211="",AC211="",AE211="",AF211=""),"Incompleta: faltan campos obligatorios",IF(AND(LEFT(H211,6)="PROPIA",I211=""),"Falta el nombre de la acción propia del área",IF(AND(LEFT(H211,4)="AC27",IFERROR(INDEX('Catalogos_PDN'!$T$5:$T$207,MATCH(H211,'Catalogos_PDN'!$U$5:$U$207,0)),"x")&lt;&gt;LEFT(E211,7)),"La acción no corresponde a la meta seleccionada",IF(OR(NOT(ISNUMBER(M211)),M211&lt;10000000,M211&gt;99999999),"Código UNSPSC inválido: registre 8 dígitos",IF(MOD(M211,10000)=0,"UNSPSC a nivel de segmento o familia: use clase o producto",IF(IFERROR(MATCH(P211,PN_MESES,0)&lt;MATCH(O211,PN_MESES,0),TRUE()),"El mes de ofertas es anterior al de inicio del proceso",IF(OR(NOT(ISNUMBER(Q211)),Q211&lt;=0),"Duración inválida",IF(OR(NOT(ISNUMBER(W211)),NOT(ISNUMBER(X211))),"Valor inválido: registre solo números",IF(OR(W211&lt;=0,X211&lt;=0),"Valor inválido: debe ser mayor que cero",IF(X211&gt;W211,"El valor de la vigencia 2027 supera el valor total",IF(AND(X211&lt;W211,Y211="No"),"El valor total supera el de 2027: requiere vigencias futuras",IF(AND(Y211="Sí",OR(Z211="",Z211="No aplica")),"Indique el estado de la solicitud de vigencias futuras",IF(IF(AND(S211="Mínima cuantía",ISNUMBER(PN_TOPE_MINIMA)),W211&gt;PN_TOPE_MINIMA,FALSE()),"El valor supera el tope de mínima cuantía 2027",IF(IF(AND(S211="Selección abreviada de menor cuantía",ISNUMBER(PN_TOPE_MENOR)),W211&gt;PN_TOPE_MENOR,FALSE()),"El valor supera el tope de menor cuantía 2027",IF(OR(ISERROR(SEARCH("@itc.edu.co",AE211)),SUMPRODUCT(--ISNUMBER(SEARCH({"á","é","í","ó","ú","ñ"," "},AE211)))&gt;0),"El correo del responsable no es institucional válido",IF(AND(AF211="Sí",AG211=""),"Indique el N.° de registro 2026 que continúa","OK")))))))))))))))))</f>
        <v/>
      </c>
      <c r="AK211" s="114">
        <f>IF(AJ211="OK",COUNTIF($AJ$7:AJ211,"OK"),"")</f>
        <v/>
      </c>
    </row>
    <row r="212">
      <c r="A212" s="110">
        <f>"PN27-"&amp;TEXT(ROW()-6,"000")</f>
        <v/>
      </c>
      <c r="B212" s="111" t="n"/>
      <c r="C212" s="110">
        <f>IF(B212="","",IFERROR(INDEX('Catalogos_PDN'!$R$5:$R$51,MATCH(B212,PN_AREAS,0)),""))</f>
        <v/>
      </c>
      <c r="D212" s="110">
        <f>IF(B212="","",IFERROR(INDEX('Catalogos_PDN'!$O$5:$O$51,MATCH(B212,PN_AREAS,0)),""))</f>
        <v/>
      </c>
      <c r="E212" s="111" t="n"/>
      <c r="F212" s="110">
        <f>IF(E212="","",IFERROR(INDEX('Catalogos_PDN'!$C$5:$C$49,MATCH(E212,PN_METAS,0)),""))</f>
        <v/>
      </c>
      <c r="G212" s="110">
        <f>IF(E212="","",IFERROR(INDEX('Catalogos_PDN'!$E$5:$E$49,MATCH(E212,PN_METAS,0)),""))</f>
        <v/>
      </c>
      <c r="H212" s="111" t="n"/>
      <c r="I212" s="111" t="n"/>
      <c r="J212" s="111" t="n"/>
      <c r="K212" s="111" t="n"/>
      <c r="L212" s="111" t="n"/>
      <c r="M212" s="112" t="n"/>
      <c r="N212" s="111" t="n"/>
      <c r="O212" s="111" t="n"/>
      <c r="P212" s="111" t="n"/>
      <c r="Q212" s="111" t="n"/>
      <c r="R212" s="111" t="n"/>
      <c r="S212" s="111" t="n"/>
      <c r="T212" s="111" t="n"/>
      <c r="U212" s="111" t="n"/>
      <c r="V212" s="111" t="n"/>
      <c r="W212" s="113" t="n"/>
      <c r="X212" s="113" t="n"/>
      <c r="Y212" s="111" t="n"/>
      <c r="Z212" s="111" t="n"/>
      <c r="AA212" s="111" t="n"/>
      <c r="AB212" s="111" t="n"/>
      <c r="AC212" s="111" t="n"/>
      <c r="AD212" s="111" t="n"/>
      <c r="AE212" s="111" t="n"/>
      <c r="AF212" s="111" t="n"/>
      <c r="AG212" s="111" t="n"/>
      <c r="AH212" s="111" t="n"/>
      <c r="AI212" s="111" t="n"/>
      <c r="AJ212" s="114">
        <f>IF(COUNTA(B212,E212,H212,I212,J212,K212,L212,M212,N212,O212,P212,Q212,R212,S212,T212,U212,V212,W212,X212,Y212,Z212,AA212,AB212,AC212,AD212,AE212,AF212,AG212,AH212,AI212)=0,"",IF(OR(B212="",E212="",H212="",J212="",K212="",L212="",M212="",O212="",P212="",Q212="",R212="",S212="",T212="",U212="",W212="",X212="",Y212="",AB212="",AC212="",AE212="",AF212=""),"Incompleta: faltan campos obligatorios",IF(AND(LEFT(H212,6)="PROPIA",I212=""),"Falta el nombre de la acción propia del área",IF(AND(LEFT(H212,4)="AC27",IFERROR(INDEX('Catalogos_PDN'!$T$5:$T$207,MATCH(H212,'Catalogos_PDN'!$U$5:$U$207,0)),"x")&lt;&gt;LEFT(E212,7)),"La acción no corresponde a la meta seleccionada",IF(OR(NOT(ISNUMBER(M212)),M212&lt;10000000,M212&gt;99999999),"Código UNSPSC inválido: registre 8 dígitos",IF(MOD(M212,10000)=0,"UNSPSC a nivel de segmento o familia: use clase o producto",IF(IFERROR(MATCH(P212,PN_MESES,0)&lt;MATCH(O212,PN_MESES,0),TRUE()),"El mes de ofertas es anterior al de inicio del proceso",IF(OR(NOT(ISNUMBER(Q212)),Q212&lt;=0),"Duración inválida",IF(OR(NOT(ISNUMBER(W212)),NOT(ISNUMBER(X212))),"Valor inválido: registre solo números",IF(OR(W212&lt;=0,X212&lt;=0),"Valor inválido: debe ser mayor que cero",IF(X212&gt;W212,"El valor de la vigencia 2027 supera el valor total",IF(AND(X212&lt;W212,Y212="No"),"El valor total supera el de 2027: requiere vigencias futuras",IF(AND(Y212="Sí",OR(Z212="",Z212="No aplica")),"Indique el estado de la solicitud de vigencias futuras",IF(IF(AND(S212="Mínima cuantía",ISNUMBER(PN_TOPE_MINIMA)),W212&gt;PN_TOPE_MINIMA,FALSE()),"El valor supera el tope de mínima cuantía 2027",IF(IF(AND(S212="Selección abreviada de menor cuantía",ISNUMBER(PN_TOPE_MENOR)),W212&gt;PN_TOPE_MENOR,FALSE()),"El valor supera el tope de menor cuantía 2027",IF(OR(ISERROR(SEARCH("@itc.edu.co",AE212)),SUMPRODUCT(--ISNUMBER(SEARCH({"á","é","í","ó","ú","ñ"," "},AE212)))&gt;0),"El correo del responsable no es institucional válido",IF(AND(AF212="Sí",AG212=""),"Indique el N.° de registro 2026 que continúa","OK")))))))))))))))))</f>
        <v/>
      </c>
      <c r="AK212" s="114">
        <f>IF(AJ212="OK",COUNTIF($AJ$7:AJ212,"OK"),"")</f>
        <v/>
      </c>
    </row>
    <row r="213">
      <c r="A213" s="110">
        <f>"PN27-"&amp;TEXT(ROW()-6,"000")</f>
        <v/>
      </c>
      <c r="B213" s="111" t="n"/>
      <c r="C213" s="110">
        <f>IF(B213="","",IFERROR(INDEX('Catalogos_PDN'!$R$5:$R$51,MATCH(B213,PN_AREAS,0)),""))</f>
        <v/>
      </c>
      <c r="D213" s="110">
        <f>IF(B213="","",IFERROR(INDEX('Catalogos_PDN'!$O$5:$O$51,MATCH(B213,PN_AREAS,0)),""))</f>
        <v/>
      </c>
      <c r="E213" s="111" t="n"/>
      <c r="F213" s="110">
        <f>IF(E213="","",IFERROR(INDEX('Catalogos_PDN'!$C$5:$C$49,MATCH(E213,PN_METAS,0)),""))</f>
        <v/>
      </c>
      <c r="G213" s="110">
        <f>IF(E213="","",IFERROR(INDEX('Catalogos_PDN'!$E$5:$E$49,MATCH(E213,PN_METAS,0)),""))</f>
        <v/>
      </c>
      <c r="H213" s="111" t="n"/>
      <c r="I213" s="111" t="n"/>
      <c r="J213" s="111" t="n"/>
      <c r="K213" s="111" t="n"/>
      <c r="L213" s="111" t="n"/>
      <c r="M213" s="112" t="n"/>
      <c r="N213" s="111" t="n"/>
      <c r="O213" s="111" t="n"/>
      <c r="P213" s="111" t="n"/>
      <c r="Q213" s="111" t="n"/>
      <c r="R213" s="111" t="n"/>
      <c r="S213" s="111" t="n"/>
      <c r="T213" s="111" t="n"/>
      <c r="U213" s="111" t="n"/>
      <c r="V213" s="111" t="n"/>
      <c r="W213" s="113" t="n"/>
      <c r="X213" s="113" t="n"/>
      <c r="Y213" s="111" t="n"/>
      <c r="Z213" s="111" t="n"/>
      <c r="AA213" s="111" t="n"/>
      <c r="AB213" s="111" t="n"/>
      <c r="AC213" s="111" t="n"/>
      <c r="AD213" s="111" t="n"/>
      <c r="AE213" s="111" t="n"/>
      <c r="AF213" s="111" t="n"/>
      <c r="AG213" s="111" t="n"/>
      <c r="AH213" s="111" t="n"/>
      <c r="AI213" s="111" t="n"/>
      <c r="AJ213" s="114">
        <f>IF(COUNTA(B213,E213,H213,I213,J213,K213,L213,M213,N213,O213,P213,Q213,R213,S213,T213,U213,V213,W213,X213,Y213,Z213,AA213,AB213,AC213,AD213,AE213,AF213,AG213,AH213,AI213)=0,"",IF(OR(B213="",E213="",H213="",J213="",K213="",L213="",M213="",O213="",P213="",Q213="",R213="",S213="",T213="",U213="",W213="",X213="",Y213="",AB213="",AC213="",AE213="",AF213=""),"Incompleta: faltan campos obligatorios",IF(AND(LEFT(H213,6)="PROPIA",I213=""),"Falta el nombre de la acción propia del área",IF(AND(LEFT(H213,4)="AC27",IFERROR(INDEX('Catalogos_PDN'!$T$5:$T$207,MATCH(H213,'Catalogos_PDN'!$U$5:$U$207,0)),"x")&lt;&gt;LEFT(E213,7)),"La acción no corresponde a la meta seleccionada",IF(OR(NOT(ISNUMBER(M213)),M213&lt;10000000,M213&gt;99999999),"Código UNSPSC inválido: registre 8 dígitos",IF(MOD(M213,10000)=0,"UNSPSC a nivel de segmento o familia: use clase o producto",IF(IFERROR(MATCH(P213,PN_MESES,0)&lt;MATCH(O213,PN_MESES,0),TRUE()),"El mes de ofertas es anterior al de inicio del proceso",IF(OR(NOT(ISNUMBER(Q213)),Q213&lt;=0),"Duración inválida",IF(OR(NOT(ISNUMBER(W213)),NOT(ISNUMBER(X213))),"Valor inválido: registre solo números",IF(OR(W213&lt;=0,X213&lt;=0),"Valor inválido: debe ser mayor que cero",IF(X213&gt;W213,"El valor de la vigencia 2027 supera el valor total",IF(AND(X213&lt;W213,Y213="No"),"El valor total supera el de 2027: requiere vigencias futuras",IF(AND(Y213="Sí",OR(Z213="",Z213="No aplica")),"Indique el estado de la solicitud de vigencias futuras",IF(IF(AND(S213="Mínima cuantía",ISNUMBER(PN_TOPE_MINIMA)),W213&gt;PN_TOPE_MINIMA,FALSE()),"El valor supera el tope de mínima cuantía 2027",IF(IF(AND(S213="Selección abreviada de menor cuantía",ISNUMBER(PN_TOPE_MENOR)),W213&gt;PN_TOPE_MENOR,FALSE()),"El valor supera el tope de menor cuantía 2027",IF(OR(ISERROR(SEARCH("@itc.edu.co",AE213)),SUMPRODUCT(--ISNUMBER(SEARCH({"á","é","í","ó","ú","ñ"," "},AE213)))&gt;0),"El correo del responsable no es institucional válido",IF(AND(AF213="Sí",AG213=""),"Indique el N.° de registro 2026 que continúa","OK")))))))))))))))))</f>
        <v/>
      </c>
      <c r="AK213" s="114">
        <f>IF(AJ213="OK",COUNTIF($AJ$7:AJ213,"OK"),"")</f>
        <v/>
      </c>
    </row>
    <row r="214">
      <c r="A214" s="110">
        <f>"PN27-"&amp;TEXT(ROW()-6,"000")</f>
        <v/>
      </c>
      <c r="B214" s="111" t="n"/>
      <c r="C214" s="110">
        <f>IF(B214="","",IFERROR(INDEX('Catalogos_PDN'!$R$5:$R$51,MATCH(B214,PN_AREAS,0)),""))</f>
        <v/>
      </c>
      <c r="D214" s="110">
        <f>IF(B214="","",IFERROR(INDEX('Catalogos_PDN'!$O$5:$O$51,MATCH(B214,PN_AREAS,0)),""))</f>
        <v/>
      </c>
      <c r="E214" s="111" t="n"/>
      <c r="F214" s="110">
        <f>IF(E214="","",IFERROR(INDEX('Catalogos_PDN'!$C$5:$C$49,MATCH(E214,PN_METAS,0)),""))</f>
        <v/>
      </c>
      <c r="G214" s="110">
        <f>IF(E214="","",IFERROR(INDEX('Catalogos_PDN'!$E$5:$E$49,MATCH(E214,PN_METAS,0)),""))</f>
        <v/>
      </c>
      <c r="H214" s="111" t="n"/>
      <c r="I214" s="111" t="n"/>
      <c r="J214" s="111" t="n"/>
      <c r="K214" s="111" t="n"/>
      <c r="L214" s="111" t="n"/>
      <c r="M214" s="112" t="n"/>
      <c r="N214" s="111" t="n"/>
      <c r="O214" s="111" t="n"/>
      <c r="P214" s="111" t="n"/>
      <c r="Q214" s="111" t="n"/>
      <c r="R214" s="111" t="n"/>
      <c r="S214" s="111" t="n"/>
      <c r="T214" s="111" t="n"/>
      <c r="U214" s="111" t="n"/>
      <c r="V214" s="111" t="n"/>
      <c r="W214" s="113" t="n"/>
      <c r="X214" s="113" t="n"/>
      <c r="Y214" s="111" t="n"/>
      <c r="Z214" s="111" t="n"/>
      <c r="AA214" s="111" t="n"/>
      <c r="AB214" s="111" t="n"/>
      <c r="AC214" s="111" t="n"/>
      <c r="AD214" s="111" t="n"/>
      <c r="AE214" s="111" t="n"/>
      <c r="AF214" s="111" t="n"/>
      <c r="AG214" s="111" t="n"/>
      <c r="AH214" s="111" t="n"/>
      <c r="AI214" s="111" t="n"/>
      <c r="AJ214" s="114">
        <f>IF(COUNTA(B214,E214,H214,I214,J214,K214,L214,M214,N214,O214,P214,Q214,R214,S214,T214,U214,V214,W214,X214,Y214,Z214,AA214,AB214,AC214,AD214,AE214,AF214,AG214,AH214,AI214)=0,"",IF(OR(B214="",E214="",H214="",J214="",K214="",L214="",M214="",O214="",P214="",Q214="",R214="",S214="",T214="",U214="",W214="",X214="",Y214="",AB214="",AC214="",AE214="",AF214=""),"Incompleta: faltan campos obligatorios",IF(AND(LEFT(H214,6)="PROPIA",I214=""),"Falta el nombre de la acción propia del área",IF(AND(LEFT(H214,4)="AC27",IFERROR(INDEX('Catalogos_PDN'!$T$5:$T$207,MATCH(H214,'Catalogos_PDN'!$U$5:$U$207,0)),"x")&lt;&gt;LEFT(E214,7)),"La acción no corresponde a la meta seleccionada",IF(OR(NOT(ISNUMBER(M214)),M214&lt;10000000,M214&gt;99999999),"Código UNSPSC inválido: registre 8 dígitos",IF(MOD(M214,10000)=0,"UNSPSC a nivel de segmento o familia: use clase o producto",IF(IFERROR(MATCH(P214,PN_MESES,0)&lt;MATCH(O214,PN_MESES,0),TRUE()),"El mes de ofertas es anterior al de inicio del proceso",IF(OR(NOT(ISNUMBER(Q214)),Q214&lt;=0),"Duración inválida",IF(OR(NOT(ISNUMBER(W214)),NOT(ISNUMBER(X214))),"Valor inválido: registre solo números",IF(OR(W214&lt;=0,X214&lt;=0),"Valor inválido: debe ser mayor que cero",IF(X214&gt;W214,"El valor de la vigencia 2027 supera el valor total",IF(AND(X214&lt;W214,Y214="No"),"El valor total supera el de 2027: requiere vigencias futuras",IF(AND(Y214="Sí",OR(Z214="",Z214="No aplica")),"Indique el estado de la solicitud de vigencias futuras",IF(IF(AND(S214="Mínima cuantía",ISNUMBER(PN_TOPE_MINIMA)),W214&gt;PN_TOPE_MINIMA,FALSE()),"El valor supera el tope de mínima cuantía 2027",IF(IF(AND(S214="Selección abreviada de menor cuantía",ISNUMBER(PN_TOPE_MENOR)),W214&gt;PN_TOPE_MENOR,FALSE()),"El valor supera el tope de menor cuantía 2027",IF(OR(ISERROR(SEARCH("@itc.edu.co",AE214)),SUMPRODUCT(--ISNUMBER(SEARCH({"á","é","í","ó","ú","ñ"," "},AE214)))&gt;0),"El correo del responsable no es institucional válido",IF(AND(AF214="Sí",AG214=""),"Indique el N.° de registro 2026 que continúa","OK")))))))))))))))))</f>
        <v/>
      </c>
      <c r="AK214" s="114">
        <f>IF(AJ214="OK",COUNTIF($AJ$7:AJ214,"OK"),"")</f>
        <v/>
      </c>
    </row>
    <row r="215">
      <c r="A215" s="110">
        <f>"PN27-"&amp;TEXT(ROW()-6,"000")</f>
        <v/>
      </c>
      <c r="B215" s="111" t="n"/>
      <c r="C215" s="110">
        <f>IF(B215="","",IFERROR(INDEX('Catalogos_PDN'!$R$5:$R$51,MATCH(B215,PN_AREAS,0)),""))</f>
        <v/>
      </c>
      <c r="D215" s="110">
        <f>IF(B215="","",IFERROR(INDEX('Catalogos_PDN'!$O$5:$O$51,MATCH(B215,PN_AREAS,0)),""))</f>
        <v/>
      </c>
      <c r="E215" s="111" t="n"/>
      <c r="F215" s="110">
        <f>IF(E215="","",IFERROR(INDEX('Catalogos_PDN'!$C$5:$C$49,MATCH(E215,PN_METAS,0)),""))</f>
        <v/>
      </c>
      <c r="G215" s="110">
        <f>IF(E215="","",IFERROR(INDEX('Catalogos_PDN'!$E$5:$E$49,MATCH(E215,PN_METAS,0)),""))</f>
        <v/>
      </c>
      <c r="H215" s="111" t="n"/>
      <c r="I215" s="111" t="n"/>
      <c r="J215" s="111" t="n"/>
      <c r="K215" s="111" t="n"/>
      <c r="L215" s="111" t="n"/>
      <c r="M215" s="112" t="n"/>
      <c r="N215" s="111" t="n"/>
      <c r="O215" s="111" t="n"/>
      <c r="P215" s="111" t="n"/>
      <c r="Q215" s="111" t="n"/>
      <c r="R215" s="111" t="n"/>
      <c r="S215" s="111" t="n"/>
      <c r="T215" s="111" t="n"/>
      <c r="U215" s="111" t="n"/>
      <c r="V215" s="111" t="n"/>
      <c r="W215" s="113" t="n"/>
      <c r="X215" s="113" t="n"/>
      <c r="Y215" s="111" t="n"/>
      <c r="Z215" s="111" t="n"/>
      <c r="AA215" s="111" t="n"/>
      <c r="AB215" s="111" t="n"/>
      <c r="AC215" s="111" t="n"/>
      <c r="AD215" s="111" t="n"/>
      <c r="AE215" s="111" t="n"/>
      <c r="AF215" s="111" t="n"/>
      <c r="AG215" s="111" t="n"/>
      <c r="AH215" s="111" t="n"/>
      <c r="AI215" s="111" t="n"/>
      <c r="AJ215" s="114">
        <f>IF(COUNTA(B215,E215,H215,I215,J215,K215,L215,M215,N215,O215,P215,Q215,R215,S215,T215,U215,V215,W215,X215,Y215,Z215,AA215,AB215,AC215,AD215,AE215,AF215,AG215,AH215,AI215)=0,"",IF(OR(B215="",E215="",H215="",J215="",K215="",L215="",M215="",O215="",P215="",Q215="",R215="",S215="",T215="",U215="",W215="",X215="",Y215="",AB215="",AC215="",AE215="",AF215=""),"Incompleta: faltan campos obligatorios",IF(AND(LEFT(H215,6)="PROPIA",I215=""),"Falta el nombre de la acción propia del área",IF(AND(LEFT(H215,4)="AC27",IFERROR(INDEX('Catalogos_PDN'!$T$5:$T$207,MATCH(H215,'Catalogos_PDN'!$U$5:$U$207,0)),"x")&lt;&gt;LEFT(E215,7)),"La acción no corresponde a la meta seleccionada",IF(OR(NOT(ISNUMBER(M215)),M215&lt;10000000,M215&gt;99999999),"Código UNSPSC inválido: registre 8 dígitos",IF(MOD(M215,10000)=0,"UNSPSC a nivel de segmento o familia: use clase o producto",IF(IFERROR(MATCH(P215,PN_MESES,0)&lt;MATCH(O215,PN_MESES,0),TRUE()),"El mes de ofertas es anterior al de inicio del proceso",IF(OR(NOT(ISNUMBER(Q215)),Q215&lt;=0),"Duración inválida",IF(OR(NOT(ISNUMBER(W215)),NOT(ISNUMBER(X215))),"Valor inválido: registre solo números",IF(OR(W215&lt;=0,X215&lt;=0),"Valor inválido: debe ser mayor que cero",IF(X215&gt;W215,"El valor de la vigencia 2027 supera el valor total",IF(AND(X215&lt;W215,Y215="No"),"El valor total supera el de 2027: requiere vigencias futuras",IF(AND(Y215="Sí",OR(Z215="",Z215="No aplica")),"Indique el estado de la solicitud de vigencias futuras",IF(IF(AND(S215="Mínima cuantía",ISNUMBER(PN_TOPE_MINIMA)),W215&gt;PN_TOPE_MINIMA,FALSE()),"El valor supera el tope de mínima cuantía 2027",IF(IF(AND(S215="Selección abreviada de menor cuantía",ISNUMBER(PN_TOPE_MENOR)),W215&gt;PN_TOPE_MENOR,FALSE()),"El valor supera el tope de menor cuantía 2027",IF(OR(ISERROR(SEARCH("@itc.edu.co",AE215)),SUMPRODUCT(--ISNUMBER(SEARCH({"á","é","í","ó","ú","ñ"," "},AE215)))&gt;0),"El correo del responsable no es institucional válido",IF(AND(AF215="Sí",AG215=""),"Indique el N.° de registro 2026 que continúa","OK")))))))))))))))))</f>
        <v/>
      </c>
      <c r="AK215" s="114">
        <f>IF(AJ215="OK",COUNTIF($AJ$7:AJ215,"OK"),"")</f>
        <v/>
      </c>
    </row>
    <row r="216">
      <c r="A216" s="110">
        <f>"PN27-"&amp;TEXT(ROW()-6,"000")</f>
        <v/>
      </c>
      <c r="B216" s="111" t="n"/>
      <c r="C216" s="110">
        <f>IF(B216="","",IFERROR(INDEX('Catalogos_PDN'!$R$5:$R$51,MATCH(B216,PN_AREAS,0)),""))</f>
        <v/>
      </c>
      <c r="D216" s="110">
        <f>IF(B216="","",IFERROR(INDEX('Catalogos_PDN'!$O$5:$O$51,MATCH(B216,PN_AREAS,0)),""))</f>
        <v/>
      </c>
      <c r="E216" s="111" t="n"/>
      <c r="F216" s="110">
        <f>IF(E216="","",IFERROR(INDEX('Catalogos_PDN'!$C$5:$C$49,MATCH(E216,PN_METAS,0)),""))</f>
        <v/>
      </c>
      <c r="G216" s="110">
        <f>IF(E216="","",IFERROR(INDEX('Catalogos_PDN'!$E$5:$E$49,MATCH(E216,PN_METAS,0)),""))</f>
        <v/>
      </c>
      <c r="H216" s="111" t="n"/>
      <c r="I216" s="111" t="n"/>
      <c r="J216" s="111" t="n"/>
      <c r="K216" s="111" t="n"/>
      <c r="L216" s="111" t="n"/>
      <c r="M216" s="112" t="n"/>
      <c r="N216" s="111" t="n"/>
      <c r="O216" s="111" t="n"/>
      <c r="P216" s="111" t="n"/>
      <c r="Q216" s="111" t="n"/>
      <c r="R216" s="111" t="n"/>
      <c r="S216" s="111" t="n"/>
      <c r="T216" s="111" t="n"/>
      <c r="U216" s="111" t="n"/>
      <c r="V216" s="111" t="n"/>
      <c r="W216" s="113" t="n"/>
      <c r="X216" s="113" t="n"/>
      <c r="Y216" s="111" t="n"/>
      <c r="Z216" s="111" t="n"/>
      <c r="AA216" s="111" t="n"/>
      <c r="AB216" s="111" t="n"/>
      <c r="AC216" s="111" t="n"/>
      <c r="AD216" s="111" t="n"/>
      <c r="AE216" s="111" t="n"/>
      <c r="AF216" s="111" t="n"/>
      <c r="AG216" s="111" t="n"/>
      <c r="AH216" s="111" t="n"/>
      <c r="AI216" s="111" t="n"/>
      <c r="AJ216" s="114">
        <f>IF(COUNTA(B216,E216,H216,I216,J216,K216,L216,M216,N216,O216,P216,Q216,R216,S216,T216,U216,V216,W216,X216,Y216,Z216,AA216,AB216,AC216,AD216,AE216,AF216,AG216,AH216,AI216)=0,"",IF(OR(B216="",E216="",H216="",J216="",K216="",L216="",M216="",O216="",P216="",Q216="",R216="",S216="",T216="",U216="",W216="",X216="",Y216="",AB216="",AC216="",AE216="",AF216=""),"Incompleta: faltan campos obligatorios",IF(AND(LEFT(H216,6)="PROPIA",I216=""),"Falta el nombre de la acción propia del área",IF(AND(LEFT(H216,4)="AC27",IFERROR(INDEX('Catalogos_PDN'!$T$5:$T$207,MATCH(H216,'Catalogos_PDN'!$U$5:$U$207,0)),"x")&lt;&gt;LEFT(E216,7)),"La acción no corresponde a la meta seleccionada",IF(OR(NOT(ISNUMBER(M216)),M216&lt;10000000,M216&gt;99999999),"Código UNSPSC inválido: registre 8 dígitos",IF(MOD(M216,10000)=0,"UNSPSC a nivel de segmento o familia: use clase o producto",IF(IFERROR(MATCH(P216,PN_MESES,0)&lt;MATCH(O216,PN_MESES,0),TRUE()),"El mes de ofertas es anterior al de inicio del proceso",IF(OR(NOT(ISNUMBER(Q216)),Q216&lt;=0),"Duración inválida",IF(OR(NOT(ISNUMBER(W216)),NOT(ISNUMBER(X216))),"Valor inválido: registre solo números",IF(OR(W216&lt;=0,X216&lt;=0),"Valor inválido: debe ser mayor que cero",IF(X216&gt;W216,"El valor de la vigencia 2027 supera el valor total",IF(AND(X216&lt;W216,Y216="No"),"El valor total supera el de 2027: requiere vigencias futuras",IF(AND(Y216="Sí",OR(Z216="",Z216="No aplica")),"Indique el estado de la solicitud de vigencias futuras",IF(IF(AND(S216="Mínima cuantía",ISNUMBER(PN_TOPE_MINIMA)),W216&gt;PN_TOPE_MINIMA,FALSE()),"El valor supera el tope de mínima cuantía 2027",IF(IF(AND(S216="Selección abreviada de menor cuantía",ISNUMBER(PN_TOPE_MENOR)),W216&gt;PN_TOPE_MENOR,FALSE()),"El valor supera el tope de menor cuantía 2027",IF(OR(ISERROR(SEARCH("@itc.edu.co",AE216)),SUMPRODUCT(--ISNUMBER(SEARCH({"á","é","í","ó","ú","ñ"," "},AE216)))&gt;0),"El correo del responsable no es institucional válido",IF(AND(AF216="Sí",AG216=""),"Indique el N.° de registro 2026 que continúa","OK")))))))))))))))))</f>
        <v/>
      </c>
      <c r="AK216" s="114">
        <f>IF(AJ216="OK",COUNTIF($AJ$7:AJ216,"OK"),"")</f>
        <v/>
      </c>
    </row>
    <row r="217">
      <c r="A217" s="110">
        <f>"PN27-"&amp;TEXT(ROW()-6,"000")</f>
        <v/>
      </c>
      <c r="B217" s="111" t="n"/>
      <c r="C217" s="110">
        <f>IF(B217="","",IFERROR(INDEX('Catalogos_PDN'!$R$5:$R$51,MATCH(B217,PN_AREAS,0)),""))</f>
        <v/>
      </c>
      <c r="D217" s="110">
        <f>IF(B217="","",IFERROR(INDEX('Catalogos_PDN'!$O$5:$O$51,MATCH(B217,PN_AREAS,0)),""))</f>
        <v/>
      </c>
      <c r="E217" s="111" t="n"/>
      <c r="F217" s="110">
        <f>IF(E217="","",IFERROR(INDEX('Catalogos_PDN'!$C$5:$C$49,MATCH(E217,PN_METAS,0)),""))</f>
        <v/>
      </c>
      <c r="G217" s="110">
        <f>IF(E217="","",IFERROR(INDEX('Catalogos_PDN'!$E$5:$E$49,MATCH(E217,PN_METAS,0)),""))</f>
        <v/>
      </c>
      <c r="H217" s="111" t="n"/>
      <c r="I217" s="111" t="n"/>
      <c r="J217" s="111" t="n"/>
      <c r="K217" s="111" t="n"/>
      <c r="L217" s="111" t="n"/>
      <c r="M217" s="112" t="n"/>
      <c r="N217" s="111" t="n"/>
      <c r="O217" s="111" t="n"/>
      <c r="P217" s="111" t="n"/>
      <c r="Q217" s="111" t="n"/>
      <c r="R217" s="111" t="n"/>
      <c r="S217" s="111" t="n"/>
      <c r="T217" s="111" t="n"/>
      <c r="U217" s="111" t="n"/>
      <c r="V217" s="111" t="n"/>
      <c r="W217" s="113" t="n"/>
      <c r="X217" s="113" t="n"/>
      <c r="Y217" s="111" t="n"/>
      <c r="Z217" s="111" t="n"/>
      <c r="AA217" s="111" t="n"/>
      <c r="AB217" s="111" t="n"/>
      <c r="AC217" s="111" t="n"/>
      <c r="AD217" s="111" t="n"/>
      <c r="AE217" s="111" t="n"/>
      <c r="AF217" s="111" t="n"/>
      <c r="AG217" s="111" t="n"/>
      <c r="AH217" s="111" t="n"/>
      <c r="AI217" s="111" t="n"/>
      <c r="AJ217" s="114">
        <f>IF(COUNTA(B217,E217,H217,I217,J217,K217,L217,M217,N217,O217,P217,Q217,R217,S217,T217,U217,V217,W217,X217,Y217,Z217,AA217,AB217,AC217,AD217,AE217,AF217,AG217,AH217,AI217)=0,"",IF(OR(B217="",E217="",H217="",J217="",K217="",L217="",M217="",O217="",P217="",Q217="",R217="",S217="",T217="",U217="",W217="",X217="",Y217="",AB217="",AC217="",AE217="",AF217=""),"Incompleta: faltan campos obligatorios",IF(AND(LEFT(H217,6)="PROPIA",I217=""),"Falta el nombre de la acción propia del área",IF(AND(LEFT(H217,4)="AC27",IFERROR(INDEX('Catalogos_PDN'!$T$5:$T$207,MATCH(H217,'Catalogos_PDN'!$U$5:$U$207,0)),"x")&lt;&gt;LEFT(E217,7)),"La acción no corresponde a la meta seleccionada",IF(OR(NOT(ISNUMBER(M217)),M217&lt;10000000,M217&gt;99999999),"Código UNSPSC inválido: registre 8 dígitos",IF(MOD(M217,10000)=0,"UNSPSC a nivel de segmento o familia: use clase o producto",IF(IFERROR(MATCH(P217,PN_MESES,0)&lt;MATCH(O217,PN_MESES,0),TRUE()),"El mes de ofertas es anterior al de inicio del proceso",IF(OR(NOT(ISNUMBER(Q217)),Q217&lt;=0),"Duración inválida",IF(OR(NOT(ISNUMBER(W217)),NOT(ISNUMBER(X217))),"Valor inválido: registre solo números",IF(OR(W217&lt;=0,X217&lt;=0),"Valor inválido: debe ser mayor que cero",IF(X217&gt;W217,"El valor de la vigencia 2027 supera el valor total",IF(AND(X217&lt;W217,Y217="No"),"El valor total supera el de 2027: requiere vigencias futuras",IF(AND(Y217="Sí",OR(Z217="",Z217="No aplica")),"Indique el estado de la solicitud de vigencias futuras",IF(IF(AND(S217="Mínima cuantía",ISNUMBER(PN_TOPE_MINIMA)),W217&gt;PN_TOPE_MINIMA,FALSE()),"El valor supera el tope de mínima cuantía 2027",IF(IF(AND(S217="Selección abreviada de menor cuantía",ISNUMBER(PN_TOPE_MENOR)),W217&gt;PN_TOPE_MENOR,FALSE()),"El valor supera el tope de menor cuantía 2027",IF(OR(ISERROR(SEARCH("@itc.edu.co",AE217)),SUMPRODUCT(--ISNUMBER(SEARCH({"á","é","í","ó","ú","ñ"," "},AE217)))&gt;0),"El correo del responsable no es institucional válido",IF(AND(AF217="Sí",AG217=""),"Indique el N.° de registro 2026 que continúa","OK")))))))))))))))))</f>
        <v/>
      </c>
      <c r="AK217" s="114">
        <f>IF(AJ217="OK",COUNTIF($AJ$7:AJ217,"OK"),"")</f>
        <v/>
      </c>
    </row>
    <row r="218">
      <c r="A218" s="110">
        <f>"PN27-"&amp;TEXT(ROW()-6,"000")</f>
        <v/>
      </c>
      <c r="B218" s="111" t="n"/>
      <c r="C218" s="110">
        <f>IF(B218="","",IFERROR(INDEX('Catalogos_PDN'!$R$5:$R$51,MATCH(B218,PN_AREAS,0)),""))</f>
        <v/>
      </c>
      <c r="D218" s="110">
        <f>IF(B218="","",IFERROR(INDEX('Catalogos_PDN'!$O$5:$O$51,MATCH(B218,PN_AREAS,0)),""))</f>
        <v/>
      </c>
      <c r="E218" s="111" t="n"/>
      <c r="F218" s="110">
        <f>IF(E218="","",IFERROR(INDEX('Catalogos_PDN'!$C$5:$C$49,MATCH(E218,PN_METAS,0)),""))</f>
        <v/>
      </c>
      <c r="G218" s="110">
        <f>IF(E218="","",IFERROR(INDEX('Catalogos_PDN'!$E$5:$E$49,MATCH(E218,PN_METAS,0)),""))</f>
        <v/>
      </c>
      <c r="H218" s="111" t="n"/>
      <c r="I218" s="111" t="n"/>
      <c r="J218" s="111" t="n"/>
      <c r="K218" s="111" t="n"/>
      <c r="L218" s="111" t="n"/>
      <c r="M218" s="112" t="n"/>
      <c r="N218" s="111" t="n"/>
      <c r="O218" s="111" t="n"/>
      <c r="P218" s="111" t="n"/>
      <c r="Q218" s="111" t="n"/>
      <c r="R218" s="111" t="n"/>
      <c r="S218" s="111" t="n"/>
      <c r="T218" s="111" t="n"/>
      <c r="U218" s="111" t="n"/>
      <c r="V218" s="111" t="n"/>
      <c r="W218" s="113" t="n"/>
      <c r="X218" s="113" t="n"/>
      <c r="Y218" s="111" t="n"/>
      <c r="Z218" s="111" t="n"/>
      <c r="AA218" s="111" t="n"/>
      <c r="AB218" s="111" t="n"/>
      <c r="AC218" s="111" t="n"/>
      <c r="AD218" s="111" t="n"/>
      <c r="AE218" s="111" t="n"/>
      <c r="AF218" s="111" t="n"/>
      <c r="AG218" s="111" t="n"/>
      <c r="AH218" s="111" t="n"/>
      <c r="AI218" s="111" t="n"/>
      <c r="AJ218" s="114">
        <f>IF(COUNTA(B218,E218,H218,I218,J218,K218,L218,M218,N218,O218,P218,Q218,R218,S218,T218,U218,V218,W218,X218,Y218,Z218,AA218,AB218,AC218,AD218,AE218,AF218,AG218,AH218,AI218)=0,"",IF(OR(B218="",E218="",H218="",J218="",K218="",L218="",M218="",O218="",P218="",Q218="",R218="",S218="",T218="",U218="",W218="",X218="",Y218="",AB218="",AC218="",AE218="",AF218=""),"Incompleta: faltan campos obligatorios",IF(AND(LEFT(H218,6)="PROPIA",I218=""),"Falta el nombre de la acción propia del área",IF(AND(LEFT(H218,4)="AC27",IFERROR(INDEX('Catalogos_PDN'!$T$5:$T$207,MATCH(H218,'Catalogos_PDN'!$U$5:$U$207,0)),"x")&lt;&gt;LEFT(E218,7)),"La acción no corresponde a la meta seleccionada",IF(OR(NOT(ISNUMBER(M218)),M218&lt;10000000,M218&gt;99999999),"Código UNSPSC inválido: registre 8 dígitos",IF(MOD(M218,10000)=0,"UNSPSC a nivel de segmento o familia: use clase o producto",IF(IFERROR(MATCH(P218,PN_MESES,0)&lt;MATCH(O218,PN_MESES,0),TRUE()),"El mes de ofertas es anterior al de inicio del proceso",IF(OR(NOT(ISNUMBER(Q218)),Q218&lt;=0),"Duración inválida",IF(OR(NOT(ISNUMBER(W218)),NOT(ISNUMBER(X218))),"Valor inválido: registre solo números",IF(OR(W218&lt;=0,X218&lt;=0),"Valor inválido: debe ser mayor que cero",IF(X218&gt;W218,"El valor de la vigencia 2027 supera el valor total",IF(AND(X218&lt;W218,Y218="No"),"El valor total supera el de 2027: requiere vigencias futuras",IF(AND(Y218="Sí",OR(Z218="",Z218="No aplica")),"Indique el estado de la solicitud de vigencias futuras",IF(IF(AND(S218="Mínima cuantía",ISNUMBER(PN_TOPE_MINIMA)),W218&gt;PN_TOPE_MINIMA,FALSE()),"El valor supera el tope de mínima cuantía 2027",IF(IF(AND(S218="Selección abreviada de menor cuantía",ISNUMBER(PN_TOPE_MENOR)),W218&gt;PN_TOPE_MENOR,FALSE()),"El valor supera el tope de menor cuantía 2027",IF(OR(ISERROR(SEARCH("@itc.edu.co",AE218)),SUMPRODUCT(--ISNUMBER(SEARCH({"á","é","í","ó","ú","ñ"," "},AE218)))&gt;0),"El correo del responsable no es institucional válido",IF(AND(AF218="Sí",AG218=""),"Indique el N.° de registro 2026 que continúa","OK")))))))))))))))))</f>
        <v/>
      </c>
      <c r="AK218" s="114">
        <f>IF(AJ218="OK",COUNTIF($AJ$7:AJ218,"OK"),"")</f>
        <v/>
      </c>
    </row>
    <row r="219">
      <c r="A219" s="110">
        <f>"PN27-"&amp;TEXT(ROW()-6,"000")</f>
        <v/>
      </c>
      <c r="B219" s="111" t="n"/>
      <c r="C219" s="110">
        <f>IF(B219="","",IFERROR(INDEX('Catalogos_PDN'!$R$5:$R$51,MATCH(B219,PN_AREAS,0)),""))</f>
        <v/>
      </c>
      <c r="D219" s="110">
        <f>IF(B219="","",IFERROR(INDEX('Catalogos_PDN'!$O$5:$O$51,MATCH(B219,PN_AREAS,0)),""))</f>
        <v/>
      </c>
      <c r="E219" s="111" t="n"/>
      <c r="F219" s="110">
        <f>IF(E219="","",IFERROR(INDEX('Catalogos_PDN'!$C$5:$C$49,MATCH(E219,PN_METAS,0)),""))</f>
        <v/>
      </c>
      <c r="G219" s="110">
        <f>IF(E219="","",IFERROR(INDEX('Catalogos_PDN'!$E$5:$E$49,MATCH(E219,PN_METAS,0)),""))</f>
        <v/>
      </c>
      <c r="H219" s="111" t="n"/>
      <c r="I219" s="111" t="n"/>
      <c r="J219" s="111" t="n"/>
      <c r="K219" s="111" t="n"/>
      <c r="L219" s="111" t="n"/>
      <c r="M219" s="112" t="n"/>
      <c r="N219" s="111" t="n"/>
      <c r="O219" s="111" t="n"/>
      <c r="P219" s="111" t="n"/>
      <c r="Q219" s="111" t="n"/>
      <c r="R219" s="111" t="n"/>
      <c r="S219" s="111" t="n"/>
      <c r="T219" s="111" t="n"/>
      <c r="U219" s="111" t="n"/>
      <c r="V219" s="111" t="n"/>
      <c r="W219" s="113" t="n"/>
      <c r="X219" s="113" t="n"/>
      <c r="Y219" s="111" t="n"/>
      <c r="Z219" s="111" t="n"/>
      <c r="AA219" s="111" t="n"/>
      <c r="AB219" s="111" t="n"/>
      <c r="AC219" s="111" t="n"/>
      <c r="AD219" s="111" t="n"/>
      <c r="AE219" s="111" t="n"/>
      <c r="AF219" s="111" t="n"/>
      <c r="AG219" s="111" t="n"/>
      <c r="AH219" s="111" t="n"/>
      <c r="AI219" s="111" t="n"/>
      <c r="AJ219" s="114">
        <f>IF(COUNTA(B219,E219,H219,I219,J219,K219,L219,M219,N219,O219,P219,Q219,R219,S219,T219,U219,V219,W219,X219,Y219,Z219,AA219,AB219,AC219,AD219,AE219,AF219,AG219,AH219,AI219)=0,"",IF(OR(B219="",E219="",H219="",J219="",K219="",L219="",M219="",O219="",P219="",Q219="",R219="",S219="",T219="",U219="",W219="",X219="",Y219="",AB219="",AC219="",AE219="",AF219=""),"Incompleta: faltan campos obligatorios",IF(AND(LEFT(H219,6)="PROPIA",I219=""),"Falta el nombre de la acción propia del área",IF(AND(LEFT(H219,4)="AC27",IFERROR(INDEX('Catalogos_PDN'!$T$5:$T$207,MATCH(H219,'Catalogos_PDN'!$U$5:$U$207,0)),"x")&lt;&gt;LEFT(E219,7)),"La acción no corresponde a la meta seleccionada",IF(OR(NOT(ISNUMBER(M219)),M219&lt;10000000,M219&gt;99999999),"Código UNSPSC inválido: registre 8 dígitos",IF(MOD(M219,10000)=0,"UNSPSC a nivel de segmento o familia: use clase o producto",IF(IFERROR(MATCH(P219,PN_MESES,0)&lt;MATCH(O219,PN_MESES,0),TRUE()),"El mes de ofertas es anterior al de inicio del proceso",IF(OR(NOT(ISNUMBER(Q219)),Q219&lt;=0),"Duración inválida",IF(OR(NOT(ISNUMBER(W219)),NOT(ISNUMBER(X219))),"Valor inválido: registre solo números",IF(OR(W219&lt;=0,X219&lt;=0),"Valor inválido: debe ser mayor que cero",IF(X219&gt;W219,"El valor de la vigencia 2027 supera el valor total",IF(AND(X219&lt;W219,Y219="No"),"El valor total supera el de 2027: requiere vigencias futuras",IF(AND(Y219="Sí",OR(Z219="",Z219="No aplica")),"Indique el estado de la solicitud de vigencias futuras",IF(IF(AND(S219="Mínima cuantía",ISNUMBER(PN_TOPE_MINIMA)),W219&gt;PN_TOPE_MINIMA,FALSE()),"El valor supera el tope de mínima cuantía 2027",IF(IF(AND(S219="Selección abreviada de menor cuantía",ISNUMBER(PN_TOPE_MENOR)),W219&gt;PN_TOPE_MENOR,FALSE()),"El valor supera el tope de menor cuantía 2027",IF(OR(ISERROR(SEARCH("@itc.edu.co",AE219)),SUMPRODUCT(--ISNUMBER(SEARCH({"á","é","í","ó","ú","ñ"," "},AE219)))&gt;0),"El correo del responsable no es institucional válido",IF(AND(AF219="Sí",AG219=""),"Indique el N.° de registro 2026 que continúa","OK")))))))))))))))))</f>
        <v/>
      </c>
      <c r="AK219" s="114">
        <f>IF(AJ219="OK",COUNTIF($AJ$7:AJ219,"OK"),"")</f>
        <v/>
      </c>
    </row>
    <row r="220">
      <c r="A220" s="110">
        <f>"PN27-"&amp;TEXT(ROW()-6,"000")</f>
        <v/>
      </c>
      <c r="B220" s="111" t="n"/>
      <c r="C220" s="110">
        <f>IF(B220="","",IFERROR(INDEX('Catalogos_PDN'!$R$5:$R$51,MATCH(B220,PN_AREAS,0)),""))</f>
        <v/>
      </c>
      <c r="D220" s="110">
        <f>IF(B220="","",IFERROR(INDEX('Catalogos_PDN'!$O$5:$O$51,MATCH(B220,PN_AREAS,0)),""))</f>
        <v/>
      </c>
      <c r="E220" s="111" t="n"/>
      <c r="F220" s="110">
        <f>IF(E220="","",IFERROR(INDEX('Catalogos_PDN'!$C$5:$C$49,MATCH(E220,PN_METAS,0)),""))</f>
        <v/>
      </c>
      <c r="G220" s="110">
        <f>IF(E220="","",IFERROR(INDEX('Catalogos_PDN'!$E$5:$E$49,MATCH(E220,PN_METAS,0)),""))</f>
        <v/>
      </c>
      <c r="H220" s="111" t="n"/>
      <c r="I220" s="111" t="n"/>
      <c r="J220" s="111" t="n"/>
      <c r="K220" s="111" t="n"/>
      <c r="L220" s="111" t="n"/>
      <c r="M220" s="112" t="n"/>
      <c r="N220" s="111" t="n"/>
      <c r="O220" s="111" t="n"/>
      <c r="P220" s="111" t="n"/>
      <c r="Q220" s="111" t="n"/>
      <c r="R220" s="111" t="n"/>
      <c r="S220" s="111" t="n"/>
      <c r="T220" s="111" t="n"/>
      <c r="U220" s="111" t="n"/>
      <c r="V220" s="111" t="n"/>
      <c r="W220" s="113" t="n"/>
      <c r="X220" s="113" t="n"/>
      <c r="Y220" s="111" t="n"/>
      <c r="Z220" s="111" t="n"/>
      <c r="AA220" s="111" t="n"/>
      <c r="AB220" s="111" t="n"/>
      <c r="AC220" s="111" t="n"/>
      <c r="AD220" s="111" t="n"/>
      <c r="AE220" s="111" t="n"/>
      <c r="AF220" s="111" t="n"/>
      <c r="AG220" s="111" t="n"/>
      <c r="AH220" s="111" t="n"/>
      <c r="AI220" s="111" t="n"/>
      <c r="AJ220" s="114">
        <f>IF(COUNTA(B220,E220,H220,I220,J220,K220,L220,M220,N220,O220,P220,Q220,R220,S220,T220,U220,V220,W220,X220,Y220,Z220,AA220,AB220,AC220,AD220,AE220,AF220,AG220,AH220,AI220)=0,"",IF(OR(B220="",E220="",H220="",J220="",K220="",L220="",M220="",O220="",P220="",Q220="",R220="",S220="",T220="",U220="",W220="",X220="",Y220="",AB220="",AC220="",AE220="",AF220=""),"Incompleta: faltan campos obligatorios",IF(AND(LEFT(H220,6)="PROPIA",I220=""),"Falta el nombre de la acción propia del área",IF(AND(LEFT(H220,4)="AC27",IFERROR(INDEX('Catalogos_PDN'!$T$5:$T$207,MATCH(H220,'Catalogos_PDN'!$U$5:$U$207,0)),"x")&lt;&gt;LEFT(E220,7)),"La acción no corresponde a la meta seleccionada",IF(OR(NOT(ISNUMBER(M220)),M220&lt;10000000,M220&gt;99999999),"Código UNSPSC inválido: registre 8 dígitos",IF(MOD(M220,10000)=0,"UNSPSC a nivel de segmento o familia: use clase o producto",IF(IFERROR(MATCH(P220,PN_MESES,0)&lt;MATCH(O220,PN_MESES,0),TRUE()),"El mes de ofertas es anterior al de inicio del proceso",IF(OR(NOT(ISNUMBER(Q220)),Q220&lt;=0),"Duración inválida",IF(OR(NOT(ISNUMBER(W220)),NOT(ISNUMBER(X220))),"Valor inválido: registre solo números",IF(OR(W220&lt;=0,X220&lt;=0),"Valor inválido: debe ser mayor que cero",IF(X220&gt;W220,"El valor de la vigencia 2027 supera el valor total",IF(AND(X220&lt;W220,Y220="No"),"El valor total supera el de 2027: requiere vigencias futuras",IF(AND(Y220="Sí",OR(Z220="",Z220="No aplica")),"Indique el estado de la solicitud de vigencias futuras",IF(IF(AND(S220="Mínima cuantía",ISNUMBER(PN_TOPE_MINIMA)),W220&gt;PN_TOPE_MINIMA,FALSE()),"El valor supera el tope de mínima cuantía 2027",IF(IF(AND(S220="Selección abreviada de menor cuantía",ISNUMBER(PN_TOPE_MENOR)),W220&gt;PN_TOPE_MENOR,FALSE()),"El valor supera el tope de menor cuantía 2027",IF(OR(ISERROR(SEARCH("@itc.edu.co",AE220)),SUMPRODUCT(--ISNUMBER(SEARCH({"á","é","í","ó","ú","ñ"," "},AE220)))&gt;0),"El correo del responsable no es institucional válido",IF(AND(AF220="Sí",AG220=""),"Indique el N.° de registro 2026 que continúa","OK")))))))))))))))))</f>
        <v/>
      </c>
      <c r="AK220" s="114">
        <f>IF(AJ220="OK",COUNTIF($AJ$7:AJ220,"OK"),"")</f>
        <v/>
      </c>
    </row>
    <row r="221">
      <c r="A221" s="110">
        <f>"PN27-"&amp;TEXT(ROW()-6,"000")</f>
        <v/>
      </c>
      <c r="B221" s="111" t="n"/>
      <c r="C221" s="110">
        <f>IF(B221="","",IFERROR(INDEX('Catalogos_PDN'!$R$5:$R$51,MATCH(B221,PN_AREAS,0)),""))</f>
        <v/>
      </c>
      <c r="D221" s="110">
        <f>IF(B221="","",IFERROR(INDEX('Catalogos_PDN'!$O$5:$O$51,MATCH(B221,PN_AREAS,0)),""))</f>
        <v/>
      </c>
      <c r="E221" s="111" t="n"/>
      <c r="F221" s="110">
        <f>IF(E221="","",IFERROR(INDEX('Catalogos_PDN'!$C$5:$C$49,MATCH(E221,PN_METAS,0)),""))</f>
        <v/>
      </c>
      <c r="G221" s="110">
        <f>IF(E221="","",IFERROR(INDEX('Catalogos_PDN'!$E$5:$E$49,MATCH(E221,PN_METAS,0)),""))</f>
        <v/>
      </c>
      <c r="H221" s="111" t="n"/>
      <c r="I221" s="111" t="n"/>
      <c r="J221" s="111" t="n"/>
      <c r="K221" s="111" t="n"/>
      <c r="L221" s="111" t="n"/>
      <c r="M221" s="112" t="n"/>
      <c r="N221" s="111" t="n"/>
      <c r="O221" s="111" t="n"/>
      <c r="P221" s="111" t="n"/>
      <c r="Q221" s="111" t="n"/>
      <c r="R221" s="111" t="n"/>
      <c r="S221" s="111" t="n"/>
      <c r="T221" s="111" t="n"/>
      <c r="U221" s="111" t="n"/>
      <c r="V221" s="111" t="n"/>
      <c r="W221" s="113" t="n"/>
      <c r="X221" s="113" t="n"/>
      <c r="Y221" s="111" t="n"/>
      <c r="Z221" s="111" t="n"/>
      <c r="AA221" s="111" t="n"/>
      <c r="AB221" s="111" t="n"/>
      <c r="AC221" s="111" t="n"/>
      <c r="AD221" s="111" t="n"/>
      <c r="AE221" s="111" t="n"/>
      <c r="AF221" s="111" t="n"/>
      <c r="AG221" s="111" t="n"/>
      <c r="AH221" s="111" t="n"/>
      <c r="AI221" s="111" t="n"/>
      <c r="AJ221" s="114">
        <f>IF(COUNTA(B221,E221,H221,I221,J221,K221,L221,M221,N221,O221,P221,Q221,R221,S221,T221,U221,V221,W221,X221,Y221,Z221,AA221,AB221,AC221,AD221,AE221,AF221,AG221,AH221,AI221)=0,"",IF(OR(B221="",E221="",H221="",J221="",K221="",L221="",M221="",O221="",P221="",Q221="",R221="",S221="",T221="",U221="",W221="",X221="",Y221="",AB221="",AC221="",AE221="",AF221=""),"Incompleta: faltan campos obligatorios",IF(AND(LEFT(H221,6)="PROPIA",I221=""),"Falta el nombre de la acción propia del área",IF(AND(LEFT(H221,4)="AC27",IFERROR(INDEX('Catalogos_PDN'!$T$5:$T$207,MATCH(H221,'Catalogos_PDN'!$U$5:$U$207,0)),"x")&lt;&gt;LEFT(E221,7)),"La acción no corresponde a la meta seleccionada",IF(OR(NOT(ISNUMBER(M221)),M221&lt;10000000,M221&gt;99999999),"Código UNSPSC inválido: registre 8 dígitos",IF(MOD(M221,10000)=0,"UNSPSC a nivel de segmento o familia: use clase o producto",IF(IFERROR(MATCH(P221,PN_MESES,0)&lt;MATCH(O221,PN_MESES,0),TRUE()),"El mes de ofertas es anterior al de inicio del proceso",IF(OR(NOT(ISNUMBER(Q221)),Q221&lt;=0),"Duración inválida",IF(OR(NOT(ISNUMBER(W221)),NOT(ISNUMBER(X221))),"Valor inválido: registre solo números",IF(OR(W221&lt;=0,X221&lt;=0),"Valor inválido: debe ser mayor que cero",IF(X221&gt;W221,"El valor de la vigencia 2027 supera el valor total",IF(AND(X221&lt;W221,Y221="No"),"El valor total supera el de 2027: requiere vigencias futuras",IF(AND(Y221="Sí",OR(Z221="",Z221="No aplica")),"Indique el estado de la solicitud de vigencias futuras",IF(IF(AND(S221="Mínima cuantía",ISNUMBER(PN_TOPE_MINIMA)),W221&gt;PN_TOPE_MINIMA,FALSE()),"El valor supera el tope de mínima cuantía 2027",IF(IF(AND(S221="Selección abreviada de menor cuantía",ISNUMBER(PN_TOPE_MENOR)),W221&gt;PN_TOPE_MENOR,FALSE()),"El valor supera el tope de menor cuantía 2027",IF(OR(ISERROR(SEARCH("@itc.edu.co",AE221)),SUMPRODUCT(--ISNUMBER(SEARCH({"á","é","í","ó","ú","ñ"," "},AE221)))&gt;0),"El correo del responsable no es institucional válido",IF(AND(AF221="Sí",AG221=""),"Indique el N.° de registro 2026 que continúa","OK")))))))))))))))))</f>
        <v/>
      </c>
      <c r="AK221" s="114">
        <f>IF(AJ221="OK",COUNTIF($AJ$7:AJ221,"OK"),"")</f>
        <v/>
      </c>
    </row>
    <row r="222">
      <c r="A222" s="110">
        <f>"PN27-"&amp;TEXT(ROW()-6,"000")</f>
        <v/>
      </c>
      <c r="B222" s="111" t="n"/>
      <c r="C222" s="110">
        <f>IF(B222="","",IFERROR(INDEX('Catalogos_PDN'!$R$5:$R$51,MATCH(B222,PN_AREAS,0)),""))</f>
        <v/>
      </c>
      <c r="D222" s="110">
        <f>IF(B222="","",IFERROR(INDEX('Catalogos_PDN'!$O$5:$O$51,MATCH(B222,PN_AREAS,0)),""))</f>
        <v/>
      </c>
      <c r="E222" s="111" t="n"/>
      <c r="F222" s="110">
        <f>IF(E222="","",IFERROR(INDEX('Catalogos_PDN'!$C$5:$C$49,MATCH(E222,PN_METAS,0)),""))</f>
        <v/>
      </c>
      <c r="G222" s="110">
        <f>IF(E222="","",IFERROR(INDEX('Catalogos_PDN'!$E$5:$E$49,MATCH(E222,PN_METAS,0)),""))</f>
        <v/>
      </c>
      <c r="H222" s="111" t="n"/>
      <c r="I222" s="111" t="n"/>
      <c r="J222" s="111" t="n"/>
      <c r="K222" s="111" t="n"/>
      <c r="L222" s="111" t="n"/>
      <c r="M222" s="112" t="n"/>
      <c r="N222" s="111" t="n"/>
      <c r="O222" s="111" t="n"/>
      <c r="P222" s="111" t="n"/>
      <c r="Q222" s="111" t="n"/>
      <c r="R222" s="111" t="n"/>
      <c r="S222" s="111" t="n"/>
      <c r="T222" s="111" t="n"/>
      <c r="U222" s="111" t="n"/>
      <c r="V222" s="111" t="n"/>
      <c r="W222" s="113" t="n"/>
      <c r="X222" s="113" t="n"/>
      <c r="Y222" s="111" t="n"/>
      <c r="Z222" s="111" t="n"/>
      <c r="AA222" s="111" t="n"/>
      <c r="AB222" s="111" t="n"/>
      <c r="AC222" s="111" t="n"/>
      <c r="AD222" s="111" t="n"/>
      <c r="AE222" s="111" t="n"/>
      <c r="AF222" s="111" t="n"/>
      <c r="AG222" s="111" t="n"/>
      <c r="AH222" s="111" t="n"/>
      <c r="AI222" s="111" t="n"/>
      <c r="AJ222" s="114">
        <f>IF(COUNTA(B222,E222,H222,I222,J222,K222,L222,M222,N222,O222,P222,Q222,R222,S222,T222,U222,V222,W222,X222,Y222,Z222,AA222,AB222,AC222,AD222,AE222,AF222,AG222,AH222,AI222)=0,"",IF(OR(B222="",E222="",H222="",J222="",K222="",L222="",M222="",O222="",P222="",Q222="",R222="",S222="",T222="",U222="",W222="",X222="",Y222="",AB222="",AC222="",AE222="",AF222=""),"Incompleta: faltan campos obligatorios",IF(AND(LEFT(H222,6)="PROPIA",I222=""),"Falta el nombre de la acción propia del área",IF(AND(LEFT(H222,4)="AC27",IFERROR(INDEX('Catalogos_PDN'!$T$5:$T$207,MATCH(H222,'Catalogos_PDN'!$U$5:$U$207,0)),"x")&lt;&gt;LEFT(E222,7)),"La acción no corresponde a la meta seleccionada",IF(OR(NOT(ISNUMBER(M222)),M222&lt;10000000,M222&gt;99999999),"Código UNSPSC inválido: registre 8 dígitos",IF(MOD(M222,10000)=0,"UNSPSC a nivel de segmento o familia: use clase o producto",IF(IFERROR(MATCH(P222,PN_MESES,0)&lt;MATCH(O222,PN_MESES,0),TRUE()),"El mes de ofertas es anterior al de inicio del proceso",IF(OR(NOT(ISNUMBER(Q222)),Q222&lt;=0),"Duración inválida",IF(OR(NOT(ISNUMBER(W222)),NOT(ISNUMBER(X222))),"Valor inválido: registre solo números",IF(OR(W222&lt;=0,X222&lt;=0),"Valor inválido: debe ser mayor que cero",IF(X222&gt;W222,"El valor de la vigencia 2027 supera el valor total",IF(AND(X222&lt;W222,Y222="No"),"El valor total supera el de 2027: requiere vigencias futuras",IF(AND(Y222="Sí",OR(Z222="",Z222="No aplica")),"Indique el estado de la solicitud de vigencias futuras",IF(IF(AND(S222="Mínima cuantía",ISNUMBER(PN_TOPE_MINIMA)),W222&gt;PN_TOPE_MINIMA,FALSE()),"El valor supera el tope de mínima cuantía 2027",IF(IF(AND(S222="Selección abreviada de menor cuantía",ISNUMBER(PN_TOPE_MENOR)),W222&gt;PN_TOPE_MENOR,FALSE()),"El valor supera el tope de menor cuantía 2027",IF(OR(ISERROR(SEARCH("@itc.edu.co",AE222)),SUMPRODUCT(--ISNUMBER(SEARCH({"á","é","í","ó","ú","ñ"," "},AE222)))&gt;0),"El correo del responsable no es institucional válido",IF(AND(AF222="Sí",AG222=""),"Indique el N.° de registro 2026 que continúa","OK")))))))))))))))))</f>
        <v/>
      </c>
      <c r="AK222" s="114">
        <f>IF(AJ222="OK",COUNTIF($AJ$7:AJ222,"OK"),"")</f>
        <v/>
      </c>
    </row>
    <row r="223">
      <c r="A223" s="110">
        <f>"PN27-"&amp;TEXT(ROW()-6,"000")</f>
        <v/>
      </c>
      <c r="B223" s="111" t="n"/>
      <c r="C223" s="110">
        <f>IF(B223="","",IFERROR(INDEX('Catalogos_PDN'!$R$5:$R$51,MATCH(B223,PN_AREAS,0)),""))</f>
        <v/>
      </c>
      <c r="D223" s="110">
        <f>IF(B223="","",IFERROR(INDEX('Catalogos_PDN'!$O$5:$O$51,MATCH(B223,PN_AREAS,0)),""))</f>
        <v/>
      </c>
      <c r="E223" s="111" t="n"/>
      <c r="F223" s="110">
        <f>IF(E223="","",IFERROR(INDEX('Catalogos_PDN'!$C$5:$C$49,MATCH(E223,PN_METAS,0)),""))</f>
        <v/>
      </c>
      <c r="G223" s="110">
        <f>IF(E223="","",IFERROR(INDEX('Catalogos_PDN'!$E$5:$E$49,MATCH(E223,PN_METAS,0)),""))</f>
        <v/>
      </c>
      <c r="H223" s="111" t="n"/>
      <c r="I223" s="111" t="n"/>
      <c r="J223" s="111" t="n"/>
      <c r="K223" s="111" t="n"/>
      <c r="L223" s="111" t="n"/>
      <c r="M223" s="112" t="n"/>
      <c r="N223" s="111" t="n"/>
      <c r="O223" s="111" t="n"/>
      <c r="P223" s="111" t="n"/>
      <c r="Q223" s="111" t="n"/>
      <c r="R223" s="111" t="n"/>
      <c r="S223" s="111" t="n"/>
      <c r="T223" s="111" t="n"/>
      <c r="U223" s="111" t="n"/>
      <c r="V223" s="111" t="n"/>
      <c r="W223" s="113" t="n"/>
      <c r="X223" s="113" t="n"/>
      <c r="Y223" s="111" t="n"/>
      <c r="Z223" s="111" t="n"/>
      <c r="AA223" s="111" t="n"/>
      <c r="AB223" s="111" t="n"/>
      <c r="AC223" s="111" t="n"/>
      <c r="AD223" s="111" t="n"/>
      <c r="AE223" s="111" t="n"/>
      <c r="AF223" s="111" t="n"/>
      <c r="AG223" s="111" t="n"/>
      <c r="AH223" s="111" t="n"/>
      <c r="AI223" s="111" t="n"/>
      <c r="AJ223" s="114">
        <f>IF(COUNTA(B223,E223,H223,I223,J223,K223,L223,M223,N223,O223,P223,Q223,R223,S223,T223,U223,V223,W223,X223,Y223,Z223,AA223,AB223,AC223,AD223,AE223,AF223,AG223,AH223,AI223)=0,"",IF(OR(B223="",E223="",H223="",J223="",K223="",L223="",M223="",O223="",P223="",Q223="",R223="",S223="",T223="",U223="",W223="",X223="",Y223="",AB223="",AC223="",AE223="",AF223=""),"Incompleta: faltan campos obligatorios",IF(AND(LEFT(H223,6)="PROPIA",I223=""),"Falta el nombre de la acción propia del área",IF(AND(LEFT(H223,4)="AC27",IFERROR(INDEX('Catalogos_PDN'!$T$5:$T$207,MATCH(H223,'Catalogos_PDN'!$U$5:$U$207,0)),"x")&lt;&gt;LEFT(E223,7)),"La acción no corresponde a la meta seleccionada",IF(OR(NOT(ISNUMBER(M223)),M223&lt;10000000,M223&gt;99999999),"Código UNSPSC inválido: registre 8 dígitos",IF(MOD(M223,10000)=0,"UNSPSC a nivel de segmento o familia: use clase o producto",IF(IFERROR(MATCH(P223,PN_MESES,0)&lt;MATCH(O223,PN_MESES,0),TRUE()),"El mes de ofertas es anterior al de inicio del proceso",IF(OR(NOT(ISNUMBER(Q223)),Q223&lt;=0),"Duración inválida",IF(OR(NOT(ISNUMBER(W223)),NOT(ISNUMBER(X223))),"Valor inválido: registre solo números",IF(OR(W223&lt;=0,X223&lt;=0),"Valor inválido: debe ser mayor que cero",IF(X223&gt;W223,"El valor de la vigencia 2027 supera el valor total",IF(AND(X223&lt;W223,Y223="No"),"El valor total supera el de 2027: requiere vigencias futuras",IF(AND(Y223="Sí",OR(Z223="",Z223="No aplica")),"Indique el estado de la solicitud de vigencias futuras",IF(IF(AND(S223="Mínima cuantía",ISNUMBER(PN_TOPE_MINIMA)),W223&gt;PN_TOPE_MINIMA,FALSE()),"El valor supera el tope de mínima cuantía 2027",IF(IF(AND(S223="Selección abreviada de menor cuantía",ISNUMBER(PN_TOPE_MENOR)),W223&gt;PN_TOPE_MENOR,FALSE()),"El valor supera el tope de menor cuantía 2027",IF(OR(ISERROR(SEARCH("@itc.edu.co",AE223)),SUMPRODUCT(--ISNUMBER(SEARCH({"á","é","í","ó","ú","ñ"," "},AE223)))&gt;0),"El correo del responsable no es institucional válido",IF(AND(AF223="Sí",AG223=""),"Indique el N.° de registro 2026 que continúa","OK")))))))))))))))))</f>
        <v/>
      </c>
      <c r="AK223" s="114">
        <f>IF(AJ223="OK",COUNTIF($AJ$7:AJ223,"OK"),"")</f>
        <v/>
      </c>
    </row>
    <row r="224">
      <c r="A224" s="110">
        <f>"PN27-"&amp;TEXT(ROW()-6,"000")</f>
        <v/>
      </c>
      <c r="B224" s="111" t="n"/>
      <c r="C224" s="110">
        <f>IF(B224="","",IFERROR(INDEX('Catalogos_PDN'!$R$5:$R$51,MATCH(B224,PN_AREAS,0)),""))</f>
        <v/>
      </c>
      <c r="D224" s="110">
        <f>IF(B224="","",IFERROR(INDEX('Catalogos_PDN'!$O$5:$O$51,MATCH(B224,PN_AREAS,0)),""))</f>
        <v/>
      </c>
      <c r="E224" s="111" t="n"/>
      <c r="F224" s="110">
        <f>IF(E224="","",IFERROR(INDEX('Catalogos_PDN'!$C$5:$C$49,MATCH(E224,PN_METAS,0)),""))</f>
        <v/>
      </c>
      <c r="G224" s="110">
        <f>IF(E224="","",IFERROR(INDEX('Catalogos_PDN'!$E$5:$E$49,MATCH(E224,PN_METAS,0)),""))</f>
        <v/>
      </c>
      <c r="H224" s="111" t="n"/>
      <c r="I224" s="111" t="n"/>
      <c r="J224" s="111" t="n"/>
      <c r="K224" s="111" t="n"/>
      <c r="L224" s="111" t="n"/>
      <c r="M224" s="112" t="n"/>
      <c r="N224" s="111" t="n"/>
      <c r="O224" s="111" t="n"/>
      <c r="P224" s="111" t="n"/>
      <c r="Q224" s="111" t="n"/>
      <c r="R224" s="111" t="n"/>
      <c r="S224" s="111" t="n"/>
      <c r="T224" s="111" t="n"/>
      <c r="U224" s="111" t="n"/>
      <c r="V224" s="111" t="n"/>
      <c r="W224" s="113" t="n"/>
      <c r="X224" s="113" t="n"/>
      <c r="Y224" s="111" t="n"/>
      <c r="Z224" s="111" t="n"/>
      <c r="AA224" s="111" t="n"/>
      <c r="AB224" s="111" t="n"/>
      <c r="AC224" s="111" t="n"/>
      <c r="AD224" s="111" t="n"/>
      <c r="AE224" s="111" t="n"/>
      <c r="AF224" s="111" t="n"/>
      <c r="AG224" s="111" t="n"/>
      <c r="AH224" s="111" t="n"/>
      <c r="AI224" s="111" t="n"/>
      <c r="AJ224" s="114">
        <f>IF(COUNTA(B224,E224,H224,I224,J224,K224,L224,M224,N224,O224,P224,Q224,R224,S224,T224,U224,V224,W224,X224,Y224,Z224,AA224,AB224,AC224,AD224,AE224,AF224,AG224,AH224,AI224)=0,"",IF(OR(B224="",E224="",H224="",J224="",K224="",L224="",M224="",O224="",P224="",Q224="",R224="",S224="",T224="",U224="",W224="",X224="",Y224="",AB224="",AC224="",AE224="",AF224=""),"Incompleta: faltan campos obligatorios",IF(AND(LEFT(H224,6)="PROPIA",I224=""),"Falta el nombre de la acción propia del área",IF(AND(LEFT(H224,4)="AC27",IFERROR(INDEX('Catalogos_PDN'!$T$5:$T$207,MATCH(H224,'Catalogos_PDN'!$U$5:$U$207,0)),"x")&lt;&gt;LEFT(E224,7)),"La acción no corresponde a la meta seleccionada",IF(OR(NOT(ISNUMBER(M224)),M224&lt;10000000,M224&gt;99999999),"Código UNSPSC inválido: registre 8 dígitos",IF(MOD(M224,10000)=0,"UNSPSC a nivel de segmento o familia: use clase o producto",IF(IFERROR(MATCH(P224,PN_MESES,0)&lt;MATCH(O224,PN_MESES,0),TRUE()),"El mes de ofertas es anterior al de inicio del proceso",IF(OR(NOT(ISNUMBER(Q224)),Q224&lt;=0),"Duración inválida",IF(OR(NOT(ISNUMBER(W224)),NOT(ISNUMBER(X224))),"Valor inválido: registre solo números",IF(OR(W224&lt;=0,X224&lt;=0),"Valor inválido: debe ser mayor que cero",IF(X224&gt;W224,"El valor de la vigencia 2027 supera el valor total",IF(AND(X224&lt;W224,Y224="No"),"El valor total supera el de 2027: requiere vigencias futuras",IF(AND(Y224="Sí",OR(Z224="",Z224="No aplica")),"Indique el estado de la solicitud de vigencias futuras",IF(IF(AND(S224="Mínima cuantía",ISNUMBER(PN_TOPE_MINIMA)),W224&gt;PN_TOPE_MINIMA,FALSE()),"El valor supera el tope de mínima cuantía 2027",IF(IF(AND(S224="Selección abreviada de menor cuantía",ISNUMBER(PN_TOPE_MENOR)),W224&gt;PN_TOPE_MENOR,FALSE()),"El valor supera el tope de menor cuantía 2027",IF(OR(ISERROR(SEARCH("@itc.edu.co",AE224)),SUMPRODUCT(--ISNUMBER(SEARCH({"á","é","í","ó","ú","ñ"," "},AE224)))&gt;0),"El correo del responsable no es institucional válido",IF(AND(AF224="Sí",AG224=""),"Indique el N.° de registro 2026 que continúa","OK")))))))))))))))))</f>
        <v/>
      </c>
      <c r="AK224" s="114">
        <f>IF(AJ224="OK",COUNTIF($AJ$7:AJ224,"OK"),"")</f>
        <v/>
      </c>
    </row>
    <row r="225">
      <c r="A225" s="110">
        <f>"PN27-"&amp;TEXT(ROW()-6,"000")</f>
        <v/>
      </c>
      <c r="B225" s="111" t="n"/>
      <c r="C225" s="110">
        <f>IF(B225="","",IFERROR(INDEX('Catalogos_PDN'!$R$5:$R$51,MATCH(B225,PN_AREAS,0)),""))</f>
        <v/>
      </c>
      <c r="D225" s="110">
        <f>IF(B225="","",IFERROR(INDEX('Catalogos_PDN'!$O$5:$O$51,MATCH(B225,PN_AREAS,0)),""))</f>
        <v/>
      </c>
      <c r="E225" s="111" t="n"/>
      <c r="F225" s="110">
        <f>IF(E225="","",IFERROR(INDEX('Catalogos_PDN'!$C$5:$C$49,MATCH(E225,PN_METAS,0)),""))</f>
        <v/>
      </c>
      <c r="G225" s="110">
        <f>IF(E225="","",IFERROR(INDEX('Catalogos_PDN'!$E$5:$E$49,MATCH(E225,PN_METAS,0)),""))</f>
        <v/>
      </c>
      <c r="H225" s="111" t="n"/>
      <c r="I225" s="111" t="n"/>
      <c r="J225" s="111" t="n"/>
      <c r="K225" s="111" t="n"/>
      <c r="L225" s="111" t="n"/>
      <c r="M225" s="112" t="n"/>
      <c r="N225" s="111" t="n"/>
      <c r="O225" s="111" t="n"/>
      <c r="P225" s="111" t="n"/>
      <c r="Q225" s="111" t="n"/>
      <c r="R225" s="111" t="n"/>
      <c r="S225" s="111" t="n"/>
      <c r="T225" s="111" t="n"/>
      <c r="U225" s="111" t="n"/>
      <c r="V225" s="111" t="n"/>
      <c r="W225" s="113" t="n"/>
      <c r="X225" s="113" t="n"/>
      <c r="Y225" s="111" t="n"/>
      <c r="Z225" s="111" t="n"/>
      <c r="AA225" s="111" t="n"/>
      <c r="AB225" s="111" t="n"/>
      <c r="AC225" s="111" t="n"/>
      <c r="AD225" s="111" t="n"/>
      <c r="AE225" s="111" t="n"/>
      <c r="AF225" s="111" t="n"/>
      <c r="AG225" s="111" t="n"/>
      <c r="AH225" s="111" t="n"/>
      <c r="AI225" s="111" t="n"/>
      <c r="AJ225" s="114">
        <f>IF(COUNTA(B225,E225,H225,I225,J225,K225,L225,M225,N225,O225,P225,Q225,R225,S225,T225,U225,V225,W225,X225,Y225,Z225,AA225,AB225,AC225,AD225,AE225,AF225,AG225,AH225,AI225)=0,"",IF(OR(B225="",E225="",H225="",J225="",K225="",L225="",M225="",O225="",P225="",Q225="",R225="",S225="",T225="",U225="",W225="",X225="",Y225="",AB225="",AC225="",AE225="",AF225=""),"Incompleta: faltan campos obligatorios",IF(AND(LEFT(H225,6)="PROPIA",I225=""),"Falta el nombre de la acción propia del área",IF(AND(LEFT(H225,4)="AC27",IFERROR(INDEX('Catalogos_PDN'!$T$5:$T$207,MATCH(H225,'Catalogos_PDN'!$U$5:$U$207,0)),"x")&lt;&gt;LEFT(E225,7)),"La acción no corresponde a la meta seleccionada",IF(OR(NOT(ISNUMBER(M225)),M225&lt;10000000,M225&gt;99999999),"Código UNSPSC inválido: registre 8 dígitos",IF(MOD(M225,10000)=0,"UNSPSC a nivel de segmento o familia: use clase o producto",IF(IFERROR(MATCH(P225,PN_MESES,0)&lt;MATCH(O225,PN_MESES,0),TRUE()),"El mes de ofertas es anterior al de inicio del proceso",IF(OR(NOT(ISNUMBER(Q225)),Q225&lt;=0),"Duración inválida",IF(OR(NOT(ISNUMBER(W225)),NOT(ISNUMBER(X225))),"Valor inválido: registre solo números",IF(OR(W225&lt;=0,X225&lt;=0),"Valor inválido: debe ser mayor que cero",IF(X225&gt;W225,"El valor de la vigencia 2027 supera el valor total",IF(AND(X225&lt;W225,Y225="No"),"El valor total supera el de 2027: requiere vigencias futuras",IF(AND(Y225="Sí",OR(Z225="",Z225="No aplica")),"Indique el estado de la solicitud de vigencias futuras",IF(IF(AND(S225="Mínima cuantía",ISNUMBER(PN_TOPE_MINIMA)),W225&gt;PN_TOPE_MINIMA,FALSE()),"El valor supera el tope de mínima cuantía 2027",IF(IF(AND(S225="Selección abreviada de menor cuantía",ISNUMBER(PN_TOPE_MENOR)),W225&gt;PN_TOPE_MENOR,FALSE()),"El valor supera el tope de menor cuantía 2027",IF(OR(ISERROR(SEARCH("@itc.edu.co",AE225)),SUMPRODUCT(--ISNUMBER(SEARCH({"á","é","í","ó","ú","ñ"," "},AE225)))&gt;0),"El correo del responsable no es institucional válido",IF(AND(AF225="Sí",AG225=""),"Indique el N.° de registro 2026 que continúa","OK")))))))))))))))))</f>
        <v/>
      </c>
      <c r="AK225" s="114">
        <f>IF(AJ225="OK",COUNTIF($AJ$7:AJ225,"OK"),"")</f>
        <v/>
      </c>
    </row>
    <row r="226">
      <c r="A226" s="110">
        <f>"PN27-"&amp;TEXT(ROW()-6,"000")</f>
        <v/>
      </c>
      <c r="B226" s="111" t="n"/>
      <c r="C226" s="110">
        <f>IF(B226="","",IFERROR(INDEX('Catalogos_PDN'!$R$5:$R$51,MATCH(B226,PN_AREAS,0)),""))</f>
        <v/>
      </c>
      <c r="D226" s="110">
        <f>IF(B226="","",IFERROR(INDEX('Catalogos_PDN'!$O$5:$O$51,MATCH(B226,PN_AREAS,0)),""))</f>
        <v/>
      </c>
      <c r="E226" s="111" t="n"/>
      <c r="F226" s="110">
        <f>IF(E226="","",IFERROR(INDEX('Catalogos_PDN'!$C$5:$C$49,MATCH(E226,PN_METAS,0)),""))</f>
        <v/>
      </c>
      <c r="G226" s="110">
        <f>IF(E226="","",IFERROR(INDEX('Catalogos_PDN'!$E$5:$E$49,MATCH(E226,PN_METAS,0)),""))</f>
        <v/>
      </c>
      <c r="H226" s="111" t="n"/>
      <c r="I226" s="111" t="n"/>
      <c r="J226" s="111" t="n"/>
      <c r="K226" s="111" t="n"/>
      <c r="L226" s="111" t="n"/>
      <c r="M226" s="112" t="n"/>
      <c r="N226" s="111" t="n"/>
      <c r="O226" s="111" t="n"/>
      <c r="P226" s="111" t="n"/>
      <c r="Q226" s="111" t="n"/>
      <c r="R226" s="111" t="n"/>
      <c r="S226" s="111" t="n"/>
      <c r="T226" s="111" t="n"/>
      <c r="U226" s="111" t="n"/>
      <c r="V226" s="111" t="n"/>
      <c r="W226" s="113" t="n"/>
      <c r="X226" s="113" t="n"/>
      <c r="Y226" s="111" t="n"/>
      <c r="Z226" s="111" t="n"/>
      <c r="AA226" s="111" t="n"/>
      <c r="AB226" s="111" t="n"/>
      <c r="AC226" s="111" t="n"/>
      <c r="AD226" s="111" t="n"/>
      <c r="AE226" s="111" t="n"/>
      <c r="AF226" s="111" t="n"/>
      <c r="AG226" s="111" t="n"/>
      <c r="AH226" s="111" t="n"/>
      <c r="AI226" s="111" t="n"/>
      <c r="AJ226" s="114">
        <f>IF(COUNTA(B226,E226,H226,I226,J226,K226,L226,M226,N226,O226,P226,Q226,R226,S226,T226,U226,V226,W226,X226,Y226,Z226,AA226,AB226,AC226,AD226,AE226,AF226,AG226,AH226,AI226)=0,"",IF(OR(B226="",E226="",H226="",J226="",K226="",L226="",M226="",O226="",P226="",Q226="",R226="",S226="",T226="",U226="",W226="",X226="",Y226="",AB226="",AC226="",AE226="",AF226=""),"Incompleta: faltan campos obligatorios",IF(AND(LEFT(H226,6)="PROPIA",I226=""),"Falta el nombre de la acción propia del área",IF(AND(LEFT(H226,4)="AC27",IFERROR(INDEX('Catalogos_PDN'!$T$5:$T$207,MATCH(H226,'Catalogos_PDN'!$U$5:$U$207,0)),"x")&lt;&gt;LEFT(E226,7)),"La acción no corresponde a la meta seleccionada",IF(OR(NOT(ISNUMBER(M226)),M226&lt;10000000,M226&gt;99999999),"Código UNSPSC inválido: registre 8 dígitos",IF(MOD(M226,10000)=0,"UNSPSC a nivel de segmento o familia: use clase o producto",IF(IFERROR(MATCH(P226,PN_MESES,0)&lt;MATCH(O226,PN_MESES,0),TRUE()),"El mes de ofertas es anterior al de inicio del proceso",IF(OR(NOT(ISNUMBER(Q226)),Q226&lt;=0),"Duración inválida",IF(OR(NOT(ISNUMBER(W226)),NOT(ISNUMBER(X226))),"Valor inválido: registre solo números",IF(OR(W226&lt;=0,X226&lt;=0),"Valor inválido: debe ser mayor que cero",IF(X226&gt;W226,"El valor de la vigencia 2027 supera el valor total",IF(AND(X226&lt;W226,Y226="No"),"El valor total supera el de 2027: requiere vigencias futuras",IF(AND(Y226="Sí",OR(Z226="",Z226="No aplica")),"Indique el estado de la solicitud de vigencias futuras",IF(IF(AND(S226="Mínima cuantía",ISNUMBER(PN_TOPE_MINIMA)),W226&gt;PN_TOPE_MINIMA,FALSE()),"El valor supera el tope de mínima cuantía 2027",IF(IF(AND(S226="Selección abreviada de menor cuantía",ISNUMBER(PN_TOPE_MENOR)),W226&gt;PN_TOPE_MENOR,FALSE()),"El valor supera el tope de menor cuantía 2027",IF(OR(ISERROR(SEARCH("@itc.edu.co",AE226)),SUMPRODUCT(--ISNUMBER(SEARCH({"á","é","í","ó","ú","ñ"," "},AE226)))&gt;0),"El correo del responsable no es institucional válido",IF(AND(AF226="Sí",AG226=""),"Indique el N.° de registro 2026 que continúa","OK")))))))))))))))))</f>
        <v/>
      </c>
      <c r="AK226" s="114">
        <f>IF(AJ226="OK",COUNTIF($AJ$7:AJ226,"OK"),"")</f>
        <v/>
      </c>
    </row>
    <row r="227">
      <c r="A227" s="110">
        <f>"PN27-"&amp;TEXT(ROW()-6,"000")</f>
        <v/>
      </c>
      <c r="B227" s="111" t="n"/>
      <c r="C227" s="110">
        <f>IF(B227="","",IFERROR(INDEX('Catalogos_PDN'!$R$5:$R$51,MATCH(B227,PN_AREAS,0)),""))</f>
        <v/>
      </c>
      <c r="D227" s="110">
        <f>IF(B227="","",IFERROR(INDEX('Catalogos_PDN'!$O$5:$O$51,MATCH(B227,PN_AREAS,0)),""))</f>
        <v/>
      </c>
      <c r="E227" s="111" t="n"/>
      <c r="F227" s="110">
        <f>IF(E227="","",IFERROR(INDEX('Catalogos_PDN'!$C$5:$C$49,MATCH(E227,PN_METAS,0)),""))</f>
        <v/>
      </c>
      <c r="G227" s="110">
        <f>IF(E227="","",IFERROR(INDEX('Catalogos_PDN'!$E$5:$E$49,MATCH(E227,PN_METAS,0)),""))</f>
        <v/>
      </c>
      <c r="H227" s="111" t="n"/>
      <c r="I227" s="111" t="n"/>
      <c r="J227" s="111" t="n"/>
      <c r="K227" s="111" t="n"/>
      <c r="L227" s="111" t="n"/>
      <c r="M227" s="112" t="n"/>
      <c r="N227" s="111" t="n"/>
      <c r="O227" s="111" t="n"/>
      <c r="P227" s="111" t="n"/>
      <c r="Q227" s="111" t="n"/>
      <c r="R227" s="111" t="n"/>
      <c r="S227" s="111" t="n"/>
      <c r="T227" s="111" t="n"/>
      <c r="U227" s="111" t="n"/>
      <c r="V227" s="111" t="n"/>
      <c r="W227" s="113" t="n"/>
      <c r="X227" s="113" t="n"/>
      <c r="Y227" s="111" t="n"/>
      <c r="Z227" s="111" t="n"/>
      <c r="AA227" s="111" t="n"/>
      <c r="AB227" s="111" t="n"/>
      <c r="AC227" s="111" t="n"/>
      <c r="AD227" s="111" t="n"/>
      <c r="AE227" s="111" t="n"/>
      <c r="AF227" s="111" t="n"/>
      <c r="AG227" s="111" t="n"/>
      <c r="AH227" s="111" t="n"/>
      <c r="AI227" s="111" t="n"/>
      <c r="AJ227" s="114">
        <f>IF(COUNTA(B227,E227,H227,I227,J227,K227,L227,M227,N227,O227,P227,Q227,R227,S227,T227,U227,V227,W227,X227,Y227,Z227,AA227,AB227,AC227,AD227,AE227,AF227,AG227,AH227,AI227)=0,"",IF(OR(B227="",E227="",H227="",J227="",K227="",L227="",M227="",O227="",P227="",Q227="",R227="",S227="",T227="",U227="",W227="",X227="",Y227="",AB227="",AC227="",AE227="",AF227=""),"Incompleta: faltan campos obligatorios",IF(AND(LEFT(H227,6)="PROPIA",I227=""),"Falta el nombre de la acción propia del área",IF(AND(LEFT(H227,4)="AC27",IFERROR(INDEX('Catalogos_PDN'!$T$5:$T$207,MATCH(H227,'Catalogos_PDN'!$U$5:$U$207,0)),"x")&lt;&gt;LEFT(E227,7)),"La acción no corresponde a la meta seleccionada",IF(OR(NOT(ISNUMBER(M227)),M227&lt;10000000,M227&gt;99999999),"Código UNSPSC inválido: registre 8 dígitos",IF(MOD(M227,10000)=0,"UNSPSC a nivel de segmento o familia: use clase o producto",IF(IFERROR(MATCH(P227,PN_MESES,0)&lt;MATCH(O227,PN_MESES,0),TRUE()),"El mes de ofertas es anterior al de inicio del proceso",IF(OR(NOT(ISNUMBER(Q227)),Q227&lt;=0),"Duración inválida",IF(OR(NOT(ISNUMBER(W227)),NOT(ISNUMBER(X227))),"Valor inválido: registre solo números",IF(OR(W227&lt;=0,X227&lt;=0),"Valor inválido: debe ser mayor que cero",IF(X227&gt;W227,"El valor de la vigencia 2027 supera el valor total",IF(AND(X227&lt;W227,Y227="No"),"El valor total supera el de 2027: requiere vigencias futuras",IF(AND(Y227="Sí",OR(Z227="",Z227="No aplica")),"Indique el estado de la solicitud de vigencias futuras",IF(IF(AND(S227="Mínima cuantía",ISNUMBER(PN_TOPE_MINIMA)),W227&gt;PN_TOPE_MINIMA,FALSE()),"El valor supera el tope de mínima cuantía 2027",IF(IF(AND(S227="Selección abreviada de menor cuantía",ISNUMBER(PN_TOPE_MENOR)),W227&gt;PN_TOPE_MENOR,FALSE()),"El valor supera el tope de menor cuantía 2027",IF(OR(ISERROR(SEARCH("@itc.edu.co",AE227)),SUMPRODUCT(--ISNUMBER(SEARCH({"á","é","í","ó","ú","ñ"," "},AE227)))&gt;0),"El correo del responsable no es institucional válido",IF(AND(AF227="Sí",AG227=""),"Indique el N.° de registro 2026 que continúa","OK")))))))))))))))))</f>
        <v/>
      </c>
      <c r="AK227" s="114">
        <f>IF(AJ227="OK",COUNTIF($AJ$7:AJ227,"OK"),"")</f>
        <v/>
      </c>
    </row>
    <row r="228">
      <c r="A228" s="110">
        <f>"PN27-"&amp;TEXT(ROW()-6,"000")</f>
        <v/>
      </c>
      <c r="B228" s="111" t="n"/>
      <c r="C228" s="110">
        <f>IF(B228="","",IFERROR(INDEX('Catalogos_PDN'!$R$5:$R$51,MATCH(B228,PN_AREAS,0)),""))</f>
        <v/>
      </c>
      <c r="D228" s="110">
        <f>IF(B228="","",IFERROR(INDEX('Catalogos_PDN'!$O$5:$O$51,MATCH(B228,PN_AREAS,0)),""))</f>
        <v/>
      </c>
      <c r="E228" s="111" t="n"/>
      <c r="F228" s="110">
        <f>IF(E228="","",IFERROR(INDEX('Catalogos_PDN'!$C$5:$C$49,MATCH(E228,PN_METAS,0)),""))</f>
        <v/>
      </c>
      <c r="G228" s="110">
        <f>IF(E228="","",IFERROR(INDEX('Catalogos_PDN'!$E$5:$E$49,MATCH(E228,PN_METAS,0)),""))</f>
        <v/>
      </c>
      <c r="H228" s="111" t="n"/>
      <c r="I228" s="111" t="n"/>
      <c r="J228" s="111" t="n"/>
      <c r="K228" s="111" t="n"/>
      <c r="L228" s="111" t="n"/>
      <c r="M228" s="112" t="n"/>
      <c r="N228" s="111" t="n"/>
      <c r="O228" s="111" t="n"/>
      <c r="P228" s="111" t="n"/>
      <c r="Q228" s="111" t="n"/>
      <c r="R228" s="111" t="n"/>
      <c r="S228" s="111" t="n"/>
      <c r="T228" s="111" t="n"/>
      <c r="U228" s="111" t="n"/>
      <c r="V228" s="111" t="n"/>
      <c r="W228" s="113" t="n"/>
      <c r="X228" s="113" t="n"/>
      <c r="Y228" s="111" t="n"/>
      <c r="Z228" s="111" t="n"/>
      <c r="AA228" s="111" t="n"/>
      <c r="AB228" s="111" t="n"/>
      <c r="AC228" s="111" t="n"/>
      <c r="AD228" s="111" t="n"/>
      <c r="AE228" s="111" t="n"/>
      <c r="AF228" s="111" t="n"/>
      <c r="AG228" s="111" t="n"/>
      <c r="AH228" s="111" t="n"/>
      <c r="AI228" s="111" t="n"/>
      <c r="AJ228" s="114">
        <f>IF(COUNTA(B228,E228,H228,I228,J228,K228,L228,M228,N228,O228,P228,Q228,R228,S228,T228,U228,V228,W228,X228,Y228,Z228,AA228,AB228,AC228,AD228,AE228,AF228,AG228,AH228,AI228)=0,"",IF(OR(B228="",E228="",H228="",J228="",K228="",L228="",M228="",O228="",P228="",Q228="",R228="",S228="",T228="",U228="",W228="",X228="",Y228="",AB228="",AC228="",AE228="",AF228=""),"Incompleta: faltan campos obligatorios",IF(AND(LEFT(H228,6)="PROPIA",I228=""),"Falta el nombre de la acción propia del área",IF(AND(LEFT(H228,4)="AC27",IFERROR(INDEX('Catalogos_PDN'!$T$5:$T$207,MATCH(H228,'Catalogos_PDN'!$U$5:$U$207,0)),"x")&lt;&gt;LEFT(E228,7)),"La acción no corresponde a la meta seleccionada",IF(OR(NOT(ISNUMBER(M228)),M228&lt;10000000,M228&gt;99999999),"Código UNSPSC inválido: registre 8 dígitos",IF(MOD(M228,10000)=0,"UNSPSC a nivel de segmento o familia: use clase o producto",IF(IFERROR(MATCH(P228,PN_MESES,0)&lt;MATCH(O228,PN_MESES,0),TRUE()),"El mes de ofertas es anterior al de inicio del proceso",IF(OR(NOT(ISNUMBER(Q228)),Q228&lt;=0),"Duración inválida",IF(OR(NOT(ISNUMBER(W228)),NOT(ISNUMBER(X228))),"Valor inválido: registre solo números",IF(OR(W228&lt;=0,X228&lt;=0),"Valor inválido: debe ser mayor que cero",IF(X228&gt;W228,"El valor de la vigencia 2027 supera el valor total",IF(AND(X228&lt;W228,Y228="No"),"El valor total supera el de 2027: requiere vigencias futuras",IF(AND(Y228="Sí",OR(Z228="",Z228="No aplica")),"Indique el estado de la solicitud de vigencias futuras",IF(IF(AND(S228="Mínima cuantía",ISNUMBER(PN_TOPE_MINIMA)),W228&gt;PN_TOPE_MINIMA,FALSE()),"El valor supera el tope de mínima cuantía 2027",IF(IF(AND(S228="Selección abreviada de menor cuantía",ISNUMBER(PN_TOPE_MENOR)),W228&gt;PN_TOPE_MENOR,FALSE()),"El valor supera el tope de menor cuantía 2027",IF(OR(ISERROR(SEARCH("@itc.edu.co",AE228)),SUMPRODUCT(--ISNUMBER(SEARCH({"á","é","í","ó","ú","ñ"," "},AE228)))&gt;0),"El correo del responsable no es institucional válido",IF(AND(AF228="Sí",AG228=""),"Indique el N.° de registro 2026 que continúa","OK")))))))))))))))))</f>
        <v/>
      </c>
      <c r="AK228" s="114">
        <f>IF(AJ228="OK",COUNTIF($AJ$7:AJ228,"OK"),"")</f>
        <v/>
      </c>
    </row>
    <row r="229">
      <c r="A229" s="110">
        <f>"PN27-"&amp;TEXT(ROW()-6,"000")</f>
        <v/>
      </c>
      <c r="B229" s="111" t="n"/>
      <c r="C229" s="110">
        <f>IF(B229="","",IFERROR(INDEX('Catalogos_PDN'!$R$5:$R$51,MATCH(B229,PN_AREAS,0)),""))</f>
        <v/>
      </c>
      <c r="D229" s="110">
        <f>IF(B229="","",IFERROR(INDEX('Catalogos_PDN'!$O$5:$O$51,MATCH(B229,PN_AREAS,0)),""))</f>
        <v/>
      </c>
      <c r="E229" s="111" t="n"/>
      <c r="F229" s="110">
        <f>IF(E229="","",IFERROR(INDEX('Catalogos_PDN'!$C$5:$C$49,MATCH(E229,PN_METAS,0)),""))</f>
        <v/>
      </c>
      <c r="G229" s="110">
        <f>IF(E229="","",IFERROR(INDEX('Catalogos_PDN'!$E$5:$E$49,MATCH(E229,PN_METAS,0)),""))</f>
        <v/>
      </c>
      <c r="H229" s="111" t="n"/>
      <c r="I229" s="111" t="n"/>
      <c r="J229" s="111" t="n"/>
      <c r="K229" s="111" t="n"/>
      <c r="L229" s="111" t="n"/>
      <c r="M229" s="112" t="n"/>
      <c r="N229" s="111" t="n"/>
      <c r="O229" s="111" t="n"/>
      <c r="P229" s="111" t="n"/>
      <c r="Q229" s="111" t="n"/>
      <c r="R229" s="111" t="n"/>
      <c r="S229" s="111" t="n"/>
      <c r="T229" s="111" t="n"/>
      <c r="U229" s="111" t="n"/>
      <c r="V229" s="111" t="n"/>
      <c r="W229" s="113" t="n"/>
      <c r="X229" s="113" t="n"/>
      <c r="Y229" s="111" t="n"/>
      <c r="Z229" s="111" t="n"/>
      <c r="AA229" s="111" t="n"/>
      <c r="AB229" s="111" t="n"/>
      <c r="AC229" s="111" t="n"/>
      <c r="AD229" s="111" t="n"/>
      <c r="AE229" s="111" t="n"/>
      <c r="AF229" s="111" t="n"/>
      <c r="AG229" s="111" t="n"/>
      <c r="AH229" s="111" t="n"/>
      <c r="AI229" s="111" t="n"/>
      <c r="AJ229" s="114">
        <f>IF(COUNTA(B229,E229,H229,I229,J229,K229,L229,M229,N229,O229,P229,Q229,R229,S229,T229,U229,V229,W229,X229,Y229,Z229,AA229,AB229,AC229,AD229,AE229,AF229,AG229,AH229,AI229)=0,"",IF(OR(B229="",E229="",H229="",J229="",K229="",L229="",M229="",O229="",P229="",Q229="",R229="",S229="",T229="",U229="",W229="",X229="",Y229="",AB229="",AC229="",AE229="",AF229=""),"Incompleta: faltan campos obligatorios",IF(AND(LEFT(H229,6)="PROPIA",I229=""),"Falta el nombre de la acción propia del área",IF(AND(LEFT(H229,4)="AC27",IFERROR(INDEX('Catalogos_PDN'!$T$5:$T$207,MATCH(H229,'Catalogos_PDN'!$U$5:$U$207,0)),"x")&lt;&gt;LEFT(E229,7)),"La acción no corresponde a la meta seleccionada",IF(OR(NOT(ISNUMBER(M229)),M229&lt;10000000,M229&gt;99999999),"Código UNSPSC inválido: registre 8 dígitos",IF(MOD(M229,10000)=0,"UNSPSC a nivel de segmento o familia: use clase o producto",IF(IFERROR(MATCH(P229,PN_MESES,0)&lt;MATCH(O229,PN_MESES,0),TRUE()),"El mes de ofertas es anterior al de inicio del proceso",IF(OR(NOT(ISNUMBER(Q229)),Q229&lt;=0),"Duración inválida",IF(OR(NOT(ISNUMBER(W229)),NOT(ISNUMBER(X229))),"Valor inválido: registre solo números",IF(OR(W229&lt;=0,X229&lt;=0),"Valor inválido: debe ser mayor que cero",IF(X229&gt;W229,"El valor de la vigencia 2027 supera el valor total",IF(AND(X229&lt;W229,Y229="No"),"El valor total supera el de 2027: requiere vigencias futuras",IF(AND(Y229="Sí",OR(Z229="",Z229="No aplica")),"Indique el estado de la solicitud de vigencias futuras",IF(IF(AND(S229="Mínima cuantía",ISNUMBER(PN_TOPE_MINIMA)),W229&gt;PN_TOPE_MINIMA,FALSE()),"El valor supera el tope de mínima cuantía 2027",IF(IF(AND(S229="Selección abreviada de menor cuantía",ISNUMBER(PN_TOPE_MENOR)),W229&gt;PN_TOPE_MENOR,FALSE()),"El valor supera el tope de menor cuantía 2027",IF(OR(ISERROR(SEARCH("@itc.edu.co",AE229)),SUMPRODUCT(--ISNUMBER(SEARCH({"á","é","í","ó","ú","ñ"," "},AE229)))&gt;0),"El correo del responsable no es institucional válido",IF(AND(AF229="Sí",AG229=""),"Indique el N.° de registro 2026 que continúa","OK")))))))))))))))))</f>
        <v/>
      </c>
      <c r="AK229" s="114">
        <f>IF(AJ229="OK",COUNTIF($AJ$7:AJ229,"OK"),"")</f>
        <v/>
      </c>
    </row>
    <row r="230">
      <c r="A230" s="110">
        <f>"PN27-"&amp;TEXT(ROW()-6,"000")</f>
        <v/>
      </c>
      <c r="B230" s="111" t="n"/>
      <c r="C230" s="110">
        <f>IF(B230="","",IFERROR(INDEX('Catalogos_PDN'!$R$5:$R$51,MATCH(B230,PN_AREAS,0)),""))</f>
        <v/>
      </c>
      <c r="D230" s="110">
        <f>IF(B230="","",IFERROR(INDEX('Catalogos_PDN'!$O$5:$O$51,MATCH(B230,PN_AREAS,0)),""))</f>
        <v/>
      </c>
      <c r="E230" s="111" t="n"/>
      <c r="F230" s="110">
        <f>IF(E230="","",IFERROR(INDEX('Catalogos_PDN'!$C$5:$C$49,MATCH(E230,PN_METAS,0)),""))</f>
        <v/>
      </c>
      <c r="G230" s="110">
        <f>IF(E230="","",IFERROR(INDEX('Catalogos_PDN'!$E$5:$E$49,MATCH(E230,PN_METAS,0)),""))</f>
        <v/>
      </c>
      <c r="H230" s="111" t="n"/>
      <c r="I230" s="111" t="n"/>
      <c r="J230" s="111" t="n"/>
      <c r="K230" s="111" t="n"/>
      <c r="L230" s="111" t="n"/>
      <c r="M230" s="112" t="n"/>
      <c r="N230" s="111" t="n"/>
      <c r="O230" s="111" t="n"/>
      <c r="P230" s="111" t="n"/>
      <c r="Q230" s="111" t="n"/>
      <c r="R230" s="111" t="n"/>
      <c r="S230" s="111" t="n"/>
      <c r="T230" s="111" t="n"/>
      <c r="U230" s="111" t="n"/>
      <c r="V230" s="111" t="n"/>
      <c r="W230" s="113" t="n"/>
      <c r="X230" s="113" t="n"/>
      <c r="Y230" s="111" t="n"/>
      <c r="Z230" s="111" t="n"/>
      <c r="AA230" s="111" t="n"/>
      <c r="AB230" s="111" t="n"/>
      <c r="AC230" s="111" t="n"/>
      <c r="AD230" s="111" t="n"/>
      <c r="AE230" s="111" t="n"/>
      <c r="AF230" s="111" t="n"/>
      <c r="AG230" s="111" t="n"/>
      <c r="AH230" s="111" t="n"/>
      <c r="AI230" s="111" t="n"/>
      <c r="AJ230" s="114">
        <f>IF(COUNTA(B230,E230,H230,I230,J230,K230,L230,M230,N230,O230,P230,Q230,R230,S230,T230,U230,V230,W230,X230,Y230,Z230,AA230,AB230,AC230,AD230,AE230,AF230,AG230,AH230,AI230)=0,"",IF(OR(B230="",E230="",H230="",J230="",K230="",L230="",M230="",O230="",P230="",Q230="",R230="",S230="",T230="",U230="",W230="",X230="",Y230="",AB230="",AC230="",AE230="",AF230=""),"Incompleta: faltan campos obligatorios",IF(AND(LEFT(H230,6)="PROPIA",I230=""),"Falta el nombre de la acción propia del área",IF(AND(LEFT(H230,4)="AC27",IFERROR(INDEX('Catalogos_PDN'!$T$5:$T$207,MATCH(H230,'Catalogos_PDN'!$U$5:$U$207,0)),"x")&lt;&gt;LEFT(E230,7)),"La acción no corresponde a la meta seleccionada",IF(OR(NOT(ISNUMBER(M230)),M230&lt;10000000,M230&gt;99999999),"Código UNSPSC inválido: registre 8 dígitos",IF(MOD(M230,10000)=0,"UNSPSC a nivel de segmento o familia: use clase o producto",IF(IFERROR(MATCH(P230,PN_MESES,0)&lt;MATCH(O230,PN_MESES,0),TRUE()),"El mes de ofertas es anterior al de inicio del proceso",IF(OR(NOT(ISNUMBER(Q230)),Q230&lt;=0),"Duración inválida",IF(OR(NOT(ISNUMBER(W230)),NOT(ISNUMBER(X230))),"Valor inválido: registre solo números",IF(OR(W230&lt;=0,X230&lt;=0),"Valor inválido: debe ser mayor que cero",IF(X230&gt;W230,"El valor de la vigencia 2027 supera el valor total",IF(AND(X230&lt;W230,Y230="No"),"El valor total supera el de 2027: requiere vigencias futuras",IF(AND(Y230="Sí",OR(Z230="",Z230="No aplica")),"Indique el estado de la solicitud de vigencias futuras",IF(IF(AND(S230="Mínima cuantía",ISNUMBER(PN_TOPE_MINIMA)),W230&gt;PN_TOPE_MINIMA,FALSE()),"El valor supera el tope de mínima cuantía 2027",IF(IF(AND(S230="Selección abreviada de menor cuantía",ISNUMBER(PN_TOPE_MENOR)),W230&gt;PN_TOPE_MENOR,FALSE()),"El valor supera el tope de menor cuantía 2027",IF(OR(ISERROR(SEARCH("@itc.edu.co",AE230)),SUMPRODUCT(--ISNUMBER(SEARCH({"á","é","í","ó","ú","ñ"," "},AE230)))&gt;0),"El correo del responsable no es institucional válido",IF(AND(AF230="Sí",AG230=""),"Indique el N.° de registro 2026 que continúa","OK")))))))))))))))))</f>
        <v/>
      </c>
      <c r="AK230" s="114">
        <f>IF(AJ230="OK",COUNTIF($AJ$7:AJ230,"OK"),"")</f>
        <v/>
      </c>
    </row>
    <row r="231">
      <c r="A231" s="110">
        <f>"PN27-"&amp;TEXT(ROW()-6,"000")</f>
        <v/>
      </c>
      <c r="B231" s="111" t="n"/>
      <c r="C231" s="110">
        <f>IF(B231="","",IFERROR(INDEX('Catalogos_PDN'!$R$5:$R$51,MATCH(B231,PN_AREAS,0)),""))</f>
        <v/>
      </c>
      <c r="D231" s="110">
        <f>IF(B231="","",IFERROR(INDEX('Catalogos_PDN'!$O$5:$O$51,MATCH(B231,PN_AREAS,0)),""))</f>
        <v/>
      </c>
      <c r="E231" s="111" t="n"/>
      <c r="F231" s="110">
        <f>IF(E231="","",IFERROR(INDEX('Catalogos_PDN'!$C$5:$C$49,MATCH(E231,PN_METAS,0)),""))</f>
        <v/>
      </c>
      <c r="G231" s="110">
        <f>IF(E231="","",IFERROR(INDEX('Catalogos_PDN'!$E$5:$E$49,MATCH(E231,PN_METAS,0)),""))</f>
        <v/>
      </c>
      <c r="H231" s="111" t="n"/>
      <c r="I231" s="111" t="n"/>
      <c r="J231" s="111" t="n"/>
      <c r="K231" s="111" t="n"/>
      <c r="L231" s="111" t="n"/>
      <c r="M231" s="112" t="n"/>
      <c r="N231" s="111" t="n"/>
      <c r="O231" s="111" t="n"/>
      <c r="P231" s="111" t="n"/>
      <c r="Q231" s="111" t="n"/>
      <c r="R231" s="111" t="n"/>
      <c r="S231" s="111" t="n"/>
      <c r="T231" s="111" t="n"/>
      <c r="U231" s="111" t="n"/>
      <c r="V231" s="111" t="n"/>
      <c r="W231" s="113" t="n"/>
      <c r="X231" s="113" t="n"/>
      <c r="Y231" s="111" t="n"/>
      <c r="Z231" s="111" t="n"/>
      <c r="AA231" s="111" t="n"/>
      <c r="AB231" s="111" t="n"/>
      <c r="AC231" s="111" t="n"/>
      <c r="AD231" s="111" t="n"/>
      <c r="AE231" s="111" t="n"/>
      <c r="AF231" s="111" t="n"/>
      <c r="AG231" s="111" t="n"/>
      <c r="AH231" s="111" t="n"/>
      <c r="AI231" s="111" t="n"/>
      <c r="AJ231" s="114">
        <f>IF(COUNTA(B231,E231,H231,I231,J231,K231,L231,M231,N231,O231,P231,Q231,R231,S231,T231,U231,V231,W231,X231,Y231,Z231,AA231,AB231,AC231,AD231,AE231,AF231,AG231,AH231,AI231)=0,"",IF(OR(B231="",E231="",H231="",J231="",K231="",L231="",M231="",O231="",P231="",Q231="",R231="",S231="",T231="",U231="",W231="",X231="",Y231="",AB231="",AC231="",AE231="",AF231=""),"Incompleta: faltan campos obligatorios",IF(AND(LEFT(H231,6)="PROPIA",I231=""),"Falta el nombre de la acción propia del área",IF(AND(LEFT(H231,4)="AC27",IFERROR(INDEX('Catalogos_PDN'!$T$5:$T$207,MATCH(H231,'Catalogos_PDN'!$U$5:$U$207,0)),"x")&lt;&gt;LEFT(E231,7)),"La acción no corresponde a la meta seleccionada",IF(OR(NOT(ISNUMBER(M231)),M231&lt;10000000,M231&gt;99999999),"Código UNSPSC inválido: registre 8 dígitos",IF(MOD(M231,10000)=0,"UNSPSC a nivel de segmento o familia: use clase o producto",IF(IFERROR(MATCH(P231,PN_MESES,0)&lt;MATCH(O231,PN_MESES,0),TRUE()),"El mes de ofertas es anterior al de inicio del proceso",IF(OR(NOT(ISNUMBER(Q231)),Q231&lt;=0),"Duración inválida",IF(OR(NOT(ISNUMBER(W231)),NOT(ISNUMBER(X231))),"Valor inválido: registre solo números",IF(OR(W231&lt;=0,X231&lt;=0),"Valor inválido: debe ser mayor que cero",IF(X231&gt;W231,"El valor de la vigencia 2027 supera el valor total",IF(AND(X231&lt;W231,Y231="No"),"El valor total supera el de 2027: requiere vigencias futuras",IF(AND(Y231="Sí",OR(Z231="",Z231="No aplica")),"Indique el estado de la solicitud de vigencias futuras",IF(IF(AND(S231="Mínima cuantía",ISNUMBER(PN_TOPE_MINIMA)),W231&gt;PN_TOPE_MINIMA,FALSE()),"El valor supera el tope de mínima cuantía 2027",IF(IF(AND(S231="Selección abreviada de menor cuantía",ISNUMBER(PN_TOPE_MENOR)),W231&gt;PN_TOPE_MENOR,FALSE()),"El valor supera el tope de menor cuantía 2027",IF(OR(ISERROR(SEARCH("@itc.edu.co",AE231)),SUMPRODUCT(--ISNUMBER(SEARCH({"á","é","í","ó","ú","ñ"," "},AE231)))&gt;0),"El correo del responsable no es institucional válido",IF(AND(AF231="Sí",AG231=""),"Indique el N.° de registro 2026 que continúa","OK")))))))))))))))))</f>
        <v/>
      </c>
      <c r="AK231" s="114">
        <f>IF(AJ231="OK",COUNTIF($AJ$7:AJ231,"OK"),"")</f>
        <v/>
      </c>
    </row>
    <row r="232">
      <c r="A232" s="110">
        <f>"PN27-"&amp;TEXT(ROW()-6,"000")</f>
        <v/>
      </c>
      <c r="B232" s="111" t="n"/>
      <c r="C232" s="110">
        <f>IF(B232="","",IFERROR(INDEX('Catalogos_PDN'!$R$5:$R$51,MATCH(B232,PN_AREAS,0)),""))</f>
        <v/>
      </c>
      <c r="D232" s="110">
        <f>IF(B232="","",IFERROR(INDEX('Catalogos_PDN'!$O$5:$O$51,MATCH(B232,PN_AREAS,0)),""))</f>
        <v/>
      </c>
      <c r="E232" s="111" t="n"/>
      <c r="F232" s="110">
        <f>IF(E232="","",IFERROR(INDEX('Catalogos_PDN'!$C$5:$C$49,MATCH(E232,PN_METAS,0)),""))</f>
        <v/>
      </c>
      <c r="G232" s="110">
        <f>IF(E232="","",IFERROR(INDEX('Catalogos_PDN'!$E$5:$E$49,MATCH(E232,PN_METAS,0)),""))</f>
        <v/>
      </c>
      <c r="H232" s="111" t="n"/>
      <c r="I232" s="111" t="n"/>
      <c r="J232" s="111" t="n"/>
      <c r="K232" s="111" t="n"/>
      <c r="L232" s="111" t="n"/>
      <c r="M232" s="112" t="n"/>
      <c r="N232" s="111" t="n"/>
      <c r="O232" s="111" t="n"/>
      <c r="P232" s="111" t="n"/>
      <c r="Q232" s="111" t="n"/>
      <c r="R232" s="111" t="n"/>
      <c r="S232" s="111" t="n"/>
      <c r="T232" s="111" t="n"/>
      <c r="U232" s="111" t="n"/>
      <c r="V232" s="111" t="n"/>
      <c r="W232" s="113" t="n"/>
      <c r="X232" s="113" t="n"/>
      <c r="Y232" s="111" t="n"/>
      <c r="Z232" s="111" t="n"/>
      <c r="AA232" s="111" t="n"/>
      <c r="AB232" s="111" t="n"/>
      <c r="AC232" s="111" t="n"/>
      <c r="AD232" s="111" t="n"/>
      <c r="AE232" s="111" t="n"/>
      <c r="AF232" s="111" t="n"/>
      <c r="AG232" s="111" t="n"/>
      <c r="AH232" s="111" t="n"/>
      <c r="AI232" s="111" t="n"/>
      <c r="AJ232" s="114">
        <f>IF(COUNTA(B232,E232,H232,I232,J232,K232,L232,M232,N232,O232,P232,Q232,R232,S232,T232,U232,V232,W232,X232,Y232,Z232,AA232,AB232,AC232,AD232,AE232,AF232,AG232,AH232,AI232)=0,"",IF(OR(B232="",E232="",H232="",J232="",K232="",L232="",M232="",O232="",P232="",Q232="",R232="",S232="",T232="",U232="",W232="",X232="",Y232="",AB232="",AC232="",AE232="",AF232=""),"Incompleta: faltan campos obligatorios",IF(AND(LEFT(H232,6)="PROPIA",I232=""),"Falta el nombre de la acción propia del área",IF(AND(LEFT(H232,4)="AC27",IFERROR(INDEX('Catalogos_PDN'!$T$5:$T$207,MATCH(H232,'Catalogos_PDN'!$U$5:$U$207,0)),"x")&lt;&gt;LEFT(E232,7)),"La acción no corresponde a la meta seleccionada",IF(OR(NOT(ISNUMBER(M232)),M232&lt;10000000,M232&gt;99999999),"Código UNSPSC inválido: registre 8 dígitos",IF(MOD(M232,10000)=0,"UNSPSC a nivel de segmento o familia: use clase o producto",IF(IFERROR(MATCH(P232,PN_MESES,0)&lt;MATCH(O232,PN_MESES,0),TRUE()),"El mes de ofertas es anterior al de inicio del proceso",IF(OR(NOT(ISNUMBER(Q232)),Q232&lt;=0),"Duración inválida",IF(OR(NOT(ISNUMBER(W232)),NOT(ISNUMBER(X232))),"Valor inválido: registre solo números",IF(OR(W232&lt;=0,X232&lt;=0),"Valor inválido: debe ser mayor que cero",IF(X232&gt;W232,"El valor de la vigencia 2027 supera el valor total",IF(AND(X232&lt;W232,Y232="No"),"El valor total supera el de 2027: requiere vigencias futuras",IF(AND(Y232="Sí",OR(Z232="",Z232="No aplica")),"Indique el estado de la solicitud de vigencias futuras",IF(IF(AND(S232="Mínima cuantía",ISNUMBER(PN_TOPE_MINIMA)),W232&gt;PN_TOPE_MINIMA,FALSE()),"El valor supera el tope de mínima cuantía 2027",IF(IF(AND(S232="Selección abreviada de menor cuantía",ISNUMBER(PN_TOPE_MENOR)),W232&gt;PN_TOPE_MENOR,FALSE()),"El valor supera el tope de menor cuantía 2027",IF(OR(ISERROR(SEARCH("@itc.edu.co",AE232)),SUMPRODUCT(--ISNUMBER(SEARCH({"á","é","í","ó","ú","ñ"," "},AE232)))&gt;0),"El correo del responsable no es institucional válido",IF(AND(AF232="Sí",AG232=""),"Indique el N.° de registro 2026 que continúa","OK")))))))))))))))))</f>
        <v/>
      </c>
      <c r="AK232" s="114">
        <f>IF(AJ232="OK",COUNTIF($AJ$7:AJ232,"OK"),"")</f>
        <v/>
      </c>
    </row>
    <row r="233">
      <c r="A233" s="110">
        <f>"PN27-"&amp;TEXT(ROW()-6,"000")</f>
        <v/>
      </c>
      <c r="B233" s="111" t="n"/>
      <c r="C233" s="110">
        <f>IF(B233="","",IFERROR(INDEX('Catalogos_PDN'!$R$5:$R$51,MATCH(B233,PN_AREAS,0)),""))</f>
        <v/>
      </c>
      <c r="D233" s="110">
        <f>IF(B233="","",IFERROR(INDEX('Catalogos_PDN'!$O$5:$O$51,MATCH(B233,PN_AREAS,0)),""))</f>
        <v/>
      </c>
      <c r="E233" s="111" t="n"/>
      <c r="F233" s="110">
        <f>IF(E233="","",IFERROR(INDEX('Catalogos_PDN'!$C$5:$C$49,MATCH(E233,PN_METAS,0)),""))</f>
        <v/>
      </c>
      <c r="G233" s="110">
        <f>IF(E233="","",IFERROR(INDEX('Catalogos_PDN'!$E$5:$E$49,MATCH(E233,PN_METAS,0)),""))</f>
        <v/>
      </c>
      <c r="H233" s="111" t="n"/>
      <c r="I233" s="111" t="n"/>
      <c r="J233" s="111" t="n"/>
      <c r="K233" s="111" t="n"/>
      <c r="L233" s="111" t="n"/>
      <c r="M233" s="112" t="n"/>
      <c r="N233" s="111" t="n"/>
      <c r="O233" s="111" t="n"/>
      <c r="P233" s="111" t="n"/>
      <c r="Q233" s="111" t="n"/>
      <c r="R233" s="111" t="n"/>
      <c r="S233" s="111" t="n"/>
      <c r="T233" s="111" t="n"/>
      <c r="U233" s="111" t="n"/>
      <c r="V233" s="111" t="n"/>
      <c r="W233" s="113" t="n"/>
      <c r="X233" s="113" t="n"/>
      <c r="Y233" s="111" t="n"/>
      <c r="Z233" s="111" t="n"/>
      <c r="AA233" s="111" t="n"/>
      <c r="AB233" s="111" t="n"/>
      <c r="AC233" s="111" t="n"/>
      <c r="AD233" s="111" t="n"/>
      <c r="AE233" s="111" t="n"/>
      <c r="AF233" s="111" t="n"/>
      <c r="AG233" s="111" t="n"/>
      <c r="AH233" s="111" t="n"/>
      <c r="AI233" s="111" t="n"/>
      <c r="AJ233" s="114">
        <f>IF(COUNTA(B233,E233,H233,I233,J233,K233,L233,M233,N233,O233,P233,Q233,R233,S233,T233,U233,V233,W233,X233,Y233,Z233,AA233,AB233,AC233,AD233,AE233,AF233,AG233,AH233,AI233)=0,"",IF(OR(B233="",E233="",H233="",J233="",K233="",L233="",M233="",O233="",P233="",Q233="",R233="",S233="",T233="",U233="",W233="",X233="",Y233="",AB233="",AC233="",AE233="",AF233=""),"Incompleta: faltan campos obligatorios",IF(AND(LEFT(H233,6)="PROPIA",I233=""),"Falta el nombre de la acción propia del área",IF(AND(LEFT(H233,4)="AC27",IFERROR(INDEX('Catalogos_PDN'!$T$5:$T$207,MATCH(H233,'Catalogos_PDN'!$U$5:$U$207,0)),"x")&lt;&gt;LEFT(E233,7)),"La acción no corresponde a la meta seleccionada",IF(OR(NOT(ISNUMBER(M233)),M233&lt;10000000,M233&gt;99999999),"Código UNSPSC inválido: registre 8 dígitos",IF(MOD(M233,10000)=0,"UNSPSC a nivel de segmento o familia: use clase o producto",IF(IFERROR(MATCH(P233,PN_MESES,0)&lt;MATCH(O233,PN_MESES,0),TRUE()),"El mes de ofertas es anterior al de inicio del proceso",IF(OR(NOT(ISNUMBER(Q233)),Q233&lt;=0),"Duración inválida",IF(OR(NOT(ISNUMBER(W233)),NOT(ISNUMBER(X233))),"Valor inválido: registre solo números",IF(OR(W233&lt;=0,X233&lt;=0),"Valor inválido: debe ser mayor que cero",IF(X233&gt;W233,"El valor de la vigencia 2027 supera el valor total",IF(AND(X233&lt;W233,Y233="No"),"El valor total supera el de 2027: requiere vigencias futuras",IF(AND(Y233="Sí",OR(Z233="",Z233="No aplica")),"Indique el estado de la solicitud de vigencias futuras",IF(IF(AND(S233="Mínima cuantía",ISNUMBER(PN_TOPE_MINIMA)),W233&gt;PN_TOPE_MINIMA,FALSE()),"El valor supera el tope de mínima cuantía 2027",IF(IF(AND(S233="Selección abreviada de menor cuantía",ISNUMBER(PN_TOPE_MENOR)),W233&gt;PN_TOPE_MENOR,FALSE()),"El valor supera el tope de menor cuantía 2027",IF(OR(ISERROR(SEARCH("@itc.edu.co",AE233)),SUMPRODUCT(--ISNUMBER(SEARCH({"á","é","í","ó","ú","ñ"," "},AE233)))&gt;0),"El correo del responsable no es institucional válido",IF(AND(AF233="Sí",AG233=""),"Indique el N.° de registro 2026 que continúa","OK")))))))))))))))))</f>
        <v/>
      </c>
      <c r="AK233" s="114">
        <f>IF(AJ233="OK",COUNTIF($AJ$7:AJ233,"OK"),"")</f>
        <v/>
      </c>
    </row>
    <row r="234">
      <c r="A234" s="110">
        <f>"PN27-"&amp;TEXT(ROW()-6,"000")</f>
        <v/>
      </c>
      <c r="B234" s="111" t="n"/>
      <c r="C234" s="110">
        <f>IF(B234="","",IFERROR(INDEX('Catalogos_PDN'!$R$5:$R$51,MATCH(B234,PN_AREAS,0)),""))</f>
        <v/>
      </c>
      <c r="D234" s="110">
        <f>IF(B234="","",IFERROR(INDEX('Catalogos_PDN'!$O$5:$O$51,MATCH(B234,PN_AREAS,0)),""))</f>
        <v/>
      </c>
      <c r="E234" s="111" t="n"/>
      <c r="F234" s="110">
        <f>IF(E234="","",IFERROR(INDEX('Catalogos_PDN'!$C$5:$C$49,MATCH(E234,PN_METAS,0)),""))</f>
        <v/>
      </c>
      <c r="G234" s="110">
        <f>IF(E234="","",IFERROR(INDEX('Catalogos_PDN'!$E$5:$E$49,MATCH(E234,PN_METAS,0)),""))</f>
        <v/>
      </c>
      <c r="H234" s="111" t="n"/>
      <c r="I234" s="111" t="n"/>
      <c r="J234" s="111" t="n"/>
      <c r="K234" s="111" t="n"/>
      <c r="L234" s="111" t="n"/>
      <c r="M234" s="112" t="n"/>
      <c r="N234" s="111" t="n"/>
      <c r="O234" s="111" t="n"/>
      <c r="P234" s="111" t="n"/>
      <c r="Q234" s="111" t="n"/>
      <c r="R234" s="111" t="n"/>
      <c r="S234" s="111" t="n"/>
      <c r="T234" s="111" t="n"/>
      <c r="U234" s="111" t="n"/>
      <c r="V234" s="111" t="n"/>
      <c r="W234" s="113" t="n"/>
      <c r="X234" s="113" t="n"/>
      <c r="Y234" s="111" t="n"/>
      <c r="Z234" s="111" t="n"/>
      <c r="AA234" s="111" t="n"/>
      <c r="AB234" s="111" t="n"/>
      <c r="AC234" s="111" t="n"/>
      <c r="AD234" s="111" t="n"/>
      <c r="AE234" s="111" t="n"/>
      <c r="AF234" s="111" t="n"/>
      <c r="AG234" s="111" t="n"/>
      <c r="AH234" s="111" t="n"/>
      <c r="AI234" s="111" t="n"/>
      <c r="AJ234" s="114">
        <f>IF(COUNTA(B234,E234,H234,I234,J234,K234,L234,M234,N234,O234,P234,Q234,R234,S234,T234,U234,V234,W234,X234,Y234,Z234,AA234,AB234,AC234,AD234,AE234,AF234,AG234,AH234,AI234)=0,"",IF(OR(B234="",E234="",H234="",J234="",K234="",L234="",M234="",O234="",P234="",Q234="",R234="",S234="",T234="",U234="",W234="",X234="",Y234="",AB234="",AC234="",AE234="",AF234=""),"Incompleta: faltan campos obligatorios",IF(AND(LEFT(H234,6)="PROPIA",I234=""),"Falta el nombre de la acción propia del área",IF(AND(LEFT(H234,4)="AC27",IFERROR(INDEX('Catalogos_PDN'!$T$5:$T$207,MATCH(H234,'Catalogos_PDN'!$U$5:$U$207,0)),"x")&lt;&gt;LEFT(E234,7)),"La acción no corresponde a la meta seleccionada",IF(OR(NOT(ISNUMBER(M234)),M234&lt;10000000,M234&gt;99999999),"Código UNSPSC inválido: registre 8 dígitos",IF(MOD(M234,10000)=0,"UNSPSC a nivel de segmento o familia: use clase o producto",IF(IFERROR(MATCH(P234,PN_MESES,0)&lt;MATCH(O234,PN_MESES,0),TRUE()),"El mes de ofertas es anterior al de inicio del proceso",IF(OR(NOT(ISNUMBER(Q234)),Q234&lt;=0),"Duración inválida",IF(OR(NOT(ISNUMBER(W234)),NOT(ISNUMBER(X234))),"Valor inválido: registre solo números",IF(OR(W234&lt;=0,X234&lt;=0),"Valor inválido: debe ser mayor que cero",IF(X234&gt;W234,"El valor de la vigencia 2027 supera el valor total",IF(AND(X234&lt;W234,Y234="No"),"El valor total supera el de 2027: requiere vigencias futuras",IF(AND(Y234="Sí",OR(Z234="",Z234="No aplica")),"Indique el estado de la solicitud de vigencias futuras",IF(IF(AND(S234="Mínima cuantía",ISNUMBER(PN_TOPE_MINIMA)),W234&gt;PN_TOPE_MINIMA,FALSE()),"El valor supera el tope de mínima cuantía 2027",IF(IF(AND(S234="Selección abreviada de menor cuantía",ISNUMBER(PN_TOPE_MENOR)),W234&gt;PN_TOPE_MENOR,FALSE()),"El valor supera el tope de menor cuantía 2027",IF(OR(ISERROR(SEARCH("@itc.edu.co",AE234)),SUMPRODUCT(--ISNUMBER(SEARCH({"á","é","í","ó","ú","ñ"," "},AE234)))&gt;0),"El correo del responsable no es institucional válido",IF(AND(AF234="Sí",AG234=""),"Indique el N.° de registro 2026 que continúa","OK")))))))))))))))))</f>
        <v/>
      </c>
      <c r="AK234" s="114">
        <f>IF(AJ234="OK",COUNTIF($AJ$7:AJ234,"OK"),"")</f>
        <v/>
      </c>
    </row>
    <row r="235">
      <c r="A235" s="110">
        <f>"PN27-"&amp;TEXT(ROW()-6,"000")</f>
        <v/>
      </c>
      <c r="B235" s="111" t="n"/>
      <c r="C235" s="110">
        <f>IF(B235="","",IFERROR(INDEX('Catalogos_PDN'!$R$5:$R$51,MATCH(B235,PN_AREAS,0)),""))</f>
        <v/>
      </c>
      <c r="D235" s="110">
        <f>IF(B235="","",IFERROR(INDEX('Catalogos_PDN'!$O$5:$O$51,MATCH(B235,PN_AREAS,0)),""))</f>
        <v/>
      </c>
      <c r="E235" s="111" t="n"/>
      <c r="F235" s="110">
        <f>IF(E235="","",IFERROR(INDEX('Catalogos_PDN'!$C$5:$C$49,MATCH(E235,PN_METAS,0)),""))</f>
        <v/>
      </c>
      <c r="G235" s="110">
        <f>IF(E235="","",IFERROR(INDEX('Catalogos_PDN'!$E$5:$E$49,MATCH(E235,PN_METAS,0)),""))</f>
        <v/>
      </c>
      <c r="H235" s="111" t="n"/>
      <c r="I235" s="111" t="n"/>
      <c r="J235" s="111" t="n"/>
      <c r="K235" s="111" t="n"/>
      <c r="L235" s="111" t="n"/>
      <c r="M235" s="112" t="n"/>
      <c r="N235" s="111" t="n"/>
      <c r="O235" s="111" t="n"/>
      <c r="P235" s="111" t="n"/>
      <c r="Q235" s="111" t="n"/>
      <c r="R235" s="111" t="n"/>
      <c r="S235" s="111" t="n"/>
      <c r="T235" s="111" t="n"/>
      <c r="U235" s="111" t="n"/>
      <c r="V235" s="111" t="n"/>
      <c r="W235" s="113" t="n"/>
      <c r="X235" s="113" t="n"/>
      <c r="Y235" s="111" t="n"/>
      <c r="Z235" s="111" t="n"/>
      <c r="AA235" s="111" t="n"/>
      <c r="AB235" s="111" t="n"/>
      <c r="AC235" s="111" t="n"/>
      <c r="AD235" s="111" t="n"/>
      <c r="AE235" s="111" t="n"/>
      <c r="AF235" s="111" t="n"/>
      <c r="AG235" s="111" t="n"/>
      <c r="AH235" s="111" t="n"/>
      <c r="AI235" s="111" t="n"/>
      <c r="AJ235" s="114">
        <f>IF(COUNTA(B235,E235,H235,I235,J235,K235,L235,M235,N235,O235,P235,Q235,R235,S235,T235,U235,V235,W235,X235,Y235,Z235,AA235,AB235,AC235,AD235,AE235,AF235,AG235,AH235,AI235)=0,"",IF(OR(B235="",E235="",H235="",J235="",K235="",L235="",M235="",O235="",P235="",Q235="",R235="",S235="",T235="",U235="",W235="",X235="",Y235="",AB235="",AC235="",AE235="",AF235=""),"Incompleta: faltan campos obligatorios",IF(AND(LEFT(H235,6)="PROPIA",I235=""),"Falta el nombre de la acción propia del área",IF(AND(LEFT(H235,4)="AC27",IFERROR(INDEX('Catalogos_PDN'!$T$5:$T$207,MATCH(H235,'Catalogos_PDN'!$U$5:$U$207,0)),"x")&lt;&gt;LEFT(E235,7)),"La acción no corresponde a la meta seleccionada",IF(OR(NOT(ISNUMBER(M235)),M235&lt;10000000,M235&gt;99999999),"Código UNSPSC inválido: registre 8 dígitos",IF(MOD(M235,10000)=0,"UNSPSC a nivel de segmento o familia: use clase o producto",IF(IFERROR(MATCH(P235,PN_MESES,0)&lt;MATCH(O235,PN_MESES,0),TRUE()),"El mes de ofertas es anterior al de inicio del proceso",IF(OR(NOT(ISNUMBER(Q235)),Q235&lt;=0),"Duración inválida",IF(OR(NOT(ISNUMBER(W235)),NOT(ISNUMBER(X235))),"Valor inválido: registre solo números",IF(OR(W235&lt;=0,X235&lt;=0),"Valor inválido: debe ser mayor que cero",IF(X235&gt;W235,"El valor de la vigencia 2027 supera el valor total",IF(AND(X235&lt;W235,Y235="No"),"El valor total supera el de 2027: requiere vigencias futuras",IF(AND(Y235="Sí",OR(Z235="",Z235="No aplica")),"Indique el estado de la solicitud de vigencias futuras",IF(IF(AND(S235="Mínima cuantía",ISNUMBER(PN_TOPE_MINIMA)),W235&gt;PN_TOPE_MINIMA,FALSE()),"El valor supera el tope de mínima cuantía 2027",IF(IF(AND(S235="Selección abreviada de menor cuantía",ISNUMBER(PN_TOPE_MENOR)),W235&gt;PN_TOPE_MENOR,FALSE()),"El valor supera el tope de menor cuantía 2027",IF(OR(ISERROR(SEARCH("@itc.edu.co",AE235)),SUMPRODUCT(--ISNUMBER(SEARCH({"á","é","í","ó","ú","ñ"," "},AE235)))&gt;0),"El correo del responsable no es institucional válido",IF(AND(AF235="Sí",AG235=""),"Indique el N.° de registro 2026 que continúa","OK")))))))))))))))))</f>
        <v/>
      </c>
      <c r="AK235" s="114">
        <f>IF(AJ235="OK",COUNTIF($AJ$7:AJ235,"OK"),"")</f>
        <v/>
      </c>
    </row>
    <row r="236">
      <c r="A236" s="110">
        <f>"PN27-"&amp;TEXT(ROW()-6,"000")</f>
        <v/>
      </c>
      <c r="B236" s="111" t="n"/>
      <c r="C236" s="110">
        <f>IF(B236="","",IFERROR(INDEX('Catalogos_PDN'!$R$5:$R$51,MATCH(B236,PN_AREAS,0)),""))</f>
        <v/>
      </c>
      <c r="D236" s="110">
        <f>IF(B236="","",IFERROR(INDEX('Catalogos_PDN'!$O$5:$O$51,MATCH(B236,PN_AREAS,0)),""))</f>
        <v/>
      </c>
      <c r="E236" s="111" t="n"/>
      <c r="F236" s="110">
        <f>IF(E236="","",IFERROR(INDEX('Catalogos_PDN'!$C$5:$C$49,MATCH(E236,PN_METAS,0)),""))</f>
        <v/>
      </c>
      <c r="G236" s="110">
        <f>IF(E236="","",IFERROR(INDEX('Catalogos_PDN'!$E$5:$E$49,MATCH(E236,PN_METAS,0)),""))</f>
        <v/>
      </c>
      <c r="H236" s="111" t="n"/>
      <c r="I236" s="111" t="n"/>
      <c r="J236" s="111" t="n"/>
      <c r="K236" s="111" t="n"/>
      <c r="L236" s="111" t="n"/>
      <c r="M236" s="112" t="n"/>
      <c r="N236" s="111" t="n"/>
      <c r="O236" s="111" t="n"/>
      <c r="P236" s="111" t="n"/>
      <c r="Q236" s="111" t="n"/>
      <c r="R236" s="111" t="n"/>
      <c r="S236" s="111" t="n"/>
      <c r="T236" s="111" t="n"/>
      <c r="U236" s="111" t="n"/>
      <c r="V236" s="111" t="n"/>
      <c r="W236" s="113" t="n"/>
      <c r="X236" s="113" t="n"/>
      <c r="Y236" s="111" t="n"/>
      <c r="Z236" s="111" t="n"/>
      <c r="AA236" s="111" t="n"/>
      <c r="AB236" s="111" t="n"/>
      <c r="AC236" s="111" t="n"/>
      <c r="AD236" s="111" t="n"/>
      <c r="AE236" s="111" t="n"/>
      <c r="AF236" s="111" t="n"/>
      <c r="AG236" s="111" t="n"/>
      <c r="AH236" s="111" t="n"/>
      <c r="AI236" s="111" t="n"/>
      <c r="AJ236" s="114">
        <f>IF(COUNTA(B236,E236,H236,I236,J236,K236,L236,M236,N236,O236,P236,Q236,R236,S236,T236,U236,V236,W236,X236,Y236,Z236,AA236,AB236,AC236,AD236,AE236,AF236,AG236,AH236,AI236)=0,"",IF(OR(B236="",E236="",H236="",J236="",K236="",L236="",M236="",O236="",P236="",Q236="",R236="",S236="",T236="",U236="",W236="",X236="",Y236="",AB236="",AC236="",AE236="",AF236=""),"Incompleta: faltan campos obligatorios",IF(AND(LEFT(H236,6)="PROPIA",I236=""),"Falta el nombre de la acción propia del área",IF(AND(LEFT(H236,4)="AC27",IFERROR(INDEX('Catalogos_PDN'!$T$5:$T$207,MATCH(H236,'Catalogos_PDN'!$U$5:$U$207,0)),"x")&lt;&gt;LEFT(E236,7)),"La acción no corresponde a la meta seleccionada",IF(OR(NOT(ISNUMBER(M236)),M236&lt;10000000,M236&gt;99999999),"Código UNSPSC inválido: registre 8 dígitos",IF(MOD(M236,10000)=0,"UNSPSC a nivel de segmento o familia: use clase o producto",IF(IFERROR(MATCH(P236,PN_MESES,0)&lt;MATCH(O236,PN_MESES,0),TRUE()),"El mes de ofertas es anterior al de inicio del proceso",IF(OR(NOT(ISNUMBER(Q236)),Q236&lt;=0),"Duración inválida",IF(OR(NOT(ISNUMBER(W236)),NOT(ISNUMBER(X236))),"Valor inválido: registre solo números",IF(OR(W236&lt;=0,X236&lt;=0),"Valor inválido: debe ser mayor que cero",IF(X236&gt;W236,"El valor de la vigencia 2027 supera el valor total",IF(AND(X236&lt;W236,Y236="No"),"El valor total supera el de 2027: requiere vigencias futuras",IF(AND(Y236="Sí",OR(Z236="",Z236="No aplica")),"Indique el estado de la solicitud de vigencias futuras",IF(IF(AND(S236="Mínima cuantía",ISNUMBER(PN_TOPE_MINIMA)),W236&gt;PN_TOPE_MINIMA,FALSE()),"El valor supera el tope de mínima cuantía 2027",IF(IF(AND(S236="Selección abreviada de menor cuantía",ISNUMBER(PN_TOPE_MENOR)),W236&gt;PN_TOPE_MENOR,FALSE()),"El valor supera el tope de menor cuantía 2027",IF(OR(ISERROR(SEARCH("@itc.edu.co",AE236)),SUMPRODUCT(--ISNUMBER(SEARCH({"á","é","í","ó","ú","ñ"," "},AE236)))&gt;0),"El correo del responsable no es institucional válido",IF(AND(AF236="Sí",AG236=""),"Indique el N.° de registro 2026 que continúa","OK")))))))))))))))))</f>
        <v/>
      </c>
      <c r="AK236" s="114">
        <f>IF(AJ236="OK",COUNTIF($AJ$7:AJ236,"OK"),"")</f>
        <v/>
      </c>
    </row>
    <row r="237">
      <c r="A237" s="110">
        <f>"PN27-"&amp;TEXT(ROW()-6,"000")</f>
        <v/>
      </c>
      <c r="B237" s="111" t="n"/>
      <c r="C237" s="110">
        <f>IF(B237="","",IFERROR(INDEX('Catalogos_PDN'!$R$5:$R$51,MATCH(B237,PN_AREAS,0)),""))</f>
        <v/>
      </c>
      <c r="D237" s="110">
        <f>IF(B237="","",IFERROR(INDEX('Catalogos_PDN'!$O$5:$O$51,MATCH(B237,PN_AREAS,0)),""))</f>
        <v/>
      </c>
      <c r="E237" s="111" t="n"/>
      <c r="F237" s="110">
        <f>IF(E237="","",IFERROR(INDEX('Catalogos_PDN'!$C$5:$C$49,MATCH(E237,PN_METAS,0)),""))</f>
        <v/>
      </c>
      <c r="G237" s="110">
        <f>IF(E237="","",IFERROR(INDEX('Catalogos_PDN'!$E$5:$E$49,MATCH(E237,PN_METAS,0)),""))</f>
        <v/>
      </c>
      <c r="H237" s="111" t="n"/>
      <c r="I237" s="111" t="n"/>
      <c r="J237" s="111" t="n"/>
      <c r="K237" s="111" t="n"/>
      <c r="L237" s="111" t="n"/>
      <c r="M237" s="112" t="n"/>
      <c r="N237" s="111" t="n"/>
      <c r="O237" s="111" t="n"/>
      <c r="P237" s="111" t="n"/>
      <c r="Q237" s="111" t="n"/>
      <c r="R237" s="111" t="n"/>
      <c r="S237" s="111" t="n"/>
      <c r="T237" s="111" t="n"/>
      <c r="U237" s="111" t="n"/>
      <c r="V237" s="111" t="n"/>
      <c r="W237" s="113" t="n"/>
      <c r="X237" s="113" t="n"/>
      <c r="Y237" s="111" t="n"/>
      <c r="Z237" s="111" t="n"/>
      <c r="AA237" s="111" t="n"/>
      <c r="AB237" s="111" t="n"/>
      <c r="AC237" s="111" t="n"/>
      <c r="AD237" s="111" t="n"/>
      <c r="AE237" s="111" t="n"/>
      <c r="AF237" s="111" t="n"/>
      <c r="AG237" s="111" t="n"/>
      <c r="AH237" s="111" t="n"/>
      <c r="AI237" s="111" t="n"/>
      <c r="AJ237" s="114">
        <f>IF(COUNTA(B237,E237,H237,I237,J237,K237,L237,M237,N237,O237,P237,Q237,R237,S237,T237,U237,V237,W237,X237,Y237,Z237,AA237,AB237,AC237,AD237,AE237,AF237,AG237,AH237,AI237)=0,"",IF(OR(B237="",E237="",H237="",J237="",K237="",L237="",M237="",O237="",P237="",Q237="",R237="",S237="",T237="",U237="",W237="",X237="",Y237="",AB237="",AC237="",AE237="",AF237=""),"Incompleta: faltan campos obligatorios",IF(AND(LEFT(H237,6)="PROPIA",I237=""),"Falta el nombre de la acción propia del área",IF(AND(LEFT(H237,4)="AC27",IFERROR(INDEX('Catalogos_PDN'!$T$5:$T$207,MATCH(H237,'Catalogos_PDN'!$U$5:$U$207,0)),"x")&lt;&gt;LEFT(E237,7)),"La acción no corresponde a la meta seleccionada",IF(OR(NOT(ISNUMBER(M237)),M237&lt;10000000,M237&gt;99999999),"Código UNSPSC inválido: registre 8 dígitos",IF(MOD(M237,10000)=0,"UNSPSC a nivel de segmento o familia: use clase o producto",IF(IFERROR(MATCH(P237,PN_MESES,0)&lt;MATCH(O237,PN_MESES,0),TRUE()),"El mes de ofertas es anterior al de inicio del proceso",IF(OR(NOT(ISNUMBER(Q237)),Q237&lt;=0),"Duración inválida",IF(OR(NOT(ISNUMBER(W237)),NOT(ISNUMBER(X237))),"Valor inválido: registre solo números",IF(OR(W237&lt;=0,X237&lt;=0),"Valor inválido: debe ser mayor que cero",IF(X237&gt;W237,"El valor de la vigencia 2027 supera el valor total",IF(AND(X237&lt;W237,Y237="No"),"El valor total supera el de 2027: requiere vigencias futuras",IF(AND(Y237="Sí",OR(Z237="",Z237="No aplica")),"Indique el estado de la solicitud de vigencias futuras",IF(IF(AND(S237="Mínima cuantía",ISNUMBER(PN_TOPE_MINIMA)),W237&gt;PN_TOPE_MINIMA,FALSE()),"El valor supera el tope de mínima cuantía 2027",IF(IF(AND(S237="Selección abreviada de menor cuantía",ISNUMBER(PN_TOPE_MENOR)),W237&gt;PN_TOPE_MENOR,FALSE()),"El valor supera el tope de menor cuantía 2027",IF(OR(ISERROR(SEARCH("@itc.edu.co",AE237)),SUMPRODUCT(--ISNUMBER(SEARCH({"á","é","í","ó","ú","ñ"," "},AE237)))&gt;0),"El correo del responsable no es institucional válido",IF(AND(AF237="Sí",AG237=""),"Indique el N.° de registro 2026 que continúa","OK")))))))))))))))))</f>
        <v/>
      </c>
      <c r="AK237" s="114">
        <f>IF(AJ237="OK",COUNTIF($AJ$7:AJ237,"OK"),"")</f>
        <v/>
      </c>
    </row>
    <row r="238">
      <c r="A238" s="110">
        <f>"PN27-"&amp;TEXT(ROW()-6,"000")</f>
        <v/>
      </c>
      <c r="B238" s="111" t="n"/>
      <c r="C238" s="110">
        <f>IF(B238="","",IFERROR(INDEX('Catalogos_PDN'!$R$5:$R$51,MATCH(B238,PN_AREAS,0)),""))</f>
        <v/>
      </c>
      <c r="D238" s="110">
        <f>IF(B238="","",IFERROR(INDEX('Catalogos_PDN'!$O$5:$O$51,MATCH(B238,PN_AREAS,0)),""))</f>
        <v/>
      </c>
      <c r="E238" s="111" t="n"/>
      <c r="F238" s="110">
        <f>IF(E238="","",IFERROR(INDEX('Catalogos_PDN'!$C$5:$C$49,MATCH(E238,PN_METAS,0)),""))</f>
        <v/>
      </c>
      <c r="G238" s="110">
        <f>IF(E238="","",IFERROR(INDEX('Catalogos_PDN'!$E$5:$E$49,MATCH(E238,PN_METAS,0)),""))</f>
        <v/>
      </c>
      <c r="H238" s="111" t="n"/>
      <c r="I238" s="111" t="n"/>
      <c r="J238" s="111" t="n"/>
      <c r="K238" s="111" t="n"/>
      <c r="L238" s="111" t="n"/>
      <c r="M238" s="112" t="n"/>
      <c r="N238" s="111" t="n"/>
      <c r="O238" s="111" t="n"/>
      <c r="P238" s="111" t="n"/>
      <c r="Q238" s="111" t="n"/>
      <c r="R238" s="111" t="n"/>
      <c r="S238" s="111" t="n"/>
      <c r="T238" s="111" t="n"/>
      <c r="U238" s="111" t="n"/>
      <c r="V238" s="111" t="n"/>
      <c r="W238" s="113" t="n"/>
      <c r="X238" s="113" t="n"/>
      <c r="Y238" s="111" t="n"/>
      <c r="Z238" s="111" t="n"/>
      <c r="AA238" s="111" t="n"/>
      <c r="AB238" s="111" t="n"/>
      <c r="AC238" s="111" t="n"/>
      <c r="AD238" s="111" t="n"/>
      <c r="AE238" s="111" t="n"/>
      <c r="AF238" s="111" t="n"/>
      <c r="AG238" s="111" t="n"/>
      <c r="AH238" s="111" t="n"/>
      <c r="AI238" s="111" t="n"/>
      <c r="AJ238" s="114">
        <f>IF(COUNTA(B238,E238,H238,I238,J238,K238,L238,M238,N238,O238,P238,Q238,R238,S238,T238,U238,V238,W238,X238,Y238,Z238,AA238,AB238,AC238,AD238,AE238,AF238,AG238,AH238,AI238)=0,"",IF(OR(B238="",E238="",H238="",J238="",K238="",L238="",M238="",O238="",P238="",Q238="",R238="",S238="",T238="",U238="",W238="",X238="",Y238="",AB238="",AC238="",AE238="",AF238=""),"Incompleta: faltan campos obligatorios",IF(AND(LEFT(H238,6)="PROPIA",I238=""),"Falta el nombre de la acción propia del área",IF(AND(LEFT(H238,4)="AC27",IFERROR(INDEX('Catalogos_PDN'!$T$5:$T$207,MATCH(H238,'Catalogos_PDN'!$U$5:$U$207,0)),"x")&lt;&gt;LEFT(E238,7)),"La acción no corresponde a la meta seleccionada",IF(OR(NOT(ISNUMBER(M238)),M238&lt;10000000,M238&gt;99999999),"Código UNSPSC inválido: registre 8 dígitos",IF(MOD(M238,10000)=0,"UNSPSC a nivel de segmento o familia: use clase o producto",IF(IFERROR(MATCH(P238,PN_MESES,0)&lt;MATCH(O238,PN_MESES,0),TRUE()),"El mes de ofertas es anterior al de inicio del proceso",IF(OR(NOT(ISNUMBER(Q238)),Q238&lt;=0),"Duración inválida",IF(OR(NOT(ISNUMBER(W238)),NOT(ISNUMBER(X238))),"Valor inválido: registre solo números",IF(OR(W238&lt;=0,X238&lt;=0),"Valor inválido: debe ser mayor que cero",IF(X238&gt;W238,"El valor de la vigencia 2027 supera el valor total",IF(AND(X238&lt;W238,Y238="No"),"El valor total supera el de 2027: requiere vigencias futuras",IF(AND(Y238="Sí",OR(Z238="",Z238="No aplica")),"Indique el estado de la solicitud de vigencias futuras",IF(IF(AND(S238="Mínima cuantía",ISNUMBER(PN_TOPE_MINIMA)),W238&gt;PN_TOPE_MINIMA,FALSE()),"El valor supera el tope de mínima cuantía 2027",IF(IF(AND(S238="Selección abreviada de menor cuantía",ISNUMBER(PN_TOPE_MENOR)),W238&gt;PN_TOPE_MENOR,FALSE()),"El valor supera el tope de menor cuantía 2027",IF(OR(ISERROR(SEARCH("@itc.edu.co",AE238)),SUMPRODUCT(--ISNUMBER(SEARCH({"á","é","í","ó","ú","ñ"," "},AE238)))&gt;0),"El correo del responsable no es institucional válido",IF(AND(AF238="Sí",AG238=""),"Indique el N.° de registro 2026 que continúa","OK")))))))))))))))))</f>
        <v/>
      </c>
      <c r="AK238" s="114">
        <f>IF(AJ238="OK",COUNTIF($AJ$7:AJ238,"OK"),"")</f>
        <v/>
      </c>
    </row>
    <row r="239">
      <c r="A239" s="110">
        <f>"PN27-"&amp;TEXT(ROW()-6,"000")</f>
        <v/>
      </c>
      <c r="B239" s="111" t="n"/>
      <c r="C239" s="110">
        <f>IF(B239="","",IFERROR(INDEX('Catalogos_PDN'!$R$5:$R$51,MATCH(B239,PN_AREAS,0)),""))</f>
        <v/>
      </c>
      <c r="D239" s="110">
        <f>IF(B239="","",IFERROR(INDEX('Catalogos_PDN'!$O$5:$O$51,MATCH(B239,PN_AREAS,0)),""))</f>
        <v/>
      </c>
      <c r="E239" s="111" t="n"/>
      <c r="F239" s="110">
        <f>IF(E239="","",IFERROR(INDEX('Catalogos_PDN'!$C$5:$C$49,MATCH(E239,PN_METAS,0)),""))</f>
        <v/>
      </c>
      <c r="G239" s="110">
        <f>IF(E239="","",IFERROR(INDEX('Catalogos_PDN'!$E$5:$E$49,MATCH(E239,PN_METAS,0)),""))</f>
        <v/>
      </c>
      <c r="H239" s="111" t="n"/>
      <c r="I239" s="111" t="n"/>
      <c r="J239" s="111" t="n"/>
      <c r="K239" s="111" t="n"/>
      <c r="L239" s="111" t="n"/>
      <c r="M239" s="112" t="n"/>
      <c r="N239" s="111" t="n"/>
      <c r="O239" s="111" t="n"/>
      <c r="P239" s="111" t="n"/>
      <c r="Q239" s="111" t="n"/>
      <c r="R239" s="111" t="n"/>
      <c r="S239" s="111" t="n"/>
      <c r="T239" s="111" t="n"/>
      <c r="U239" s="111" t="n"/>
      <c r="V239" s="111" t="n"/>
      <c r="W239" s="113" t="n"/>
      <c r="X239" s="113" t="n"/>
      <c r="Y239" s="111" t="n"/>
      <c r="Z239" s="111" t="n"/>
      <c r="AA239" s="111" t="n"/>
      <c r="AB239" s="111" t="n"/>
      <c r="AC239" s="111" t="n"/>
      <c r="AD239" s="111" t="n"/>
      <c r="AE239" s="111" t="n"/>
      <c r="AF239" s="111" t="n"/>
      <c r="AG239" s="111" t="n"/>
      <c r="AH239" s="111" t="n"/>
      <c r="AI239" s="111" t="n"/>
      <c r="AJ239" s="114">
        <f>IF(COUNTA(B239,E239,H239,I239,J239,K239,L239,M239,N239,O239,P239,Q239,R239,S239,T239,U239,V239,W239,X239,Y239,Z239,AA239,AB239,AC239,AD239,AE239,AF239,AG239,AH239,AI239)=0,"",IF(OR(B239="",E239="",H239="",J239="",K239="",L239="",M239="",O239="",P239="",Q239="",R239="",S239="",T239="",U239="",W239="",X239="",Y239="",AB239="",AC239="",AE239="",AF239=""),"Incompleta: faltan campos obligatorios",IF(AND(LEFT(H239,6)="PROPIA",I239=""),"Falta el nombre de la acción propia del área",IF(AND(LEFT(H239,4)="AC27",IFERROR(INDEX('Catalogos_PDN'!$T$5:$T$207,MATCH(H239,'Catalogos_PDN'!$U$5:$U$207,0)),"x")&lt;&gt;LEFT(E239,7)),"La acción no corresponde a la meta seleccionada",IF(OR(NOT(ISNUMBER(M239)),M239&lt;10000000,M239&gt;99999999),"Código UNSPSC inválido: registre 8 dígitos",IF(MOD(M239,10000)=0,"UNSPSC a nivel de segmento o familia: use clase o producto",IF(IFERROR(MATCH(P239,PN_MESES,0)&lt;MATCH(O239,PN_MESES,0),TRUE()),"El mes de ofertas es anterior al de inicio del proceso",IF(OR(NOT(ISNUMBER(Q239)),Q239&lt;=0),"Duración inválida",IF(OR(NOT(ISNUMBER(W239)),NOT(ISNUMBER(X239))),"Valor inválido: registre solo números",IF(OR(W239&lt;=0,X239&lt;=0),"Valor inválido: debe ser mayor que cero",IF(X239&gt;W239,"El valor de la vigencia 2027 supera el valor total",IF(AND(X239&lt;W239,Y239="No"),"El valor total supera el de 2027: requiere vigencias futuras",IF(AND(Y239="Sí",OR(Z239="",Z239="No aplica")),"Indique el estado de la solicitud de vigencias futuras",IF(IF(AND(S239="Mínima cuantía",ISNUMBER(PN_TOPE_MINIMA)),W239&gt;PN_TOPE_MINIMA,FALSE()),"El valor supera el tope de mínima cuantía 2027",IF(IF(AND(S239="Selección abreviada de menor cuantía",ISNUMBER(PN_TOPE_MENOR)),W239&gt;PN_TOPE_MENOR,FALSE()),"El valor supera el tope de menor cuantía 2027",IF(OR(ISERROR(SEARCH("@itc.edu.co",AE239)),SUMPRODUCT(--ISNUMBER(SEARCH({"á","é","í","ó","ú","ñ"," "},AE239)))&gt;0),"El correo del responsable no es institucional válido",IF(AND(AF239="Sí",AG239=""),"Indique el N.° de registro 2026 que continúa","OK")))))))))))))))))</f>
        <v/>
      </c>
      <c r="AK239" s="114">
        <f>IF(AJ239="OK",COUNTIF($AJ$7:AJ239,"OK"),"")</f>
        <v/>
      </c>
    </row>
    <row r="240">
      <c r="A240" s="110">
        <f>"PN27-"&amp;TEXT(ROW()-6,"000")</f>
        <v/>
      </c>
      <c r="B240" s="111" t="n"/>
      <c r="C240" s="110">
        <f>IF(B240="","",IFERROR(INDEX('Catalogos_PDN'!$R$5:$R$51,MATCH(B240,PN_AREAS,0)),""))</f>
        <v/>
      </c>
      <c r="D240" s="110">
        <f>IF(B240="","",IFERROR(INDEX('Catalogos_PDN'!$O$5:$O$51,MATCH(B240,PN_AREAS,0)),""))</f>
        <v/>
      </c>
      <c r="E240" s="111" t="n"/>
      <c r="F240" s="110">
        <f>IF(E240="","",IFERROR(INDEX('Catalogos_PDN'!$C$5:$C$49,MATCH(E240,PN_METAS,0)),""))</f>
        <v/>
      </c>
      <c r="G240" s="110">
        <f>IF(E240="","",IFERROR(INDEX('Catalogos_PDN'!$E$5:$E$49,MATCH(E240,PN_METAS,0)),""))</f>
        <v/>
      </c>
      <c r="H240" s="111" t="n"/>
      <c r="I240" s="111" t="n"/>
      <c r="J240" s="111" t="n"/>
      <c r="K240" s="111" t="n"/>
      <c r="L240" s="111" t="n"/>
      <c r="M240" s="112" t="n"/>
      <c r="N240" s="111" t="n"/>
      <c r="O240" s="111" t="n"/>
      <c r="P240" s="111" t="n"/>
      <c r="Q240" s="111" t="n"/>
      <c r="R240" s="111" t="n"/>
      <c r="S240" s="111" t="n"/>
      <c r="T240" s="111" t="n"/>
      <c r="U240" s="111" t="n"/>
      <c r="V240" s="111" t="n"/>
      <c r="W240" s="113" t="n"/>
      <c r="X240" s="113" t="n"/>
      <c r="Y240" s="111" t="n"/>
      <c r="Z240" s="111" t="n"/>
      <c r="AA240" s="111" t="n"/>
      <c r="AB240" s="111" t="n"/>
      <c r="AC240" s="111" t="n"/>
      <c r="AD240" s="111" t="n"/>
      <c r="AE240" s="111" t="n"/>
      <c r="AF240" s="111" t="n"/>
      <c r="AG240" s="111" t="n"/>
      <c r="AH240" s="111" t="n"/>
      <c r="AI240" s="111" t="n"/>
      <c r="AJ240" s="114">
        <f>IF(COUNTA(B240,E240,H240,I240,J240,K240,L240,M240,N240,O240,P240,Q240,R240,S240,T240,U240,V240,W240,X240,Y240,Z240,AA240,AB240,AC240,AD240,AE240,AF240,AG240,AH240,AI240)=0,"",IF(OR(B240="",E240="",H240="",J240="",K240="",L240="",M240="",O240="",P240="",Q240="",R240="",S240="",T240="",U240="",W240="",X240="",Y240="",AB240="",AC240="",AE240="",AF240=""),"Incompleta: faltan campos obligatorios",IF(AND(LEFT(H240,6)="PROPIA",I240=""),"Falta el nombre de la acción propia del área",IF(AND(LEFT(H240,4)="AC27",IFERROR(INDEX('Catalogos_PDN'!$T$5:$T$207,MATCH(H240,'Catalogos_PDN'!$U$5:$U$207,0)),"x")&lt;&gt;LEFT(E240,7)),"La acción no corresponde a la meta seleccionada",IF(OR(NOT(ISNUMBER(M240)),M240&lt;10000000,M240&gt;99999999),"Código UNSPSC inválido: registre 8 dígitos",IF(MOD(M240,10000)=0,"UNSPSC a nivel de segmento o familia: use clase o producto",IF(IFERROR(MATCH(P240,PN_MESES,0)&lt;MATCH(O240,PN_MESES,0),TRUE()),"El mes de ofertas es anterior al de inicio del proceso",IF(OR(NOT(ISNUMBER(Q240)),Q240&lt;=0),"Duración inválida",IF(OR(NOT(ISNUMBER(W240)),NOT(ISNUMBER(X240))),"Valor inválido: registre solo números",IF(OR(W240&lt;=0,X240&lt;=0),"Valor inválido: debe ser mayor que cero",IF(X240&gt;W240,"El valor de la vigencia 2027 supera el valor total",IF(AND(X240&lt;W240,Y240="No"),"El valor total supera el de 2027: requiere vigencias futuras",IF(AND(Y240="Sí",OR(Z240="",Z240="No aplica")),"Indique el estado de la solicitud de vigencias futuras",IF(IF(AND(S240="Mínima cuantía",ISNUMBER(PN_TOPE_MINIMA)),W240&gt;PN_TOPE_MINIMA,FALSE()),"El valor supera el tope de mínima cuantía 2027",IF(IF(AND(S240="Selección abreviada de menor cuantía",ISNUMBER(PN_TOPE_MENOR)),W240&gt;PN_TOPE_MENOR,FALSE()),"El valor supera el tope de menor cuantía 2027",IF(OR(ISERROR(SEARCH("@itc.edu.co",AE240)),SUMPRODUCT(--ISNUMBER(SEARCH({"á","é","í","ó","ú","ñ"," "},AE240)))&gt;0),"El correo del responsable no es institucional válido",IF(AND(AF240="Sí",AG240=""),"Indique el N.° de registro 2026 que continúa","OK")))))))))))))))))</f>
        <v/>
      </c>
      <c r="AK240" s="114">
        <f>IF(AJ240="OK",COUNTIF($AJ$7:AJ240,"OK"),"")</f>
        <v/>
      </c>
    </row>
    <row r="241">
      <c r="A241" s="110">
        <f>"PN27-"&amp;TEXT(ROW()-6,"000")</f>
        <v/>
      </c>
      <c r="B241" s="111" t="n"/>
      <c r="C241" s="110">
        <f>IF(B241="","",IFERROR(INDEX('Catalogos_PDN'!$R$5:$R$51,MATCH(B241,PN_AREAS,0)),""))</f>
        <v/>
      </c>
      <c r="D241" s="110">
        <f>IF(B241="","",IFERROR(INDEX('Catalogos_PDN'!$O$5:$O$51,MATCH(B241,PN_AREAS,0)),""))</f>
        <v/>
      </c>
      <c r="E241" s="111" t="n"/>
      <c r="F241" s="110">
        <f>IF(E241="","",IFERROR(INDEX('Catalogos_PDN'!$C$5:$C$49,MATCH(E241,PN_METAS,0)),""))</f>
        <v/>
      </c>
      <c r="G241" s="110">
        <f>IF(E241="","",IFERROR(INDEX('Catalogos_PDN'!$E$5:$E$49,MATCH(E241,PN_METAS,0)),""))</f>
        <v/>
      </c>
      <c r="H241" s="111" t="n"/>
      <c r="I241" s="111" t="n"/>
      <c r="J241" s="111" t="n"/>
      <c r="K241" s="111" t="n"/>
      <c r="L241" s="111" t="n"/>
      <c r="M241" s="112" t="n"/>
      <c r="N241" s="111" t="n"/>
      <c r="O241" s="111" t="n"/>
      <c r="P241" s="111" t="n"/>
      <c r="Q241" s="111" t="n"/>
      <c r="R241" s="111" t="n"/>
      <c r="S241" s="111" t="n"/>
      <c r="T241" s="111" t="n"/>
      <c r="U241" s="111" t="n"/>
      <c r="V241" s="111" t="n"/>
      <c r="W241" s="113" t="n"/>
      <c r="X241" s="113" t="n"/>
      <c r="Y241" s="111" t="n"/>
      <c r="Z241" s="111" t="n"/>
      <c r="AA241" s="111" t="n"/>
      <c r="AB241" s="111" t="n"/>
      <c r="AC241" s="111" t="n"/>
      <c r="AD241" s="111" t="n"/>
      <c r="AE241" s="111" t="n"/>
      <c r="AF241" s="111" t="n"/>
      <c r="AG241" s="111" t="n"/>
      <c r="AH241" s="111" t="n"/>
      <c r="AI241" s="111" t="n"/>
      <c r="AJ241" s="114">
        <f>IF(COUNTA(B241,E241,H241,I241,J241,K241,L241,M241,N241,O241,P241,Q241,R241,S241,T241,U241,V241,W241,X241,Y241,Z241,AA241,AB241,AC241,AD241,AE241,AF241,AG241,AH241,AI241)=0,"",IF(OR(B241="",E241="",H241="",J241="",K241="",L241="",M241="",O241="",P241="",Q241="",R241="",S241="",T241="",U241="",W241="",X241="",Y241="",AB241="",AC241="",AE241="",AF241=""),"Incompleta: faltan campos obligatorios",IF(AND(LEFT(H241,6)="PROPIA",I241=""),"Falta el nombre de la acción propia del área",IF(AND(LEFT(H241,4)="AC27",IFERROR(INDEX('Catalogos_PDN'!$T$5:$T$207,MATCH(H241,'Catalogos_PDN'!$U$5:$U$207,0)),"x")&lt;&gt;LEFT(E241,7)),"La acción no corresponde a la meta seleccionada",IF(OR(NOT(ISNUMBER(M241)),M241&lt;10000000,M241&gt;99999999),"Código UNSPSC inválido: registre 8 dígitos",IF(MOD(M241,10000)=0,"UNSPSC a nivel de segmento o familia: use clase o producto",IF(IFERROR(MATCH(P241,PN_MESES,0)&lt;MATCH(O241,PN_MESES,0),TRUE()),"El mes de ofertas es anterior al de inicio del proceso",IF(OR(NOT(ISNUMBER(Q241)),Q241&lt;=0),"Duración inválida",IF(OR(NOT(ISNUMBER(W241)),NOT(ISNUMBER(X241))),"Valor inválido: registre solo números",IF(OR(W241&lt;=0,X241&lt;=0),"Valor inválido: debe ser mayor que cero",IF(X241&gt;W241,"El valor de la vigencia 2027 supera el valor total",IF(AND(X241&lt;W241,Y241="No"),"El valor total supera el de 2027: requiere vigencias futuras",IF(AND(Y241="Sí",OR(Z241="",Z241="No aplica")),"Indique el estado de la solicitud de vigencias futuras",IF(IF(AND(S241="Mínima cuantía",ISNUMBER(PN_TOPE_MINIMA)),W241&gt;PN_TOPE_MINIMA,FALSE()),"El valor supera el tope de mínima cuantía 2027",IF(IF(AND(S241="Selección abreviada de menor cuantía",ISNUMBER(PN_TOPE_MENOR)),W241&gt;PN_TOPE_MENOR,FALSE()),"El valor supera el tope de menor cuantía 2027",IF(OR(ISERROR(SEARCH("@itc.edu.co",AE241)),SUMPRODUCT(--ISNUMBER(SEARCH({"á","é","í","ó","ú","ñ"," "},AE241)))&gt;0),"El correo del responsable no es institucional válido",IF(AND(AF241="Sí",AG241=""),"Indique el N.° de registro 2026 que continúa","OK")))))))))))))))))</f>
        <v/>
      </c>
      <c r="AK241" s="114">
        <f>IF(AJ241="OK",COUNTIF($AJ$7:AJ241,"OK"),"")</f>
        <v/>
      </c>
    </row>
    <row r="242">
      <c r="A242" s="110">
        <f>"PN27-"&amp;TEXT(ROW()-6,"000")</f>
        <v/>
      </c>
      <c r="B242" s="111" t="n"/>
      <c r="C242" s="110">
        <f>IF(B242="","",IFERROR(INDEX('Catalogos_PDN'!$R$5:$R$51,MATCH(B242,PN_AREAS,0)),""))</f>
        <v/>
      </c>
      <c r="D242" s="110">
        <f>IF(B242="","",IFERROR(INDEX('Catalogos_PDN'!$O$5:$O$51,MATCH(B242,PN_AREAS,0)),""))</f>
        <v/>
      </c>
      <c r="E242" s="111" t="n"/>
      <c r="F242" s="110">
        <f>IF(E242="","",IFERROR(INDEX('Catalogos_PDN'!$C$5:$C$49,MATCH(E242,PN_METAS,0)),""))</f>
        <v/>
      </c>
      <c r="G242" s="110">
        <f>IF(E242="","",IFERROR(INDEX('Catalogos_PDN'!$E$5:$E$49,MATCH(E242,PN_METAS,0)),""))</f>
        <v/>
      </c>
      <c r="H242" s="111" t="n"/>
      <c r="I242" s="111" t="n"/>
      <c r="J242" s="111" t="n"/>
      <c r="K242" s="111" t="n"/>
      <c r="L242" s="111" t="n"/>
      <c r="M242" s="112" t="n"/>
      <c r="N242" s="111" t="n"/>
      <c r="O242" s="111" t="n"/>
      <c r="P242" s="111" t="n"/>
      <c r="Q242" s="111" t="n"/>
      <c r="R242" s="111" t="n"/>
      <c r="S242" s="111" t="n"/>
      <c r="T242" s="111" t="n"/>
      <c r="U242" s="111" t="n"/>
      <c r="V242" s="111" t="n"/>
      <c r="W242" s="113" t="n"/>
      <c r="X242" s="113" t="n"/>
      <c r="Y242" s="111" t="n"/>
      <c r="Z242" s="111" t="n"/>
      <c r="AA242" s="111" t="n"/>
      <c r="AB242" s="111" t="n"/>
      <c r="AC242" s="111" t="n"/>
      <c r="AD242" s="111" t="n"/>
      <c r="AE242" s="111" t="n"/>
      <c r="AF242" s="111" t="n"/>
      <c r="AG242" s="111" t="n"/>
      <c r="AH242" s="111" t="n"/>
      <c r="AI242" s="111" t="n"/>
      <c r="AJ242" s="114">
        <f>IF(COUNTA(B242,E242,H242,I242,J242,K242,L242,M242,N242,O242,P242,Q242,R242,S242,T242,U242,V242,W242,X242,Y242,Z242,AA242,AB242,AC242,AD242,AE242,AF242,AG242,AH242,AI242)=0,"",IF(OR(B242="",E242="",H242="",J242="",K242="",L242="",M242="",O242="",P242="",Q242="",R242="",S242="",T242="",U242="",W242="",X242="",Y242="",AB242="",AC242="",AE242="",AF242=""),"Incompleta: faltan campos obligatorios",IF(AND(LEFT(H242,6)="PROPIA",I242=""),"Falta el nombre de la acción propia del área",IF(AND(LEFT(H242,4)="AC27",IFERROR(INDEX('Catalogos_PDN'!$T$5:$T$207,MATCH(H242,'Catalogos_PDN'!$U$5:$U$207,0)),"x")&lt;&gt;LEFT(E242,7)),"La acción no corresponde a la meta seleccionada",IF(OR(NOT(ISNUMBER(M242)),M242&lt;10000000,M242&gt;99999999),"Código UNSPSC inválido: registre 8 dígitos",IF(MOD(M242,10000)=0,"UNSPSC a nivel de segmento o familia: use clase o producto",IF(IFERROR(MATCH(P242,PN_MESES,0)&lt;MATCH(O242,PN_MESES,0),TRUE()),"El mes de ofertas es anterior al de inicio del proceso",IF(OR(NOT(ISNUMBER(Q242)),Q242&lt;=0),"Duración inválida",IF(OR(NOT(ISNUMBER(W242)),NOT(ISNUMBER(X242))),"Valor inválido: registre solo números",IF(OR(W242&lt;=0,X242&lt;=0),"Valor inválido: debe ser mayor que cero",IF(X242&gt;W242,"El valor de la vigencia 2027 supera el valor total",IF(AND(X242&lt;W242,Y242="No"),"El valor total supera el de 2027: requiere vigencias futuras",IF(AND(Y242="Sí",OR(Z242="",Z242="No aplica")),"Indique el estado de la solicitud de vigencias futuras",IF(IF(AND(S242="Mínima cuantía",ISNUMBER(PN_TOPE_MINIMA)),W242&gt;PN_TOPE_MINIMA,FALSE()),"El valor supera el tope de mínima cuantía 2027",IF(IF(AND(S242="Selección abreviada de menor cuantía",ISNUMBER(PN_TOPE_MENOR)),W242&gt;PN_TOPE_MENOR,FALSE()),"El valor supera el tope de menor cuantía 2027",IF(OR(ISERROR(SEARCH("@itc.edu.co",AE242)),SUMPRODUCT(--ISNUMBER(SEARCH({"á","é","í","ó","ú","ñ"," "},AE242)))&gt;0),"El correo del responsable no es institucional válido",IF(AND(AF242="Sí",AG242=""),"Indique el N.° de registro 2026 que continúa","OK")))))))))))))))))</f>
        <v/>
      </c>
      <c r="AK242" s="114">
        <f>IF(AJ242="OK",COUNTIF($AJ$7:AJ242,"OK"),"")</f>
        <v/>
      </c>
    </row>
    <row r="243">
      <c r="A243" s="110">
        <f>"PN27-"&amp;TEXT(ROW()-6,"000")</f>
        <v/>
      </c>
      <c r="B243" s="111" t="n"/>
      <c r="C243" s="110">
        <f>IF(B243="","",IFERROR(INDEX('Catalogos_PDN'!$R$5:$R$51,MATCH(B243,PN_AREAS,0)),""))</f>
        <v/>
      </c>
      <c r="D243" s="110">
        <f>IF(B243="","",IFERROR(INDEX('Catalogos_PDN'!$O$5:$O$51,MATCH(B243,PN_AREAS,0)),""))</f>
        <v/>
      </c>
      <c r="E243" s="111" t="n"/>
      <c r="F243" s="110">
        <f>IF(E243="","",IFERROR(INDEX('Catalogos_PDN'!$C$5:$C$49,MATCH(E243,PN_METAS,0)),""))</f>
        <v/>
      </c>
      <c r="G243" s="110">
        <f>IF(E243="","",IFERROR(INDEX('Catalogos_PDN'!$E$5:$E$49,MATCH(E243,PN_METAS,0)),""))</f>
        <v/>
      </c>
      <c r="H243" s="111" t="n"/>
      <c r="I243" s="111" t="n"/>
      <c r="J243" s="111" t="n"/>
      <c r="K243" s="111" t="n"/>
      <c r="L243" s="111" t="n"/>
      <c r="M243" s="112" t="n"/>
      <c r="N243" s="111" t="n"/>
      <c r="O243" s="111" t="n"/>
      <c r="P243" s="111" t="n"/>
      <c r="Q243" s="111" t="n"/>
      <c r="R243" s="111" t="n"/>
      <c r="S243" s="111" t="n"/>
      <c r="T243" s="111" t="n"/>
      <c r="U243" s="111" t="n"/>
      <c r="V243" s="111" t="n"/>
      <c r="W243" s="113" t="n"/>
      <c r="X243" s="113" t="n"/>
      <c r="Y243" s="111" t="n"/>
      <c r="Z243" s="111" t="n"/>
      <c r="AA243" s="111" t="n"/>
      <c r="AB243" s="111" t="n"/>
      <c r="AC243" s="111" t="n"/>
      <c r="AD243" s="111" t="n"/>
      <c r="AE243" s="111" t="n"/>
      <c r="AF243" s="111" t="n"/>
      <c r="AG243" s="111" t="n"/>
      <c r="AH243" s="111" t="n"/>
      <c r="AI243" s="111" t="n"/>
      <c r="AJ243" s="114">
        <f>IF(COUNTA(B243,E243,H243,I243,J243,K243,L243,M243,N243,O243,P243,Q243,R243,S243,T243,U243,V243,W243,X243,Y243,Z243,AA243,AB243,AC243,AD243,AE243,AF243,AG243,AH243,AI243)=0,"",IF(OR(B243="",E243="",H243="",J243="",K243="",L243="",M243="",O243="",P243="",Q243="",R243="",S243="",T243="",U243="",W243="",X243="",Y243="",AB243="",AC243="",AE243="",AF243=""),"Incompleta: faltan campos obligatorios",IF(AND(LEFT(H243,6)="PROPIA",I243=""),"Falta el nombre de la acción propia del área",IF(AND(LEFT(H243,4)="AC27",IFERROR(INDEX('Catalogos_PDN'!$T$5:$T$207,MATCH(H243,'Catalogos_PDN'!$U$5:$U$207,0)),"x")&lt;&gt;LEFT(E243,7)),"La acción no corresponde a la meta seleccionada",IF(OR(NOT(ISNUMBER(M243)),M243&lt;10000000,M243&gt;99999999),"Código UNSPSC inválido: registre 8 dígitos",IF(MOD(M243,10000)=0,"UNSPSC a nivel de segmento o familia: use clase o producto",IF(IFERROR(MATCH(P243,PN_MESES,0)&lt;MATCH(O243,PN_MESES,0),TRUE()),"El mes de ofertas es anterior al de inicio del proceso",IF(OR(NOT(ISNUMBER(Q243)),Q243&lt;=0),"Duración inválida",IF(OR(NOT(ISNUMBER(W243)),NOT(ISNUMBER(X243))),"Valor inválido: registre solo números",IF(OR(W243&lt;=0,X243&lt;=0),"Valor inválido: debe ser mayor que cero",IF(X243&gt;W243,"El valor de la vigencia 2027 supera el valor total",IF(AND(X243&lt;W243,Y243="No"),"El valor total supera el de 2027: requiere vigencias futuras",IF(AND(Y243="Sí",OR(Z243="",Z243="No aplica")),"Indique el estado de la solicitud de vigencias futuras",IF(IF(AND(S243="Mínima cuantía",ISNUMBER(PN_TOPE_MINIMA)),W243&gt;PN_TOPE_MINIMA,FALSE()),"El valor supera el tope de mínima cuantía 2027",IF(IF(AND(S243="Selección abreviada de menor cuantía",ISNUMBER(PN_TOPE_MENOR)),W243&gt;PN_TOPE_MENOR,FALSE()),"El valor supera el tope de menor cuantía 2027",IF(OR(ISERROR(SEARCH("@itc.edu.co",AE243)),SUMPRODUCT(--ISNUMBER(SEARCH({"á","é","í","ó","ú","ñ"," "},AE243)))&gt;0),"El correo del responsable no es institucional válido",IF(AND(AF243="Sí",AG243=""),"Indique el N.° de registro 2026 que continúa","OK")))))))))))))))))</f>
        <v/>
      </c>
      <c r="AK243" s="114">
        <f>IF(AJ243="OK",COUNTIF($AJ$7:AJ243,"OK"),"")</f>
        <v/>
      </c>
    </row>
    <row r="244">
      <c r="A244" s="110">
        <f>"PN27-"&amp;TEXT(ROW()-6,"000")</f>
        <v/>
      </c>
      <c r="B244" s="111" t="n"/>
      <c r="C244" s="110">
        <f>IF(B244="","",IFERROR(INDEX('Catalogos_PDN'!$R$5:$R$51,MATCH(B244,PN_AREAS,0)),""))</f>
        <v/>
      </c>
      <c r="D244" s="110">
        <f>IF(B244="","",IFERROR(INDEX('Catalogos_PDN'!$O$5:$O$51,MATCH(B244,PN_AREAS,0)),""))</f>
        <v/>
      </c>
      <c r="E244" s="111" t="n"/>
      <c r="F244" s="110">
        <f>IF(E244="","",IFERROR(INDEX('Catalogos_PDN'!$C$5:$C$49,MATCH(E244,PN_METAS,0)),""))</f>
        <v/>
      </c>
      <c r="G244" s="110">
        <f>IF(E244="","",IFERROR(INDEX('Catalogos_PDN'!$E$5:$E$49,MATCH(E244,PN_METAS,0)),""))</f>
        <v/>
      </c>
      <c r="H244" s="111" t="n"/>
      <c r="I244" s="111" t="n"/>
      <c r="J244" s="111" t="n"/>
      <c r="K244" s="111" t="n"/>
      <c r="L244" s="111" t="n"/>
      <c r="M244" s="112" t="n"/>
      <c r="N244" s="111" t="n"/>
      <c r="O244" s="111" t="n"/>
      <c r="P244" s="111" t="n"/>
      <c r="Q244" s="111" t="n"/>
      <c r="R244" s="111" t="n"/>
      <c r="S244" s="111" t="n"/>
      <c r="T244" s="111" t="n"/>
      <c r="U244" s="111" t="n"/>
      <c r="V244" s="111" t="n"/>
      <c r="W244" s="113" t="n"/>
      <c r="X244" s="113" t="n"/>
      <c r="Y244" s="111" t="n"/>
      <c r="Z244" s="111" t="n"/>
      <c r="AA244" s="111" t="n"/>
      <c r="AB244" s="111" t="n"/>
      <c r="AC244" s="111" t="n"/>
      <c r="AD244" s="111" t="n"/>
      <c r="AE244" s="111" t="n"/>
      <c r="AF244" s="111" t="n"/>
      <c r="AG244" s="111" t="n"/>
      <c r="AH244" s="111" t="n"/>
      <c r="AI244" s="111" t="n"/>
      <c r="AJ244" s="114">
        <f>IF(COUNTA(B244,E244,H244,I244,J244,K244,L244,M244,N244,O244,P244,Q244,R244,S244,T244,U244,V244,W244,X244,Y244,Z244,AA244,AB244,AC244,AD244,AE244,AF244,AG244,AH244,AI244)=0,"",IF(OR(B244="",E244="",H244="",J244="",K244="",L244="",M244="",O244="",P244="",Q244="",R244="",S244="",T244="",U244="",W244="",X244="",Y244="",AB244="",AC244="",AE244="",AF244=""),"Incompleta: faltan campos obligatorios",IF(AND(LEFT(H244,6)="PROPIA",I244=""),"Falta el nombre de la acción propia del área",IF(AND(LEFT(H244,4)="AC27",IFERROR(INDEX('Catalogos_PDN'!$T$5:$T$207,MATCH(H244,'Catalogos_PDN'!$U$5:$U$207,0)),"x")&lt;&gt;LEFT(E244,7)),"La acción no corresponde a la meta seleccionada",IF(OR(NOT(ISNUMBER(M244)),M244&lt;10000000,M244&gt;99999999),"Código UNSPSC inválido: registre 8 dígitos",IF(MOD(M244,10000)=0,"UNSPSC a nivel de segmento o familia: use clase o producto",IF(IFERROR(MATCH(P244,PN_MESES,0)&lt;MATCH(O244,PN_MESES,0),TRUE()),"El mes de ofertas es anterior al de inicio del proceso",IF(OR(NOT(ISNUMBER(Q244)),Q244&lt;=0),"Duración inválida",IF(OR(NOT(ISNUMBER(W244)),NOT(ISNUMBER(X244))),"Valor inválido: registre solo números",IF(OR(W244&lt;=0,X244&lt;=0),"Valor inválido: debe ser mayor que cero",IF(X244&gt;W244,"El valor de la vigencia 2027 supera el valor total",IF(AND(X244&lt;W244,Y244="No"),"El valor total supera el de 2027: requiere vigencias futuras",IF(AND(Y244="Sí",OR(Z244="",Z244="No aplica")),"Indique el estado de la solicitud de vigencias futuras",IF(IF(AND(S244="Mínima cuantía",ISNUMBER(PN_TOPE_MINIMA)),W244&gt;PN_TOPE_MINIMA,FALSE()),"El valor supera el tope de mínima cuantía 2027",IF(IF(AND(S244="Selección abreviada de menor cuantía",ISNUMBER(PN_TOPE_MENOR)),W244&gt;PN_TOPE_MENOR,FALSE()),"El valor supera el tope de menor cuantía 2027",IF(OR(ISERROR(SEARCH("@itc.edu.co",AE244)),SUMPRODUCT(--ISNUMBER(SEARCH({"á","é","í","ó","ú","ñ"," "},AE244)))&gt;0),"El correo del responsable no es institucional válido",IF(AND(AF244="Sí",AG244=""),"Indique el N.° de registro 2026 que continúa","OK")))))))))))))))))</f>
        <v/>
      </c>
      <c r="AK244" s="114">
        <f>IF(AJ244="OK",COUNTIF($AJ$7:AJ244,"OK"),"")</f>
        <v/>
      </c>
    </row>
    <row r="245">
      <c r="A245" s="110">
        <f>"PN27-"&amp;TEXT(ROW()-6,"000")</f>
        <v/>
      </c>
      <c r="B245" s="111" t="n"/>
      <c r="C245" s="110">
        <f>IF(B245="","",IFERROR(INDEX('Catalogos_PDN'!$R$5:$R$51,MATCH(B245,PN_AREAS,0)),""))</f>
        <v/>
      </c>
      <c r="D245" s="110">
        <f>IF(B245="","",IFERROR(INDEX('Catalogos_PDN'!$O$5:$O$51,MATCH(B245,PN_AREAS,0)),""))</f>
        <v/>
      </c>
      <c r="E245" s="111" t="n"/>
      <c r="F245" s="110">
        <f>IF(E245="","",IFERROR(INDEX('Catalogos_PDN'!$C$5:$C$49,MATCH(E245,PN_METAS,0)),""))</f>
        <v/>
      </c>
      <c r="G245" s="110">
        <f>IF(E245="","",IFERROR(INDEX('Catalogos_PDN'!$E$5:$E$49,MATCH(E245,PN_METAS,0)),""))</f>
        <v/>
      </c>
      <c r="H245" s="111" t="n"/>
      <c r="I245" s="111" t="n"/>
      <c r="J245" s="111" t="n"/>
      <c r="K245" s="111" t="n"/>
      <c r="L245" s="111" t="n"/>
      <c r="M245" s="112" t="n"/>
      <c r="N245" s="111" t="n"/>
      <c r="O245" s="111" t="n"/>
      <c r="P245" s="111" t="n"/>
      <c r="Q245" s="111" t="n"/>
      <c r="R245" s="111" t="n"/>
      <c r="S245" s="111" t="n"/>
      <c r="T245" s="111" t="n"/>
      <c r="U245" s="111" t="n"/>
      <c r="V245" s="111" t="n"/>
      <c r="W245" s="113" t="n"/>
      <c r="X245" s="113" t="n"/>
      <c r="Y245" s="111" t="n"/>
      <c r="Z245" s="111" t="n"/>
      <c r="AA245" s="111" t="n"/>
      <c r="AB245" s="111" t="n"/>
      <c r="AC245" s="111" t="n"/>
      <c r="AD245" s="111" t="n"/>
      <c r="AE245" s="111" t="n"/>
      <c r="AF245" s="111" t="n"/>
      <c r="AG245" s="111" t="n"/>
      <c r="AH245" s="111" t="n"/>
      <c r="AI245" s="111" t="n"/>
      <c r="AJ245" s="114">
        <f>IF(COUNTA(B245,E245,H245,I245,J245,K245,L245,M245,N245,O245,P245,Q245,R245,S245,T245,U245,V245,W245,X245,Y245,Z245,AA245,AB245,AC245,AD245,AE245,AF245,AG245,AH245,AI245)=0,"",IF(OR(B245="",E245="",H245="",J245="",K245="",L245="",M245="",O245="",P245="",Q245="",R245="",S245="",T245="",U245="",W245="",X245="",Y245="",AB245="",AC245="",AE245="",AF245=""),"Incompleta: faltan campos obligatorios",IF(AND(LEFT(H245,6)="PROPIA",I245=""),"Falta el nombre de la acción propia del área",IF(AND(LEFT(H245,4)="AC27",IFERROR(INDEX('Catalogos_PDN'!$T$5:$T$207,MATCH(H245,'Catalogos_PDN'!$U$5:$U$207,0)),"x")&lt;&gt;LEFT(E245,7)),"La acción no corresponde a la meta seleccionada",IF(OR(NOT(ISNUMBER(M245)),M245&lt;10000000,M245&gt;99999999),"Código UNSPSC inválido: registre 8 dígitos",IF(MOD(M245,10000)=0,"UNSPSC a nivel de segmento o familia: use clase o producto",IF(IFERROR(MATCH(P245,PN_MESES,0)&lt;MATCH(O245,PN_MESES,0),TRUE()),"El mes de ofertas es anterior al de inicio del proceso",IF(OR(NOT(ISNUMBER(Q245)),Q245&lt;=0),"Duración inválida",IF(OR(NOT(ISNUMBER(W245)),NOT(ISNUMBER(X245))),"Valor inválido: registre solo números",IF(OR(W245&lt;=0,X245&lt;=0),"Valor inválido: debe ser mayor que cero",IF(X245&gt;W245,"El valor de la vigencia 2027 supera el valor total",IF(AND(X245&lt;W245,Y245="No"),"El valor total supera el de 2027: requiere vigencias futuras",IF(AND(Y245="Sí",OR(Z245="",Z245="No aplica")),"Indique el estado de la solicitud de vigencias futuras",IF(IF(AND(S245="Mínima cuantía",ISNUMBER(PN_TOPE_MINIMA)),W245&gt;PN_TOPE_MINIMA,FALSE()),"El valor supera el tope de mínima cuantía 2027",IF(IF(AND(S245="Selección abreviada de menor cuantía",ISNUMBER(PN_TOPE_MENOR)),W245&gt;PN_TOPE_MENOR,FALSE()),"El valor supera el tope de menor cuantía 2027",IF(OR(ISERROR(SEARCH("@itc.edu.co",AE245)),SUMPRODUCT(--ISNUMBER(SEARCH({"á","é","í","ó","ú","ñ"," "},AE245)))&gt;0),"El correo del responsable no es institucional válido",IF(AND(AF245="Sí",AG245=""),"Indique el N.° de registro 2026 que continúa","OK")))))))))))))))))</f>
        <v/>
      </c>
      <c r="AK245" s="114">
        <f>IF(AJ245="OK",COUNTIF($AJ$7:AJ245,"OK"),"")</f>
        <v/>
      </c>
    </row>
    <row r="246">
      <c r="A246" s="110">
        <f>"PN27-"&amp;TEXT(ROW()-6,"000")</f>
        <v/>
      </c>
      <c r="B246" s="111" t="n"/>
      <c r="C246" s="110">
        <f>IF(B246="","",IFERROR(INDEX('Catalogos_PDN'!$R$5:$R$51,MATCH(B246,PN_AREAS,0)),""))</f>
        <v/>
      </c>
      <c r="D246" s="110">
        <f>IF(B246="","",IFERROR(INDEX('Catalogos_PDN'!$O$5:$O$51,MATCH(B246,PN_AREAS,0)),""))</f>
        <v/>
      </c>
      <c r="E246" s="111" t="n"/>
      <c r="F246" s="110">
        <f>IF(E246="","",IFERROR(INDEX('Catalogos_PDN'!$C$5:$C$49,MATCH(E246,PN_METAS,0)),""))</f>
        <v/>
      </c>
      <c r="G246" s="110">
        <f>IF(E246="","",IFERROR(INDEX('Catalogos_PDN'!$E$5:$E$49,MATCH(E246,PN_METAS,0)),""))</f>
        <v/>
      </c>
      <c r="H246" s="111" t="n"/>
      <c r="I246" s="111" t="n"/>
      <c r="J246" s="111" t="n"/>
      <c r="K246" s="111" t="n"/>
      <c r="L246" s="111" t="n"/>
      <c r="M246" s="112" t="n"/>
      <c r="N246" s="111" t="n"/>
      <c r="O246" s="111" t="n"/>
      <c r="P246" s="111" t="n"/>
      <c r="Q246" s="111" t="n"/>
      <c r="R246" s="111" t="n"/>
      <c r="S246" s="111" t="n"/>
      <c r="T246" s="111" t="n"/>
      <c r="U246" s="111" t="n"/>
      <c r="V246" s="111" t="n"/>
      <c r="W246" s="113" t="n"/>
      <c r="X246" s="113" t="n"/>
      <c r="Y246" s="111" t="n"/>
      <c r="Z246" s="111" t="n"/>
      <c r="AA246" s="111" t="n"/>
      <c r="AB246" s="111" t="n"/>
      <c r="AC246" s="111" t="n"/>
      <c r="AD246" s="111" t="n"/>
      <c r="AE246" s="111" t="n"/>
      <c r="AF246" s="111" t="n"/>
      <c r="AG246" s="111" t="n"/>
      <c r="AH246" s="111" t="n"/>
      <c r="AI246" s="111" t="n"/>
      <c r="AJ246" s="114">
        <f>IF(COUNTA(B246,E246,H246,I246,J246,K246,L246,M246,N246,O246,P246,Q246,R246,S246,T246,U246,V246,W246,X246,Y246,Z246,AA246,AB246,AC246,AD246,AE246,AF246,AG246,AH246,AI246)=0,"",IF(OR(B246="",E246="",H246="",J246="",K246="",L246="",M246="",O246="",P246="",Q246="",R246="",S246="",T246="",U246="",W246="",X246="",Y246="",AB246="",AC246="",AE246="",AF246=""),"Incompleta: faltan campos obligatorios",IF(AND(LEFT(H246,6)="PROPIA",I246=""),"Falta el nombre de la acción propia del área",IF(AND(LEFT(H246,4)="AC27",IFERROR(INDEX('Catalogos_PDN'!$T$5:$T$207,MATCH(H246,'Catalogos_PDN'!$U$5:$U$207,0)),"x")&lt;&gt;LEFT(E246,7)),"La acción no corresponde a la meta seleccionada",IF(OR(NOT(ISNUMBER(M246)),M246&lt;10000000,M246&gt;99999999),"Código UNSPSC inválido: registre 8 dígitos",IF(MOD(M246,10000)=0,"UNSPSC a nivel de segmento o familia: use clase o producto",IF(IFERROR(MATCH(P246,PN_MESES,0)&lt;MATCH(O246,PN_MESES,0),TRUE()),"El mes de ofertas es anterior al de inicio del proceso",IF(OR(NOT(ISNUMBER(Q246)),Q246&lt;=0),"Duración inválida",IF(OR(NOT(ISNUMBER(W246)),NOT(ISNUMBER(X246))),"Valor inválido: registre solo números",IF(OR(W246&lt;=0,X246&lt;=0),"Valor inválido: debe ser mayor que cero",IF(X246&gt;W246,"El valor de la vigencia 2027 supera el valor total",IF(AND(X246&lt;W246,Y246="No"),"El valor total supera el de 2027: requiere vigencias futuras",IF(AND(Y246="Sí",OR(Z246="",Z246="No aplica")),"Indique el estado de la solicitud de vigencias futuras",IF(IF(AND(S246="Mínima cuantía",ISNUMBER(PN_TOPE_MINIMA)),W246&gt;PN_TOPE_MINIMA,FALSE()),"El valor supera el tope de mínima cuantía 2027",IF(IF(AND(S246="Selección abreviada de menor cuantía",ISNUMBER(PN_TOPE_MENOR)),W246&gt;PN_TOPE_MENOR,FALSE()),"El valor supera el tope de menor cuantía 2027",IF(OR(ISERROR(SEARCH("@itc.edu.co",AE246)),SUMPRODUCT(--ISNUMBER(SEARCH({"á","é","í","ó","ú","ñ"," "},AE246)))&gt;0),"El correo del responsable no es institucional válido",IF(AND(AF246="Sí",AG246=""),"Indique el N.° de registro 2026 que continúa","OK")))))))))))))))))</f>
        <v/>
      </c>
      <c r="AK246" s="114">
        <f>IF(AJ246="OK",COUNTIF($AJ$7:AJ246,"OK"),"")</f>
        <v/>
      </c>
    </row>
    <row r="247">
      <c r="A247" s="110">
        <f>"PN27-"&amp;TEXT(ROW()-6,"000")</f>
        <v/>
      </c>
      <c r="B247" s="111" t="n"/>
      <c r="C247" s="110">
        <f>IF(B247="","",IFERROR(INDEX('Catalogos_PDN'!$R$5:$R$51,MATCH(B247,PN_AREAS,0)),""))</f>
        <v/>
      </c>
      <c r="D247" s="110">
        <f>IF(B247="","",IFERROR(INDEX('Catalogos_PDN'!$O$5:$O$51,MATCH(B247,PN_AREAS,0)),""))</f>
        <v/>
      </c>
      <c r="E247" s="111" t="n"/>
      <c r="F247" s="110">
        <f>IF(E247="","",IFERROR(INDEX('Catalogos_PDN'!$C$5:$C$49,MATCH(E247,PN_METAS,0)),""))</f>
        <v/>
      </c>
      <c r="G247" s="110">
        <f>IF(E247="","",IFERROR(INDEX('Catalogos_PDN'!$E$5:$E$49,MATCH(E247,PN_METAS,0)),""))</f>
        <v/>
      </c>
      <c r="H247" s="111" t="n"/>
      <c r="I247" s="111" t="n"/>
      <c r="J247" s="111" t="n"/>
      <c r="K247" s="111" t="n"/>
      <c r="L247" s="111" t="n"/>
      <c r="M247" s="112" t="n"/>
      <c r="N247" s="111" t="n"/>
      <c r="O247" s="111" t="n"/>
      <c r="P247" s="111" t="n"/>
      <c r="Q247" s="111" t="n"/>
      <c r="R247" s="111" t="n"/>
      <c r="S247" s="111" t="n"/>
      <c r="T247" s="111" t="n"/>
      <c r="U247" s="111" t="n"/>
      <c r="V247" s="111" t="n"/>
      <c r="W247" s="113" t="n"/>
      <c r="X247" s="113" t="n"/>
      <c r="Y247" s="111" t="n"/>
      <c r="Z247" s="111" t="n"/>
      <c r="AA247" s="111" t="n"/>
      <c r="AB247" s="111" t="n"/>
      <c r="AC247" s="111" t="n"/>
      <c r="AD247" s="111" t="n"/>
      <c r="AE247" s="111" t="n"/>
      <c r="AF247" s="111" t="n"/>
      <c r="AG247" s="111" t="n"/>
      <c r="AH247" s="111" t="n"/>
      <c r="AI247" s="111" t="n"/>
      <c r="AJ247" s="114">
        <f>IF(COUNTA(B247,E247,H247,I247,J247,K247,L247,M247,N247,O247,P247,Q247,R247,S247,T247,U247,V247,W247,X247,Y247,Z247,AA247,AB247,AC247,AD247,AE247,AF247,AG247,AH247,AI247)=0,"",IF(OR(B247="",E247="",H247="",J247="",K247="",L247="",M247="",O247="",P247="",Q247="",R247="",S247="",T247="",U247="",W247="",X247="",Y247="",AB247="",AC247="",AE247="",AF247=""),"Incompleta: faltan campos obligatorios",IF(AND(LEFT(H247,6)="PROPIA",I247=""),"Falta el nombre de la acción propia del área",IF(AND(LEFT(H247,4)="AC27",IFERROR(INDEX('Catalogos_PDN'!$T$5:$T$207,MATCH(H247,'Catalogos_PDN'!$U$5:$U$207,0)),"x")&lt;&gt;LEFT(E247,7)),"La acción no corresponde a la meta seleccionada",IF(OR(NOT(ISNUMBER(M247)),M247&lt;10000000,M247&gt;99999999),"Código UNSPSC inválido: registre 8 dígitos",IF(MOD(M247,10000)=0,"UNSPSC a nivel de segmento o familia: use clase o producto",IF(IFERROR(MATCH(P247,PN_MESES,0)&lt;MATCH(O247,PN_MESES,0),TRUE()),"El mes de ofertas es anterior al de inicio del proceso",IF(OR(NOT(ISNUMBER(Q247)),Q247&lt;=0),"Duración inválida",IF(OR(NOT(ISNUMBER(W247)),NOT(ISNUMBER(X247))),"Valor inválido: registre solo números",IF(OR(W247&lt;=0,X247&lt;=0),"Valor inválido: debe ser mayor que cero",IF(X247&gt;W247,"El valor de la vigencia 2027 supera el valor total",IF(AND(X247&lt;W247,Y247="No"),"El valor total supera el de 2027: requiere vigencias futuras",IF(AND(Y247="Sí",OR(Z247="",Z247="No aplica")),"Indique el estado de la solicitud de vigencias futuras",IF(IF(AND(S247="Mínima cuantía",ISNUMBER(PN_TOPE_MINIMA)),W247&gt;PN_TOPE_MINIMA,FALSE()),"El valor supera el tope de mínima cuantía 2027",IF(IF(AND(S247="Selección abreviada de menor cuantía",ISNUMBER(PN_TOPE_MENOR)),W247&gt;PN_TOPE_MENOR,FALSE()),"El valor supera el tope de menor cuantía 2027",IF(OR(ISERROR(SEARCH("@itc.edu.co",AE247)),SUMPRODUCT(--ISNUMBER(SEARCH({"á","é","í","ó","ú","ñ"," "},AE247)))&gt;0),"El correo del responsable no es institucional válido",IF(AND(AF247="Sí",AG247=""),"Indique el N.° de registro 2026 que continúa","OK")))))))))))))))))</f>
        <v/>
      </c>
      <c r="AK247" s="114">
        <f>IF(AJ247="OK",COUNTIF($AJ$7:AJ247,"OK"),"")</f>
        <v/>
      </c>
    </row>
    <row r="248">
      <c r="A248" s="110">
        <f>"PN27-"&amp;TEXT(ROW()-6,"000")</f>
        <v/>
      </c>
      <c r="B248" s="111" t="n"/>
      <c r="C248" s="110">
        <f>IF(B248="","",IFERROR(INDEX('Catalogos_PDN'!$R$5:$R$51,MATCH(B248,PN_AREAS,0)),""))</f>
        <v/>
      </c>
      <c r="D248" s="110">
        <f>IF(B248="","",IFERROR(INDEX('Catalogos_PDN'!$O$5:$O$51,MATCH(B248,PN_AREAS,0)),""))</f>
        <v/>
      </c>
      <c r="E248" s="111" t="n"/>
      <c r="F248" s="110">
        <f>IF(E248="","",IFERROR(INDEX('Catalogos_PDN'!$C$5:$C$49,MATCH(E248,PN_METAS,0)),""))</f>
        <v/>
      </c>
      <c r="G248" s="110">
        <f>IF(E248="","",IFERROR(INDEX('Catalogos_PDN'!$E$5:$E$49,MATCH(E248,PN_METAS,0)),""))</f>
        <v/>
      </c>
      <c r="H248" s="111" t="n"/>
      <c r="I248" s="111" t="n"/>
      <c r="J248" s="111" t="n"/>
      <c r="K248" s="111" t="n"/>
      <c r="L248" s="111" t="n"/>
      <c r="M248" s="112" t="n"/>
      <c r="N248" s="111" t="n"/>
      <c r="O248" s="111" t="n"/>
      <c r="P248" s="111" t="n"/>
      <c r="Q248" s="111" t="n"/>
      <c r="R248" s="111" t="n"/>
      <c r="S248" s="111" t="n"/>
      <c r="T248" s="111" t="n"/>
      <c r="U248" s="111" t="n"/>
      <c r="V248" s="111" t="n"/>
      <c r="W248" s="113" t="n"/>
      <c r="X248" s="113" t="n"/>
      <c r="Y248" s="111" t="n"/>
      <c r="Z248" s="111" t="n"/>
      <c r="AA248" s="111" t="n"/>
      <c r="AB248" s="111" t="n"/>
      <c r="AC248" s="111" t="n"/>
      <c r="AD248" s="111" t="n"/>
      <c r="AE248" s="111" t="n"/>
      <c r="AF248" s="111" t="n"/>
      <c r="AG248" s="111" t="n"/>
      <c r="AH248" s="111" t="n"/>
      <c r="AI248" s="111" t="n"/>
      <c r="AJ248" s="114">
        <f>IF(COUNTA(B248,E248,H248,I248,J248,K248,L248,M248,N248,O248,P248,Q248,R248,S248,T248,U248,V248,W248,X248,Y248,Z248,AA248,AB248,AC248,AD248,AE248,AF248,AG248,AH248,AI248)=0,"",IF(OR(B248="",E248="",H248="",J248="",K248="",L248="",M248="",O248="",P248="",Q248="",R248="",S248="",T248="",U248="",W248="",X248="",Y248="",AB248="",AC248="",AE248="",AF248=""),"Incompleta: faltan campos obligatorios",IF(AND(LEFT(H248,6)="PROPIA",I248=""),"Falta el nombre de la acción propia del área",IF(AND(LEFT(H248,4)="AC27",IFERROR(INDEX('Catalogos_PDN'!$T$5:$T$207,MATCH(H248,'Catalogos_PDN'!$U$5:$U$207,0)),"x")&lt;&gt;LEFT(E248,7)),"La acción no corresponde a la meta seleccionada",IF(OR(NOT(ISNUMBER(M248)),M248&lt;10000000,M248&gt;99999999),"Código UNSPSC inválido: registre 8 dígitos",IF(MOD(M248,10000)=0,"UNSPSC a nivel de segmento o familia: use clase o producto",IF(IFERROR(MATCH(P248,PN_MESES,0)&lt;MATCH(O248,PN_MESES,0),TRUE()),"El mes de ofertas es anterior al de inicio del proceso",IF(OR(NOT(ISNUMBER(Q248)),Q248&lt;=0),"Duración inválida",IF(OR(NOT(ISNUMBER(W248)),NOT(ISNUMBER(X248))),"Valor inválido: registre solo números",IF(OR(W248&lt;=0,X248&lt;=0),"Valor inválido: debe ser mayor que cero",IF(X248&gt;W248,"El valor de la vigencia 2027 supera el valor total",IF(AND(X248&lt;W248,Y248="No"),"El valor total supera el de 2027: requiere vigencias futuras",IF(AND(Y248="Sí",OR(Z248="",Z248="No aplica")),"Indique el estado de la solicitud de vigencias futuras",IF(IF(AND(S248="Mínima cuantía",ISNUMBER(PN_TOPE_MINIMA)),W248&gt;PN_TOPE_MINIMA,FALSE()),"El valor supera el tope de mínima cuantía 2027",IF(IF(AND(S248="Selección abreviada de menor cuantía",ISNUMBER(PN_TOPE_MENOR)),W248&gt;PN_TOPE_MENOR,FALSE()),"El valor supera el tope de menor cuantía 2027",IF(OR(ISERROR(SEARCH("@itc.edu.co",AE248)),SUMPRODUCT(--ISNUMBER(SEARCH({"á","é","í","ó","ú","ñ"," "},AE248)))&gt;0),"El correo del responsable no es institucional válido",IF(AND(AF248="Sí",AG248=""),"Indique el N.° de registro 2026 que continúa","OK")))))))))))))))))</f>
        <v/>
      </c>
      <c r="AK248" s="114">
        <f>IF(AJ248="OK",COUNTIF($AJ$7:AJ248,"OK"),"")</f>
        <v/>
      </c>
    </row>
    <row r="249">
      <c r="A249" s="110">
        <f>"PN27-"&amp;TEXT(ROW()-6,"000")</f>
        <v/>
      </c>
      <c r="B249" s="111" t="n"/>
      <c r="C249" s="110">
        <f>IF(B249="","",IFERROR(INDEX('Catalogos_PDN'!$R$5:$R$51,MATCH(B249,PN_AREAS,0)),""))</f>
        <v/>
      </c>
      <c r="D249" s="110">
        <f>IF(B249="","",IFERROR(INDEX('Catalogos_PDN'!$O$5:$O$51,MATCH(B249,PN_AREAS,0)),""))</f>
        <v/>
      </c>
      <c r="E249" s="111" t="n"/>
      <c r="F249" s="110">
        <f>IF(E249="","",IFERROR(INDEX('Catalogos_PDN'!$C$5:$C$49,MATCH(E249,PN_METAS,0)),""))</f>
        <v/>
      </c>
      <c r="G249" s="110">
        <f>IF(E249="","",IFERROR(INDEX('Catalogos_PDN'!$E$5:$E$49,MATCH(E249,PN_METAS,0)),""))</f>
        <v/>
      </c>
      <c r="H249" s="111" t="n"/>
      <c r="I249" s="111" t="n"/>
      <c r="J249" s="111" t="n"/>
      <c r="K249" s="111" t="n"/>
      <c r="L249" s="111" t="n"/>
      <c r="M249" s="112" t="n"/>
      <c r="N249" s="111" t="n"/>
      <c r="O249" s="111" t="n"/>
      <c r="P249" s="111" t="n"/>
      <c r="Q249" s="111" t="n"/>
      <c r="R249" s="111" t="n"/>
      <c r="S249" s="111" t="n"/>
      <c r="T249" s="111" t="n"/>
      <c r="U249" s="111" t="n"/>
      <c r="V249" s="111" t="n"/>
      <c r="W249" s="113" t="n"/>
      <c r="X249" s="113" t="n"/>
      <c r="Y249" s="111" t="n"/>
      <c r="Z249" s="111" t="n"/>
      <c r="AA249" s="111" t="n"/>
      <c r="AB249" s="111" t="n"/>
      <c r="AC249" s="111" t="n"/>
      <c r="AD249" s="111" t="n"/>
      <c r="AE249" s="111" t="n"/>
      <c r="AF249" s="111" t="n"/>
      <c r="AG249" s="111" t="n"/>
      <c r="AH249" s="111" t="n"/>
      <c r="AI249" s="111" t="n"/>
      <c r="AJ249" s="114">
        <f>IF(COUNTA(B249,E249,H249,I249,J249,K249,L249,M249,N249,O249,P249,Q249,R249,S249,T249,U249,V249,W249,X249,Y249,Z249,AA249,AB249,AC249,AD249,AE249,AF249,AG249,AH249,AI249)=0,"",IF(OR(B249="",E249="",H249="",J249="",K249="",L249="",M249="",O249="",P249="",Q249="",R249="",S249="",T249="",U249="",W249="",X249="",Y249="",AB249="",AC249="",AE249="",AF249=""),"Incompleta: faltan campos obligatorios",IF(AND(LEFT(H249,6)="PROPIA",I249=""),"Falta el nombre de la acción propia del área",IF(AND(LEFT(H249,4)="AC27",IFERROR(INDEX('Catalogos_PDN'!$T$5:$T$207,MATCH(H249,'Catalogos_PDN'!$U$5:$U$207,0)),"x")&lt;&gt;LEFT(E249,7)),"La acción no corresponde a la meta seleccionada",IF(OR(NOT(ISNUMBER(M249)),M249&lt;10000000,M249&gt;99999999),"Código UNSPSC inválido: registre 8 dígitos",IF(MOD(M249,10000)=0,"UNSPSC a nivel de segmento o familia: use clase o producto",IF(IFERROR(MATCH(P249,PN_MESES,0)&lt;MATCH(O249,PN_MESES,0),TRUE()),"El mes de ofertas es anterior al de inicio del proceso",IF(OR(NOT(ISNUMBER(Q249)),Q249&lt;=0),"Duración inválida",IF(OR(NOT(ISNUMBER(W249)),NOT(ISNUMBER(X249))),"Valor inválido: registre solo números",IF(OR(W249&lt;=0,X249&lt;=0),"Valor inválido: debe ser mayor que cero",IF(X249&gt;W249,"El valor de la vigencia 2027 supera el valor total",IF(AND(X249&lt;W249,Y249="No"),"El valor total supera el de 2027: requiere vigencias futuras",IF(AND(Y249="Sí",OR(Z249="",Z249="No aplica")),"Indique el estado de la solicitud de vigencias futuras",IF(IF(AND(S249="Mínima cuantía",ISNUMBER(PN_TOPE_MINIMA)),W249&gt;PN_TOPE_MINIMA,FALSE()),"El valor supera el tope de mínima cuantía 2027",IF(IF(AND(S249="Selección abreviada de menor cuantía",ISNUMBER(PN_TOPE_MENOR)),W249&gt;PN_TOPE_MENOR,FALSE()),"El valor supera el tope de menor cuantía 2027",IF(OR(ISERROR(SEARCH("@itc.edu.co",AE249)),SUMPRODUCT(--ISNUMBER(SEARCH({"á","é","í","ó","ú","ñ"," "},AE249)))&gt;0),"El correo del responsable no es institucional válido",IF(AND(AF249="Sí",AG249=""),"Indique el N.° de registro 2026 que continúa","OK")))))))))))))))))</f>
        <v/>
      </c>
      <c r="AK249" s="114">
        <f>IF(AJ249="OK",COUNTIF($AJ$7:AJ249,"OK"),"")</f>
        <v/>
      </c>
    </row>
    <row r="250">
      <c r="A250" s="110">
        <f>"PN27-"&amp;TEXT(ROW()-6,"000")</f>
        <v/>
      </c>
      <c r="B250" s="111" t="n"/>
      <c r="C250" s="110">
        <f>IF(B250="","",IFERROR(INDEX('Catalogos_PDN'!$R$5:$R$51,MATCH(B250,PN_AREAS,0)),""))</f>
        <v/>
      </c>
      <c r="D250" s="110">
        <f>IF(B250="","",IFERROR(INDEX('Catalogos_PDN'!$O$5:$O$51,MATCH(B250,PN_AREAS,0)),""))</f>
        <v/>
      </c>
      <c r="E250" s="111" t="n"/>
      <c r="F250" s="110">
        <f>IF(E250="","",IFERROR(INDEX('Catalogos_PDN'!$C$5:$C$49,MATCH(E250,PN_METAS,0)),""))</f>
        <v/>
      </c>
      <c r="G250" s="110">
        <f>IF(E250="","",IFERROR(INDEX('Catalogos_PDN'!$E$5:$E$49,MATCH(E250,PN_METAS,0)),""))</f>
        <v/>
      </c>
      <c r="H250" s="111" t="n"/>
      <c r="I250" s="111" t="n"/>
      <c r="J250" s="111" t="n"/>
      <c r="K250" s="111" t="n"/>
      <c r="L250" s="111" t="n"/>
      <c r="M250" s="112" t="n"/>
      <c r="N250" s="111" t="n"/>
      <c r="O250" s="111" t="n"/>
      <c r="P250" s="111" t="n"/>
      <c r="Q250" s="111" t="n"/>
      <c r="R250" s="111" t="n"/>
      <c r="S250" s="111" t="n"/>
      <c r="T250" s="111" t="n"/>
      <c r="U250" s="111" t="n"/>
      <c r="V250" s="111" t="n"/>
      <c r="W250" s="113" t="n"/>
      <c r="X250" s="113" t="n"/>
      <c r="Y250" s="111" t="n"/>
      <c r="Z250" s="111" t="n"/>
      <c r="AA250" s="111" t="n"/>
      <c r="AB250" s="111" t="n"/>
      <c r="AC250" s="111" t="n"/>
      <c r="AD250" s="111" t="n"/>
      <c r="AE250" s="111" t="n"/>
      <c r="AF250" s="111" t="n"/>
      <c r="AG250" s="111" t="n"/>
      <c r="AH250" s="111" t="n"/>
      <c r="AI250" s="111" t="n"/>
      <c r="AJ250" s="114">
        <f>IF(COUNTA(B250,E250,H250,I250,J250,K250,L250,M250,N250,O250,P250,Q250,R250,S250,T250,U250,V250,W250,X250,Y250,Z250,AA250,AB250,AC250,AD250,AE250,AF250,AG250,AH250,AI250)=0,"",IF(OR(B250="",E250="",H250="",J250="",K250="",L250="",M250="",O250="",P250="",Q250="",R250="",S250="",T250="",U250="",W250="",X250="",Y250="",AB250="",AC250="",AE250="",AF250=""),"Incompleta: faltan campos obligatorios",IF(AND(LEFT(H250,6)="PROPIA",I250=""),"Falta el nombre de la acción propia del área",IF(AND(LEFT(H250,4)="AC27",IFERROR(INDEX('Catalogos_PDN'!$T$5:$T$207,MATCH(H250,'Catalogos_PDN'!$U$5:$U$207,0)),"x")&lt;&gt;LEFT(E250,7)),"La acción no corresponde a la meta seleccionada",IF(OR(NOT(ISNUMBER(M250)),M250&lt;10000000,M250&gt;99999999),"Código UNSPSC inválido: registre 8 dígitos",IF(MOD(M250,10000)=0,"UNSPSC a nivel de segmento o familia: use clase o producto",IF(IFERROR(MATCH(P250,PN_MESES,0)&lt;MATCH(O250,PN_MESES,0),TRUE()),"El mes de ofertas es anterior al de inicio del proceso",IF(OR(NOT(ISNUMBER(Q250)),Q250&lt;=0),"Duración inválida",IF(OR(NOT(ISNUMBER(W250)),NOT(ISNUMBER(X250))),"Valor inválido: registre solo números",IF(OR(W250&lt;=0,X250&lt;=0),"Valor inválido: debe ser mayor que cero",IF(X250&gt;W250,"El valor de la vigencia 2027 supera el valor total",IF(AND(X250&lt;W250,Y250="No"),"El valor total supera el de 2027: requiere vigencias futuras",IF(AND(Y250="Sí",OR(Z250="",Z250="No aplica")),"Indique el estado de la solicitud de vigencias futuras",IF(IF(AND(S250="Mínima cuantía",ISNUMBER(PN_TOPE_MINIMA)),W250&gt;PN_TOPE_MINIMA,FALSE()),"El valor supera el tope de mínima cuantía 2027",IF(IF(AND(S250="Selección abreviada de menor cuantía",ISNUMBER(PN_TOPE_MENOR)),W250&gt;PN_TOPE_MENOR,FALSE()),"El valor supera el tope de menor cuantía 2027",IF(OR(ISERROR(SEARCH("@itc.edu.co",AE250)),SUMPRODUCT(--ISNUMBER(SEARCH({"á","é","í","ó","ú","ñ"," "},AE250)))&gt;0),"El correo del responsable no es institucional válido",IF(AND(AF250="Sí",AG250=""),"Indique el N.° de registro 2026 que continúa","OK")))))))))))))))))</f>
        <v/>
      </c>
      <c r="AK250" s="114">
        <f>IF(AJ250="OK",COUNTIF($AJ$7:AJ250,"OK"),"")</f>
        <v/>
      </c>
    </row>
    <row r="251">
      <c r="A251" s="110">
        <f>"PN27-"&amp;TEXT(ROW()-6,"000")</f>
        <v/>
      </c>
      <c r="B251" s="111" t="n"/>
      <c r="C251" s="110">
        <f>IF(B251="","",IFERROR(INDEX('Catalogos_PDN'!$R$5:$R$51,MATCH(B251,PN_AREAS,0)),""))</f>
        <v/>
      </c>
      <c r="D251" s="110">
        <f>IF(B251="","",IFERROR(INDEX('Catalogos_PDN'!$O$5:$O$51,MATCH(B251,PN_AREAS,0)),""))</f>
        <v/>
      </c>
      <c r="E251" s="111" t="n"/>
      <c r="F251" s="110">
        <f>IF(E251="","",IFERROR(INDEX('Catalogos_PDN'!$C$5:$C$49,MATCH(E251,PN_METAS,0)),""))</f>
        <v/>
      </c>
      <c r="G251" s="110">
        <f>IF(E251="","",IFERROR(INDEX('Catalogos_PDN'!$E$5:$E$49,MATCH(E251,PN_METAS,0)),""))</f>
        <v/>
      </c>
      <c r="H251" s="111" t="n"/>
      <c r="I251" s="111" t="n"/>
      <c r="J251" s="111" t="n"/>
      <c r="K251" s="111" t="n"/>
      <c r="L251" s="111" t="n"/>
      <c r="M251" s="112" t="n"/>
      <c r="N251" s="111" t="n"/>
      <c r="O251" s="111" t="n"/>
      <c r="P251" s="111" t="n"/>
      <c r="Q251" s="111" t="n"/>
      <c r="R251" s="111" t="n"/>
      <c r="S251" s="111" t="n"/>
      <c r="T251" s="111" t="n"/>
      <c r="U251" s="111" t="n"/>
      <c r="V251" s="111" t="n"/>
      <c r="W251" s="113" t="n"/>
      <c r="X251" s="113" t="n"/>
      <c r="Y251" s="111" t="n"/>
      <c r="Z251" s="111" t="n"/>
      <c r="AA251" s="111" t="n"/>
      <c r="AB251" s="111" t="n"/>
      <c r="AC251" s="111" t="n"/>
      <c r="AD251" s="111" t="n"/>
      <c r="AE251" s="111" t="n"/>
      <c r="AF251" s="111" t="n"/>
      <c r="AG251" s="111" t="n"/>
      <c r="AH251" s="111" t="n"/>
      <c r="AI251" s="111" t="n"/>
      <c r="AJ251" s="114">
        <f>IF(COUNTA(B251,E251,H251,I251,J251,K251,L251,M251,N251,O251,P251,Q251,R251,S251,T251,U251,V251,W251,X251,Y251,Z251,AA251,AB251,AC251,AD251,AE251,AF251,AG251,AH251,AI251)=0,"",IF(OR(B251="",E251="",H251="",J251="",K251="",L251="",M251="",O251="",P251="",Q251="",R251="",S251="",T251="",U251="",W251="",X251="",Y251="",AB251="",AC251="",AE251="",AF251=""),"Incompleta: faltan campos obligatorios",IF(AND(LEFT(H251,6)="PROPIA",I251=""),"Falta el nombre de la acción propia del área",IF(AND(LEFT(H251,4)="AC27",IFERROR(INDEX('Catalogos_PDN'!$T$5:$T$207,MATCH(H251,'Catalogos_PDN'!$U$5:$U$207,0)),"x")&lt;&gt;LEFT(E251,7)),"La acción no corresponde a la meta seleccionada",IF(OR(NOT(ISNUMBER(M251)),M251&lt;10000000,M251&gt;99999999),"Código UNSPSC inválido: registre 8 dígitos",IF(MOD(M251,10000)=0,"UNSPSC a nivel de segmento o familia: use clase o producto",IF(IFERROR(MATCH(P251,PN_MESES,0)&lt;MATCH(O251,PN_MESES,0),TRUE()),"El mes de ofertas es anterior al de inicio del proceso",IF(OR(NOT(ISNUMBER(Q251)),Q251&lt;=0),"Duración inválida",IF(OR(NOT(ISNUMBER(W251)),NOT(ISNUMBER(X251))),"Valor inválido: registre solo números",IF(OR(W251&lt;=0,X251&lt;=0),"Valor inválido: debe ser mayor que cero",IF(X251&gt;W251,"El valor de la vigencia 2027 supera el valor total",IF(AND(X251&lt;W251,Y251="No"),"El valor total supera el de 2027: requiere vigencias futuras",IF(AND(Y251="Sí",OR(Z251="",Z251="No aplica")),"Indique el estado de la solicitud de vigencias futuras",IF(IF(AND(S251="Mínima cuantía",ISNUMBER(PN_TOPE_MINIMA)),W251&gt;PN_TOPE_MINIMA,FALSE()),"El valor supera el tope de mínima cuantía 2027",IF(IF(AND(S251="Selección abreviada de menor cuantía",ISNUMBER(PN_TOPE_MENOR)),W251&gt;PN_TOPE_MENOR,FALSE()),"El valor supera el tope de menor cuantía 2027",IF(OR(ISERROR(SEARCH("@itc.edu.co",AE251)),SUMPRODUCT(--ISNUMBER(SEARCH({"á","é","í","ó","ú","ñ"," "},AE251)))&gt;0),"El correo del responsable no es institucional válido",IF(AND(AF251="Sí",AG251=""),"Indique el N.° de registro 2026 que continúa","OK")))))))))))))))))</f>
        <v/>
      </c>
      <c r="AK251" s="114">
        <f>IF(AJ251="OK",COUNTIF($AJ$7:AJ251,"OK"),"")</f>
        <v/>
      </c>
    </row>
    <row r="252">
      <c r="A252" s="110">
        <f>"PN27-"&amp;TEXT(ROW()-6,"000")</f>
        <v/>
      </c>
      <c r="B252" s="111" t="n"/>
      <c r="C252" s="110">
        <f>IF(B252="","",IFERROR(INDEX('Catalogos_PDN'!$R$5:$R$51,MATCH(B252,PN_AREAS,0)),""))</f>
        <v/>
      </c>
      <c r="D252" s="110">
        <f>IF(B252="","",IFERROR(INDEX('Catalogos_PDN'!$O$5:$O$51,MATCH(B252,PN_AREAS,0)),""))</f>
        <v/>
      </c>
      <c r="E252" s="111" t="n"/>
      <c r="F252" s="110">
        <f>IF(E252="","",IFERROR(INDEX('Catalogos_PDN'!$C$5:$C$49,MATCH(E252,PN_METAS,0)),""))</f>
        <v/>
      </c>
      <c r="G252" s="110">
        <f>IF(E252="","",IFERROR(INDEX('Catalogos_PDN'!$E$5:$E$49,MATCH(E252,PN_METAS,0)),""))</f>
        <v/>
      </c>
      <c r="H252" s="111" t="n"/>
      <c r="I252" s="111" t="n"/>
      <c r="J252" s="111" t="n"/>
      <c r="K252" s="111" t="n"/>
      <c r="L252" s="111" t="n"/>
      <c r="M252" s="112" t="n"/>
      <c r="N252" s="111" t="n"/>
      <c r="O252" s="111" t="n"/>
      <c r="P252" s="111" t="n"/>
      <c r="Q252" s="111" t="n"/>
      <c r="R252" s="111" t="n"/>
      <c r="S252" s="111" t="n"/>
      <c r="T252" s="111" t="n"/>
      <c r="U252" s="111" t="n"/>
      <c r="V252" s="111" t="n"/>
      <c r="W252" s="113" t="n"/>
      <c r="X252" s="113" t="n"/>
      <c r="Y252" s="111" t="n"/>
      <c r="Z252" s="111" t="n"/>
      <c r="AA252" s="111" t="n"/>
      <c r="AB252" s="111" t="n"/>
      <c r="AC252" s="111" t="n"/>
      <c r="AD252" s="111" t="n"/>
      <c r="AE252" s="111" t="n"/>
      <c r="AF252" s="111" t="n"/>
      <c r="AG252" s="111" t="n"/>
      <c r="AH252" s="111" t="n"/>
      <c r="AI252" s="111" t="n"/>
      <c r="AJ252" s="114">
        <f>IF(COUNTA(B252,E252,H252,I252,J252,K252,L252,M252,N252,O252,P252,Q252,R252,S252,T252,U252,V252,W252,X252,Y252,Z252,AA252,AB252,AC252,AD252,AE252,AF252,AG252,AH252,AI252)=0,"",IF(OR(B252="",E252="",H252="",J252="",K252="",L252="",M252="",O252="",P252="",Q252="",R252="",S252="",T252="",U252="",W252="",X252="",Y252="",AB252="",AC252="",AE252="",AF252=""),"Incompleta: faltan campos obligatorios",IF(AND(LEFT(H252,6)="PROPIA",I252=""),"Falta el nombre de la acción propia del área",IF(AND(LEFT(H252,4)="AC27",IFERROR(INDEX('Catalogos_PDN'!$T$5:$T$207,MATCH(H252,'Catalogos_PDN'!$U$5:$U$207,0)),"x")&lt;&gt;LEFT(E252,7)),"La acción no corresponde a la meta seleccionada",IF(OR(NOT(ISNUMBER(M252)),M252&lt;10000000,M252&gt;99999999),"Código UNSPSC inválido: registre 8 dígitos",IF(MOD(M252,10000)=0,"UNSPSC a nivel de segmento o familia: use clase o producto",IF(IFERROR(MATCH(P252,PN_MESES,0)&lt;MATCH(O252,PN_MESES,0),TRUE()),"El mes de ofertas es anterior al de inicio del proceso",IF(OR(NOT(ISNUMBER(Q252)),Q252&lt;=0),"Duración inválida",IF(OR(NOT(ISNUMBER(W252)),NOT(ISNUMBER(X252))),"Valor inválido: registre solo números",IF(OR(W252&lt;=0,X252&lt;=0),"Valor inválido: debe ser mayor que cero",IF(X252&gt;W252,"El valor de la vigencia 2027 supera el valor total",IF(AND(X252&lt;W252,Y252="No"),"El valor total supera el de 2027: requiere vigencias futuras",IF(AND(Y252="Sí",OR(Z252="",Z252="No aplica")),"Indique el estado de la solicitud de vigencias futuras",IF(IF(AND(S252="Mínima cuantía",ISNUMBER(PN_TOPE_MINIMA)),W252&gt;PN_TOPE_MINIMA,FALSE()),"El valor supera el tope de mínima cuantía 2027",IF(IF(AND(S252="Selección abreviada de menor cuantía",ISNUMBER(PN_TOPE_MENOR)),W252&gt;PN_TOPE_MENOR,FALSE()),"El valor supera el tope de menor cuantía 2027",IF(OR(ISERROR(SEARCH("@itc.edu.co",AE252)),SUMPRODUCT(--ISNUMBER(SEARCH({"á","é","í","ó","ú","ñ"," "},AE252)))&gt;0),"El correo del responsable no es institucional válido",IF(AND(AF252="Sí",AG252=""),"Indique el N.° de registro 2026 que continúa","OK")))))))))))))))))</f>
        <v/>
      </c>
      <c r="AK252" s="114">
        <f>IF(AJ252="OK",COUNTIF($AJ$7:AJ252,"OK"),"")</f>
        <v/>
      </c>
    </row>
    <row r="253">
      <c r="A253" s="110">
        <f>"PN27-"&amp;TEXT(ROW()-6,"000")</f>
        <v/>
      </c>
      <c r="B253" s="111" t="n"/>
      <c r="C253" s="110">
        <f>IF(B253="","",IFERROR(INDEX('Catalogos_PDN'!$R$5:$R$51,MATCH(B253,PN_AREAS,0)),""))</f>
        <v/>
      </c>
      <c r="D253" s="110">
        <f>IF(B253="","",IFERROR(INDEX('Catalogos_PDN'!$O$5:$O$51,MATCH(B253,PN_AREAS,0)),""))</f>
        <v/>
      </c>
      <c r="E253" s="111" t="n"/>
      <c r="F253" s="110">
        <f>IF(E253="","",IFERROR(INDEX('Catalogos_PDN'!$C$5:$C$49,MATCH(E253,PN_METAS,0)),""))</f>
        <v/>
      </c>
      <c r="G253" s="110">
        <f>IF(E253="","",IFERROR(INDEX('Catalogos_PDN'!$E$5:$E$49,MATCH(E253,PN_METAS,0)),""))</f>
        <v/>
      </c>
      <c r="H253" s="111" t="n"/>
      <c r="I253" s="111" t="n"/>
      <c r="J253" s="111" t="n"/>
      <c r="K253" s="111" t="n"/>
      <c r="L253" s="111" t="n"/>
      <c r="M253" s="112" t="n"/>
      <c r="N253" s="111" t="n"/>
      <c r="O253" s="111" t="n"/>
      <c r="P253" s="111" t="n"/>
      <c r="Q253" s="111" t="n"/>
      <c r="R253" s="111" t="n"/>
      <c r="S253" s="111" t="n"/>
      <c r="T253" s="111" t="n"/>
      <c r="U253" s="111" t="n"/>
      <c r="V253" s="111" t="n"/>
      <c r="W253" s="113" t="n"/>
      <c r="X253" s="113" t="n"/>
      <c r="Y253" s="111" t="n"/>
      <c r="Z253" s="111" t="n"/>
      <c r="AA253" s="111" t="n"/>
      <c r="AB253" s="111" t="n"/>
      <c r="AC253" s="111" t="n"/>
      <c r="AD253" s="111" t="n"/>
      <c r="AE253" s="111" t="n"/>
      <c r="AF253" s="111" t="n"/>
      <c r="AG253" s="111" t="n"/>
      <c r="AH253" s="111" t="n"/>
      <c r="AI253" s="111" t="n"/>
      <c r="AJ253" s="114">
        <f>IF(COUNTA(B253,E253,H253,I253,J253,K253,L253,M253,N253,O253,P253,Q253,R253,S253,T253,U253,V253,W253,X253,Y253,Z253,AA253,AB253,AC253,AD253,AE253,AF253,AG253,AH253,AI253)=0,"",IF(OR(B253="",E253="",H253="",J253="",K253="",L253="",M253="",O253="",P253="",Q253="",R253="",S253="",T253="",U253="",W253="",X253="",Y253="",AB253="",AC253="",AE253="",AF253=""),"Incompleta: faltan campos obligatorios",IF(AND(LEFT(H253,6)="PROPIA",I253=""),"Falta el nombre de la acción propia del área",IF(AND(LEFT(H253,4)="AC27",IFERROR(INDEX('Catalogos_PDN'!$T$5:$T$207,MATCH(H253,'Catalogos_PDN'!$U$5:$U$207,0)),"x")&lt;&gt;LEFT(E253,7)),"La acción no corresponde a la meta seleccionada",IF(OR(NOT(ISNUMBER(M253)),M253&lt;10000000,M253&gt;99999999),"Código UNSPSC inválido: registre 8 dígitos",IF(MOD(M253,10000)=0,"UNSPSC a nivel de segmento o familia: use clase o producto",IF(IFERROR(MATCH(P253,PN_MESES,0)&lt;MATCH(O253,PN_MESES,0),TRUE()),"El mes de ofertas es anterior al de inicio del proceso",IF(OR(NOT(ISNUMBER(Q253)),Q253&lt;=0),"Duración inválida",IF(OR(NOT(ISNUMBER(W253)),NOT(ISNUMBER(X253))),"Valor inválido: registre solo números",IF(OR(W253&lt;=0,X253&lt;=0),"Valor inválido: debe ser mayor que cero",IF(X253&gt;W253,"El valor de la vigencia 2027 supera el valor total",IF(AND(X253&lt;W253,Y253="No"),"El valor total supera el de 2027: requiere vigencias futuras",IF(AND(Y253="Sí",OR(Z253="",Z253="No aplica")),"Indique el estado de la solicitud de vigencias futuras",IF(IF(AND(S253="Mínima cuantía",ISNUMBER(PN_TOPE_MINIMA)),W253&gt;PN_TOPE_MINIMA,FALSE()),"El valor supera el tope de mínima cuantía 2027",IF(IF(AND(S253="Selección abreviada de menor cuantía",ISNUMBER(PN_TOPE_MENOR)),W253&gt;PN_TOPE_MENOR,FALSE()),"El valor supera el tope de menor cuantía 2027",IF(OR(ISERROR(SEARCH("@itc.edu.co",AE253)),SUMPRODUCT(--ISNUMBER(SEARCH({"á","é","í","ó","ú","ñ"," "},AE253)))&gt;0),"El correo del responsable no es institucional válido",IF(AND(AF253="Sí",AG253=""),"Indique el N.° de registro 2026 que continúa","OK")))))))))))))))))</f>
        <v/>
      </c>
      <c r="AK253" s="114">
        <f>IF(AJ253="OK",COUNTIF($AJ$7:AJ253,"OK"),"")</f>
        <v/>
      </c>
    </row>
    <row r="254">
      <c r="A254" s="110">
        <f>"PN27-"&amp;TEXT(ROW()-6,"000")</f>
        <v/>
      </c>
      <c r="B254" s="111" t="n"/>
      <c r="C254" s="110">
        <f>IF(B254="","",IFERROR(INDEX('Catalogos_PDN'!$R$5:$R$51,MATCH(B254,PN_AREAS,0)),""))</f>
        <v/>
      </c>
      <c r="D254" s="110">
        <f>IF(B254="","",IFERROR(INDEX('Catalogos_PDN'!$O$5:$O$51,MATCH(B254,PN_AREAS,0)),""))</f>
        <v/>
      </c>
      <c r="E254" s="111" t="n"/>
      <c r="F254" s="110">
        <f>IF(E254="","",IFERROR(INDEX('Catalogos_PDN'!$C$5:$C$49,MATCH(E254,PN_METAS,0)),""))</f>
        <v/>
      </c>
      <c r="G254" s="110">
        <f>IF(E254="","",IFERROR(INDEX('Catalogos_PDN'!$E$5:$E$49,MATCH(E254,PN_METAS,0)),""))</f>
        <v/>
      </c>
      <c r="H254" s="111" t="n"/>
      <c r="I254" s="111" t="n"/>
      <c r="J254" s="111" t="n"/>
      <c r="K254" s="111" t="n"/>
      <c r="L254" s="111" t="n"/>
      <c r="M254" s="112" t="n"/>
      <c r="N254" s="111" t="n"/>
      <c r="O254" s="111" t="n"/>
      <c r="P254" s="111" t="n"/>
      <c r="Q254" s="111" t="n"/>
      <c r="R254" s="111" t="n"/>
      <c r="S254" s="111" t="n"/>
      <c r="T254" s="111" t="n"/>
      <c r="U254" s="111" t="n"/>
      <c r="V254" s="111" t="n"/>
      <c r="W254" s="113" t="n"/>
      <c r="X254" s="113" t="n"/>
      <c r="Y254" s="111" t="n"/>
      <c r="Z254" s="111" t="n"/>
      <c r="AA254" s="111" t="n"/>
      <c r="AB254" s="111" t="n"/>
      <c r="AC254" s="111" t="n"/>
      <c r="AD254" s="111" t="n"/>
      <c r="AE254" s="111" t="n"/>
      <c r="AF254" s="111" t="n"/>
      <c r="AG254" s="111" t="n"/>
      <c r="AH254" s="111" t="n"/>
      <c r="AI254" s="111" t="n"/>
      <c r="AJ254" s="114">
        <f>IF(COUNTA(B254,E254,H254,I254,J254,K254,L254,M254,N254,O254,P254,Q254,R254,S254,T254,U254,V254,W254,X254,Y254,Z254,AA254,AB254,AC254,AD254,AE254,AF254,AG254,AH254,AI254)=0,"",IF(OR(B254="",E254="",H254="",J254="",K254="",L254="",M254="",O254="",P254="",Q254="",R254="",S254="",T254="",U254="",W254="",X254="",Y254="",AB254="",AC254="",AE254="",AF254=""),"Incompleta: faltan campos obligatorios",IF(AND(LEFT(H254,6)="PROPIA",I254=""),"Falta el nombre de la acción propia del área",IF(AND(LEFT(H254,4)="AC27",IFERROR(INDEX('Catalogos_PDN'!$T$5:$T$207,MATCH(H254,'Catalogos_PDN'!$U$5:$U$207,0)),"x")&lt;&gt;LEFT(E254,7)),"La acción no corresponde a la meta seleccionada",IF(OR(NOT(ISNUMBER(M254)),M254&lt;10000000,M254&gt;99999999),"Código UNSPSC inválido: registre 8 dígitos",IF(MOD(M254,10000)=0,"UNSPSC a nivel de segmento o familia: use clase o producto",IF(IFERROR(MATCH(P254,PN_MESES,0)&lt;MATCH(O254,PN_MESES,0),TRUE()),"El mes de ofertas es anterior al de inicio del proceso",IF(OR(NOT(ISNUMBER(Q254)),Q254&lt;=0),"Duración inválida",IF(OR(NOT(ISNUMBER(W254)),NOT(ISNUMBER(X254))),"Valor inválido: registre solo números",IF(OR(W254&lt;=0,X254&lt;=0),"Valor inválido: debe ser mayor que cero",IF(X254&gt;W254,"El valor de la vigencia 2027 supera el valor total",IF(AND(X254&lt;W254,Y254="No"),"El valor total supera el de 2027: requiere vigencias futuras",IF(AND(Y254="Sí",OR(Z254="",Z254="No aplica")),"Indique el estado de la solicitud de vigencias futuras",IF(IF(AND(S254="Mínima cuantía",ISNUMBER(PN_TOPE_MINIMA)),W254&gt;PN_TOPE_MINIMA,FALSE()),"El valor supera el tope de mínima cuantía 2027",IF(IF(AND(S254="Selección abreviada de menor cuantía",ISNUMBER(PN_TOPE_MENOR)),W254&gt;PN_TOPE_MENOR,FALSE()),"El valor supera el tope de menor cuantía 2027",IF(OR(ISERROR(SEARCH("@itc.edu.co",AE254)),SUMPRODUCT(--ISNUMBER(SEARCH({"á","é","í","ó","ú","ñ"," "},AE254)))&gt;0),"El correo del responsable no es institucional válido",IF(AND(AF254="Sí",AG254=""),"Indique el N.° de registro 2026 que continúa","OK")))))))))))))))))</f>
        <v/>
      </c>
      <c r="AK254" s="114">
        <f>IF(AJ254="OK",COUNTIF($AJ$7:AJ254,"OK"),"")</f>
        <v/>
      </c>
    </row>
    <row r="255">
      <c r="A255" s="110">
        <f>"PN27-"&amp;TEXT(ROW()-6,"000")</f>
        <v/>
      </c>
      <c r="B255" s="111" t="n"/>
      <c r="C255" s="110">
        <f>IF(B255="","",IFERROR(INDEX('Catalogos_PDN'!$R$5:$R$51,MATCH(B255,PN_AREAS,0)),""))</f>
        <v/>
      </c>
      <c r="D255" s="110">
        <f>IF(B255="","",IFERROR(INDEX('Catalogos_PDN'!$O$5:$O$51,MATCH(B255,PN_AREAS,0)),""))</f>
        <v/>
      </c>
      <c r="E255" s="111" t="n"/>
      <c r="F255" s="110">
        <f>IF(E255="","",IFERROR(INDEX('Catalogos_PDN'!$C$5:$C$49,MATCH(E255,PN_METAS,0)),""))</f>
        <v/>
      </c>
      <c r="G255" s="110">
        <f>IF(E255="","",IFERROR(INDEX('Catalogos_PDN'!$E$5:$E$49,MATCH(E255,PN_METAS,0)),""))</f>
        <v/>
      </c>
      <c r="H255" s="111" t="n"/>
      <c r="I255" s="111" t="n"/>
      <c r="J255" s="111" t="n"/>
      <c r="K255" s="111" t="n"/>
      <c r="L255" s="111" t="n"/>
      <c r="M255" s="112" t="n"/>
      <c r="N255" s="111" t="n"/>
      <c r="O255" s="111" t="n"/>
      <c r="P255" s="111" t="n"/>
      <c r="Q255" s="111" t="n"/>
      <c r="R255" s="111" t="n"/>
      <c r="S255" s="111" t="n"/>
      <c r="T255" s="111" t="n"/>
      <c r="U255" s="111" t="n"/>
      <c r="V255" s="111" t="n"/>
      <c r="W255" s="113" t="n"/>
      <c r="X255" s="113" t="n"/>
      <c r="Y255" s="111" t="n"/>
      <c r="Z255" s="111" t="n"/>
      <c r="AA255" s="111" t="n"/>
      <c r="AB255" s="111" t="n"/>
      <c r="AC255" s="111" t="n"/>
      <c r="AD255" s="111" t="n"/>
      <c r="AE255" s="111" t="n"/>
      <c r="AF255" s="111" t="n"/>
      <c r="AG255" s="111" t="n"/>
      <c r="AH255" s="111" t="n"/>
      <c r="AI255" s="111" t="n"/>
      <c r="AJ255" s="114">
        <f>IF(COUNTA(B255,E255,H255,I255,J255,K255,L255,M255,N255,O255,P255,Q255,R255,S255,T255,U255,V255,W255,X255,Y255,Z255,AA255,AB255,AC255,AD255,AE255,AF255,AG255,AH255,AI255)=0,"",IF(OR(B255="",E255="",H255="",J255="",K255="",L255="",M255="",O255="",P255="",Q255="",R255="",S255="",T255="",U255="",W255="",X255="",Y255="",AB255="",AC255="",AE255="",AF255=""),"Incompleta: faltan campos obligatorios",IF(AND(LEFT(H255,6)="PROPIA",I255=""),"Falta el nombre de la acción propia del área",IF(AND(LEFT(H255,4)="AC27",IFERROR(INDEX('Catalogos_PDN'!$T$5:$T$207,MATCH(H255,'Catalogos_PDN'!$U$5:$U$207,0)),"x")&lt;&gt;LEFT(E255,7)),"La acción no corresponde a la meta seleccionada",IF(OR(NOT(ISNUMBER(M255)),M255&lt;10000000,M255&gt;99999999),"Código UNSPSC inválido: registre 8 dígitos",IF(MOD(M255,10000)=0,"UNSPSC a nivel de segmento o familia: use clase o producto",IF(IFERROR(MATCH(P255,PN_MESES,0)&lt;MATCH(O255,PN_MESES,0),TRUE()),"El mes de ofertas es anterior al de inicio del proceso",IF(OR(NOT(ISNUMBER(Q255)),Q255&lt;=0),"Duración inválida",IF(OR(NOT(ISNUMBER(W255)),NOT(ISNUMBER(X255))),"Valor inválido: registre solo números",IF(OR(W255&lt;=0,X255&lt;=0),"Valor inválido: debe ser mayor que cero",IF(X255&gt;W255,"El valor de la vigencia 2027 supera el valor total",IF(AND(X255&lt;W255,Y255="No"),"El valor total supera el de 2027: requiere vigencias futuras",IF(AND(Y255="Sí",OR(Z255="",Z255="No aplica")),"Indique el estado de la solicitud de vigencias futuras",IF(IF(AND(S255="Mínima cuantía",ISNUMBER(PN_TOPE_MINIMA)),W255&gt;PN_TOPE_MINIMA,FALSE()),"El valor supera el tope de mínima cuantía 2027",IF(IF(AND(S255="Selección abreviada de menor cuantía",ISNUMBER(PN_TOPE_MENOR)),W255&gt;PN_TOPE_MENOR,FALSE()),"El valor supera el tope de menor cuantía 2027",IF(OR(ISERROR(SEARCH("@itc.edu.co",AE255)),SUMPRODUCT(--ISNUMBER(SEARCH({"á","é","í","ó","ú","ñ"," "},AE255)))&gt;0),"El correo del responsable no es institucional válido",IF(AND(AF255="Sí",AG255=""),"Indique el N.° de registro 2026 que continúa","OK")))))))))))))))))</f>
        <v/>
      </c>
      <c r="AK255" s="114">
        <f>IF(AJ255="OK",COUNTIF($AJ$7:AJ255,"OK"),"")</f>
        <v/>
      </c>
    </row>
    <row r="256">
      <c r="A256" s="110">
        <f>"PN27-"&amp;TEXT(ROW()-6,"000")</f>
        <v/>
      </c>
      <c r="B256" s="111" t="n"/>
      <c r="C256" s="110">
        <f>IF(B256="","",IFERROR(INDEX('Catalogos_PDN'!$R$5:$R$51,MATCH(B256,PN_AREAS,0)),""))</f>
        <v/>
      </c>
      <c r="D256" s="110">
        <f>IF(B256="","",IFERROR(INDEX('Catalogos_PDN'!$O$5:$O$51,MATCH(B256,PN_AREAS,0)),""))</f>
        <v/>
      </c>
      <c r="E256" s="111" t="n"/>
      <c r="F256" s="110">
        <f>IF(E256="","",IFERROR(INDEX('Catalogos_PDN'!$C$5:$C$49,MATCH(E256,PN_METAS,0)),""))</f>
        <v/>
      </c>
      <c r="G256" s="110">
        <f>IF(E256="","",IFERROR(INDEX('Catalogos_PDN'!$E$5:$E$49,MATCH(E256,PN_METAS,0)),""))</f>
        <v/>
      </c>
      <c r="H256" s="111" t="n"/>
      <c r="I256" s="111" t="n"/>
      <c r="J256" s="111" t="n"/>
      <c r="K256" s="111" t="n"/>
      <c r="L256" s="111" t="n"/>
      <c r="M256" s="112" t="n"/>
      <c r="N256" s="111" t="n"/>
      <c r="O256" s="111" t="n"/>
      <c r="P256" s="111" t="n"/>
      <c r="Q256" s="111" t="n"/>
      <c r="R256" s="111" t="n"/>
      <c r="S256" s="111" t="n"/>
      <c r="T256" s="111" t="n"/>
      <c r="U256" s="111" t="n"/>
      <c r="V256" s="111" t="n"/>
      <c r="W256" s="113" t="n"/>
      <c r="X256" s="113" t="n"/>
      <c r="Y256" s="111" t="n"/>
      <c r="Z256" s="111" t="n"/>
      <c r="AA256" s="111" t="n"/>
      <c r="AB256" s="111" t="n"/>
      <c r="AC256" s="111" t="n"/>
      <c r="AD256" s="111" t="n"/>
      <c r="AE256" s="111" t="n"/>
      <c r="AF256" s="111" t="n"/>
      <c r="AG256" s="111" t="n"/>
      <c r="AH256" s="111" t="n"/>
      <c r="AI256" s="111" t="n"/>
      <c r="AJ256" s="114">
        <f>IF(COUNTA(B256,E256,H256,I256,J256,K256,L256,M256,N256,O256,P256,Q256,R256,S256,T256,U256,V256,W256,X256,Y256,Z256,AA256,AB256,AC256,AD256,AE256,AF256,AG256,AH256,AI256)=0,"",IF(OR(B256="",E256="",H256="",J256="",K256="",L256="",M256="",O256="",P256="",Q256="",R256="",S256="",T256="",U256="",W256="",X256="",Y256="",AB256="",AC256="",AE256="",AF256=""),"Incompleta: faltan campos obligatorios",IF(AND(LEFT(H256,6)="PROPIA",I256=""),"Falta el nombre de la acción propia del área",IF(AND(LEFT(H256,4)="AC27",IFERROR(INDEX('Catalogos_PDN'!$T$5:$T$207,MATCH(H256,'Catalogos_PDN'!$U$5:$U$207,0)),"x")&lt;&gt;LEFT(E256,7)),"La acción no corresponde a la meta seleccionada",IF(OR(NOT(ISNUMBER(M256)),M256&lt;10000000,M256&gt;99999999),"Código UNSPSC inválido: registre 8 dígitos",IF(MOD(M256,10000)=0,"UNSPSC a nivel de segmento o familia: use clase o producto",IF(IFERROR(MATCH(P256,PN_MESES,0)&lt;MATCH(O256,PN_MESES,0),TRUE()),"El mes de ofertas es anterior al de inicio del proceso",IF(OR(NOT(ISNUMBER(Q256)),Q256&lt;=0),"Duración inválida",IF(OR(NOT(ISNUMBER(W256)),NOT(ISNUMBER(X256))),"Valor inválido: registre solo números",IF(OR(W256&lt;=0,X256&lt;=0),"Valor inválido: debe ser mayor que cero",IF(X256&gt;W256,"El valor de la vigencia 2027 supera el valor total",IF(AND(X256&lt;W256,Y256="No"),"El valor total supera el de 2027: requiere vigencias futuras",IF(AND(Y256="Sí",OR(Z256="",Z256="No aplica")),"Indique el estado de la solicitud de vigencias futuras",IF(IF(AND(S256="Mínima cuantía",ISNUMBER(PN_TOPE_MINIMA)),W256&gt;PN_TOPE_MINIMA,FALSE()),"El valor supera el tope de mínima cuantía 2027",IF(IF(AND(S256="Selección abreviada de menor cuantía",ISNUMBER(PN_TOPE_MENOR)),W256&gt;PN_TOPE_MENOR,FALSE()),"El valor supera el tope de menor cuantía 2027",IF(OR(ISERROR(SEARCH("@itc.edu.co",AE256)),SUMPRODUCT(--ISNUMBER(SEARCH({"á","é","í","ó","ú","ñ"," "},AE256)))&gt;0),"El correo del responsable no es institucional válido",IF(AND(AF256="Sí",AG256=""),"Indique el N.° de registro 2026 que continúa","OK")))))))))))))))))</f>
        <v/>
      </c>
      <c r="AK256" s="114">
        <f>IF(AJ256="OK",COUNTIF($AJ$7:AJ256,"OK"),"")</f>
        <v/>
      </c>
    </row>
    <row r="257">
      <c r="A257" s="110">
        <f>"PN27-"&amp;TEXT(ROW()-6,"000")</f>
        <v/>
      </c>
      <c r="B257" s="111" t="n"/>
      <c r="C257" s="110">
        <f>IF(B257="","",IFERROR(INDEX('Catalogos_PDN'!$R$5:$R$51,MATCH(B257,PN_AREAS,0)),""))</f>
        <v/>
      </c>
      <c r="D257" s="110">
        <f>IF(B257="","",IFERROR(INDEX('Catalogos_PDN'!$O$5:$O$51,MATCH(B257,PN_AREAS,0)),""))</f>
        <v/>
      </c>
      <c r="E257" s="111" t="n"/>
      <c r="F257" s="110">
        <f>IF(E257="","",IFERROR(INDEX('Catalogos_PDN'!$C$5:$C$49,MATCH(E257,PN_METAS,0)),""))</f>
        <v/>
      </c>
      <c r="G257" s="110">
        <f>IF(E257="","",IFERROR(INDEX('Catalogos_PDN'!$E$5:$E$49,MATCH(E257,PN_METAS,0)),""))</f>
        <v/>
      </c>
      <c r="H257" s="111" t="n"/>
      <c r="I257" s="111" t="n"/>
      <c r="J257" s="111" t="n"/>
      <c r="K257" s="111" t="n"/>
      <c r="L257" s="111" t="n"/>
      <c r="M257" s="112" t="n"/>
      <c r="N257" s="111" t="n"/>
      <c r="O257" s="111" t="n"/>
      <c r="P257" s="111" t="n"/>
      <c r="Q257" s="111" t="n"/>
      <c r="R257" s="111" t="n"/>
      <c r="S257" s="111" t="n"/>
      <c r="T257" s="111" t="n"/>
      <c r="U257" s="111" t="n"/>
      <c r="V257" s="111" t="n"/>
      <c r="W257" s="113" t="n"/>
      <c r="X257" s="113" t="n"/>
      <c r="Y257" s="111" t="n"/>
      <c r="Z257" s="111" t="n"/>
      <c r="AA257" s="111" t="n"/>
      <c r="AB257" s="111" t="n"/>
      <c r="AC257" s="111" t="n"/>
      <c r="AD257" s="111" t="n"/>
      <c r="AE257" s="111" t="n"/>
      <c r="AF257" s="111" t="n"/>
      <c r="AG257" s="111" t="n"/>
      <c r="AH257" s="111" t="n"/>
      <c r="AI257" s="111" t="n"/>
      <c r="AJ257" s="114">
        <f>IF(COUNTA(B257,E257,H257,I257,J257,K257,L257,M257,N257,O257,P257,Q257,R257,S257,T257,U257,V257,W257,X257,Y257,Z257,AA257,AB257,AC257,AD257,AE257,AF257,AG257,AH257,AI257)=0,"",IF(OR(B257="",E257="",H257="",J257="",K257="",L257="",M257="",O257="",P257="",Q257="",R257="",S257="",T257="",U257="",W257="",X257="",Y257="",AB257="",AC257="",AE257="",AF257=""),"Incompleta: faltan campos obligatorios",IF(AND(LEFT(H257,6)="PROPIA",I257=""),"Falta el nombre de la acción propia del área",IF(AND(LEFT(H257,4)="AC27",IFERROR(INDEX('Catalogos_PDN'!$T$5:$T$207,MATCH(H257,'Catalogos_PDN'!$U$5:$U$207,0)),"x")&lt;&gt;LEFT(E257,7)),"La acción no corresponde a la meta seleccionada",IF(OR(NOT(ISNUMBER(M257)),M257&lt;10000000,M257&gt;99999999),"Código UNSPSC inválido: registre 8 dígitos",IF(MOD(M257,10000)=0,"UNSPSC a nivel de segmento o familia: use clase o producto",IF(IFERROR(MATCH(P257,PN_MESES,0)&lt;MATCH(O257,PN_MESES,0),TRUE()),"El mes de ofertas es anterior al de inicio del proceso",IF(OR(NOT(ISNUMBER(Q257)),Q257&lt;=0),"Duración inválida",IF(OR(NOT(ISNUMBER(W257)),NOT(ISNUMBER(X257))),"Valor inválido: registre solo números",IF(OR(W257&lt;=0,X257&lt;=0),"Valor inválido: debe ser mayor que cero",IF(X257&gt;W257,"El valor de la vigencia 2027 supera el valor total",IF(AND(X257&lt;W257,Y257="No"),"El valor total supera el de 2027: requiere vigencias futuras",IF(AND(Y257="Sí",OR(Z257="",Z257="No aplica")),"Indique el estado de la solicitud de vigencias futuras",IF(IF(AND(S257="Mínima cuantía",ISNUMBER(PN_TOPE_MINIMA)),W257&gt;PN_TOPE_MINIMA,FALSE()),"El valor supera el tope de mínima cuantía 2027",IF(IF(AND(S257="Selección abreviada de menor cuantía",ISNUMBER(PN_TOPE_MENOR)),W257&gt;PN_TOPE_MENOR,FALSE()),"El valor supera el tope de menor cuantía 2027",IF(OR(ISERROR(SEARCH("@itc.edu.co",AE257)),SUMPRODUCT(--ISNUMBER(SEARCH({"á","é","í","ó","ú","ñ"," "},AE257)))&gt;0),"El correo del responsable no es institucional válido",IF(AND(AF257="Sí",AG257=""),"Indique el N.° de registro 2026 que continúa","OK")))))))))))))))))</f>
        <v/>
      </c>
      <c r="AK257" s="114">
        <f>IF(AJ257="OK",COUNTIF($AJ$7:AJ257,"OK"),"")</f>
        <v/>
      </c>
    </row>
    <row r="258">
      <c r="A258" s="110">
        <f>"PN27-"&amp;TEXT(ROW()-6,"000")</f>
        <v/>
      </c>
      <c r="B258" s="111" t="n"/>
      <c r="C258" s="110">
        <f>IF(B258="","",IFERROR(INDEX('Catalogos_PDN'!$R$5:$R$51,MATCH(B258,PN_AREAS,0)),""))</f>
        <v/>
      </c>
      <c r="D258" s="110">
        <f>IF(B258="","",IFERROR(INDEX('Catalogos_PDN'!$O$5:$O$51,MATCH(B258,PN_AREAS,0)),""))</f>
        <v/>
      </c>
      <c r="E258" s="111" t="n"/>
      <c r="F258" s="110">
        <f>IF(E258="","",IFERROR(INDEX('Catalogos_PDN'!$C$5:$C$49,MATCH(E258,PN_METAS,0)),""))</f>
        <v/>
      </c>
      <c r="G258" s="110">
        <f>IF(E258="","",IFERROR(INDEX('Catalogos_PDN'!$E$5:$E$49,MATCH(E258,PN_METAS,0)),""))</f>
        <v/>
      </c>
      <c r="H258" s="111" t="n"/>
      <c r="I258" s="111" t="n"/>
      <c r="J258" s="111" t="n"/>
      <c r="K258" s="111" t="n"/>
      <c r="L258" s="111" t="n"/>
      <c r="M258" s="112" t="n"/>
      <c r="N258" s="111" t="n"/>
      <c r="O258" s="111" t="n"/>
      <c r="P258" s="111" t="n"/>
      <c r="Q258" s="111" t="n"/>
      <c r="R258" s="111" t="n"/>
      <c r="S258" s="111" t="n"/>
      <c r="T258" s="111" t="n"/>
      <c r="U258" s="111" t="n"/>
      <c r="V258" s="111" t="n"/>
      <c r="W258" s="113" t="n"/>
      <c r="X258" s="113" t="n"/>
      <c r="Y258" s="111" t="n"/>
      <c r="Z258" s="111" t="n"/>
      <c r="AA258" s="111" t="n"/>
      <c r="AB258" s="111" t="n"/>
      <c r="AC258" s="111" t="n"/>
      <c r="AD258" s="111" t="n"/>
      <c r="AE258" s="111" t="n"/>
      <c r="AF258" s="111" t="n"/>
      <c r="AG258" s="111" t="n"/>
      <c r="AH258" s="111" t="n"/>
      <c r="AI258" s="111" t="n"/>
      <c r="AJ258" s="114">
        <f>IF(COUNTA(B258,E258,H258,I258,J258,K258,L258,M258,N258,O258,P258,Q258,R258,S258,T258,U258,V258,W258,X258,Y258,Z258,AA258,AB258,AC258,AD258,AE258,AF258,AG258,AH258,AI258)=0,"",IF(OR(B258="",E258="",H258="",J258="",K258="",L258="",M258="",O258="",P258="",Q258="",R258="",S258="",T258="",U258="",W258="",X258="",Y258="",AB258="",AC258="",AE258="",AF258=""),"Incompleta: faltan campos obligatorios",IF(AND(LEFT(H258,6)="PROPIA",I258=""),"Falta el nombre de la acción propia del área",IF(AND(LEFT(H258,4)="AC27",IFERROR(INDEX('Catalogos_PDN'!$T$5:$T$207,MATCH(H258,'Catalogos_PDN'!$U$5:$U$207,0)),"x")&lt;&gt;LEFT(E258,7)),"La acción no corresponde a la meta seleccionada",IF(OR(NOT(ISNUMBER(M258)),M258&lt;10000000,M258&gt;99999999),"Código UNSPSC inválido: registre 8 dígitos",IF(MOD(M258,10000)=0,"UNSPSC a nivel de segmento o familia: use clase o producto",IF(IFERROR(MATCH(P258,PN_MESES,0)&lt;MATCH(O258,PN_MESES,0),TRUE()),"El mes de ofertas es anterior al de inicio del proceso",IF(OR(NOT(ISNUMBER(Q258)),Q258&lt;=0),"Duración inválida",IF(OR(NOT(ISNUMBER(W258)),NOT(ISNUMBER(X258))),"Valor inválido: registre solo números",IF(OR(W258&lt;=0,X258&lt;=0),"Valor inválido: debe ser mayor que cero",IF(X258&gt;W258,"El valor de la vigencia 2027 supera el valor total",IF(AND(X258&lt;W258,Y258="No"),"El valor total supera el de 2027: requiere vigencias futuras",IF(AND(Y258="Sí",OR(Z258="",Z258="No aplica")),"Indique el estado de la solicitud de vigencias futuras",IF(IF(AND(S258="Mínima cuantía",ISNUMBER(PN_TOPE_MINIMA)),W258&gt;PN_TOPE_MINIMA,FALSE()),"El valor supera el tope de mínima cuantía 2027",IF(IF(AND(S258="Selección abreviada de menor cuantía",ISNUMBER(PN_TOPE_MENOR)),W258&gt;PN_TOPE_MENOR,FALSE()),"El valor supera el tope de menor cuantía 2027",IF(OR(ISERROR(SEARCH("@itc.edu.co",AE258)),SUMPRODUCT(--ISNUMBER(SEARCH({"á","é","í","ó","ú","ñ"," "},AE258)))&gt;0),"El correo del responsable no es institucional válido",IF(AND(AF258="Sí",AG258=""),"Indique el N.° de registro 2026 que continúa","OK")))))))))))))))))</f>
        <v/>
      </c>
      <c r="AK258" s="114">
        <f>IF(AJ258="OK",COUNTIF($AJ$7:AJ258,"OK"),"")</f>
        <v/>
      </c>
    </row>
    <row r="259">
      <c r="A259" s="110">
        <f>"PN27-"&amp;TEXT(ROW()-6,"000")</f>
        <v/>
      </c>
      <c r="B259" s="111" t="n"/>
      <c r="C259" s="110">
        <f>IF(B259="","",IFERROR(INDEX('Catalogos_PDN'!$R$5:$R$51,MATCH(B259,PN_AREAS,0)),""))</f>
        <v/>
      </c>
      <c r="D259" s="110">
        <f>IF(B259="","",IFERROR(INDEX('Catalogos_PDN'!$O$5:$O$51,MATCH(B259,PN_AREAS,0)),""))</f>
        <v/>
      </c>
      <c r="E259" s="111" t="n"/>
      <c r="F259" s="110">
        <f>IF(E259="","",IFERROR(INDEX('Catalogos_PDN'!$C$5:$C$49,MATCH(E259,PN_METAS,0)),""))</f>
        <v/>
      </c>
      <c r="G259" s="110">
        <f>IF(E259="","",IFERROR(INDEX('Catalogos_PDN'!$E$5:$E$49,MATCH(E259,PN_METAS,0)),""))</f>
        <v/>
      </c>
      <c r="H259" s="111" t="n"/>
      <c r="I259" s="111" t="n"/>
      <c r="J259" s="111" t="n"/>
      <c r="K259" s="111" t="n"/>
      <c r="L259" s="111" t="n"/>
      <c r="M259" s="112" t="n"/>
      <c r="N259" s="111" t="n"/>
      <c r="O259" s="111" t="n"/>
      <c r="P259" s="111" t="n"/>
      <c r="Q259" s="111" t="n"/>
      <c r="R259" s="111" t="n"/>
      <c r="S259" s="111" t="n"/>
      <c r="T259" s="111" t="n"/>
      <c r="U259" s="111" t="n"/>
      <c r="V259" s="111" t="n"/>
      <c r="W259" s="113" t="n"/>
      <c r="X259" s="113" t="n"/>
      <c r="Y259" s="111" t="n"/>
      <c r="Z259" s="111" t="n"/>
      <c r="AA259" s="111" t="n"/>
      <c r="AB259" s="111" t="n"/>
      <c r="AC259" s="111" t="n"/>
      <c r="AD259" s="111" t="n"/>
      <c r="AE259" s="111" t="n"/>
      <c r="AF259" s="111" t="n"/>
      <c r="AG259" s="111" t="n"/>
      <c r="AH259" s="111" t="n"/>
      <c r="AI259" s="111" t="n"/>
      <c r="AJ259" s="114">
        <f>IF(COUNTA(B259,E259,H259,I259,J259,K259,L259,M259,N259,O259,P259,Q259,R259,S259,T259,U259,V259,W259,X259,Y259,Z259,AA259,AB259,AC259,AD259,AE259,AF259,AG259,AH259,AI259)=0,"",IF(OR(B259="",E259="",H259="",J259="",K259="",L259="",M259="",O259="",P259="",Q259="",R259="",S259="",T259="",U259="",W259="",X259="",Y259="",AB259="",AC259="",AE259="",AF259=""),"Incompleta: faltan campos obligatorios",IF(AND(LEFT(H259,6)="PROPIA",I259=""),"Falta el nombre de la acción propia del área",IF(AND(LEFT(H259,4)="AC27",IFERROR(INDEX('Catalogos_PDN'!$T$5:$T$207,MATCH(H259,'Catalogos_PDN'!$U$5:$U$207,0)),"x")&lt;&gt;LEFT(E259,7)),"La acción no corresponde a la meta seleccionada",IF(OR(NOT(ISNUMBER(M259)),M259&lt;10000000,M259&gt;99999999),"Código UNSPSC inválido: registre 8 dígitos",IF(MOD(M259,10000)=0,"UNSPSC a nivel de segmento o familia: use clase o producto",IF(IFERROR(MATCH(P259,PN_MESES,0)&lt;MATCH(O259,PN_MESES,0),TRUE()),"El mes de ofertas es anterior al de inicio del proceso",IF(OR(NOT(ISNUMBER(Q259)),Q259&lt;=0),"Duración inválida",IF(OR(NOT(ISNUMBER(W259)),NOT(ISNUMBER(X259))),"Valor inválido: registre solo números",IF(OR(W259&lt;=0,X259&lt;=0),"Valor inválido: debe ser mayor que cero",IF(X259&gt;W259,"El valor de la vigencia 2027 supera el valor total",IF(AND(X259&lt;W259,Y259="No"),"El valor total supera el de 2027: requiere vigencias futuras",IF(AND(Y259="Sí",OR(Z259="",Z259="No aplica")),"Indique el estado de la solicitud de vigencias futuras",IF(IF(AND(S259="Mínima cuantía",ISNUMBER(PN_TOPE_MINIMA)),W259&gt;PN_TOPE_MINIMA,FALSE()),"El valor supera el tope de mínima cuantía 2027",IF(IF(AND(S259="Selección abreviada de menor cuantía",ISNUMBER(PN_TOPE_MENOR)),W259&gt;PN_TOPE_MENOR,FALSE()),"El valor supera el tope de menor cuantía 2027",IF(OR(ISERROR(SEARCH("@itc.edu.co",AE259)),SUMPRODUCT(--ISNUMBER(SEARCH({"á","é","í","ó","ú","ñ"," "},AE259)))&gt;0),"El correo del responsable no es institucional válido",IF(AND(AF259="Sí",AG259=""),"Indique el N.° de registro 2026 que continúa","OK")))))))))))))))))</f>
        <v/>
      </c>
      <c r="AK259" s="114">
        <f>IF(AJ259="OK",COUNTIF($AJ$7:AJ259,"OK"),"")</f>
        <v/>
      </c>
    </row>
    <row r="260">
      <c r="A260" s="110">
        <f>"PN27-"&amp;TEXT(ROW()-6,"000")</f>
        <v/>
      </c>
      <c r="B260" s="111" t="n"/>
      <c r="C260" s="110">
        <f>IF(B260="","",IFERROR(INDEX('Catalogos_PDN'!$R$5:$R$51,MATCH(B260,PN_AREAS,0)),""))</f>
        <v/>
      </c>
      <c r="D260" s="110">
        <f>IF(B260="","",IFERROR(INDEX('Catalogos_PDN'!$O$5:$O$51,MATCH(B260,PN_AREAS,0)),""))</f>
        <v/>
      </c>
      <c r="E260" s="111" t="n"/>
      <c r="F260" s="110">
        <f>IF(E260="","",IFERROR(INDEX('Catalogos_PDN'!$C$5:$C$49,MATCH(E260,PN_METAS,0)),""))</f>
        <v/>
      </c>
      <c r="G260" s="110">
        <f>IF(E260="","",IFERROR(INDEX('Catalogos_PDN'!$E$5:$E$49,MATCH(E260,PN_METAS,0)),""))</f>
        <v/>
      </c>
      <c r="H260" s="111" t="n"/>
      <c r="I260" s="111" t="n"/>
      <c r="J260" s="111" t="n"/>
      <c r="K260" s="111" t="n"/>
      <c r="L260" s="111" t="n"/>
      <c r="M260" s="112" t="n"/>
      <c r="N260" s="111" t="n"/>
      <c r="O260" s="111" t="n"/>
      <c r="P260" s="111" t="n"/>
      <c r="Q260" s="111" t="n"/>
      <c r="R260" s="111" t="n"/>
      <c r="S260" s="111" t="n"/>
      <c r="T260" s="111" t="n"/>
      <c r="U260" s="111" t="n"/>
      <c r="V260" s="111" t="n"/>
      <c r="W260" s="113" t="n"/>
      <c r="X260" s="113" t="n"/>
      <c r="Y260" s="111" t="n"/>
      <c r="Z260" s="111" t="n"/>
      <c r="AA260" s="111" t="n"/>
      <c r="AB260" s="111" t="n"/>
      <c r="AC260" s="111" t="n"/>
      <c r="AD260" s="111" t="n"/>
      <c r="AE260" s="111" t="n"/>
      <c r="AF260" s="111" t="n"/>
      <c r="AG260" s="111" t="n"/>
      <c r="AH260" s="111" t="n"/>
      <c r="AI260" s="111" t="n"/>
      <c r="AJ260" s="114">
        <f>IF(COUNTA(B260,E260,H260,I260,J260,K260,L260,M260,N260,O260,P260,Q260,R260,S260,T260,U260,V260,W260,X260,Y260,Z260,AA260,AB260,AC260,AD260,AE260,AF260,AG260,AH260,AI260)=0,"",IF(OR(B260="",E260="",H260="",J260="",K260="",L260="",M260="",O260="",P260="",Q260="",R260="",S260="",T260="",U260="",W260="",X260="",Y260="",AB260="",AC260="",AE260="",AF260=""),"Incompleta: faltan campos obligatorios",IF(AND(LEFT(H260,6)="PROPIA",I260=""),"Falta el nombre de la acción propia del área",IF(AND(LEFT(H260,4)="AC27",IFERROR(INDEX('Catalogos_PDN'!$T$5:$T$207,MATCH(H260,'Catalogos_PDN'!$U$5:$U$207,0)),"x")&lt;&gt;LEFT(E260,7)),"La acción no corresponde a la meta seleccionada",IF(OR(NOT(ISNUMBER(M260)),M260&lt;10000000,M260&gt;99999999),"Código UNSPSC inválido: registre 8 dígitos",IF(MOD(M260,10000)=0,"UNSPSC a nivel de segmento o familia: use clase o producto",IF(IFERROR(MATCH(P260,PN_MESES,0)&lt;MATCH(O260,PN_MESES,0),TRUE()),"El mes de ofertas es anterior al de inicio del proceso",IF(OR(NOT(ISNUMBER(Q260)),Q260&lt;=0),"Duración inválida",IF(OR(NOT(ISNUMBER(W260)),NOT(ISNUMBER(X260))),"Valor inválido: registre solo números",IF(OR(W260&lt;=0,X260&lt;=0),"Valor inválido: debe ser mayor que cero",IF(X260&gt;W260,"El valor de la vigencia 2027 supera el valor total",IF(AND(X260&lt;W260,Y260="No"),"El valor total supera el de 2027: requiere vigencias futuras",IF(AND(Y260="Sí",OR(Z260="",Z260="No aplica")),"Indique el estado de la solicitud de vigencias futuras",IF(IF(AND(S260="Mínima cuantía",ISNUMBER(PN_TOPE_MINIMA)),W260&gt;PN_TOPE_MINIMA,FALSE()),"El valor supera el tope de mínima cuantía 2027",IF(IF(AND(S260="Selección abreviada de menor cuantía",ISNUMBER(PN_TOPE_MENOR)),W260&gt;PN_TOPE_MENOR,FALSE()),"El valor supera el tope de menor cuantía 2027",IF(OR(ISERROR(SEARCH("@itc.edu.co",AE260)),SUMPRODUCT(--ISNUMBER(SEARCH({"á","é","í","ó","ú","ñ"," "},AE260)))&gt;0),"El correo del responsable no es institucional válido",IF(AND(AF260="Sí",AG260=""),"Indique el N.° de registro 2026 que continúa","OK")))))))))))))))))</f>
        <v/>
      </c>
      <c r="AK260" s="114">
        <f>IF(AJ260="OK",COUNTIF($AJ$7:AJ260,"OK"),"")</f>
        <v/>
      </c>
    </row>
    <row r="261">
      <c r="A261" s="110">
        <f>"PN27-"&amp;TEXT(ROW()-6,"000")</f>
        <v/>
      </c>
      <c r="B261" s="111" t="n"/>
      <c r="C261" s="110">
        <f>IF(B261="","",IFERROR(INDEX('Catalogos_PDN'!$R$5:$R$51,MATCH(B261,PN_AREAS,0)),""))</f>
        <v/>
      </c>
      <c r="D261" s="110">
        <f>IF(B261="","",IFERROR(INDEX('Catalogos_PDN'!$O$5:$O$51,MATCH(B261,PN_AREAS,0)),""))</f>
        <v/>
      </c>
      <c r="E261" s="111" t="n"/>
      <c r="F261" s="110">
        <f>IF(E261="","",IFERROR(INDEX('Catalogos_PDN'!$C$5:$C$49,MATCH(E261,PN_METAS,0)),""))</f>
        <v/>
      </c>
      <c r="G261" s="110">
        <f>IF(E261="","",IFERROR(INDEX('Catalogos_PDN'!$E$5:$E$49,MATCH(E261,PN_METAS,0)),""))</f>
        <v/>
      </c>
      <c r="H261" s="111" t="n"/>
      <c r="I261" s="111" t="n"/>
      <c r="J261" s="111" t="n"/>
      <c r="K261" s="111" t="n"/>
      <c r="L261" s="111" t="n"/>
      <c r="M261" s="112" t="n"/>
      <c r="N261" s="111" t="n"/>
      <c r="O261" s="111" t="n"/>
      <c r="P261" s="111" t="n"/>
      <c r="Q261" s="111" t="n"/>
      <c r="R261" s="111" t="n"/>
      <c r="S261" s="111" t="n"/>
      <c r="T261" s="111" t="n"/>
      <c r="U261" s="111" t="n"/>
      <c r="V261" s="111" t="n"/>
      <c r="W261" s="113" t="n"/>
      <c r="X261" s="113" t="n"/>
      <c r="Y261" s="111" t="n"/>
      <c r="Z261" s="111" t="n"/>
      <c r="AA261" s="111" t="n"/>
      <c r="AB261" s="111" t="n"/>
      <c r="AC261" s="111" t="n"/>
      <c r="AD261" s="111" t="n"/>
      <c r="AE261" s="111" t="n"/>
      <c r="AF261" s="111" t="n"/>
      <c r="AG261" s="111" t="n"/>
      <c r="AH261" s="111" t="n"/>
      <c r="AI261" s="111" t="n"/>
      <c r="AJ261" s="114">
        <f>IF(COUNTA(B261,E261,H261,I261,J261,K261,L261,M261,N261,O261,P261,Q261,R261,S261,T261,U261,V261,W261,X261,Y261,Z261,AA261,AB261,AC261,AD261,AE261,AF261,AG261,AH261,AI261)=0,"",IF(OR(B261="",E261="",H261="",J261="",K261="",L261="",M261="",O261="",P261="",Q261="",R261="",S261="",T261="",U261="",W261="",X261="",Y261="",AB261="",AC261="",AE261="",AF261=""),"Incompleta: faltan campos obligatorios",IF(AND(LEFT(H261,6)="PROPIA",I261=""),"Falta el nombre de la acción propia del área",IF(AND(LEFT(H261,4)="AC27",IFERROR(INDEX('Catalogos_PDN'!$T$5:$T$207,MATCH(H261,'Catalogos_PDN'!$U$5:$U$207,0)),"x")&lt;&gt;LEFT(E261,7)),"La acción no corresponde a la meta seleccionada",IF(OR(NOT(ISNUMBER(M261)),M261&lt;10000000,M261&gt;99999999),"Código UNSPSC inválido: registre 8 dígitos",IF(MOD(M261,10000)=0,"UNSPSC a nivel de segmento o familia: use clase o producto",IF(IFERROR(MATCH(P261,PN_MESES,0)&lt;MATCH(O261,PN_MESES,0),TRUE()),"El mes de ofertas es anterior al de inicio del proceso",IF(OR(NOT(ISNUMBER(Q261)),Q261&lt;=0),"Duración inválida",IF(OR(NOT(ISNUMBER(W261)),NOT(ISNUMBER(X261))),"Valor inválido: registre solo números",IF(OR(W261&lt;=0,X261&lt;=0),"Valor inválido: debe ser mayor que cero",IF(X261&gt;W261,"El valor de la vigencia 2027 supera el valor total",IF(AND(X261&lt;W261,Y261="No"),"El valor total supera el de 2027: requiere vigencias futuras",IF(AND(Y261="Sí",OR(Z261="",Z261="No aplica")),"Indique el estado de la solicitud de vigencias futuras",IF(IF(AND(S261="Mínima cuantía",ISNUMBER(PN_TOPE_MINIMA)),W261&gt;PN_TOPE_MINIMA,FALSE()),"El valor supera el tope de mínima cuantía 2027",IF(IF(AND(S261="Selección abreviada de menor cuantía",ISNUMBER(PN_TOPE_MENOR)),W261&gt;PN_TOPE_MENOR,FALSE()),"El valor supera el tope de menor cuantía 2027",IF(OR(ISERROR(SEARCH("@itc.edu.co",AE261)),SUMPRODUCT(--ISNUMBER(SEARCH({"á","é","í","ó","ú","ñ"," "},AE261)))&gt;0),"El correo del responsable no es institucional válido",IF(AND(AF261="Sí",AG261=""),"Indique el N.° de registro 2026 que continúa","OK")))))))))))))))))</f>
        <v/>
      </c>
      <c r="AK261" s="114">
        <f>IF(AJ261="OK",COUNTIF($AJ$7:AJ261,"OK"),"")</f>
        <v/>
      </c>
    </row>
    <row r="262">
      <c r="A262" s="110">
        <f>"PN27-"&amp;TEXT(ROW()-6,"000")</f>
        <v/>
      </c>
      <c r="B262" s="111" t="n"/>
      <c r="C262" s="110">
        <f>IF(B262="","",IFERROR(INDEX('Catalogos_PDN'!$R$5:$R$51,MATCH(B262,PN_AREAS,0)),""))</f>
        <v/>
      </c>
      <c r="D262" s="110">
        <f>IF(B262="","",IFERROR(INDEX('Catalogos_PDN'!$O$5:$O$51,MATCH(B262,PN_AREAS,0)),""))</f>
        <v/>
      </c>
      <c r="E262" s="111" t="n"/>
      <c r="F262" s="110">
        <f>IF(E262="","",IFERROR(INDEX('Catalogos_PDN'!$C$5:$C$49,MATCH(E262,PN_METAS,0)),""))</f>
        <v/>
      </c>
      <c r="G262" s="110">
        <f>IF(E262="","",IFERROR(INDEX('Catalogos_PDN'!$E$5:$E$49,MATCH(E262,PN_METAS,0)),""))</f>
        <v/>
      </c>
      <c r="H262" s="111" t="n"/>
      <c r="I262" s="111" t="n"/>
      <c r="J262" s="111" t="n"/>
      <c r="K262" s="111" t="n"/>
      <c r="L262" s="111" t="n"/>
      <c r="M262" s="112" t="n"/>
      <c r="N262" s="111" t="n"/>
      <c r="O262" s="111" t="n"/>
      <c r="P262" s="111" t="n"/>
      <c r="Q262" s="111" t="n"/>
      <c r="R262" s="111" t="n"/>
      <c r="S262" s="111" t="n"/>
      <c r="T262" s="111" t="n"/>
      <c r="U262" s="111" t="n"/>
      <c r="V262" s="111" t="n"/>
      <c r="W262" s="113" t="n"/>
      <c r="X262" s="113" t="n"/>
      <c r="Y262" s="111" t="n"/>
      <c r="Z262" s="111" t="n"/>
      <c r="AA262" s="111" t="n"/>
      <c r="AB262" s="111" t="n"/>
      <c r="AC262" s="111" t="n"/>
      <c r="AD262" s="111" t="n"/>
      <c r="AE262" s="111" t="n"/>
      <c r="AF262" s="111" t="n"/>
      <c r="AG262" s="111" t="n"/>
      <c r="AH262" s="111" t="n"/>
      <c r="AI262" s="111" t="n"/>
      <c r="AJ262" s="114">
        <f>IF(COUNTA(B262,E262,H262,I262,J262,K262,L262,M262,N262,O262,P262,Q262,R262,S262,T262,U262,V262,W262,X262,Y262,Z262,AA262,AB262,AC262,AD262,AE262,AF262,AG262,AH262,AI262)=0,"",IF(OR(B262="",E262="",H262="",J262="",K262="",L262="",M262="",O262="",P262="",Q262="",R262="",S262="",T262="",U262="",W262="",X262="",Y262="",AB262="",AC262="",AE262="",AF262=""),"Incompleta: faltan campos obligatorios",IF(AND(LEFT(H262,6)="PROPIA",I262=""),"Falta el nombre de la acción propia del área",IF(AND(LEFT(H262,4)="AC27",IFERROR(INDEX('Catalogos_PDN'!$T$5:$T$207,MATCH(H262,'Catalogos_PDN'!$U$5:$U$207,0)),"x")&lt;&gt;LEFT(E262,7)),"La acción no corresponde a la meta seleccionada",IF(OR(NOT(ISNUMBER(M262)),M262&lt;10000000,M262&gt;99999999),"Código UNSPSC inválido: registre 8 dígitos",IF(MOD(M262,10000)=0,"UNSPSC a nivel de segmento o familia: use clase o producto",IF(IFERROR(MATCH(P262,PN_MESES,0)&lt;MATCH(O262,PN_MESES,0),TRUE()),"El mes de ofertas es anterior al de inicio del proceso",IF(OR(NOT(ISNUMBER(Q262)),Q262&lt;=0),"Duración inválida",IF(OR(NOT(ISNUMBER(W262)),NOT(ISNUMBER(X262))),"Valor inválido: registre solo números",IF(OR(W262&lt;=0,X262&lt;=0),"Valor inválido: debe ser mayor que cero",IF(X262&gt;W262,"El valor de la vigencia 2027 supera el valor total",IF(AND(X262&lt;W262,Y262="No"),"El valor total supera el de 2027: requiere vigencias futuras",IF(AND(Y262="Sí",OR(Z262="",Z262="No aplica")),"Indique el estado de la solicitud de vigencias futuras",IF(IF(AND(S262="Mínima cuantía",ISNUMBER(PN_TOPE_MINIMA)),W262&gt;PN_TOPE_MINIMA,FALSE()),"El valor supera el tope de mínima cuantía 2027",IF(IF(AND(S262="Selección abreviada de menor cuantía",ISNUMBER(PN_TOPE_MENOR)),W262&gt;PN_TOPE_MENOR,FALSE()),"El valor supera el tope de menor cuantía 2027",IF(OR(ISERROR(SEARCH("@itc.edu.co",AE262)),SUMPRODUCT(--ISNUMBER(SEARCH({"á","é","í","ó","ú","ñ"," "},AE262)))&gt;0),"El correo del responsable no es institucional válido",IF(AND(AF262="Sí",AG262=""),"Indique el N.° de registro 2026 que continúa","OK")))))))))))))))))</f>
        <v/>
      </c>
      <c r="AK262" s="114">
        <f>IF(AJ262="OK",COUNTIF($AJ$7:AJ262,"OK"),"")</f>
        <v/>
      </c>
    </row>
    <row r="263">
      <c r="A263" s="110">
        <f>"PN27-"&amp;TEXT(ROW()-6,"000")</f>
        <v/>
      </c>
      <c r="B263" s="111" t="n"/>
      <c r="C263" s="110">
        <f>IF(B263="","",IFERROR(INDEX('Catalogos_PDN'!$R$5:$R$51,MATCH(B263,PN_AREAS,0)),""))</f>
        <v/>
      </c>
      <c r="D263" s="110">
        <f>IF(B263="","",IFERROR(INDEX('Catalogos_PDN'!$O$5:$O$51,MATCH(B263,PN_AREAS,0)),""))</f>
        <v/>
      </c>
      <c r="E263" s="111" t="n"/>
      <c r="F263" s="110">
        <f>IF(E263="","",IFERROR(INDEX('Catalogos_PDN'!$C$5:$C$49,MATCH(E263,PN_METAS,0)),""))</f>
        <v/>
      </c>
      <c r="G263" s="110">
        <f>IF(E263="","",IFERROR(INDEX('Catalogos_PDN'!$E$5:$E$49,MATCH(E263,PN_METAS,0)),""))</f>
        <v/>
      </c>
      <c r="H263" s="111" t="n"/>
      <c r="I263" s="111" t="n"/>
      <c r="J263" s="111" t="n"/>
      <c r="K263" s="111" t="n"/>
      <c r="L263" s="111" t="n"/>
      <c r="M263" s="112" t="n"/>
      <c r="N263" s="111" t="n"/>
      <c r="O263" s="111" t="n"/>
      <c r="P263" s="111" t="n"/>
      <c r="Q263" s="111" t="n"/>
      <c r="R263" s="111" t="n"/>
      <c r="S263" s="111" t="n"/>
      <c r="T263" s="111" t="n"/>
      <c r="U263" s="111" t="n"/>
      <c r="V263" s="111" t="n"/>
      <c r="W263" s="113" t="n"/>
      <c r="X263" s="113" t="n"/>
      <c r="Y263" s="111" t="n"/>
      <c r="Z263" s="111" t="n"/>
      <c r="AA263" s="111" t="n"/>
      <c r="AB263" s="111" t="n"/>
      <c r="AC263" s="111" t="n"/>
      <c r="AD263" s="111" t="n"/>
      <c r="AE263" s="111" t="n"/>
      <c r="AF263" s="111" t="n"/>
      <c r="AG263" s="111" t="n"/>
      <c r="AH263" s="111" t="n"/>
      <c r="AI263" s="111" t="n"/>
      <c r="AJ263" s="114">
        <f>IF(COUNTA(B263,E263,H263,I263,J263,K263,L263,M263,N263,O263,P263,Q263,R263,S263,T263,U263,V263,W263,X263,Y263,Z263,AA263,AB263,AC263,AD263,AE263,AF263,AG263,AH263,AI263)=0,"",IF(OR(B263="",E263="",H263="",J263="",K263="",L263="",M263="",O263="",P263="",Q263="",R263="",S263="",T263="",U263="",W263="",X263="",Y263="",AB263="",AC263="",AE263="",AF263=""),"Incompleta: faltan campos obligatorios",IF(AND(LEFT(H263,6)="PROPIA",I263=""),"Falta el nombre de la acción propia del área",IF(AND(LEFT(H263,4)="AC27",IFERROR(INDEX('Catalogos_PDN'!$T$5:$T$207,MATCH(H263,'Catalogos_PDN'!$U$5:$U$207,0)),"x")&lt;&gt;LEFT(E263,7)),"La acción no corresponde a la meta seleccionada",IF(OR(NOT(ISNUMBER(M263)),M263&lt;10000000,M263&gt;99999999),"Código UNSPSC inválido: registre 8 dígitos",IF(MOD(M263,10000)=0,"UNSPSC a nivel de segmento o familia: use clase o producto",IF(IFERROR(MATCH(P263,PN_MESES,0)&lt;MATCH(O263,PN_MESES,0),TRUE()),"El mes de ofertas es anterior al de inicio del proceso",IF(OR(NOT(ISNUMBER(Q263)),Q263&lt;=0),"Duración inválida",IF(OR(NOT(ISNUMBER(W263)),NOT(ISNUMBER(X263))),"Valor inválido: registre solo números",IF(OR(W263&lt;=0,X263&lt;=0),"Valor inválido: debe ser mayor que cero",IF(X263&gt;W263,"El valor de la vigencia 2027 supera el valor total",IF(AND(X263&lt;W263,Y263="No"),"El valor total supera el de 2027: requiere vigencias futuras",IF(AND(Y263="Sí",OR(Z263="",Z263="No aplica")),"Indique el estado de la solicitud de vigencias futuras",IF(IF(AND(S263="Mínima cuantía",ISNUMBER(PN_TOPE_MINIMA)),W263&gt;PN_TOPE_MINIMA,FALSE()),"El valor supera el tope de mínima cuantía 2027",IF(IF(AND(S263="Selección abreviada de menor cuantía",ISNUMBER(PN_TOPE_MENOR)),W263&gt;PN_TOPE_MENOR,FALSE()),"El valor supera el tope de menor cuantía 2027",IF(OR(ISERROR(SEARCH("@itc.edu.co",AE263)),SUMPRODUCT(--ISNUMBER(SEARCH({"á","é","í","ó","ú","ñ"," "},AE263)))&gt;0),"El correo del responsable no es institucional válido",IF(AND(AF263="Sí",AG263=""),"Indique el N.° de registro 2026 que continúa","OK")))))))))))))))))</f>
        <v/>
      </c>
      <c r="AK263" s="114">
        <f>IF(AJ263="OK",COUNTIF($AJ$7:AJ263,"OK"),"")</f>
        <v/>
      </c>
    </row>
    <row r="264">
      <c r="A264" s="110">
        <f>"PN27-"&amp;TEXT(ROW()-6,"000")</f>
        <v/>
      </c>
      <c r="B264" s="111" t="n"/>
      <c r="C264" s="110">
        <f>IF(B264="","",IFERROR(INDEX('Catalogos_PDN'!$R$5:$R$51,MATCH(B264,PN_AREAS,0)),""))</f>
        <v/>
      </c>
      <c r="D264" s="110">
        <f>IF(B264="","",IFERROR(INDEX('Catalogos_PDN'!$O$5:$O$51,MATCH(B264,PN_AREAS,0)),""))</f>
        <v/>
      </c>
      <c r="E264" s="111" t="n"/>
      <c r="F264" s="110">
        <f>IF(E264="","",IFERROR(INDEX('Catalogos_PDN'!$C$5:$C$49,MATCH(E264,PN_METAS,0)),""))</f>
        <v/>
      </c>
      <c r="G264" s="110">
        <f>IF(E264="","",IFERROR(INDEX('Catalogos_PDN'!$E$5:$E$49,MATCH(E264,PN_METAS,0)),""))</f>
        <v/>
      </c>
      <c r="H264" s="111" t="n"/>
      <c r="I264" s="111" t="n"/>
      <c r="J264" s="111" t="n"/>
      <c r="K264" s="111" t="n"/>
      <c r="L264" s="111" t="n"/>
      <c r="M264" s="112" t="n"/>
      <c r="N264" s="111" t="n"/>
      <c r="O264" s="111" t="n"/>
      <c r="P264" s="111" t="n"/>
      <c r="Q264" s="111" t="n"/>
      <c r="R264" s="111" t="n"/>
      <c r="S264" s="111" t="n"/>
      <c r="T264" s="111" t="n"/>
      <c r="U264" s="111" t="n"/>
      <c r="V264" s="111" t="n"/>
      <c r="W264" s="113" t="n"/>
      <c r="X264" s="113" t="n"/>
      <c r="Y264" s="111" t="n"/>
      <c r="Z264" s="111" t="n"/>
      <c r="AA264" s="111" t="n"/>
      <c r="AB264" s="111" t="n"/>
      <c r="AC264" s="111" t="n"/>
      <c r="AD264" s="111" t="n"/>
      <c r="AE264" s="111" t="n"/>
      <c r="AF264" s="111" t="n"/>
      <c r="AG264" s="111" t="n"/>
      <c r="AH264" s="111" t="n"/>
      <c r="AI264" s="111" t="n"/>
      <c r="AJ264" s="114">
        <f>IF(COUNTA(B264,E264,H264,I264,J264,K264,L264,M264,N264,O264,P264,Q264,R264,S264,T264,U264,V264,W264,X264,Y264,Z264,AA264,AB264,AC264,AD264,AE264,AF264,AG264,AH264,AI264)=0,"",IF(OR(B264="",E264="",H264="",J264="",K264="",L264="",M264="",O264="",P264="",Q264="",R264="",S264="",T264="",U264="",W264="",X264="",Y264="",AB264="",AC264="",AE264="",AF264=""),"Incompleta: faltan campos obligatorios",IF(AND(LEFT(H264,6)="PROPIA",I264=""),"Falta el nombre de la acción propia del área",IF(AND(LEFT(H264,4)="AC27",IFERROR(INDEX('Catalogos_PDN'!$T$5:$T$207,MATCH(H264,'Catalogos_PDN'!$U$5:$U$207,0)),"x")&lt;&gt;LEFT(E264,7)),"La acción no corresponde a la meta seleccionada",IF(OR(NOT(ISNUMBER(M264)),M264&lt;10000000,M264&gt;99999999),"Código UNSPSC inválido: registre 8 dígitos",IF(MOD(M264,10000)=0,"UNSPSC a nivel de segmento o familia: use clase o producto",IF(IFERROR(MATCH(P264,PN_MESES,0)&lt;MATCH(O264,PN_MESES,0),TRUE()),"El mes de ofertas es anterior al de inicio del proceso",IF(OR(NOT(ISNUMBER(Q264)),Q264&lt;=0),"Duración inválida",IF(OR(NOT(ISNUMBER(W264)),NOT(ISNUMBER(X264))),"Valor inválido: registre solo números",IF(OR(W264&lt;=0,X264&lt;=0),"Valor inválido: debe ser mayor que cero",IF(X264&gt;W264,"El valor de la vigencia 2027 supera el valor total",IF(AND(X264&lt;W264,Y264="No"),"El valor total supera el de 2027: requiere vigencias futuras",IF(AND(Y264="Sí",OR(Z264="",Z264="No aplica")),"Indique el estado de la solicitud de vigencias futuras",IF(IF(AND(S264="Mínima cuantía",ISNUMBER(PN_TOPE_MINIMA)),W264&gt;PN_TOPE_MINIMA,FALSE()),"El valor supera el tope de mínima cuantía 2027",IF(IF(AND(S264="Selección abreviada de menor cuantía",ISNUMBER(PN_TOPE_MENOR)),W264&gt;PN_TOPE_MENOR,FALSE()),"El valor supera el tope de menor cuantía 2027",IF(OR(ISERROR(SEARCH("@itc.edu.co",AE264)),SUMPRODUCT(--ISNUMBER(SEARCH({"á","é","í","ó","ú","ñ"," "},AE264)))&gt;0),"El correo del responsable no es institucional válido",IF(AND(AF264="Sí",AG264=""),"Indique el N.° de registro 2026 que continúa","OK")))))))))))))))))</f>
        <v/>
      </c>
      <c r="AK264" s="114">
        <f>IF(AJ264="OK",COUNTIF($AJ$7:AJ264,"OK"),"")</f>
        <v/>
      </c>
    </row>
    <row r="265">
      <c r="A265" s="110">
        <f>"PN27-"&amp;TEXT(ROW()-6,"000")</f>
        <v/>
      </c>
      <c r="B265" s="111" t="n"/>
      <c r="C265" s="110">
        <f>IF(B265="","",IFERROR(INDEX('Catalogos_PDN'!$R$5:$R$51,MATCH(B265,PN_AREAS,0)),""))</f>
        <v/>
      </c>
      <c r="D265" s="110">
        <f>IF(B265="","",IFERROR(INDEX('Catalogos_PDN'!$O$5:$O$51,MATCH(B265,PN_AREAS,0)),""))</f>
        <v/>
      </c>
      <c r="E265" s="111" t="n"/>
      <c r="F265" s="110">
        <f>IF(E265="","",IFERROR(INDEX('Catalogos_PDN'!$C$5:$C$49,MATCH(E265,PN_METAS,0)),""))</f>
        <v/>
      </c>
      <c r="G265" s="110">
        <f>IF(E265="","",IFERROR(INDEX('Catalogos_PDN'!$E$5:$E$49,MATCH(E265,PN_METAS,0)),""))</f>
        <v/>
      </c>
      <c r="H265" s="111" t="n"/>
      <c r="I265" s="111" t="n"/>
      <c r="J265" s="111" t="n"/>
      <c r="K265" s="111" t="n"/>
      <c r="L265" s="111" t="n"/>
      <c r="M265" s="112" t="n"/>
      <c r="N265" s="111" t="n"/>
      <c r="O265" s="111" t="n"/>
      <c r="P265" s="111" t="n"/>
      <c r="Q265" s="111" t="n"/>
      <c r="R265" s="111" t="n"/>
      <c r="S265" s="111" t="n"/>
      <c r="T265" s="111" t="n"/>
      <c r="U265" s="111" t="n"/>
      <c r="V265" s="111" t="n"/>
      <c r="W265" s="113" t="n"/>
      <c r="X265" s="113" t="n"/>
      <c r="Y265" s="111" t="n"/>
      <c r="Z265" s="111" t="n"/>
      <c r="AA265" s="111" t="n"/>
      <c r="AB265" s="111" t="n"/>
      <c r="AC265" s="111" t="n"/>
      <c r="AD265" s="111" t="n"/>
      <c r="AE265" s="111" t="n"/>
      <c r="AF265" s="111" t="n"/>
      <c r="AG265" s="111" t="n"/>
      <c r="AH265" s="111" t="n"/>
      <c r="AI265" s="111" t="n"/>
      <c r="AJ265" s="114">
        <f>IF(COUNTA(B265,E265,H265,I265,J265,K265,L265,M265,N265,O265,P265,Q265,R265,S265,T265,U265,V265,W265,X265,Y265,Z265,AA265,AB265,AC265,AD265,AE265,AF265,AG265,AH265,AI265)=0,"",IF(OR(B265="",E265="",H265="",J265="",K265="",L265="",M265="",O265="",P265="",Q265="",R265="",S265="",T265="",U265="",W265="",X265="",Y265="",AB265="",AC265="",AE265="",AF265=""),"Incompleta: faltan campos obligatorios",IF(AND(LEFT(H265,6)="PROPIA",I265=""),"Falta el nombre de la acción propia del área",IF(AND(LEFT(H265,4)="AC27",IFERROR(INDEX('Catalogos_PDN'!$T$5:$T$207,MATCH(H265,'Catalogos_PDN'!$U$5:$U$207,0)),"x")&lt;&gt;LEFT(E265,7)),"La acción no corresponde a la meta seleccionada",IF(OR(NOT(ISNUMBER(M265)),M265&lt;10000000,M265&gt;99999999),"Código UNSPSC inválido: registre 8 dígitos",IF(MOD(M265,10000)=0,"UNSPSC a nivel de segmento o familia: use clase o producto",IF(IFERROR(MATCH(P265,PN_MESES,0)&lt;MATCH(O265,PN_MESES,0),TRUE()),"El mes de ofertas es anterior al de inicio del proceso",IF(OR(NOT(ISNUMBER(Q265)),Q265&lt;=0),"Duración inválida",IF(OR(NOT(ISNUMBER(W265)),NOT(ISNUMBER(X265))),"Valor inválido: registre solo números",IF(OR(W265&lt;=0,X265&lt;=0),"Valor inválido: debe ser mayor que cero",IF(X265&gt;W265,"El valor de la vigencia 2027 supera el valor total",IF(AND(X265&lt;W265,Y265="No"),"El valor total supera el de 2027: requiere vigencias futuras",IF(AND(Y265="Sí",OR(Z265="",Z265="No aplica")),"Indique el estado de la solicitud de vigencias futuras",IF(IF(AND(S265="Mínima cuantía",ISNUMBER(PN_TOPE_MINIMA)),W265&gt;PN_TOPE_MINIMA,FALSE()),"El valor supera el tope de mínima cuantía 2027",IF(IF(AND(S265="Selección abreviada de menor cuantía",ISNUMBER(PN_TOPE_MENOR)),W265&gt;PN_TOPE_MENOR,FALSE()),"El valor supera el tope de menor cuantía 2027",IF(OR(ISERROR(SEARCH("@itc.edu.co",AE265)),SUMPRODUCT(--ISNUMBER(SEARCH({"á","é","í","ó","ú","ñ"," "},AE265)))&gt;0),"El correo del responsable no es institucional válido",IF(AND(AF265="Sí",AG265=""),"Indique el N.° de registro 2026 que continúa","OK")))))))))))))))))</f>
        <v/>
      </c>
      <c r="AK265" s="114">
        <f>IF(AJ265="OK",COUNTIF($AJ$7:AJ265,"OK"),"")</f>
        <v/>
      </c>
    </row>
    <row r="266">
      <c r="A266" s="110">
        <f>"PN27-"&amp;TEXT(ROW()-6,"000")</f>
        <v/>
      </c>
      <c r="B266" s="111" t="n"/>
      <c r="C266" s="110">
        <f>IF(B266="","",IFERROR(INDEX('Catalogos_PDN'!$R$5:$R$51,MATCH(B266,PN_AREAS,0)),""))</f>
        <v/>
      </c>
      <c r="D266" s="110">
        <f>IF(B266="","",IFERROR(INDEX('Catalogos_PDN'!$O$5:$O$51,MATCH(B266,PN_AREAS,0)),""))</f>
        <v/>
      </c>
      <c r="E266" s="111" t="n"/>
      <c r="F266" s="110">
        <f>IF(E266="","",IFERROR(INDEX('Catalogos_PDN'!$C$5:$C$49,MATCH(E266,PN_METAS,0)),""))</f>
        <v/>
      </c>
      <c r="G266" s="110">
        <f>IF(E266="","",IFERROR(INDEX('Catalogos_PDN'!$E$5:$E$49,MATCH(E266,PN_METAS,0)),""))</f>
        <v/>
      </c>
      <c r="H266" s="111" t="n"/>
      <c r="I266" s="111" t="n"/>
      <c r="J266" s="111" t="n"/>
      <c r="K266" s="111" t="n"/>
      <c r="L266" s="111" t="n"/>
      <c r="M266" s="112" t="n"/>
      <c r="N266" s="111" t="n"/>
      <c r="O266" s="111" t="n"/>
      <c r="P266" s="111" t="n"/>
      <c r="Q266" s="111" t="n"/>
      <c r="R266" s="111" t="n"/>
      <c r="S266" s="111" t="n"/>
      <c r="T266" s="111" t="n"/>
      <c r="U266" s="111" t="n"/>
      <c r="V266" s="111" t="n"/>
      <c r="W266" s="113" t="n"/>
      <c r="X266" s="113" t="n"/>
      <c r="Y266" s="111" t="n"/>
      <c r="Z266" s="111" t="n"/>
      <c r="AA266" s="111" t="n"/>
      <c r="AB266" s="111" t="n"/>
      <c r="AC266" s="111" t="n"/>
      <c r="AD266" s="111" t="n"/>
      <c r="AE266" s="111" t="n"/>
      <c r="AF266" s="111" t="n"/>
      <c r="AG266" s="111" t="n"/>
      <c r="AH266" s="111" t="n"/>
      <c r="AI266" s="111" t="n"/>
      <c r="AJ266" s="114">
        <f>IF(COUNTA(B266,E266,H266,I266,J266,K266,L266,M266,N266,O266,P266,Q266,R266,S266,T266,U266,V266,W266,X266,Y266,Z266,AA266,AB266,AC266,AD266,AE266,AF266,AG266,AH266,AI266)=0,"",IF(OR(B266="",E266="",H266="",J266="",K266="",L266="",M266="",O266="",P266="",Q266="",R266="",S266="",T266="",U266="",W266="",X266="",Y266="",AB266="",AC266="",AE266="",AF266=""),"Incompleta: faltan campos obligatorios",IF(AND(LEFT(H266,6)="PROPIA",I266=""),"Falta el nombre de la acción propia del área",IF(AND(LEFT(H266,4)="AC27",IFERROR(INDEX('Catalogos_PDN'!$T$5:$T$207,MATCH(H266,'Catalogos_PDN'!$U$5:$U$207,0)),"x")&lt;&gt;LEFT(E266,7)),"La acción no corresponde a la meta seleccionada",IF(OR(NOT(ISNUMBER(M266)),M266&lt;10000000,M266&gt;99999999),"Código UNSPSC inválido: registre 8 dígitos",IF(MOD(M266,10000)=0,"UNSPSC a nivel de segmento o familia: use clase o producto",IF(IFERROR(MATCH(P266,PN_MESES,0)&lt;MATCH(O266,PN_MESES,0),TRUE()),"El mes de ofertas es anterior al de inicio del proceso",IF(OR(NOT(ISNUMBER(Q266)),Q266&lt;=0),"Duración inválida",IF(OR(NOT(ISNUMBER(W266)),NOT(ISNUMBER(X266))),"Valor inválido: registre solo números",IF(OR(W266&lt;=0,X266&lt;=0),"Valor inválido: debe ser mayor que cero",IF(X266&gt;W266,"El valor de la vigencia 2027 supera el valor total",IF(AND(X266&lt;W266,Y266="No"),"El valor total supera el de 2027: requiere vigencias futuras",IF(AND(Y266="Sí",OR(Z266="",Z266="No aplica")),"Indique el estado de la solicitud de vigencias futuras",IF(IF(AND(S266="Mínima cuantía",ISNUMBER(PN_TOPE_MINIMA)),W266&gt;PN_TOPE_MINIMA,FALSE()),"El valor supera el tope de mínima cuantía 2027",IF(IF(AND(S266="Selección abreviada de menor cuantía",ISNUMBER(PN_TOPE_MENOR)),W266&gt;PN_TOPE_MENOR,FALSE()),"El valor supera el tope de menor cuantía 2027",IF(OR(ISERROR(SEARCH("@itc.edu.co",AE266)),SUMPRODUCT(--ISNUMBER(SEARCH({"á","é","í","ó","ú","ñ"," "},AE266)))&gt;0),"El correo del responsable no es institucional válido",IF(AND(AF266="Sí",AG266=""),"Indique el N.° de registro 2026 que continúa","OK")))))))))))))))))</f>
        <v/>
      </c>
      <c r="AK266" s="114">
        <f>IF(AJ266="OK",COUNTIF($AJ$7:AJ266,"OK"),"")</f>
        <v/>
      </c>
    </row>
    <row r="267">
      <c r="A267" s="110">
        <f>"PN27-"&amp;TEXT(ROW()-6,"000")</f>
        <v/>
      </c>
      <c r="B267" s="111" t="n"/>
      <c r="C267" s="110">
        <f>IF(B267="","",IFERROR(INDEX('Catalogos_PDN'!$R$5:$R$51,MATCH(B267,PN_AREAS,0)),""))</f>
        <v/>
      </c>
      <c r="D267" s="110">
        <f>IF(B267="","",IFERROR(INDEX('Catalogos_PDN'!$O$5:$O$51,MATCH(B267,PN_AREAS,0)),""))</f>
        <v/>
      </c>
      <c r="E267" s="111" t="n"/>
      <c r="F267" s="110">
        <f>IF(E267="","",IFERROR(INDEX('Catalogos_PDN'!$C$5:$C$49,MATCH(E267,PN_METAS,0)),""))</f>
        <v/>
      </c>
      <c r="G267" s="110">
        <f>IF(E267="","",IFERROR(INDEX('Catalogos_PDN'!$E$5:$E$49,MATCH(E267,PN_METAS,0)),""))</f>
        <v/>
      </c>
      <c r="H267" s="111" t="n"/>
      <c r="I267" s="111" t="n"/>
      <c r="J267" s="111" t="n"/>
      <c r="K267" s="111" t="n"/>
      <c r="L267" s="111" t="n"/>
      <c r="M267" s="112" t="n"/>
      <c r="N267" s="111" t="n"/>
      <c r="O267" s="111" t="n"/>
      <c r="P267" s="111" t="n"/>
      <c r="Q267" s="111" t="n"/>
      <c r="R267" s="111" t="n"/>
      <c r="S267" s="111" t="n"/>
      <c r="T267" s="111" t="n"/>
      <c r="U267" s="111" t="n"/>
      <c r="V267" s="111" t="n"/>
      <c r="W267" s="113" t="n"/>
      <c r="X267" s="113" t="n"/>
      <c r="Y267" s="111" t="n"/>
      <c r="Z267" s="111" t="n"/>
      <c r="AA267" s="111" t="n"/>
      <c r="AB267" s="111" t="n"/>
      <c r="AC267" s="111" t="n"/>
      <c r="AD267" s="111" t="n"/>
      <c r="AE267" s="111" t="n"/>
      <c r="AF267" s="111" t="n"/>
      <c r="AG267" s="111" t="n"/>
      <c r="AH267" s="111" t="n"/>
      <c r="AI267" s="111" t="n"/>
      <c r="AJ267" s="114">
        <f>IF(COUNTA(B267,E267,H267,I267,J267,K267,L267,M267,N267,O267,P267,Q267,R267,S267,T267,U267,V267,W267,X267,Y267,Z267,AA267,AB267,AC267,AD267,AE267,AF267,AG267,AH267,AI267)=0,"",IF(OR(B267="",E267="",H267="",J267="",K267="",L267="",M267="",O267="",P267="",Q267="",R267="",S267="",T267="",U267="",W267="",X267="",Y267="",AB267="",AC267="",AE267="",AF267=""),"Incompleta: faltan campos obligatorios",IF(AND(LEFT(H267,6)="PROPIA",I267=""),"Falta el nombre de la acción propia del área",IF(AND(LEFT(H267,4)="AC27",IFERROR(INDEX('Catalogos_PDN'!$T$5:$T$207,MATCH(H267,'Catalogos_PDN'!$U$5:$U$207,0)),"x")&lt;&gt;LEFT(E267,7)),"La acción no corresponde a la meta seleccionada",IF(OR(NOT(ISNUMBER(M267)),M267&lt;10000000,M267&gt;99999999),"Código UNSPSC inválido: registre 8 dígitos",IF(MOD(M267,10000)=0,"UNSPSC a nivel de segmento o familia: use clase o producto",IF(IFERROR(MATCH(P267,PN_MESES,0)&lt;MATCH(O267,PN_MESES,0),TRUE()),"El mes de ofertas es anterior al de inicio del proceso",IF(OR(NOT(ISNUMBER(Q267)),Q267&lt;=0),"Duración inválida",IF(OR(NOT(ISNUMBER(W267)),NOT(ISNUMBER(X267))),"Valor inválido: registre solo números",IF(OR(W267&lt;=0,X267&lt;=0),"Valor inválido: debe ser mayor que cero",IF(X267&gt;W267,"El valor de la vigencia 2027 supera el valor total",IF(AND(X267&lt;W267,Y267="No"),"El valor total supera el de 2027: requiere vigencias futuras",IF(AND(Y267="Sí",OR(Z267="",Z267="No aplica")),"Indique el estado de la solicitud de vigencias futuras",IF(IF(AND(S267="Mínima cuantía",ISNUMBER(PN_TOPE_MINIMA)),W267&gt;PN_TOPE_MINIMA,FALSE()),"El valor supera el tope de mínima cuantía 2027",IF(IF(AND(S267="Selección abreviada de menor cuantía",ISNUMBER(PN_TOPE_MENOR)),W267&gt;PN_TOPE_MENOR,FALSE()),"El valor supera el tope de menor cuantía 2027",IF(OR(ISERROR(SEARCH("@itc.edu.co",AE267)),SUMPRODUCT(--ISNUMBER(SEARCH({"á","é","í","ó","ú","ñ"," "},AE267)))&gt;0),"El correo del responsable no es institucional válido",IF(AND(AF267="Sí",AG267=""),"Indique el N.° de registro 2026 que continúa","OK")))))))))))))))))</f>
        <v/>
      </c>
      <c r="AK267" s="114">
        <f>IF(AJ267="OK",COUNTIF($AJ$7:AJ267,"OK"),"")</f>
        <v/>
      </c>
    </row>
    <row r="268">
      <c r="A268" s="110">
        <f>"PN27-"&amp;TEXT(ROW()-6,"000")</f>
        <v/>
      </c>
      <c r="B268" s="111" t="n"/>
      <c r="C268" s="110">
        <f>IF(B268="","",IFERROR(INDEX('Catalogos_PDN'!$R$5:$R$51,MATCH(B268,PN_AREAS,0)),""))</f>
        <v/>
      </c>
      <c r="D268" s="110">
        <f>IF(B268="","",IFERROR(INDEX('Catalogos_PDN'!$O$5:$O$51,MATCH(B268,PN_AREAS,0)),""))</f>
        <v/>
      </c>
      <c r="E268" s="111" t="n"/>
      <c r="F268" s="110">
        <f>IF(E268="","",IFERROR(INDEX('Catalogos_PDN'!$C$5:$C$49,MATCH(E268,PN_METAS,0)),""))</f>
        <v/>
      </c>
      <c r="G268" s="110">
        <f>IF(E268="","",IFERROR(INDEX('Catalogos_PDN'!$E$5:$E$49,MATCH(E268,PN_METAS,0)),""))</f>
        <v/>
      </c>
      <c r="H268" s="111" t="n"/>
      <c r="I268" s="111" t="n"/>
      <c r="J268" s="111" t="n"/>
      <c r="K268" s="111" t="n"/>
      <c r="L268" s="111" t="n"/>
      <c r="M268" s="112" t="n"/>
      <c r="N268" s="111" t="n"/>
      <c r="O268" s="111" t="n"/>
      <c r="P268" s="111" t="n"/>
      <c r="Q268" s="111" t="n"/>
      <c r="R268" s="111" t="n"/>
      <c r="S268" s="111" t="n"/>
      <c r="T268" s="111" t="n"/>
      <c r="U268" s="111" t="n"/>
      <c r="V268" s="111" t="n"/>
      <c r="W268" s="113" t="n"/>
      <c r="X268" s="113" t="n"/>
      <c r="Y268" s="111" t="n"/>
      <c r="Z268" s="111" t="n"/>
      <c r="AA268" s="111" t="n"/>
      <c r="AB268" s="111" t="n"/>
      <c r="AC268" s="111" t="n"/>
      <c r="AD268" s="111" t="n"/>
      <c r="AE268" s="111" t="n"/>
      <c r="AF268" s="111" t="n"/>
      <c r="AG268" s="111" t="n"/>
      <c r="AH268" s="111" t="n"/>
      <c r="AI268" s="111" t="n"/>
      <c r="AJ268" s="114">
        <f>IF(COUNTA(B268,E268,H268,I268,J268,K268,L268,M268,N268,O268,P268,Q268,R268,S268,T268,U268,V268,W268,X268,Y268,Z268,AA268,AB268,AC268,AD268,AE268,AF268,AG268,AH268,AI268)=0,"",IF(OR(B268="",E268="",H268="",J268="",K268="",L268="",M268="",O268="",P268="",Q268="",R268="",S268="",T268="",U268="",W268="",X268="",Y268="",AB268="",AC268="",AE268="",AF268=""),"Incompleta: faltan campos obligatorios",IF(AND(LEFT(H268,6)="PROPIA",I268=""),"Falta el nombre de la acción propia del área",IF(AND(LEFT(H268,4)="AC27",IFERROR(INDEX('Catalogos_PDN'!$T$5:$T$207,MATCH(H268,'Catalogos_PDN'!$U$5:$U$207,0)),"x")&lt;&gt;LEFT(E268,7)),"La acción no corresponde a la meta seleccionada",IF(OR(NOT(ISNUMBER(M268)),M268&lt;10000000,M268&gt;99999999),"Código UNSPSC inválido: registre 8 dígitos",IF(MOD(M268,10000)=0,"UNSPSC a nivel de segmento o familia: use clase o producto",IF(IFERROR(MATCH(P268,PN_MESES,0)&lt;MATCH(O268,PN_MESES,0),TRUE()),"El mes de ofertas es anterior al de inicio del proceso",IF(OR(NOT(ISNUMBER(Q268)),Q268&lt;=0),"Duración inválida",IF(OR(NOT(ISNUMBER(W268)),NOT(ISNUMBER(X268))),"Valor inválido: registre solo números",IF(OR(W268&lt;=0,X268&lt;=0),"Valor inválido: debe ser mayor que cero",IF(X268&gt;W268,"El valor de la vigencia 2027 supera el valor total",IF(AND(X268&lt;W268,Y268="No"),"El valor total supera el de 2027: requiere vigencias futuras",IF(AND(Y268="Sí",OR(Z268="",Z268="No aplica")),"Indique el estado de la solicitud de vigencias futuras",IF(IF(AND(S268="Mínima cuantía",ISNUMBER(PN_TOPE_MINIMA)),W268&gt;PN_TOPE_MINIMA,FALSE()),"El valor supera el tope de mínima cuantía 2027",IF(IF(AND(S268="Selección abreviada de menor cuantía",ISNUMBER(PN_TOPE_MENOR)),W268&gt;PN_TOPE_MENOR,FALSE()),"El valor supera el tope de menor cuantía 2027",IF(OR(ISERROR(SEARCH("@itc.edu.co",AE268)),SUMPRODUCT(--ISNUMBER(SEARCH({"á","é","í","ó","ú","ñ"," "},AE268)))&gt;0),"El correo del responsable no es institucional válido",IF(AND(AF268="Sí",AG268=""),"Indique el N.° de registro 2026 que continúa","OK")))))))))))))))))</f>
        <v/>
      </c>
      <c r="AK268" s="114">
        <f>IF(AJ268="OK",COUNTIF($AJ$7:AJ268,"OK"),"")</f>
        <v/>
      </c>
    </row>
    <row r="269">
      <c r="A269" s="110">
        <f>"PN27-"&amp;TEXT(ROW()-6,"000")</f>
        <v/>
      </c>
      <c r="B269" s="111" t="n"/>
      <c r="C269" s="110">
        <f>IF(B269="","",IFERROR(INDEX('Catalogos_PDN'!$R$5:$R$51,MATCH(B269,PN_AREAS,0)),""))</f>
        <v/>
      </c>
      <c r="D269" s="110">
        <f>IF(B269="","",IFERROR(INDEX('Catalogos_PDN'!$O$5:$O$51,MATCH(B269,PN_AREAS,0)),""))</f>
        <v/>
      </c>
      <c r="E269" s="111" t="n"/>
      <c r="F269" s="110">
        <f>IF(E269="","",IFERROR(INDEX('Catalogos_PDN'!$C$5:$C$49,MATCH(E269,PN_METAS,0)),""))</f>
        <v/>
      </c>
      <c r="G269" s="110">
        <f>IF(E269="","",IFERROR(INDEX('Catalogos_PDN'!$E$5:$E$49,MATCH(E269,PN_METAS,0)),""))</f>
        <v/>
      </c>
      <c r="H269" s="111" t="n"/>
      <c r="I269" s="111" t="n"/>
      <c r="J269" s="111" t="n"/>
      <c r="K269" s="111" t="n"/>
      <c r="L269" s="111" t="n"/>
      <c r="M269" s="112" t="n"/>
      <c r="N269" s="111" t="n"/>
      <c r="O269" s="111" t="n"/>
      <c r="P269" s="111" t="n"/>
      <c r="Q269" s="111" t="n"/>
      <c r="R269" s="111" t="n"/>
      <c r="S269" s="111" t="n"/>
      <c r="T269" s="111" t="n"/>
      <c r="U269" s="111" t="n"/>
      <c r="V269" s="111" t="n"/>
      <c r="W269" s="113" t="n"/>
      <c r="X269" s="113" t="n"/>
      <c r="Y269" s="111" t="n"/>
      <c r="Z269" s="111" t="n"/>
      <c r="AA269" s="111" t="n"/>
      <c r="AB269" s="111" t="n"/>
      <c r="AC269" s="111" t="n"/>
      <c r="AD269" s="111" t="n"/>
      <c r="AE269" s="111" t="n"/>
      <c r="AF269" s="111" t="n"/>
      <c r="AG269" s="111" t="n"/>
      <c r="AH269" s="111" t="n"/>
      <c r="AI269" s="111" t="n"/>
      <c r="AJ269" s="114">
        <f>IF(COUNTA(B269,E269,H269,I269,J269,K269,L269,M269,N269,O269,P269,Q269,R269,S269,T269,U269,V269,W269,X269,Y269,Z269,AA269,AB269,AC269,AD269,AE269,AF269,AG269,AH269,AI269)=0,"",IF(OR(B269="",E269="",H269="",J269="",K269="",L269="",M269="",O269="",P269="",Q269="",R269="",S269="",T269="",U269="",W269="",X269="",Y269="",AB269="",AC269="",AE269="",AF269=""),"Incompleta: faltan campos obligatorios",IF(AND(LEFT(H269,6)="PROPIA",I269=""),"Falta el nombre de la acción propia del área",IF(AND(LEFT(H269,4)="AC27",IFERROR(INDEX('Catalogos_PDN'!$T$5:$T$207,MATCH(H269,'Catalogos_PDN'!$U$5:$U$207,0)),"x")&lt;&gt;LEFT(E269,7)),"La acción no corresponde a la meta seleccionada",IF(OR(NOT(ISNUMBER(M269)),M269&lt;10000000,M269&gt;99999999),"Código UNSPSC inválido: registre 8 dígitos",IF(MOD(M269,10000)=0,"UNSPSC a nivel de segmento o familia: use clase o producto",IF(IFERROR(MATCH(P269,PN_MESES,0)&lt;MATCH(O269,PN_MESES,0),TRUE()),"El mes de ofertas es anterior al de inicio del proceso",IF(OR(NOT(ISNUMBER(Q269)),Q269&lt;=0),"Duración inválida",IF(OR(NOT(ISNUMBER(W269)),NOT(ISNUMBER(X269))),"Valor inválido: registre solo números",IF(OR(W269&lt;=0,X269&lt;=0),"Valor inválido: debe ser mayor que cero",IF(X269&gt;W269,"El valor de la vigencia 2027 supera el valor total",IF(AND(X269&lt;W269,Y269="No"),"El valor total supera el de 2027: requiere vigencias futuras",IF(AND(Y269="Sí",OR(Z269="",Z269="No aplica")),"Indique el estado de la solicitud de vigencias futuras",IF(IF(AND(S269="Mínima cuantía",ISNUMBER(PN_TOPE_MINIMA)),W269&gt;PN_TOPE_MINIMA,FALSE()),"El valor supera el tope de mínima cuantía 2027",IF(IF(AND(S269="Selección abreviada de menor cuantía",ISNUMBER(PN_TOPE_MENOR)),W269&gt;PN_TOPE_MENOR,FALSE()),"El valor supera el tope de menor cuantía 2027",IF(OR(ISERROR(SEARCH("@itc.edu.co",AE269)),SUMPRODUCT(--ISNUMBER(SEARCH({"á","é","í","ó","ú","ñ"," "},AE269)))&gt;0),"El correo del responsable no es institucional válido",IF(AND(AF269="Sí",AG269=""),"Indique el N.° de registro 2026 que continúa","OK")))))))))))))))))</f>
        <v/>
      </c>
      <c r="AK269" s="114">
        <f>IF(AJ269="OK",COUNTIF($AJ$7:AJ269,"OK"),"")</f>
        <v/>
      </c>
    </row>
    <row r="270">
      <c r="A270" s="110">
        <f>"PN27-"&amp;TEXT(ROW()-6,"000")</f>
        <v/>
      </c>
      <c r="B270" s="111" t="n"/>
      <c r="C270" s="110">
        <f>IF(B270="","",IFERROR(INDEX('Catalogos_PDN'!$R$5:$R$51,MATCH(B270,PN_AREAS,0)),""))</f>
        <v/>
      </c>
      <c r="D270" s="110">
        <f>IF(B270="","",IFERROR(INDEX('Catalogos_PDN'!$O$5:$O$51,MATCH(B270,PN_AREAS,0)),""))</f>
        <v/>
      </c>
      <c r="E270" s="111" t="n"/>
      <c r="F270" s="110">
        <f>IF(E270="","",IFERROR(INDEX('Catalogos_PDN'!$C$5:$C$49,MATCH(E270,PN_METAS,0)),""))</f>
        <v/>
      </c>
      <c r="G270" s="110">
        <f>IF(E270="","",IFERROR(INDEX('Catalogos_PDN'!$E$5:$E$49,MATCH(E270,PN_METAS,0)),""))</f>
        <v/>
      </c>
      <c r="H270" s="111" t="n"/>
      <c r="I270" s="111" t="n"/>
      <c r="J270" s="111" t="n"/>
      <c r="K270" s="111" t="n"/>
      <c r="L270" s="111" t="n"/>
      <c r="M270" s="112" t="n"/>
      <c r="N270" s="111" t="n"/>
      <c r="O270" s="111" t="n"/>
      <c r="P270" s="111" t="n"/>
      <c r="Q270" s="111" t="n"/>
      <c r="R270" s="111" t="n"/>
      <c r="S270" s="111" t="n"/>
      <c r="T270" s="111" t="n"/>
      <c r="U270" s="111" t="n"/>
      <c r="V270" s="111" t="n"/>
      <c r="W270" s="113" t="n"/>
      <c r="X270" s="113" t="n"/>
      <c r="Y270" s="111" t="n"/>
      <c r="Z270" s="111" t="n"/>
      <c r="AA270" s="111" t="n"/>
      <c r="AB270" s="111" t="n"/>
      <c r="AC270" s="111" t="n"/>
      <c r="AD270" s="111" t="n"/>
      <c r="AE270" s="111" t="n"/>
      <c r="AF270" s="111" t="n"/>
      <c r="AG270" s="111" t="n"/>
      <c r="AH270" s="111" t="n"/>
      <c r="AI270" s="111" t="n"/>
      <c r="AJ270" s="114">
        <f>IF(COUNTA(B270,E270,H270,I270,J270,K270,L270,M270,N270,O270,P270,Q270,R270,S270,T270,U270,V270,W270,X270,Y270,Z270,AA270,AB270,AC270,AD270,AE270,AF270,AG270,AH270,AI270)=0,"",IF(OR(B270="",E270="",H270="",J270="",K270="",L270="",M270="",O270="",P270="",Q270="",R270="",S270="",T270="",U270="",W270="",X270="",Y270="",AB270="",AC270="",AE270="",AF270=""),"Incompleta: faltan campos obligatorios",IF(AND(LEFT(H270,6)="PROPIA",I270=""),"Falta el nombre de la acción propia del área",IF(AND(LEFT(H270,4)="AC27",IFERROR(INDEX('Catalogos_PDN'!$T$5:$T$207,MATCH(H270,'Catalogos_PDN'!$U$5:$U$207,0)),"x")&lt;&gt;LEFT(E270,7)),"La acción no corresponde a la meta seleccionada",IF(OR(NOT(ISNUMBER(M270)),M270&lt;10000000,M270&gt;99999999),"Código UNSPSC inválido: registre 8 dígitos",IF(MOD(M270,10000)=0,"UNSPSC a nivel de segmento o familia: use clase o producto",IF(IFERROR(MATCH(P270,PN_MESES,0)&lt;MATCH(O270,PN_MESES,0),TRUE()),"El mes de ofertas es anterior al de inicio del proceso",IF(OR(NOT(ISNUMBER(Q270)),Q270&lt;=0),"Duración inválida",IF(OR(NOT(ISNUMBER(W270)),NOT(ISNUMBER(X270))),"Valor inválido: registre solo números",IF(OR(W270&lt;=0,X270&lt;=0),"Valor inválido: debe ser mayor que cero",IF(X270&gt;W270,"El valor de la vigencia 2027 supera el valor total",IF(AND(X270&lt;W270,Y270="No"),"El valor total supera el de 2027: requiere vigencias futuras",IF(AND(Y270="Sí",OR(Z270="",Z270="No aplica")),"Indique el estado de la solicitud de vigencias futuras",IF(IF(AND(S270="Mínima cuantía",ISNUMBER(PN_TOPE_MINIMA)),W270&gt;PN_TOPE_MINIMA,FALSE()),"El valor supera el tope de mínima cuantía 2027",IF(IF(AND(S270="Selección abreviada de menor cuantía",ISNUMBER(PN_TOPE_MENOR)),W270&gt;PN_TOPE_MENOR,FALSE()),"El valor supera el tope de menor cuantía 2027",IF(OR(ISERROR(SEARCH("@itc.edu.co",AE270)),SUMPRODUCT(--ISNUMBER(SEARCH({"á","é","í","ó","ú","ñ"," "},AE270)))&gt;0),"El correo del responsable no es institucional válido",IF(AND(AF270="Sí",AG270=""),"Indique el N.° de registro 2026 que continúa","OK")))))))))))))))))</f>
        <v/>
      </c>
      <c r="AK270" s="114">
        <f>IF(AJ270="OK",COUNTIF($AJ$7:AJ270,"OK"),"")</f>
        <v/>
      </c>
    </row>
    <row r="271">
      <c r="A271" s="110">
        <f>"PN27-"&amp;TEXT(ROW()-6,"000")</f>
        <v/>
      </c>
      <c r="B271" s="111" t="n"/>
      <c r="C271" s="110">
        <f>IF(B271="","",IFERROR(INDEX('Catalogos_PDN'!$R$5:$R$51,MATCH(B271,PN_AREAS,0)),""))</f>
        <v/>
      </c>
      <c r="D271" s="110">
        <f>IF(B271="","",IFERROR(INDEX('Catalogos_PDN'!$O$5:$O$51,MATCH(B271,PN_AREAS,0)),""))</f>
        <v/>
      </c>
      <c r="E271" s="111" t="n"/>
      <c r="F271" s="110">
        <f>IF(E271="","",IFERROR(INDEX('Catalogos_PDN'!$C$5:$C$49,MATCH(E271,PN_METAS,0)),""))</f>
        <v/>
      </c>
      <c r="G271" s="110">
        <f>IF(E271="","",IFERROR(INDEX('Catalogos_PDN'!$E$5:$E$49,MATCH(E271,PN_METAS,0)),""))</f>
        <v/>
      </c>
      <c r="H271" s="111" t="n"/>
      <c r="I271" s="111" t="n"/>
      <c r="J271" s="111" t="n"/>
      <c r="K271" s="111" t="n"/>
      <c r="L271" s="111" t="n"/>
      <c r="M271" s="112" t="n"/>
      <c r="N271" s="111" t="n"/>
      <c r="O271" s="111" t="n"/>
      <c r="P271" s="111" t="n"/>
      <c r="Q271" s="111" t="n"/>
      <c r="R271" s="111" t="n"/>
      <c r="S271" s="111" t="n"/>
      <c r="T271" s="111" t="n"/>
      <c r="U271" s="111" t="n"/>
      <c r="V271" s="111" t="n"/>
      <c r="W271" s="113" t="n"/>
      <c r="X271" s="113" t="n"/>
      <c r="Y271" s="111" t="n"/>
      <c r="Z271" s="111" t="n"/>
      <c r="AA271" s="111" t="n"/>
      <c r="AB271" s="111" t="n"/>
      <c r="AC271" s="111" t="n"/>
      <c r="AD271" s="111" t="n"/>
      <c r="AE271" s="111" t="n"/>
      <c r="AF271" s="111" t="n"/>
      <c r="AG271" s="111" t="n"/>
      <c r="AH271" s="111" t="n"/>
      <c r="AI271" s="111" t="n"/>
      <c r="AJ271" s="114">
        <f>IF(COUNTA(B271,E271,H271,I271,J271,K271,L271,M271,N271,O271,P271,Q271,R271,S271,T271,U271,V271,W271,X271,Y271,Z271,AA271,AB271,AC271,AD271,AE271,AF271,AG271,AH271,AI271)=0,"",IF(OR(B271="",E271="",H271="",J271="",K271="",L271="",M271="",O271="",P271="",Q271="",R271="",S271="",T271="",U271="",W271="",X271="",Y271="",AB271="",AC271="",AE271="",AF271=""),"Incompleta: faltan campos obligatorios",IF(AND(LEFT(H271,6)="PROPIA",I271=""),"Falta el nombre de la acción propia del área",IF(AND(LEFT(H271,4)="AC27",IFERROR(INDEX('Catalogos_PDN'!$T$5:$T$207,MATCH(H271,'Catalogos_PDN'!$U$5:$U$207,0)),"x")&lt;&gt;LEFT(E271,7)),"La acción no corresponde a la meta seleccionada",IF(OR(NOT(ISNUMBER(M271)),M271&lt;10000000,M271&gt;99999999),"Código UNSPSC inválido: registre 8 dígitos",IF(MOD(M271,10000)=0,"UNSPSC a nivel de segmento o familia: use clase o producto",IF(IFERROR(MATCH(P271,PN_MESES,0)&lt;MATCH(O271,PN_MESES,0),TRUE()),"El mes de ofertas es anterior al de inicio del proceso",IF(OR(NOT(ISNUMBER(Q271)),Q271&lt;=0),"Duración inválida",IF(OR(NOT(ISNUMBER(W271)),NOT(ISNUMBER(X271))),"Valor inválido: registre solo números",IF(OR(W271&lt;=0,X271&lt;=0),"Valor inválido: debe ser mayor que cero",IF(X271&gt;W271,"El valor de la vigencia 2027 supera el valor total",IF(AND(X271&lt;W271,Y271="No"),"El valor total supera el de 2027: requiere vigencias futuras",IF(AND(Y271="Sí",OR(Z271="",Z271="No aplica")),"Indique el estado de la solicitud de vigencias futuras",IF(IF(AND(S271="Mínima cuantía",ISNUMBER(PN_TOPE_MINIMA)),W271&gt;PN_TOPE_MINIMA,FALSE()),"El valor supera el tope de mínima cuantía 2027",IF(IF(AND(S271="Selección abreviada de menor cuantía",ISNUMBER(PN_TOPE_MENOR)),W271&gt;PN_TOPE_MENOR,FALSE()),"El valor supera el tope de menor cuantía 2027",IF(OR(ISERROR(SEARCH("@itc.edu.co",AE271)),SUMPRODUCT(--ISNUMBER(SEARCH({"á","é","í","ó","ú","ñ"," "},AE271)))&gt;0),"El correo del responsable no es institucional válido",IF(AND(AF271="Sí",AG271=""),"Indique el N.° de registro 2026 que continúa","OK")))))))))))))))))</f>
        <v/>
      </c>
      <c r="AK271" s="114">
        <f>IF(AJ271="OK",COUNTIF($AJ$7:AJ271,"OK"),"")</f>
        <v/>
      </c>
    </row>
    <row r="272">
      <c r="A272" s="110">
        <f>"PN27-"&amp;TEXT(ROW()-6,"000")</f>
        <v/>
      </c>
      <c r="B272" s="111" t="n"/>
      <c r="C272" s="110">
        <f>IF(B272="","",IFERROR(INDEX('Catalogos_PDN'!$R$5:$R$51,MATCH(B272,PN_AREAS,0)),""))</f>
        <v/>
      </c>
      <c r="D272" s="110">
        <f>IF(B272="","",IFERROR(INDEX('Catalogos_PDN'!$O$5:$O$51,MATCH(B272,PN_AREAS,0)),""))</f>
        <v/>
      </c>
      <c r="E272" s="111" t="n"/>
      <c r="F272" s="110">
        <f>IF(E272="","",IFERROR(INDEX('Catalogos_PDN'!$C$5:$C$49,MATCH(E272,PN_METAS,0)),""))</f>
        <v/>
      </c>
      <c r="G272" s="110">
        <f>IF(E272="","",IFERROR(INDEX('Catalogos_PDN'!$E$5:$E$49,MATCH(E272,PN_METAS,0)),""))</f>
        <v/>
      </c>
      <c r="H272" s="111" t="n"/>
      <c r="I272" s="111" t="n"/>
      <c r="J272" s="111" t="n"/>
      <c r="K272" s="111" t="n"/>
      <c r="L272" s="111" t="n"/>
      <c r="M272" s="112" t="n"/>
      <c r="N272" s="111" t="n"/>
      <c r="O272" s="111" t="n"/>
      <c r="P272" s="111" t="n"/>
      <c r="Q272" s="111" t="n"/>
      <c r="R272" s="111" t="n"/>
      <c r="S272" s="111" t="n"/>
      <c r="T272" s="111" t="n"/>
      <c r="U272" s="111" t="n"/>
      <c r="V272" s="111" t="n"/>
      <c r="W272" s="113" t="n"/>
      <c r="X272" s="113" t="n"/>
      <c r="Y272" s="111" t="n"/>
      <c r="Z272" s="111" t="n"/>
      <c r="AA272" s="111" t="n"/>
      <c r="AB272" s="111" t="n"/>
      <c r="AC272" s="111" t="n"/>
      <c r="AD272" s="111" t="n"/>
      <c r="AE272" s="111" t="n"/>
      <c r="AF272" s="111" t="n"/>
      <c r="AG272" s="111" t="n"/>
      <c r="AH272" s="111" t="n"/>
      <c r="AI272" s="111" t="n"/>
      <c r="AJ272" s="114">
        <f>IF(COUNTA(B272,E272,H272,I272,J272,K272,L272,M272,N272,O272,P272,Q272,R272,S272,T272,U272,V272,W272,X272,Y272,Z272,AA272,AB272,AC272,AD272,AE272,AF272,AG272,AH272,AI272)=0,"",IF(OR(B272="",E272="",H272="",J272="",K272="",L272="",M272="",O272="",P272="",Q272="",R272="",S272="",T272="",U272="",W272="",X272="",Y272="",AB272="",AC272="",AE272="",AF272=""),"Incompleta: faltan campos obligatorios",IF(AND(LEFT(H272,6)="PROPIA",I272=""),"Falta el nombre de la acción propia del área",IF(AND(LEFT(H272,4)="AC27",IFERROR(INDEX('Catalogos_PDN'!$T$5:$T$207,MATCH(H272,'Catalogos_PDN'!$U$5:$U$207,0)),"x")&lt;&gt;LEFT(E272,7)),"La acción no corresponde a la meta seleccionada",IF(OR(NOT(ISNUMBER(M272)),M272&lt;10000000,M272&gt;99999999),"Código UNSPSC inválido: registre 8 dígitos",IF(MOD(M272,10000)=0,"UNSPSC a nivel de segmento o familia: use clase o producto",IF(IFERROR(MATCH(P272,PN_MESES,0)&lt;MATCH(O272,PN_MESES,0),TRUE()),"El mes de ofertas es anterior al de inicio del proceso",IF(OR(NOT(ISNUMBER(Q272)),Q272&lt;=0),"Duración inválida",IF(OR(NOT(ISNUMBER(W272)),NOT(ISNUMBER(X272))),"Valor inválido: registre solo números",IF(OR(W272&lt;=0,X272&lt;=0),"Valor inválido: debe ser mayor que cero",IF(X272&gt;W272,"El valor de la vigencia 2027 supera el valor total",IF(AND(X272&lt;W272,Y272="No"),"El valor total supera el de 2027: requiere vigencias futuras",IF(AND(Y272="Sí",OR(Z272="",Z272="No aplica")),"Indique el estado de la solicitud de vigencias futuras",IF(IF(AND(S272="Mínima cuantía",ISNUMBER(PN_TOPE_MINIMA)),W272&gt;PN_TOPE_MINIMA,FALSE()),"El valor supera el tope de mínima cuantía 2027",IF(IF(AND(S272="Selección abreviada de menor cuantía",ISNUMBER(PN_TOPE_MENOR)),W272&gt;PN_TOPE_MENOR,FALSE()),"El valor supera el tope de menor cuantía 2027",IF(OR(ISERROR(SEARCH("@itc.edu.co",AE272)),SUMPRODUCT(--ISNUMBER(SEARCH({"á","é","í","ó","ú","ñ"," "},AE272)))&gt;0),"El correo del responsable no es institucional válido",IF(AND(AF272="Sí",AG272=""),"Indique el N.° de registro 2026 que continúa","OK")))))))))))))))))</f>
        <v/>
      </c>
      <c r="AK272" s="114">
        <f>IF(AJ272="OK",COUNTIF($AJ$7:AJ272,"OK"),"")</f>
        <v/>
      </c>
    </row>
    <row r="273">
      <c r="A273" s="110">
        <f>"PN27-"&amp;TEXT(ROW()-6,"000")</f>
        <v/>
      </c>
      <c r="B273" s="111" t="n"/>
      <c r="C273" s="110">
        <f>IF(B273="","",IFERROR(INDEX('Catalogos_PDN'!$R$5:$R$51,MATCH(B273,PN_AREAS,0)),""))</f>
        <v/>
      </c>
      <c r="D273" s="110">
        <f>IF(B273="","",IFERROR(INDEX('Catalogos_PDN'!$O$5:$O$51,MATCH(B273,PN_AREAS,0)),""))</f>
        <v/>
      </c>
      <c r="E273" s="111" t="n"/>
      <c r="F273" s="110">
        <f>IF(E273="","",IFERROR(INDEX('Catalogos_PDN'!$C$5:$C$49,MATCH(E273,PN_METAS,0)),""))</f>
        <v/>
      </c>
      <c r="G273" s="110">
        <f>IF(E273="","",IFERROR(INDEX('Catalogos_PDN'!$E$5:$E$49,MATCH(E273,PN_METAS,0)),""))</f>
        <v/>
      </c>
      <c r="H273" s="111" t="n"/>
      <c r="I273" s="111" t="n"/>
      <c r="J273" s="111" t="n"/>
      <c r="K273" s="111" t="n"/>
      <c r="L273" s="111" t="n"/>
      <c r="M273" s="112" t="n"/>
      <c r="N273" s="111" t="n"/>
      <c r="O273" s="111" t="n"/>
      <c r="P273" s="111" t="n"/>
      <c r="Q273" s="111" t="n"/>
      <c r="R273" s="111" t="n"/>
      <c r="S273" s="111" t="n"/>
      <c r="T273" s="111" t="n"/>
      <c r="U273" s="111" t="n"/>
      <c r="V273" s="111" t="n"/>
      <c r="W273" s="113" t="n"/>
      <c r="X273" s="113" t="n"/>
      <c r="Y273" s="111" t="n"/>
      <c r="Z273" s="111" t="n"/>
      <c r="AA273" s="111" t="n"/>
      <c r="AB273" s="111" t="n"/>
      <c r="AC273" s="111" t="n"/>
      <c r="AD273" s="111" t="n"/>
      <c r="AE273" s="111" t="n"/>
      <c r="AF273" s="111" t="n"/>
      <c r="AG273" s="111" t="n"/>
      <c r="AH273" s="111" t="n"/>
      <c r="AI273" s="111" t="n"/>
      <c r="AJ273" s="114">
        <f>IF(COUNTA(B273,E273,H273,I273,J273,K273,L273,M273,N273,O273,P273,Q273,R273,S273,T273,U273,V273,W273,X273,Y273,Z273,AA273,AB273,AC273,AD273,AE273,AF273,AG273,AH273,AI273)=0,"",IF(OR(B273="",E273="",H273="",J273="",K273="",L273="",M273="",O273="",P273="",Q273="",R273="",S273="",T273="",U273="",W273="",X273="",Y273="",AB273="",AC273="",AE273="",AF273=""),"Incompleta: faltan campos obligatorios",IF(AND(LEFT(H273,6)="PROPIA",I273=""),"Falta el nombre de la acción propia del área",IF(AND(LEFT(H273,4)="AC27",IFERROR(INDEX('Catalogos_PDN'!$T$5:$T$207,MATCH(H273,'Catalogos_PDN'!$U$5:$U$207,0)),"x")&lt;&gt;LEFT(E273,7)),"La acción no corresponde a la meta seleccionada",IF(OR(NOT(ISNUMBER(M273)),M273&lt;10000000,M273&gt;99999999),"Código UNSPSC inválido: registre 8 dígitos",IF(MOD(M273,10000)=0,"UNSPSC a nivel de segmento o familia: use clase o producto",IF(IFERROR(MATCH(P273,PN_MESES,0)&lt;MATCH(O273,PN_MESES,0),TRUE()),"El mes de ofertas es anterior al de inicio del proceso",IF(OR(NOT(ISNUMBER(Q273)),Q273&lt;=0),"Duración inválida",IF(OR(NOT(ISNUMBER(W273)),NOT(ISNUMBER(X273))),"Valor inválido: registre solo números",IF(OR(W273&lt;=0,X273&lt;=0),"Valor inválido: debe ser mayor que cero",IF(X273&gt;W273,"El valor de la vigencia 2027 supera el valor total",IF(AND(X273&lt;W273,Y273="No"),"El valor total supera el de 2027: requiere vigencias futuras",IF(AND(Y273="Sí",OR(Z273="",Z273="No aplica")),"Indique el estado de la solicitud de vigencias futuras",IF(IF(AND(S273="Mínima cuantía",ISNUMBER(PN_TOPE_MINIMA)),W273&gt;PN_TOPE_MINIMA,FALSE()),"El valor supera el tope de mínima cuantía 2027",IF(IF(AND(S273="Selección abreviada de menor cuantía",ISNUMBER(PN_TOPE_MENOR)),W273&gt;PN_TOPE_MENOR,FALSE()),"El valor supera el tope de menor cuantía 2027",IF(OR(ISERROR(SEARCH("@itc.edu.co",AE273)),SUMPRODUCT(--ISNUMBER(SEARCH({"á","é","í","ó","ú","ñ"," "},AE273)))&gt;0),"El correo del responsable no es institucional válido",IF(AND(AF273="Sí",AG273=""),"Indique el N.° de registro 2026 que continúa","OK")))))))))))))))))</f>
        <v/>
      </c>
      <c r="AK273" s="114">
        <f>IF(AJ273="OK",COUNTIF($AJ$7:AJ273,"OK"),"")</f>
        <v/>
      </c>
    </row>
    <row r="274">
      <c r="A274" s="110">
        <f>"PN27-"&amp;TEXT(ROW()-6,"000")</f>
        <v/>
      </c>
      <c r="B274" s="111" t="n"/>
      <c r="C274" s="110">
        <f>IF(B274="","",IFERROR(INDEX('Catalogos_PDN'!$R$5:$R$51,MATCH(B274,PN_AREAS,0)),""))</f>
        <v/>
      </c>
      <c r="D274" s="110">
        <f>IF(B274="","",IFERROR(INDEX('Catalogos_PDN'!$O$5:$O$51,MATCH(B274,PN_AREAS,0)),""))</f>
        <v/>
      </c>
      <c r="E274" s="111" t="n"/>
      <c r="F274" s="110">
        <f>IF(E274="","",IFERROR(INDEX('Catalogos_PDN'!$C$5:$C$49,MATCH(E274,PN_METAS,0)),""))</f>
        <v/>
      </c>
      <c r="G274" s="110">
        <f>IF(E274="","",IFERROR(INDEX('Catalogos_PDN'!$E$5:$E$49,MATCH(E274,PN_METAS,0)),""))</f>
        <v/>
      </c>
      <c r="H274" s="111" t="n"/>
      <c r="I274" s="111" t="n"/>
      <c r="J274" s="111" t="n"/>
      <c r="K274" s="111" t="n"/>
      <c r="L274" s="111" t="n"/>
      <c r="M274" s="112" t="n"/>
      <c r="N274" s="111" t="n"/>
      <c r="O274" s="111" t="n"/>
      <c r="P274" s="111" t="n"/>
      <c r="Q274" s="111" t="n"/>
      <c r="R274" s="111" t="n"/>
      <c r="S274" s="111" t="n"/>
      <c r="T274" s="111" t="n"/>
      <c r="U274" s="111" t="n"/>
      <c r="V274" s="111" t="n"/>
      <c r="W274" s="113" t="n"/>
      <c r="X274" s="113" t="n"/>
      <c r="Y274" s="111" t="n"/>
      <c r="Z274" s="111" t="n"/>
      <c r="AA274" s="111" t="n"/>
      <c r="AB274" s="111" t="n"/>
      <c r="AC274" s="111" t="n"/>
      <c r="AD274" s="111" t="n"/>
      <c r="AE274" s="111" t="n"/>
      <c r="AF274" s="111" t="n"/>
      <c r="AG274" s="111" t="n"/>
      <c r="AH274" s="111" t="n"/>
      <c r="AI274" s="111" t="n"/>
      <c r="AJ274" s="114">
        <f>IF(COUNTA(B274,E274,H274,I274,J274,K274,L274,M274,N274,O274,P274,Q274,R274,S274,T274,U274,V274,W274,X274,Y274,Z274,AA274,AB274,AC274,AD274,AE274,AF274,AG274,AH274,AI274)=0,"",IF(OR(B274="",E274="",H274="",J274="",K274="",L274="",M274="",O274="",P274="",Q274="",R274="",S274="",T274="",U274="",W274="",X274="",Y274="",AB274="",AC274="",AE274="",AF274=""),"Incompleta: faltan campos obligatorios",IF(AND(LEFT(H274,6)="PROPIA",I274=""),"Falta el nombre de la acción propia del área",IF(AND(LEFT(H274,4)="AC27",IFERROR(INDEX('Catalogos_PDN'!$T$5:$T$207,MATCH(H274,'Catalogos_PDN'!$U$5:$U$207,0)),"x")&lt;&gt;LEFT(E274,7)),"La acción no corresponde a la meta seleccionada",IF(OR(NOT(ISNUMBER(M274)),M274&lt;10000000,M274&gt;99999999),"Código UNSPSC inválido: registre 8 dígitos",IF(MOD(M274,10000)=0,"UNSPSC a nivel de segmento o familia: use clase o producto",IF(IFERROR(MATCH(P274,PN_MESES,0)&lt;MATCH(O274,PN_MESES,0),TRUE()),"El mes de ofertas es anterior al de inicio del proceso",IF(OR(NOT(ISNUMBER(Q274)),Q274&lt;=0),"Duración inválida",IF(OR(NOT(ISNUMBER(W274)),NOT(ISNUMBER(X274))),"Valor inválido: registre solo números",IF(OR(W274&lt;=0,X274&lt;=0),"Valor inválido: debe ser mayor que cero",IF(X274&gt;W274,"El valor de la vigencia 2027 supera el valor total",IF(AND(X274&lt;W274,Y274="No"),"El valor total supera el de 2027: requiere vigencias futuras",IF(AND(Y274="Sí",OR(Z274="",Z274="No aplica")),"Indique el estado de la solicitud de vigencias futuras",IF(IF(AND(S274="Mínima cuantía",ISNUMBER(PN_TOPE_MINIMA)),W274&gt;PN_TOPE_MINIMA,FALSE()),"El valor supera el tope de mínima cuantía 2027",IF(IF(AND(S274="Selección abreviada de menor cuantía",ISNUMBER(PN_TOPE_MENOR)),W274&gt;PN_TOPE_MENOR,FALSE()),"El valor supera el tope de menor cuantía 2027",IF(OR(ISERROR(SEARCH("@itc.edu.co",AE274)),SUMPRODUCT(--ISNUMBER(SEARCH({"á","é","í","ó","ú","ñ"," "},AE274)))&gt;0),"El correo del responsable no es institucional válido",IF(AND(AF274="Sí",AG274=""),"Indique el N.° de registro 2026 que continúa","OK")))))))))))))))))</f>
        <v/>
      </c>
      <c r="AK274" s="114">
        <f>IF(AJ274="OK",COUNTIF($AJ$7:AJ274,"OK"),"")</f>
        <v/>
      </c>
    </row>
    <row r="275">
      <c r="A275" s="110">
        <f>"PN27-"&amp;TEXT(ROW()-6,"000")</f>
        <v/>
      </c>
      <c r="B275" s="111" t="n"/>
      <c r="C275" s="110">
        <f>IF(B275="","",IFERROR(INDEX('Catalogos_PDN'!$R$5:$R$51,MATCH(B275,PN_AREAS,0)),""))</f>
        <v/>
      </c>
      <c r="D275" s="110">
        <f>IF(B275="","",IFERROR(INDEX('Catalogos_PDN'!$O$5:$O$51,MATCH(B275,PN_AREAS,0)),""))</f>
        <v/>
      </c>
      <c r="E275" s="111" t="n"/>
      <c r="F275" s="110">
        <f>IF(E275="","",IFERROR(INDEX('Catalogos_PDN'!$C$5:$C$49,MATCH(E275,PN_METAS,0)),""))</f>
        <v/>
      </c>
      <c r="G275" s="110">
        <f>IF(E275="","",IFERROR(INDEX('Catalogos_PDN'!$E$5:$E$49,MATCH(E275,PN_METAS,0)),""))</f>
        <v/>
      </c>
      <c r="H275" s="111" t="n"/>
      <c r="I275" s="111" t="n"/>
      <c r="J275" s="111" t="n"/>
      <c r="K275" s="111" t="n"/>
      <c r="L275" s="111" t="n"/>
      <c r="M275" s="112" t="n"/>
      <c r="N275" s="111" t="n"/>
      <c r="O275" s="111" t="n"/>
      <c r="P275" s="111" t="n"/>
      <c r="Q275" s="111" t="n"/>
      <c r="R275" s="111" t="n"/>
      <c r="S275" s="111" t="n"/>
      <c r="T275" s="111" t="n"/>
      <c r="U275" s="111" t="n"/>
      <c r="V275" s="111" t="n"/>
      <c r="W275" s="113" t="n"/>
      <c r="X275" s="113" t="n"/>
      <c r="Y275" s="111" t="n"/>
      <c r="Z275" s="111" t="n"/>
      <c r="AA275" s="111" t="n"/>
      <c r="AB275" s="111" t="n"/>
      <c r="AC275" s="111" t="n"/>
      <c r="AD275" s="111" t="n"/>
      <c r="AE275" s="111" t="n"/>
      <c r="AF275" s="111" t="n"/>
      <c r="AG275" s="111" t="n"/>
      <c r="AH275" s="111" t="n"/>
      <c r="AI275" s="111" t="n"/>
      <c r="AJ275" s="114">
        <f>IF(COUNTA(B275,E275,H275,I275,J275,K275,L275,M275,N275,O275,P275,Q275,R275,S275,T275,U275,V275,W275,X275,Y275,Z275,AA275,AB275,AC275,AD275,AE275,AF275,AG275,AH275,AI275)=0,"",IF(OR(B275="",E275="",H275="",J275="",K275="",L275="",M275="",O275="",P275="",Q275="",R275="",S275="",T275="",U275="",W275="",X275="",Y275="",AB275="",AC275="",AE275="",AF275=""),"Incompleta: faltan campos obligatorios",IF(AND(LEFT(H275,6)="PROPIA",I275=""),"Falta el nombre de la acción propia del área",IF(AND(LEFT(H275,4)="AC27",IFERROR(INDEX('Catalogos_PDN'!$T$5:$T$207,MATCH(H275,'Catalogos_PDN'!$U$5:$U$207,0)),"x")&lt;&gt;LEFT(E275,7)),"La acción no corresponde a la meta seleccionada",IF(OR(NOT(ISNUMBER(M275)),M275&lt;10000000,M275&gt;99999999),"Código UNSPSC inválido: registre 8 dígitos",IF(MOD(M275,10000)=0,"UNSPSC a nivel de segmento o familia: use clase o producto",IF(IFERROR(MATCH(P275,PN_MESES,0)&lt;MATCH(O275,PN_MESES,0),TRUE()),"El mes de ofertas es anterior al de inicio del proceso",IF(OR(NOT(ISNUMBER(Q275)),Q275&lt;=0),"Duración inválida",IF(OR(NOT(ISNUMBER(W275)),NOT(ISNUMBER(X275))),"Valor inválido: registre solo números",IF(OR(W275&lt;=0,X275&lt;=0),"Valor inválido: debe ser mayor que cero",IF(X275&gt;W275,"El valor de la vigencia 2027 supera el valor total",IF(AND(X275&lt;W275,Y275="No"),"El valor total supera el de 2027: requiere vigencias futuras",IF(AND(Y275="Sí",OR(Z275="",Z275="No aplica")),"Indique el estado de la solicitud de vigencias futuras",IF(IF(AND(S275="Mínima cuantía",ISNUMBER(PN_TOPE_MINIMA)),W275&gt;PN_TOPE_MINIMA,FALSE()),"El valor supera el tope de mínima cuantía 2027",IF(IF(AND(S275="Selección abreviada de menor cuantía",ISNUMBER(PN_TOPE_MENOR)),W275&gt;PN_TOPE_MENOR,FALSE()),"El valor supera el tope de menor cuantía 2027",IF(OR(ISERROR(SEARCH("@itc.edu.co",AE275)),SUMPRODUCT(--ISNUMBER(SEARCH({"á","é","í","ó","ú","ñ"," "},AE275)))&gt;0),"El correo del responsable no es institucional válido",IF(AND(AF275="Sí",AG275=""),"Indique el N.° de registro 2026 que continúa","OK")))))))))))))))))</f>
        <v/>
      </c>
      <c r="AK275" s="114">
        <f>IF(AJ275="OK",COUNTIF($AJ$7:AJ275,"OK"),"")</f>
        <v/>
      </c>
    </row>
    <row r="276">
      <c r="A276" s="110">
        <f>"PN27-"&amp;TEXT(ROW()-6,"000")</f>
        <v/>
      </c>
      <c r="B276" s="111" t="n"/>
      <c r="C276" s="110">
        <f>IF(B276="","",IFERROR(INDEX('Catalogos_PDN'!$R$5:$R$51,MATCH(B276,PN_AREAS,0)),""))</f>
        <v/>
      </c>
      <c r="D276" s="110">
        <f>IF(B276="","",IFERROR(INDEX('Catalogos_PDN'!$O$5:$O$51,MATCH(B276,PN_AREAS,0)),""))</f>
        <v/>
      </c>
      <c r="E276" s="111" t="n"/>
      <c r="F276" s="110">
        <f>IF(E276="","",IFERROR(INDEX('Catalogos_PDN'!$C$5:$C$49,MATCH(E276,PN_METAS,0)),""))</f>
        <v/>
      </c>
      <c r="G276" s="110">
        <f>IF(E276="","",IFERROR(INDEX('Catalogos_PDN'!$E$5:$E$49,MATCH(E276,PN_METAS,0)),""))</f>
        <v/>
      </c>
      <c r="H276" s="111" t="n"/>
      <c r="I276" s="111" t="n"/>
      <c r="J276" s="111" t="n"/>
      <c r="K276" s="111" t="n"/>
      <c r="L276" s="111" t="n"/>
      <c r="M276" s="112" t="n"/>
      <c r="N276" s="111" t="n"/>
      <c r="O276" s="111" t="n"/>
      <c r="P276" s="111" t="n"/>
      <c r="Q276" s="111" t="n"/>
      <c r="R276" s="111" t="n"/>
      <c r="S276" s="111" t="n"/>
      <c r="T276" s="111" t="n"/>
      <c r="U276" s="111" t="n"/>
      <c r="V276" s="111" t="n"/>
      <c r="W276" s="113" t="n"/>
      <c r="X276" s="113" t="n"/>
      <c r="Y276" s="111" t="n"/>
      <c r="Z276" s="111" t="n"/>
      <c r="AA276" s="111" t="n"/>
      <c r="AB276" s="111" t="n"/>
      <c r="AC276" s="111" t="n"/>
      <c r="AD276" s="111" t="n"/>
      <c r="AE276" s="111" t="n"/>
      <c r="AF276" s="111" t="n"/>
      <c r="AG276" s="111" t="n"/>
      <c r="AH276" s="111" t="n"/>
      <c r="AI276" s="111" t="n"/>
      <c r="AJ276" s="114">
        <f>IF(COUNTA(B276,E276,H276,I276,J276,K276,L276,M276,N276,O276,P276,Q276,R276,S276,T276,U276,V276,W276,X276,Y276,Z276,AA276,AB276,AC276,AD276,AE276,AF276,AG276,AH276,AI276)=0,"",IF(OR(B276="",E276="",H276="",J276="",K276="",L276="",M276="",O276="",P276="",Q276="",R276="",S276="",T276="",U276="",W276="",X276="",Y276="",AB276="",AC276="",AE276="",AF276=""),"Incompleta: faltan campos obligatorios",IF(AND(LEFT(H276,6)="PROPIA",I276=""),"Falta el nombre de la acción propia del área",IF(AND(LEFT(H276,4)="AC27",IFERROR(INDEX('Catalogos_PDN'!$T$5:$T$207,MATCH(H276,'Catalogos_PDN'!$U$5:$U$207,0)),"x")&lt;&gt;LEFT(E276,7)),"La acción no corresponde a la meta seleccionada",IF(OR(NOT(ISNUMBER(M276)),M276&lt;10000000,M276&gt;99999999),"Código UNSPSC inválido: registre 8 dígitos",IF(MOD(M276,10000)=0,"UNSPSC a nivel de segmento o familia: use clase o producto",IF(IFERROR(MATCH(P276,PN_MESES,0)&lt;MATCH(O276,PN_MESES,0),TRUE()),"El mes de ofertas es anterior al de inicio del proceso",IF(OR(NOT(ISNUMBER(Q276)),Q276&lt;=0),"Duración inválida",IF(OR(NOT(ISNUMBER(W276)),NOT(ISNUMBER(X276))),"Valor inválido: registre solo números",IF(OR(W276&lt;=0,X276&lt;=0),"Valor inválido: debe ser mayor que cero",IF(X276&gt;W276,"El valor de la vigencia 2027 supera el valor total",IF(AND(X276&lt;W276,Y276="No"),"El valor total supera el de 2027: requiere vigencias futuras",IF(AND(Y276="Sí",OR(Z276="",Z276="No aplica")),"Indique el estado de la solicitud de vigencias futuras",IF(IF(AND(S276="Mínima cuantía",ISNUMBER(PN_TOPE_MINIMA)),W276&gt;PN_TOPE_MINIMA,FALSE()),"El valor supera el tope de mínima cuantía 2027",IF(IF(AND(S276="Selección abreviada de menor cuantía",ISNUMBER(PN_TOPE_MENOR)),W276&gt;PN_TOPE_MENOR,FALSE()),"El valor supera el tope de menor cuantía 2027",IF(OR(ISERROR(SEARCH("@itc.edu.co",AE276)),SUMPRODUCT(--ISNUMBER(SEARCH({"á","é","í","ó","ú","ñ"," "},AE276)))&gt;0),"El correo del responsable no es institucional válido",IF(AND(AF276="Sí",AG276=""),"Indique el N.° de registro 2026 que continúa","OK")))))))))))))))))</f>
        <v/>
      </c>
      <c r="AK276" s="114">
        <f>IF(AJ276="OK",COUNTIF($AJ$7:AJ276,"OK"),"")</f>
        <v/>
      </c>
    </row>
    <row r="277">
      <c r="A277" s="110">
        <f>"PN27-"&amp;TEXT(ROW()-6,"000")</f>
        <v/>
      </c>
      <c r="B277" s="111" t="n"/>
      <c r="C277" s="110">
        <f>IF(B277="","",IFERROR(INDEX('Catalogos_PDN'!$R$5:$R$51,MATCH(B277,PN_AREAS,0)),""))</f>
        <v/>
      </c>
      <c r="D277" s="110">
        <f>IF(B277="","",IFERROR(INDEX('Catalogos_PDN'!$O$5:$O$51,MATCH(B277,PN_AREAS,0)),""))</f>
        <v/>
      </c>
      <c r="E277" s="111" t="n"/>
      <c r="F277" s="110">
        <f>IF(E277="","",IFERROR(INDEX('Catalogos_PDN'!$C$5:$C$49,MATCH(E277,PN_METAS,0)),""))</f>
        <v/>
      </c>
      <c r="G277" s="110">
        <f>IF(E277="","",IFERROR(INDEX('Catalogos_PDN'!$E$5:$E$49,MATCH(E277,PN_METAS,0)),""))</f>
        <v/>
      </c>
      <c r="H277" s="111" t="n"/>
      <c r="I277" s="111" t="n"/>
      <c r="J277" s="111" t="n"/>
      <c r="K277" s="111" t="n"/>
      <c r="L277" s="111" t="n"/>
      <c r="M277" s="112" t="n"/>
      <c r="N277" s="111" t="n"/>
      <c r="O277" s="111" t="n"/>
      <c r="P277" s="111" t="n"/>
      <c r="Q277" s="111" t="n"/>
      <c r="R277" s="111" t="n"/>
      <c r="S277" s="111" t="n"/>
      <c r="T277" s="111" t="n"/>
      <c r="U277" s="111" t="n"/>
      <c r="V277" s="111" t="n"/>
      <c r="W277" s="113" t="n"/>
      <c r="X277" s="113" t="n"/>
      <c r="Y277" s="111" t="n"/>
      <c r="Z277" s="111" t="n"/>
      <c r="AA277" s="111" t="n"/>
      <c r="AB277" s="111" t="n"/>
      <c r="AC277" s="111" t="n"/>
      <c r="AD277" s="111" t="n"/>
      <c r="AE277" s="111" t="n"/>
      <c r="AF277" s="111" t="n"/>
      <c r="AG277" s="111" t="n"/>
      <c r="AH277" s="111" t="n"/>
      <c r="AI277" s="111" t="n"/>
      <c r="AJ277" s="114">
        <f>IF(COUNTA(B277,E277,H277,I277,J277,K277,L277,M277,N277,O277,P277,Q277,R277,S277,T277,U277,V277,W277,X277,Y277,Z277,AA277,AB277,AC277,AD277,AE277,AF277,AG277,AH277,AI277)=0,"",IF(OR(B277="",E277="",H277="",J277="",K277="",L277="",M277="",O277="",P277="",Q277="",R277="",S277="",T277="",U277="",W277="",X277="",Y277="",AB277="",AC277="",AE277="",AF277=""),"Incompleta: faltan campos obligatorios",IF(AND(LEFT(H277,6)="PROPIA",I277=""),"Falta el nombre de la acción propia del área",IF(AND(LEFT(H277,4)="AC27",IFERROR(INDEX('Catalogos_PDN'!$T$5:$T$207,MATCH(H277,'Catalogos_PDN'!$U$5:$U$207,0)),"x")&lt;&gt;LEFT(E277,7)),"La acción no corresponde a la meta seleccionada",IF(OR(NOT(ISNUMBER(M277)),M277&lt;10000000,M277&gt;99999999),"Código UNSPSC inválido: registre 8 dígitos",IF(MOD(M277,10000)=0,"UNSPSC a nivel de segmento o familia: use clase o producto",IF(IFERROR(MATCH(P277,PN_MESES,0)&lt;MATCH(O277,PN_MESES,0),TRUE()),"El mes de ofertas es anterior al de inicio del proceso",IF(OR(NOT(ISNUMBER(Q277)),Q277&lt;=0),"Duración inválida",IF(OR(NOT(ISNUMBER(W277)),NOT(ISNUMBER(X277))),"Valor inválido: registre solo números",IF(OR(W277&lt;=0,X277&lt;=0),"Valor inválido: debe ser mayor que cero",IF(X277&gt;W277,"El valor de la vigencia 2027 supera el valor total",IF(AND(X277&lt;W277,Y277="No"),"El valor total supera el de 2027: requiere vigencias futuras",IF(AND(Y277="Sí",OR(Z277="",Z277="No aplica")),"Indique el estado de la solicitud de vigencias futuras",IF(IF(AND(S277="Mínima cuantía",ISNUMBER(PN_TOPE_MINIMA)),W277&gt;PN_TOPE_MINIMA,FALSE()),"El valor supera el tope de mínima cuantía 2027",IF(IF(AND(S277="Selección abreviada de menor cuantía",ISNUMBER(PN_TOPE_MENOR)),W277&gt;PN_TOPE_MENOR,FALSE()),"El valor supera el tope de menor cuantía 2027",IF(OR(ISERROR(SEARCH("@itc.edu.co",AE277)),SUMPRODUCT(--ISNUMBER(SEARCH({"á","é","í","ó","ú","ñ"," "},AE277)))&gt;0),"El correo del responsable no es institucional válido",IF(AND(AF277="Sí",AG277=""),"Indique el N.° de registro 2026 que continúa","OK")))))))))))))))))</f>
        <v/>
      </c>
      <c r="AK277" s="114">
        <f>IF(AJ277="OK",COUNTIF($AJ$7:AJ277,"OK"),"")</f>
        <v/>
      </c>
    </row>
    <row r="278">
      <c r="A278" s="110">
        <f>"PN27-"&amp;TEXT(ROW()-6,"000")</f>
        <v/>
      </c>
      <c r="B278" s="111" t="n"/>
      <c r="C278" s="110">
        <f>IF(B278="","",IFERROR(INDEX('Catalogos_PDN'!$R$5:$R$51,MATCH(B278,PN_AREAS,0)),""))</f>
        <v/>
      </c>
      <c r="D278" s="110">
        <f>IF(B278="","",IFERROR(INDEX('Catalogos_PDN'!$O$5:$O$51,MATCH(B278,PN_AREAS,0)),""))</f>
        <v/>
      </c>
      <c r="E278" s="111" t="n"/>
      <c r="F278" s="110">
        <f>IF(E278="","",IFERROR(INDEX('Catalogos_PDN'!$C$5:$C$49,MATCH(E278,PN_METAS,0)),""))</f>
        <v/>
      </c>
      <c r="G278" s="110">
        <f>IF(E278="","",IFERROR(INDEX('Catalogos_PDN'!$E$5:$E$49,MATCH(E278,PN_METAS,0)),""))</f>
        <v/>
      </c>
      <c r="H278" s="111" t="n"/>
      <c r="I278" s="111" t="n"/>
      <c r="J278" s="111" t="n"/>
      <c r="K278" s="111" t="n"/>
      <c r="L278" s="111" t="n"/>
      <c r="M278" s="112" t="n"/>
      <c r="N278" s="111" t="n"/>
      <c r="O278" s="111" t="n"/>
      <c r="P278" s="111" t="n"/>
      <c r="Q278" s="111" t="n"/>
      <c r="R278" s="111" t="n"/>
      <c r="S278" s="111" t="n"/>
      <c r="T278" s="111" t="n"/>
      <c r="U278" s="111" t="n"/>
      <c r="V278" s="111" t="n"/>
      <c r="W278" s="113" t="n"/>
      <c r="X278" s="113" t="n"/>
      <c r="Y278" s="111" t="n"/>
      <c r="Z278" s="111" t="n"/>
      <c r="AA278" s="111" t="n"/>
      <c r="AB278" s="111" t="n"/>
      <c r="AC278" s="111" t="n"/>
      <c r="AD278" s="111" t="n"/>
      <c r="AE278" s="111" t="n"/>
      <c r="AF278" s="111" t="n"/>
      <c r="AG278" s="111" t="n"/>
      <c r="AH278" s="111" t="n"/>
      <c r="AI278" s="111" t="n"/>
      <c r="AJ278" s="114">
        <f>IF(COUNTA(B278,E278,H278,I278,J278,K278,L278,M278,N278,O278,P278,Q278,R278,S278,T278,U278,V278,W278,X278,Y278,Z278,AA278,AB278,AC278,AD278,AE278,AF278,AG278,AH278,AI278)=0,"",IF(OR(B278="",E278="",H278="",J278="",K278="",L278="",M278="",O278="",P278="",Q278="",R278="",S278="",T278="",U278="",W278="",X278="",Y278="",AB278="",AC278="",AE278="",AF278=""),"Incompleta: faltan campos obligatorios",IF(AND(LEFT(H278,6)="PROPIA",I278=""),"Falta el nombre de la acción propia del área",IF(AND(LEFT(H278,4)="AC27",IFERROR(INDEX('Catalogos_PDN'!$T$5:$T$207,MATCH(H278,'Catalogos_PDN'!$U$5:$U$207,0)),"x")&lt;&gt;LEFT(E278,7)),"La acción no corresponde a la meta seleccionada",IF(OR(NOT(ISNUMBER(M278)),M278&lt;10000000,M278&gt;99999999),"Código UNSPSC inválido: registre 8 dígitos",IF(MOD(M278,10000)=0,"UNSPSC a nivel de segmento o familia: use clase o producto",IF(IFERROR(MATCH(P278,PN_MESES,0)&lt;MATCH(O278,PN_MESES,0),TRUE()),"El mes de ofertas es anterior al de inicio del proceso",IF(OR(NOT(ISNUMBER(Q278)),Q278&lt;=0),"Duración inválida",IF(OR(NOT(ISNUMBER(W278)),NOT(ISNUMBER(X278))),"Valor inválido: registre solo números",IF(OR(W278&lt;=0,X278&lt;=0),"Valor inválido: debe ser mayor que cero",IF(X278&gt;W278,"El valor de la vigencia 2027 supera el valor total",IF(AND(X278&lt;W278,Y278="No"),"El valor total supera el de 2027: requiere vigencias futuras",IF(AND(Y278="Sí",OR(Z278="",Z278="No aplica")),"Indique el estado de la solicitud de vigencias futuras",IF(IF(AND(S278="Mínima cuantía",ISNUMBER(PN_TOPE_MINIMA)),W278&gt;PN_TOPE_MINIMA,FALSE()),"El valor supera el tope de mínima cuantía 2027",IF(IF(AND(S278="Selección abreviada de menor cuantía",ISNUMBER(PN_TOPE_MENOR)),W278&gt;PN_TOPE_MENOR,FALSE()),"El valor supera el tope de menor cuantía 2027",IF(OR(ISERROR(SEARCH("@itc.edu.co",AE278)),SUMPRODUCT(--ISNUMBER(SEARCH({"á","é","í","ó","ú","ñ"," "},AE278)))&gt;0),"El correo del responsable no es institucional válido",IF(AND(AF278="Sí",AG278=""),"Indique el N.° de registro 2026 que continúa","OK")))))))))))))))))</f>
        <v/>
      </c>
      <c r="AK278" s="114">
        <f>IF(AJ278="OK",COUNTIF($AJ$7:AJ278,"OK"),"")</f>
        <v/>
      </c>
    </row>
    <row r="279">
      <c r="A279" s="110">
        <f>"PN27-"&amp;TEXT(ROW()-6,"000")</f>
        <v/>
      </c>
      <c r="B279" s="111" t="n"/>
      <c r="C279" s="110">
        <f>IF(B279="","",IFERROR(INDEX('Catalogos_PDN'!$R$5:$R$51,MATCH(B279,PN_AREAS,0)),""))</f>
        <v/>
      </c>
      <c r="D279" s="110">
        <f>IF(B279="","",IFERROR(INDEX('Catalogos_PDN'!$O$5:$O$51,MATCH(B279,PN_AREAS,0)),""))</f>
        <v/>
      </c>
      <c r="E279" s="111" t="n"/>
      <c r="F279" s="110">
        <f>IF(E279="","",IFERROR(INDEX('Catalogos_PDN'!$C$5:$C$49,MATCH(E279,PN_METAS,0)),""))</f>
        <v/>
      </c>
      <c r="G279" s="110">
        <f>IF(E279="","",IFERROR(INDEX('Catalogos_PDN'!$E$5:$E$49,MATCH(E279,PN_METAS,0)),""))</f>
        <v/>
      </c>
      <c r="H279" s="111" t="n"/>
      <c r="I279" s="111" t="n"/>
      <c r="J279" s="111" t="n"/>
      <c r="K279" s="111" t="n"/>
      <c r="L279" s="111" t="n"/>
      <c r="M279" s="112" t="n"/>
      <c r="N279" s="111" t="n"/>
      <c r="O279" s="111" t="n"/>
      <c r="P279" s="111" t="n"/>
      <c r="Q279" s="111" t="n"/>
      <c r="R279" s="111" t="n"/>
      <c r="S279" s="111" t="n"/>
      <c r="T279" s="111" t="n"/>
      <c r="U279" s="111" t="n"/>
      <c r="V279" s="111" t="n"/>
      <c r="W279" s="113" t="n"/>
      <c r="X279" s="113" t="n"/>
      <c r="Y279" s="111" t="n"/>
      <c r="Z279" s="111" t="n"/>
      <c r="AA279" s="111" t="n"/>
      <c r="AB279" s="111" t="n"/>
      <c r="AC279" s="111" t="n"/>
      <c r="AD279" s="111" t="n"/>
      <c r="AE279" s="111" t="n"/>
      <c r="AF279" s="111" t="n"/>
      <c r="AG279" s="111" t="n"/>
      <c r="AH279" s="111" t="n"/>
      <c r="AI279" s="111" t="n"/>
      <c r="AJ279" s="114">
        <f>IF(COUNTA(B279,E279,H279,I279,J279,K279,L279,M279,N279,O279,P279,Q279,R279,S279,T279,U279,V279,W279,X279,Y279,Z279,AA279,AB279,AC279,AD279,AE279,AF279,AG279,AH279,AI279)=0,"",IF(OR(B279="",E279="",H279="",J279="",K279="",L279="",M279="",O279="",P279="",Q279="",R279="",S279="",T279="",U279="",W279="",X279="",Y279="",AB279="",AC279="",AE279="",AF279=""),"Incompleta: faltan campos obligatorios",IF(AND(LEFT(H279,6)="PROPIA",I279=""),"Falta el nombre de la acción propia del área",IF(AND(LEFT(H279,4)="AC27",IFERROR(INDEX('Catalogos_PDN'!$T$5:$T$207,MATCH(H279,'Catalogos_PDN'!$U$5:$U$207,0)),"x")&lt;&gt;LEFT(E279,7)),"La acción no corresponde a la meta seleccionada",IF(OR(NOT(ISNUMBER(M279)),M279&lt;10000000,M279&gt;99999999),"Código UNSPSC inválido: registre 8 dígitos",IF(MOD(M279,10000)=0,"UNSPSC a nivel de segmento o familia: use clase o producto",IF(IFERROR(MATCH(P279,PN_MESES,0)&lt;MATCH(O279,PN_MESES,0),TRUE()),"El mes de ofertas es anterior al de inicio del proceso",IF(OR(NOT(ISNUMBER(Q279)),Q279&lt;=0),"Duración inválida",IF(OR(NOT(ISNUMBER(W279)),NOT(ISNUMBER(X279))),"Valor inválido: registre solo números",IF(OR(W279&lt;=0,X279&lt;=0),"Valor inválido: debe ser mayor que cero",IF(X279&gt;W279,"El valor de la vigencia 2027 supera el valor total",IF(AND(X279&lt;W279,Y279="No"),"El valor total supera el de 2027: requiere vigencias futuras",IF(AND(Y279="Sí",OR(Z279="",Z279="No aplica")),"Indique el estado de la solicitud de vigencias futuras",IF(IF(AND(S279="Mínima cuantía",ISNUMBER(PN_TOPE_MINIMA)),W279&gt;PN_TOPE_MINIMA,FALSE()),"El valor supera el tope de mínima cuantía 2027",IF(IF(AND(S279="Selección abreviada de menor cuantía",ISNUMBER(PN_TOPE_MENOR)),W279&gt;PN_TOPE_MENOR,FALSE()),"El valor supera el tope de menor cuantía 2027",IF(OR(ISERROR(SEARCH("@itc.edu.co",AE279)),SUMPRODUCT(--ISNUMBER(SEARCH({"á","é","í","ó","ú","ñ"," "},AE279)))&gt;0),"El correo del responsable no es institucional válido",IF(AND(AF279="Sí",AG279=""),"Indique el N.° de registro 2026 que continúa","OK")))))))))))))))))</f>
        <v/>
      </c>
      <c r="AK279" s="114">
        <f>IF(AJ279="OK",COUNTIF($AJ$7:AJ279,"OK"),"")</f>
        <v/>
      </c>
    </row>
    <row r="280">
      <c r="A280" s="110">
        <f>"PN27-"&amp;TEXT(ROW()-6,"000")</f>
        <v/>
      </c>
      <c r="B280" s="111" t="n"/>
      <c r="C280" s="110">
        <f>IF(B280="","",IFERROR(INDEX('Catalogos_PDN'!$R$5:$R$51,MATCH(B280,PN_AREAS,0)),""))</f>
        <v/>
      </c>
      <c r="D280" s="110">
        <f>IF(B280="","",IFERROR(INDEX('Catalogos_PDN'!$O$5:$O$51,MATCH(B280,PN_AREAS,0)),""))</f>
        <v/>
      </c>
      <c r="E280" s="111" t="n"/>
      <c r="F280" s="110">
        <f>IF(E280="","",IFERROR(INDEX('Catalogos_PDN'!$C$5:$C$49,MATCH(E280,PN_METAS,0)),""))</f>
        <v/>
      </c>
      <c r="G280" s="110">
        <f>IF(E280="","",IFERROR(INDEX('Catalogos_PDN'!$E$5:$E$49,MATCH(E280,PN_METAS,0)),""))</f>
        <v/>
      </c>
      <c r="H280" s="111" t="n"/>
      <c r="I280" s="111" t="n"/>
      <c r="J280" s="111" t="n"/>
      <c r="K280" s="111" t="n"/>
      <c r="L280" s="111" t="n"/>
      <c r="M280" s="112" t="n"/>
      <c r="N280" s="111" t="n"/>
      <c r="O280" s="111" t="n"/>
      <c r="P280" s="111" t="n"/>
      <c r="Q280" s="111" t="n"/>
      <c r="R280" s="111" t="n"/>
      <c r="S280" s="111" t="n"/>
      <c r="T280" s="111" t="n"/>
      <c r="U280" s="111" t="n"/>
      <c r="V280" s="111" t="n"/>
      <c r="W280" s="113" t="n"/>
      <c r="X280" s="113" t="n"/>
      <c r="Y280" s="111" t="n"/>
      <c r="Z280" s="111" t="n"/>
      <c r="AA280" s="111" t="n"/>
      <c r="AB280" s="111" t="n"/>
      <c r="AC280" s="111" t="n"/>
      <c r="AD280" s="111" t="n"/>
      <c r="AE280" s="111" t="n"/>
      <c r="AF280" s="111" t="n"/>
      <c r="AG280" s="111" t="n"/>
      <c r="AH280" s="111" t="n"/>
      <c r="AI280" s="111" t="n"/>
      <c r="AJ280" s="114">
        <f>IF(COUNTA(B280,E280,H280,I280,J280,K280,L280,M280,N280,O280,P280,Q280,R280,S280,T280,U280,V280,W280,X280,Y280,Z280,AA280,AB280,AC280,AD280,AE280,AF280,AG280,AH280,AI280)=0,"",IF(OR(B280="",E280="",H280="",J280="",K280="",L280="",M280="",O280="",P280="",Q280="",R280="",S280="",T280="",U280="",W280="",X280="",Y280="",AB280="",AC280="",AE280="",AF280=""),"Incompleta: faltan campos obligatorios",IF(AND(LEFT(H280,6)="PROPIA",I280=""),"Falta el nombre de la acción propia del área",IF(AND(LEFT(H280,4)="AC27",IFERROR(INDEX('Catalogos_PDN'!$T$5:$T$207,MATCH(H280,'Catalogos_PDN'!$U$5:$U$207,0)),"x")&lt;&gt;LEFT(E280,7)),"La acción no corresponde a la meta seleccionada",IF(OR(NOT(ISNUMBER(M280)),M280&lt;10000000,M280&gt;99999999),"Código UNSPSC inválido: registre 8 dígitos",IF(MOD(M280,10000)=0,"UNSPSC a nivel de segmento o familia: use clase o producto",IF(IFERROR(MATCH(P280,PN_MESES,0)&lt;MATCH(O280,PN_MESES,0),TRUE()),"El mes de ofertas es anterior al de inicio del proceso",IF(OR(NOT(ISNUMBER(Q280)),Q280&lt;=0),"Duración inválida",IF(OR(NOT(ISNUMBER(W280)),NOT(ISNUMBER(X280))),"Valor inválido: registre solo números",IF(OR(W280&lt;=0,X280&lt;=0),"Valor inválido: debe ser mayor que cero",IF(X280&gt;W280,"El valor de la vigencia 2027 supera el valor total",IF(AND(X280&lt;W280,Y280="No"),"El valor total supera el de 2027: requiere vigencias futuras",IF(AND(Y280="Sí",OR(Z280="",Z280="No aplica")),"Indique el estado de la solicitud de vigencias futuras",IF(IF(AND(S280="Mínima cuantía",ISNUMBER(PN_TOPE_MINIMA)),W280&gt;PN_TOPE_MINIMA,FALSE()),"El valor supera el tope de mínima cuantía 2027",IF(IF(AND(S280="Selección abreviada de menor cuantía",ISNUMBER(PN_TOPE_MENOR)),W280&gt;PN_TOPE_MENOR,FALSE()),"El valor supera el tope de menor cuantía 2027",IF(OR(ISERROR(SEARCH("@itc.edu.co",AE280)),SUMPRODUCT(--ISNUMBER(SEARCH({"á","é","í","ó","ú","ñ"," "},AE280)))&gt;0),"El correo del responsable no es institucional válido",IF(AND(AF280="Sí",AG280=""),"Indique el N.° de registro 2026 que continúa","OK")))))))))))))))))</f>
        <v/>
      </c>
      <c r="AK280" s="114">
        <f>IF(AJ280="OK",COUNTIF($AJ$7:AJ280,"OK"),"")</f>
        <v/>
      </c>
    </row>
    <row r="281">
      <c r="A281" s="110">
        <f>"PN27-"&amp;TEXT(ROW()-6,"000")</f>
        <v/>
      </c>
      <c r="B281" s="111" t="n"/>
      <c r="C281" s="110">
        <f>IF(B281="","",IFERROR(INDEX('Catalogos_PDN'!$R$5:$R$51,MATCH(B281,PN_AREAS,0)),""))</f>
        <v/>
      </c>
      <c r="D281" s="110">
        <f>IF(B281="","",IFERROR(INDEX('Catalogos_PDN'!$O$5:$O$51,MATCH(B281,PN_AREAS,0)),""))</f>
        <v/>
      </c>
      <c r="E281" s="111" t="n"/>
      <c r="F281" s="110">
        <f>IF(E281="","",IFERROR(INDEX('Catalogos_PDN'!$C$5:$C$49,MATCH(E281,PN_METAS,0)),""))</f>
        <v/>
      </c>
      <c r="G281" s="110">
        <f>IF(E281="","",IFERROR(INDEX('Catalogos_PDN'!$E$5:$E$49,MATCH(E281,PN_METAS,0)),""))</f>
        <v/>
      </c>
      <c r="H281" s="111" t="n"/>
      <c r="I281" s="111" t="n"/>
      <c r="J281" s="111" t="n"/>
      <c r="K281" s="111" t="n"/>
      <c r="L281" s="111" t="n"/>
      <c r="M281" s="112" t="n"/>
      <c r="N281" s="111" t="n"/>
      <c r="O281" s="111" t="n"/>
      <c r="P281" s="111" t="n"/>
      <c r="Q281" s="111" t="n"/>
      <c r="R281" s="111" t="n"/>
      <c r="S281" s="111" t="n"/>
      <c r="T281" s="111" t="n"/>
      <c r="U281" s="111" t="n"/>
      <c r="V281" s="111" t="n"/>
      <c r="W281" s="113" t="n"/>
      <c r="X281" s="113" t="n"/>
      <c r="Y281" s="111" t="n"/>
      <c r="Z281" s="111" t="n"/>
      <c r="AA281" s="111" t="n"/>
      <c r="AB281" s="111" t="n"/>
      <c r="AC281" s="111" t="n"/>
      <c r="AD281" s="111" t="n"/>
      <c r="AE281" s="111" t="n"/>
      <c r="AF281" s="111" t="n"/>
      <c r="AG281" s="111" t="n"/>
      <c r="AH281" s="111" t="n"/>
      <c r="AI281" s="111" t="n"/>
      <c r="AJ281" s="114">
        <f>IF(COUNTA(B281,E281,H281,I281,J281,K281,L281,M281,N281,O281,P281,Q281,R281,S281,T281,U281,V281,W281,X281,Y281,Z281,AA281,AB281,AC281,AD281,AE281,AF281,AG281,AH281,AI281)=0,"",IF(OR(B281="",E281="",H281="",J281="",K281="",L281="",M281="",O281="",P281="",Q281="",R281="",S281="",T281="",U281="",W281="",X281="",Y281="",AB281="",AC281="",AE281="",AF281=""),"Incompleta: faltan campos obligatorios",IF(AND(LEFT(H281,6)="PROPIA",I281=""),"Falta el nombre de la acción propia del área",IF(AND(LEFT(H281,4)="AC27",IFERROR(INDEX('Catalogos_PDN'!$T$5:$T$207,MATCH(H281,'Catalogos_PDN'!$U$5:$U$207,0)),"x")&lt;&gt;LEFT(E281,7)),"La acción no corresponde a la meta seleccionada",IF(OR(NOT(ISNUMBER(M281)),M281&lt;10000000,M281&gt;99999999),"Código UNSPSC inválido: registre 8 dígitos",IF(MOD(M281,10000)=0,"UNSPSC a nivel de segmento o familia: use clase o producto",IF(IFERROR(MATCH(P281,PN_MESES,0)&lt;MATCH(O281,PN_MESES,0),TRUE()),"El mes de ofertas es anterior al de inicio del proceso",IF(OR(NOT(ISNUMBER(Q281)),Q281&lt;=0),"Duración inválida",IF(OR(NOT(ISNUMBER(W281)),NOT(ISNUMBER(X281))),"Valor inválido: registre solo números",IF(OR(W281&lt;=0,X281&lt;=0),"Valor inválido: debe ser mayor que cero",IF(X281&gt;W281,"El valor de la vigencia 2027 supera el valor total",IF(AND(X281&lt;W281,Y281="No"),"El valor total supera el de 2027: requiere vigencias futuras",IF(AND(Y281="Sí",OR(Z281="",Z281="No aplica")),"Indique el estado de la solicitud de vigencias futuras",IF(IF(AND(S281="Mínima cuantía",ISNUMBER(PN_TOPE_MINIMA)),W281&gt;PN_TOPE_MINIMA,FALSE()),"El valor supera el tope de mínima cuantía 2027",IF(IF(AND(S281="Selección abreviada de menor cuantía",ISNUMBER(PN_TOPE_MENOR)),W281&gt;PN_TOPE_MENOR,FALSE()),"El valor supera el tope de menor cuantía 2027",IF(OR(ISERROR(SEARCH("@itc.edu.co",AE281)),SUMPRODUCT(--ISNUMBER(SEARCH({"á","é","í","ó","ú","ñ"," "},AE281)))&gt;0),"El correo del responsable no es institucional válido",IF(AND(AF281="Sí",AG281=""),"Indique el N.° de registro 2026 que continúa","OK")))))))))))))))))</f>
        <v/>
      </c>
      <c r="AK281" s="114">
        <f>IF(AJ281="OK",COUNTIF($AJ$7:AJ281,"OK"),"")</f>
        <v/>
      </c>
    </row>
    <row r="282">
      <c r="A282" s="110">
        <f>"PN27-"&amp;TEXT(ROW()-6,"000")</f>
        <v/>
      </c>
      <c r="B282" s="111" t="n"/>
      <c r="C282" s="110">
        <f>IF(B282="","",IFERROR(INDEX('Catalogos_PDN'!$R$5:$R$51,MATCH(B282,PN_AREAS,0)),""))</f>
        <v/>
      </c>
      <c r="D282" s="110">
        <f>IF(B282="","",IFERROR(INDEX('Catalogos_PDN'!$O$5:$O$51,MATCH(B282,PN_AREAS,0)),""))</f>
        <v/>
      </c>
      <c r="E282" s="111" t="n"/>
      <c r="F282" s="110">
        <f>IF(E282="","",IFERROR(INDEX('Catalogos_PDN'!$C$5:$C$49,MATCH(E282,PN_METAS,0)),""))</f>
        <v/>
      </c>
      <c r="G282" s="110">
        <f>IF(E282="","",IFERROR(INDEX('Catalogos_PDN'!$E$5:$E$49,MATCH(E282,PN_METAS,0)),""))</f>
        <v/>
      </c>
      <c r="H282" s="111" t="n"/>
      <c r="I282" s="111" t="n"/>
      <c r="J282" s="111" t="n"/>
      <c r="K282" s="111" t="n"/>
      <c r="L282" s="111" t="n"/>
      <c r="M282" s="112" t="n"/>
      <c r="N282" s="111" t="n"/>
      <c r="O282" s="111" t="n"/>
      <c r="P282" s="111" t="n"/>
      <c r="Q282" s="111" t="n"/>
      <c r="R282" s="111" t="n"/>
      <c r="S282" s="111" t="n"/>
      <c r="T282" s="111" t="n"/>
      <c r="U282" s="111" t="n"/>
      <c r="V282" s="111" t="n"/>
      <c r="W282" s="113" t="n"/>
      <c r="X282" s="113" t="n"/>
      <c r="Y282" s="111" t="n"/>
      <c r="Z282" s="111" t="n"/>
      <c r="AA282" s="111" t="n"/>
      <c r="AB282" s="111" t="n"/>
      <c r="AC282" s="111" t="n"/>
      <c r="AD282" s="111" t="n"/>
      <c r="AE282" s="111" t="n"/>
      <c r="AF282" s="111" t="n"/>
      <c r="AG282" s="111" t="n"/>
      <c r="AH282" s="111" t="n"/>
      <c r="AI282" s="111" t="n"/>
      <c r="AJ282" s="114">
        <f>IF(COUNTA(B282,E282,H282,I282,J282,K282,L282,M282,N282,O282,P282,Q282,R282,S282,T282,U282,V282,W282,X282,Y282,Z282,AA282,AB282,AC282,AD282,AE282,AF282,AG282,AH282,AI282)=0,"",IF(OR(B282="",E282="",H282="",J282="",K282="",L282="",M282="",O282="",P282="",Q282="",R282="",S282="",T282="",U282="",W282="",X282="",Y282="",AB282="",AC282="",AE282="",AF282=""),"Incompleta: faltan campos obligatorios",IF(AND(LEFT(H282,6)="PROPIA",I282=""),"Falta el nombre de la acción propia del área",IF(AND(LEFT(H282,4)="AC27",IFERROR(INDEX('Catalogos_PDN'!$T$5:$T$207,MATCH(H282,'Catalogos_PDN'!$U$5:$U$207,0)),"x")&lt;&gt;LEFT(E282,7)),"La acción no corresponde a la meta seleccionada",IF(OR(NOT(ISNUMBER(M282)),M282&lt;10000000,M282&gt;99999999),"Código UNSPSC inválido: registre 8 dígitos",IF(MOD(M282,10000)=0,"UNSPSC a nivel de segmento o familia: use clase o producto",IF(IFERROR(MATCH(P282,PN_MESES,0)&lt;MATCH(O282,PN_MESES,0),TRUE()),"El mes de ofertas es anterior al de inicio del proceso",IF(OR(NOT(ISNUMBER(Q282)),Q282&lt;=0),"Duración inválida",IF(OR(NOT(ISNUMBER(W282)),NOT(ISNUMBER(X282))),"Valor inválido: registre solo números",IF(OR(W282&lt;=0,X282&lt;=0),"Valor inválido: debe ser mayor que cero",IF(X282&gt;W282,"El valor de la vigencia 2027 supera el valor total",IF(AND(X282&lt;W282,Y282="No"),"El valor total supera el de 2027: requiere vigencias futuras",IF(AND(Y282="Sí",OR(Z282="",Z282="No aplica")),"Indique el estado de la solicitud de vigencias futuras",IF(IF(AND(S282="Mínima cuantía",ISNUMBER(PN_TOPE_MINIMA)),W282&gt;PN_TOPE_MINIMA,FALSE()),"El valor supera el tope de mínima cuantía 2027",IF(IF(AND(S282="Selección abreviada de menor cuantía",ISNUMBER(PN_TOPE_MENOR)),W282&gt;PN_TOPE_MENOR,FALSE()),"El valor supera el tope de menor cuantía 2027",IF(OR(ISERROR(SEARCH("@itc.edu.co",AE282)),SUMPRODUCT(--ISNUMBER(SEARCH({"á","é","í","ó","ú","ñ"," "},AE282)))&gt;0),"El correo del responsable no es institucional válido",IF(AND(AF282="Sí",AG282=""),"Indique el N.° de registro 2026 que continúa","OK")))))))))))))))))</f>
        <v/>
      </c>
      <c r="AK282" s="114">
        <f>IF(AJ282="OK",COUNTIF($AJ$7:AJ282,"OK"),"")</f>
        <v/>
      </c>
    </row>
    <row r="283">
      <c r="A283" s="110">
        <f>"PN27-"&amp;TEXT(ROW()-6,"000")</f>
        <v/>
      </c>
      <c r="B283" s="111" t="n"/>
      <c r="C283" s="110">
        <f>IF(B283="","",IFERROR(INDEX('Catalogos_PDN'!$R$5:$R$51,MATCH(B283,PN_AREAS,0)),""))</f>
        <v/>
      </c>
      <c r="D283" s="110">
        <f>IF(B283="","",IFERROR(INDEX('Catalogos_PDN'!$O$5:$O$51,MATCH(B283,PN_AREAS,0)),""))</f>
        <v/>
      </c>
      <c r="E283" s="111" t="n"/>
      <c r="F283" s="110">
        <f>IF(E283="","",IFERROR(INDEX('Catalogos_PDN'!$C$5:$C$49,MATCH(E283,PN_METAS,0)),""))</f>
        <v/>
      </c>
      <c r="G283" s="110">
        <f>IF(E283="","",IFERROR(INDEX('Catalogos_PDN'!$E$5:$E$49,MATCH(E283,PN_METAS,0)),""))</f>
        <v/>
      </c>
      <c r="H283" s="111" t="n"/>
      <c r="I283" s="111" t="n"/>
      <c r="J283" s="111" t="n"/>
      <c r="K283" s="111" t="n"/>
      <c r="L283" s="111" t="n"/>
      <c r="M283" s="112" t="n"/>
      <c r="N283" s="111" t="n"/>
      <c r="O283" s="111" t="n"/>
      <c r="P283" s="111" t="n"/>
      <c r="Q283" s="111" t="n"/>
      <c r="R283" s="111" t="n"/>
      <c r="S283" s="111" t="n"/>
      <c r="T283" s="111" t="n"/>
      <c r="U283" s="111" t="n"/>
      <c r="V283" s="111" t="n"/>
      <c r="W283" s="113" t="n"/>
      <c r="X283" s="113" t="n"/>
      <c r="Y283" s="111" t="n"/>
      <c r="Z283" s="111" t="n"/>
      <c r="AA283" s="111" t="n"/>
      <c r="AB283" s="111" t="n"/>
      <c r="AC283" s="111" t="n"/>
      <c r="AD283" s="111" t="n"/>
      <c r="AE283" s="111" t="n"/>
      <c r="AF283" s="111" t="n"/>
      <c r="AG283" s="111" t="n"/>
      <c r="AH283" s="111" t="n"/>
      <c r="AI283" s="111" t="n"/>
      <c r="AJ283" s="114">
        <f>IF(COUNTA(B283,E283,H283,I283,J283,K283,L283,M283,N283,O283,P283,Q283,R283,S283,T283,U283,V283,W283,X283,Y283,Z283,AA283,AB283,AC283,AD283,AE283,AF283,AG283,AH283,AI283)=0,"",IF(OR(B283="",E283="",H283="",J283="",K283="",L283="",M283="",O283="",P283="",Q283="",R283="",S283="",T283="",U283="",W283="",X283="",Y283="",AB283="",AC283="",AE283="",AF283=""),"Incompleta: faltan campos obligatorios",IF(AND(LEFT(H283,6)="PROPIA",I283=""),"Falta el nombre de la acción propia del área",IF(AND(LEFT(H283,4)="AC27",IFERROR(INDEX('Catalogos_PDN'!$T$5:$T$207,MATCH(H283,'Catalogos_PDN'!$U$5:$U$207,0)),"x")&lt;&gt;LEFT(E283,7)),"La acción no corresponde a la meta seleccionada",IF(OR(NOT(ISNUMBER(M283)),M283&lt;10000000,M283&gt;99999999),"Código UNSPSC inválido: registre 8 dígitos",IF(MOD(M283,10000)=0,"UNSPSC a nivel de segmento o familia: use clase o producto",IF(IFERROR(MATCH(P283,PN_MESES,0)&lt;MATCH(O283,PN_MESES,0),TRUE()),"El mes de ofertas es anterior al de inicio del proceso",IF(OR(NOT(ISNUMBER(Q283)),Q283&lt;=0),"Duración inválida",IF(OR(NOT(ISNUMBER(W283)),NOT(ISNUMBER(X283))),"Valor inválido: registre solo números",IF(OR(W283&lt;=0,X283&lt;=0),"Valor inválido: debe ser mayor que cero",IF(X283&gt;W283,"El valor de la vigencia 2027 supera el valor total",IF(AND(X283&lt;W283,Y283="No"),"El valor total supera el de 2027: requiere vigencias futuras",IF(AND(Y283="Sí",OR(Z283="",Z283="No aplica")),"Indique el estado de la solicitud de vigencias futuras",IF(IF(AND(S283="Mínima cuantía",ISNUMBER(PN_TOPE_MINIMA)),W283&gt;PN_TOPE_MINIMA,FALSE()),"El valor supera el tope de mínima cuantía 2027",IF(IF(AND(S283="Selección abreviada de menor cuantía",ISNUMBER(PN_TOPE_MENOR)),W283&gt;PN_TOPE_MENOR,FALSE()),"El valor supera el tope de menor cuantía 2027",IF(OR(ISERROR(SEARCH("@itc.edu.co",AE283)),SUMPRODUCT(--ISNUMBER(SEARCH({"á","é","í","ó","ú","ñ"," "},AE283)))&gt;0),"El correo del responsable no es institucional válido",IF(AND(AF283="Sí",AG283=""),"Indique el N.° de registro 2026 que continúa","OK")))))))))))))))))</f>
        <v/>
      </c>
      <c r="AK283" s="114">
        <f>IF(AJ283="OK",COUNTIF($AJ$7:AJ283,"OK"),"")</f>
        <v/>
      </c>
    </row>
    <row r="284">
      <c r="A284" s="110">
        <f>"PN27-"&amp;TEXT(ROW()-6,"000")</f>
        <v/>
      </c>
      <c r="B284" s="111" t="n"/>
      <c r="C284" s="110">
        <f>IF(B284="","",IFERROR(INDEX('Catalogos_PDN'!$R$5:$R$51,MATCH(B284,PN_AREAS,0)),""))</f>
        <v/>
      </c>
      <c r="D284" s="110">
        <f>IF(B284="","",IFERROR(INDEX('Catalogos_PDN'!$O$5:$O$51,MATCH(B284,PN_AREAS,0)),""))</f>
        <v/>
      </c>
      <c r="E284" s="111" t="n"/>
      <c r="F284" s="110">
        <f>IF(E284="","",IFERROR(INDEX('Catalogos_PDN'!$C$5:$C$49,MATCH(E284,PN_METAS,0)),""))</f>
        <v/>
      </c>
      <c r="G284" s="110">
        <f>IF(E284="","",IFERROR(INDEX('Catalogos_PDN'!$E$5:$E$49,MATCH(E284,PN_METAS,0)),""))</f>
        <v/>
      </c>
      <c r="H284" s="111" t="n"/>
      <c r="I284" s="111" t="n"/>
      <c r="J284" s="111" t="n"/>
      <c r="K284" s="111" t="n"/>
      <c r="L284" s="111" t="n"/>
      <c r="M284" s="112" t="n"/>
      <c r="N284" s="111" t="n"/>
      <c r="O284" s="111" t="n"/>
      <c r="P284" s="111" t="n"/>
      <c r="Q284" s="111" t="n"/>
      <c r="R284" s="111" t="n"/>
      <c r="S284" s="111" t="n"/>
      <c r="T284" s="111" t="n"/>
      <c r="U284" s="111" t="n"/>
      <c r="V284" s="111" t="n"/>
      <c r="W284" s="113" t="n"/>
      <c r="X284" s="113" t="n"/>
      <c r="Y284" s="111" t="n"/>
      <c r="Z284" s="111" t="n"/>
      <c r="AA284" s="111" t="n"/>
      <c r="AB284" s="111" t="n"/>
      <c r="AC284" s="111" t="n"/>
      <c r="AD284" s="111" t="n"/>
      <c r="AE284" s="111" t="n"/>
      <c r="AF284" s="111" t="n"/>
      <c r="AG284" s="111" t="n"/>
      <c r="AH284" s="111" t="n"/>
      <c r="AI284" s="111" t="n"/>
      <c r="AJ284" s="114">
        <f>IF(COUNTA(B284,E284,H284,I284,J284,K284,L284,M284,N284,O284,P284,Q284,R284,S284,T284,U284,V284,W284,X284,Y284,Z284,AA284,AB284,AC284,AD284,AE284,AF284,AG284,AH284,AI284)=0,"",IF(OR(B284="",E284="",H284="",J284="",K284="",L284="",M284="",O284="",P284="",Q284="",R284="",S284="",T284="",U284="",W284="",X284="",Y284="",AB284="",AC284="",AE284="",AF284=""),"Incompleta: faltan campos obligatorios",IF(AND(LEFT(H284,6)="PROPIA",I284=""),"Falta el nombre de la acción propia del área",IF(AND(LEFT(H284,4)="AC27",IFERROR(INDEX('Catalogos_PDN'!$T$5:$T$207,MATCH(H284,'Catalogos_PDN'!$U$5:$U$207,0)),"x")&lt;&gt;LEFT(E284,7)),"La acción no corresponde a la meta seleccionada",IF(OR(NOT(ISNUMBER(M284)),M284&lt;10000000,M284&gt;99999999),"Código UNSPSC inválido: registre 8 dígitos",IF(MOD(M284,10000)=0,"UNSPSC a nivel de segmento o familia: use clase o producto",IF(IFERROR(MATCH(P284,PN_MESES,0)&lt;MATCH(O284,PN_MESES,0),TRUE()),"El mes de ofertas es anterior al de inicio del proceso",IF(OR(NOT(ISNUMBER(Q284)),Q284&lt;=0),"Duración inválida",IF(OR(NOT(ISNUMBER(W284)),NOT(ISNUMBER(X284))),"Valor inválido: registre solo números",IF(OR(W284&lt;=0,X284&lt;=0),"Valor inválido: debe ser mayor que cero",IF(X284&gt;W284,"El valor de la vigencia 2027 supera el valor total",IF(AND(X284&lt;W284,Y284="No"),"El valor total supera el de 2027: requiere vigencias futuras",IF(AND(Y284="Sí",OR(Z284="",Z284="No aplica")),"Indique el estado de la solicitud de vigencias futuras",IF(IF(AND(S284="Mínima cuantía",ISNUMBER(PN_TOPE_MINIMA)),W284&gt;PN_TOPE_MINIMA,FALSE()),"El valor supera el tope de mínima cuantía 2027",IF(IF(AND(S284="Selección abreviada de menor cuantía",ISNUMBER(PN_TOPE_MENOR)),W284&gt;PN_TOPE_MENOR,FALSE()),"El valor supera el tope de menor cuantía 2027",IF(OR(ISERROR(SEARCH("@itc.edu.co",AE284)),SUMPRODUCT(--ISNUMBER(SEARCH({"á","é","í","ó","ú","ñ"," "},AE284)))&gt;0),"El correo del responsable no es institucional válido",IF(AND(AF284="Sí",AG284=""),"Indique el N.° de registro 2026 que continúa","OK")))))))))))))))))</f>
        <v/>
      </c>
      <c r="AK284" s="114">
        <f>IF(AJ284="OK",COUNTIF($AJ$7:AJ284,"OK"),"")</f>
        <v/>
      </c>
    </row>
    <row r="285">
      <c r="A285" s="110">
        <f>"PN27-"&amp;TEXT(ROW()-6,"000")</f>
        <v/>
      </c>
      <c r="B285" s="111" t="n"/>
      <c r="C285" s="110">
        <f>IF(B285="","",IFERROR(INDEX('Catalogos_PDN'!$R$5:$R$51,MATCH(B285,PN_AREAS,0)),""))</f>
        <v/>
      </c>
      <c r="D285" s="110">
        <f>IF(B285="","",IFERROR(INDEX('Catalogos_PDN'!$O$5:$O$51,MATCH(B285,PN_AREAS,0)),""))</f>
        <v/>
      </c>
      <c r="E285" s="111" t="n"/>
      <c r="F285" s="110">
        <f>IF(E285="","",IFERROR(INDEX('Catalogos_PDN'!$C$5:$C$49,MATCH(E285,PN_METAS,0)),""))</f>
        <v/>
      </c>
      <c r="G285" s="110">
        <f>IF(E285="","",IFERROR(INDEX('Catalogos_PDN'!$E$5:$E$49,MATCH(E285,PN_METAS,0)),""))</f>
        <v/>
      </c>
      <c r="H285" s="111" t="n"/>
      <c r="I285" s="111" t="n"/>
      <c r="J285" s="111" t="n"/>
      <c r="K285" s="111" t="n"/>
      <c r="L285" s="111" t="n"/>
      <c r="M285" s="112" t="n"/>
      <c r="N285" s="111" t="n"/>
      <c r="O285" s="111" t="n"/>
      <c r="P285" s="111" t="n"/>
      <c r="Q285" s="111" t="n"/>
      <c r="R285" s="111" t="n"/>
      <c r="S285" s="111" t="n"/>
      <c r="T285" s="111" t="n"/>
      <c r="U285" s="111" t="n"/>
      <c r="V285" s="111" t="n"/>
      <c r="W285" s="113" t="n"/>
      <c r="X285" s="113" t="n"/>
      <c r="Y285" s="111" t="n"/>
      <c r="Z285" s="111" t="n"/>
      <c r="AA285" s="111" t="n"/>
      <c r="AB285" s="111" t="n"/>
      <c r="AC285" s="111" t="n"/>
      <c r="AD285" s="111" t="n"/>
      <c r="AE285" s="111" t="n"/>
      <c r="AF285" s="111" t="n"/>
      <c r="AG285" s="111" t="n"/>
      <c r="AH285" s="111" t="n"/>
      <c r="AI285" s="111" t="n"/>
      <c r="AJ285" s="114">
        <f>IF(COUNTA(B285,E285,H285,I285,J285,K285,L285,M285,N285,O285,P285,Q285,R285,S285,T285,U285,V285,W285,X285,Y285,Z285,AA285,AB285,AC285,AD285,AE285,AF285,AG285,AH285,AI285)=0,"",IF(OR(B285="",E285="",H285="",J285="",K285="",L285="",M285="",O285="",P285="",Q285="",R285="",S285="",T285="",U285="",W285="",X285="",Y285="",AB285="",AC285="",AE285="",AF285=""),"Incompleta: faltan campos obligatorios",IF(AND(LEFT(H285,6)="PROPIA",I285=""),"Falta el nombre de la acción propia del área",IF(AND(LEFT(H285,4)="AC27",IFERROR(INDEX('Catalogos_PDN'!$T$5:$T$207,MATCH(H285,'Catalogos_PDN'!$U$5:$U$207,0)),"x")&lt;&gt;LEFT(E285,7)),"La acción no corresponde a la meta seleccionada",IF(OR(NOT(ISNUMBER(M285)),M285&lt;10000000,M285&gt;99999999),"Código UNSPSC inválido: registre 8 dígitos",IF(MOD(M285,10000)=0,"UNSPSC a nivel de segmento o familia: use clase o producto",IF(IFERROR(MATCH(P285,PN_MESES,0)&lt;MATCH(O285,PN_MESES,0),TRUE()),"El mes de ofertas es anterior al de inicio del proceso",IF(OR(NOT(ISNUMBER(Q285)),Q285&lt;=0),"Duración inválida",IF(OR(NOT(ISNUMBER(W285)),NOT(ISNUMBER(X285))),"Valor inválido: registre solo números",IF(OR(W285&lt;=0,X285&lt;=0),"Valor inválido: debe ser mayor que cero",IF(X285&gt;W285,"El valor de la vigencia 2027 supera el valor total",IF(AND(X285&lt;W285,Y285="No"),"El valor total supera el de 2027: requiere vigencias futuras",IF(AND(Y285="Sí",OR(Z285="",Z285="No aplica")),"Indique el estado de la solicitud de vigencias futuras",IF(IF(AND(S285="Mínima cuantía",ISNUMBER(PN_TOPE_MINIMA)),W285&gt;PN_TOPE_MINIMA,FALSE()),"El valor supera el tope de mínima cuantía 2027",IF(IF(AND(S285="Selección abreviada de menor cuantía",ISNUMBER(PN_TOPE_MENOR)),W285&gt;PN_TOPE_MENOR,FALSE()),"El valor supera el tope de menor cuantía 2027",IF(OR(ISERROR(SEARCH("@itc.edu.co",AE285)),SUMPRODUCT(--ISNUMBER(SEARCH({"á","é","í","ó","ú","ñ"," "},AE285)))&gt;0),"El correo del responsable no es institucional válido",IF(AND(AF285="Sí",AG285=""),"Indique el N.° de registro 2026 que continúa","OK")))))))))))))))))</f>
        <v/>
      </c>
      <c r="AK285" s="114">
        <f>IF(AJ285="OK",COUNTIF($AJ$7:AJ285,"OK"),"")</f>
        <v/>
      </c>
    </row>
    <row r="286">
      <c r="A286" s="110">
        <f>"PN27-"&amp;TEXT(ROW()-6,"000")</f>
        <v/>
      </c>
      <c r="B286" s="111" t="n"/>
      <c r="C286" s="110">
        <f>IF(B286="","",IFERROR(INDEX('Catalogos_PDN'!$R$5:$R$51,MATCH(B286,PN_AREAS,0)),""))</f>
        <v/>
      </c>
      <c r="D286" s="110">
        <f>IF(B286="","",IFERROR(INDEX('Catalogos_PDN'!$O$5:$O$51,MATCH(B286,PN_AREAS,0)),""))</f>
        <v/>
      </c>
      <c r="E286" s="111" t="n"/>
      <c r="F286" s="110">
        <f>IF(E286="","",IFERROR(INDEX('Catalogos_PDN'!$C$5:$C$49,MATCH(E286,PN_METAS,0)),""))</f>
        <v/>
      </c>
      <c r="G286" s="110">
        <f>IF(E286="","",IFERROR(INDEX('Catalogos_PDN'!$E$5:$E$49,MATCH(E286,PN_METAS,0)),""))</f>
        <v/>
      </c>
      <c r="H286" s="111" t="n"/>
      <c r="I286" s="111" t="n"/>
      <c r="J286" s="111" t="n"/>
      <c r="K286" s="111" t="n"/>
      <c r="L286" s="111" t="n"/>
      <c r="M286" s="112" t="n"/>
      <c r="N286" s="111" t="n"/>
      <c r="O286" s="111" t="n"/>
      <c r="P286" s="111" t="n"/>
      <c r="Q286" s="111" t="n"/>
      <c r="R286" s="111" t="n"/>
      <c r="S286" s="111" t="n"/>
      <c r="T286" s="111" t="n"/>
      <c r="U286" s="111" t="n"/>
      <c r="V286" s="111" t="n"/>
      <c r="W286" s="113" t="n"/>
      <c r="X286" s="113" t="n"/>
      <c r="Y286" s="111" t="n"/>
      <c r="Z286" s="111" t="n"/>
      <c r="AA286" s="111" t="n"/>
      <c r="AB286" s="111" t="n"/>
      <c r="AC286" s="111" t="n"/>
      <c r="AD286" s="111" t="n"/>
      <c r="AE286" s="111" t="n"/>
      <c r="AF286" s="111" t="n"/>
      <c r="AG286" s="111" t="n"/>
      <c r="AH286" s="111" t="n"/>
      <c r="AI286" s="111" t="n"/>
      <c r="AJ286" s="114">
        <f>IF(COUNTA(B286,E286,H286,I286,J286,K286,L286,M286,N286,O286,P286,Q286,R286,S286,T286,U286,V286,W286,X286,Y286,Z286,AA286,AB286,AC286,AD286,AE286,AF286,AG286,AH286,AI286)=0,"",IF(OR(B286="",E286="",H286="",J286="",K286="",L286="",M286="",O286="",P286="",Q286="",R286="",S286="",T286="",U286="",W286="",X286="",Y286="",AB286="",AC286="",AE286="",AF286=""),"Incompleta: faltan campos obligatorios",IF(AND(LEFT(H286,6)="PROPIA",I286=""),"Falta el nombre de la acción propia del área",IF(AND(LEFT(H286,4)="AC27",IFERROR(INDEX('Catalogos_PDN'!$T$5:$T$207,MATCH(H286,'Catalogos_PDN'!$U$5:$U$207,0)),"x")&lt;&gt;LEFT(E286,7)),"La acción no corresponde a la meta seleccionada",IF(OR(NOT(ISNUMBER(M286)),M286&lt;10000000,M286&gt;99999999),"Código UNSPSC inválido: registre 8 dígitos",IF(MOD(M286,10000)=0,"UNSPSC a nivel de segmento o familia: use clase o producto",IF(IFERROR(MATCH(P286,PN_MESES,0)&lt;MATCH(O286,PN_MESES,0),TRUE()),"El mes de ofertas es anterior al de inicio del proceso",IF(OR(NOT(ISNUMBER(Q286)),Q286&lt;=0),"Duración inválida",IF(OR(NOT(ISNUMBER(W286)),NOT(ISNUMBER(X286))),"Valor inválido: registre solo números",IF(OR(W286&lt;=0,X286&lt;=0),"Valor inválido: debe ser mayor que cero",IF(X286&gt;W286,"El valor de la vigencia 2027 supera el valor total",IF(AND(X286&lt;W286,Y286="No"),"El valor total supera el de 2027: requiere vigencias futuras",IF(AND(Y286="Sí",OR(Z286="",Z286="No aplica")),"Indique el estado de la solicitud de vigencias futuras",IF(IF(AND(S286="Mínima cuantía",ISNUMBER(PN_TOPE_MINIMA)),W286&gt;PN_TOPE_MINIMA,FALSE()),"El valor supera el tope de mínima cuantía 2027",IF(IF(AND(S286="Selección abreviada de menor cuantía",ISNUMBER(PN_TOPE_MENOR)),W286&gt;PN_TOPE_MENOR,FALSE()),"El valor supera el tope de menor cuantía 2027",IF(OR(ISERROR(SEARCH("@itc.edu.co",AE286)),SUMPRODUCT(--ISNUMBER(SEARCH({"á","é","í","ó","ú","ñ"," "},AE286)))&gt;0),"El correo del responsable no es institucional válido",IF(AND(AF286="Sí",AG286=""),"Indique el N.° de registro 2026 que continúa","OK")))))))))))))))))</f>
        <v/>
      </c>
      <c r="AK286" s="114">
        <f>IF(AJ286="OK",COUNTIF($AJ$7:AJ286,"OK"),"")</f>
        <v/>
      </c>
    </row>
    <row r="287">
      <c r="A287" s="110">
        <f>"PN27-"&amp;TEXT(ROW()-6,"000")</f>
        <v/>
      </c>
      <c r="B287" s="111" t="n"/>
      <c r="C287" s="110">
        <f>IF(B287="","",IFERROR(INDEX('Catalogos_PDN'!$R$5:$R$51,MATCH(B287,PN_AREAS,0)),""))</f>
        <v/>
      </c>
      <c r="D287" s="110">
        <f>IF(B287="","",IFERROR(INDEX('Catalogos_PDN'!$O$5:$O$51,MATCH(B287,PN_AREAS,0)),""))</f>
        <v/>
      </c>
      <c r="E287" s="111" t="n"/>
      <c r="F287" s="110">
        <f>IF(E287="","",IFERROR(INDEX('Catalogos_PDN'!$C$5:$C$49,MATCH(E287,PN_METAS,0)),""))</f>
        <v/>
      </c>
      <c r="G287" s="110">
        <f>IF(E287="","",IFERROR(INDEX('Catalogos_PDN'!$E$5:$E$49,MATCH(E287,PN_METAS,0)),""))</f>
        <v/>
      </c>
      <c r="H287" s="111" t="n"/>
      <c r="I287" s="111" t="n"/>
      <c r="J287" s="111" t="n"/>
      <c r="K287" s="111" t="n"/>
      <c r="L287" s="111" t="n"/>
      <c r="M287" s="112" t="n"/>
      <c r="N287" s="111" t="n"/>
      <c r="O287" s="111" t="n"/>
      <c r="P287" s="111" t="n"/>
      <c r="Q287" s="111" t="n"/>
      <c r="R287" s="111" t="n"/>
      <c r="S287" s="111" t="n"/>
      <c r="T287" s="111" t="n"/>
      <c r="U287" s="111" t="n"/>
      <c r="V287" s="111" t="n"/>
      <c r="W287" s="113" t="n"/>
      <c r="X287" s="113" t="n"/>
      <c r="Y287" s="111" t="n"/>
      <c r="Z287" s="111" t="n"/>
      <c r="AA287" s="111" t="n"/>
      <c r="AB287" s="111" t="n"/>
      <c r="AC287" s="111" t="n"/>
      <c r="AD287" s="111" t="n"/>
      <c r="AE287" s="111" t="n"/>
      <c r="AF287" s="111" t="n"/>
      <c r="AG287" s="111" t="n"/>
      <c r="AH287" s="111" t="n"/>
      <c r="AI287" s="111" t="n"/>
      <c r="AJ287" s="114">
        <f>IF(COUNTA(B287,E287,H287,I287,J287,K287,L287,M287,N287,O287,P287,Q287,R287,S287,T287,U287,V287,W287,X287,Y287,Z287,AA287,AB287,AC287,AD287,AE287,AF287,AG287,AH287,AI287)=0,"",IF(OR(B287="",E287="",H287="",J287="",K287="",L287="",M287="",O287="",P287="",Q287="",R287="",S287="",T287="",U287="",W287="",X287="",Y287="",AB287="",AC287="",AE287="",AF287=""),"Incompleta: faltan campos obligatorios",IF(AND(LEFT(H287,6)="PROPIA",I287=""),"Falta el nombre de la acción propia del área",IF(AND(LEFT(H287,4)="AC27",IFERROR(INDEX('Catalogos_PDN'!$T$5:$T$207,MATCH(H287,'Catalogos_PDN'!$U$5:$U$207,0)),"x")&lt;&gt;LEFT(E287,7)),"La acción no corresponde a la meta seleccionada",IF(OR(NOT(ISNUMBER(M287)),M287&lt;10000000,M287&gt;99999999),"Código UNSPSC inválido: registre 8 dígitos",IF(MOD(M287,10000)=0,"UNSPSC a nivel de segmento o familia: use clase o producto",IF(IFERROR(MATCH(P287,PN_MESES,0)&lt;MATCH(O287,PN_MESES,0),TRUE()),"El mes de ofertas es anterior al de inicio del proceso",IF(OR(NOT(ISNUMBER(Q287)),Q287&lt;=0),"Duración inválida",IF(OR(NOT(ISNUMBER(W287)),NOT(ISNUMBER(X287))),"Valor inválido: registre solo números",IF(OR(W287&lt;=0,X287&lt;=0),"Valor inválido: debe ser mayor que cero",IF(X287&gt;W287,"El valor de la vigencia 2027 supera el valor total",IF(AND(X287&lt;W287,Y287="No"),"El valor total supera el de 2027: requiere vigencias futuras",IF(AND(Y287="Sí",OR(Z287="",Z287="No aplica")),"Indique el estado de la solicitud de vigencias futuras",IF(IF(AND(S287="Mínima cuantía",ISNUMBER(PN_TOPE_MINIMA)),W287&gt;PN_TOPE_MINIMA,FALSE()),"El valor supera el tope de mínima cuantía 2027",IF(IF(AND(S287="Selección abreviada de menor cuantía",ISNUMBER(PN_TOPE_MENOR)),W287&gt;PN_TOPE_MENOR,FALSE()),"El valor supera el tope de menor cuantía 2027",IF(OR(ISERROR(SEARCH("@itc.edu.co",AE287)),SUMPRODUCT(--ISNUMBER(SEARCH({"á","é","í","ó","ú","ñ"," "},AE287)))&gt;0),"El correo del responsable no es institucional válido",IF(AND(AF287="Sí",AG287=""),"Indique el N.° de registro 2026 que continúa","OK")))))))))))))))))</f>
        <v/>
      </c>
      <c r="AK287" s="114">
        <f>IF(AJ287="OK",COUNTIF($AJ$7:AJ287,"OK"),"")</f>
        <v/>
      </c>
    </row>
    <row r="288">
      <c r="A288" s="110">
        <f>"PN27-"&amp;TEXT(ROW()-6,"000")</f>
        <v/>
      </c>
      <c r="B288" s="111" t="n"/>
      <c r="C288" s="110">
        <f>IF(B288="","",IFERROR(INDEX('Catalogos_PDN'!$R$5:$R$51,MATCH(B288,PN_AREAS,0)),""))</f>
        <v/>
      </c>
      <c r="D288" s="110">
        <f>IF(B288="","",IFERROR(INDEX('Catalogos_PDN'!$O$5:$O$51,MATCH(B288,PN_AREAS,0)),""))</f>
        <v/>
      </c>
      <c r="E288" s="111" t="n"/>
      <c r="F288" s="110">
        <f>IF(E288="","",IFERROR(INDEX('Catalogos_PDN'!$C$5:$C$49,MATCH(E288,PN_METAS,0)),""))</f>
        <v/>
      </c>
      <c r="G288" s="110">
        <f>IF(E288="","",IFERROR(INDEX('Catalogos_PDN'!$E$5:$E$49,MATCH(E288,PN_METAS,0)),""))</f>
        <v/>
      </c>
      <c r="H288" s="111" t="n"/>
      <c r="I288" s="111" t="n"/>
      <c r="J288" s="111" t="n"/>
      <c r="K288" s="111" t="n"/>
      <c r="L288" s="111" t="n"/>
      <c r="M288" s="112" t="n"/>
      <c r="N288" s="111" t="n"/>
      <c r="O288" s="111" t="n"/>
      <c r="P288" s="111" t="n"/>
      <c r="Q288" s="111" t="n"/>
      <c r="R288" s="111" t="n"/>
      <c r="S288" s="111" t="n"/>
      <c r="T288" s="111" t="n"/>
      <c r="U288" s="111" t="n"/>
      <c r="V288" s="111" t="n"/>
      <c r="W288" s="113" t="n"/>
      <c r="X288" s="113" t="n"/>
      <c r="Y288" s="111" t="n"/>
      <c r="Z288" s="111" t="n"/>
      <c r="AA288" s="111" t="n"/>
      <c r="AB288" s="111" t="n"/>
      <c r="AC288" s="111" t="n"/>
      <c r="AD288" s="111" t="n"/>
      <c r="AE288" s="111" t="n"/>
      <c r="AF288" s="111" t="n"/>
      <c r="AG288" s="111" t="n"/>
      <c r="AH288" s="111" t="n"/>
      <c r="AI288" s="111" t="n"/>
      <c r="AJ288" s="114">
        <f>IF(COUNTA(B288,E288,H288,I288,J288,K288,L288,M288,N288,O288,P288,Q288,R288,S288,T288,U288,V288,W288,X288,Y288,Z288,AA288,AB288,AC288,AD288,AE288,AF288,AG288,AH288,AI288)=0,"",IF(OR(B288="",E288="",H288="",J288="",K288="",L288="",M288="",O288="",P288="",Q288="",R288="",S288="",T288="",U288="",W288="",X288="",Y288="",AB288="",AC288="",AE288="",AF288=""),"Incompleta: faltan campos obligatorios",IF(AND(LEFT(H288,6)="PROPIA",I288=""),"Falta el nombre de la acción propia del área",IF(AND(LEFT(H288,4)="AC27",IFERROR(INDEX('Catalogos_PDN'!$T$5:$T$207,MATCH(H288,'Catalogos_PDN'!$U$5:$U$207,0)),"x")&lt;&gt;LEFT(E288,7)),"La acción no corresponde a la meta seleccionada",IF(OR(NOT(ISNUMBER(M288)),M288&lt;10000000,M288&gt;99999999),"Código UNSPSC inválido: registre 8 dígitos",IF(MOD(M288,10000)=0,"UNSPSC a nivel de segmento o familia: use clase o producto",IF(IFERROR(MATCH(P288,PN_MESES,0)&lt;MATCH(O288,PN_MESES,0),TRUE()),"El mes de ofertas es anterior al de inicio del proceso",IF(OR(NOT(ISNUMBER(Q288)),Q288&lt;=0),"Duración inválida",IF(OR(NOT(ISNUMBER(W288)),NOT(ISNUMBER(X288))),"Valor inválido: registre solo números",IF(OR(W288&lt;=0,X288&lt;=0),"Valor inválido: debe ser mayor que cero",IF(X288&gt;W288,"El valor de la vigencia 2027 supera el valor total",IF(AND(X288&lt;W288,Y288="No"),"El valor total supera el de 2027: requiere vigencias futuras",IF(AND(Y288="Sí",OR(Z288="",Z288="No aplica")),"Indique el estado de la solicitud de vigencias futuras",IF(IF(AND(S288="Mínima cuantía",ISNUMBER(PN_TOPE_MINIMA)),W288&gt;PN_TOPE_MINIMA,FALSE()),"El valor supera el tope de mínima cuantía 2027",IF(IF(AND(S288="Selección abreviada de menor cuantía",ISNUMBER(PN_TOPE_MENOR)),W288&gt;PN_TOPE_MENOR,FALSE()),"El valor supera el tope de menor cuantía 2027",IF(OR(ISERROR(SEARCH("@itc.edu.co",AE288)),SUMPRODUCT(--ISNUMBER(SEARCH({"á","é","í","ó","ú","ñ"," "},AE288)))&gt;0),"El correo del responsable no es institucional válido",IF(AND(AF288="Sí",AG288=""),"Indique el N.° de registro 2026 que continúa","OK")))))))))))))))))</f>
        <v/>
      </c>
      <c r="AK288" s="114">
        <f>IF(AJ288="OK",COUNTIF($AJ$7:AJ288,"OK"),"")</f>
        <v/>
      </c>
    </row>
    <row r="289">
      <c r="A289" s="110">
        <f>"PN27-"&amp;TEXT(ROW()-6,"000")</f>
        <v/>
      </c>
      <c r="B289" s="111" t="n"/>
      <c r="C289" s="110">
        <f>IF(B289="","",IFERROR(INDEX('Catalogos_PDN'!$R$5:$R$51,MATCH(B289,PN_AREAS,0)),""))</f>
        <v/>
      </c>
      <c r="D289" s="110">
        <f>IF(B289="","",IFERROR(INDEX('Catalogos_PDN'!$O$5:$O$51,MATCH(B289,PN_AREAS,0)),""))</f>
        <v/>
      </c>
      <c r="E289" s="111" t="n"/>
      <c r="F289" s="110">
        <f>IF(E289="","",IFERROR(INDEX('Catalogos_PDN'!$C$5:$C$49,MATCH(E289,PN_METAS,0)),""))</f>
        <v/>
      </c>
      <c r="G289" s="110">
        <f>IF(E289="","",IFERROR(INDEX('Catalogos_PDN'!$E$5:$E$49,MATCH(E289,PN_METAS,0)),""))</f>
        <v/>
      </c>
      <c r="H289" s="111" t="n"/>
      <c r="I289" s="111" t="n"/>
      <c r="J289" s="111" t="n"/>
      <c r="K289" s="111" t="n"/>
      <c r="L289" s="111" t="n"/>
      <c r="M289" s="112" t="n"/>
      <c r="N289" s="111" t="n"/>
      <c r="O289" s="111" t="n"/>
      <c r="P289" s="111" t="n"/>
      <c r="Q289" s="111" t="n"/>
      <c r="R289" s="111" t="n"/>
      <c r="S289" s="111" t="n"/>
      <c r="T289" s="111" t="n"/>
      <c r="U289" s="111" t="n"/>
      <c r="V289" s="111" t="n"/>
      <c r="W289" s="113" t="n"/>
      <c r="X289" s="113" t="n"/>
      <c r="Y289" s="111" t="n"/>
      <c r="Z289" s="111" t="n"/>
      <c r="AA289" s="111" t="n"/>
      <c r="AB289" s="111" t="n"/>
      <c r="AC289" s="111" t="n"/>
      <c r="AD289" s="111" t="n"/>
      <c r="AE289" s="111" t="n"/>
      <c r="AF289" s="111" t="n"/>
      <c r="AG289" s="111" t="n"/>
      <c r="AH289" s="111" t="n"/>
      <c r="AI289" s="111" t="n"/>
      <c r="AJ289" s="114">
        <f>IF(COUNTA(B289,E289,H289,I289,J289,K289,L289,M289,N289,O289,P289,Q289,R289,S289,T289,U289,V289,W289,X289,Y289,Z289,AA289,AB289,AC289,AD289,AE289,AF289,AG289,AH289,AI289)=0,"",IF(OR(B289="",E289="",H289="",J289="",K289="",L289="",M289="",O289="",P289="",Q289="",R289="",S289="",T289="",U289="",W289="",X289="",Y289="",AB289="",AC289="",AE289="",AF289=""),"Incompleta: faltan campos obligatorios",IF(AND(LEFT(H289,6)="PROPIA",I289=""),"Falta el nombre de la acción propia del área",IF(AND(LEFT(H289,4)="AC27",IFERROR(INDEX('Catalogos_PDN'!$T$5:$T$207,MATCH(H289,'Catalogos_PDN'!$U$5:$U$207,0)),"x")&lt;&gt;LEFT(E289,7)),"La acción no corresponde a la meta seleccionada",IF(OR(NOT(ISNUMBER(M289)),M289&lt;10000000,M289&gt;99999999),"Código UNSPSC inválido: registre 8 dígitos",IF(MOD(M289,10000)=0,"UNSPSC a nivel de segmento o familia: use clase o producto",IF(IFERROR(MATCH(P289,PN_MESES,0)&lt;MATCH(O289,PN_MESES,0),TRUE()),"El mes de ofertas es anterior al de inicio del proceso",IF(OR(NOT(ISNUMBER(Q289)),Q289&lt;=0),"Duración inválida",IF(OR(NOT(ISNUMBER(W289)),NOT(ISNUMBER(X289))),"Valor inválido: registre solo números",IF(OR(W289&lt;=0,X289&lt;=0),"Valor inválido: debe ser mayor que cero",IF(X289&gt;W289,"El valor de la vigencia 2027 supera el valor total",IF(AND(X289&lt;W289,Y289="No"),"El valor total supera el de 2027: requiere vigencias futuras",IF(AND(Y289="Sí",OR(Z289="",Z289="No aplica")),"Indique el estado de la solicitud de vigencias futuras",IF(IF(AND(S289="Mínima cuantía",ISNUMBER(PN_TOPE_MINIMA)),W289&gt;PN_TOPE_MINIMA,FALSE()),"El valor supera el tope de mínima cuantía 2027",IF(IF(AND(S289="Selección abreviada de menor cuantía",ISNUMBER(PN_TOPE_MENOR)),W289&gt;PN_TOPE_MENOR,FALSE()),"El valor supera el tope de menor cuantía 2027",IF(OR(ISERROR(SEARCH("@itc.edu.co",AE289)),SUMPRODUCT(--ISNUMBER(SEARCH({"á","é","í","ó","ú","ñ"," "},AE289)))&gt;0),"El correo del responsable no es institucional válido",IF(AND(AF289="Sí",AG289=""),"Indique el N.° de registro 2026 que continúa","OK")))))))))))))))))</f>
        <v/>
      </c>
      <c r="AK289" s="114">
        <f>IF(AJ289="OK",COUNTIF($AJ$7:AJ289,"OK"),"")</f>
        <v/>
      </c>
    </row>
    <row r="290">
      <c r="A290" s="110">
        <f>"PN27-"&amp;TEXT(ROW()-6,"000")</f>
        <v/>
      </c>
      <c r="B290" s="111" t="n"/>
      <c r="C290" s="110">
        <f>IF(B290="","",IFERROR(INDEX('Catalogos_PDN'!$R$5:$R$51,MATCH(B290,PN_AREAS,0)),""))</f>
        <v/>
      </c>
      <c r="D290" s="110">
        <f>IF(B290="","",IFERROR(INDEX('Catalogos_PDN'!$O$5:$O$51,MATCH(B290,PN_AREAS,0)),""))</f>
        <v/>
      </c>
      <c r="E290" s="111" t="n"/>
      <c r="F290" s="110">
        <f>IF(E290="","",IFERROR(INDEX('Catalogos_PDN'!$C$5:$C$49,MATCH(E290,PN_METAS,0)),""))</f>
        <v/>
      </c>
      <c r="G290" s="110">
        <f>IF(E290="","",IFERROR(INDEX('Catalogos_PDN'!$E$5:$E$49,MATCH(E290,PN_METAS,0)),""))</f>
        <v/>
      </c>
      <c r="H290" s="111" t="n"/>
      <c r="I290" s="111" t="n"/>
      <c r="J290" s="111" t="n"/>
      <c r="K290" s="111" t="n"/>
      <c r="L290" s="111" t="n"/>
      <c r="M290" s="112" t="n"/>
      <c r="N290" s="111" t="n"/>
      <c r="O290" s="111" t="n"/>
      <c r="P290" s="111" t="n"/>
      <c r="Q290" s="111" t="n"/>
      <c r="R290" s="111" t="n"/>
      <c r="S290" s="111" t="n"/>
      <c r="T290" s="111" t="n"/>
      <c r="U290" s="111" t="n"/>
      <c r="V290" s="111" t="n"/>
      <c r="W290" s="113" t="n"/>
      <c r="X290" s="113" t="n"/>
      <c r="Y290" s="111" t="n"/>
      <c r="Z290" s="111" t="n"/>
      <c r="AA290" s="111" t="n"/>
      <c r="AB290" s="111" t="n"/>
      <c r="AC290" s="111" t="n"/>
      <c r="AD290" s="111" t="n"/>
      <c r="AE290" s="111" t="n"/>
      <c r="AF290" s="111" t="n"/>
      <c r="AG290" s="111" t="n"/>
      <c r="AH290" s="111" t="n"/>
      <c r="AI290" s="111" t="n"/>
      <c r="AJ290" s="114">
        <f>IF(COUNTA(B290,E290,H290,I290,J290,K290,L290,M290,N290,O290,P290,Q290,R290,S290,T290,U290,V290,W290,X290,Y290,Z290,AA290,AB290,AC290,AD290,AE290,AF290,AG290,AH290,AI290)=0,"",IF(OR(B290="",E290="",H290="",J290="",K290="",L290="",M290="",O290="",P290="",Q290="",R290="",S290="",T290="",U290="",W290="",X290="",Y290="",AB290="",AC290="",AE290="",AF290=""),"Incompleta: faltan campos obligatorios",IF(AND(LEFT(H290,6)="PROPIA",I290=""),"Falta el nombre de la acción propia del área",IF(AND(LEFT(H290,4)="AC27",IFERROR(INDEX('Catalogos_PDN'!$T$5:$T$207,MATCH(H290,'Catalogos_PDN'!$U$5:$U$207,0)),"x")&lt;&gt;LEFT(E290,7)),"La acción no corresponde a la meta seleccionada",IF(OR(NOT(ISNUMBER(M290)),M290&lt;10000000,M290&gt;99999999),"Código UNSPSC inválido: registre 8 dígitos",IF(MOD(M290,10000)=0,"UNSPSC a nivel de segmento o familia: use clase o producto",IF(IFERROR(MATCH(P290,PN_MESES,0)&lt;MATCH(O290,PN_MESES,0),TRUE()),"El mes de ofertas es anterior al de inicio del proceso",IF(OR(NOT(ISNUMBER(Q290)),Q290&lt;=0),"Duración inválida",IF(OR(NOT(ISNUMBER(W290)),NOT(ISNUMBER(X290))),"Valor inválido: registre solo números",IF(OR(W290&lt;=0,X290&lt;=0),"Valor inválido: debe ser mayor que cero",IF(X290&gt;W290,"El valor de la vigencia 2027 supera el valor total",IF(AND(X290&lt;W290,Y290="No"),"El valor total supera el de 2027: requiere vigencias futuras",IF(AND(Y290="Sí",OR(Z290="",Z290="No aplica")),"Indique el estado de la solicitud de vigencias futuras",IF(IF(AND(S290="Mínima cuantía",ISNUMBER(PN_TOPE_MINIMA)),W290&gt;PN_TOPE_MINIMA,FALSE()),"El valor supera el tope de mínima cuantía 2027",IF(IF(AND(S290="Selección abreviada de menor cuantía",ISNUMBER(PN_TOPE_MENOR)),W290&gt;PN_TOPE_MENOR,FALSE()),"El valor supera el tope de menor cuantía 2027",IF(OR(ISERROR(SEARCH("@itc.edu.co",AE290)),SUMPRODUCT(--ISNUMBER(SEARCH({"á","é","í","ó","ú","ñ"," "},AE290)))&gt;0),"El correo del responsable no es institucional válido",IF(AND(AF290="Sí",AG290=""),"Indique el N.° de registro 2026 que continúa","OK")))))))))))))))))</f>
        <v/>
      </c>
      <c r="AK290" s="114">
        <f>IF(AJ290="OK",COUNTIF($AJ$7:AJ290,"OK"),"")</f>
        <v/>
      </c>
    </row>
    <row r="291">
      <c r="A291" s="110">
        <f>"PN27-"&amp;TEXT(ROW()-6,"000")</f>
        <v/>
      </c>
      <c r="B291" s="111" t="n"/>
      <c r="C291" s="110">
        <f>IF(B291="","",IFERROR(INDEX('Catalogos_PDN'!$R$5:$R$51,MATCH(B291,PN_AREAS,0)),""))</f>
        <v/>
      </c>
      <c r="D291" s="110">
        <f>IF(B291="","",IFERROR(INDEX('Catalogos_PDN'!$O$5:$O$51,MATCH(B291,PN_AREAS,0)),""))</f>
        <v/>
      </c>
      <c r="E291" s="111" t="n"/>
      <c r="F291" s="110">
        <f>IF(E291="","",IFERROR(INDEX('Catalogos_PDN'!$C$5:$C$49,MATCH(E291,PN_METAS,0)),""))</f>
        <v/>
      </c>
      <c r="G291" s="110">
        <f>IF(E291="","",IFERROR(INDEX('Catalogos_PDN'!$E$5:$E$49,MATCH(E291,PN_METAS,0)),""))</f>
        <v/>
      </c>
      <c r="H291" s="111" t="n"/>
      <c r="I291" s="111" t="n"/>
      <c r="J291" s="111" t="n"/>
      <c r="K291" s="111" t="n"/>
      <c r="L291" s="111" t="n"/>
      <c r="M291" s="112" t="n"/>
      <c r="N291" s="111" t="n"/>
      <c r="O291" s="111" t="n"/>
      <c r="P291" s="111" t="n"/>
      <c r="Q291" s="111" t="n"/>
      <c r="R291" s="111" t="n"/>
      <c r="S291" s="111" t="n"/>
      <c r="T291" s="111" t="n"/>
      <c r="U291" s="111" t="n"/>
      <c r="V291" s="111" t="n"/>
      <c r="W291" s="113" t="n"/>
      <c r="X291" s="113" t="n"/>
      <c r="Y291" s="111" t="n"/>
      <c r="Z291" s="111" t="n"/>
      <c r="AA291" s="111" t="n"/>
      <c r="AB291" s="111" t="n"/>
      <c r="AC291" s="111" t="n"/>
      <c r="AD291" s="111" t="n"/>
      <c r="AE291" s="111" t="n"/>
      <c r="AF291" s="111" t="n"/>
      <c r="AG291" s="111" t="n"/>
      <c r="AH291" s="111" t="n"/>
      <c r="AI291" s="111" t="n"/>
      <c r="AJ291" s="114">
        <f>IF(COUNTA(B291,E291,H291,I291,J291,K291,L291,M291,N291,O291,P291,Q291,R291,S291,T291,U291,V291,W291,X291,Y291,Z291,AA291,AB291,AC291,AD291,AE291,AF291,AG291,AH291,AI291)=0,"",IF(OR(B291="",E291="",H291="",J291="",K291="",L291="",M291="",O291="",P291="",Q291="",R291="",S291="",T291="",U291="",W291="",X291="",Y291="",AB291="",AC291="",AE291="",AF291=""),"Incompleta: faltan campos obligatorios",IF(AND(LEFT(H291,6)="PROPIA",I291=""),"Falta el nombre de la acción propia del área",IF(AND(LEFT(H291,4)="AC27",IFERROR(INDEX('Catalogos_PDN'!$T$5:$T$207,MATCH(H291,'Catalogos_PDN'!$U$5:$U$207,0)),"x")&lt;&gt;LEFT(E291,7)),"La acción no corresponde a la meta seleccionada",IF(OR(NOT(ISNUMBER(M291)),M291&lt;10000000,M291&gt;99999999),"Código UNSPSC inválido: registre 8 dígitos",IF(MOD(M291,10000)=0,"UNSPSC a nivel de segmento o familia: use clase o producto",IF(IFERROR(MATCH(P291,PN_MESES,0)&lt;MATCH(O291,PN_MESES,0),TRUE()),"El mes de ofertas es anterior al de inicio del proceso",IF(OR(NOT(ISNUMBER(Q291)),Q291&lt;=0),"Duración inválida",IF(OR(NOT(ISNUMBER(W291)),NOT(ISNUMBER(X291))),"Valor inválido: registre solo números",IF(OR(W291&lt;=0,X291&lt;=0),"Valor inválido: debe ser mayor que cero",IF(X291&gt;W291,"El valor de la vigencia 2027 supera el valor total",IF(AND(X291&lt;W291,Y291="No"),"El valor total supera el de 2027: requiere vigencias futuras",IF(AND(Y291="Sí",OR(Z291="",Z291="No aplica")),"Indique el estado de la solicitud de vigencias futuras",IF(IF(AND(S291="Mínima cuantía",ISNUMBER(PN_TOPE_MINIMA)),W291&gt;PN_TOPE_MINIMA,FALSE()),"El valor supera el tope de mínima cuantía 2027",IF(IF(AND(S291="Selección abreviada de menor cuantía",ISNUMBER(PN_TOPE_MENOR)),W291&gt;PN_TOPE_MENOR,FALSE()),"El valor supera el tope de menor cuantía 2027",IF(OR(ISERROR(SEARCH("@itc.edu.co",AE291)),SUMPRODUCT(--ISNUMBER(SEARCH({"á","é","í","ó","ú","ñ"," "},AE291)))&gt;0),"El correo del responsable no es institucional válido",IF(AND(AF291="Sí",AG291=""),"Indique el N.° de registro 2026 que continúa","OK")))))))))))))))))</f>
        <v/>
      </c>
      <c r="AK291" s="114">
        <f>IF(AJ291="OK",COUNTIF($AJ$7:AJ291,"OK"),"")</f>
        <v/>
      </c>
    </row>
    <row r="292">
      <c r="A292" s="110">
        <f>"PN27-"&amp;TEXT(ROW()-6,"000")</f>
        <v/>
      </c>
      <c r="B292" s="111" t="n"/>
      <c r="C292" s="110">
        <f>IF(B292="","",IFERROR(INDEX('Catalogos_PDN'!$R$5:$R$51,MATCH(B292,PN_AREAS,0)),""))</f>
        <v/>
      </c>
      <c r="D292" s="110">
        <f>IF(B292="","",IFERROR(INDEX('Catalogos_PDN'!$O$5:$O$51,MATCH(B292,PN_AREAS,0)),""))</f>
        <v/>
      </c>
      <c r="E292" s="111" t="n"/>
      <c r="F292" s="110">
        <f>IF(E292="","",IFERROR(INDEX('Catalogos_PDN'!$C$5:$C$49,MATCH(E292,PN_METAS,0)),""))</f>
        <v/>
      </c>
      <c r="G292" s="110">
        <f>IF(E292="","",IFERROR(INDEX('Catalogos_PDN'!$E$5:$E$49,MATCH(E292,PN_METAS,0)),""))</f>
        <v/>
      </c>
      <c r="H292" s="111" t="n"/>
      <c r="I292" s="111" t="n"/>
      <c r="J292" s="111" t="n"/>
      <c r="K292" s="111" t="n"/>
      <c r="L292" s="111" t="n"/>
      <c r="M292" s="112" t="n"/>
      <c r="N292" s="111" t="n"/>
      <c r="O292" s="111" t="n"/>
      <c r="P292" s="111" t="n"/>
      <c r="Q292" s="111" t="n"/>
      <c r="R292" s="111" t="n"/>
      <c r="S292" s="111" t="n"/>
      <c r="T292" s="111" t="n"/>
      <c r="U292" s="111" t="n"/>
      <c r="V292" s="111" t="n"/>
      <c r="W292" s="113" t="n"/>
      <c r="X292" s="113" t="n"/>
      <c r="Y292" s="111" t="n"/>
      <c r="Z292" s="111" t="n"/>
      <c r="AA292" s="111" t="n"/>
      <c r="AB292" s="111" t="n"/>
      <c r="AC292" s="111" t="n"/>
      <c r="AD292" s="111" t="n"/>
      <c r="AE292" s="111" t="n"/>
      <c r="AF292" s="111" t="n"/>
      <c r="AG292" s="111" t="n"/>
      <c r="AH292" s="111" t="n"/>
      <c r="AI292" s="111" t="n"/>
      <c r="AJ292" s="114">
        <f>IF(COUNTA(B292,E292,H292,I292,J292,K292,L292,M292,N292,O292,P292,Q292,R292,S292,T292,U292,V292,W292,X292,Y292,Z292,AA292,AB292,AC292,AD292,AE292,AF292,AG292,AH292,AI292)=0,"",IF(OR(B292="",E292="",H292="",J292="",K292="",L292="",M292="",O292="",P292="",Q292="",R292="",S292="",T292="",U292="",W292="",X292="",Y292="",AB292="",AC292="",AE292="",AF292=""),"Incompleta: faltan campos obligatorios",IF(AND(LEFT(H292,6)="PROPIA",I292=""),"Falta el nombre de la acción propia del área",IF(AND(LEFT(H292,4)="AC27",IFERROR(INDEX('Catalogos_PDN'!$T$5:$T$207,MATCH(H292,'Catalogos_PDN'!$U$5:$U$207,0)),"x")&lt;&gt;LEFT(E292,7)),"La acción no corresponde a la meta seleccionada",IF(OR(NOT(ISNUMBER(M292)),M292&lt;10000000,M292&gt;99999999),"Código UNSPSC inválido: registre 8 dígitos",IF(MOD(M292,10000)=0,"UNSPSC a nivel de segmento o familia: use clase o producto",IF(IFERROR(MATCH(P292,PN_MESES,0)&lt;MATCH(O292,PN_MESES,0),TRUE()),"El mes de ofertas es anterior al de inicio del proceso",IF(OR(NOT(ISNUMBER(Q292)),Q292&lt;=0),"Duración inválida",IF(OR(NOT(ISNUMBER(W292)),NOT(ISNUMBER(X292))),"Valor inválido: registre solo números",IF(OR(W292&lt;=0,X292&lt;=0),"Valor inválido: debe ser mayor que cero",IF(X292&gt;W292,"El valor de la vigencia 2027 supera el valor total",IF(AND(X292&lt;W292,Y292="No"),"El valor total supera el de 2027: requiere vigencias futuras",IF(AND(Y292="Sí",OR(Z292="",Z292="No aplica")),"Indique el estado de la solicitud de vigencias futuras",IF(IF(AND(S292="Mínima cuantía",ISNUMBER(PN_TOPE_MINIMA)),W292&gt;PN_TOPE_MINIMA,FALSE()),"El valor supera el tope de mínima cuantía 2027",IF(IF(AND(S292="Selección abreviada de menor cuantía",ISNUMBER(PN_TOPE_MENOR)),W292&gt;PN_TOPE_MENOR,FALSE()),"El valor supera el tope de menor cuantía 2027",IF(OR(ISERROR(SEARCH("@itc.edu.co",AE292)),SUMPRODUCT(--ISNUMBER(SEARCH({"á","é","í","ó","ú","ñ"," "},AE292)))&gt;0),"El correo del responsable no es institucional válido",IF(AND(AF292="Sí",AG292=""),"Indique el N.° de registro 2026 que continúa","OK")))))))))))))))))</f>
        <v/>
      </c>
      <c r="AK292" s="114">
        <f>IF(AJ292="OK",COUNTIF($AJ$7:AJ292,"OK"),"")</f>
        <v/>
      </c>
    </row>
    <row r="293">
      <c r="A293" s="110">
        <f>"PN27-"&amp;TEXT(ROW()-6,"000")</f>
        <v/>
      </c>
      <c r="B293" s="111" t="n"/>
      <c r="C293" s="110">
        <f>IF(B293="","",IFERROR(INDEX('Catalogos_PDN'!$R$5:$R$51,MATCH(B293,PN_AREAS,0)),""))</f>
        <v/>
      </c>
      <c r="D293" s="110">
        <f>IF(B293="","",IFERROR(INDEX('Catalogos_PDN'!$O$5:$O$51,MATCH(B293,PN_AREAS,0)),""))</f>
        <v/>
      </c>
      <c r="E293" s="111" t="n"/>
      <c r="F293" s="110">
        <f>IF(E293="","",IFERROR(INDEX('Catalogos_PDN'!$C$5:$C$49,MATCH(E293,PN_METAS,0)),""))</f>
        <v/>
      </c>
      <c r="G293" s="110">
        <f>IF(E293="","",IFERROR(INDEX('Catalogos_PDN'!$E$5:$E$49,MATCH(E293,PN_METAS,0)),""))</f>
        <v/>
      </c>
      <c r="H293" s="111" t="n"/>
      <c r="I293" s="111" t="n"/>
      <c r="J293" s="111" t="n"/>
      <c r="K293" s="111" t="n"/>
      <c r="L293" s="111" t="n"/>
      <c r="M293" s="112" t="n"/>
      <c r="N293" s="111" t="n"/>
      <c r="O293" s="111" t="n"/>
      <c r="P293" s="111" t="n"/>
      <c r="Q293" s="111" t="n"/>
      <c r="R293" s="111" t="n"/>
      <c r="S293" s="111" t="n"/>
      <c r="T293" s="111" t="n"/>
      <c r="U293" s="111" t="n"/>
      <c r="V293" s="111" t="n"/>
      <c r="W293" s="113" t="n"/>
      <c r="X293" s="113" t="n"/>
      <c r="Y293" s="111" t="n"/>
      <c r="Z293" s="111" t="n"/>
      <c r="AA293" s="111" t="n"/>
      <c r="AB293" s="111" t="n"/>
      <c r="AC293" s="111" t="n"/>
      <c r="AD293" s="111" t="n"/>
      <c r="AE293" s="111" t="n"/>
      <c r="AF293" s="111" t="n"/>
      <c r="AG293" s="111" t="n"/>
      <c r="AH293" s="111" t="n"/>
      <c r="AI293" s="111" t="n"/>
      <c r="AJ293" s="114">
        <f>IF(COUNTA(B293,E293,H293,I293,J293,K293,L293,M293,N293,O293,P293,Q293,R293,S293,T293,U293,V293,W293,X293,Y293,Z293,AA293,AB293,AC293,AD293,AE293,AF293,AG293,AH293,AI293)=0,"",IF(OR(B293="",E293="",H293="",J293="",K293="",L293="",M293="",O293="",P293="",Q293="",R293="",S293="",T293="",U293="",W293="",X293="",Y293="",AB293="",AC293="",AE293="",AF293=""),"Incompleta: faltan campos obligatorios",IF(AND(LEFT(H293,6)="PROPIA",I293=""),"Falta el nombre de la acción propia del área",IF(AND(LEFT(H293,4)="AC27",IFERROR(INDEX('Catalogos_PDN'!$T$5:$T$207,MATCH(H293,'Catalogos_PDN'!$U$5:$U$207,0)),"x")&lt;&gt;LEFT(E293,7)),"La acción no corresponde a la meta seleccionada",IF(OR(NOT(ISNUMBER(M293)),M293&lt;10000000,M293&gt;99999999),"Código UNSPSC inválido: registre 8 dígitos",IF(MOD(M293,10000)=0,"UNSPSC a nivel de segmento o familia: use clase o producto",IF(IFERROR(MATCH(P293,PN_MESES,0)&lt;MATCH(O293,PN_MESES,0),TRUE()),"El mes de ofertas es anterior al de inicio del proceso",IF(OR(NOT(ISNUMBER(Q293)),Q293&lt;=0),"Duración inválida",IF(OR(NOT(ISNUMBER(W293)),NOT(ISNUMBER(X293))),"Valor inválido: registre solo números",IF(OR(W293&lt;=0,X293&lt;=0),"Valor inválido: debe ser mayor que cero",IF(X293&gt;W293,"El valor de la vigencia 2027 supera el valor total",IF(AND(X293&lt;W293,Y293="No"),"El valor total supera el de 2027: requiere vigencias futuras",IF(AND(Y293="Sí",OR(Z293="",Z293="No aplica")),"Indique el estado de la solicitud de vigencias futuras",IF(IF(AND(S293="Mínima cuantía",ISNUMBER(PN_TOPE_MINIMA)),W293&gt;PN_TOPE_MINIMA,FALSE()),"El valor supera el tope de mínima cuantía 2027",IF(IF(AND(S293="Selección abreviada de menor cuantía",ISNUMBER(PN_TOPE_MENOR)),W293&gt;PN_TOPE_MENOR,FALSE()),"El valor supera el tope de menor cuantía 2027",IF(OR(ISERROR(SEARCH("@itc.edu.co",AE293)),SUMPRODUCT(--ISNUMBER(SEARCH({"á","é","í","ó","ú","ñ"," "},AE293)))&gt;0),"El correo del responsable no es institucional válido",IF(AND(AF293="Sí",AG293=""),"Indique el N.° de registro 2026 que continúa","OK")))))))))))))))))</f>
        <v/>
      </c>
      <c r="AK293" s="114">
        <f>IF(AJ293="OK",COUNTIF($AJ$7:AJ293,"OK"),"")</f>
        <v/>
      </c>
    </row>
    <row r="294">
      <c r="A294" s="110">
        <f>"PN27-"&amp;TEXT(ROW()-6,"000")</f>
        <v/>
      </c>
      <c r="B294" s="111" t="n"/>
      <c r="C294" s="110">
        <f>IF(B294="","",IFERROR(INDEX('Catalogos_PDN'!$R$5:$R$51,MATCH(B294,PN_AREAS,0)),""))</f>
        <v/>
      </c>
      <c r="D294" s="110">
        <f>IF(B294="","",IFERROR(INDEX('Catalogos_PDN'!$O$5:$O$51,MATCH(B294,PN_AREAS,0)),""))</f>
        <v/>
      </c>
      <c r="E294" s="111" t="n"/>
      <c r="F294" s="110">
        <f>IF(E294="","",IFERROR(INDEX('Catalogos_PDN'!$C$5:$C$49,MATCH(E294,PN_METAS,0)),""))</f>
        <v/>
      </c>
      <c r="G294" s="110">
        <f>IF(E294="","",IFERROR(INDEX('Catalogos_PDN'!$E$5:$E$49,MATCH(E294,PN_METAS,0)),""))</f>
        <v/>
      </c>
      <c r="H294" s="111" t="n"/>
      <c r="I294" s="111" t="n"/>
      <c r="J294" s="111" t="n"/>
      <c r="K294" s="111" t="n"/>
      <c r="L294" s="111" t="n"/>
      <c r="M294" s="112" t="n"/>
      <c r="N294" s="111" t="n"/>
      <c r="O294" s="111" t="n"/>
      <c r="P294" s="111" t="n"/>
      <c r="Q294" s="111" t="n"/>
      <c r="R294" s="111" t="n"/>
      <c r="S294" s="111" t="n"/>
      <c r="T294" s="111" t="n"/>
      <c r="U294" s="111" t="n"/>
      <c r="V294" s="111" t="n"/>
      <c r="W294" s="113" t="n"/>
      <c r="X294" s="113" t="n"/>
      <c r="Y294" s="111" t="n"/>
      <c r="Z294" s="111" t="n"/>
      <c r="AA294" s="111" t="n"/>
      <c r="AB294" s="111" t="n"/>
      <c r="AC294" s="111" t="n"/>
      <c r="AD294" s="111" t="n"/>
      <c r="AE294" s="111" t="n"/>
      <c r="AF294" s="111" t="n"/>
      <c r="AG294" s="111" t="n"/>
      <c r="AH294" s="111" t="n"/>
      <c r="AI294" s="111" t="n"/>
      <c r="AJ294" s="114">
        <f>IF(COUNTA(B294,E294,H294,I294,J294,K294,L294,M294,N294,O294,P294,Q294,R294,S294,T294,U294,V294,W294,X294,Y294,Z294,AA294,AB294,AC294,AD294,AE294,AF294,AG294,AH294,AI294)=0,"",IF(OR(B294="",E294="",H294="",J294="",K294="",L294="",M294="",O294="",P294="",Q294="",R294="",S294="",T294="",U294="",W294="",X294="",Y294="",AB294="",AC294="",AE294="",AF294=""),"Incompleta: faltan campos obligatorios",IF(AND(LEFT(H294,6)="PROPIA",I294=""),"Falta el nombre de la acción propia del área",IF(AND(LEFT(H294,4)="AC27",IFERROR(INDEX('Catalogos_PDN'!$T$5:$T$207,MATCH(H294,'Catalogos_PDN'!$U$5:$U$207,0)),"x")&lt;&gt;LEFT(E294,7)),"La acción no corresponde a la meta seleccionada",IF(OR(NOT(ISNUMBER(M294)),M294&lt;10000000,M294&gt;99999999),"Código UNSPSC inválido: registre 8 dígitos",IF(MOD(M294,10000)=0,"UNSPSC a nivel de segmento o familia: use clase o producto",IF(IFERROR(MATCH(P294,PN_MESES,0)&lt;MATCH(O294,PN_MESES,0),TRUE()),"El mes de ofertas es anterior al de inicio del proceso",IF(OR(NOT(ISNUMBER(Q294)),Q294&lt;=0),"Duración inválida",IF(OR(NOT(ISNUMBER(W294)),NOT(ISNUMBER(X294))),"Valor inválido: registre solo números",IF(OR(W294&lt;=0,X294&lt;=0),"Valor inválido: debe ser mayor que cero",IF(X294&gt;W294,"El valor de la vigencia 2027 supera el valor total",IF(AND(X294&lt;W294,Y294="No"),"El valor total supera el de 2027: requiere vigencias futuras",IF(AND(Y294="Sí",OR(Z294="",Z294="No aplica")),"Indique el estado de la solicitud de vigencias futuras",IF(IF(AND(S294="Mínima cuantía",ISNUMBER(PN_TOPE_MINIMA)),W294&gt;PN_TOPE_MINIMA,FALSE()),"El valor supera el tope de mínima cuantía 2027",IF(IF(AND(S294="Selección abreviada de menor cuantía",ISNUMBER(PN_TOPE_MENOR)),W294&gt;PN_TOPE_MENOR,FALSE()),"El valor supera el tope de menor cuantía 2027",IF(OR(ISERROR(SEARCH("@itc.edu.co",AE294)),SUMPRODUCT(--ISNUMBER(SEARCH({"á","é","í","ó","ú","ñ"," "},AE294)))&gt;0),"El correo del responsable no es institucional válido",IF(AND(AF294="Sí",AG294=""),"Indique el N.° de registro 2026 que continúa","OK")))))))))))))))))</f>
        <v/>
      </c>
      <c r="AK294" s="114">
        <f>IF(AJ294="OK",COUNTIF($AJ$7:AJ294,"OK"),"")</f>
        <v/>
      </c>
    </row>
    <row r="295">
      <c r="A295" s="110">
        <f>"PN27-"&amp;TEXT(ROW()-6,"000")</f>
        <v/>
      </c>
      <c r="B295" s="111" t="n"/>
      <c r="C295" s="110">
        <f>IF(B295="","",IFERROR(INDEX('Catalogos_PDN'!$R$5:$R$51,MATCH(B295,PN_AREAS,0)),""))</f>
        <v/>
      </c>
      <c r="D295" s="110">
        <f>IF(B295="","",IFERROR(INDEX('Catalogos_PDN'!$O$5:$O$51,MATCH(B295,PN_AREAS,0)),""))</f>
        <v/>
      </c>
      <c r="E295" s="111" t="n"/>
      <c r="F295" s="110">
        <f>IF(E295="","",IFERROR(INDEX('Catalogos_PDN'!$C$5:$C$49,MATCH(E295,PN_METAS,0)),""))</f>
        <v/>
      </c>
      <c r="G295" s="110">
        <f>IF(E295="","",IFERROR(INDEX('Catalogos_PDN'!$E$5:$E$49,MATCH(E295,PN_METAS,0)),""))</f>
        <v/>
      </c>
      <c r="H295" s="111" t="n"/>
      <c r="I295" s="111" t="n"/>
      <c r="J295" s="111" t="n"/>
      <c r="K295" s="111" t="n"/>
      <c r="L295" s="111" t="n"/>
      <c r="M295" s="112" t="n"/>
      <c r="N295" s="111" t="n"/>
      <c r="O295" s="111" t="n"/>
      <c r="P295" s="111" t="n"/>
      <c r="Q295" s="111" t="n"/>
      <c r="R295" s="111" t="n"/>
      <c r="S295" s="111" t="n"/>
      <c r="T295" s="111" t="n"/>
      <c r="U295" s="111" t="n"/>
      <c r="V295" s="111" t="n"/>
      <c r="W295" s="113" t="n"/>
      <c r="X295" s="113" t="n"/>
      <c r="Y295" s="111" t="n"/>
      <c r="Z295" s="111" t="n"/>
      <c r="AA295" s="111" t="n"/>
      <c r="AB295" s="111" t="n"/>
      <c r="AC295" s="111" t="n"/>
      <c r="AD295" s="111" t="n"/>
      <c r="AE295" s="111" t="n"/>
      <c r="AF295" s="111" t="n"/>
      <c r="AG295" s="111" t="n"/>
      <c r="AH295" s="111" t="n"/>
      <c r="AI295" s="111" t="n"/>
      <c r="AJ295" s="114">
        <f>IF(COUNTA(B295,E295,H295,I295,J295,K295,L295,M295,N295,O295,P295,Q295,R295,S295,T295,U295,V295,W295,X295,Y295,Z295,AA295,AB295,AC295,AD295,AE295,AF295,AG295,AH295,AI295)=0,"",IF(OR(B295="",E295="",H295="",J295="",K295="",L295="",M295="",O295="",P295="",Q295="",R295="",S295="",T295="",U295="",W295="",X295="",Y295="",AB295="",AC295="",AE295="",AF295=""),"Incompleta: faltan campos obligatorios",IF(AND(LEFT(H295,6)="PROPIA",I295=""),"Falta el nombre de la acción propia del área",IF(AND(LEFT(H295,4)="AC27",IFERROR(INDEX('Catalogos_PDN'!$T$5:$T$207,MATCH(H295,'Catalogos_PDN'!$U$5:$U$207,0)),"x")&lt;&gt;LEFT(E295,7)),"La acción no corresponde a la meta seleccionada",IF(OR(NOT(ISNUMBER(M295)),M295&lt;10000000,M295&gt;99999999),"Código UNSPSC inválido: registre 8 dígitos",IF(MOD(M295,10000)=0,"UNSPSC a nivel de segmento o familia: use clase o producto",IF(IFERROR(MATCH(P295,PN_MESES,0)&lt;MATCH(O295,PN_MESES,0),TRUE()),"El mes de ofertas es anterior al de inicio del proceso",IF(OR(NOT(ISNUMBER(Q295)),Q295&lt;=0),"Duración inválida",IF(OR(NOT(ISNUMBER(W295)),NOT(ISNUMBER(X295))),"Valor inválido: registre solo números",IF(OR(W295&lt;=0,X295&lt;=0),"Valor inválido: debe ser mayor que cero",IF(X295&gt;W295,"El valor de la vigencia 2027 supera el valor total",IF(AND(X295&lt;W295,Y295="No"),"El valor total supera el de 2027: requiere vigencias futuras",IF(AND(Y295="Sí",OR(Z295="",Z295="No aplica")),"Indique el estado de la solicitud de vigencias futuras",IF(IF(AND(S295="Mínima cuantía",ISNUMBER(PN_TOPE_MINIMA)),W295&gt;PN_TOPE_MINIMA,FALSE()),"El valor supera el tope de mínima cuantía 2027",IF(IF(AND(S295="Selección abreviada de menor cuantía",ISNUMBER(PN_TOPE_MENOR)),W295&gt;PN_TOPE_MENOR,FALSE()),"El valor supera el tope de menor cuantía 2027",IF(OR(ISERROR(SEARCH("@itc.edu.co",AE295)),SUMPRODUCT(--ISNUMBER(SEARCH({"á","é","í","ó","ú","ñ"," "},AE295)))&gt;0),"El correo del responsable no es institucional válido",IF(AND(AF295="Sí",AG295=""),"Indique el N.° de registro 2026 que continúa","OK")))))))))))))))))</f>
        <v/>
      </c>
      <c r="AK295" s="114">
        <f>IF(AJ295="OK",COUNTIF($AJ$7:AJ295,"OK"),"")</f>
        <v/>
      </c>
    </row>
    <row r="296">
      <c r="A296" s="110">
        <f>"PN27-"&amp;TEXT(ROW()-6,"000")</f>
        <v/>
      </c>
      <c r="B296" s="111" t="n"/>
      <c r="C296" s="110">
        <f>IF(B296="","",IFERROR(INDEX('Catalogos_PDN'!$R$5:$R$51,MATCH(B296,PN_AREAS,0)),""))</f>
        <v/>
      </c>
      <c r="D296" s="110">
        <f>IF(B296="","",IFERROR(INDEX('Catalogos_PDN'!$O$5:$O$51,MATCH(B296,PN_AREAS,0)),""))</f>
        <v/>
      </c>
      <c r="E296" s="111" t="n"/>
      <c r="F296" s="110">
        <f>IF(E296="","",IFERROR(INDEX('Catalogos_PDN'!$C$5:$C$49,MATCH(E296,PN_METAS,0)),""))</f>
        <v/>
      </c>
      <c r="G296" s="110">
        <f>IF(E296="","",IFERROR(INDEX('Catalogos_PDN'!$E$5:$E$49,MATCH(E296,PN_METAS,0)),""))</f>
        <v/>
      </c>
      <c r="H296" s="111" t="n"/>
      <c r="I296" s="111" t="n"/>
      <c r="J296" s="111" t="n"/>
      <c r="K296" s="111" t="n"/>
      <c r="L296" s="111" t="n"/>
      <c r="M296" s="112" t="n"/>
      <c r="N296" s="111" t="n"/>
      <c r="O296" s="111" t="n"/>
      <c r="P296" s="111" t="n"/>
      <c r="Q296" s="111" t="n"/>
      <c r="R296" s="111" t="n"/>
      <c r="S296" s="111" t="n"/>
      <c r="T296" s="111" t="n"/>
      <c r="U296" s="111" t="n"/>
      <c r="V296" s="111" t="n"/>
      <c r="W296" s="113" t="n"/>
      <c r="X296" s="113" t="n"/>
      <c r="Y296" s="111" t="n"/>
      <c r="Z296" s="111" t="n"/>
      <c r="AA296" s="111" t="n"/>
      <c r="AB296" s="111" t="n"/>
      <c r="AC296" s="111" t="n"/>
      <c r="AD296" s="111" t="n"/>
      <c r="AE296" s="111" t="n"/>
      <c r="AF296" s="111" t="n"/>
      <c r="AG296" s="111" t="n"/>
      <c r="AH296" s="111" t="n"/>
      <c r="AI296" s="111" t="n"/>
      <c r="AJ296" s="114">
        <f>IF(COUNTA(B296,E296,H296,I296,J296,K296,L296,M296,N296,O296,P296,Q296,R296,S296,T296,U296,V296,W296,X296,Y296,Z296,AA296,AB296,AC296,AD296,AE296,AF296,AG296,AH296,AI296)=0,"",IF(OR(B296="",E296="",H296="",J296="",K296="",L296="",M296="",O296="",P296="",Q296="",R296="",S296="",T296="",U296="",W296="",X296="",Y296="",AB296="",AC296="",AE296="",AF296=""),"Incompleta: faltan campos obligatorios",IF(AND(LEFT(H296,6)="PROPIA",I296=""),"Falta el nombre de la acción propia del área",IF(AND(LEFT(H296,4)="AC27",IFERROR(INDEX('Catalogos_PDN'!$T$5:$T$207,MATCH(H296,'Catalogos_PDN'!$U$5:$U$207,0)),"x")&lt;&gt;LEFT(E296,7)),"La acción no corresponde a la meta seleccionada",IF(OR(NOT(ISNUMBER(M296)),M296&lt;10000000,M296&gt;99999999),"Código UNSPSC inválido: registre 8 dígitos",IF(MOD(M296,10000)=0,"UNSPSC a nivel de segmento o familia: use clase o producto",IF(IFERROR(MATCH(P296,PN_MESES,0)&lt;MATCH(O296,PN_MESES,0),TRUE()),"El mes de ofertas es anterior al de inicio del proceso",IF(OR(NOT(ISNUMBER(Q296)),Q296&lt;=0),"Duración inválida",IF(OR(NOT(ISNUMBER(W296)),NOT(ISNUMBER(X296))),"Valor inválido: registre solo números",IF(OR(W296&lt;=0,X296&lt;=0),"Valor inválido: debe ser mayor que cero",IF(X296&gt;W296,"El valor de la vigencia 2027 supera el valor total",IF(AND(X296&lt;W296,Y296="No"),"El valor total supera el de 2027: requiere vigencias futuras",IF(AND(Y296="Sí",OR(Z296="",Z296="No aplica")),"Indique el estado de la solicitud de vigencias futuras",IF(IF(AND(S296="Mínima cuantía",ISNUMBER(PN_TOPE_MINIMA)),W296&gt;PN_TOPE_MINIMA,FALSE()),"El valor supera el tope de mínima cuantía 2027",IF(IF(AND(S296="Selección abreviada de menor cuantía",ISNUMBER(PN_TOPE_MENOR)),W296&gt;PN_TOPE_MENOR,FALSE()),"El valor supera el tope de menor cuantía 2027",IF(OR(ISERROR(SEARCH("@itc.edu.co",AE296)),SUMPRODUCT(--ISNUMBER(SEARCH({"á","é","í","ó","ú","ñ"," "},AE296)))&gt;0),"El correo del responsable no es institucional válido",IF(AND(AF296="Sí",AG296=""),"Indique el N.° de registro 2026 que continúa","OK")))))))))))))))))</f>
        <v/>
      </c>
      <c r="AK296" s="114">
        <f>IF(AJ296="OK",COUNTIF($AJ$7:AJ296,"OK"),"")</f>
        <v/>
      </c>
    </row>
    <row r="297">
      <c r="A297" s="110">
        <f>"PN27-"&amp;TEXT(ROW()-6,"000")</f>
        <v/>
      </c>
      <c r="B297" s="111" t="n"/>
      <c r="C297" s="110">
        <f>IF(B297="","",IFERROR(INDEX('Catalogos_PDN'!$R$5:$R$51,MATCH(B297,PN_AREAS,0)),""))</f>
        <v/>
      </c>
      <c r="D297" s="110">
        <f>IF(B297="","",IFERROR(INDEX('Catalogos_PDN'!$O$5:$O$51,MATCH(B297,PN_AREAS,0)),""))</f>
        <v/>
      </c>
      <c r="E297" s="111" t="n"/>
      <c r="F297" s="110">
        <f>IF(E297="","",IFERROR(INDEX('Catalogos_PDN'!$C$5:$C$49,MATCH(E297,PN_METAS,0)),""))</f>
        <v/>
      </c>
      <c r="G297" s="110">
        <f>IF(E297="","",IFERROR(INDEX('Catalogos_PDN'!$E$5:$E$49,MATCH(E297,PN_METAS,0)),""))</f>
        <v/>
      </c>
      <c r="H297" s="111" t="n"/>
      <c r="I297" s="111" t="n"/>
      <c r="J297" s="111" t="n"/>
      <c r="K297" s="111" t="n"/>
      <c r="L297" s="111" t="n"/>
      <c r="M297" s="112" t="n"/>
      <c r="N297" s="111" t="n"/>
      <c r="O297" s="111" t="n"/>
      <c r="P297" s="111" t="n"/>
      <c r="Q297" s="111" t="n"/>
      <c r="R297" s="111" t="n"/>
      <c r="S297" s="111" t="n"/>
      <c r="T297" s="111" t="n"/>
      <c r="U297" s="111" t="n"/>
      <c r="V297" s="111" t="n"/>
      <c r="W297" s="113" t="n"/>
      <c r="X297" s="113" t="n"/>
      <c r="Y297" s="111" t="n"/>
      <c r="Z297" s="111" t="n"/>
      <c r="AA297" s="111" t="n"/>
      <c r="AB297" s="111" t="n"/>
      <c r="AC297" s="111" t="n"/>
      <c r="AD297" s="111" t="n"/>
      <c r="AE297" s="111" t="n"/>
      <c r="AF297" s="111" t="n"/>
      <c r="AG297" s="111" t="n"/>
      <c r="AH297" s="111" t="n"/>
      <c r="AI297" s="111" t="n"/>
      <c r="AJ297" s="114">
        <f>IF(COUNTA(B297,E297,H297,I297,J297,K297,L297,M297,N297,O297,P297,Q297,R297,S297,T297,U297,V297,W297,X297,Y297,Z297,AA297,AB297,AC297,AD297,AE297,AF297,AG297,AH297,AI297)=0,"",IF(OR(B297="",E297="",H297="",J297="",K297="",L297="",M297="",O297="",P297="",Q297="",R297="",S297="",T297="",U297="",W297="",X297="",Y297="",AB297="",AC297="",AE297="",AF297=""),"Incompleta: faltan campos obligatorios",IF(AND(LEFT(H297,6)="PROPIA",I297=""),"Falta el nombre de la acción propia del área",IF(AND(LEFT(H297,4)="AC27",IFERROR(INDEX('Catalogos_PDN'!$T$5:$T$207,MATCH(H297,'Catalogos_PDN'!$U$5:$U$207,0)),"x")&lt;&gt;LEFT(E297,7)),"La acción no corresponde a la meta seleccionada",IF(OR(NOT(ISNUMBER(M297)),M297&lt;10000000,M297&gt;99999999),"Código UNSPSC inválido: registre 8 dígitos",IF(MOD(M297,10000)=0,"UNSPSC a nivel de segmento o familia: use clase o producto",IF(IFERROR(MATCH(P297,PN_MESES,0)&lt;MATCH(O297,PN_MESES,0),TRUE()),"El mes de ofertas es anterior al de inicio del proceso",IF(OR(NOT(ISNUMBER(Q297)),Q297&lt;=0),"Duración inválida",IF(OR(NOT(ISNUMBER(W297)),NOT(ISNUMBER(X297))),"Valor inválido: registre solo números",IF(OR(W297&lt;=0,X297&lt;=0),"Valor inválido: debe ser mayor que cero",IF(X297&gt;W297,"El valor de la vigencia 2027 supera el valor total",IF(AND(X297&lt;W297,Y297="No"),"El valor total supera el de 2027: requiere vigencias futuras",IF(AND(Y297="Sí",OR(Z297="",Z297="No aplica")),"Indique el estado de la solicitud de vigencias futuras",IF(IF(AND(S297="Mínima cuantía",ISNUMBER(PN_TOPE_MINIMA)),W297&gt;PN_TOPE_MINIMA,FALSE()),"El valor supera el tope de mínima cuantía 2027",IF(IF(AND(S297="Selección abreviada de menor cuantía",ISNUMBER(PN_TOPE_MENOR)),W297&gt;PN_TOPE_MENOR,FALSE()),"El valor supera el tope de menor cuantía 2027",IF(OR(ISERROR(SEARCH("@itc.edu.co",AE297)),SUMPRODUCT(--ISNUMBER(SEARCH({"á","é","í","ó","ú","ñ"," "},AE297)))&gt;0),"El correo del responsable no es institucional válido",IF(AND(AF297="Sí",AG297=""),"Indique el N.° de registro 2026 que continúa","OK")))))))))))))))))</f>
        <v/>
      </c>
      <c r="AK297" s="114">
        <f>IF(AJ297="OK",COUNTIF($AJ$7:AJ297,"OK"),"")</f>
        <v/>
      </c>
    </row>
    <row r="298">
      <c r="A298" s="110">
        <f>"PN27-"&amp;TEXT(ROW()-6,"000")</f>
        <v/>
      </c>
      <c r="B298" s="111" t="n"/>
      <c r="C298" s="110">
        <f>IF(B298="","",IFERROR(INDEX('Catalogos_PDN'!$R$5:$R$51,MATCH(B298,PN_AREAS,0)),""))</f>
        <v/>
      </c>
      <c r="D298" s="110">
        <f>IF(B298="","",IFERROR(INDEX('Catalogos_PDN'!$O$5:$O$51,MATCH(B298,PN_AREAS,0)),""))</f>
        <v/>
      </c>
      <c r="E298" s="111" t="n"/>
      <c r="F298" s="110">
        <f>IF(E298="","",IFERROR(INDEX('Catalogos_PDN'!$C$5:$C$49,MATCH(E298,PN_METAS,0)),""))</f>
        <v/>
      </c>
      <c r="G298" s="110">
        <f>IF(E298="","",IFERROR(INDEX('Catalogos_PDN'!$E$5:$E$49,MATCH(E298,PN_METAS,0)),""))</f>
        <v/>
      </c>
      <c r="H298" s="111" t="n"/>
      <c r="I298" s="111" t="n"/>
      <c r="J298" s="111" t="n"/>
      <c r="K298" s="111" t="n"/>
      <c r="L298" s="111" t="n"/>
      <c r="M298" s="112" t="n"/>
      <c r="N298" s="111" t="n"/>
      <c r="O298" s="111" t="n"/>
      <c r="P298" s="111" t="n"/>
      <c r="Q298" s="111" t="n"/>
      <c r="R298" s="111" t="n"/>
      <c r="S298" s="111" t="n"/>
      <c r="T298" s="111" t="n"/>
      <c r="U298" s="111" t="n"/>
      <c r="V298" s="111" t="n"/>
      <c r="W298" s="113" t="n"/>
      <c r="X298" s="113" t="n"/>
      <c r="Y298" s="111" t="n"/>
      <c r="Z298" s="111" t="n"/>
      <c r="AA298" s="111" t="n"/>
      <c r="AB298" s="111" t="n"/>
      <c r="AC298" s="111" t="n"/>
      <c r="AD298" s="111" t="n"/>
      <c r="AE298" s="111" t="n"/>
      <c r="AF298" s="111" t="n"/>
      <c r="AG298" s="111" t="n"/>
      <c r="AH298" s="111" t="n"/>
      <c r="AI298" s="111" t="n"/>
      <c r="AJ298" s="114">
        <f>IF(COUNTA(B298,E298,H298,I298,J298,K298,L298,M298,N298,O298,P298,Q298,R298,S298,T298,U298,V298,W298,X298,Y298,Z298,AA298,AB298,AC298,AD298,AE298,AF298,AG298,AH298,AI298)=0,"",IF(OR(B298="",E298="",H298="",J298="",K298="",L298="",M298="",O298="",P298="",Q298="",R298="",S298="",T298="",U298="",W298="",X298="",Y298="",AB298="",AC298="",AE298="",AF298=""),"Incompleta: faltan campos obligatorios",IF(AND(LEFT(H298,6)="PROPIA",I298=""),"Falta el nombre de la acción propia del área",IF(AND(LEFT(H298,4)="AC27",IFERROR(INDEX('Catalogos_PDN'!$T$5:$T$207,MATCH(H298,'Catalogos_PDN'!$U$5:$U$207,0)),"x")&lt;&gt;LEFT(E298,7)),"La acción no corresponde a la meta seleccionada",IF(OR(NOT(ISNUMBER(M298)),M298&lt;10000000,M298&gt;99999999),"Código UNSPSC inválido: registre 8 dígitos",IF(MOD(M298,10000)=0,"UNSPSC a nivel de segmento o familia: use clase o producto",IF(IFERROR(MATCH(P298,PN_MESES,0)&lt;MATCH(O298,PN_MESES,0),TRUE()),"El mes de ofertas es anterior al de inicio del proceso",IF(OR(NOT(ISNUMBER(Q298)),Q298&lt;=0),"Duración inválida",IF(OR(NOT(ISNUMBER(W298)),NOT(ISNUMBER(X298))),"Valor inválido: registre solo números",IF(OR(W298&lt;=0,X298&lt;=0),"Valor inválido: debe ser mayor que cero",IF(X298&gt;W298,"El valor de la vigencia 2027 supera el valor total",IF(AND(X298&lt;W298,Y298="No"),"El valor total supera el de 2027: requiere vigencias futuras",IF(AND(Y298="Sí",OR(Z298="",Z298="No aplica")),"Indique el estado de la solicitud de vigencias futuras",IF(IF(AND(S298="Mínima cuantía",ISNUMBER(PN_TOPE_MINIMA)),W298&gt;PN_TOPE_MINIMA,FALSE()),"El valor supera el tope de mínima cuantía 2027",IF(IF(AND(S298="Selección abreviada de menor cuantía",ISNUMBER(PN_TOPE_MENOR)),W298&gt;PN_TOPE_MENOR,FALSE()),"El valor supera el tope de menor cuantía 2027",IF(OR(ISERROR(SEARCH("@itc.edu.co",AE298)),SUMPRODUCT(--ISNUMBER(SEARCH({"á","é","í","ó","ú","ñ"," "},AE298)))&gt;0),"El correo del responsable no es institucional válido",IF(AND(AF298="Sí",AG298=""),"Indique el N.° de registro 2026 que continúa","OK")))))))))))))))))</f>
        <v/>
      </c>
      <c r="AK298" s="114">
        <f>IF(AJ298="OK",COUNTIF($AJ$7:AJ298,"OK"),"")</f>
        <v/>
      </c>
    </row>
    <row r="299">
      <c r="A299" s="110">
        <f>"PN27-"&amp;TEXT(ROW()-6,"000")</f>
        <v/>
      </c>
      <c r="B299" s="111" t="n"/>
      <c r="C299" s="110">
        <f>IF(B299="","",IFERROR(INDEX('Catalogos_PDN'!$R$5:$R$51,MATCH(B299,PN_AREAS,0)),""))</f>
        <v/>
      </c>
      <c r="D299" s="110">
        <f>IF(B299="","",IFERROR(INDEX('Catalogos_PDN'!$O$5:$O$51,MATCH(B299,PN_AREAS,0)),""))</f>
        <v/>
      </c>
      <c r="E299" s="111" t="n"/>
      <c r="F299" s="110">
        <f>IF(E299="","",IFERROR(INDEX('Catalogos_PDN'!$C$5:$C$49,MATCH(E299,PN_METAS,0)),""))</f>
        <v/>
      </c>
      <c r="G299" s="110">
        <f>IF(E299="","",IFERROR(INDEX('Catalogos_PDN'!$E$5:$E$49,MATCH(E299,PN_METAS,0)),""))</f>
        <v/>
      </c>
      <c r="H299" s="111" t="n"/>
      <c r="I299" s="111" t="n"/>
      <c r="J299" s="111" t="n"/>
      <c r="K299" s="111" t="n"/>
      <c r="L299" s="111" t="n"/>
      <c r="M299" s="112" t="n"/>
      <c r="N299" s="111" t="n"/>
      <c r="O299" s="111" t="n"/>
      <c r="P299" s="111" t="n"/>
      <c r="Q299" s="111" t="n"/>
      <c r="R299" s="111" t="n"/>
      <c r="S299" s="111" t="n"/>
      <c r="T299" s="111" t="n"/>
      <c r="U299" s="111" t="n"/>
      <c r="V299" s="111" t="n"/>
      <c r="W299" s="113" t="n"/>
      <c r="X299" s="113" t="n"/>
      <c r="Y299" s="111" t="n"/>
      <c r="Z299" s="111" t="n"/>
      <c r="AA299" s="111" t="n"/>
      <c r="AB299" s="111" t="n"/>
      <c r="AC299" s="111" t="n"/>
      <c r="AD299" s="111" t="n"/>
      <c r="AE299" s="111" t="n"/>
      <c r="AF299" s="111" t="n"/>
      <c r="AG299" s="111" t="n"/>
      <c r="AH299" s="111" t="n"/>
      <c r="AI299" s="111" t="n"/>
      <c r="AJ299" s="114">
        <f>IF(COUNTA(B299,E299,H299,I299,J299,K299,L299,M299,N299,O299,P299,Q299,R299,S299,T299,U299,V299,W299,X299,Y299,Z299,AA299,AB299,AC299,AD299,AE299,AF299,AG299,AH299,AI299)=0,"",IF(OR(B299="",E299="",H299="",J299="",K299="",L299="",M299="",O299="",P299="",Q299="",R299="",S299="",T299="",U299="",W299="",X299="",Y299="",AB299="",AC299="",AE299="",AF299=""),"Incompleta: faltan campos obligatorios",IF(AND(LEFT(H299,6)="PROPIA",I299=""),"Falta el nombre de la acción propia del área",IF(AND(LEFT(H299,4)="AC27",IFERROR(INDEX('Catalogos_PDN'!$T$5:$T$207,MATCH(H299,'Catalogos_PDN'!$U$5:$U$207,0)),"x")&lt;&gt;LEFT(E299,7)),"La acción no corresponde a la meta seleccionada",IF(OR(NOT(ISNUMBER(M299)),M299&lt;10000000,M299&gt;99999999),"Código UNSPSC inválido: registre 8 dígitos",IF(MOD(M299,10000)=0,"UNSPSC a nivel de segmento o familia: use clase o producto",IF(IFERROR(MATCH(P299,PN_MESES,0)&lt;MATCH(O299,PN_MESES,0),TRUE()),"El mes de ofertas es anterior al de inicio del proceso",IF(OR(NOT(ISNUMBER(Q299)),Q299&lt;=0),"Duración inválida",IF(OR(NOT(ISNUMBER(W299)),NOT(ISNUMBER(X299))),"Valor inválido: registre solo números",IF(OR(W299&lt;=0,X299&lt;=0),"Valor inválido: debe ser mayor que cero",IF(X299&gt;W299,"El valor de la vigencia 2027 supera el valor total",IF(AND(X299&lt;W299,Y299="No"),"El valor total supera el de 2027: requiere vigencias futuras",IF(AND(Y299="Sí",OR(Z299="",Z299="No aplica")),"Indique el estado de la solicitud de vigencias futuras",IF(IF(AND(S299="Mínima cuantía",ISNUMBER(PN_TOPE_MINIMA)),W299&gt;PN_TOPE_MINIMA,FALSE()),"El valor supera el tope de mínima cuantía 2027",IF(IF(AND(S299="Selección abreviada de menor cuantía",ISNUMBER(PN_TOPE_MENOR)),W299&gt;PN_TOPE_MENOR,FALSE()),"El valor supera el tope de menor cuantía 2027",IF(OR(ISERROR(SEARCH("@itc.edu.co",AE299)),SUMPRODUCT(--ISNUMBER(SEARCH({"á","é","í","ó","ú","ñ"," "},AE299)))&gt;0),"El correo del responsable no es institucional válido",IF(AND(AF299="Sí",AG299=""),"Indique el N.° de registro 2026 que continúa","OK")))))))))))))))))</f>
        <v/>
      </c>
      <c r="AK299" s="114">
        <f>IF(AJ299="OK",COUNTIF($AJ$7:AJ299,"OK"),"")</f>
        <v/>
      </c>
    </row>
    <row r="300">
      <c r="A300" s="110">
        <f>"PN27-"&amp;TEXT(ROW()-6,"000")</f>
        <v/>
      </c>
      <c r="B300" s="111" t="n"/>
      <c r="C300" s="110">
        <f>IF(B300="","",IFERROR(INDEX('Catalogos_PDN'!$R$5:$R$51,MATCH(B300,PN_AREAS,0)),""))</f>
        <v/>
      </c>
      <c r="D300" s="110">
        <f>IF(B300="","",IFERROR(INDEX('Catalogos_PDN'!$O$5:$O$51,MATCH(B300,PN_AREAS,0)),""))</f>
        <v/>
      </c>
      <c r="E300" s="111" t="n"/>
      <c r="F300" s="110">
        <f>IF(E300="","",IFERROR(INDEX('Catalogos_PDN'!$C$5:$C$49,MATCH(E300,PN_METAS,0)),""))</f>
        <v/>
      </c>
      <c r="G300" s="110">
        <f>IF(E300="","",IFERROR(INDEX('Catalogos_PDN'!$E$5:$E$49,MATCH(E300,PN_METAS,0)),""))</f>
        <v/>
      </c>
      <c r="H300" s="111" t="n"/>
      <c r="I300" s="111" t="n"/>
      <c r="J300" s="111" t="n"/>
      <c r="K300" s="111" t="n"/>
      <c r="L300" s="111" t="n"/>
      <c r="M300" s="112" t="n"/>
      <c r="N300" s="111" t="n"/>
      <c r="O300" s="111" t="n"/>
      <c r="P300" s="111" t="n"/>
      <c r="Q300" s="111" t="n"/>
      <c r="R300" s="111" t="n"/>
      <c r="S300" s="111" t="n"/>
      <c r="T300" s="111" t="n"/>
      <c r="U300" s="111" t="n"/>
      <c r="V300" s="111" t="n"/>
      <c r="W300" s="113" t="n"/>
      <c r="X300" s="113" t="n"/>
      <c r="Y300" s="111" t="n"/>
      <c r="Z300" s="111" t="n"/>
      <c r="AA300" s="111" t="n"/>
      <c r="AB300" s="111" t="n"/>
      <c r="AC300" s="111" t="n"/>
      <c r="AD300" s="111" t="n"/>
      <c r="AE300" s="111" t="n"/>
      <c r="AF300" s="111" t="n"/>
      <c r="AG300" s="111" t="n"/>
      <c r="AH300" s="111" t="n"/>
      <c r="AI300" s="111" t="n"/>
      <c r="AJ300" s="114">
        <f>IF(COUNTA(B300,E300,H300,I300,J300,K300,L300,M300,N300,O300,P300,Q300,R300,S300,T300,U300,V300,W300,X300,Y300,Z300,AA300,AB300,AC300,AD300,AE300,AF300,AG300,AH300,AI300)=0,"",IF(OR(B300="",E300="",H300="",J300="",K300="",L300="",M300="",O300="",P300="",Q300="",R300="",S300="",T300="",U300="",W300="",X300="",Y300="",AB300="",AC300="",AE300="",AF300=""),"Incompleta: faltan campos obligatorios",IF(AND(LEFT(H300,6)="PROPIA",I300=""),"Falta el nombre de la acción propia del área",IF(AND(LEFT(H300,4)="AC27",IFERROR(INDEX('Catalogos_PDN'!$T$5:$T$207,MATCH(H300,'Catalogos_PDN'!$U$5:$U$207,0)),"x")&lt;&gt;LEFT(E300,7)),"La acción no corresponde a la meta seleccionada",IF(OR(NOT(ISNUMBER(M300)),M300&lt;10000000,M300&gt;99999999),"Código UNSPSC inválido: registre 8 dígitos",IF(MOD(M300,10000)=0,"UNSPSC a nivel de segmento o familia: use clase o producto",IF(IFERROR(MATCH(P300,PN_MESES,0)&lt;MATCH(O300,PN_MESES,0),TRUE()),"El mes de ofertas es anterior al de inicio del proceso",IF(OR(NOT(ISNUMBER(Q300)),Q300&lt;=0),"Duración inválida",IF(OR(NOT(ISNUMBER(W300)),NOT(ISNUMBER(X300))),"Valor inválido: registre solo números",IF(OR(W300&lt;=0,X300&lt;=0),"Valor inválido: debe ser mayor que cero",IF(X300&gt;W300,"El valor de la vigencia 2027 supera el valor total",IF(AND(X300&lt;W300,Y300="No"),"El valor total supera el de 2027: requiere vigencias futuras",IF(AND(Y300="Sí",OR(Z300="",Z300="No aplica")),"Indique el estado de la solicitud de vigencias futuras",IF(IF(AND(S300="Mínima cuantía",ISNUMBER(PN_TOPE_MINIMA)),W300&gt;PN_TOPE_MINIMA,FALSE()),"El valor supera el tope de mínima cuantía 2027",IF(IF(AND(S300="Selección abreviada de menor cuantía",ISNUMBER(PN_TOPE_MENOR)),W300&gt;PN_TOPE_MENOR,FALSE()),"El valor supera el tope de menor cuantía 2027",IF(OR(ISERROR(SEARCH("@itc.edu.co",AE300)),SUMPRODUCT(--ISNUMBER(SEARCH({"á","é","í","ó","ú","ñ"," "},AE300)))&gt;0),"El correo del responsable no es institucional válido",IF(AND(AF300="Sí",AG300=""),"Indique el N.° de registro 2026 que continúa","OK")))))))))))))))))</f>
        <v/>
      </c>
      <c r="AK300" s="114">
        <f>IF(AJ300="OK",COUNTIF($AJ$7:AJ300,"OK"),"")</f>
        <v/>
      </c>
    </row>
    <row r="301">
      <c r="A301" s="110">
        <f>"PN27-"&amp;TEXT(ROW()-6,"000")</f>
        <v/>
      </c>
      <c r="B301" s="111" t="n"/>
      <c r="C301" s="110">
        <f>IF(B301="","",IFERROR(INDEX('Catalogos_PDN'!$R$5:$R$51,MATCH(B301,PN_AREAS,0)),""))</f>
        <v/>
      </c>
      <c r="D301" s="110">
        <f>IF(B301="","",IFERROR(INDEX('Catalogos_PDN'!$O$5:$O$51,MATCH(B301,PN_AREAS,0)),""))</f>
        <v/>
      </c>
      <c r="E301" s="111" t="n"/>
      <c r="F301" s="110">
        <f>IF(E301="","",IFERROR(INDEX('Catalogos_PDN'!$C$5:$C$49,MATCH(E301,PN_METAS,0)),""))</f>
        <v/>
      </c>
      <c r="G301" s="110">
        <f>IF(E301="","",IFERROR(INDEX('Catalogos_PDN'!$E$5:$E$49,MATCH(E301,PN_METAS,0)),""))</f>
        <v/>
      </c>
      <c r="H301" s="111" t="n"/>
      <c r="I301" s="111" t="n"/>
      <c r="J301" s="111" t="n"/>
      <c r="K301" s="111" t="n"/>
      <c r="L301" s="111" t="n"/>
      <c r="M301" s="112" t="n"/>
      <c r="N301" s="111" t="n"/>
      <c r="O301" s="111" t="n"/>
      <c r="P301" s="111" t="n"/>
      <c r="Q301" s="111" t="n"/>
      <c r="R301" s="111" t="n"/>
      <c r="S301" s="111" t="n"/>
      <c r="T301" s="111" t="n"/>
      <c r="U301" s="111" t="n"/>
      <c r="V301" s="111" t="n"/>
      <c r="W301" s="113" t="n"/>
      <c r="X301" s="113" t="n"/>
      <c r="Y301" s="111" t="n"/>
      <c r="Z301" s="111" t="n"/>
      <c r="AA301" s="111" t="n"/>
      <c r="AB301" s="111" t="n"/>
      <c r="AC301" s="111" t="n"/>
      <c r="AD301" s="111" t="n"/>
      <c r="AE301" s="111" t="n"/>
      <c r="AF301" s="111" t="n"/>
      <c r="AG301" s="111" t="n"/>
      <c r="AH301" s="111" t="n"/>
      <c r="AI301" s="111" t="n"/>
      <c r="AJ301" s="114">
        <f>IF(COUNTA(B301,E301,H301,I301,J301,K301,L301,M301,N301,O301,P301,Q301,R301,S301,T301,U301,V301,W301,X301,Y301,Z301,AA301,AB301,AC301,AD301,AE301,AF301,AG301,AH301,AI301)=0,"",IF(OR(B301="",E301="",H301="",J301="",K301="",L301="",M301="",O301="",P301="",Q301="",R301="",S301="",T301="",U301="",W301="",X301="",Y301="",AB301="",AC301="",AE301="",AF301=""),"Incompleta: faltan campos obligatorios",IF(AND(LEFT(H301,6)="PROPIA",I301=""),"Falta el nombre de la acción propia del área",IF(AND(LEFT(H301,4)="AC27",IFERROR(INDEX('Catalogos_PDN'!$T$5:$T$207,MATCH(H301,'Catalogos_PDN'!$U$5:$U$207,0)),"x")&lt;&gt;LEFT(E301,7)),"La acción no corresponde a la meta seleccionada",IF(OR(NOT(ISNUMBER(M301)),M301&lt;10000000,M301&gt;99999999),"Código UNSPSC inválido: registre 8 dígitos",IF(MOD(M301,10000)=0,"UNSPSC a nivel de segmento o familia: use clase o producto",IF(IFERROR(MATCH(P301,PN_MESES,0)&lt;MATCH(O301,PN_MESES,0),TRUE()),"El mes de ofertas es anterior al de inicio del proceso",IF(OR(NOT(ISNUMBER(Q301)),Q301&lt;=0),"Duración inválida",IF(OR(NOT(ISNUMBER(W301)),NOT(ISNUMBER(X301))),"Valor inválido: registre solo números",IF(OR(W301&lt;=0,X301&lt;=0),"Valor inválido: debe ser mayor que cero",IF(X301&gt;W301,"El valor de la vigencia 2027 supera el valor total",IF(AND(X301&lt;W301,Y301="No"),"El valor total supera el de 2027: requiere vigencias futuras",IF(AND(Y301="Sí",OR(Z301="",Z301="No aplica")),"Indique el estado de la solicitud de vigencias futuras",IF(IF(AND(S301="Mínima cuantía",ISNUMBER(PN_TOPE_MINIMA)),W301&gt;PN_TOPE_MINIMA,FALSE()),"El valor supera el tope de mínima cuantía 2027",IF(IF(AND(S301="Selección abreviada de menor cuantía",ISNUMBER(PN_TOPE_MENOR)),W301&gt;PN_TOPE_MENOR,FALSE()),"El valor supera el tope de menor cuantía 2027",IF(OR(ISERROR(SEARCH("@itc.edu.co",AE301)),SUMPRODUCT(--ISNUMBER(SEARCH({"á","é","í","ó","ú","ñ"," "},AE301)))&gt;0),"El correo del responsable no es institucional válido",IF(AND(AF301="Sí",AG301=""),"Indique el N.° de registro 2026 que continúa","OK")))))))))))))))))</f>
        <v/>
      </c>
      <c r="AK301" s="114">
        <f>IF(AJ301="OK",COUNTIF($AJ$7:AJ301,"OK"),"")</f>
        <v/>
      </c>
    </row>
    <row r="302">
      <c r="A302" s="110">
        <f>"PN27-"&amp;TEXT(ROW()-6,"000")</f>
        <v/>
      </c>
      <c r="B302" s="111" t="n"/>
      <c r="C302" s="110">
        <f>IF(B302="","",IFERROR(INDEX('Catalogos_PDN'!$R$5:$R$51,MATCH(B302,PN_AREAS,0)),""))</f>
        <v/>
      </c>
      <c r="D302" s="110">
        <f>IF(B302="","",IFERROR(INDEX('Catalogos_PDN'!$O$5:$O$51,MATCH(B302,PN_AREAS,0)),""))</f>
        <v/>
      </c>
      <c r="E302" s="111" t="n"/>
      <c r="F302" s="110">
        <f>IF(E302="","",IFERROR(INDEX('Catalogos_PDN'!$C$5:$C$49,MATCH(E302,PN_METAS,0)),""))</f>
        <v/>
      </c>
      <c r="G302" s="110">
        <f>IF(E302="","",IFERROR(INDEX('Catalogos_PDN'!$E$5:$E$49,MATCH(E302,PN_METAS,0)),""))</f>
        <v/>
      </c>
      <c r="H302" s="111" t="n"/>
      <c r="I302" s="111" t="n"/>
      <c r="J302" s="111" t="n"/>
      <c r="K302" s="111" t="n"/>
      <c r="L302" s="111" t="n"/>
      <c r="M302" s="112" t="n"/>
      <c r="N302" s="111" t="n"/>
      <c r="O302" s="111" t="n"/>
      <c r="P302" s="111" t="n"/>
      <c r="Q302" s="111" t="n"/>
      <c r="R302" s="111" t="n"/>
      <c r="S302" s="111" t="n"/>
      <c r="T302" s="111" t="n"/>
      <c r="U302" s="111" t="n"/>
      <c r="V302" s="111" t="n"/>
      <c r="W302" s="113" t="n"/>
      <c r="X302" s="113" t="n"/>
      <c r="Y302" s="111" t="n"/>
      <c r="Z302" s="111" t="n"/>
      <c r="AA302" s="111" t="n"/>
      <c r="AB302" s="111" t="n"/>
      <c r="AC302" s="111" t="n"/>
      <c r="AD302" s="111" t="n"/>
      <c r="AE302" s="111" t="n"/>
      <c r="AF302" s="111" t="n"/>
      <c r="AG302" s="111" t="n"/>
      <c r="AH302" s="111" t="n"/>
      <c r="AI302" s="111" t="n"/>
      <c r="AJ302" s="114">
        <f>IF(COUNTA(B302,E302,H302,I302,J302,K302,L302,M302,N302,O302,P302,Q302,R302,S302,T302,U302,V302,W302,X302,Y302,Z302,AA302,AB302,AC302,AD302,AE302,AF302,AG302,AH302,AI302)=0,"",IF(OR(B302="",E302="",H302="",J302="",K302="",L302="",M302="",O302="",P302="",Q302="",R302="",S302="",T302="",U302="",W302="",X302="",Y302="",AB302="",AC302="",AE302="",AF302=""),"Incompleta: faltan campos obligatorios",IF(AND(LEFT(H302,6)="PROPIA",I302=""),"Falta el nombre de la acción propia del área",IF(AND(LEFT(H302,4)="AC27",IFERROR(INDEX('Catalogos_PDN'!$T$5:$T$207,MATCH(H302,'Catalogos_PDN'!$U$5:$U$207,0)),"x")&lt;&gt;LEFT(E302,7)),"La acción no corresponde a la meta seleccionada",IF(OR(NOT(ISNUMBER(M302)),M302&lt;10000000,M302&gt;99999999),"Código UNSPSC inválido: registre 8 dígitos",IF(MOD(M302,10000)=0,"UNSPSC a nivel de segmento o familia: use clase o producto",IF(IFERROR(MATCH(P302,PN_MESES,0)&lt;MATCH(O302,PN_MESES,0),TRUE()),"El mes de ofertas es anterior al de inicio del proceso",IF(OR(NOT(ISNUMBER(Q302)),Q302&lt;=0),"Duración inválida",IF(OR(NOT(ISNUMBER(W302)),NOT(ISNUMBER(X302))),"Valor inválido: registre solo números",IF(OR(W302&lt;=0,X302&lt;=0),"Valor inválido: debe ser mayor que cero",IF(X302&gt;W302,"El valor de la vigencia 2027 supera el valor total",IF(AND(X302&lt;W302,Y302="No"),"El valor total supera el de 2027: requiere vigencias futuras",IF(AND(Y302="Sí",OR(Z302="",Z302="No aplica")),"Indique el estado de la solicitud de vigencias futuras",IF(IF(AND(S302="Mínima cuantía",ISNUMBER(PN_TOPE_MINIMA)),W302&gt;PN_TOPE_MINIMA,FALSE()),"El valor supera el tope de mínima cuantía 2027",IF(IF(AND(S302="Selección abreviada de menor cuantía",ISNUMBER(PN_TOPE_MENOR)),W302&gt;PN_TOPE_MENOR,FALSE()),"El valor supera el tope de menor cuantía 2027",IF(OR(ISERROR(SEARCH("@itc.edu.co",AE302)),SUMPRODUCT(--ISNUMBER(SEARCH({"á","é","í","ó","ú","ñ"," "},AE302)))&gt;0),"El correo del responsable no es institucional válido",IF(AND(AF302="Sí",AG302=""),"Indique el N.° de registro 2026 que continúa","OK")))))))))))))))))</f>
        <v/>
      </c>
      <c r="AK302" s="114">
        <f>IF(AJ302="OK",COUNTIF($AJ$7:AJ302,"OK"),"")</f>
        <v/>
      </c>
    </row>
    <row r="303">
      <c r="A303" s="110">
        <f>"PN27-"&amp;TEXT(ROW()-6,"000")</f>
        <v/>
      </c>
      <c r="B303" s="111" t="n"/>
      <c r="C303" s="110">
        <f>IF(B303="","",IFERROR(INDEX('Catalogos_PDN'!$R$5:$R$51,MATCH(B303,PN_AREAS,0)),""))</f>
        <v/>
      </c>
      <c r="D303" s="110">
        <f>IF(B303="","",IFERROR(INDEX('Catalogos_PDN'!$O$5:$O$51,MATCH(B303,PN_AREAS,0)),""))</f>
        <v/>
      </c>
      <c r="E303" s="111" t="n"/>
      <c r="F303" s="110">
        <f>IF(E303="","",IFERROR(INDEX('Catalogos_PDN'!$C$5:$C$49,MATCH(E303,PN_METAS,0)),""))</f>
        <v/>
      </c>
      <c r="G303" s="110">
        <f>IF(E303="","",IFERROR(INDEX('Catalogos_PDN'!$E$5:$E$49,MATCH(E303,PN_METAS,0)),""))</f>
        <v/>
      </c>
      <c r="H303" s="111" t="n"/>
      <c r="I303" s="111" t="n"/>
      <c r="J303" s="111" t="n"/>
      <c r="K303" s="111" t="n"/>
      <c r="L303" s="111" t="n"/>
      <c r="M303" s="112" t="n"/>
      <c r="N303" s="111" t="n"/>
      <c r="O303" s="111" t="n"/>
      <c r="P303" s="111" t="n"/>
      <c r="Q303" s="111" t="n"/>
      <c r="R303" s="111" t="n"/>
      <c r="S303" s="111" t="n"/>
      <c r="T303" s="111" t="n"/>
      <c r="U303" s="111" t="n"/>
      <c r="V303" s="111" t="n"/>
      <c r="W303" s="113" t="n"/>
      <c r="X303" s="113" t="n"/>
      <c r="Y303" s="111" t="n"/>
      <c r="Z303" s="111" t="n"/>
      <c r="AA303" s="111" t="n"/>
      <c r="AB303" s="111" t="n"/>
      <c r="AC303" s="111" t="n"/>
      <c r="AD303" s="111" t="n"/>
      <c r="AE303" s="111" t="n"/>
      <c r="AF303" s="111" t="n"/>
      <c r="AG303" s="111" t="n"/>
      <c r="AH303" s="111" t="n"/>
      <c r="AI303" s="111" t="n"/>
      <c r="AJ303" s="114">
        <f>IF(COUNTA(B303,E303,H303,I303,J303,K303,L303,M303,N303,O303,P303,Q303,R303,S303,T303,U303,V303,W303,X303,Y303,Z303,AA303,AB303,AC303,AD303,AE303,AF303,AG303,AH303,AI303)=0,"",IF(OR(B303="",E303="",H303="",J303="",K303="",L303="",M303="",O303="",P303="",Q303="",R303="",S303="",T303="",U303="",W303="",X303="",Y303="",AB303="",AC303="",AE303="",AF303=""),"Incompleta: faltan campos obligatorios",IF(AND(LEFT(H303,6)="PROPIA",I303=""),"Falta el nombre de la acción propia del área",IF(AND(LEFT(H303,4)="AC27",IFERROR(INDEX('Catalogos_PDN'!$T$5:$T$207,MATCH(H303,'Catalogos_PDN'!$U$5:$U$207,0)),"x")&lt;&gt;LEFT(E303,7)),"La acción no corresponde a la meta seleccionada",IF(OR(NOT(ISNUMBER(M303)),M303&lt;10000000,M303&gt;99999999),"Código UNSPSC inválido: registre 8 dígitos",IF(MOD(M303,10000)=0,"UNSPSC a nivel de segmento o familia: use clase o producto",IF(IFERROR(MATCH(P303,PN_MESES,0)&lt;MATCH(O303,PN_MESES,0),TRUE()),"El mes de ofertas es anterior al de inicio del proceso",IF(OR(NOT(ISNUMBER(Q303)),Q303&lt;=0),"Duración inválida",IF(OR(NOT(ISNUMBER(W303)),NOT(ISNUMBER(X303))),"Valor inválido: registre solo números",IF(OR(W303&lt;=0,X303&lt;=0),"Valor inválido: debe ser mayor que cero",IF(X303&gt;W303,"El valor de la vigencia 2027 supera el valor total",IF(AND(X303&lt;W303,Y303="No"),"El valor total supera el de 2027: requiere vigencias futuras",IF(AND(Y303="Sí",OR(Z303="",Z303="No aplica")),"Indique el estado de la solicitud de vigencias futuras",IF(IF(AND(S303="Mínima cuantía",ISNUMBER(PN_TOPE_MINIMA)),W303&gt;PN_TOPE_MINIMA,FALSE()),"El valor supera el tope de mínima cuantía 2027",IF(IF(AND(S303="Selección abreviada de menor cuantía",ISNUMBER(PN_TOPE_MENOR)),W303&gt;PN_TOPE_MENOR,FALSE()),"El valor supera el tope de menor cuantía 2027",IF(OR(ISERROR(SEARCH("@itc.edu.co",AE303)),SUMPRODUCT(--ISNUMBER(SEARCH({"á","é","í","ó","ú","ñ"," "},AE303)))&gt;0),"El correo del responsable no es institucional válido",IF(AND(AF303="Sí",AG303=""),"Indique el N.° de registro 2026 que continúa","OK")))))))))))))))))</f>
        <v/>
      </c>
      <c r="AK303" s="114">
        <f>IF(AJ303="OK",COUNTIF($AJ$7:AJ303,"OK"),"")</f>
        <v/>
      </c>
    </row>
    <row r="304">
      <c r="A304" s="110">
        <f>"PN27-"&amp;TEXT(ROW()-6,"000")</f>
        <v/>
      </c>
      <c r="B304" s="111" t="n"/>
      <c r="C304" s="110">
        <f>IF(B304="","",IFERROR(INDEX('Catalogos_PDN'!$R$5:$R$51,MATCH(B304,PN_AREAS,0)),""))</f>
        <v/>
      </c>
      <c r="D304" s="110">
        <f>IF(B304="","",IFERROR(INDEX('Catalogos_PDN'!$O$5:$O$51,MATCH(B304,PN_AREAS,0)),""))</f>
        <v/>
      </c>
      <c r="E304" s="111" t="n"/>
      <c r="F304" s="110">
        <f>IF(E304="","",IFERROR(INDEX('Catalogos_PDN'!$C$5:$C$49,MATCH(E304,PN_METAS,0)),""))</f>
        <v/>
      </c>
      <c r="G304" s="110">
        <f>IF(E304="","",IFERROR(INDEX('Catalogos_PDN'!$E$5:$E$49,MATCH(E304,PN_METAS,0)),""))</f>
        <v/>
      </c>
      <c r="H304" s="111" t="n"/>
      <c r="I304" s="111" t="n"/>
      <c r="J304" s="111" t="n"/>
      <c r="K304" s="111" t="n"/>
      <c r="L304" s="111" t="n"/>
      <c r="M304" s="112" t="n"/>
      <c r="N304" s="111" t="n"/>
      <c r="O304" s="111" t="n"/>
      <c r="P304" s="111" t="n"/>
      <c r="Q304" s="111" t="n"/>
      <c r="R304" s="111" t="n"/>
      <c r="S304" s="111" t="n"/>
      <c r="T304" s="111" t="n"/>
      <c r="U304" s="111" t="n"/>
      <c r="V304" s="111" t="n"/>
      <c r="W304" s="113" t="n"/>
      <c r="X304" s="113" t="n"/>
      <c r="Y304" s="111" t="n"/>
      <c r="Z304" s="111" t="n"/>
      <c r="AA304" s="111" t="n"/>
      <c r="AB304" s="111" t="n"/>
      <c r="AC304" s="111" t="n"/>
      <c r="AD304" s="111" t="n"/>
      <c r="AE304" s="111" t="n"/>
      <c r="AF304" s="111" t="n"/>
      <c r="AG304" s="111" t="n"/>
      <c r="AH304" s="111" t="n"/>
      <c r="AI304" s="111" t="n"/>
      <c r="AJ304" s="114">
        <f>IF(COUNTA(B304,E304,H304,I304,J304,K304,L304,M304,N304,O304,P304,Q304,R304,S304,T304,U304,V304,W304,X304,Y304,Z304,AA304,AB304,AC304,AD304,AE304,AF304,AG304,AH304,AI304)=0,"",IF(OR(B304="",E304="",H304="",J304="",K304="",L304="",M304="",O304="",P304="",Q304="",R304="",S304="",T304="",U304="",W304="",X304="",Y304="",AB304="",AC304="",AE304="",AF304=""),"Incompleta: faltan campos obligatorios",IF(AND(LEFT(H304,6)="PROPIA",I304=""),"Falta el nombre de la acción propia del área",IF(AND(LEFT(H304,4)="AC27",IFERROR(INDEX('Catalogos_PDN'!$T$5:$T$207,MATCH(H304,'Catalogos_PDN'!$U$5:$U$207,0)),"x")&lt;&gt;LEFT(E304,7)),"La acción no corresponde a la meta seleccionada",IF(OR(NOT(ISNUMBER(M304)),M304&lt;10000000,M304&gt;99999999),"Código UNSPSC inválido: registre 8 dígitos",IF(MOD(M304,10000)=0,"UNSPSC a nivel de segmento o familia: use clase o producto",IF(IFERROR(MATCH(P304,PN_MESES,0)&lt;MATCH(O304,PN_MESES,0),TRUE()),"El mes de ofertas es anterior al de inicio del proceso",IF(OR(NOT(ISNUMBER(Q304)),Q304&lt;=0),"Duración inválida",IF(OR(NOT(ISNUMBER(W304)),NOT(ISNUMBER(X304))),"Valor inválido: registre solo números",IF(OR(W304&lt;=0,X304&lt;=0),"Valor inválido: debe ser mayor que cero",IF(X304&gt;W304,"El valor de la vigencia 2027 supera el valor total",IF(AND(X304&lt;W304,Y304="No"),"El valor total supera el de 2027: requiere vigencias futuras",IF(AND(Y304="Sí",OR(Z304="",Z304="No aplica")),"Indique el estado de la solicitud de vigencias futuras",IF(IF(AND(S304="Mínima cuantía",ISNUMBER(PN_TOPE_MINIMA)),W304&gt;PN_TOPE_MINIMA,FALSE()),"El valor supera el tope de mínima cuantía 2027",IF(IF(AND(S304="Selección abreviada de menor cuantía",ISNUMBER(PN_TOPE_MENOR)),W304&gt;PN_TOPE_MENOR,FALSE()),"El valor supera el tope de menor cuantía 2027",IF(OR(ISERROR(SEARCH("@itc.edu.co",AE304)),SUMPRODUCT(--ISNUMBER(SEARCH({"á","é","í","ó","ú","ñ"," "},AE304)))&gt;0),"El correo del responsable no es institucional válido",IF(AND(AF304="Sí",AG304=""),"Indique el N.° de registro 2026 que continúa","OK")))))))))))))))))</f>
        <v/>
      </c>
      <c r="AK304" s="114">
        <f>IF(AJ304="OK",COUNTIF($AJ$7:AJ304,"OK"),"")</f>
        <v/>
      </c>
    </row>
    <row r="305">
      <c r="A305" s="110">
        <f>"PN27-"&amp;TEXT(ROW()-6,"000")</f>
        <v/>
      </c>
      <c r="B305" s="111" t="n"/>
      <c r="C305" s="110">
        <f>IF(B305="","",IFERROR(INDEX('Catalogos_PDN'!$R$5:$R$51,MATCH(B305,PN_AREAS,0)),""))</f>
        <v/>
      </c>
      <c r="D305" s="110">
        <f>IF(B305="","",IFERROR(INDEX('Catalogos_PDN'!$O$5:$O$51,MATCH(B305,PN_AREAS,0)),""))</f>
        <v/>
      </c>
      <c r="E305" s="111" t="n"/>
      <c r="F305" s="110">
        <f>IF(E305="","",IFERROR(INDEX('Catalogos_PDN'!$C$5:$C$49,MATCH(E305,PN_METAS,0)),""))</f>
        <v/>
      </c>
      <c r="G305" s="110">
        <f>IF(E305="","",IFERROR(INDEX('Catalogos_PDN'!$E$5:$E$49,MATCH(E305,PN_METAS,0)),""))</f>
        <v/>
      </c>
      <c r="H305" s="111" t="n"/>
      <c r="I305" s="111" t="n"/>
      <c r="J305" s="111" t="n"/>
      <c r="K305" s="111" t="n"/>
      <c r="L305" s="111" t="n"/>
      <c r="M305" s="112" t="n"/>
      <c r="N305" s="111" t="n"/>
      <c r="O305" s="111" t="n"/>
      <c r="P305" s="111" t="n"/>
      <c r="Q305" s="111" t="n"/>
      <c r="R305" s="111" t="n"/>
      <c r="S305" s="111" t="n"/>
      <c r="T305" s="111" t="n"/>
      <c r="U305" s="111" t="n"/>
      <c r="V305" s="111" t="n"/>
      <c r="W305" s="113" t="n"/>
      <c r="X305" s="113" t="n"/>
      <c r="Y305" s="111" t="n"/>
      <c r="Z305" s="111" t="n"/>
      <c r="AA305" s="111" t="n"/>
      <c r="AB305" s="111" t="n"/>
      <c r="AC305" s="111" t="n"/>
      <c r="AD305" s="111" t="n"/>
      <c r="AE305" s="111" t="n"/>
      <c r="AF305" s="111" t="n"/>
      <c r="AG305" s="111" t="n"/>
      <c r="AH305" s="111" t="n"/>
      <c r="AI305" s="111" t="n"/>
      <c r="AJ305" s="114">
        <f>IF(COUNTA(B305,E305,H305,I305,J305,K305,L305,M305,N305,O305,P305,Q305,R305,S305,T305,U305,V305,W305,X305,Y305,Z305,AA305,AB305,AC305,AD305,AE305,AF305,AG305,AH305,AI305)=0,"",IF(OR(B305="",E305="",H305="",J305="",K305="",L305="",M305="",O305="",P305="",Q305="",R305="",S305="",T305="",U305="",W305="",X305="",Y305="",AB305="",AC305="",AE305="",AF305=""),"Incompleta: faltan campos obligatorios",IF(AND(LEFT(H305,6)="PROPIA",I305=""),"Falta el nombre de la acción propia del área",IF(AND(LEFT(H305,4)="AC27",IFERROR(INDEX('Catalogos_PDN'!$T$5:$T$207,MATCH(H305,'Catalogos_PDN'!$U$5:$U$207,0)),"x")&lt;&gt;LEFT(E305,7)),"La acción no corresponde a la meta seleccionada",IF(OR(NOT(ISNUMBER(M305)),M305&lt;10000000,M305&gt;99999999),"Código UNSPSC inválido: registre 8 dígitos",IF(MOD(M305,10000)=0,"UNSPSC a nivel de segmento o familia: use clase o producto",IF(IFERROR(MATCH(P305,PN_MESES,0)&lt;MATCH(O305,PN_MESES,0),TRUE()),"El mes de ofertas es anterior al de inicio del proceso",IF(OR(NOT(ISNUMBER(Q305)),Q305&lt;=0),"Duración inválida",IF(OR(NOT(ISNUMBER(W305)),NOT(ISNUMBER(X305))),"Valor inválido: registre solo números",IF(OR(W305&lt;=0,X305&lt;=0),"Valor inválido: debe ser mayor que cero",IF(X305&gt;W305,"El valor de la vigencia 2027 supera el valor total",IF(AND(X305&lt;W305,Y305="No"),"El valor total supera el de 2027: requiere vigencias futuras",IF(AND(Y305="Sí",OR(Z305="",Z305="No aplica")),"Indique el estado de la solicitud de vigencias futuras",IF(IF(AND(S305="Mínima cuantía",ISNUMBER(PN_TOPE_MINIMA)),W305&gt;PN_TOPE_MINIMA,FALSE()),"El valor supera el tope de mínima cuantía 2027",IF(IF(AND(S305="Selección abreviada de menor cuantía",ISNUMBER(PN_TOPE_MENOR)),W305&gt;PN_TOPE_MENOR,FALSE()),"El valor supera el tope de menor cuantía 2027",IF(OR(ISERROR(SEARCH("@itc.edu.co",AE305)),SUMPRODUCT(--ISNUMBER(SEARCH({"á","é","í","ó","ú","ñ"," "},AE305)))&gt;0),"El correo del responsable no es institucional válido",IF(AND(AF305="Sí",AG305=""),"Indique el N.° de registro 2026 que continúa","OK")))))))))))))))))</f>
        <v/>
      </c>
      <c r="AK305" s="114">
        <f>IF(AJ305="OK",COUNTIF($AJ$7:AJ305,"OK"),"")</f>
        <v/>
      </c>
    </row>
    <row r="306">
      <c r="A306" s="110">
        <f>"PN27-"&amp;TEXT(ROW()-6,"000")</f>
        <v/>
      </c>
      <c r="B306" s="111" t="n"/>
      <c r="C306" s="110">
        <f>IF(B306="","",IFERROR(INDEX('Catalogos_PDN'!$R$5:$R$51,MATCH(B306,PN_AREAS,0)),""))</f>
        <v/>
      </c>
      <c r="D306" s="110">
        <f>IF(B306="","",IFERROR(INDEX('Catalogos_PDN'!$O$5:$O$51,MATCH(B306,PN_AREAS,0)),""))</f>
        <v/>
      </c>
      <c r="E306" s="111" t="n"/>
      <c r="F306" s="110">
        <f>IF(E306="","",IFERROR(INDEX('Catalogos_PDN'!$C$5:$C$49,MATCH(E306,PN_METAS,0)),""))</f>
        <v/>
      </c>
      <c r="G306" s="110">
        <f>IF(E306="","",IFERROR(INDEX('Catalogos_PDN'!$E$5:$E$49,MATCH(E306,PN_METAS,0)),""))</f>
        <v/>
      </c>
      <c r="H306" s="111" t="n"/>
      <c r="I306" s="111" t="n"/>
      <c r="J306" s="111" t="n"/>
      <c r="K306" s="111" t="n"/>
      <c r="L306" s="111" t="n"/>
      <c r="M306" s="112" t="n"/>
      <c r="N306" s="111" t="n"/>
      <c r="O306" s="111" t="n"/>
      <c r="P306" s="111" t="n"/>
      <c r="Q306" s="111" t="n"/>
      <c r="R306" s="111" t="n"/>
      <c r="S306" s="111" t="n"/>
      <c r="T306" s="111" t="n"/>
      <c r="U306" s="111" t="n"/>
      <c r="V306" s="111" t="n"/>
      <c r="W306" s="113" t="n"/>
      <c r="X306" s="113" t="n"/>
      <c r="Y306" s="111" t="n"/>
      <c r="Z306" s="111" t="n"/>
      <c r="AA306" s="111" t="n"/>
      <c r="AB306" s="111" t="n"/>
      <c r="AC306" s="111" t="n"/>
      <c r="AD306" s="111" t="n"/>
      <c r="AE306" s="111" t="n"/>
      <c r="AF306" s="111" t="n"/>
      <c r="AG306" s="111" t="n"/>
      <c r="AH306" s="111" t="n"/>
      <c r="AI306" s="111" t="n"/>
      <c r="AJ306" s="114">
        <f>IF(COUNTA(B306,E306,H306,I306,J306,K306,L306,M306,N306,O306,P306,Q306,R306,S306,T306,U306,V306,W306,X306,Y306,Z306,AA306,AB306,AC306,AD306,AE306,AF306,AG306,AH306,AI306)=0,"",IF(OR(B306="",E306="",H306="",J306="",K306="",L306="",M306="",O306="",P306="",Q306="",R306="",S306="",T306="",U306="",W306="",X306="",Y306="",AB306="",AC306="",AE306="",AF306=""),"Incompleta: faltan campos obligatorios",IF(AND(LEFT(H306,6)="PROPIA",I306=""),"Falta el nombre de la acción propia del área",IF(AND(LEFT(H306,4)="AC27",IFERROR(INDEX('Catalogos_PDN'!$T$5:$T$207,MATCH(H306,'Catalogos_PDN'!$U$5:$U$207,0)),"x")&lt;&gt;LEFT(E306,7)),"La acción no corresponde a la meta seleccionada",IF(OR(NOT(ISNUMBER(M306)),M306&lt;10000000,M306&gt;99999999),"Código UNSPSC inválido: registre 8 dígitos",IF(MOD(M306,10000)=0,"UNSPSC a nivel de segmento o familia: use clase o producto",IF(IFERROR(MATCH(P306,PN_MESES,0)&lt;MATCH(O306,PN_MESES,0),TRUE()),"El mes de ofertas es anterior al de inicio del proceso",IF(OR(NOT(ISNUMBER(Q306)),Q306&lt;=0),"Duración inválida",IF(OR(NOT(ISNUMBER(W306)),NOT(ISNUMBER(X306))),"Valor inválido: registre solo números",IF(OR(W306&lt;=0,X306&lt;=0),"Valor inválido: debe ser mayor que cero",IF(X306&gt;W306,"El valor de la vigencia 2027 supera el valor total",IF(AND(X306&lt;W306,Y306="No"),"El valor total supera el de 2027: requiere vigencias futuras",IF(AND(Y306="Sí",OR(Z306="",Z306="No aplica")),"Indique el estado de la solicitud de vigencias futuras",IF(IF(AND(S306="Mínima cuantía",ISNUMBER(PN_TOPE_MINIMA)),W306&gt;PN_TOPE_MINIMA,FALSE()),"El valor supera el tope de mínima cuantía 2027",IF(IF(AND(S306="Selección abreviada de menor cuantía",ISNUMBER(PN_TOPE_MENOR)),W306&gt;PN_TOPE_MENOR,FALSE()),"El valor supera el tope de menor cuantía 2027",IF(OR(ISERROR(SEARCH("@itc.edu.co",AE306)),SUMPRODUCT(--ISNUMBER(SEARCH({"á","é","í","ó","ú","ñ"," "},AE306)))&gt;0),"El correo del responsable no es institucional válido",IF(AND(AF306="Sí",AG306=""),"Indique el N.° de registro 2026 que continúa","OK")))))))))))))))))</f>
        <v/>
      </c>
      <c r="AK306" s="114">
        <f>IF(AJ306="OK",COUNTIF($AJ$7:AJ306,"OK"),"")</f>
        <v/>
      </c>
    </row>
    <row r="307">
      <c r="A307" s="110">
        <f>"PN27-"&amp;TEXT(ROW()-6,"000")</f>
        <v/>
      </c>
      <c r="B307" s="111" t="n"/>
      <c r="C307" s="110">
        <f>IF(B307="","",IFERROR(INDEX('Catalogos_PDN'!$R$5:$R$51,MATCH(B307,PN_AREAS,0)),""))</f>
        <v/>
      </c>
      <c r="D307" s="110">
        <f>IF(B307="","",IFERROR(INDEX('Catalogos_PDN'!$O$5:$O$51,MATCH(B307,PN_AREAS,0)),""))</f>
        <v/>
      </c>
      <c r="E307" s="111" t="n"/>
      <c r="F307" s="110">
        <f>IF(E307="","",IFERROR(INDEX('Catalogos_PDN'!$C$5:$C$49,MATCH(E307,PN_METAS,0)),""))</f>
        <v/>
      </c>
      <c r="G307" s="110">
        <f>IF(E307="","",IFERROR(INDEX('Catalogos_PDN'!$E$5:$E$49,MATCH(E307,PN_METAS,0)),""))</f>
        <v/>
      </c>
      <c r="H307" s="111" t="n"/>
      <c r="I307" s="111" t="n"/>
      <c r="J307" s="111" t="n"/>
      <c r="K307" s="111" t="n"/>
      <c r="L307" s="111" t="n"/>
      <c r="M307" s="112" t="n"/>
      <c r="N307" s="111" t="n"/>
      <c r="O307" s="111" t="n"/>
      <c r="P307" s="111" t="n"/>
      <c r="Q307" s="111" t="n"/>
      <c r="R307" s="111" t="n"/>
      <c r="S307" s="111" t="n"/>
      <c r="T307" s="111" t="n"/>
      <c r="U307" s="111" t="n"/>
      <c r="V307" s="111" t="n"/>
      <c r="W307" s="113" t="n"/>
      <c r="X307" s="113" t="n"/>
      <c r="Y307" s="111" t="n"/>
      <c r="Z307" s="111" t="n"/>
      <c r="AA307" s="111" t="n"/>
      <c r="AB307" s="111" t="n"/>
      <c r="AC307" s="111" t="n"/>
      <c r="AD307" s="111" t="n"/>
      <c r="AE307" s="111" t="n"/>
      <c r="AF307" s="111" t="n"/>
      <c r="AG307" s="111" t="n"/>
      <c r="AH307" s="111" t="n"/>
      <c r="AI307" s="111" t="n"/>
      <c r="AJ307" s="114">
        <f>IF(COUNTA(B307,E307,H307,I307,J307,K307,L307,M307,N307,O307,P307,Q307,R307,S307,T307,U307,V307,W307,X307,Y307,Z307,AA307,AB307,AC307,AD307,AE307,AF307,AG307,AH307,AI307)=0,"",IF(OR(B307="",E307="",H307="",J307="",K307="",L307="",M307="",O307="",P307="",Q307="",R307="",S307="",T307="",U307="",W307="",X307="",Y307="",AB307="",AC307="",AE307="",AF307=""),"Incompleta: faltan campos obligatorios",IF(AND(LEFT(H307,6)="PROPIA",I307=""),"Falta el nombre de la acción propia del área",IF(AND(LEFT(H307,4)="AC27",IFERROR(INDEX('Catalogos_PDN'!$T$5:$T$207,MATCH(H307,'Catalogos_PDN'!$U$5:$U$207,0)),"x")&lt;&gt;LEFT(E307,7)),"La acción no corresponde a la meta seleccionada",IF(OR(NOT(ISNUMBER(M307)),M307&lt;10000000,M307&gt;99999999),"Código UNSPSC inválido: registre 8 dígitos",IF(MOD(M307,10000)=0,"UNSPSC a nivel de segmento o familia: use clase o producto",IF(IFERROR(MATCH(P307,PN_MESES,0)&lt;MATCH(O307,PN_MESES,0),TRUE()),"El mes de ofertas es anterior al de inicio del proceso",IF(OR(NOT(ISNUMBER(Q307)),Q307&lt;=0),"Duración inválida",IF(OR(NOT(ISNUMBER(W307)),NOT(ISNUMBER(X307))),"Valor inválido: registre solo números",IF(OR(W307&lt;=0,X307&lt;=0),"Valor inválido: debe ser mayor que cero",IF(X307&gt;W307,"El valor de la vigencia 2027 supera el valor total",IF(AND(X307&lt;W307,Y307="No"),"El valor total supera el de 2027: requiere vigencias futuras",IF(AND(Y307="Sí",OR(Z307="",Z307="No aplica")),"Indique el estado de la solicitud de vigencias futuras",IF(IF(AND(S307="Mínima cuantía",ISNUMBER(PN_TOPE_MINIMA)),W307&gt;PN_TOPE_MINIMA,FALSE()),"El valor supera el tope de mínima cuantía 2027",IF(IF(AND(S307="Selección abreviada de menor cuantía",ISNUMBER(PN_TOPE_MENOR)),W307&gt;PN_TOPE_MENOR,FALSE()),"El valor supera el tope de menor cuantía 2027",IF(OR(ISERROR(SEARCH("@itc.edu.co",AE307)),SUMPRODUCT(--ISNUMBER(SEARCH({"á","é","í","ó","ú","ñ"," "},AE307)))&gt;0),"El correo del responsable no es institucional válido",IF(AND(AF307="Sí",AG307=""),"Indique el N.° de registro 2026 que continúa","OK")))))))))))))))))</f>
        <v/>
      </c>
      <c r="AK307" s="114">
        <f>IF(AJ307="OK",COUNTIF($AJ$7:AJ307,"OK"),"")</f>
        <v/>
      </c>
    </row>
    <row r="308">
      <c r="A308" s="110">
        <f>"PN27-"&amp;TEXT(ROW()-6,"000")</f>
        <v/>
      </c>
      <c r="B308" s="111" t="n"/>
      <c r="C308" s="110">
        <f>IF(B308="","",IFERROR(INDEX('Catalogos_PDN'!$R$5:$R$51,MATCH(B308,PN_AREAS,0)),""))</f>
        <v/>
      </c>
      <c r="D308" s="110">
        <f>IF(B308="","",IFERROR(INDEX('Catalogos_PDN'!$O$5:$O$51,MATCH(B308,PN_AREAS,0)),""))</f>
        <v/>
      </c>
      <c r="E308" s="111" t="n"/>
      <c r="F308" s="110">
        <f>IF(E308="","",IFERROR(INDEX('Catalogos_PDN'!$C$5:$C$49,MATCH(E308,PN_METAS,0)),""))</f>
        <v/>
      </c>
      <c r="G308" s="110">
        <f>IF(E308="","",IFERROR(INDEX('Catalogos_PDN'!$E$5:$E$49,MATCH(E308,PN_METAS,0)),""))</f>
        <v/>
      </c>
      <c r="H308" s="111" t="n"/>
      <c r="I308" s="111" t="n"/>
      <c r="J308" s="111" t="n"/>
      <c r="K308" s="111" t="n"/>
      <c r="L308" s="111" t="n"/>
      <c r="M308" s="112" t="n"/>
      <c r="N308" s="111" t="n"/>
      <c r="O308" s="111" t="n"/>
      <c r="P308" s="111" t="n"/>
      <c r="Q308" s="111" t="n"/>
      <c r="R308" s="111" t="n"/>
      <c r="S308" s="111" t="n"/>
      <c r="T308" s="111" t="n"/>
      <c r="U308" s="111" t="n"/>
      <c r="V308" s="111" t="n"/>
      <c r="W308" s="113" t="n"/>
      <c r="X308" s="113" t="n"/>
      <c r="Y308" s="111" t="n"/>
      <c r="Z308" s="111" t="n"/>
      <c r="AA308" s="111" t="n"/>
      <c r="AB308" s="111" t="n"/>
      <c r="AC308" s="111" t="n"/>
      <c r="AD308" s="111" t="n"/>
      <c r="AE308" s="111" t="n"/>
      <c r="AF308" s="111" t="n"/>
      <c r="AG308" s="111" t="n"/>
      <c r="AH308" s="111" t="n"/>
      <c r="AI308" s="111" t="n"/>
      <c r="AJ308" s="114">
        <f>IF(COUNTA(B308,E308,H308,I308,J308,K308,L308,M308,N308,O308,P308,Q308,R308,S308,T308,U308,V308,W308,X308,Y308,Z308,AA308,AB308,AC308,AD308,AE308,AF308,AG308,AH308,AI308)=0,"",IF(OR(B308="",E308="",H308="",J308="",K308="",L308="",M308="",O308="",P308="",Q308="",R308="",S308="",T308="",U308="",W308="",X308="",Y308="",AB308="",AC308="",AE308="",AF308=""),"Incompleta: faltan campos obligatorios",IF(AND(LEFT(H308,6)="PROPIA",I308=""),"Falta el nombre de la acción propia del área",IF(AND(LEFT(H308,4)="AC27",IFERROR(INDEX('Catalogos_PDN'!$T$5:$T$207,MATCH(H308,'Catalogos_PDN'!$U$5:$U$207,0)),"x")&lt;&gt;LEFT(E308,7)),"La acción no corresponde a la meta seleccionada",IF(OR(NOT(ISNUMBER(M308)),M308&lt;10000000,M308&gt;99999999),"Código UNSPSC inválido: registre 8 dígitos",IF(MOD(M308,10000)=0,"UNSPSC a nivel de segmento o familia: use clase o producto",IF(IFERROR(MATCH(P308,PN_MESES,0)&lt;MATCH(O308,PN_MESES,0),TRUE()),"El mes de ofertas es anterior al de inicio del proceso",IF(OR(NOT(ISNUMBER(Q308)),Q308&lt;=0),"Duración inválida",IF(OR(NOT(ISNUMBER(W308)),NOT(ISNUMBER(X308))),"Valor inválido: registre solo números",IF(OR(W308&lt;=0,X308&lt;=0),"Valor inválido: debe ser mayor que cero",IF(X308&gt;W308,"El valor de la vigencia 2027 supera el valor total",IF(AND(X308&lt;W308,Y308="No"),"El valor total supera el de 2027: requiere vigencias futuras",IF(AND(Y308="Sí",OR(Z308="",Z308="No aplica")),"Indique el estado de la solicitud de vigencias futuras",IF(IF(AND(S308="Mínima cuantía",ISNUMBER(PN_TOPE_MINIMA)),W308&gt;PN_TOPE_MINIMA,FALSE()),"El valor supera el tope de mínima cuantía 2027",IF(IF(AND(S308="Selección abreviada de menor cuantía",ISNUMBER(PN_TOPE_MENOR)),W308&gt;PN_TOPE_MENOR,FALSE()),"El valor supera el tope de menor cuantía 2027",IF(OR(ISERROR(SEARCH("@itc.edu.co",AE308)),SUMPRODUCT(--ISNUMBER(SEARCH({"á","é","í","ó","ú","ñ"," "},AE308)))&gt;0),"El correo del responsable no es institucional válido",IF(AND(AF308="Sí",AG308=""),"Indique el N.° de registro 2026 que continúa","OK")))))))))))))))))</f>
        <v/>
      </c>
      <c r="AK308" s="114">
        <f>IF(AJ308="OK",COUNTIF($AJ$7:AJ308,"OK"),"")</f>
        <v/>
      </c>
    </row>
    <row r="309">
      <c r="A309" s="110">
        <f>"PN27-"&amp;TEXT(ROW()-6,"000")</f>
        <v/>
      </c>
      <c r="B309" s="111" t="n"/>
      <c r="C309" s="110">
        <f>IF(B309="","",IFERROR(INDEX('Catalogos_PDN'!$R$5:$R$51,MATCH(B309,PN_AREAS,0)),""))</f>
        <v/>
      </c>
      <c r="D309" s="110">
        <f>IF(B309="","",IFERROR(INDEX('Catalogos_PDN'!$O$5:$O$51,MATCH(B309,PN_AREAS,0)),""))</f>
        <v/>
      </c>
      <c r="E309" s="111" t="n"/>
      <c r="F309" s="110">
        <f>IF(E309="","",IFERROR(INDEX('Catalogos_PDN'!$C$5:$C$49,MATCH(E309,PN_METAS,0)),""))</f>
        <v/>
      </c>
      <c r="G309" s="110">
        <f>IF(E309="","",IFERROR(INDEX('Catalogos_PDN'!$E$5:$E$49,MATCH(E309,PN_METAS,0)),""))</f>
        <v/>
      </c>
      <c r="H309" s="111" t="n"/>
      <c r="I309" s="111" t="n"/>
      <c r="J309" s="111" t="n"/>
      <c r="K309" s="111" t="n"/>
      <c r="L309" s="111" t="n"/>
      <c r="M309" s="112" t="n"/>
      <c r="N309" s="111" t="n"/>
      <c r="O309" s="111" t="n"/>
      <c r="P309" s="111" t="n"/>
      <c r="Q309" s="111" t="n"/>
      <c r="R309" s="111" t="n"/>
      <c r="S309" s="111" t="n"/>
      <c r="T309" s="111" t="n"/>
      <c r="U309" s="111" t="n"/>
      <c r="V309" s="111" t="n"/>
      <c r="W309" s="113" t="n"/>
      <c r="X309" s="113" t="n"/>
      <c r="Y309" s="111" t="n"/>
      <c r="Z309" s="111" t="n"/>
      <c r="AA309" s="111" t="n"/>
      <c r="AB309" s="111" t="n"/>
      <c r="AC309" s="111" t="n"/>
      <c r="AD309" s="111" t="n"/>
      <c r="AE309" s="111" t="n"/>
      <c r="AF309" s="111" t="n"/>
      <c r="AG309" s="111" t="n"/>
      <c r="AH309" s="111" t="n"/>
      <c r="AI309" s="111" t="n"/>
      <c r="AJ309" s="114">
        <f>IF(COUNTA(B309,E309,H309,I309,J309,K309,L309,M309,N309,O309,P309,Q309,R309,S309,T309,U309,V309,W309,X309,Y309,Z309,AA309,AB309,AC309,AD309,AE309,AF309,AG309,AH309,AI309)=0,"",IF(OR(B309="",E309="",H309="",J309="",K309="",L309="",M309="",O309="",P309="",Q309="",R309="",S309="",T309="",U309="",W309="",X309="",Y309="",AB309="",AC309="",AE309="",AF309=""),"Incompleta: faltan campos obligatorios",IF(AND(LEFT(H309,6)="PROPIA",I309=""),"Falta el nombre de la acción propia del área",IF(AND(LEFT(H309,4)="AC27",IFERROR(INDEX('Catalogos_PDN'!$T$5:$T$207,MATCH(H309,'Catalogos_PDN'!$U$5:$U$207,0)),"x")&lt;&gt;LEFT(E309,7)),"La acción no corresponde a la meta seleccionada",IF(OR(NOT(ISNUMBER(M309)),M309&lt;10000000,M309&gt;99999999),"Código UNSPSC inválido: registre 8 dígitos",IF(MOD(M309,10000)=0,"UNSPSC a nivel de segmento o familia: use clase o producto",IF(IFERROR(MATCH(P309,PN_MESES,0)&lt;MATCH(O309,PN_MESES,0),TRUE()),"El mes de ofertas es anterior al de inicio del proceso",IF(OR(NOT(ISNUMBER(Q309)),Q309&lt;=0),"Duración inválida",IF(OR(NOT(ISNUMBER(W309)),NOT(ISNUMBER(X309))),"Valor inválido: registre solo números",IF(OR(W309&lt;=0,X309&lt;=0),"Valor inválido: debe ser mayor que cero",IF(X309&gt;W309,"El valor de la vigencia 2027 supera el valor total",IF(AND(X309&lt;W309,Y309="No"),"El valor total supera el de 2027: requiere vigencias futuras",IF(AND(Y309="Sí",OR(Z309="",Z309="No aplica")),"Indique el estado de la solicitud de vigencias futuras",IF(IF(AND(S309="Mínima cuantía",ISNUMBER(PN_TOPE_MINIMA)),W309&gt;PN_TOPE_MINIMA,FALSE()),"El valor supera el tope de mínima cuantía 2027",IF(IF(AND(S309="Selección abreviada de menor cuantía",ISNUMBER(PN_TOPE_MENOR)),W309&gt;PN_TOPE_MENOR,FALSE()),"El valor supera el tope de menor cuantía 2027",IF(OR(ISERROR(SEARCH("@itc.edu.co",AE309)),SUMPRODUCT(--ISNUMBER(SEARCH({"á","é","í","ó","ú","ñ"," "},AE309)))&gt;0),"El correo del responsable no es institucional válido",IF(AND(AF309="Sí",AG309=""),"Indique el N.° de registro 2026 que continúa","OK")))))))))))))))))</f>
        <v/>
      </c>
      <c r="AK309" s="114">
        <f>IF(AJ309="OK",COUNTIF($AJ$7:AJ309,"OK"),"")</f>
        <v/>
      </c>
    </row>
    <row r="310">
      <c r="A310" s="110">
        <f>"PN27-"&amp;TEXT(ROW()-6,"000")</f>
        <v/>
      </c>
      <c r="B310" s="111" t="n"/>
      <c r="C310" s="110">
        <f>IF(B310="","",IFERROR(INDEX('Catalogos_PDN'!$R$5:$R$51,MATCH(B310,PN_AREAS,0)),""))</f>
        <v/>
      </c>
      <c r="D310" s="110">
        <f>IF(B310="","",IFERROR(INDEX('Catalogos_PDN'!$O$5:$O$51,MATCH(B310,PN_AREAS,0)),""))</f>
        <v/>
      </c>
      <c r="E310" s="111" t="n"/>
      <c r="F310" s="110">
        <f>IF(E310="","",IFERROR(INDEX('Catalogos_PDN'!$C$5:$C$49,MATCH(E310,PN_METAS,0)),""))</f>
        <v/>
      </c>
      <c r="G310" s="110">
        <f>IF(E310="","",IFERROR(INDEX('Catalogos_PDN'!$E$5:$E$49,MATCH(E310,PN_METAS,0)),""))</f>
        <v/>
      </c>
      <c r="H310" s="111" t="n"/>
      <c r="I310" s="111" t="n"/>
      <c r="J310" s="111" t="n"/>
      <c r="K310" s="111" t="n"/>
      <c r="L310" s="111" t="n"/>
      <c r="M310" s="112" t="n"/>
      <c r="N310" s="111" t="n"/>
      <c r="O310" s="111" t="n"/>
      <c r="P310" s="111" t="n"/>
      <c r="Q310" s="111" t="n"/>
      <c r="R310" s="111" t="n"/>
      <c r="S310" s="111" t="n"/>
      <c r="T310" s="111" t="n"/>
      <c r="U310" s="111" t="n"/>
      <c r="V310" s="111" t="n"/>
      <c r="W310" s="113" t="n"/>
      <c r="X310" s="113" t="n"/>
      <c r="Y310" s="111" t="n"/>
      <c r="Z310" s="111" t="n"/>
      <c r="AA310" s="111" t="n"/>
      <c r="AB310" s="111" t="n"/>
      <c r="AC310" s="111" t="n"/>
      <c r="AD310" s="111" t="n"/>
      <c r="AE310" s="111" t="n"/>
      <c r="AF310" s="111" t="n"/>
      <c r="AG310" s="111" t="n"/>
      <c r="AH310" s="111" t="n"/>
      <c r="AI310" s="111" t="n"/>
      <c r="AJ310" s="114">
        <f>IF(COUNTA(B310,E310,H310,I310,J310,K310,L310,M310,N310,O310,P310,Q310,R310,S310,T310,U310,V310,W310,X310,Y310,Z310,AA310,AB310,AC310,AD310,AE310,AF310,AG310,AH310,AI310)=0,"",IF(OR(B310="",E310="",H310="",J310="",K310="",L310="",M310="",O310="",P310="",Q310="",R310="",S310="",T310="",U310="",W310="",X310="",Y310="",AB310="",AC310="",AE310="",AF310=""),"Incompleta: faltan campos obligatorios",IF(AND(LEFT(H310,6)="PROPIA",I310=""),"Falta el nombre de la acción propia del área",IF(AND(LEFT(H310,4)="AC27",IFERROR(INDEX('Catalogos_PDN'!$T$5:$T$207,MATCH(H310,'Catalogos_PDN'!$U$5:$U$207,0)),"x")&lt;&gt;LEFT(E310,7)),"La acción no corresponde a la meta seleccionada",IF(OR(NOT(ISNUMBER(M310)),M310&lt;10000000,M310&gt;99999999),"Código UNSPSC inválido: registre 8 dígitos",IF(MOD(M310,10000)=0,"UNSPSC a nivel de segmento o familia: use clase o producto",IF(IFERROR(MATCH(P310,PN_MESES,0)&lt;MATCH(O310,PN_MESES,0),TRUE()),"El mes de ofertas es anterior al de inicio del proceso",IF(OR(NOT(ISNUMBER(Q310)),Q310&lt;=0),"Duración inválida",IF(OR(NOT(ISNUMBER(W310)),NOT(ISNUMBER(X310))),"Valor inválido: registre solo números",IF(OR(W310&lt;=0,X310&lt;=0),"Valor inválido: debe ser mayor que cero",IF(X310&gt;W310,"El valor de la vigencia 2027 supera el valor total",IF(AND(X310&lt;W310,Y310="No"),"El valor total supera el de 2027: requiere vigencias futuras",IF(AND(Y310="Sí",OR(Z310="",Z310="No aplica")),"Indique el estado de la solicitud de vigencias futuras",IF(IF(AND(S310="Mínima cuantía",ISNUMBER(PN_TOPE_MINIMA)),W310&gt;PN_TOPE_MINIMA,FALSE()),"El valor supera el tope de mínima cuantía 2027",IF(IF(AND(S310="Selección abreviada de menor cuantía",ISNUMBER(PN_TOPE_MENOR)),W310&gt;PN_TOPE_MENOR,FALSE()),"El valor supera el tope de menor cuantía 2027",IF(OR(ISERROR(SEARCH("@itc.edu.co",AE310)),SUMPRODUCT(--ISNUMBER(SEARCH({"á","é","í","ó","ú","ñ"," "},AE310)))&gt;0),"El correo del responsable no es institucional válido",IF(AND(AF310="Sí",AG310=""),"Indique el N.° de registro 2026 que continúa","OK")))))))))))))))))</f>
        <v/>
      </c>
      <c r="AK310" s="114">
        <f>IF(AJ310="OK",COUNTIF($AJ$7:AJ310,"OK"),"")</f>
        <v/>
      </c>
    </row>
    <row r="311">
      <c r="A311" s="110">
        <f>"PN27-"&amp;TEXT(ROW()-6,"000")</f>
        <v/>
      </c>
      <c r="B311" s="111" t="n"/>
      <c r="C311" s="110">
        <f>IF(B311="","",IFERROR(INDEX('Catalogos_PDN'!$R$5:$R$51,MATCH(B311,PN_AREAS,0)),""))</f>
        <v/>
      </c>
      <c r="D311" s="110">
        <f>IF(B311="","",IFERROR(INDEX('Catalogos_PDN'!$O$5:$O$51,MATCH(B311,PN_AREAS,0)),""))</f>
        <v/>
      </c>
      <c r="E311" s="111" t="n"/>
      <c r="F311" s="110">
        <f>IF(E311="","",IFERROR(INDEX('Catalogos_PDN'!$C$5:$C$49,MATCH(E311,PN_METAS,0)),""))</f>
        <v/>
      </c>
      <c r="G311" s="110">
        <f>IF(E311="","",IFERROR(INDEX('Catalogos_PDN'!$E$5:$E$49,MATCH(E311,PN_METAS,0)),""))</f>
        <v/>
      </c>
      <c r="H311" s="111" t="n"/>
      <c r="I311" s="111" t="n"/>
      <c r="J311" s="111" t="n"/>
      <c r="K311" s="111" t="n"/>
      <c r="L311" s="111" t="n"/>
      <c r="M311" s="112" t="n"/>
      <c r="N311" s="111" t="n"/>
      <c r="O311" s="111" t="n"/>
      <c r="P311" s="111" t="n"/>
      <c r="Q311" s="111" t="n"/>
      <c r="R311" s="111" t="n"/>
      <c r="S311" s="111" t="n"/>
      <c r="T311" s="111" t="n"/>
      <c r="U311" s="111" t="n"/>
      <c r="V311" s="111" t="n"/>
      <c r="W311" s="113" t="n"/>
      <c r="X311" s="113" t="n"/>
      <c r="Y311" s="111" t="n"/>
      <c r="Z311" s="111" t="n"/>
      <c r="AA311" s="111" t="n"/>
      <c r="AB311" s="111" t="n"/>
      <c r="AC311" s="111" t="n"/>
      <c r="AD311" s="111" t="n"/>
      <c r="AE311" s="111" t="n"/>
      <c r="AF311" s="111" t="n"/>
      <c r="AG311" s="111" t="n"/>
      <c r="AH311" s="111" t="n"/>
      <c r="AI311" s="111" t="n"/>
      <c r="AJ311" s="114">
        <f>IF(COUNTA(B311,E311,H311,I311,J311,K311,L311,M311,N311,O311,P311,Q311,R311,S311,T311,U311,V311,W311,X311,Y311,Z311,AA311,AB311,AC311,AD311,AE311,AF311,AG311,AH311,AI311)=0,"",IF(OR(B311="",E311="",H311="",J311="",K311="",L311="",M311="",O311="",P311="",Q311="",R311="",S311="",T311="",U311="",W311="",X311="",Y311="",AB311="",AC311="",AE311="",AF311=""),"Incompleta: faltan campos obligatorios",IF(AND(LEFT(H311,6)="PROPIA",I311=""),"Falta el nombre de la acción propia del área",IF(AND(LEFT(H311,4)="AC27",IFERROR(INDEX('Catalogos_PDN'!$T$5:$T$207,MATCH(H311,'Catalogos_PDN'!$U$5:$U$207,0)),"x")&lt;&gt;LEFT(E311,7)),"La acción no corresponde a la meta seleccionada",IF(OR(NOT(ISNUMBER(M311)),M311&lt;10000000,M311&gt;99999999),"Código UNSPSC inválido: registre 8 dígitos",IF(MOD(M311,10000)=0,"UNSPSC a nivel de segmento o familia: use clase o producto",IF(IFERROR(MATCH(P311,PN_MESES,0)&lt;MATCH(O311,PN_MESES,0),TRUE()),"El mes de ofertas es anterior al de inicio del proceso",IF(OR(NOT(ISNUMBER(Q311)),Q311&lt;=0),"Duración inválida",IF(OR(NOT(ISNUMBER(W311)),NOT(ISNUMBER(X311))),"Valor inválido: registre solo números",IF(OR(W311&lt;=0,X311&lt;=0),"Valor inválido: debe ser mayor que cero",IF(X311&gt;W311,"El valor de la vigencia 2027 supera el valor total",IF(AND(X311&lt;W311,Y311="No"),"El valor total supera el de 2027: requiere vigencias futuras",IF(AND(Y311="Sí",OR(Z311="",Z311="No aplica")),"Indique el estado de la solicitud de vigencias futuras",IF(IF(AND(S311="Mínima cuantía",ISNUMBER(PN_TOPE_MINIMA)),W311&gt;PN_TOPE_MINIMA,FALSE()),"El valor supera el tope de mínima cuantía 2027",IF(IF(AND(S311="Selección abreviada de menor cuantía",ISNUMBER(PN_TOPE_MENOR)),W311&gt;PN_TOPE_MENOR,FALSE()),"El valor supera el tope de menor cuantía 2027",IF(OR(ISERROR(SEARCH("@itc.edu.co",AE311)),SUMPRODUCT(--ISNUMBER(SEARCH({"á","é","í","ó","ú","ñ"," "},AE311)))&gt;0),"El correo del responsable no es institucional válido",IF(AND(AF311="Sí",AG311=""),"Indique el N.° de registro 2026 que continúa","OK")))))))))))))))))</f>
        <v/>
      </c>
      <c r="AK311" s="114">
        <f>IF(AJ311="OK",COUNTIF($AJ$7:AJ311,"OK"),"")</f>
        <v/>
      </c>
    </row>
    <row r="312">
      <c r="A312" s="110">
        <f>"PN27-"&amp;TEXT(ROW()-6,"000")</f>
        <v/>
      </c>
      <c r="B312" s="111" t="n"/>
      <c r="C312" s="110">
        <f>IF(B312="","",IFERROR(INDEX('Catalogos_PDN'!$R$5:$R$51,MATCH(B312,PN_AREAS,0)),""))</f>
        <v/>
      </c>
      <c r="D312" s="110">
        <f>IF(B312="","",IFERROR(INDEX('Catalogos_PDN'!$O$5:$O$51,MATCH(B312,PN_AREAS,0)),""))</f>
        <v/>
      </c>
      <c r="E312" s="111" t="n"/>
      <c r="F312" s="110">
        <f>IF(E312="","",IFERROR(INDEX('Catalogos_PDN'!$C$5:$C$49,MATCH(E312,PN_METAS,0)),""))</f>
        <v/>
      </c>
      <c r="G312" s="110">
        <f>IF(E312="","",IFERROR(INDEX('Catalogos_PDN'!$E$5:$E$49,MATCH(E312,PN_METAS,0)),""))</f>
        <v/>
      </c>
      <c r="H312" s="111" t="n"/>
      <c r="I312" s="111" t="n"/>
      <c r="J312" s="111" t="n"/>
      <c r="K312" s="111" t="n"/>
      <c r="L312" s="111" t="n"/>
      <c r="M312" s="112" t="n"/>
      <c r="N312" s="111" t="n"/>
      <c r="O312" s="111" t="n"/>
      <c r="P312" s="111" t="n"/>
      <c r="Q312" s="111" t="n"/>
      <c r="R312" s="111" t="n"/>
      <c r="S312" s="111" t="n"/>
      <c r="T312" s="111" t="n"/>
      <c r="U312" s="111" t="n"/>
      <c r="V312" s="111" t="n"/>
      <c r="W312" s="113" t="n"/>
      <c r="X312" s="113" t="n"/>
      <c r="Y312" s="111" t="n"/>
      <c r="Z312" s="111" t="n"/>
      <c r="AA312" s="111" t="n"/>
      <c r="AB312" s="111" t="n"/>
      <c r="AC312" s="111" t="n"/>
      <c r="AD312" s="111" t="n"/>
      <c r="AE312" s="111" t="n"/>
      <c r="AF312" s="111" t="n"/>
      <c r="AG312" s="111" t="n"/>
      <c r="AH312" s="111" t="n"/>
      <c r="AI312" s="111" t="n"/>
      <c r="AJ312" s="114">
        <f>IF(COUNTA(B312,E312,H312,I312,J312,K312,L312,M312,N312,O312,P312,Q312,R312,S312,T312,U312,V312,W312,X312,Y312,Z312,AA312,AB312,AC312,AD312,AE312,AF312,AG312,AH312,AI312)=0,"",IF(OR(B312="",E312="",H312="",J312="",K312="",L312="",M312="",O312="",P312="",Q312="",R312="",S312="",T312="",U312="",W312="",X312="",Y312="",AB312="",AC312="",AE312="",AF312=""),"Incompleta: faltan campos obligatorios",IF(AND(LEFT(H312,6)="PROPIA",I312=""),"Falta el nombre de la acción propia del área",IF(AND(LEFT(H312,4)="AC27",IFERROR(INDEX('Catalogos_PDN'!$T$5:$T$207,MATCH(H312,'Catalogos_PDN'!$U$5:$U$207,0)),"x")&lt;&gt;LEFT(E312,7)),"La acción no corresponde a la meta seleccionada",IF(OR(NOT(ISNUMBER(M312)),M312&lt;10000000,M312&gt;99999999),"Código UNSPSC inválido: registre 8 dígitos",IF(MOD(M312,10000)=0,"UNSPSC a nivel de segmento o familia: use clase o producto",IF(IFERROR(MATCH(P312,PN_MESES,0)&lt;MATCH(O312,PN_MESES,0),TRUE()),"El mes de ofertas es anterior al de inicio del proceso",IF(OR(NOT(ISNUMBER(Q312)),Q312&lt;=0),"Duración inválida",IF(OR(NOT(ISNUMBER(W312)),NOT(ISNUMBER(X312))),"Valor inválido: registre solo números",IF(OR(W312&lt;=0,X312&lt;=0),"Valor inválido: debe ser mayor que cero",IF(X312&gt;W312,"El valor de la vigencia 2027 supera el valor total",IF(AND(X312&lt;W312,Y312="No"),"El valor total supera el de 2027: requiere vigencias futuras",IF(AND(Y312="Sí",OR(Z312="",Z312="No aplica")),"Indique el estado de la solicitud de vigencias futuras",IF(IF(AND(S312="Mínima cuantía",ISNUMBER(PN_TOPE_MINIMA)),W312&gt;PN_TOPE_MINIMA,FALSE()),"El valor supera el tope de mínima cuantía 2027",IF(IF(AND(S312="Selección abreviada de menor cuantía",ISNUMBER(PN_TOPE_MENOR)),W312&gt;PN_TOPE_MENOR,FALSE()),"El valor supera el tope de menor cuantía 2027",IF(OR(ISERROR(SEARCH("@itc.edu.co",AE312)),SUMPRODUCT(--ISNUMBER(SEARCH({"á","é","í","ó","ú","ñ"," "},AE312)))&gt;0),"El correo del responsable no es institucional válido",IF(AND(AF312="Sí",AG312=""),"Indique el N.° de registro 2026 que continúa","OK")))))))))))))))))</f>
        <v/>
      </c>
      <c r="AK312" s="114">
        <f>IF(AJ312="OK",COUNTIF($AJ$7:AJ312,"OK"),"")</f>
        <v/>
      </c>
    </row>
    <row r="313">
      <c r="A313" s="110">
        <f>"PN27-"&amp;TEXT(ROW()-6,"000")</f>
        <v/>
      </c>
      <c r="B313" s="111" t="n"/>
      <c r="C313" s="110">
        <f>IF(B313="","",IFERROR(INDEX('Catalogos_PDN'!$R$5:$R$51,MATCH(B313,PN_AREAS,0)),""))</f>
        <v/>
      </c>
      <c r="D313" s="110">
        <f>IF(B313="","",IFERROR(INDEX('Catalogos_PDN'!$O$5:$O$51,MATCH(B313,PN_AREAS,0)),""))</f>
        <v/>
      </c>
      <c r="E313" s="111" t="n"/>
      <c r="F313" s="110">
        <f>IF(E313="","",IFERROR(INDEX('Catalogos_PDN'!$C$5:$C$49,MATCH(E313,PN_METAS,0)),""))</f>
        <v/>
      </c>
      <c r="G313" s="110">
        <f>IF(E313="","",IFERROR(INDEX('Catalogos_PDN'!$E$5:$E$49,MATCH(E313,PN_METAS,0)),""))</f>
        <v/>
      </c>
      <c r="H313" s="111" t="n"/>
      <c r="I313" s="111" t="n"/>
      <c r="J313" s="111" t="n"/>
      <c r="K313" s="111" t="n"/>
      <c r="L313" s="111" t="n"/>
      <c r="M313" s="112" t="n"/>
      <c r="N313" s="111" t="n"/>
      <c r="O313" s="111" t="n"/>
      <c r="P313" s="111" t="n"/>
      <c r="Q313" s="111" t="n"/>
      <c r="R313" s="111" t="n"/>
      <c r="S313" s="111" t="n"/>
      <c r="T313" s="111" t="n"/>
      <c r="U313" s="111" t="n"/>
      <c r="V313" s="111" t="n"/>
      <c r="W313" s="113" t="n"/>
      <c r="X313" s="113" t="n"/>
      <c r="Y313" s="111" t="n"/>
      <c r="Z313" s="111" t="n"/>
      <c r="AA313" s="111" t="n"/>
      <c r="AB313" s="111" t="n"/>
      <c r="AC313" s="111" t="n"/>
      <c r="AD313" s="111" t="n"/>
      <c r="AE313" s="111" t="n"/>
      <c r="AF313" s="111" t="n"/>
      <c r="AG313" s="111" t="n"/>
      <c r="AH313" s="111" t="n"/>
      <c r="AI313" s="111" t="n"/>
      <c r="AJ313" s="114">
        <f>IF(COUNTA(B313,E313,H313,I313,J313,K313,L313,M313,N313,O313,P313,Q313,R313,S313,T313,U313,V313,W313,X313,Y313,Z313,AA313,AB313,AC313,AD313,AE313,AF313,AG313,AH313,AI313)=0,"",IF(OR(B313="",E313="",H313="",J313="",K313="",L313="",M313="",O313="",P313="",Q313="",R313="",S313="",T313="",U313="",W313="",X313="",Y313="",AB313="",AC313="",AE313="",AF313=""),"Incompleta: faltan campos obligatorios",IF(AND(LEFT(H313,6)="PROPIA",I313=""),"Falta el nombre de la acción propia del área",IF(AND(LEFT(H313,4)="AC27",IFERROR(INDEX('Catalogos_PDN'!$T$5:$T$207,MATCH(H313,'Catalogos_PDN'!$U$5:$U$207,0)),"x")&lt;&gt;LEFT(E313,7)),"La acción no corresponde a la meta seleccionada",IF(OR(NOT(ISNUMBER(M313)),M313&lt;10000000,M313&gt;99999999),"Código UNSPSC inválido: registre 8 dígitos",IF(MOD(M313,10000)=0,"UNSPSC a nivel de segmento o familia: use clase o producto",IF(IFERROR(MATCH(P313,PN_MESES,0)&lt;MATCH(O313,PN_MESES,0),TRUE()),"El mes de ofertas es anterior al de inicio del proceso",IF(OR(NOT(ISNUMBER(Q313)),Q313&lt;=0),"Duración inválida",IF(OR(NOT(ISNUMBER(W313)),NOT(ISNUMBER(X313))),"Valor inválido: registre solo números",IF(OR(W313&lt;=0,X313&lt;=0),"Valor inválido: debe ser mayor que cero",IF(X313&gt;W313,"El valor de la vigencia 2027 supera el valor total",IF(AND(X313&lt;W313,Y313="No"),"El valor total supera el de 2027: requiere vigencias futuras",IF(AND(Y313="Sí",OR(Z313="",Z313="No aplica")),"Indique el estado de la solicitud de vigencias futuras",IF(IF(AND(S313="Mínima cuantía",ISNUMBER(PN_TOPE_MINIMA)),W313&gt;PN_TOPE_MINIMA,FALSE()),"El valor supera el tope de mínima cuantía 2027",IF(IF(AND(S313="Selección abreviada de menor cuantía",ISNUMBER(PN_TOPE_MENOR)),W313&gt;PN_TOPE_MENOR,FALSE()),"El valor supera el tope de menor cuantía 2027",IF(OR(ISERROR(SEARCH("@itc.edu.co",AE313)),SUMPRODUCT(--ISNUMBER(SEARCH({"á","é","í","ó","ú","ñ"," "},AE313)))&gt;0),"El correo del responsable no es institucional válido",IF(AND(AF313="Sí",AG313=""),"Indique el N.° de registro 2026 que continúa","OK")))))))))))))))))</f>
        <v/>
      </c>
      <c r="AK313" s="114">
        <f>IF(AJ313="OK",COUNTIF($AJ$7:AJ313,"OK"),"")</f>
        <v/>
      </c>
    </row>
    <row r="314">
      <c r="A314" s="110">
        <f>"PN27-"&amp;TEXT(ROW()-6,"000")</f>
        <v/>
      </c>
      <c r="B314" s="111" t="n"/>
      <c r="C314" s="110">
        <f>IF(B314="","",IFERROR(INDEX('Catalogos_PDN'!$R$5:$R$51,MATCH(B314,PN_AREAS,0)),""))</f>
        <v/>
      </c>
      <c r="D314" s="110">
        <f>IF(B314="","",IFERROR(INDEX('Catalogos_PDN'!$O$5:$O$51,MATCH(B314,PN_AREAS,0)),""))</f>
        <v/>
      </c>
      <c r="E314" s="111" t="n"/>
      <c r="F314" s="110">
        <f>IF(E314="","",IFERROR(INDEX('Catalogos_PDN'!$C$5:$C$49,MATCH(E314,PN_METAS,0)),""))</f>
        <v/>
      </c>
      <c r="G314" s="110">
        <f>IF(E314="","",IFERROR(INDEX('Catalogos_PDN'!$E$5:$E$49,MATCH(E314,PN_METAS,0)),""))</f>
        <v/>
      </c>
      <c r="H314" s="111" t="n"/>
      <c r="I314" s="111" t="n"/>
      <c r="J314" s="111" t="n"/>
      <c r="K314" s="111" t="n"/>
      <c r="L314" s="111" t="n"/>
      <c r="M314" s="112" t="n"/>
      <c r="N314" s="111" t="n"/>
      <c r="O314" s="111" t="n"/>
      <c r="P314" s="111" t="n"/>
      <c r="Q314" s="111" t="n"/>
      <c r="R314" s="111" t="n"/>
      <c r="S314" s="111" t="n"/>
      <c r="T314" s="111" t="n"/>
      <c r="U314" s="111" t="n"/>
      <c r="V314" s="111" t="n"/>
      <c r="W314" s="113" t="n"/>
      <c r="X314" s="113" t="n"/>
      <c r="Y314" s="111" t="n"/>
      <c r="Z314" s="111" t="n"/>
      <c r="AA314" s="111" t="n"/>
      <c r="AB314" s="111" t="n"/>
      <c r="AC314" s="111" t="n"/>
      <c r="AD314" s="111" t="n"/>
      <c r="AE314" s="111" t="n"/>
      <c r="AF314" s="111" t="n"/>
      <c r="AG314" s="111" t="n"/>
      <c r="AH314" s="111" t="n"/>
      <c r="AI314" s="111" t="n"/>
      <c r="AJ314" s="114">
        <f>IF(COUNTA(B314,E314,H314,I314,J314,K314,L314,M314,N314,O314,P314,Q314,R314,S314,T314,U314,V314,W314,X314,Y314,Z314,AA314,AB314,AC314,AD314,AE314,AF314,AG314,AH314,AI314)=0,"",IF(OR(B314="",E314="",H314="",J314="",K314="",L314="",M314="",O314="",P314="",Q314="",R314="",S314="",T314="",U314="",W314="",X314="",Y314="",AB314="",AC314="",AE314="",AF314=""),"Incompleta: faltan campos obligatorios",IF(AND(LEFT(H314,6)="PROPIA",I314=""),"Falta el nombre de la acción propia del área",IF(AND(LEFT(H314,4)="AC27",IFERROR(INDEX('Catalogos_PDN'!$T$5:$T$207,MATCH(H314,'Catalogos_PDN'!$U$5:$U$207,0)),"x")&lt;&gt;LEFT(E314,7)),"La acción no corresponde a la meta seleccionada",IF(OR(NOT(ISNUMBER(M314)),M314&lt;10000000,M314&gt;99999999),"Código UNSPSC inválido: registre 8 dígitos",IF(MOD(M314,10000)=0,"UNSPSC a nivel de segmento o familia: use clase o producto",IF(IFERROR(MATCH(P314,PN_MESES,0)&lt;MATCH(O314,PN_MESES,0),TRUE()),"El mes de ofertas es anterior al de inicio del proceso",IF(OR(NOT(ISNUMBER(Q314)),Q314&lt;=0),"Duración inválida",IF(OR(NOT(ISNUMBER(W314)),NOT(ISNUMBER(X314))),"Valor inválido: registre solo números",IF(OR(W314&lt;=0,X314&lt;=0),"Valor inválido: debe ser mayor que cero",IF(X314&gt;W314,"El valor de la vigencia 2027 supera el valor total",IF(AND(X314&lt;W314,Y314="No"),"El valor total supera el de 2027: requiere vigencias futuras",IF(AND(Y314="Sí",OR(Z314="",Z314="No aplica")),"Indique el estado de la solicitud de vigencias futuras",IF(IF(AND(S314="Mínima cuantía",ISNUMBER(PN_TOPE_MINIMA)),W314&gt;PN_TOPE_MINIMA,FALSE()),"El valor supera el tope de mínima cuantía 2027",IF(IF(AND(S314="Selección abreviada de menor cuantía",ISNUMBER(PN_TOPE_MENOR)),W314&gt;PN_TOPE_MENOR,FALSE()),"El valor supera el tope de menor cuantía 2027",IF(OR(ISERROR(SEARCH("@itc.edu.co",AE314)),SUMPRODUCT(--ISNUMBER(SEARCH({"á","é","í","ó","ú","ñ"," "},AE314)))&gt;0),"El correo del responsable no es institucional válido",IF(AND(AF314="Sí",AG314=""),"Indique el N.° de registro 2026 que continúa","OK")))))))))))))))))</f>
        <v/>
      </c>
      <c r="AK314" s="114">
        <f>IF(AJ314="OK",COUNTIF($AJ$7:AJ314,"OK"),"")</f>
        <v/>
      </c>
    </row>
    <row r="315">
      <c r="A315" s="110">
        <f>"PN27-"&amp;TEXT(ROW()-6,"000")</f>
        <v/>
      </c>
      <c r="B315" s="111" t="n"/>
      <c r="C315" s="110">
        <f>IF(B315="","",IFERROR(INDEX('Catalogos_PDN'!$R$5:$R$51,MATCH(B315,PN_AREAS,0)),""))</f>
        <v/>
      </c>
      <c r="D315" s="110">
        <f>IF(B315="","",IFERROR(INDEX('Catalogos_PDN'!$O$5:$O$51,MATCH(B315,PN_AREAS,0)),""))</f>
        <v/>
      </c>
      <c r="E315" s="111" t="n"/>
      <c r="F315" s="110">
        <f>IF(E315="","",IFERROR(INDEX('Catalogos_PDN'!$C$5:$C$49,MATCH(E315,PN_METAS,0)),""))</f>
        <v/>
      </c>
      <c r="G315" s="110">
        <f>IF(E315="","",IFERROR(INDEX('Catalogos_PDN'!$E$5:$E$49,MATCH(E315,PN_METAS,0)),""))</f>
        <v/>
      </c>
      <c r="H315" s="111" t="n"/>
      <c r="I315" s="111" t="n"/>
      <c r="J315" s="111" t="n"/>
      <c r="K315" s="111" t="n"/>
      <c r="L315" s="111" t="n"/>
      <c r="M315" s="112" t="n"/>
      <c r="N315" s="111" t="n"/>
      <c r="O315" s="111" t="n"/>
      <c r="P315" s="111" t="n"/>
      <c r="Q315" s="111" t="n"/>
      <c r="R315" s="111" t="n"/>
      <c r="S315" s="111" t="n"/>
      <c r="T315" s="111" t="n"/>
      <c r="U315" s="111" t="n"/>
      <c r="V315" s="111" t="n"/>
      <c r="W315" s="113" t="n"/>
      <c r="X315" s="113" t="n"/>
      <c r="Y315" s="111" t="n"/>
      <c r="Z315" s="111" t="n"/>
      <c r="AA315" s="111" t="n"/>
      <c r="AB315" s="111" t="n"/>
      <c r="AC315" s="111" t="n"/>
      <c r="AD315" s="111" t="n"/>
      <c r="AE315" s="111" t="n"/>
      <c r="AF315" s="111" t="n"/>
      <c r="AG315" s="111" t="n"/>
      <c r="AH315" s="111" t="n"/>
      <c r="AI315" s="111" t="n"/>
      <c r="AJ315" s="114">
        <f>IF(COUNTA(B315,E315,H315,I315,J315,K315,L315,M315,N315,O315,P315,Q315,R315,S315,T315,U315,V315,W315,X315,Y315,Z315,AA315,AB315,AC315,AD315,AE315,AF315,AG315,AH315,AI315)=0,"",IF(OR(B315="",E315="",H315="",J315="",K315="",L315="",M315="",O315="",P315="",Q315="",R315="",S315="",T315="",U315="",W315="",X315="",Y315="",AB315="",AC315="",AE315="",AF315=""),"Incompleta: faltan campos obligatorios",IF(AND(LEFT(H315,6)="PROPIA",I315=""),"Falta el nombre de la acción propia del área",IF(AND(LEFT(H315,4)="AC27",IFERROR(INDEX('Catalogos_PDN'!$T$5:$T$207,MATCH(H315,'Catalogos_PDN'!$U$5:$U$207,0)),"x")&lt;&gt;LEFT(E315,7)),"La acción no corresponde a la meta seleccionada",IF(OR(NOT(ISNUMBER(M315)),M315&lt;10000000,M315&gt;99999999),"Código UNSPSC inválido: registre 8 dígitos",IF(MOD(M315,10000)=0,"UNSPSC a nivel de segmento o familia: use clase o producto",IF(IFERROR(MATCH(P315,PN_MESES,0)&lt;MATCH(O315,PN_MESES,0),TRUE()),"El mes de ofertas es anterior al de inicio del proceso",IF(OR(NOT(ISNUMBER(Q315)),Q315&lt;=0),"Duración inválida",IF(OR(NOT(ISNUMBER(W315)),NOT(ISNUMBER(X315))),"Valor inválido: registre solo números",IF(OR(W315&lt;=0,X315&lt;=0),"Valor inválido: debe ser mayor que cero",IF(X315&gt;W315,"El valor de la vigencia 2027 supera el valor total",IF(AND(X315&lt;W315,Y315="No"),"El valor total supera el de 2027: requiere vigencias futuras",IF(AND(Y315="Sí",OR(Z315="",Z315="No aplica")),"Indique el estado de la solicitud de vigencias futuras",IF(IF(AND(S315="Mínima cuantía",ISNUMBER(PN_TOPE_MINIMA)),W315&gt;PN_TOPE_MINIMA,FALSE()),"El valor supera el tope de mínima cuantía 2027",IF(IF(AND(S315="Selección abreviada de menor cuantía",ISNUMBER(PN_TOPE_MENOR)),W315&gt;PN_TOPE_MENOR,FALSE()),"El valor supera el tope de menor cuantía 2027",IF(OR(ISERROR(SEARCH("@itc.edu.co",AE315)),SUMPRODUCT(--ISNUMBER(SEARCH({"á","é","í","ó","ú","ñ"," "},AE315)))&gt;0),"El correo del responsable no es institucional válido",IF(AND(AF315="Sí",AG315=""),"Indique el N.° de registro 2026 que continúa","OK")))))))))))))))))</f>
        <v/>
      </c>
      <c r="AK315" s="114">
        <f>IF(AJ315="OK",COUNTIF($AJ$7:AJ315,"OK"),"")</f>
        <v/>
      </c>
    </row>
    <row r="316">
      <c r="A316" s="110">
        <f>"PN27-"&amp;TEXT(ROW()-6,"000")</f>
        <v/>
      </c>
      <c r="B316" s="111" t="n"/>
      <c r="C316" s="110">
        <f>IF(B316="","",IFERROR(INDEX('Catalogos_PDN'!$R$5:$R$51,MATCH(B316,PN_AREAS,0)),""))</f>
        <v/>
      </c>
      <c r="D316" s="110">
        <f>IF(B316="","",IFERROR(INDEX('Catalogos_PDN'!$O$5:$O$51,MATCH(B316,PN_AREAS,0)),""))</f>
        <v/>
      </c>
      <c r="E316" s="111" t="n"/>
      <c r="F316" s="110">
        <f>IF(E316="","",IFERROR(INDEX('Catalogos_PDN'!$C$5:$C$49,MATCH(E316,PN_METAS,0)),""))</f>
        <v/>
      </c>
      <c r="G316" s="110">
        <f>IF(E316="","",IFERROR(INDEX('Catalogos_PDN'!$E$5:$E$49,MATCH(E316,PN_METAS,0)),""))</f>
        <v/>
      </c>
      <c r="H316" s="111" t="n"/>
      <c r="I316" s="111" t="n"/>
      <c r="J316" s="111" t="n"/>
      <c r="K316" s="111" t="n"/>
      <c r="L316" s="111" t="n"/>
      <c r="M316" s="112" t="n"/>
      <c r="N316" s="111" t="n"/>
      <c r="O316" s="111" t="n"/>
      <c r="P316" s="111" t="n"/>
      <c r="Q316" s="111" t="n"/>
      <c r="R316" s="111" t="n"/>
      <c r="S316" s="111" t="n"/>
      <c r="T316" s="111" t="n"/>
      <c r="U316" s="111" t="n"/>
      <c r="V316" s="111" t="n"/>
      <c r="W316" s="113" t="n"/>
      <c r="X316" s="113" t="n"/>
      <c r="Y316" s="111" t="n"/>
      <c r="Z316" s="111" t="n"/>
      <c r="AA316" s="111" t="n"/>
      <c r="AB316" s="111" t="n"/>
      <c r="AC316" s="111" t="n"/>
      <c r="AD316" s="111" t="n"/>
      <c r="AE316" s="111" t="n"/>
      <c r="AF316" s="111" t="n"/>
      <c r="AG316" s="111" t="n"/>
      <c r="AH316" s="111" t="n"/>
      <c r="AI316" s="111" t="n"/>
      <c r="AJ316" s="114">
        <f>IF(COUNTA(B316,E316,H316,I316,J316,K316,L316,M316,N316,O316,P316,Q316,R316,S316,T316,U316,V316,W316,X316,Y316,Z316,AA316,AB316,AC316,AD316,AE316,AF316,AG316,AH316,AI316)=0,"",IF(OR(B316="",E316="",H316="",J316="",K316="",L316="",M316="",O316="",P316="",Q316="",R316="",S316="",T316="",U316="",W316="",X316="",Y316="",AB316="",AC316="",AE316="",AF316=""),"Incompleta: faltan campos obligatorios",IF(AND(LEFT(H316,6)="PROPIA",I316=""),"Falta el nombre de la acción propia del área",IF(AND(LEFT(H316,4)="AC27",IFERROR(INDEX('Catalogos_PDN'!$T$5:$T$207,MATCH(H316,'Catalogos_PDN'!$U$5:$U$207,0)),"x")&lt;&gt;LEFT(E316,7)),"La acción no corresponde a la meta seleccionada",IF(OR(NOT(ISNUMBER(M316)),M316&lt;10000000,M316&gt;99999999),"Código UNSPSC inválido: registre 8 dígitos",IF(MOD(M316,10000)=0,"UNSPSC a nivel de segmento o familia: use clase o producto",IF(IFERROR(MATCH(P316,PN_MESES,0)&lt;MATCH(O316,PN_MESES,0),TRUE()),"El mes de ofertas es anterior al de inicio del proceso",IF(OR(NOT(ISNUMBER(Q316)),Q316&lt;=0),"Duración inválida",IF(OR(NOT(ISNUMBER(W316)),NOT(ISNUMBER(X316))),"Valor inválido: registre solo números",IF(OR(W316&lt;=0,X316&lt;=0),"Valor inválido: debe ser mayor que cero",IF(X316&gt;W316,"El valor de la vigencia 2027 supera el valor total",IF(AND(X316&lt;W316,Y316="No"),"El valor total supera el de 2027: requiere vigencias futuras",IF(AND(Y316="Sí",OR(Z316="",Z316="No aplica")),"Indique el estado de la solicitud de vigencias futuras",IF(IF(AND(S316="Mínima cuantía",ISNUMBER(PN_TOPE_MINIMA)),W316&gt;PN_TOPE_MINIMA,FALSE()),"El valor supera el tope de mínima cuantía 2027",IF(IF(AND(S316="Selección abreviada de menor cuantía",ISNUMBER(PN_TOPE_MENOR)),W316&gt;PN_TOPE_MENOR,FALSE()),"El valor supera el tope de menor cuantía 2027",IF(OR(ISERROR(SEARCH("@itc.edu.co",AE316)),SUMPRODUCT(--ISNUMBER(SEARCH({"á","é","í","ó","ú","ñ"," "},AE316)))&gt;0),"El correo del responsable no es institucional válido",IF(AND(AF316="Sí",AG316=""),"Indique el N.° de registro 2026 que continúa","OK")))))))))))))))))</f>
        <v/>
      </c>
      <c r="AK316" s="114">
        <f>IF(AJ316="OK",COUNTIF($AJ$7:AJ316,"OK"),"")</f>
        <v/>
      </c>
    </row>
    <row r="317">
      <c r="A317" s="110">
        <f>"PN27-"&amp;TEXT(ROW()-6,"000")</f>
        <v/>
      </c>
      <c r="B317" s="111" t="n"/>
      <c r="C317" s="110">
        <f>IF(B317="","",IFERROR(INDEX('Catalogos_PDN'!$R$5:$R$51,MATCH(B317,PN_AREAS,0)),""))</f>
        <v/>
      </c>
      <c r="D317" s="110">
        <f>IF(B317="","",IFERROR(INDEX('Catalogos_PDN'!$O$5:$O$51,MATCH(B317,PN_AREAS,0)),""))</f>
        <v/>
      </c>
      <c r="E317" s="111" t="n"/>
      <c r="F317" s="110">
        <f>IF(E317="","",IFERROR(INDEX('Catalogos_PDN'!$C$5:$C$49,MATCH(E317,PN_METAS,0)),""))</f>
        <v/>
      </c>
      <c r="G317" s="110">
        <f>IF(E317="","",IFERROR(INDEX('Catalogos_PDN'!$E$5:$E$49,MATCH(E317,PN_METAS,0)),""))</f>
        <v/>
      </c>
      <c r="H317" s="111" t="n"/>
      <c r="I317" s="111" t="n"/>
      <c r="J317" s="111" t="n"/>
      <c r="K317" s="111" t="n"/>
      <c r="L317" s="111" t="n"/>
      <c r="M317" s="112" t="n"/>
      <c r="N317" s="111" t="n"/>
      <c r="O317" s="111" t="n"/>
      <c r="P317" s="111" t="n"/>
      <c r="Q317" s="111" t="n"/>
      <c r="R317" s="111" t="n"/>
      <c r="S317" s="111" t="n"/>
      <c r="T317" s="111" t="n"/>
      <c r="U317" s="111" t="n"/>
      <c r="V317" s="111" t="n"/>
      <c r="W317" s="113" t="n"/>
      <c r="X317" s="113" t="n"/>
      <c r="Y317" s="111" t="n"/>
      <c r="Z317" s="111" t="n"/>
      <c r="AA317" s="111" t="n"/>
      <c r="AB317" s="111" t="n"/>
      <c r="AC317" s="111" t="n"/>
      <c r="AD317" s="111" t="n"/>
      <c r="AE317" s="111" t="n"/>
      <c r="AF317" s="111" t="n"/>
      <c r="AG317" s="111" t="n"/>
      <c r="AH317" s="111" t="n"/>
      <c r="AI317" s="111" t="n"/>
      <c r="AJ317" s="114">
        <f>IF(COUNTA(B317,E317,H317,I317,J317,K317,L317,M317,N317,O317,P317,Q317,R317,S317,T317,U317,V317,W317,X317,Y317,Z317,AA317,AB317,AC317,AD317,AE317,AF317,AG317,AH317,AI317)=0,"",IF(OR(B317="",E317="",H317="",J317="",K317="",L317="",M317="",O317="",P317="",Q317="",R317="",S317="",T317="",U317="",W317="",X317="",Y317="",AB317="",AC317="",AE317="",AF317=""),"Incompleta: faltan campos obligatorios",IF(AND(LEFT(H317,6)="PROPIA",I317=""),"Falta el nombre de la acción propia del área",IF(AND(LEFT(H317,4)="AC27",IFERROR(INDEX('Catalogos_PDN'!$T$5:$T$207,MATCH(H317,'Catalogos_PDN'!$U$5:$U$207,0)),"x")&lt;&gt;LEFT(E317,7)),"La acción no corresponde a la meta seleccionada",IF(OR(NOT(ISNUMBER(M317)),M317&lt;10000000,M317&gt;99999999),"Código UNSPSC inválido: registre 8 dígitos",IF(MOD(M317,10000)=0,"UNSPSC a nivel de segmento o familia: use clase o producto",IF(IFERROR(MATCH(P317,PN_MESES,0)&lt;MATCH(O317,PN_MESES,0),TRUE()),"El mes de ofertas es anterior al de inicio del proceso",IF(OR(NOT(ISNUMBER(Q317)),Q317&lt;=0),"Duración inválida",IF(OR(NOT(ISNUMBER(W317)),NOT(ISNUMBER(X317))),"Valor inválido: registre solo números",IF(OR(W317&lt;=0,X317&lt;=0),"Valor inválido: debe ser mayor que cero",IF(X317&gt;W317,"El valor de la vigencia 2027 supera el valor total",IF(AND(X317&lt;W317,Y317="No"),"El valor total supera el de 2027: requiere vigencias futuras",IF(AND(Y317="Sí",OR(Z317="",Z317="No aplica")),"Indique el estado de la solicitud de vigencias futuras",IF(IF(AND(S317="Mínima cuantía",ISNUMBER(PN_TOPE_MINIMA)),W317&gt;PN_TOPE_MINIMA,FALSE()),"El valor supera el tope de mínima cuantía 2027",IF(IF(AND(S317="Selección abreviada de menor cuantía",ISNUMBER(PN_TOPE_MENOR)),W317&gt;PN_TOPE_MENOR,FALSE()),"El valor supera el tope de menor cuantía 2027",IF(OR(ISERROR(SEARCH("@itc.edu.co",AE317)),SUMPRODUCT(--ISNUMBER(SEARCH({"á","é","í","ó","ú","ñ"," "},AE317)))&gt;0),"El correo del responsable no es institucional válido",IF(AND(AF317="Sí",AG317=""),"Indique el N.° de registro 2026 que continúa","OK")))))))))))))))))</f>
        <v/>
      </c>
      <c r="AK317" s="114">
        <f>IF(AJ317="OK",COUNTIF($AJ$7:AJ317,"OK"),"")</f>
        <v/>
      </c>
    </row>
    <row r="318">
      <c r="A318" s="110">
        <f>"PN27-"&amp;TEXT(ROW()-6,"000")</f>
        <v/>
      </c>
      <c r="B318" s="111" t="n"/>
      <c r="C318" s="110">
        <f>IF(B318="","",IFERROR(INDEX('Catalogos_PDN'!$R$5:$R$51,MATCH(B318,PN_AREAS,0)),""))</f>
        <v/>
      </c>
      <c r="D318" s="110">
        <f>IF(B318="","",IFERROR(INDEX('Catalogos_PDN'!$O$5:$O$51,MATCH(B318,PN_AREAS,0)),""))</f>
        <v/>
      </c>
      <c r="E318" s="111" t="n"/>
      <c r="F318" s="110">
        <f>IF(E318="","",IFERROR(INDEX('Catalogos_PDN'!$C$5:$C$49,MATCH(E318,PN_METAS,0)),""))</f>
        <v/>
      </c>
      <c r="G318" s="110">
        <f>IF(E318="","",IFERROR(INDEX('Catalogos_PDN'!$E$5:$E$49,MATCH(E318,PN_METAS,0)),""))</f>
        <v/>
      </c>
      <c r="H318" s="111" t="n"/>
      <c r="I318" s="111" t="n"/>
      <c r="J318" s="111" t="n"/>
      <c r="K318" s="111" t="n"/>
      <c r="L318" s="111" t="n"/>
      <c r="M318" s="112" t="n"/>
      <c r="N318" s="111" t="n"/>
      <c r="O318" s="111" t="n"/>
      <c r="P318" s="111" t="n"/>
      <c r="Q318" s="111" t="n"/>
      <c r="R318" s="111" t="n"/>
      <c r="S318" s="111" t="n"/>
      <c r="T318" s="111" t="n"/>
      <c r="U318" s="111" t="n"/>
      <c r="V318" s="111" t="n"/>
      <c r="W318" s="113" t="n"/>
      <c r="X318" s="113" t="n"/>
      <c r="Y318" s="111" t="n"/>
      <c r="Z318" s="111" t="n"/>
      <c r="AA318" s="111" t="n"/>
      <c r="AB318" s="111" t="n"/>
      <c r="AC318" s="111" t="n"/>
      <c r="AD318" s="111" t="n"/>
      <c r="AE318" s="111" t="n"/>
      <c r="AF318" s="111" t="n"/>
      <c r="AG318" s="111" t="n"/>
      <c r="AH318" s="111" t="n"/>
      <c r="AI318" s="111" t="n"/>
      <c r="AJ318" s="114">
        <f>IF(COUNTA(B318,E318,H318,I318,J318,K318,L318,M318,N318,O318,P318,Q318,R318,S318,T318,U318,V318,W318,X318,Y318,Z318,AA318,AB318,AC318,AD318,AE318,AF318,AG318,AH318,AI318)=0,"",IF(OR(B318="",E318="",H318="",J318="",K318="",L318="",M318="",O318="",P318="",Q318="",R318="",S318="",T318="",U318="",W318="",X318="",Y318="",AB318="",AC318="",AE318="",AF318=""),"Incompleta: faltan campos obligatorios",IF(AND(LEFT(H318,6)="PROPIA",I318=""),"Falta el nombre de la acción propia del área",IF(AND(LEFT(H318,4)="AC27",IFERROR(INDEX('Catalogos_PDN'!$T$5:$T$207,MATCH(H318,'Catalogos_PDN'!$U$5:$U$207,0)),"x")&lt;&gt;LEFT(E318,7)),"La acción no corresponde a la meta seleccionada",IF(OR(NOT(ISNUMBER(M318)),M318&lt;10000000,M318&gt;99999999),"Código UNSPSC inválido: registre 8 dígitos",IF(MOD(M318,10000)=0,"UNSPSC a nivel de segmento o familia: use clase o producto",IF(IFERROR(MATCH(P318,PN_MESES,0)&lt;MATCH(O318,PN_MESES,0),TRUE()),"El mes de ofertas es anterior al de inicio del proceso",IF(OR(NOT(ISNUMBER(Q318)),Q318&lt;=0),"Duración inválida",IF(OR(NOT(ISNUMBER(W318)),NOT(ISNUMBER(X318))),"Valor inválido: registre solo números",IF(OR(W318&lt;=0,X318&lt;=0),"Valor inválido: debe ser mayor que cero",IF(X318&gt;W318,"El valor de la vigencia 2027 supera el valor total",IF(AND(X318&lt;W318,Y318="No"),"El valor total supera el de 2027: requiere vigencias futuras",IF(AND(Y318="Sí",OR(Z318="",Z318="No aplica")),"Indique el estado de la solicitud de vigencias futuras",IF(IF(AND(S318="Mínima cuantía",ISNUMBER(PN_TOPE_MINIMA)),W318&gt;PN_TOPE_MINIMA,FALSE()),"El valor supera el tope de mínima cuantía 2027",IF(IF(AND(S318="Selección abreviada de menor cuantía",ISNUMBER(PN_TOPE_MENOR)),W318&gt;PN_TOPE_MENOR,FALSE()),"El valor supera el tope de menor cuantía 2027",IF(OR(ISERROR(SEARCH("@itc.edu.co",AE318)),SUMPRODUCT(--ISNUMBER(SEARCH({"á","é","í","ó","ú","ñ"," "},AE318)))&gt;0),"El correo del responsable no es institucional válido",IF(AND(AF318="Sí",AG318=""),"Indique el N.° de registro 2026 que continúa","OK")))))))))))))))))</f>
        <v/>
      </c>
      <c r="AK318" s="114">
        <f>IF(AJ318="OK",COUNTIF($AJ$7:AJ318,"OK"),"")</f>
        <v/>
      </c>
    </row>
    <row r="319">
      <c r="A319" s="110">
        <f>"PN27-"&amp;TEXT(ROW()-6,"000")</f>
        <v/>
      </c>
      <c r="B319" s="111" t="n"/>
      <c r="C319" s="110">
        <f>IF(B319="","",IFERROR(INDEX('Catalogos_PDN'!$R$5:$R$51,MATCH(B319,PN_AREAS,0)),""))</f>
        <v/>
      </c>
      <c r="D319" s="110">
        <f>IF(B319="","",IFERROR(INDEX('Catalogos_PDN'!$O$5:$O$51,MATCH(B319,PN_AREAS,0)),""))</f>
        <v/>
      </c>
      <c r="E319" s="111" t="n"/>
      <c r="F319" s="110">
        <f>IF(E319="","",IFERROR(INDEX('Catalogos_PDN'!$C$5:$C$49,MATCH(E319,PN_METAS,0)),""))</f>
        <v/>
      </c>
      <c r="G319" s="110">
        <f>IF(E319="","",IFERROR(INDEX('Catalogos_PDN'!$E$5:$E$49,MATCH(E319,PN_METAS,0)),""))</f>
        <v/>
      </c>
      <c r="H319" s="111" t="n"/>
      <c r="I319" s="111" t="n"/>
      <c r="J319" s="111" t="n"/>
      <c r="K319" s="111" t="n"/>
      <c r="L319" s="111" t="n"/>
      <c r="M319" s="112" t="n"/>
      <c r="N319" s="111" t="n"/>
      <c r="O319" s="111" t="n"/>
      <c r="P319" s="111" t="n"/>
      <c r="Q319" s="111" t="n"/>
      <c r="R319" s="111" t="n"/>
      <c r="S319" s="111" t="n"/>
      <c r="T319" s="111" t="n"/>
      <c r="U319" s="111" t="n"/>
      <c r="V319" s="111" t="n"/>
      <c r="W319" s="113" t="n"/>
      <c r="X319" s="113" t="n"/>
      <c r="Y319" s="111" t="n"/>
      <c r="Z319" s="111" t="n"/>
      <c r="AA319" s="111" t="n"/>
      <c r="AB319" s="111" t="n"/>
      <c r="AC319" s="111" t="n"/>
      <c r="AD319" s="111" t="n"/>
      <c r="AE319" s="111" t="n"/>
      <c r="AF319" s="111" t="n"/>
      <c r="AG319" s="111" t="n"/>
      <c r="AH319" s="111" t="n"/>
      <c r="AI319" s="111" t="n"/>
      <c r="AJ319" s="114">
        <f>IF(COUNTA(B319,E319,H319,I319,J319,K319,L319,M319,N319,O319,P319,Q319,R319,S319,T319,U319,V319,W319,X319,Y319,Z319,AA319,AB319,AC319,AD319,AE319,AF319,AG319,AH319,AI319)=0,"",IF(OR(B319="",E319="",H319="",J319="",K319="",L319="",M319="",O319="",P319="",Q319="",R319="",S319="",T319="",U319="",W319="",X319="",Y319="",AB319="",AC319="",AE319="",AF319=""),"Incompleta: faltan campos obligatorios",IF(AND(LEFT(H319,6)="PROPIA",I319=""),"Falta el nombre de la acción propia del área",IF(AND(LEFT(H319,4)="AC27",IFERROR(INDEX('Catalogos_PDN'!$T$5:$T$207,MATCH(H319,'Catalogos_PDN'!$U$5:$U$207,0)),"x")&lt;&gt;LEFT(E319,7)),"La acción no corresponde a la meta seleccionada",IF(OR(NOT(ISNUMBER(M319)),M319&lt;10000000,M319&gt;99999999),"Código UNSPSC inválido: registre 8 dígitos",IF(MOD(M319,10000)=0,"UNSPSC a nivel de segmento o familia: use clase o producto",IF(IFERROR(MATCH(P319,PN_MESES,0)&lt;MATCH(O319,PN_MESES,0),TRUE()),"El mes de ofertas es anterior al de inicio del proceso",IF(OR(NOT(ISNUMBER(Q319)),Q319&lt;=0),"Duración inválida",IF(OR(NOT(ISNUMBER(W319)),NOT(ISNUMBER(X319))),"Valor inválido: registre solo números",IF(OR(W319&lt;=0,X319&lt;=0),"Valor inválido: debe ser mayor que cero",IF(X319&gt;W319,"El valor de la vigencia 2027 supera el valor total",IF(AND(X319&lt;W319,Y319="No"),"El valor total supera el de 2027: requiere vigencias futuras",IF(AND(Y319="Sí",OR(Z319="",Z319="No aplica")),"Indique el estado de la solicitud de vigencias futuras",IF(IF(AND(S319="Mínima cuantía",ISNUMBER(PN_TOPE_MINIMA)),W319&gt;PN_TOPE_MINIMA,FALSE()),"El valor supera el tope de mínima cuantía 2027",IF(IF(AND(S319="Selección abreviada de menor cuantía",ISNUMBER(PN_TOPE_MENOR)),W319&gt;PN_TOPE_MENOR,FALSE()),"El valor supera el tope de menor cuantía 2027",IF(OR(ISERROR(SEARCH("@itc.edu.co",AE319)),SUMPRODUCT(--ISNUMBER(SEARCH({"á","é","í","ó","ú","ñ"," "},AE319)))&gt;0),"El correo del responsable no es institucional válido",IF(AND(AF319="Sí",AG319=""),"Indique el N.° de registro 2026 que continúa","OK")))))))))))))))))</f>
        <v/>
      </c>
      <c r="AK319" s="114">
        <f>IF(AJ319="OK",COUNTIF($AJ$7:AJ319,"OK"),"")</f>
        <v/>
      </c>
    </row>
    <row r="320">
      <c r="A320" s="110">
        <f>"PN27-"&amp;TEXT(ROW()-6,"000")</f>
        <v/>
      </c>
      <c r="B320" s="111" t="n"/>
      <c r="C320" s="110">
        <f>IF(B320="","",IFERROR(INDEX('Catalogos_PDN'!$R$5:$R$51,MATCH(B320,PN_AREAS,0)),""))</f>
        <v/>
      </c>
      <c r="D320" s="110">
        <f>IF(B320="","",IFERROR(INDEX('Catalogos_PDN'!$O$5:$O$51,MATCH(B320,PN_AREAS,0)),""))</f>
        <v/>
      </c>
      <c r="E320" s="111" t="n"/>
      <c r="F320" s="110">
        <f>IF(E320="","",IFERROR(INDEX('Catalogos_PDN'!$C$5:$C$49,MATCH(E320,PN_METAS,0)),""))</f>
        <v/>
      </c>
      <c r="G320" s="110">
        <f>IF(E320="","",IFERROR(INDEX('Catalogos_PDN'!$E$5:$E$49,MATCH(E320,PN_METAS,0)),""))</f>
        <v/>
      </c>
      <c r="H320" s="111" t="n"/>
      <c r="I320" s="111" t="n"/>
      <c r="J320" s="111" t="n"/>
      <c r="K320" s="111" t="n"/>
      <c r="L320" s="111" t="n"/>
      <c r="M320" s="112" t="n"/>
      <c r="N320" s="111" t="n"/>
      <c r="O320" s="111" t="n"/>
      <c r="P320" s="111" t="n"/>
      <c r="Q320" s="111" t="n"/>
      <c r="R320" s="111" t="n"/>
      <c r="S320" s="111" t="n"/>
      <c r="T320" s="111" t="n"/>
      <c r="U320" s="111" t="n"/>
      <c r="V320" s="111" t="n"/>
      <c r="W320" s="113" t="n"/>
      <c r="X320" s="113" t="n"/>
      <c r="Y320" s="111" t="n"/>
      <c r="Z320" s="111" t="n"/>
      <c r="AA320" s="111" t="n"/>
      <c r="AB320" s="111" t="n"/>
      <c r="AC320" s="111" t="n"/>
      <c r="AD320" s="111" t="n"/>
      <c r="AE320" s="111" t="n"/>
      <c r="AF320" s="111" t="n"/>
      <c r="AG320" s="111" t="n"/>
      <c r="AH320" s="111" t="n"/>
      <c r="AI320" s="111" t="n"/>
      <c r="AJ320" s="114">
        <f>IF(COUNTA(B320,E320,H320,I320,J320,K320,L320,M320,N320,O320,P320,Q320,R320,S320,T320,U320,V320,W320,X320,Y320,Z320,AA320,AB320,AC320,AD320,AE320,AF320,AG320,AH320,AI320)=0,"",IF(OR(B320="",E320="",H320="",J320="",K320="",L320="",M320="",O320="",P320="",Q320="",R320="",S320="",T320="",U320="",W320="",X320="",Y320="",AB320="",AC320="",AE320="",AF320=""),"Incompleta: faltan campos obligatorios",IF(AND(LEFT(H320,6)="PROPIA",I320=""),"Falta el nombre de la acción propia del área",IF(AND(LEFT(H320,4)="AC27",IFERROR(INDEX('Catalogos_PDN'!$T$5:$T$207,MATCH(H320,'Catalogos_PDN'!$U$5:$U$207,0)),"x")&lt;&gt;LEFT(E320,7)),"La acción no corresponde a la meta seleccionada",IF(OR(NOT(ISNUMBER(M320)),M320&lt;10000000,M320&gt;99999999),"Código UNSPSC inválido: registre 8 dígitos",IF(MOD(M320,10000)=0,"UNSPSC a nivel de segmento o familia: use clase o producto",IF(IFERROR(MATCH(P320,PN_MESES,0)&lt;MATCH(O320,PN_MESES,0),TRUE()),"El mes de ofertas es anterior al de inicio del proceso",IF(OR(NOT(ISNUMBER(Q320)),Q320&lt;=0),"Duración inválida",IF(OR(NOT(ISNUMBER(W320)),NOT(ISNUMBER(X320))),"Valor inválido: registre solo números",IF(OR(W320&lt;=0,X320&lt;=0),"Valor inválido: debe ser mayor que cero",IF(X320&gt;W320,"El valor de la vigencia 2027 supera el valor total",IF(AND(X320&lt;W320,Y320="No"),"El valor total supera el de 2027: requiere vigencias futuras",IF(AND(Y320="Sí",OR(Z320="",Z320="No aplica")),"Indique el estado de la solicitud de vigencias futuras",IF(IF(AND(S320="Mínima cuantía",ISNUMBER(PN_TOPE_MINIMA)),W320&gt;PN_TOPE_MINIMA,FALSE()),"El valor supera el tope de mínima cuantía 2027",IF(IF(AND(S320="Selección abreviada de menor cuantía",ISNUMBER(PN_TOPE_MENOR)),W320&gt;PN_TOPE_MENOR,FALSE()),"El valor supera el tope de menor cuantía 2027",IF(OR(ISERROR(SEARCH("@itc.edu.co",AE320)),SUMPRODUCT(--ISNUMBER(SEARCH({"á","é","í","ó","ú","ñ"," "},AE320)))&gt;0),"El correo del responsable no es institucional válido",IF(AND(AF320="Sí",AG320=""),"Indique el N.° de registro 2026 que continúa","OK")))))))))))))))))</f>
        <v/>
      </c>
      <c r="AK320" s="114">
        <f>IF(AJ320="OK",COUNTIF($AJ$7:AJ320,"OK"),"")</f>
        <v/>
      </c>
    </row>
    <row r="321">
      <c r="A321" s="110">
        <f>"PN27-"&amp;TEXT(ROW()-6,"000")</f>
        <v/>
      </c>
      <c r="B321" s="111" t="n"/>
      <c r="C321" s="110">
        <f>IF(B321="","",IFERROR(INDEX('Catalogos_PDN'!$R$5:$R$51,MATCH(B321,PN_AREAS,0)),""))</f>
        <v/>
      </c>
      <c r="D321" s="110">
        <f>IF(B321="","",IFERROR(INDEX('Catalogos_PDN'!$O$5:$O$51,MATCH(B321,PN_AREAS,0)),""))</f>
        <v/>
      </c>
      <c r="E321" s="111" t="n"/>
      <c r="F321" s="110">
        <f>IF(E321="","",IFERROR(INDEX('Catalogos_PDN'!$C$5:$C$49,MATCH(E321,PN_METAS,0)),""))</f>
        <v/>
      </c>
      <c r="G321" s="110">
        <f>IF(E321="","",IFERROR(INDEX('Catalogos_PDN'!$E$5:$E$49,MATCH(E321,PN_METAS,0)),""))</f>
        <v/>
      </c>
      <c r="H321" s="111" t="n"/>
      <c r="I321" s="111" t="n"/>
      <c r="J321" s="111" t="n"/>
      <c r="K321" s="111" t="n"/>
      <c r="L321" s="111" t="n"/>
      <c r="M321" s="112" t="n"/>
      <c r="N321" s="111" t="n"/>
      <c r="O321" s="111" t="n"/>
      <c r="P321" s="111" t="n"/>
      <c r="Q321" s="111" t="n"/>
      <c r="R321" s="111" t="n"/>
      <c r="S321" s="111" t="n"/>
      <c r="T321" s="111" t="n"/>
      <c r="U321" s="111" t="n"/>
      <c r="V321" s="111" t="n"/>
      <c r="W321" s="113" t="n"/>
      <c r="X321" s="113" t="n"/>
      <c r="Y321" s="111" t="n"/>
      <c r="Z321" s="111" t="n"/>
      <c r="AA321" s="111" t="n"/>
      <c r="AB321" s="111" t="n"/>
      <c r="AC321" s="111" t="n"/>
      <c r="AD321" s="111" t="n"/>
      <c r="AE321" s="111" t="n"/>
      <c r="AF321" s="111" t="n"/>
      <c r="AG321" s="111" t="n"/>
      <c r="AH321" s="111" t="n"/>
      <c r="AI321" s="111" t="n"/>
      <c r="AJ321" s="114">
        <f>IF(COUNTA(B321,E321,H321,I321,J321,K321,L321,M321,N321,O321,P321,Q321,R321,S321,T321,U321,V321,W321,X321,Y321,Z321,AA321,AB321,AC321,AD321,AE321,AF321,AG321,AH321,AI321)=0,"",IF(OR(B321="",E321="",H321="",J321="",K321="",L321="",M321="",O321="",P321="",Q321="",R321="",S321="",T321="",U321="",W321="",X321="",Y321="",AB321="",AC321="",AE321="",AF321=""),"Incompleta: faltan campos obligatorios",IF(AND(LEFT(H321,6)="PROPIA",I321=""),"Falta el nombre de la acción propia del área",IF(AND(LEFT(H321,4)="AC27",IFERROR(INDEX('Catalogos_PDN'!$T$5:$T$207,MATCH(H321,'Catalogos_PDN'!$U$5:$U$207,0)),"x")&lt;&gt;LEFT(E321,7)),"La acción no corresponde a la meta seleccionada",IF(OR(NOT(ISNUMBER(M321)),M321&lt;10000000,M321&gt;99999999),"Código UNSPSC inválido: registre 8 dígitos",IF(MOD(M321,10000)=0,"UNSPSC a nivel de segmento o familia: use clase o producto",IF(IFERROR(MATCH(P321,PN_MESES,0)&lt;MATCH(O321,PN_MESES,0),TRUE()),"El mes de ofertas es anterior al de inicio del proceso",IF(OR(NOT(ISNUMBER(Q321)),Q321&lt;=0),"Duración inválida",IF(OR(NOT(ISNUMBER(W321)),NOT(ISNUMBER(X321))),"Valor inválido: registre solo números",IF(OR(W321&lt;=0,X321&lt;=0),"Valor inválido: debe ser mayor que cero",IF(X321&gt;W321,"El valor de la vigencia 2027 supera el valor total",IF(AND(X321&lt;W321,Y321="No"),"El valor total supera el de 2027: requiere vigencias futuras",IF(AND(Y321="Sí",OR(Z321="",Z321="No aplica")),"Indique el estado de la solicitud de vigencias futuras",IF(IF(AND(S321="Mínima cuantía",ISNUMBER(PN_TOPE_MINIMA)),W321&gt;PN_TOPE_MINIMA,FALSE()),"El valor supera el tope de mínima cuantía 2027",IF(IF(AND(S321="Selección abreviada de menor cuantía",ISNUMBER(PN_TOPE_MENOR)),W321&gt;PN_TOPE_MENOR,FALSE()),"El valor supera el tope de menor cuantía 2027",IF(OR(ISERROR(SEARCH("@itc.edu.co",AE321)),SUMPRODUCT(--ISNUMBER(SEARCH({"á","é","í","ó","ú","ñ"," "},AE321)))&gt;0),"El correo del responsable no es institucional válido",IF(AND(AF321="Sí",AG321=""),"Indique el N.° de registro 2026 que continúa","OK")))))))))))))))))</f>
        <v/>
      </c>
      <c r="AK321" s="114">
        <f>IF(AJ321="OK",COUNTIF($AJ$7:AJ321,"OK"),"")</f>
        <v/>
      </c>
    </row>
    <row r="322">
      <c r="A322" s="110">
        <f>"PN27-"&amp;TEXT(ROW()-6,"000")</f>
        <v/>
      </c>
      <c r="B322" s="111" t="n"/>
      <c r="C322" s="110">
        <f>IF(B322="","",IFERROR(INDEX('Catalogos_PDN'!$R$5:$R$51,MATCH(B322,PN_AREAS,0)),""))</f>
        <v/>
      </c>
      <c r="D322" s="110">
        <f>IF(B322="","",IFERROR(INDEX('Catalogos_PDN'!$O$5:$O$51,MATCH(B322,PN_AREAS,0)),""))</f>
        <v/>
      </c>
      <c r="E322" s="111" t="n"/>
      <c r="F322" s="110">
        <f>IF(E322="","",IFERROR(INDEX('Catalogos_PDN'!$C$5:$C$49,MATCH(E322,PN_METAS,0)),""))</f>
        <v/>
      </c>
      <c r="G322" s="110">
        <f>IF(E322="","",IFERROR(INDEX('Catalogos_PDN'!$E$5:$E$49,MATCH(E322,PN_METAS,0)),""))</f>
        <v/>
      </c>
      <c r="H322" s="111" t="n"/>
      <c r="I322" s="111" t="n"/>
      <c r="J322" s="111" t="n"/>
      <c r="K322" s="111" t="n"/>
      <c r="L322" s="111" t="n"/>
      <c r="M322" s="112" t="n"/>
      <c r="N322" s="111" t="n"/>
      <c r="O322" s="111" t="n"/>
      <c r="P322" s="111" t="n"/>
      <c r="Q322" s="111" t="n"/>
      <c r="R322" s="111" t="n"/>
      <c r="S322" s="111" t="n"/>
      <c r="T322" s="111" t="n"/>
      <c r="U322" s="111" t="n"/>
      <c r="V322" s="111" t="n"/>
      <c r="W322" s="113" t="n"/>
      <c r="X322" s="113" t="n"/>
      <c r="Y322" s="111" t="n"/>
      <c r="Z322" s="111" t="n"/>
      <c r="AA322" s="111" t="n"/>
      <c r="AB322" s="111" t="n"/>
      <c r="AC322" s="111" t="n"/>
      <c r="AD322" s="111" t="n"/>
      <c r="AE322" s="111" t="n"/>
      <c r="AF322" s="111" t="n"/>
      <c r="AG322" s="111" t="n"/>
      <c r="AH322" s="111" t="n"/>
      <c r="AI322" s="111" t="n"/>
      <c r="AJ322" s="114">
        <f>IF(COUNTA(B322,E322,H322,I322,J322,K322,L322,M322,N322,O322,P322,Q322,R322,S322,T322,U322,V322,W322,X322,Y322,Z322,AA322,AB322,AC322,AD322,AE322,AF322,AG322,AH322,AI322)=0,"",IF(OR(B322="",E322="",H322="",J322="",K322="",L322="",M322="",O322="",P322="",Q322="",R322="",S322="",T322="",U322="",W322="",X322="",Y322="",AB322="",AC322="",AE322="",AF322=""),"Incompleta: faltan campos obligatorios",IF(AND(LEFT(H322,6)="PROPIA",I322=""),"Falta el nombre de la acción propia del área",IF(AND(LEFT(H322,4)="AC27",IFERROR(INDEX('Catalogos_PDN'!$T$5:$T$207,MATCH(H322,'Catalogos_PDN'!$U$5:$U$207,0)),"x")&lt;&gt;LEFT(E322,7)),"La acción no corresponde a la meta seleccionada",IF(OR(NOT(ISNUMBER(M322)),M322&lt;10000000,M322&gt;99999999),"Código UNSPSC inválido: registre 8 dígitos",IF(MOD(M322,10000)=0,"UNSPSC a nivel de segmento o familia: use clase o producto",IF(IFERROR(MATCH(P322,PN_MESES,0)&lt;MATCH(O322,PN_MESES,0),TRUE()),"El mes de ofertas es anterior al de inicio del proceso",IF(OR(NOT(ISNUMBER(Q322)),Q322&lt;=0),"Duración inválida",IF(OR(NOT(ISNUMBER(W322)),NOT(ISNUMBER(X322))),"Valor inválido: registre solo números",IF(OR(W322&lt;=0,X322&lt;=0),"Valor inválido: debe ser mayor que cero",IF(X322&gt;W322,"El valor de la vigencia 2027 supera el valor total",IF(AND(X322&lt;W322,Y322="No"),"El valor total supera el de 2027: requiere vigencias futuras",IF(AND(Y322="Sí",OR(Z322="",Z322="No aplica")),"Indique el estado de la solicitud de vigencias futuras",IF(IF(AND(S322="Mínima cuantía",ISNUMBER(PN_TOPE_MINIMA)),W322&gt;PN_TOPE_MINIMA,FALSE()),"El valor supera el tope de mínima cuantía 2027",IF(IF(AND(S322="Selección abreviada de menor cuantía",ISNUMBER(PN_TOPE_MENOR)),W322&gt;PN_TOPE_MENOR,FALSE()),"El valor supera el tope de menor cuantía 2027",IF(OR(ISERROR(SEARCH("@itc.edu.co",AE322)),SUMPRODUCT(--ISNUMBER(SEARCH({"á","é","í","ó","ú","ñ"," "},AE322)))&gt;0),"El correo del responsable no es institucional válido",IF(AND(AF322="Sí",AG322=""),"Indique el N.° de registro 2026 que continúa","OK")))))))))))))))))</f>
        <v/>
      </c>
      <c r="AK322" s="114">
        <f>IF(AJ322="OK",COUNTIF($AJ$7:AJ322,"OK"),"")</f>
        <v/>
      </c>
    </row>
    <row r="323">
      <c r="A323" s="110">
        <f>"PN27-"&amp;TEXT(ROW()-6,"000")</f>
        <v/>
      </c>
      <c r="B323" s="111" t="n"/>
      <c r="C323" s="110">
        <f>IF(B323="","",IFERROR(INDEX('Catalogos_PDN'!$R$5:$R$51,MATCH(B323,PN_AREAS,0)),""))</f>
        <v/>
      </c>
      <c r="D323" s="110">
        <f>IF(B323="","",IFERROR(INDEX('Catalogos_PDN'!$O$5:$O$51,MATCH(B323,PN_AREAS,0)),""))</f>
        <v/>
      </c>
      <c r="E323" s="111" t="n"/>
      <c r="F323" s="110">
        <f>IF(E323="","",IFERROR(INDEX('Catalogos_PDN'!$C$5:$C$49,MATCH(E323,PN_METAS,0)),""))</f>
        <v/>
      </c>
      <c r="G323" s="110">
        <f>IF(E323="","",IFERROR(INDEX('Catalogos_PDN'!$E$5:$E$49,MATCH(E323,PN_METAS,0)),""))</f>
        <v/>
      </c>
      <c r="H323" s="111" t="n"/>
      <c r="I323" s="111" t="n"/>
      <c r="J323" s="111" t="n"/>
      <c r="K323" s="111" t="n"/>
      <c r="L323" s="111" t="n"/>
      <c r="M323" s="112" t="n"/>
      <c r="N323" s="111" t="n"/>
      <c r="O323" s="111" t="n"/>
      <c r="P323" s="111" t="n"/>
      <c r="Q323" s="111" t="n"/>
      <c r="R323" s="111" t="n"/>
      <c r="S323" s="111" t="n"/>
      <c r="T323" s="111" t="n"/>
      <c r="U323" s="111" t="n"/>
      <c r="V323" s="111" t="n"/>
      <c r="W323" s="113" t="n"/>
      <c r="X323" s="113" t="n"/>
      <c r="Y323" s="111" t="n"/>
      <c r="Z323" s="111" t="n"/>
      <c r="AA323" s="111" t="n"/>
      <c r="AB323" s="111" t="n"/>
      <c r="AC323" s="111" t="n"/>
      <c r="AD323" s="111" t="n"/>
      <c r="AE323" s="111" t="n"/>
      <c r="AF323" s="111" t="n"/>
      <c r="AG323" s="111" t="n"/>
      <c r="AH323" s="111" t="n"/>
      <c r="AI323" s="111" t="n"/>
      <c r="AJ323" s="114">
        <f>IF(COUNTA(B323,E323,H323,I323,J323,K323,L323,M323,N323,O323,P323,Q323,R323,S323,T323,U323,V323,W323,X323,Y323,Z323,AA323,AB323,AC323,AD323,AE323,AF323,AG323,AH323,AI323)=0,"",IF(OR(B323="",E323="",H323="",J323="",K323="",L323="",M323="",O323="",P323="",Q323="",R323="",S323="",T323="",U323="",W323="",X323="",Y323="",AB323="",AC323="",AE323="",AF323=""),"Incompleta: faltan campos obligatorios",IF(AND(LEFT(H323,6)="PROPIA",I323=""),"Falta el nombre de la acción propia del área",IF(AND(LEFT(H323,4)="AC27",IFERROR(INDEX('Catalogos_PDN'!$T$5:$T$207,MATCH(H323,'Catalogos_PDN'!$U$5:$U$207,0)),"x")&lt;&gt;LEFT(E323,7)),"La acción no corresponde a la meta seleccionada",IF(OR(NOT(ISNUMBER(M323)),M323&lt;10000000,M323&gt;99999999),"Código UNSPSC inválido: registre 8 dígitos",IF(MOD(M323,10000)=0,"UNSPSC a nivel de segmento o familia: use clase o producto",IF(IFERROR(MATCH(P323,PN_MESES,0)&lt;MATCH(O323,PN_MESES,0),TRUE()),"El mes de ofertas es anterior al de inicio del proceso",IF(OR(NOT(ISNUMBER(Q323)),Q323&lt;=0),"Duración inválida",IF(OR(NOT(ISNUMBER(W323)),NOT(ISNUMBER(X323))),"Valor inválido: registre solo números",IF(OR(W323&lt;=0,X323&lt;=0),"Valor inválido: debe ser mayor que cero",IF(X323&gt;W323,"El valor de la vigencia 2027 supera el valor total",IF(AND(X323&lt;W323,Y323="No"),"El valor total supera el de 2027: requiere vigencias futuras",IF(AND(Y323="Sí",OR(Z323="",Z323="No aplica")),"Indique el estado de la solicitud de vigencias futuras",IF(IF(AND(S323="Mínima cuantía",ISNUMBER(PN_TOPE_MINIMA)),W323&gt;PN_TOPE_MINIMA,FALSE()),"El valor supera el tope de mínima cuantía 2027",IF(IF(AND(S323="Selección abreviada de menor cuantía",ISNUMBER(PN_TOPE_MENOR)),W323&gt;PN_TOPE_MENOR,FALSE()),"El valor supera el tope de menor cuantía 2027",IF(OR(ISERROR(SEARCH("@itc.edu.co",AE323)),SUMPRODUCT(--ISNUMBER(SEARCH({"á","é","í","ó","ú","ñ"," "},AE323)))&gt;0),"El correo del responsable no es institucional válido",IF(AND(AF323="Sí",AG323=""),"Indique el N.° de registro 2026 que continúa","OK")))))))))))))))))</f>
        <v/>
      </c>
      <c r="AK323" s="114">
        <f>IF(AJ323="OK",COUNTIF($AJ$7:AJ323,"OK"),"")</f>
        <v/>
      </c>
    </row>
    <row r="324">
      <c r="A324" s="110">
        <f>"PN27-"&amp;TEXT(ROW()-6,"000")</f>
        <v/>
      </c>
      <c r="B324" s="111" t="n"/>
      <c r="C324" s="110">
        <f>IF(B324="","",IFERROR(INDEX('Catalogos_PDN'!$R$5:$R$51,MATCH(B324,PN_AREAS,0)),""))</f>
        <v/>
      </c>
      <c r="D324" s="110">
        <f>IF(B324="","",IFERROR(INDEX('Catalogos_PDN'!$O$5:$O$51,MATCH(B324,PN_AREAS,0)),""))</f>
        <v/>
      </c>
      <c r="E324" s="111" t="n"/>
      <c r="F324" s="110">
        <f>IF(E324="","",IFERROR(INDEX('Catalogos_PDN'!$C$5:$C$49,MATCH(E324,PN_METAS,0)),""))</f>
        <v/>
      </c>
      <c r="G324" s="110">
        <f>IF(E324="","",IFERROR(INDEX('Catalogos_PDN'!$E$5:$E$49,MATCH(E324,PN_METAS,0)),""))</f>
        <v/>
      </c>
      <c r="H324" s="111" t="n"/>
      <c r="I324" s="111" t="n"/>
      <c r="J324" s="111" t="n"/>
      <c r="K324" s="111" t="n"/>
      <c r="L324" s="111" t="n"/>
      <c r="M324" s="112" t="n"/>
      <c r="N324" s="111" t="n"/>
      <c r="O324" s="111" t="n"/>
      <c r="P324" s="111" t="n"/>
      <c r="Q324" s="111" t="n"/>
      <c r="R324" s="111" t="n"/>
      <c r="S324" s="111" t="n"/>
      <c r="T324" s="111" t="n"/>
      <c r="U324" s="111" t="n"/>
      <c r="V324" s="111" t="n"/>
      <c r="W324" s="113" t="n"/>
      <c r="X324" s="113" t="n"/>
      <c r="Y324" s="111" t="n"/>
      <c r="Z324" s="111" t="n"/>
      <c r="AA324" s="111" t="n"/>
      <c r="AB324" s="111" t="n"/>
      <c r="AC324" s="111" t="n"/>
      <c r="AD324" s="111" t="n"/>
      <c r="AE324" s="111" t="n"/>
      <c r="AF324" s="111" t="n"/>
      <c r="AG324" s="111" t="n"/>
      <c r="AH324" s="111" t="n"/>
      <c r="AI324" s="111" t="n"/>
      <c r="AJ324" s="114">
        <f>IF(COUNTA(B324,E324,H324,I324,J324,K324,L324,M324,N324,O324,P324,Q324,R324,S324,T324,U324,V324,W324,X324,Y324,Z324,AA324,AB324,AC324,AD324,AE324,AF324,AG324,AH324,AI324)=0,"",IF(OR(B324="",E324="",H324="",J324="",K324="",L324="",M324="",O324="",P324="",Q324="",R324="",S324="",T324="",U324="",W324="",X324="",Y324="",AB324="",AC324="",AE324="",AF324=""),"Incompleta: faltan campos obligatorios",IF(AND(LEFT(H324,6)="PROPIA",I324=""),"Falta el nombre de la acción propia del área",IF(AND(LEFT(H324,4)="AC27",IFERROR(INDEX('Catalogos_PDN'!$T$5:$T$207,MATCH(H324,'Catalogos_PDN'!$U$5:$U$207,0)),"x")&lt;&gt;LEFT(E324,7)),"La acción no corresponde a la meta seleccionada",IF(OR(NOT(ISNUMBER(M324)),M324&lt;10000000,M324&gt;99999999),"Código UNSPSC inválido: registre 8 dígitos",IF(MOD(M324,10000)=0,"UNSPSC a nivel de segmento o familia: use clase o producto",IF(IFERROR(MATCH(P324,PN_MESES,0)&lt;MATCH(O324,PN_MESES,0),TRUE()),"El mes de ofertas es anterior al de inicio del proceso",IF(OR(NOT(ISNUMBER(Q324)),Q324&lt;=0),"Duración inválida",IF(OR(NOT(ISNUMBER(W324)),NOT(ISNUMBER(X324))),"Valor inválido: registre solo números",IF(OR(W324&lt;=0,X324&lt;=0),"Valor inválido: debe ser mayor que cero",IF(X324&gt;W324,"El valor de la vigencia 2027 supera el valor total",IF(AND(X324&lt;W324,Y324="No"),"El valor total supera el de 2027: requiere vigencias futuras",IF(AND(Y324="Sí",OR(Z324="",Z324="No aplica")),"Indique el estado de la solicitud de vigencias futuras",IF(IF(AND(S324="Mínima cuantía",ISNUMBER(PN_TOPE_MINIMA)),W324&gt;PN_TOPE_MINIMA,FALSE()),"El valor supera el tope de mínima cuantía 2027",IF(IF(AND(S324="Selección abreviada de menor cuantía",ISNUMBER(PN_TOPE_MENOR)),W324&gt;PN_TOPE_MENOR,FALSE()),"El valor supera el tope de menor cuantía 2027",IF(OR(ISERROR(SEARCH("@itc.edu.co",AE324)),SUMPRODUCT(--ISNUMBER(SEARCH({"á","é","í","ó","ú","ñ"," "},AE324)))&gt;0),"El correo del responsable no es institucional válido",IF(AND(AF324="Sí",AG324=""),"Indique el N.° de registro 2026 que continúa","OK")))))))))))))))))</f>
        <v/>
      </c>
      <c r="AK324" s="114">
        <f>IF(AJ324="OK",COUNTIF($AJ$7:AJ324,"OK"),"")</f>
        <v/>
      </c>
    </row>
    <row r="325">
      <c r="A325" s="110">
        <f>"PN27-"&amp;TEXT(ROW()-6,"000")</f>
        <v/>
      </c>
      <c r="B325" s="111" t="n"/>
      <c r="C325" s="110">
        <f>IF(B325="","",IFERROR(INDEX('Catalogos_PDN'!$R$5:$R$51,MATCH(B325,PN_AREAS,0)),""))</f>
        <v/>
      </c>
      <c r="D325" s="110">
        <f>IF(B325="","",IFERROR(INDEX('Catalogos_PDN'!$O$5:$O$51,MATCH(B325,PN_AREAS,0)),""))</f>
        <v/>
      </c>
      <c r="E325" s="111" t="n"/>
      <c r="F325" s="110">
        <f>IF(E325="","",IFERROR(INDEX('Catalogos_PDN'!$C$5:$C$49,MATCH(E325,PN_METAS,0)),""))</f>
        <v/>
      </c>
      <c r="G325" s="110">
        <f>IF(E325="","",IFERROR(INDEX('Catalogos_PDN'!$E$5:$E$49,MATCH(E325,PN_METAS,0)),""))</f>
        <v/>
      </c>
      <c r="H325" s="111" t="n"/>
      <c r="I325" s="111" t="n"/>
      <c r="J325" s="111" t="n"/>
      <c r="K325" s="111" t="n"/>
      <c r="L325" s="111" t="n"/>
      <c r="M325" s="112" t="n"/>
      <c r="N325" s="111" t="n"/>
      <c r="O325" s="111" t="n"/>
      <c r="P325" s="111" t="n"/>
      <c r="Q325" s="111" t="n"/>
      <c r="R325" s="111" t="n"/>
      <c r="S325" s="111" t="n"/>
      <c r="T325" s="111" t="n"/>
      <c r="U325" s="111" t="n"/>
      <c r="V325" s="111" t="n"/>
      <c r="W325" s="113" t="n"/>
      <c r="X325" s="113" t="n"/>
      <c r="Y325" s="111" t="n"/>
      <c r="Z325" s="111" t="n"/>
      <c r="AA325" s="111" t="n"/>
      <c r="AB325" s="111" t="n"/>
      <c r="AC325" s="111" t="n"/>
      <c r="AD325" s="111" t="n"/>
      <c r="AE325" s="111" t="n"/>
      <c r="AF325" s="111" t="n"/>
      <c r="AG325" s="111" t="n"/>
      <c r="AH325" s="111" t="n"/>
      <c r="AI325" s="111" t="n"/>
      <c r="AJ325" s="114">
        <f>IF(COUNTA(B325,E325,H325,I325,J325,K325,L325,M325,N325,O325,P325,Q325,R325,S325,T325,U325,V325,W325,X325,Y325,Z325,AA325,AB325,AC325,AD325,AE325,AF325,AG325,AH325,AI325)=0,"",IF(OR(B325="",E325="",H325="",J325="",K325="",L325="",M325="",O325="",P325="",Q325="",R325="",S325="",T325="",U325="",W325="",X325="",Y325="",AB325="",AC325="",AE325="",AF325=""),"Incompleta: faltan campos obligatorios",IF(AND(LEFT(H325,6)="PROPIA",I325=""),"Falta el nombre de la acción propia del área",IF(AND(LEFT(H325,4)="AC27",IFERROR(INDEX('Catalogos_PDN'!$T$5:$T$207,MATCH(H325,'Catalogos_PDN'!$U$5:$U$207,0)),"x")&lt;&gt;LEFT(E325,7)),"La acción no corresponde a la meta seleccionada",IF(OR(NOT(ISNUMBER(M325)),M325&lt;10000000,M325&gt;99999999),"Código UNSPSC inválido: registre 8 dígitos",IF(MOD(M325,10000)=0,"UNSPSC a nivel de segmento o familia: use clase o producto",IF(IFERROR(MATCH(P325,PN_MESES,0)&lt;MATCH(O325,PN_MESES,0),TRUE()),"El mes de ofertas es anterior al de inicio del proceso",IF(OR(NOT(ISNUMBER(Q325)),Q325&lt;=0),"Duración inválida",IF(OR(NOT(ISNUMBER(W325)),NOT(ISNUMBER(X325))),"Valor inválido: registre solo números",IF(OR(W325&lt;=0,X325&lt;=0),"Valor inválido: debe ser mayor que cero",IF(X325&gt;W325,"El valor de la vigencia 2027 supera el valor total",IF(AND(X325&lt;W325,Y325="No"),"El valor total supera el de 2027: requiere vigencias futuras",IF(AND(Y325="Sí",OR(Z325="",Z325="No aplica")),"Indique el estado de la solicitud de vigencias futuras",IF(IF(AND(S325="Mínima cuantía",ISNUMBER(PN_TOPE_MINIMA)),W325&gt;PN_TOPE_MINIMA,FALSE()),"El valor supera el tope de mínima cuantía 2027",IF(IF(AND(S325="Selección abreviada de menor cuantía",ISNUMBER(PN_TOPE_MENOR)),W325&gt;PN_TOPE_MENOR,FALSE()),"El valor supera el tope de menor cuantía 2027",IF(OR(ISERROR(SEARCH("@itc.edu.co",AE325)),SUMPRODUCT(--ISNUMBER(SEARCH({"á","é","í","ó","ú","ñ"," "},AE325)))&gt;0),"El correo del responsable no es institucional válido",IF(AND(AF325="Sí",AG325=""),"Indique el N.° de registro 2026 que continúa","OK")))))))))))))))))</f>
        <v/>
      </c>
      <c r="AK325" s="114">
        <f>IF(AJ325="OK",COUNTIF($AJ$7:AJ325,"OK"),"")</f>
        <v/>
      </c>
    </row>
    <row r="326">
      <c r="A326" s="110">
        <f>"PN27-"&amp;TEXT(ROW()-6,"000")</f>
        <v/>
      </c>
      <c r="B326" s="111" t="n"/>
      <c r="C326" s="110">
        <f>IF(B326="","",IFERROR(INDEX('Catalogos_PDN'!$R$5:$R$51,MATCH(B326,PN_AREAS,0)),""))</f>
        <v/>
      </c>
      <c r="D326" s="110">
        <f>IF(B326="","",IFERROR(INDEX('Catalogos_PDN'!$O$5:$O$51,MATCH(B326,PN_AREAS,0)),""))</f>
        <v/>
      </c>
      <c r="E326" s="111" t="n"/>
      <c r="F326" s="110">
        <f>IF(E326="","",IFERROR(INDEX('Catalogos_PDN'!$C$5:$C$49,MATCH(E326,PN_METAS,0)),""))</f>
        <v/>
      </c>
      <c r="G326" s="110">
        <f>IF(E326="","",IFERROR(INDEX('Catalogos_PDN'!$E$5:$E$49,MATCH(E326,PN_METAS,0)),""))</f>
        <v/>
      </c>
      <c r="H326" s="111" t="n"/>
      <c r="I326" s="111" t="n"/>
      <c r="J326" s="111" t="n"/>
      <c r="K326" s="111" t="n"/>
      <c r="L326" s="111" t="n"/>
      <c r="M326" s="112" t="n"/>
      <c r="N326" s="111" t="n"/>
      <c r="O326" s="111" t="n"/>
      <c r="P326" s="111" t="n"/>
      <c r="Q326" s="111" t="n"/>
      <c r="R326" s="111" t="n"/>
      <c r="S326" s="111" t="n"/>
      <c r="T326" s="111" t="n"/>
      <c r="U326" s="111" t="n"/>
      <c r="V326" s="111" t="n"/>
      <c r="W326" s="113" t="n"/>
      <c r="X326" s="113" t="n"/>
      <c r="Y326" s="111" t="n"/>
      <c r="Z326" s="111" t="n"/>
      <c r="AA326" s="111" t="n"/>
      <c r="AB326" s="111" t="n"/>
      <c r="AC326" s="111" t="n"/>
      <c r="AD326" s="111" t="n"/>
      <c r="AE326" s="111" t="n"/>
      <c r="AF326" s="111" t="n"/>
      <c r="AG326" s="111" t="n"/>
      <c r="AH326" s="111" t="n"/>
      <c r="AI326" s="111" t="n"/>
      <c r="AJ326" s="114">
        <f>IF(COUNTA(B326,E326,H326,I326,J326,K326,L326,M326,N326,O326,P326,Q326,R326,S326,T326,U326,V326,W326,X326,Y326,Z326,AA326,AB326,AC326,AD326,AE326,AF326,AG326,AH326,AI326)=0,"",IF(OR(B326="",E326="",H326="",J326="",K326="",L326="",M326="",O326="",P326="",Q326="",R326="",S326="",T326="",U326="",W326="",X326="",Y326="",AB326="",AC326="",AE326="",AF326=""),"Incompleta: faltan campos obligatorios",IF(AND(LEFT(H326,6)="PROPIA",I326=""),"Falta el nombre de la acción propia del área",IF(AND(LEFT(H326,4)="AC27",IFERROR(INDEX('Catalogos_PDN'!$T$5:$T$207,MATCH(H326,'Catalogos_PDN'!$U$5:$U$207,0)),"x")&lt;&gt;LEFT(E326,7)),"La acción no corresponde a la meta seleccionada",IF(OR(NOT(ISNUMBER(M326)),M326&lt;10000000,M326&gt;99999999),"Código UNSPSC inválido: registre 8 dígitos",IF(MOD(M326,10000)=0,"UNSPSC a nivel de segmento o familia: use clase o producto",IF(IFERROR(MATCH(P326,PN_MESES,0)&lt;MATCH(O326,PN_MESES,0),TRUE()),"El mes de ofertas es anterior al de inicio del proceso",IF(OR(NOT(ISNUMBER(Q326)),Q326&lt;=0),"Duración inválida",IF(OR(NOT(ISNUMBER(W326)),NOT(ISNUMBER(X326))),"Valor inválido: registre solo números",IF(OR(W326&lt;=0,X326&lt;=0),"Valor inválido: debe ser mayor que cero",IF(X326&gt;W326,"El valor de la vigencia 2027 supera el valor total",IF(AND(X326&lt;W326,Y326="No"),"El valor total supera el de 2027: requiere vigencias futuras",IF(AND(Y326="Sí",OR(Z326="",Z326="No aplica")),"Indique el estado de la solicitud de vigencias futuras",IF(IF(AND(S326="Mínima cuantía",ISNUMBER(PN_TOPE_MINIMA)),W326&gt;PN_TOPE_MINIMA,FALSE()),"El valor supera el tope de mínima cuantía 2027",IF(IF(AND(S326="Selección abreviada de menor cuantía",ISNUMBER(PN_TOPE_MENOR)),W326&gt;PN_TOPE_MENOR,FALSE()),"El valor supera el tope de menor cuantía 2027",IF(OR(ISERROR(SEARCH("@itc.edu.co",AE326)),SUMPRODUCT(--ISNUMBER(SEARCH({"á","é","í","ó","ú","ñ"," "},AE326)))&gt;0),"El correo del responsable no es institucional válido",IF(AND(AF326="Sí",AG326=""),"Indique el N.° de registro 2026 que continúa","OK")))))))))))))))))</f>
        <v/>
      </c>
      <c r="AK326" s="114">
        <f>IF(AJ326="OK",COUNTIF($AJ$7:AJ326,"OK"),"")</f>
        <v/>
      </c>
    </row>
    <row r="327">
      <c r="A327" s="110">
        <f>"PN27-"&amp;TEXT(ROW()-6,"000")</f>
        <v/>
      </c>
      <c r="B327" s="111" t="n"/>
      <c r="C327" s="110">
        <f>IF(B327="","",IFERROR(INDEX('Catalogos_PDN'!$R$5:$R$51,MATCH(B327,PN_AREAS,0)),""))</f>
        <v/>
      </c>
      <c r="D327" s="110">
        <f>IF(B327="","",IFERROR(INDEX('Catalogos_PDN'!$O$5:$O$51,MATCH(B327,PN_AREAS,0)),""))</f>
        <v/>
      </c>
      <c r="E327" s="111" t="n"/>
      <c r="F327" s="110">
        <f>IF(E327="","",IFERROR(INDEX('Catalogos_PDN'!$C$5:$C$49,MATCH(E327,PN_METAS,0)),""))</f>
        <v/>
      </c>
      <c r="G327" s="110">
        <f>IF(E327="","",IFERROR(INDEX('Catalogos_PDN'!$E$5:$E$49,MATCH(E327,PN_METAS,0)),""))</f>
        <v/>
      </c>
      <c r="H327" s="111" t="n"/>
      <c r="I327" s="111" t="n"/>
      <c r="J327" s="111" t="n"/>
      <c r="K327" s="111" t="n"/>
      <c r="L327" s="111" t="n"/>
      <c r="M327" s="112" t="n"/>
      <c r="N327" s="111" t="n"/>
      <c r="O327" s="111" t="n"/>
      <c r="P327" s="111" t="n"/>
      <c r="Q327" s="111" t="n"/>
      <c r="R327" s="111" t="n"/>
      <c r="S327" s="111" t="n"/>
      <c r="T327" s="111" t="n"/>
      <c r="U327" s="111" t="n"/>
      <c r="V327" s="111" t="n"/>
      <c r="W327" s="113" t="n"/>
      <c r="X327" s="113" t="n"/>
      <c r="Y327" s="111" t="n"/>
      <c r="Z327" s="111" t="n"/>
      <c r="AA327" s="111" t="n"/>
      <c r="AB327" s="111" t="n"/>
      <c r="AC327" s="111" t="n"/>
      <c r="AD327" s="111" t="n"/>
      <c r="AE327" s="111" t="n"/>
      <c r="AF327" s="111" t="n"/>
      <c r="AG327" s="111" t="n"/>
      <c r="AH327" s="111" t="n"/>
      <c r="AI327" s="111" t="n"/>
      <c r="AJ327" s="114">
        <f>IF(COUNTA(B327,E327,H327,I327,J327,K327,L327,M327,N327,O327,P327,Q327,R327,S327,T327,U327,V327,W327,X327,Y327,Z327,AA327,AB327,AC327,AD327,AE327,AF327,AG327,AH327,AI327)=0,"",IF(OR(B327="",E327="",H327="",J327="",K327="",L327="",M327="",O327="",P327="",Q327="",R327="",S327="",T327="",U327="",W327="",X327="",Y327="",AB327="",AC327="",AE327="",AF327=""),"Incompleta: faltan campos obligatorios",IF(AND(LEFT(H327,6)="PROPIA",I327=""),"Falta el nombre de la acción propia del área",IF(AND(LEFT(H327,4)="AC27",IFERROR(INDEX('Catalogos_PDN'!$T$5:$T$207,MATCH(H327,'Catalogos_PDN'!$U$5:$U$207,0)),"x")&lt;&gt;LEFT(E327,7)),"La acción no corresponde a la meta seleccionada",IF(OR(NOT(ISNUMBER(M327)),M327&lt;10000000,M327&gt;99999999),"Código UNSPSC inválido: registre 8 dígitos",IF(MOD(M327,10000)=0,"UNSPSC a nivel de segmento o familia: use clase o producto",IF(IFERROR(MATCH(P327,PN_MESES,0)&lt;MATCH(O327,PN_MESES,0),TRUE()),"El mes de ofertas es anterior al de inicio del proceso",IF(OR(NOT(ISNUMBER(Q327)),Q327&lt;=0),"Duración inválida",IF(OR(NOT(ISNUMBER(W327)),NOT(ISNUMBER(X327))),"Valor inválido: registre solo números",IF(OR(W327&lt;=0,X327&lt;=0),"Valor inválido: debe ser mayor que cero",IF(X327&gt;W327,"El valor de la vigencia 2027 supera el valor total",IF(AND(X327&lt;W327,Y327="No"),"El valor total supera el de 2027: requiere vigencias futuras",IF(AND(Y327="Sí",OR(Z327="",Z327="No aplica")),"Indique el estado de la solicitud de vigencias futuras",IF(IF(AND(S327="Mínima cuantía",ISNUMBER(PN_TOPE_MINIMA)),W327&gt;PN_TOPE_MINIMA,FALSE()),"El valor supera el tope de mínima cuantía 2027",IF(IF(AND(S327="Selección abreviada de menor cuantía",ISNUMBER(PN_TOPE_MENOR)),W327&gt;PN_TOPE_MENOR,FALSE()),"El valor supera el tope de menor cuantía 2027",IF(OR(ISERROR(SEARCH("@itc.edu.co",AE327)),SUMPRODUCT(--ISNUMBER(SEARCH({"á","é","í","ó","ú","ñ"," "},AE327)))&gt;0),"El correo del responsable no es institucional válido",IF(AND(AF327="Sí",AG327=""),"Indique el N.° de registro 2026 que continúa","OK")))))))))))))))))</f>
        <v/>
      </c>
      <c r="AK327" s="114">
        <f>IF(AJ327="OK",COUNTIF($AJ$7:AJ327,"OK"),"")</f>
        <v/>
      </c>
    </row>
    <row r="328">
      <c r="A328" s="110">
        <f>"PN27-"&amp;TEXT(ROW()-6,"000")</f>
        <v/>
      </c>
      <c r="B328" s="111" t="n"/>
      <c r="C328" s="110">
        <f>IF(B328="","",IFERROR(INDEX('Catalogos_PDN'!$R$5:$R$51,MATCH(B328,PN_AREAS,0)),""))</f>
        <v/>
      </c>
      <c r="D328" s="110">
        <f>IF(B328="","",IFERROR(INDEX('Catalogos_PDN'!$O$5:$O$51,MATCH(B328,PN_AREAS,0)),""))</f>
        <v/>
      </c>
      <c r="E328" s="111" t="n"/>
      <c r="F328" s="110">
        <f>IF(E328="","",IFERROR(INDEX('Catalogos_PDN'!$C$5:$C$49,MATCH(E328,PN_METAS,0)),""))</f>
        <v/>
      </c>
      <c r="G328" s="110">
        <f>IF(E328="","",IFERROR(INDEX('Catalogos_PDN'!$E$5:$E$49,MATCH(E328,PN_METAS,0)),""))</f>
        <v/>
      </c>
      <c r="H328" s="111" t="n"/>
      <c r="I328" s="111" t="n"/>
      <c r="J328" s="111" t="n"/>
      <c r="K328" s="111" t="n"/>
      <c r="L328" s="111" t="n"/>
      <c r="M328" s="112" t="n"/>
      <c r="N328" s="111" t="n"/>
      <c r="O328" s="111" t="n"/>
      <c r="P328" s="111" t="n"/>
      <c r="Q328" s="111" t="n"/>
      <c r="R328" s="111" t="n"/>
      <c r="S328" s="111" t="n"/>
      <c r="T328" s="111" t="n"/>
      <c r="U328" s="111" t="n"/>
      <c r="V328" s="111" t="n"/>
      <c r="W328" s="113" t="n"/>
      <c r="X328" s="113" t="n"/>
      <c r="Y328" s="111" t="n"/>
      <c r="Z328" s="111" t="n"/>
      <c r="AA328" s="111" t="n"/>
      <c r="AB328" s="111" t="n"/>
      <c r="AC328" s="111" t="n"/>
      <c r="AD328" s="111" t="n"/>
      <c r="AE328" s="111" t="n"/>
      <c r="AF328" s="111" t="n"/>
      <c r="AG328" s="111" t="n"/>
      <c r="AH328" s="111" t="n"/>
      <c r="AI328" s="111" t="n"/>
      <c r="AJ328" s="114">
        <f>IF(COUNTA(B328,E328,H328,I328,J328,K328,L328,M328,N328,O328,P328,Q328,R328,S328,T328,U328,V328,W328,X328,Y328,Z328,AA328,AB328,AC328,AD328,AE328,AF328,AG328,AH328,AI328)=0,"",IF(OR(B328="",E328="",H328="",J328="",K328="",L328="",M328="",O328="",P328="",Q328="",R328="",S328="",T328="",U328="",W328="",X328="",Y328="",AB328="",AC328="",AE328="",AF328=""),"Incompleta: faltan campos obligatorios",IF(AND(LEFT(H328,6)="PROPIA",I328=""),"Falta el nombre de la acción propia del área",IF(AND(LEFT(H328,4)="AC27",IFERROR(INDEX('Catalogos_PDN'!$T$5:$T$207,MATCH(H328,'Catalogos_PDN'!$U$5:$U$207,0)),"x")&lt;&gt;LEFT(E328,7)),"La acción no corresponde a la meta seleccionada",IF(OR(NOT(ISNUMBER(M328)),M328&lt;10000000,M328&gt;99999999),"Código UNSPSC inválido: registre 8 dígitos",IF(MOD(M328,10000)=0,"UNSPSC a nivel de segmento o familia: use clase o producto",IF(IFERROR(MATCH(P328,PN_MESES,0)&lt;MATCH(O328,PN_MESES,0),TRUE()),"El mes de ofertas es anterior al de inicio del proceso",IF(OR(NOT(ISNUMBER(Q328)),Q328&lt;=0),"Duración inválida",IF(OR(NOT(ISNUMBER(W328)),NOT(ISNUMBER(X328))),"Valor inválido: registre solo números",IF(OR(W328&lt;=0,X328&lt;=0),"Valor inválido: debe ser mayor que cero",IF(X328&gt;W328,"El valor de la vigencia 2027 supera el valor total",IF(AND(X328&lt;W328,Y328="No"),"El valor total supera el de 2027: requiere vigencias futuras",IF(AND(Y328="Sí",OR(Z328="",Z328="No aplica")),"Indique el estado de la solicitud de vigencias futuras",IF(IF(AND(S328="Mínima cuantía",ISNUMBER(PN_TOPE_MINIMA)),W328&gt;PN_TOPE_MINIMA,FALSE()),"El valor supera el tope de mínima cuantía 2027",IF(IF(AND(S328="Selección abreviada de menor cuantía",ISNUMBER(PN_TOPE_MENOR)),W328&gt;PN_TOPE_MENOR,FALSE()),"El valor supera el tope de menor cuantía 2027",IF(OR(ISERROR(SEARCH("@itc.edu.co",AE328)),SUMPRODUCT(--ISNUMBER(SEARCH({"á","é","í","ó","ú","ñ"," "},AE328)))&gt;0),"El correo del responsable no es institucional válido",IF(AND(AF328="Sí",AG328=""),"Indique el N.° de registro 2026 que continúa","OK")))))))))))))))))</f>
        <v/>
      </c>
      <c r="AK328" s="114">
        <f>IF(AJ328="OK",COUNTIF($AJ$7:AJ328,"OK"),"")</f>
        <v/>
      </c>
    </row>
    <row r="329">
      <c r="A329" s="110">
        <f>"PN27-"&amp;TEXT(ROW()-6,"000")</f>
        <v/>
      </c>
      <c r="B329" s="111" t="n"/>
      <c r="C329" s="110">
        <f>IF(B329="","",IFERROR(INDEX('Catalogos_PDN'!$R$5:$R$51,MATCH(B329,PN_AREAS,0)),""))</f>
        <v/>
      </c>
      <c r="D329" s="110">
        <f>IF(B329="","",IFERROR(INDEX('Catalogos_PDN'!$O$5:$O$51,MATCH(B329,PN_AREAS,0)),""))</f>
        <v/>
      </c>
      <c r="E329" s="111" t="n"/>
      <c r="F329" s="110">
        <f>IF(E329="","",IFERROR(INDEX('Catalogos_PDN'!$C$5:$C$49,MATCH(E329,PN_METAS,0)),""))</f>
        <v/>
      </c>
      <c r="G329" s="110">
        <f>IF(E329="","",IFERROR(INDEX('Catalogos_PDN'!$E$5:$E$49,MATCH(E329,PN_METAS,0)),""))</f>
        <v/>
      </c>
      <c r="H329" s="111" t="n"/>
      <c r="I329" s="111" t="n"/>
      <c r="J329" s="111" t="n"/>
      <c r="K329" s="111" t="n"/>
      <c r="L329" s="111" t="n"/>
      <c r="M329" s="112" t="n"/>
      <c r="N329" s="111" t="n"/>
      <c r="O329" s="111" t="n"/>
      <c r="P329" s="111" t="n"/>
      <c r="Q329" s="111" t="n"/>
      <c r="R329" s="111" t="n"/>
      <c r="S329" s="111" t="n"/>
      <c r="T329" s="111" t="n"/>
      <c r="U329" s="111" t="n"/>
      <c r="V329" s="111" t="n"/>
      <c r="W329" s="113" t="n"/>
      <c r="X329" s="113" t="n"/>
      <c r="Y329" s="111" t="n"/>
      <c r="Z329" s="111" t="n"/>
      <c r="AA329" s="111" t="n"/>
      <c r="AB329" s="111" t="n"/>
      <c r="AC329" s="111" t="n"/>
      <c r="AD329" s="111" t="n"/>
      <c r="AE329" s="111" t="n"/>
      <c r="AF329" s="111" t="n"/>
      <c r="AG329" s="111" t="n"/>
      <c r="AH329" s="111" t="n"/>
      <c r="AI329" s="111" t="n"/>
      <c r="AJ329" s="114">
        <f>IF(COUNTA(B329,E329,H329,I329,J329,K329,L329,M329,N329,O329,P329,Q329,R329,S329,T329,U329,V329,W329,X329,Y329,Z329,AA329,AB329,AC329,AD329,AE329,AF329,AG329,AH329,AI329)=0,"",IF(OR(B329="",E329="",H329="",J329="",K329="",L329="",M329="",O329="",P329="",Q329="",R329="",S329="",T329="",U329="",W329="",X329="",Y329="",AB329="",AC329="",AE329="",AF329=""),"Incompleta: faltan campos obligatorios",IF(AND(LEFT(H329,6)="PROPIA",I329=""),"Falta el nombre de la acción propia del área",IF(AND(LEFT(H329,4)="AC27",IFERROR(INDEX('Catalogos_PDN'!$T$5:$T$207,MATCH(H329,'Catalogos_PDN'!$U$5:$U$207,0)),"x")&lt;&gt;LEFT(E329,7)),"La acción no corresponde a la meta seleccionada",IF(OR(NOT(ISNUMBER(M329)),M329&lt;10000000,M329&gt;99999999),"Código UNSPSC inválido: registre 8 dígitos",IF(MOD(M329,10000)=0,"UNSPSC a nivel de segmento o familia: use clase o producto",IF(IFERROR(MATCH(P329,PN_MESES,0)&lt;MATCH(O329,PN_MESES,0),TRUE()),"El mes de ofertas es anterior al de inicio del proceso",IF(OR(NOT(ISNUMBER(Q329)),Q329&lt;=0),"Duración inválida",IF(OR(NOT(ISNUMBER(W329)),NOT(ISNUMBER(X329))),"Valor inválido: registre solo números",IF(OR(W329&lt;=0,X329&lt;=0),"Valor inválido: debe ser mayor que cero",IF(X329&gt;W329,"El valor de la vigencia 2027 supera el valor total",IF(AND(X329&lt;W329,Y329="No"),"El valor total supera el de 2027: requiere vigencias futuras",IF(AND(Y329="Sí",OR(Z329="",Z329="No aplica")),"Indique el estado de la solicitud de vigencias futuras",IF(IF(AND(S329="Mínima cuantía",ISNUMBER(PN_TOPE_MINIMA)),W329&gt;PN_TOPE_MINIMA,FALSE()),"El valor supera el tope de mínima cuantía 2027",IF(IF(AND(S329="Selección abreviada de menor cuantía",ISNUMBER(PN_TOPE_MENOR)),W329&gt;PN_TOPE_MENOR,FALSE()),"El valor supera el tope de menor cuantía 2027",IF(OR(ISERROR(SEARCH("@itc.edu.co",AE329)),SUMPRODUCT(--ISNUMBER(SEARCH({"á","é","í","ó","ú","ñ"," "},AE329)))&gt;0),"El correo del responsable no es institucional válido",IF(AND(AF329="Sí",AG329=""),"Indique el N.° de registro 2026 que continúa","OK")))))))))))))))))</f>
        <v/>
      </c>
      <c r="AK329" s="114">
        <f>IF(AJ329="OK",COUNTIF($AJ$7:AJ329,"OK"),"")</f>
        <v/>
      </c>
    </row>
    <row r="330">
      <c r="A330" s="110">
        <f>"PN27-"&amp;TEXT(ROW()-6,"000")</f>
        <v/>
      </c>
      <c r="B330" s="111" t="n"/>
      <c r="C330" s="110">
        <f>IF(B330="","",IFERROR(INDEX('Catalogos_PDN'!$R$5:$R$51,MATCH(B330,PN_AREAS,0)),""))</f>
        <v/>
      </c>
      <c r="D330" s="110">
        <f>IF(B330="","",IFERROR(INDEX('Catalogos_PDN'!$O$5:$O$51,MATCH(B330,PN_AREAS,0)),""))</f>
        <v/>
      </c>
      <c r="E330" s="111" t="n"/>
      <c r="F330" s="110">
        <f>IF(E330="","",IFERROR(INDEX('Catalogos_PDN'!$C$5:$C$49,MATCH(E330,PN_METAS,0)),""))</f>
        <v/>
      </c>
      <c r="G330" s="110">
        <f>IF(E330="","",IFERROR(INDEX('Catalogos_PDN'!$E$5:$E$49,MATCH(E330,PN_METAS,0)),""))</f>
        <v/>
      </c>
      <c r="H330" s="111" t="n"/>
      <c r="I330" s="111" t="n"/>
      <c r="J330" s="111" t="n"/>
      <c r="K330" s="111" t="n"/>
      <c r="L330" s="111" t="n"/>
      <c r="M330" s="112" t="n"/>
      <c r="N330" s="111" t="n"/>
      <c r="O330" s="111" t="n"/>
      <c r="P330" s="111" t="n"/>
      <c r="Q330" s="111" t="n"/>
      <c r="R330" s="111" t="n"/>
      <c r="S330" s="111" t="n"/>
      <c r="T330" s="111" t="n"/>
      <c r="U330" s="111" t="n"/>
      <c r="V330" s="111" t="n"/>
      <c r="W330" s="113" t="n"/>
      <c r="X330" s="113" t="n"/>
      <c r="Y330" s="111" t="n"/>
      <c r="Z330" s="111" t="n"/>
      <c r="AA330" s="111" t="n"/>
      <c r="AB330" s="111" t="n"/>
      <c r="AC330" s="111" t="n"/>
      <c r="AD330" s="111" t="n"/>
      <c r="AE330" s="111" t="n"/>
      <c r="AF330" s="111" t="n"/>
      <c r="AG330" s="111" t="n"/>
      <c r="AH330" s="111" t="n"/>
      <c r="AI330" s="111" t="n"/>
      <c r="AJ330" s="114">
        <f>IF(COUNTA(B330,E330,H330,I330,J330,K330,L330,M330,N330,O330,P330,Q330,R330,S330,T330,U330,V330,W330,X330,Y330,Z330,AA330,AB330,AC330,AD330,AE330,AF330,AG330,AH330,AI330)=0,"",IF(OR(B330="",E330="",H330="",J330="",K330="",L330="",M330="",O330="",P330="",Q330="",R330="",S330="",T330="",U330="",W330="",X330="",Y330="",AB330="",AC330="",AE330="",AF330=""),"Incompleta: faltan campos obligatorios",IF(AND(LEFT(H330,6)="PROPIA",I330=""),"Falta el nombre de la acción propia del área",IF(AND(LEFT(H330,4)="AC27",IFERROR(INDEX('Catalogos_PDN'!$T$5:$T$207,MATCH(H330,'Catalogos_PDN'!$U$5:$U$207,0)),"x")&lt;&gt;LEFT(E330,7)),"La acción no corresponde a la meta seleccionada",IF(OR(NOT(ISNUMBER(M330)),M330&lt;10000000,M330&gt;99999999),"Código UNSPSC inválido: registre 8 dígitos",IF(MOD(M330,10000)=0,"UNSPSC a nivel de segmento o familia: use clase o producto",IF(IFERROR(MATCH(P330,PN_MESES,0)&lt;MATCH(O330,PN_MESES,0),TRUE()),"El mes de ofertas es anterior al de inicio del proceso",IF(OR(NOT(ISNUMBER(Q330)),Q330&lt;=0),"Duración inválida",IF(OR(NOT(ISNUMBER(W330)),NOT(ISNUMBER(X330))),"Valor inválido: registre solo números",IF(OR(W330&lt;=0,X330&lt;=0),"Valor inválido: debe ser mayor que cero",IF(X330&gt;W330,"El valor de la vigencia 2027 supera el valor total",IF(AND(X330&lt;W330,Y330="No"),"El valor total supera el de 2027: requiere vigencias futuras",IF(AND(Y330="Sí",OR(Z330="",Z330="No aplica")),"Indique el estado de la solicitud de vigencias futuras",IF(IF(AND(S330="Mínima cuantía",ISNUMBER(PN_TOPE_MINIMA)),W330&gt;PN_TOPE_MINIMA,FALSE()),"El valor supera el tope de mínima cuantía 2027",IF(IF(AND(S330="Selección abreviada de menor cuantía",ISNUMBER(PN_TOPE_MENOR)),W330&gt;PN_TOPE_MENOR,FALSE()),"El valor supera el tope de menor cuantía 2027",IF(OR(ISERROR(SEARCH("@itc.edu.co",AE330)),SUMPRODUCT(--ISNUMBER(SEARCH({"á","é","í","ó","ú","ñ"," "},AE330)))&gt;0),"El correo del responsable no es institucional válido",IF(AND(AF330="Sí",AG330=""),"Indique el N.° de registro 2026 que continúa","OK")))))))))))))))))</f>
        <v/>
      </c>
      <c r="AK330" s="114">
        <f>IF(AJ330="OK",COUNTIF($AJ$7:AJ330,"OK"),"")</f>
        <v/>
      </c>
    </row>
    <row r="331">
      <c r="A331" s="110">
        <f>"PN27-"&amp;TEXT(ROW()-6,"000")</f>
        <v/>
      </c>
      <c r="B331" s="111" t="n"/>
      <c r="C331" s="110">
        <f>IF(B331="","",IFERROR(INDEX('Catalogos_PDN'!$R$5:$R$51,MATCH(B331,PN_AREAS,0)),""))</f>
        <v/>
      </c>
      <c r="D331" s="110">
        <f>IF(B331="","",IFERROR(INDEX('Catalogos_PDN'!$O$5:$O$51,MATCH(B331,PN_AREAS,0)),""))</f>
        <v/>
      </c>
      <c r="E331" s="111" t="n"/>
      <c r="F331" s="110">
        <f>IF(E331="","",IFERROR(INDEX('Catalogos_PDN'!$C$5:$C$49,MATCH(E331,PN_METAS,0)),""))</f>
        <v/>
      </c>
      <c r="G331" s="110">
        <f>IF(E331="","",IFERROR(INDEX('Catalogos_PDN'!$E$5:$E$49,MATCH(E331,PN_METAS,0)),""))</f>
        <v/>
      </c>
      <c r="H331" s="111" t="n"/>
      <c r="I331" s="111" t="n"/>
      <c r="J331" s="111" t="n"/>
      <c r="K331" s="111" t="n"/>
      <c r="L331" s="111" t="n"/>
      <c r="M331" s="112" t="n"/>
      <c r="N331" s="111" t="n"/>
      <c r="O331" s="111" t="n"/>
      <c r="P331" s="111" t="n"/>
      <c r="Q331" s="111" t="n"/>
      <c r="R331" s="111" t="n"/>
      <c r="S331" s="111" t="n"/>
      <c r="T331" s="111" t="n"/>
      <c r="U331" s="111" t="n"/>
      <c r="V331" s="111" t="n"/>
      <c r="W331" s="113" t="n"/>
      <c r="X331" s="113" t="n"/>
      <c r="Y331" s="111" t="n"/>
      <c r="Z331" s="111" t="n"/>
      <c r="AA331" s="111" t="n"/>
      <c r="AB331" s="111" t="n"/>
      <c r="AC331" s="111" t="n"/>
      <c r="AD331" s="111" t="n"/>
      <c r="AE331" s="111" t="n"/>
      <c r="AF331" s="111" t="n"/>
      <c r="AG331" s="111" t="n"/>
      <c r="AH331" s="111" t="n"/>
      <c r="AI331" s="111" t="n"/>
      <c r="AJ331" s="114">
        <f>IF(COUNTA(B331,E331,H331,I331,J331,K331,L331,M331,N331,O331,P331,Q331,R331,S331,T331,U331,V331,W331,X331,Y331,Z331,AA331,AB331,AC331,AD331,AE331,AF331,AG331,AH331,AI331)=0,"",IF(OR(B331="",E331="",H331="",J331="",K331="",L331="",M331="",O331="",P331="",Q331="",R331="",S331="",T331="",U331="",W331="",X331="",Y331="",AB331="",AC331="",AE331="",AF331=""),"Incompleta: faltan campos obligatorios",IF(AND(LEFT(H331,6)="PROPIA",I331=""),"Falta el nombre de la acción propia del área",IF(AND(LEFT(H331,4)="AC27",IFERROR(INDEX('Catalogos_PDN'!$T$5:$T$207,MATCH(H331,'Catalogos_PDN'!$U$5:$U$207,0)),"x")&lt;&gt;LEFT(E331,7)),"La acción no corresponde a la meta seleccionada",IF(OR(NOT(ISNUMBER(M331)),M331&lt;10000000,M331&gt;99999999),"Código UNSPSC inválido: registre 8 dígitos",IF(MOD(M331,10000)=0,"UNSPSC a nivel de segmento o familia: use clase o producto",IF(IFERROR(MATCH(P331,PN_MESES,0)&lt;MATCH(O331,PN_MESES,0),TRUE()),"El mes de ofertas es anterior al de inicio del proceso",IF(OR(NOT(ISNUMBER(Q331)),Q331&lt;=0),"Duración inválida",IF(OR(NOT(ISNUMBER(W331)),NOT(ISNUMBER(X331))),"Valor inválido: registre solo números",IF(OR(W331&lt;=0,X331&lt;=0),"Valor inválido: debe ser mayor que cero",IF(X331&gt;W331,"El valor de la vigencia 2027 supera el valor total",IF(AND(X331&lt;W331,Y331="No"),"El valor total supera el de 2027: requiere vigencias futuras",IF(AND(Y331="Sí",OR(Z331="",Z331="No aplica")),"Indique el estado de la solicitud de vigencias futuras",IF(IF(AND(S331="Mínima cuantía",ISNUMBER(PN_TOPE_MINIMA)),W331&gt;PN_TOPE_MINIMA,FALSE()),"El valor supera el tope de mínima cuantía 2027",IF(IF(AND(S331="Selección abreviada de menor cuantía",ISNUMBER(PN_TOPE_MENOR)),W331&gt;PN_TOPE_MENOR,FALSE()),"El valor supera el tope de menor cuantía 2027",IF(OR(ISERROR(SEARCH("@itc.edu.co",AE331)),SUMPRODUCT(--ISNUMBER(SEARCH({"á","é","í","ó","ú","ñ"," "},AE331)))&gt;0),"El correo del responsable no es institucional válido",IF(AND(AF331="Sí",AG331=""),"Indique el N.° de registro 2026 que continúa","OK")))))))))))))))))</f>
        <v/>
      </c>
      <c r="AK331" s="114">
        <f>IF(AJ331="OK",COUNTIF($AJ$7:AJ331,"OK"),"")</f>
        <v/>
      </c>
    </row>
    <row r="332">
      <c r="A332" s="110">
        <f>"PN27-"&amp;TEXT(ROW()-6,"000")</f>
        <v/>
      </c>
      <c r="B332" s="111" t="n"/>
      <c r="C332" s="110">
        <f>IF(B332="","",IFERROR(INDEX('Catalogos_PDN'!$R$5:$R$51,MATCH(B332,PN_AREAS,0)),""))</f>
        <v/>
      </c>
      <c r="D332" s="110">
        <f>IF(B332="","",IFERROR(INDEX('Catalogos_PDN'!$O$5:$O$51,MATCH(B332,PN_AREAS,0)),""))</f>
        <v/>
      </c>
      <c r="E332" s="111" t="n"/>
      <c r="F332" s="110">
        <f>IF(E332="","",IFERROR(INDEX('Catalogos_PDN'!$C$5:$C$49,MATCH(E332,PN_METAS,0)),""))</f>
        <v/>
      </c>
      <c r="G332" s="110">
        <f>IF(E332="","",IFERROR(INDEX('Catalogos_PDN'!$E$5:$E$49,MATCH(E332,PN_METAS,0)),""))</f>
        <v/>
      </c>
      <c r="H332" s="111" t="n"/>
      <c r="I332" s="111" t="n"/>
      <c r="J332" s="111" t="n"/>
      <c r="K332" s="111" t="n"/>
      <c r="L332" s="111" t="n"/>
      <c r="M332" s="112" t="n"/>
      <c r="N332" s="111" t="n"/>
      <c r="O332" s="111" t="n"/>
      <c r="P332" s="111" t="n"/>
      <c r="Q332" s="111" t="n"/>
      <c r="R332" s="111" t="n"/>
      <c r="S332" s="111" t="n"/>
      <c r="T332" s="111" t="n"/>
      <c r="U332" s="111" t="n"/>
      <c r="V332" s="111" t="n"/>
      <c r="W332" s="113" t="n"/>
      <c r="X332" s="113" t="n"/>
      <c r="Y332" s="111" t="n"/>
      <c r="Z332" s="111" t="n"/>
      <c r="AA332" s="111" t="n"/>
      <c r="AB332" s="111" t="n"/>
      <c r="AC332" s="111" t="n"/>
      <c r="AD332" s="111" t="n"/>
      <c r="AE332" s="111" t="n"/>
      <c r="AF332" s="111" t="n"/>
      <c r="AG332" s="111" t="n"/>
      <c r="AH332" s="111" t="n"/>
      <c r="AI332" s="111" t="n"/>
      <c r="AJ332" s="114">
        <f>IF(COUNTA(B332,E332,H332,I332,J332,K332,L332,M332,N332,O332,P332,Q332,R332,S332,T332,U332,V332,W332,X332,Y332,Z332,AA332,AB332,AC332,AD332,AE332,AF332,AG332,AH332,AI332)=0,"",IF(OR(B332="",E332="",H332="",J332="",K332="",L332="",M332="",O332="",P332="",Q332="",R332="",S332="",T332="",U332="",W332="",X332="",Y332="",AB332="",AC332="",AE332="",AF332=""),"Incompleta: faltan campos obligatorios",IF(AND(LEFT(H332,6)="PROPIA",I332=""),"Falta el nombre de la acción propia del área",IF(AND(LEFT(H332,4)="AC27",IFERROR(INDEX('Catalogos_PDN'!$T$5:$T$207,MATCH(H332,'Catalogos_PDN'!$U$5:$U$207,0)),"x")&lt;&gt;LEFT(E332,7)),"La acción no corresponde a la meta seleccionada",IF(OR(NOT(ISNUMBER(M332)),M332&lt;10000000,M332&gt;99999999),"Código UNSPSC inválido: registre 8 dígitos",IF(MOD(M332,10000)=0,"UNSPSC a nivel de segmento o familia: use clase o producto",IF(IFERROR(MATCH(P332,PN_MESES,0)&lt;MATCH(O332,PN_MESES,0),TRUE()),"El mes de ofertas es anterior al de inicio del proceso",IF(OR(NOT(ISNUMBER(Q332)),Q332&lt;=0),"Duración inválida",IF(OR(NOT(ISNUMBER(W332)),NOT(ISNUMBER(X332))),"Valor inválido: registre solo números",IF(OR(W332&lt;=0,X332&lt;=0),"Valor inválido: debe ser mayor que cero",IF(X332&gt;W332,"El valor de la vigencia 2027 supera el valor total",IF(AND(X332&lt;W332,Y332="No"),"El valor total supera el de 2027: requiere vigencias futuras",IF(AND(Y332="Sí",OR(Z332="",Z332="No aplica")),"Indique el estado de la solicitud de vigencias futuras",IF(IF(AND(S332="Mínima cuantía",ISNUMBER(PN_TOPE_MINIMA)),W332&gt;PN_TOPE_MINIMA,FALSE()),"El valor supera el tope de mínima cuantía 2027",IF(IF(AND(S332="Selección abreviada de menor cuantía",ISNUMBER(PN_TOPE_MENOR)),W332&gt;PN_TOPE_MENOR,FALSE()),"El valor supera el tope de menor cuantía 2027",IF(OR(ISERROR(SEARCH("@itc.edu.co",AE332)),SUMPRODUCT(--ISNUMBER(SEARCH({"á","é","í","ó","ú","ñ"," "},AE332)))&gt;0),"El correo del responsable no es institucional válido",IF(AND(AF332="Sí",AG332=""),"Indique el N.° de registro 2026 que continúa","OK")))))))))))))))))</f>
        <v/>
      </c>
      <c r="AK332" s="114">
        <f>IF(AJ332="OK",COUNTIF($AJ$7:AJ332,"OK"),"")</f>
        <v/>
      </c>
    </row>
    <row r="333">
      <c r="A333" s="110">
        <f>"PN27-"&amp;TEXT(ROW()-6,"000")</f>
        <v/>
      </c>
      <c r="B333" s="111" t="n"/>
      <c r="C333" s="110">
        <f>IF(B333="","",IFERROR(INDEX('Catalogos_PDN'!$R$5:$R$51,MATCH(B333,PN_AREAS,0)),""))</f>
        <v/>
      </c>
      <c r="D333" s="110">
        <f>IF(B333="","",IFERROR(INDEX('Catalogos_PDN'!$O$5:$O$51,MATCH(B333,PN_AREAS,0)),""))</f>
        <v/>
      </c>
      <c r="E333" s="111" t="n"/>
      <c r="F333" s="110">
        <f>IF(E333="","",IFERROR(INDEX('Catalogos_PDN'!$C$5:$C$49,MATCH(E333,PN_METAS,0)),""))</f>
        <v/>
      </c>
      <c r="G333" s="110">
        <f>IF(E333="","",IFERROR(INDEX('Catalogos_PDN'!$E$5:$E$49,MATCH(E333,PN_METAS,0)),""))</f>
        <v/>
      </c>
      <c r="H333" s="111" t="n"/>
      <c r="I333" s="111" t="n"/>
      <c r="J333" s="111" t="n"/>
      <c r="K333" s="111" t="n"/>
      <c r="L333" s="111" t="n"/>
      <c r="M333" s="112" t="n"/>
      <c r="N333" s="111" t="n"/>
      <c r="O333" s="111" t="n"/>
      <c r="P333" s="111" t="n"/>
      <c r="Q333" s="111" t="n"/>
      <c r="R333" s="111" t="n"/>
      <c r="S333" s="111" t="n"/>
      <c r="T333" s="111" t="n"/>
      <c r="U333" s="111" t="n"/>
      <c r="V333" s="111" t="n"/>
      <c r="W333" s="113" t="n"/>
      <c r="X333" s="113" t="n"/>
      <c r="Y333" s="111" t="n"/>
      <c r="Z333" s="111" t="n"/>
      <c r="AA333" s="111" t="n"/>
      <c r="AB333" s="111" t="n"/>
      <c r="AC333" s="111" t="n"/>
      <c r="AD333" s="111" t="n"/>
      <c r="AE333" s="111" t="n"/>
      <c r="AF333" s="111" t="n"/>
      <c r="AG333" s="111" t="n"/>
      <c r="AH333" s="111" t="n"/>
      <c r="AI333" s="111" t="n"/>
      <c r="AJ333" s="114">
        <f>IF(COUNTA(B333,E333,H333,I333,J333,K333,L333,M333,N333,O333,P333,Q333,R333,S333,T333,U333,V333,W333,X333,Y333,Z333,AA333,AB333,AC333,AD333,AE333,AF333,AG333,AH333,AI333)=0,"",IF(OR(B333="",E333="",H333="",J333="",K333="",L333="",M333="",O333="",P333="",Q333="",R333="",S333="",T333="",U333="",W333="",X333="",Y333="",AB333="",AC333="",AE333="",AF333=""),"Incompleta: faltan campos obligatorios",IF(AND(LEFT(H333,6)="PROPIA",I333=""),"Falta el nombre de la acción propia del área",IF(AND(LEFT(H333,4)="AC27",IFERROR(INDEX('Catalogos_PDN'!$T$5:$T$207,MATCH(H333,'Catalogos_PDN'!$U$5:$U$207,0)),"x")&lt;&gt;LEFT(E333,7)),"La acción no corresponde a la meta seleccionada",IF(OR(NOT(ISNUMBER(M333)),M333&lt;10000000,M333&gt;99999999),"Código UNSPSC inválido: registre 8 dígitos",IF(MOD(M333,10000)=0,"UNSPSC a nivel de segmento o familia: use clase o producto",IF(IFERROR(MATCH(P333,PN_MESES,0)&lt;MATCH(O333,PN_MESES,0),TRUE()),"El mes de ofertas es anterior al de inicio del proceso",IF(OR(NOT(ISNUMBER(Q333)),Q333&lt;=0),"Duración inválida",IF(OR(NOT(ISNUMBER(W333)),NOT(ISNUMBER(X333))),"Valor inválido: registre solo números",IF(OR(W333&lt;=0,X333&lt;=0),"Valor inválido: debe ser mayor que cero",IF(X333&gt;W333,"El valor de la vigencia 2027 supera el valor total",IF(AND(X333&lt;W333,Y333="No"),"El valor total supera el de 2027: requiere vigencias futuras",IF(AND(Y333="Sí",OR(Z333="",Z333="No aplica")),"Indique el estado de la solicitud de vigencias futuras",IF(IF(AND(S333="Mínima cuantía",ISNUMBER(PN_TOPE_MINIMA)),W333&gt;PN_TOPE_MINIMA,FALSE()),"El valor supera el tope de mínima cuantía 2027",IF(IF(AND(S333="Selección abreviada de menor cuantía",ISNUMBER(PN_TOPE_MENOR)),W333&gt;PN_TOPE_MENOR,FALSE()),"El valor supera el tope de menor cuantía 2027",IF(OR(ISERROR(SEARCH("@itc.edu.co",AE333)),SUMPRODUCT(--ISNUMBER(SEARCH({"á","é","í","ó","ú","ñ"," "},AE333)))&gt;0),"El correo del responsable no es institucional válido",IF(AND(AF333="Sí",AG333=""),"Indique el N.° de registro 2026 que continúa","OK")))))))))))))))))</f>
        <v/>
      </c>
      <c r="AK333" s="114">
        <f>IF(AJ333="OK",COUNTIF($AJ$7:AJ333,"OK"),"")</f>
        <v/>
      </c>
    </row>
    <row r="334">
      <c r="A334" s="110">
        <f>"PN27-"&amp;TEXT(ROW()-6,"000")</f>
        <v/>
      </c>
      <c r="B334" s="111" t="n"/>
      <c r="C334" s="110">
        <f>IF(B334="","",IFERROR(INDEX('Catalogos_PDN'!$R$5:$R$51,MATCH(B334,PN_AREAS,0)),""))</f>
        <v/>
      </c>
      <c r="D334" s="110">
        <f>IF(B334="","",IFERROR(INDEX('Catalogos_PDN'!$O$5:$O$51,MATCH(B334,PN_AREAS,0)),""))</f>
        <v/>
      </c>
      <c r="E334" s="111" t="n"/>
      <c r="F334" s="110">
        <f>IF(E334="","",IFERROR(INDEX('Catalogos_PDN'!$C$5:$C$49,MATCH(E334,PN_METAS,0)),""))</f>
        <v/>
      </c>
      <c r="G334" s="110">
        <f>IF(E334="","",IFERROR(INDEX('Catalogos_PDN'!$E$5:$E$49,MATCH(E334,PN_METAS,0)),""))</f>
        <v/>
      </c>
      <c r="H334" s="111" t="n"/>
      <c r="I334" s="111" t="n"/>
      <c r="J334" s="111" t="n"/>
      <c r="K334" s="111" t="n"/>
      <c r="L334" s="111" t="n"/>
      <c r="M334" s="112" t="n"/>
      <c r="N334" s="111" t="n"/>
      <c r="O334" s="111" t="n"/>
      <c r="P334" s="111" t="n"/>
      <c r="Q334" s="111" t="n"/>
      <c r="R334" s="111" t="n"/>
      <c r="S334" s="111" t="n"/>
      <c r="T334" s="111" t="n"/>
      <c r="U334" s="111" t="n"/>
      <c r="V334" s="111" t="n"/>
      <c r="W334" s="113" t="n"/>
      <c r="X334" s="113" t="n"/>
      <c r="Y334" s="111" t="n"/>
      <c r="Z334" s="111" t="n"/>
      <c r="AA334" s="111" t="n"/>
      <c r="AB334" s="111" t="n"/>
      <c r="AC334" s="111" t="n"/>
      <c r="AD334" s="111" t="n"/>
      <c r="AE334" s="111" t="n"/>
      <c r="AF334" s="111" t="n"/>
      <c r="AG334" s="111" t="n"/>
      <c r="AH334" s="111" t="n"/>
      <c r="AI334" s="111" t="n"/>
      <c r="AJ334" s="114">
        <f>IF(COUNTA(B334,E334,H334,I334,J334,K334,L334,M334,N334,O334,P334,Q334,R334,S334,T334,U334,V334,W334,X334,Y334,Z334,AA334,AB334,AC334,AD334,AE334,AF334,AG334,AH334,AI334)=0,"",IF(OR(B334="",E334="",H334="",J334="",K334="",L334="",M334="",O334="",P334="",Q334="",R334="",S334="",T334="",U334="",W334="",X334="",Y334="",AB334="",AC334="",AE334="",AF334=""),"Incompleta: faltan campos obligatorios",IF(AND(LEFT(H334,6)="PROPIA",I334=""),"Falta el nombre de la acción propia del área",IF(AND(LEFT(H334,4)="AC27",IFERROR(INDEX('Catalogos_PDN'!$T$5:$T$207,MATCH(H334,'Catalogos_PDN'!$U$5:$U$207,0)),"x")&lt;&gt;LEFT(E334,7)),"La acción no corresponde a la meta seleccionada",IF(OR(NOT(ISNUMBER(M334)),M334&lt;10000000,M334&gt;99999999),"Código UNSPSC inválido: registre 8 dígitos",IF(MOD(M334,10000)=0,"UNSPSC a nivel de segmento o familia: use clase o producto",IF(IFERROR(MATCH(P334,PN_MESES,0)&lt;MATCH(O334,PN_MESES,0),TRUE()),"El mes de ofertas es anterior al de inicio del proceso",IF(OR(NOT(ISNUMBER(Q334)),Q334&lt;=0),"Duración inválida",IF(OR(NOT(ISNUMBER(W334)),NOT(ISNUMBER(X334))),"Valor inválido: registre solo números",IF(OR(W334&lt;=0,X334&lt;=0),"Valor inválido: debe ser mayor que cero",IF(X334&gt;W334,"El valor de la vigencia 2027 supera el valor total",IF(AND(X334&lt;W334,Y334="No"),"El valor total supera el de 2027: requiere vigencias futuras",IF(AND(Y334="Sí",OR(Z334="",Z334="No aplica")),"Indique el estado de la solicitud de vigencias futuras",IF(IF(AND(S334="Mínima cuantía",ISNUMBER(PN_TOPE_MINIMA)),W334&gt;PN_TOPE_MINIMA,FALSE()),"El valor supera el tope de mínima cuantía 2027",IF(IF(AND(S334="Selección abreviada de menor cuantía",ISNUMBER(PN_TOPE_MENOR)),W334&gt;PN_TOPE_MENOR,FALSE()),"El valor supera el tope de menor cuantía 2027",IF(OR(ISERROR(SEARCH("@itc.edu.co",AE334)),SUMPRODUCT(--ISNUMBER(SEARCH({"á","é","í","ó","ú","ñ"," "},AE334)))&gt;0),"El correo del responsable no es institucional válido",IF(AND(AF334="Sí",AG334=""),"Indique el N.° de registro 2026 que continúa","OK")))))))))))))))))</f>
        <v/>
      </c>
      <c r="AK334" s="114">
        <f>IF(AJ334="OK",COUNTIF($AJ$7:AJ334,"OK"),"")</f>
        <v/>
      </c>
    </row>
    <row r="335">
      <c r="A335" s="110">
        <f>"PN27-"&amp;TEXT(ROW()-6,"000")</f>
        <v/>
      </c>
      <c r="B335" s="111" t="n"/>
      <c r="C335" s="110">
        <f>IF(B335="","",IFERROR(INDEX('Catalogos_PDN'!$R$5:$R$51,MATCH(B335,PN_AREAS,0)),""))</f>
        <v/>
      </c>
      <c r="D335" s="110">
        <f>IF(B335="","",IFERROR(INDEX('Catalogos_PDN'!$O$5:$O$51,MATCH(B335,PN_AREAS,0)),""))</f>
        <v/>
      </c>
      <c r="E335" s="111" t="n"/>
      <c r="F335" s="110">
        <f>IF(E335="","",IFERROR(INDEX('Catalogos_PDN'!$C$5:$C$49,MATCH(E335,PN_METAS,0)),""))</f>
        <v/>
      </c>
      <c r="G335" s="110">
        <f>IF(E335="","",IFERROR(INDEX('Catalogos_PDN'!$E$5:$E$49,MATCH(E335,PN_METAS,0)),""))</f>
        <v/>
      </c>
      <c r="H335" s="111" t="n"/>
      <c r="I335" s="111" t="n"/>
      <c r="J335" s="111" t="n"/>
      <c r="K335" s="111" t="n"/>
      <c r="L335" s="111" t="n"/>
      <c r="M335" s="112" t="n"/>
      <c r="N335" s="111" t="n"/>
      <c r="O335" s="111" t="n"/>
      <c r="P335" s="111" t="n"/>
      <c r="Q335" s="111" t="n"/>
      <c r="R335" s="111" t="n"/>
      <c r="S335" s="111" t="n"/>
      <c r="T335" s="111" t="n"/>
      <c r="U335" s="111" t="n"/>
      <c r="V335" s="111" t="n"/>
      <c r="W335" s="113" t="n"/>
      <c r="X335" s="113" t="n"/>
      <c r="Y335" s="111" t="n"/>
      <c r="Z335" s="111" t="n"/>
      <c r="AA335" s="111" t="n"/>
      <c r="AB335" s="111" t="n"/>
      <c r="AC335" s="111" t="n"/>
      <c r="AD335" s="111" t="n"/>
      <c r="AE335" s="111" t="n"/>
      <c r="AF335" s="111" t="n"/>
      <c r="AG335" s="111" t="n"/>
      <c r="AH335" s="111" t="n"/>
      <c r="AI335" s="111" t="n"/>
      <c r="AJ335" s="114">
        <f>IF(COUNTA(B335,E335,H335,I335,J335,K335,L335,M335,N335,O335,P335,Q335,R335,S335,T335,U335,V335,W335,X335,Y335,Z335,AA335,AB335,AC335,AD335,AE335,AF335,AG335,AH335,AI335)=0,"",IF(OR(B335="",E335="",H335="",J335="",K335="",L335="",M335="",O335="",P335="",Q335="",R335="",S335="",T335="",U335="",W335="",X335="",Y335="",AB335="",AC335="",AE335="",AF335=""),"Incompleta: faltan campos obligatorios",IF(AND(LEFT(H335,6)="PROPIA",I335=""),"Falta el nombre de la acción propia del área",IF(AND(LEFT(H335,4)="AC27",IFERROR(INDEX('Catalogos_PDN'!$T$5:$T$207,MATCH(H335,'Catalogos_PDN'!$U$5:$U$207,0)),"x")&lt;&gt;LEFT(E335,7)),"La acción no corresponde a la meta seleccionada",IF(OR(NOT(ISNUMBER(M335)),M335&lt;10000000,M335&gt;99999999),"Código UNSPSC inválido: registre 8 dígitos",IF(MOD(M335,10000)=0,"UNSPSC a nivel de segmento o familia: use clase o producto",IF(IFERROR(MATCH(P335,PN_MESES,0)&lt;MATCH(O335,PN_MESES,0),TRUE()),"El mes de ofertas es anterior al de inicio del proceso",IF(OR(NOT(ISNUMBER(Q335)),Q335&lt;=0),"Duración inválida",IF(OR(NOT(ISNUMBER(W335)),NOT(ISNUMBER(X335))),"Valor inválido: registre solo números",IF(OR(W335&lt;=0,X335&lt;=0),"Valor inválido: debe ser mayor que cero",IF(X335&gt;W335,"El valor de la vigencia 2027 supera el valor total",IF(AND(X335&lt;W335,Y335="No"),"El valor total supera el de 2027: requiere vigencias futuras",IF(AND(Y335="Sí",OR(Z335="",Z335="No aplica")),"Indique el estado de la solicitud de vigencias futuras",IF(IF(AND(S335="Mínima cuantía",ISNUMBER(PN_TOPE_MINIMA)),W335&gt;PN_TOPE_MINIMA,FALSE()),"El valor supera el tope de mínima cuantía 2027",IF(IF(AND(S335="Selección abreviada de menor cuantía",ISNUMBER(PN_TOPE_MENOR)),W335&gt;PN_TOPE_MENOR,FALSE()),"El valor supera el tope de menor cuantía 2027",IF(OR(ISERROR(SEARCH("@itc.edu.co",AE335)),SUMPRODUCT(--ISNUMBER(SEARCH({"á","é","í","ó","ú","ñ"," "},AE335)))&gt;0),"El correo del responsable no es institucional válido",IF(AND(AF335="Sí",AG335=""),"Indique el N.° de registro 2026 que continúa","OK")))))))))))))))))</f>
        <v/>
      </c>
      <c r="AK335" s="114">
        <f>IF(AJ335="OK",COUNTIF($AJ$7:AJ335,"OK"),"")</f>
        <v/>
      </c>
    </row>
    <row r="336">
      <c r="A336" s="110">
        <f>"PN27-"&amp;TEXT(ROW()-6,"000")</f>
        <v/>
      </c>
      <c r="B336" s="111" t="n"/>
      <c r="C336" s="110">
        <f>IF(B336="","",IFERROR(INDEX('Catalogos_PDN'!$R$5:$R$51,MATCH(B336,PN_AREAS,0)),""))</f>
        <v/>
      </c>
      <c r="D336" s="110">
        <f>IF(B336="","",IFERROR(INDEX('Catalogos_PDN'!$O$5:$O$51,MATCH(B336,PN_AREAS,0)),""))</f>
        <v/>
      </c>
      <c r="E336" s="111" t="n"/>
      <c r="F336" s="110">
        <f>IF(E336="","",IFERROR(INDEX('Catalogos_PDN'!$C$5:$C$49,MATCH(E336,PN_METAS,0)),""))</f>
        <v/>
      </c>
      <c r="G336" s="110">
        <f>IF(E336="","",IFERROR(INDEX('Catalogos_PDN'!$E$5:$E$49,MATCH(E336,PN_METAS,0)),""))</f>
        <v/>
      </c>
      <c r="H336" s="111" t="n"/>
      <c r="I336" s="111" t="n"/>
      <c r="J336" s="111" t="n"/>
      <c r="K336" s="111" t="n"/>
      <c r="L336" s="111" t="n"/>
      <c r="M336" s="112" t="n"/>
      <c r="N336" s="111" t="n"/>
      <c r="O336" s="111" t="n"/>
      <c r="P336" s="111" t="n"/>
      <c r="Q336" s="111" t="n"/>
      <c r="R336" s="111" t="n"/>
      <c r="S336" s="111" t="n"/>
      <c r="T336" s="111" t="n"/>
      <c r="U336" s="111" t="n"/>
      <c r="V336" s="111" t="n"/>
      <c r="W336" s="113" t="n"/>
      <c r="X336" s="113" t="n"/>
      <c r="Y336" s="111" t="n"/>
      <c r="Z336" s="111" t="n"/>
      <c r="AA336" s="111" t="n"/>
      <c r="AB336" s="111" t="n"/>
      <c r="AC336" s="111" t="n"/>
      <c r="AD336" s="111" t="n"/>
      <c r="AE336" s="111" t="n"/>
      <c r="AF336" s="111" t="n"/>
      <c r="AG336" s="111" t="n"/>
      <c r="AH336" s="111" t="n"/>
      <c r="AI336" s="111" t="n"/>
      <c r="AJ336" s="114">
        <f>IF(COUNTA(B336,E336,H336,I336,J336,K336,L336,M336,N336,O336,P336,Q336,R336,S336,T336,U336,V336,W336,X336,Y336,Z336,AA336,AB336,AC336,AD336,AE336,AF336,AG336,AH336,AI336)=0,"",IF(OR(B336="",E336="",H336="",J336="",K336="",L336="",M336="",O336="",P336="",Q336="",R336="",S336="",T336="",U336="",W336="",X336="",Y336="",AB336="",AC336="",AE336="",AF336=""),"Incompleta: faltan campos obligatorios",IF(AND(LEFT(H336,6)="PROPIA",I336=""),"Falta el nombre de la acción propia del área",IF(AND(LEFT(H336,4)="AC27",IFERROR(INDEX('Catalogos_PDN'!$T$5:$T$207,MATCH(H336,'Catalogos_PDN'!$U$5:$U$207,0)),"x")&lt;&gt;LEFT(E336,7)),"La acción no corresponde a la meta seleccionada",IF(OR(NOT(ISNUMBER(M336)),M336&lt;10000000,M336&gt;99999999),"Código UNSPSC inválido: registre 8 dígitos",IF(MOD(M336,10000)=0,"UNSPSC a nivel de segmento o familia: use clase o producto",IF(IFERROR(MATCH(P336,PN_MESES,0)&lt;MATCH(O336,PN_MESES,0),TRUE()),"El mes de ofertas es anterior al de inicio del proceso",IF(OR(NOT(ISNUMBER(Q336)),Q336&lt;=0),"Duración inválida",IF(OR(NOT(ISNUMBER(W336)),NOT(ISNUMBER(X336))),"Valor inválido: registre solo números",IF(OR(W336&lt;=0,X336&lt;=0),"Valor inválido: debe ser mayor que cero",IF(X336&gt;W336,"El valor de la vigencia 2027 supera el valor total",IF(AND(X336&lt;W336,Y336="No"),"El valor total supera el de 2027: requiere vigencias futuras",IF(AND(Y336="Sí",OR(Z336="",Z336="No aplica")),"Indique el estado de la solicitud de vigencias futuras",IF(IF(AND(S336="Mínima cuantía",ISNUMBER(PN_TOPE_MINIMA)),W336&gt;PN_TOPE_MINIMA,FALSE()),"El valor supera el tope de mínima cuantía 2027",IF(IF(AND(S336="Selección abreviada de menor cuantía",ISNUMBER(PN_TOPE_MENOR)),W336&gt;PN_TOPE_MENOR,FALSE()),"El valor supera el tope de menor cuantía 2027",IF(OR(ISERROR(SEARCH("@itc.edu.co",AE336)),SUMPRODUCT(--ISNUMBER(SEARCH({"á","é","í","ó","ú","ñ"," "},AE336)))&gt;0),"El correo del responsable no es institucional válido",IF(AND(AF336="Sí",AG336=""),"Indique el N.° de registro 2026 que continúa","OK")))))))))))))))))</f>
        <v/>
      </c>
      <c r="AK336" s="114">
        <f>IF(AJ336="OK",COUNTIF($AJ$7:AJ336,"OK"),"")</f>
        <v/>
      </c>
    </row>
    <row r="337">
      <c r="A337" s="110">
        <f>"PN27-"&amp;TEXT(ROW()-6,"000")</f>
        <v/>
      </c>
      <c r="B337" s="111" t="n"/>
      <c r="C337" s="110">
        <f>IF(B337="","",IFERROR(INDEX('Catalogos_PDN'!$R$5:$R$51,MATCH(B337,PN_AREAS,0)),""))</f>
        <v/>
      </c>
      <c r="D337" s="110">
        <f>IF(B337="","",IFERROR(INDEX('Catalogos_PDN'!$O$5:$O$51,MATCH(B337,PN_AREAS,0)),""))</f>
        <v/>
      </c>
      <c r="E337" s="111" t="n"/>
      <c r="F337" s="110">
        <f>IF(E337="","",IFERROR(INDEX('Catalogos_PDN'!$C$5:$C$49,MATCH(E337,PN_METAS,0)),""))</f>
        <v/>
      </c>
      <c r="G337" s="110">
        <f>IF(E337="","",IFERROR(INDEX('Catalogos_PDN'!$E$5:$E$49,MATCH(E337,PN_METAS,0)),""))</f>
        <v/>
      </c>
      <c r="H337" s="111" t="n"/>
      <c r="I337" s="111" t="n"/>
      <c r="J337" s="111" t="n"/>
      <c r="K337" s="111" t="n"/>
      <c r="L337" s="111" t="n"/>
      <c r="M337" s="112" t="n"/>
      <c r="N337" s="111" t="n"/>
      <c r="O337" s="111" t="n"/>
      <c r="P337" s="111" t="n"/>
      <c r="Q337" s="111" t="n"/>
      <c r="R337" s="111" t="n"/>
      <c r="S337" s="111" t="n"/>
      <c r="T337" s="111" t="n"/>
      <c r="U337" s="111" t="n"/>
      <c r="V337" s="111" t="n"/>
      <c r="W337" s="113" t="n"/>
      <c r="X337" s="113" t="n"/>
      <c r="Y337" s="111" t="n"/>
      <c r="Z337" s="111" t="n"/>
      <c r="AA337" s="111" t="n"/>
      <c r="AB337" s="111" t="n"/>
      <c r="AC337" s="111" t="n"/>
      <c r="AD337" s="111" t="n"/>
      <c r="AE337" s="111" t="n"/>
      <c r="AF337" s="111" t="n"/>
      <c r="AG337" s="111" t="n"/>
      <c r="AH337" s="111" t="n"/>
      <c r="AI337" s="111" t="n"/>
      <c r="AJ337" s="114">
        <f>IF(COUNTA(B337,E337,H337,I337,J337,K337,L337,M337,N337,O337,P337,Q337,R337,S337,T337,U337,V337,W337,X337,Y337,Z337,AA337,AB337,AC337,AD337,AE337,AF337,AG337,AH337,AI337)=0,"",IF(OR(B337="",E337="",H337="",J337="",K337="",L337="",M337="",O337="",P337="",Q337="",R337="",S337="",T337="",U337="",W337="",X337="",Y337="",AB337="",AC337="",AE337="",AF337=""),"Incompleta: faltan campos obligatorios",IF(AND(LEFT(H337,6)="PROPIA",I337=""),"Falta el nombre de la acción propia del área",IF(AND(LEFT(H337,4)="AC27",IFERROR(INDEX('Catalogos_PDN'!$T$5:$T$207,MATCH(H337,'Catalogos_PDN'!$U$5:$U$207,0)),"x")&lt;&gt;LEFT(E337,7)),"La acción no corresponde a la meta seleccionada",IF(OR(NOT(ISNUMBER(M337)),M337&lt;10000000,M337&gt;99999999),"Código UNSPSC inválido: registre 8 dígitos",IF(MOD(M337,10000)=0,"UNSPSC a nivel de segmento o familia: use clase o producto",IF(IFERROR(MATCH(P337,PN_MESES,0)&lt;MATCH(O337,PN_MESES,0),TRUE()),"El mes de ofertas es anterior al de inicio del proceso",IF(OR(NOT(ISNUMBER(Q337)),Q337&lt;=0),"Duración inválida",IF(OR(NOT(ISNUMBER(W337)),NOT(ISNUMBER(X337))),"Valor inválido: registre solo números",IF(OR(W337&lt;=0,X337&lt;=0),"Valor inválido: debe ser mayor que cero",IF(X337&gt;W337,"El valor de la vigencia 2027 supera el valor total",IF(AND(X337&lt;W337,Y337="No"),"El valor total supera el de 2027: requiere vigencias futuras",IF(AND(Y337="Sí",OR(Z337="",Z337="No aplica")),"Indique el estado de la solicitud de vigencias futuras",IF(IF(AND(S337="Mínima cuantía",ISNUMBER(PN_TOPE_MINIMA)),W337&gt;PN_TOPE_MINIMA,FALSE()),"El valor supera el tope de mínima cuantía 2027",IF(IF(AND(S337="Selección abreviada de menor cuantía",ISNUMBER(PN_TOPE_MENOR)),W337&gt;PN_TOPE_MENOR,FALSE()),"El valor supera el tope de menor cuantía 2027",IF(OR(ISERROR(SEARCH("@itc.edu.co",AE337)),SUMPRODUCT(--ISNUMBER(SEARCH({"á","é","í","ó","ú","ñ"," "},AE337)))&gt;0),"El correo del responsable no es institucional válido",IF(AND(AF337="Sí",AG337=""),"Indique el N.° de registro 2026 que continúa","OK")))))))))))))))))</f>
        <v/>
      </c>
      <c r="AK337" s="114">
        <f>IF(AJ337="OK",COUNTIF($AJ$7:AJ337,"OK"),"")</f>
        <v/>
      </c>
    </row>
    <row r="338">
      <c r="A338" s="110">
        <f>"PN27-"&amp;TEXT(ROW()-6,"000")</f>
        <v/>
      </c>
      <c r="B338" s="111" t="n"/>
      <c r="C338" s="110">
        <f>IF(B338="","",IFERROR(INDEX('Catalogos_PDN'!$R$5:$R$51,MATCH(B338,PN_AREAS,0)),""))</f>
        <v/>
      </c>
      <c r="D338" s="110">
        <f>IF(B338="","",IFERROR(INDEX('Catalogos_PDN'!$O$5:$O$51,MATCH(B338,PN_AREAS,0)),""))</f>
        <v/>
      </c>
      <c r="E338" s="111" t="n"/>
      <c r="F338" s="110">
        <f>IF(E338="","",IFERROR(INDEX('Catalogos_PDN'!$C$5:$C$49,MATCH(E338,PN_METAS,0)),""))</f>
        <v/>
      </c>
      <c r="G338" s="110">
        <f>IF(E338="","",IFERROR(INDEX('Catalogos_PDN'!$E$5:$E$49,MATCH(E338,PN_METAS,0)),""))</f>
        <v/>
      </c>
      <c r="H338" s="111" t="n"/>
      <c r="I338" s="111" t="n"/>
      <c r="J338" s="111" t="n"/>
      <c r="K338" s="111" t="n"/>
      <c r="L338" s="111" t="n"/>
      <c r="M338" s="112" t="n"/>
      <c r="N338" s="111" t="n"/>
      <c r="O338" s="111" t="n"/>
      <c r="P338" s="111" t="n"/>
      <c r="Q338" s="111" t="n"/>
      <c r="R338" s="111" t="n"/>
      <c r="S338" s="111" t="n"/>
      <c r="T338" s="111" t="n"/>
      <c r="U338" s="111" t="n"/>
      <c r="V338" s="111" t="n"/>
      <c r="W338" s="113" t="n"/>
      <c r="X338" s="113" t="n"/>
      <c r="Y338" s="111" t="n"/>
      <c r="Z338" s="111" t="n"/>
      <c r="AA338" s="111" t="n"/>
      <c r="AB338" s="111" t="n"/>
      <c r="AC338" s="111" t="n"/>
      <c r="AD338" s="111" t="n"/>
      <c r="AE338" s="111" t="n"/>
      <c r="AF338" s="111" t="n"/>
      <c r="AG338" s="111" t="n"/>
      <c r="AH338" s="111" t="n"/>
      <c r="AI338" s="111" t="n"/>
      <c r="AJ338" s="114">
        <f>IF(COUNTA(B338,E338,H338,I338,J338,K338,L338,M338,N338,O338,P338,Q338,R338,S338,T338,U338,V338,W338,X338,Y338,Z338,AA338,AB338,AC338,AD338,AE338,AF338,AG338,AH338,AI338)=0,"",IF(OR(B338="",E338="",H338="",J338="",K338="",L338="",M338="",O338="",P338="",Q338="",R338="",S338="",T338="",U338="",W338="",X338="",Y338="",AB338="",AC338="",AE338="",AF338=""),"Incompleta: faltan campos obligatorios",IF(AND(LEFT(H338,6)="PROPIA",I338=""),"Falta el nombre de la acción propia del área",IF(AND(LEFT(H338,4)="AC27",IFERROR(INDEX('Catalogos_PDN'!$T$5:$T$207,MATCH(H338,'Catalogos_PDN'!$U$5:$U$207,0)),"x")&lt;&gt;LEFT(E338,7)),"La acción no corresponde a la meta seleccionada",IF(OR(NOT(ISNUMBER(M338)),M338&lt;10000000,M338&gt;99999999),"Código UNSPSC inválido: registre 8 dígitos",IF(MOD(M338,10000)=0,"UNSPSC a nivel de segmento o familia: use clase o producto",IF(IFERROR(MATCH(P338,PN_MESES,0)&lt;MATCH(O338,PN_MESES,0),TRUE()),"El mes de ofertas es anterior al de inicio del proceso",IF(OR(NOT(ISNUMBER(Q338)),Q338&lt;=0),"Duración inválida",IF(OR(NOT(ISNUMBER(W338)),NOT(ISNUMBER(X338))),"Valor inválido: registre solo números",IF(OR(W338&lt;=0,X338&lt;=0),"Valor inválido: debe ser mayor que cero",IF(X338&gt;W338,"El valor de la vigencia 2027 supera el valor total",IF(AND(X338&lt;W338,Y338="No"),"El valor total supera el de 2027: requiere vigencias futuras",IF(AND(Y338="Sí",OR(Z338="",Z338="No aplica")),"Indique el estado de la solicitud de vigencias futuras",IF(IF(AND(S338="Mínima cuantía",ISNUMBER(PN_TOPE_MINIMA)),W338&gt;PN_TOPE_MINIMA,FALSE()),"El valor supera el tope de mínima cuantía 2027",IF(IF(AND(S338="Selección abreviada de menor cuantía",ISNUMBER(PN_TOPE_MENOR)),W338&gt;PN_TOPE_MENOR,FALSE()),"El valor supera el tope de menor cuantía 2027",IF(OR(ISERROR(SEARCH("@itc.edu.co",AE338)),SUMPRODUCT(--ISNUMBER(SEARCH({"á","é","í","ó","ú","ñ"," "},AE338)))&gt;0),"El correo del responsable no es institucional válido",IF(AND(AF338="Sí",AG338=""),"Indique el N.° de registro 2026 que continúa","OK")))))))))))))))))</f>
        <v/>
      </c>
      <c r="AK338" s="114">
        <f>IF(AJ338="OK",COUNTIF($AJ$7:AJ338,"OK"),"")</f>
        <v/>
      </c>
    </row>
    <row r="339">
      <c r="A339" s="110">
        <f>"PN27-"&amp;TEXT(ROW()-6,"000")</f>
        <v/>
      </c>
      <c r="B339" s="111" t="n"/>
      <c r="C339" s="110">
        <f>IF(B339="","",IFERROR(INDEX('Catalogos_PDN'!$R$5:$R$51,MATCH(B339,PN_AREAS,0)),""))</f>
        <v/>
      </c>
      <c r="D339" s="110">
        <f>IF(B339="","",IFERROR(INDEX('Catalogos_PDN'!$O$5:$O$51,MATCH(B339,PN_AREAS,0)),""))</f>
        <v/>
      </c>
      <c r="E339" s="111" t="n"/>
      <c r="F339" s="110">
        <f>IF(E339="","",IFERROR(INDEX('Catalogos_PDN'!$C$5:$C$49,MATCH(E339,PN_METAS,0)),""))</f>
        <v/>
      </c>
      <c r="G339" s="110">
        <f>IF(E339="","",IFERROR(INDEX('Catalogos_PDN'!$E$5:$E$49,MATCH(E339,PN_METAS,0)),""))</f>
        <v/>
      </c>
      <c r="H339" s="111" t="n"/>
      <c r="I339" s="111" t="n"/>
      <c r="J339" s="111" t="n"/>
      <c r="K339" s="111" t="n"/>
      <c r="L339" s="111" t="n"/>
      <c r="M339" s="112" t="n"/>
      <c r="N339" s="111" t="n"/>
      <c r="O339" s="111" t="n"/>
      <c r="P339" s="111" t="n"/>
      <c r="Q339" s="111" t="n"/>
      <c r="R339" s="111" t="n"/>
      <c r="S339" s="111" t="n"/>
      <c r="T339" s="111" t="n"/>
      <c r="U339" s="111" t="n"/>
      <c r="V339" s="111" t="n"/>
      <c r="W339" s="113" t="n"/>
      <c r="X339" s="113" t="n"/>
      <c r="Y339" s="111" t="n"/>
      <c r="Z339" s="111" t="n"/>
      <c r="AA339" s="111" t="n"/>
      <c r="AB339" s="111" t="n"/>
      <c r="AC339" s="111" t="n"/>
      <c r="AD339" s="111" t="n"/>
      <c r="AE339" s="111" t="n"/>
      <c r="AF339" s="111" t="n"/>
      <c r="AG339" s="111" t="n"/>
      <c r="AH339" s="111" t="n"/>
      <c r="AI339" s="111" t="n"/>
      <c r="AJ339" s="114">
        <f>IF(COUNTA(B339,E339,H339,I339,J339,K339,L339,M339,N339,O339,P339,Q339,R339,S339,T339,U339,V339,W339,X339,Y339,Z339,AA339,AB339,AC339,AD339,AE339,AF339,AG339,AH339,AI339)=0,"",IF(OR(B339="",E339="",H339="",J339="",K339="",L339="",M339="",O339="",P339="",Q339="",R339="",S339="",T339="",U339="",W339="",X339="",Y339="",AB339="",AC339="",AE339="",AF339=""),"Incompleta: faltan campos obligatorios",IF(AND(LEFT(H339,6)="PROPIA",I339=""),"Falta el nombre de la acción propia del área",IF(AND(LEFT(H339,4)="AC27",IFERROR(INDEX('Catalogos_PDN'!$T$5:$T$207,MATCH(H339,'Catalogos_PDN'!$U$5:$U$207,0)),"x")&lt;&gt;LEFT(E339,7)),"La acción no corresponde a la meta seleccionada",IF(OR(NOT(ISNUMBER(M339)),M339&lt;10000000,M339&gt;99999999),"Código UNSPSC inválido: registre 8 dígitos",IF(MOD(M339,10000)=0,"UNSPSC a nivel de segmento o familia: use clase o producto",IF(IFERROR(MATCH(P339,PN_MESES,0)&lt;MATCH(O339,PN_MESES,0),TRUE()),"El mes de ofertas es anterior al de inicio del proceso",IF(OR(NOT(ISNUMBER(Q339)),Q339&lt;=0),"Duración inválida",IF(OR(NOT(ISNUMBER(W339)),NOT(ISNUMBER(X339))),"Valor inválido: registre solo números",IF(OR(W339&lt;=0,X339&lt;=0),"Valor inválido: debe ser mayor que cero",IF(X339&gt;W339,"El valor de la vigencia 2027 supera el valor total",IF(AND(X339&lt;W339,Y339="No"),"El valor total supera el de 2027: requiere vigencias futuras",IF(AND(Y339="Sí",OR(Z339="",Z339="No aplica")),"Indique el estado de la solicitud de vigencias futuras",IF(IF(AND(S339="Mínima cuantía",ISNUMBER(PN_TOPE_MINIMA)),W339&gt;PN_TOPE_MINIMA,FALSE()),"El valor supera el tope de mínima cuantía 2027",IF(IF(AND(S339="Selección abreviada de menor cuantía",ISNUMBER(PN_TOPE_MENOR)),W339&gt;PN_TOPE_MENOR,FALSE()),"El valor supera el tope de menor cuantía 2027",IF(OR(ISERROR(SEARCH("@itc.edu.co",AE339)),SUMPRODUCT(--ISNUMBER(SEARCH({"á","é","í","ó","ú","ñ"," "},AE339)))&gt;0),"El correo del responsable no es institucional válido",IF(AND(AF339="Sí",AG339=""),"Indique el N.° de registro 2026 que continúa","OK")))))))))))))))))</f>
        <v/>
      </c>
      <c r="AK339" s="114">
        <f>IF(AJ339="OK",COUNTIF($AJ$7:AJ339,"OK"),"")</f>
        <v/>
      </c>
    </row>
    <row r="340">
      <c r="A340" s="110">
        <f>"PN27-"&amp;TEXT(ROW()-6,"000")</f>
        <v/>
      </c>
      <c r="B340" s="111" t="n"/>
      <c r="C340" s="110">
        <f>IF(B340="","",IFERROR(INDEX('Catalogos_PDN'!$R$5:$R$51,MATCH(B340,PN_AREAS,0)),""))</f>
        <v/>
      </c>
      <c r="D340" s="110">
        <f>IF(B340="","",IFERROR(INDEX('Catalogos_PDN'!$O$5:$O$51,MATCH(B340,PN_AREAS,0)),""))</f>
        <v/>
      </c>
      <c r="E340" s="111" t="n"/>
      <c r="F340" s="110">
        <f>IF(E340="","",IFERROR(INDEX('Catalogos_PDN'!$C$5:$C$49,MATCH(E340,PN_METAS,0)),""))</f>
        <v/>
      </c>
      <c r="G340" s="110">
        <f>IF(E340="","",IFERROR(INDEX('Catalogos_PDN'!$E$5:$E$49,MATCH(E340,PN_METAS,0)),""))</f>
        <v/>
      </c>
      <c r="H340" s="111" t="n"/>
      <c r="I340" s="111" t="n"/>
      <c r="J340" s="111" t="n"/>
      <c r="K340" s="111" t="n"/>
      <c r="L340" s="111" t="n"/>
      <c r="M340" s="112" t="n"/>
      <c r="N340" s="111" t="n"/>
      <c r="O340" s="111" t="n"/>
      <c r="P340" s="111" t="n"/>
      <c r="Q340" s="111" t="n"/>
      <c r="R340" s="111" t="n"/>
      <c r="S340" s="111" t="n"/>
      <c r="T340" s="111" t="n"/>
      <c r="U340" s="111" t="n"/>
      <c r="V340" s="111" t="n"/>
      <c r="W340" s="113" t="n"/>
      <c r="X340" s="113" t="n"/>
      <c r="Y340" s="111" t="n"/>
      <c r="Z340" s="111" t="n"/>
      <c r="AA340" s="111" t="n"/>
      <c r="AB340" s="111" t="n"/>
      <c r="AC340" s="111" t="n"/>
      <c r="AD340" s="111" t="n"/>
      <c r="AE340" s="111" t="n"/>
      <c r="AF340" s="111" t="n"/>
      <c r="AG340" s="111" t="n"/>
      <c r="AH340" s="111" t="n"/>
      <c r="AI340" s="111" t="n"/>
      <c r="AJ340" s="114">
        <f>IF(COUNTA(B340,E340,H340,I340,J340,K340,L340,M340,N340,O340,P340,Q340,R340,S340,T340,U340,V340,W340,X340,Y340,Z340,AA340,AB340,AC340,AD340,AE340,AF340,AG340,AH340,AI340)=0,"",IF(OR(B340="",E340="",H340="",J340="",K340="",L340="",M340="",O340="",P340="",Q340="",R340="",S340="",T340="",U340="",W340="",X340="",Y340="",AB340="",AC340="",AE340="",AF340=""),"Incompleta: faltan campos obligatorios",IF(AND(LEFT(H340,6)="PROPIA",I340=""),"Falta el nombre de la acción propia del área",IF(AND(LEFT(H340,4)="AC27",IFERROR(INDEX('Catalogos_PDN'!$T$5:$T$207,MATCH(H340,'Catalogos_PDN'!$U$5:$U$207,0)),"x")&lt;&gt;LEFT(E340,7)),"La acción no corresponde a la meta seleccionada",IF(OR(NOT(ISNUMBER(M340)),M340&lt;10000000,M340&gt;99999999),"Código UNSPSC inválido: registre 8 dígitos",IF(MOD(M340,10000)=0,"UNSPSC a nivel de segmento o familia: use clase o producto",IF(IFERROR(MATCH(P340,PN_MESES,0)&lt;MATCH(O340,PN_MESES,0),TRUE()),"El mes de ofertas es anterior al de inicio del proceso",IF(OR(NOT(ISNUMBER(Q340)),Q340&lt;=0),"Duración inválida",IF(OR(NOT(ISNUMBER(W340)),NOT(ISNUMBER(X340))),"Valor inválido: registre solo números",IF(OR(W340&lt;=0,X340&lt;=0),"Valor inválido: debe ser mayor que cero",IF(X340&gt;W340,"El valor de la vigencia 2027 supera el valor total",IF(AND(X340&lt;W340,Y340="No"),"El valor total supera el de 2027: requiere vigencias futuras",IF(AND(Y340="Sí",OR(Z340="",Z340="No aplica")),"Indique el estado de la solicitud de vigencias futuras",IF(IF(AND(S340="Mínima cuantía",ISNUMBER(PN_TOPE_MINIMA)),W340&gt;PN_TOPE_MINIMA,FALSE()),"El valor supera el tope de mínima cuantía 2027",IF(IF(AND(S340="Selección abreviada de menor cuantía",ISNUMBER(PN_TOPE_MENOR)),W340&gt;PN_TOPE_MENOR,FALSE()),"El valor supera el tope de menor cuantía 2027",IF(OR(ISERROR(SEARCH("@itc.edu.co",AE340)),SUMPRODUCT(--ISNUMBER(SEARCH({"á","é","í","ó","ú","ñ"," "},AE340)))&gt;0),"El correo del responsable no es institucional válido",IF(AND(AF340="Sí",AG340=""),"Indique el N.° de registro 2026 que continúa","OK")))))))))))))))))</f>
        <v/>
      </c>
      <c r="AK340" s="114">
        <f>IF(AJ340="OK",COUNTIF($AJ$7:AJ340,"OK"),"")</f>
        <v/>
      </c>
    </row>
    <row r="341">
      <c r="A341" s="110">
        <f>"PN27-"&amp;TEXT(ROW()-6,"000")</f>
        <v/>
      </c>
      <c r="B341" s="111" t="n"/>
      <c r="C341" s="110">
        <f>IF(B341="","",IFERROR(INDEX('Catalogos_PDN'!$R$5:$R$51,MATCH(B341,PN_AREAS,0)),""))</f>
        <v/>
      </c>
      <c r="D341" s="110">
        <f>IF(B341="","",IFERROR(INDEX('Catalogos_PDN'!$O$5:$O$51,MATCH(B341,PN_AREAS,0)),""))</f>
        <v/>
      </c>
      <c r="E341" s="111" t="n"/>
      <c r="F341" s="110">
        <f>IF(E341="","",IFERROR(INDEX('Catalogos_PDN'!$C$5:$C$49,MATCH(E341,PN_METAS,0)),""))</f>
        <v/>
      </c>
      <c r="G341" s="110">
        <f>IF(E341="","",IFERROR(INDEX('Catalogos_PDN'!$E$5:$E$49,MATCH(E341,PN_METAS,0)),""))</f>
        <v/>
      </c>
      <c r="H341" s="111" t="n"/>
      <c r="I341" s="111" t="n"/>
      <c r="J341" s="111" t="n"/>
      <c r="K341" s="111" t="n"/>
      <c r="L341" s="111" t="n"/>
      <c r="M341" s="112" t="n"/>
      <c r="N341" s="111" t="n"/>
      <c r="O341" s="111" t="n"/>
      <c r="P341" s="111" t="n"/>
      <c r="Q341" s="111" t="n"/>
      <c r="R341" s="111" t="n"/>
      <c r="S341" s="111" t="n"/>
      <c r="T341" s="111" t="n"/>
      <c r="U341" s="111" t="n"/>
      <c r="V341" s="111" t="n"/>
      <c r="W341" s="113" t="n"/>
      <c r="X341" s="113" t="n"/>
      <c r="Y341" s="111" t="n"/>
      <c r="Z341" s="111" t="n"/>
      <c r="AA341" s="111" t="n"/>
      <c r="AB341" s="111" t="n"/>
      <c r="AC341" s="111" t="n"/>
      <c r="AD341" s="111" t="n"/>
      <c r="AE341" s="111" t="n"/>
      <c r="AF341" s="111" t="n"/>
      <c r="AG341" s="111" t="n"/>
      <c r="AH341" s="111" t="n"/>
      <c r="AI341" s="111" t="n"/>
      <c r="AJ341" s="114">
        <f>IF(COUNTA(B341,E341,H341,I341,J341,K341,L341,M341,N341,O341,P341,Q341,R341,S341,T341,U341,V341,W341,X341,Y341,Z341,AA341,AB341,AC341,AD341,AE341,AF341,AG341,AH341,AI341)=0,"",IF(OR(B341="",E341="",H341="",J341="",K341="",L341="",M341="",O341="",P341="",Q341="",R341="",S341="",T341="",U341="",W341="",X341="",Y341="",AB341="",AC341="",AE341="",AF341=""),"Incompleta: faltan campos obligatorios",IF(AND(LEFT(H341,6)="PROPIA",I341=""),"Falta el nombre de la acción propia del área",IF(AND(LEFT(H341,4)="AC27",IFERROR(INDEX('Catalogos_PDN'!$T$5:$T$207,MATCH(H341,'Catalogos_PDN'!$U$5:$U$207,0)),"x")&lt;&gt;LEFT(E341,7)),"La acción no corresponde a la meta seleccionada",IF(OR(NOT(ISNUMBER(M341)),M341&lt;10000000,M341&gt;99999999),"Código UNSPSC inválido: registre 8 dígitos",IF(MOD(M341,10000)=0,"UNSPSC a nivel de segmento o familia: use clase o producto",IF(IFERROR(MATCH(P341,PN_MESES,0)&lt;MATCH(O341,PN_MESES,0),TRUE()),"El mes de ofertas es anterior al de inicio del proceso",IF(OR(NOT(ISNUMBER(Q341)),Q341&lt;=0),"Duración inválida",IF(OR(NOT(ISNUMBER(W341)),NOT(ISNUMBER(X341))),"Valor inválido: registre solo números",IF(OR(W341&lt;=0,X341&lt;=0),"Valor inválido: debe ser mayor que cero",IF(X341&gt;W341,"El valor de la vigencia 2027 supera el valor total",IF(AND(X341&lt;W341,Y341="No"),"El valor total supera el de 2027: requiere vigencias futuras",IF(AND(Y341="Sí",OR(Z341="",Z341="No aplica")),"Indique el estado de la solicitud de vigencias futuras",IF(IF(AND(S341="Mínima cuantía",ISNUMBER(PN_TOPE_MINIMA)),W341&gt;PN_TOPE_MINIMA,FALSE()),"El valor supera el tope de mínima cuantía 2027",IF(IF(AND(S341="Selección abreviada de menor cuantía",ISNUMBER(PN_TOPE_MENOR)),W341&gt;PN_TOPE_MENOR,FALSE()),"El valor supera el tope de menor cuantía 2027",IF(OR(ISERROR(SEARCH("@itc.edu.co",AE341)),SUMPRODUCT(--ISNUMBER(SEARCH({"á","é","í","ó","ú","ñ"," "},AE341)))&gt;0),"El correo del responsable no es institucional válido",IF(AND(AF341="Sí",AG341=""),"Indique el N.° de registro 2026 que continúa","OK")))))))))))))))))</f>
        <v/>
      </c>
      <c r="AK341" s="114">
        <f>IF(AJ341="OK",COUNTIF($AJ$7:AJ341,"OK"),"")</f>
        <v/>
      </c>
    </row>
    <row r="342">
      <c r="A342" s="110">
        <f>"PN27-"&amp;TEXT(ROW()-6,"000")</f>
        <v/>
      </c>
      <c r="B342" s="111" t="n"/>
      <c r="C342" s="110">
        <f>IF(B342="","",IFERROR(INDEX('Catalogos_PDN'!$R$5:$R$51,MATCH(B342,PN_AREAS,0)),""))</f>
        <v/>
      </c>
      <c r="D342" s="110">
        <f>IF(B342="","",IFERROR(INDEX('Catalogos_PDN'!$O$5:$O$51,MATCH(B342,PN_AREAS,0)),""))</f>
        <v/>
      </c>
      <c r="E342" s="111" t="n"/>
      <c r="F342" s="110">
        <f>IF(E342="","",IFERROR(INDEX('Catalogos_PDN'!$C$5:$C$49,MATCH(E342,PN_METAS,0)),""))</f>
        <v/>
      </c>
      <c r="G342" s="110">
        <f>IF(E342="","",IFERROR(INDEX('Catalogos_PDN'!$E$5:$E$49,MATCH(E342,PN_METAS,0)),""))</f>
        <v/>
      </c>
      <c r="H342" s="111" t="n"/>
      <c r="I342" s="111" t="n"/>
      <c r="J342" s="111" t="n"/>
      <c r="K342" s="111" t="n"/>
      <c r="L342" s="111" t="n"/>
      <c r="M342" s="112" t="n"/>
      <c r="N342" s="111" t="n"/>
      <c r="O342" s="111" t="n"/>
      <c r="P342" s="111" t="n"/>
      <c r="Q342" s="111" t="n"/>
      <c r="R342" s="111" t="n"/>
      <c r="S342" s="111" t="n"/>
      <c r="T342" s="111" t="n"/>
      <c r="U342" s="111" t="n"/>
      <c r="V342" s="111" t="n"/>
      <c r="W342" s="113" t="n"/>
      <c r="X342" s="113" t="n"/>
      <c r="Y342" s="111" t="n"/>
      <c r="Z342" s="111" t="n"/>
      <c r="AA342" s="111" t="n"/>
      <c r="AB342" s="111" t="n"/>
      <c r="AC342" s="111" t="n"/>
      <c r="AD342" s="111" t="n"/>
      <c r="AE342" s="111" t="n"/>
      <c r="AF342" s="111" t="n"/>
      <c r="AG342" s="111" t="n"/>
      <c r="AH342" s="111" t="n"/>
      <c r="AI342" s="111" t="n"/>
      <c r="AJ342" s="114">
        <f>IF(COUNTA(B342,E342,H342,I342,J342,K342,L342,M342,N342,O342,P342,Q342,R342,S342,T342,U342,V342,W342,X342,Y342,Z342,AA342,AB342,AC342,AD342,AE342,AF342,AG342,AH342,AI342)=0,"",IF(OR(B342="",E342="",H342="",J342="",K342="",L342="",M342="",O342="",P342="",Q342="",R342="",S342="",T342="",U342="",W342="",X342="",Y342="",AB342="",AC342="",AE342="",AF342=""),"Incompleta: faltan campos obligatorios",IF(AND(LEFT(H342,6)="PROPIA",I342=""),"Falta el nombre de la acción propia del área",IF(AND(LEFT(H342,4)="AC27",IFERROR(INDEX('Catalogos_PDN'!$T$5:$T$207,MATCH(H342,'Catalogos_PDN'!$U$5:$U$207,0)),"x")&lt;&gt;LEFT(E342,7)),"La acción no corresponde a la meta seleccionada",IF(OR(NOT(ISNUMBER(M342)),M342&lt;10000000,M342&gt;99999999),"Código UNSPSC inválido: registre 8 dígitos",IF(MOD(M342,10000)=0,"UNSPSC a nivel de segmento o familia: use clase o producto",IF(IFERROR(MATCH(P342,PN_MESES,0)&lt;MATCH(O342,PN_MESES,0),TRUE()),"El mes de ofertas es anterior al de inicio del proceso",IF(OR(NOT(ISNUMBER(Q342)),Q342&lt;=0),"Duración inválida",IF(OR(NOT(ISNUMBER(W342)),NOT(ISNUMBER(X342))),"Valor inválido: registre solo números",IF(OR(W342&lt;=0,X342&lt;=0),"Valor inválido: debe ser mayor que cero",IF(X342&gt;W342,"El valor de la vigencia 2027 supera el valor total",IF(AND(X342&lt;W342,Y342="No"),"El valor total supera el de 2027: requiere vigencias futuras",IF(AND(Y342="Sí",OR(Z342="",Z342="No aplica")),"Indique el estado de la solicitud de vigencias futuras",IF(IF(AND(S342="Mínima cuantía",ISNUMBER(PN_TOPE_MINIMA)),W342&gt;PN_TOPE_MINIMA,FALSE()),"El valor supera el tope de mínima cuantía 2027",IF(IF(AND(S342="Selección abreviada de menor cuantía",ISNUMBER(PN_TOPE_MENOR)),W342&gt;PN_TOPE_MENOR,FALSE()),"El valor supera el tope de menor cuantía 2027",IF(OR(ISERROR(SEARCH("@itc.edu.co",AE342)),SUMPRODUCT(--ISNUMBER(SEARCH({"á","é","í","ó","ú","ñ"," "},AE342)))&gt;0),"El correo del responsable no es institucional válido",IF(AND(AF342="Sí",AG342=""),"Indique el N.° de registro 2026 que continúa","OK")))))))))))))))))</f>
        <v/>
      </c>
      <c r="AK342" s="114">
        <f>IF(AJ342="OK",COUNTIF($AJ$7:AJ342,"OK"),"")</f>
        <v/>
      </c>
    </row>
    <row r="343">
      <c r="A343" s="110">
        <f>"PN27-"&amp;TEXT(ROW()-6,"000")</f>
        <v/>
      </c>
      <c r="B343" s="111" t="n"/>
      <c r="C343" s="110">
        <f>IF(B343="","",IFERROR(INDEX('Catalogos_PDN'!$R$5:$R$51,MATCH(B343,PN_AREAS,0)),""))</f>
        <v/>
      </c>
      <c r="D343" s="110">
        <f>IF(B343="","",IFERROR(INDEX('Catalogos_PDN'!$O$5:$O$51,MATCH(B343,PN_AREAS,0)),""))</f>
        <v/>
      </c>
      <c r="E343" s="111" t="n"/>
      <c r="F343" s="110">
        <f>IF(E343="","",IFERROR(INDEX('Catalogos_PDN'!$C$5:$C$49,MATCH(E343,PN_METAS,0)),""))</f>
        <v/>
      </c>
      <c r="G343" s="110">
        <f>IF(E343="","",IFERROR(INDEX('Catalogos_PDN'!$E$5:$E$49,MATCH(E343,PN_METAS,0)),""))</f>
        <v/>
      </c>
      <c r="H343" s="111" t="n"/>
      <c r="I343" s="111" t="n"/>
      <c r="J343" s="111" t="n"/>
      <c r="K343" s="111" t="n"/>
      <c r="L343" s="111" t="n"/>
      <c r="M343" s="112" t="n"/>
      <c r="N343" s="111" t="n"/>
      <c r="O343" s="111" t="n"/>
      <c r="P343" s="111" t="n"/>
      <c r="Q343" s="111" t="n"/>
      <c r="R343" s="111" t="n"/>
      <c r="S343" s="111" t="n"/>
      <c r="T343" s="111" t="n"/>
      <c r="U343" s="111" t="n"/>
      <c r="V343" s="111" t="n"/>
      <c r="W343" s="113" t="n"/>
      <c r="X343" s="113" t="n"/>
      <c r="Y343" s="111" t="n"/>
      <c r="Z343" s="111" t="n"/>
      <c r="AA343" s="111" t="n"/>
      <c r="AB343" s="111" t="n"/>
      <c r="AC343" s="111" t="n"/>
      <c r="AD343" s="111" t="n"/>
      <c r="AE343" s="111" t="n"/>
      <c r="AF343" s="111" t="n"/>
      <c r="AG343" s="111" t="n"/>
      <c r="AH343" s="111" t="n"/>
      <c r="AI343" s="111" t="n"/>
      <c r="AJ343" s="114">
        <f>IF(COUNTA(B343,E343,H343,I343,J343,K343,L343,M343,N343,O343,P343,Q343,R343,S343,T343,U343,V343,W343,X343,Y343,Z343,AA343,AB343,AC343,AD343,AE343,AF343,AG343,AH343,AI343)=0,"",IF(OR(B343="",E343="",H343="",J343="",K343="",L343="",M343="",O343="",P343="",Q343="",R343="",S343="",T343="",U343="",W343="",X343="",Y343="",AB343="",AC343="",AE343="",AF343=""),"Incompleta: faltan campos obligatorios",IF(AND(LEFT(H343,6)="PROPIA",I343=""),"Falta el nombre de la acción propia del área",IF(AND(LEFT(H343,4)="AC27",IFERROR(INDEX('Catalogos_PDN'!$T$5:$T$207,MATCH(H343,'Catalogos_PDN'!$U$5:$U$207,0)),"x")&lt;&gt;LEFT(E343,7)),"La acción no corresponde a la meta seleccionada",IF(OR(NOT(ISNUMBER(M343)),M343&lt;10000000,M343&gt;99999999),"Código UNSPSC inválido: registre 8 dígitos",IF(MOD(M343,10000)=0,"UNSPSC a nivel de segmento o familia: use clase o producto",IF(IFERROR(MATCH(P343,PN_MESES,0)&lt;MATCH(O343,PN_MESES,0),TRUE()),"El mes de ofertas es anterior al de inicio del proceso",IF(OR(NOT(ISNUMBER(Q343)),Q343&lt;=0),"Duración inválida",IF(OR(NOT(ISNUMBER(W343)),NOT(ISNUMBER(X343))),"Valor inválido: registre solo números",IF(OR(W343&lt;=0,X343&lt;=0),"Valor inválido: debe ser mayor que cero",IF(X343&gt;W343,"El valor de la vigencia 2027 supera el valor total",IF(AND(X343&lt;W343,Y343="No"),"El valor total supera el de 2027: requiere vigencias futuras",IF(AND(Y343="Sí",OR(Z343="",Z343="No aplica")),"Indique el estado de la solicitud de vigencias futuras",IF(IF(AND(S343="Mínima cuantía",ISNUMBER(PN_TOPE_MINIMA)),W343&gt;PN_TOPE_MINIMA,FALSE()),"El valor supera el tope de mínima cuantía 2027",IF(IF(AND(S343="Selección abreviada de menor cuantía",ISNUMBER(PN_TOPE_MENOR)),W343&gt;PN_TOPE_MENOR,FALSE()),"El valor supera el tope de menor cuantía 2027",IF(OR(ISERROR(SEARCH("@itc.edu.co",AE343)),SUMPRODUCT(--ISNUMBER(SEARCH({"á","é","í","ó","ú","ñ"," "},AE343)))&gt;0),"El correo del responsable no es institucional válido",IF(AND(AF343="Sí",AG343=""),"Indique el N.° de registro 2026 que continúa","OK")))))))))))))))))</f>
        <v/>
      </c>
      <c r="AK343" s="114">
        <f>IF(AJ343="OK",COUNTIF($AJ$7:AJ343,"OK"),"")</f>
        <v/>
      </c>
    </row>
    <row r="344">
      <c r="A344" s="110">
        <f>"PN27-"&amp;TEXT(ROW()-6,"000")</f>
        <v/>
      </c>
      <c r="B344" s="111" t="n"/>
      <c r="C344" s="110">
        <f>IF(B344="","",IFERROR(INDEX('Catalogos_PDN'!$R$5:$R$51,MATCH(B344,PN_AREAS,0)),""))</f>
        <v/>
      </c>
      <c r="D344" s="110">
        <f>IF(B344="","",IFERROR(INDEX('Catalogos_PDN'!$O$5:$O$51,MATCH(B344,PN_AREAS,0)),""))</f>
        <v/>
      </c>
      <c r="E344" s="111" t="n"/>
      <c r="F344" s="110">
        <f>IF(E344="","",IFERROR(INDEX('Catalogos_PDN'!$C$5:$C$49,MATCH(E344,PN_METAS,0)),""))</f>
        <v/>
      </c>
      <c r="G344" s="110">
        <f>IF(E344="","",IFERROR(INDEX('Catalogos_PDN'!$E$5:$E$49,MATCH(E344,PN_METAS,0)),""))</f>
        <v/>
      </c>
      <c r="H344" s="111" t="n"/>
      <c r="I344" s="111" t="n"/>
      <c r="J344" s="111" t="n"/>
      <c r="K344" s="111" t="n"/>
      <c r="L344" s="111" t="n"/>
      <c r="M344" s="112" t="n"/>
      <c r="N344" s="111" t="n"/>
      <c r="O344" s="111" t="n"/>
      <c r="P344" s="111" t="n"/>
      <c r="Q344" s="111" t="n"/>
      <c r="R344" s="111" t="n"/>
      <c r="S344" s="111" t="n"/>
      <c r="T344" s="111" t="n"/>
      <c r="U344" s="111" t="n"/>
      <c r="V344" s="111" t="n"/>
      <c r="W344" s="113" t="n"/>
      <c r="X344" s="113" t="n"/>
      <c r="Y344" s="111" t="n"/>
      <c r="Z344" s="111" t="n"/>
      <c r="AA344" s="111" t="n"/>
      <c r="AB344" s="111" t="n"/>
      <c r="AC344" s="111" t="n"/>
      <c r="AD344" s="111" t="n"/>
      <c r="AE344" s="111" t="n"/>
      <c r="AF344" s="111" t="n"/>
      <c r="AG344" s="111" t="n"/>
      <c r="AH344" s="111" t="n"/>
      <c r="AI344" s="111" t="n"/>
      <c r="AJ344" s="114">
        <f>IF(COUNTA(B344,E344,H344,I344,J344,K344,L344,M344,N344,O344,P344,Q344,R344,S344,T344,U344,V344,W344,X344,Y344,Z344,AA344,AB344,AC344,AD344,AE344,AF344,AG344,AH344,AI344)=0,"",IF(OR(B344="",E344="",H344="",J344="",K344="",L344="",M344="",O344="",P344="",Q344="",R344="",S344="",T344="",U344="",W344="",X344="",Y344="",AB344="",AC344="",AE344="",AF344=""),"Incompleta: faltan campos obligatorios",IF(AND(LEFT(H344,6)="PROPIA",I344=""),"Falta el nombre de la acción propia del área",IF(AND(LEFT(H344,4)="AC27",IFERROR(INDEX('Catalogos_PDN'!$T$5:$T$207,MATCH(H344,'Catalogos_PDN'!$U$5:$U$207,0)),"x")&lt;&gt;LEFT(E344,7)),"La acción no corresponde a la meta seleccionada",IF(OR(NOT(ISNUMBER(M344)),M344&lt;10000000,M344&gt;99999999),"Código UNSPSC inválido: registre 8 dígitos",IF(MOD(M344,10000)=0,"UNSPSC a nivel de segmento o familia: use clase o producto",IF(IFERROR(MATCH(P344,PN_MESES,0)&lt;MATCH(O344,PN_MESES,0),TRUE()),"El mes de ofertas es anterior al de inicio del proceso",IF(OR(NOT(ISNUMBER(Q344)),Q344&lt;=0),"Duración inválida",IF(OR(NOT(ISNUMBER(W344)),NOT(ISNUMBER(X344))),"Valor inválido: registre solo números",IF(OR(W344&lt;=0,X344&lt;=0),"Valor inválido: debe ser mayor que cero",IF(X344&gt;W344,"El valor de la vigencia 2027 supera el valor total",IF(AND(X344&lt;W344,Y344="No"),"El valor total supera el de 2027: requiere vigencias futuras",IF(AND(Y344="Sí",OR(Z344="",Z344="No aplica")),"Indique el estado de la solicitud de vigencias futuras",IF(IF(AND(S344="Mínima cuantía",ISNUMBER(PN_TOPE_MINIMA)),W344&gt;PN_TOPE_MINIMA,FALSE()),"El valor supera el tope de mínima cuantía 2027",IF(IF(AND(S344="Selección abreviada de menor cuantía",ISNUMBER(PN_TOPE_MENOR)),W344&gt;PN_TOPE_MENOR,FALSE()),"El valor supera el tope de menor cuantía 2027",IF(OR(ISERROR(SEARCH("@itc.edu.co",AE344)),SUMPRODUCT(--ISNUMBER(SEARCH({"á","é","í","ó","ú","ñ"," "},AE344)))&gt;0),"El correo del responsable no es institucional válido",IF(AND(AF344="Sí",AG344=""),"Indique el N.° de registro 2026 que continúa","OK")))))))))))))))))</f>
        <v/>
      </c>
      <c r="AK344" s="114">
        <f>IF(AJ344="OK",COUNTIF($AJ$7:AJ344,"OK"),"")</f>
        <v/>
      </c>
    </row>
    <row r="345">
      <c r="A345" s="110">
        <f>"PN27-"&amp;TEXT(ROW()-6,"000")</f>
        <v/>
      </c>
      <c r="B345" s="111" t="n"/>
      <c r="C345" s="110">
        <f>IF(B345="","",IFERROR(INDEX('Catalogos_PDN'!$R$5:$R$51,MATCH(B345,PN_AREAS,0)),""))</f>
        <v/>
      </c>
      <c r="D345" s="110">
        <f>IF(B345="","",IFERROR(INDEX('Catalogos_PDN'!$O$5:$O$51,MATCH(B345,PN_AREAS,0)),""))</f>
        <v/>
      </c>
      <c r="E345" s="111" t="n"/>
      <c r="F345" s="110">
        <f>IF(E345="","",IFERROR(INDEX('Catalogos_PDN'!$C$5:$C$49,MATCH(E345,PN_METAS,0)),""))</f>
        <v/>
      </c>
      <c r="G345" s="110">
        <f>IF(E345="","",IFERROR(INDEX('Catalogos_PDN'!$E$5:$E$49,MATCH(E345,PN_METAS,0)),""))</f>
        <v/>
      </c>
      <c r="H345" s="111" t="n"/>
      <c r="I345" s="111" t="n"/>
      <c r="J345" s="111" t="n"/>
      <c r="K345" s="111" t="n"/>
      <c r="L345" s="111" t="n"/>
      <c r="M345" s="112" t="n"/>
      <c r="N345" s="111" t="n"/>
      <c r="O345" s="111" t="n"/>
      <c r="P345" s="111" t="n"/>
      <c r="Q345" s="111" t="n"/>
      <c r="R345" s="111" t="n"/>
      <c r="S345" s="111" t="n"/>
      <c r="T345" s="111" t="n"/>
      <c r="U345" s="111" t="n"/>
      <c r="V345" s="111" t="n"/>
      <c r="W345" s="113" t="n"/>
      <c r="X345" s="113" t="n"/>
      <c r="Y345" s="111" t="n"/>
      <c r="Z345" s="111" t="n"/>
      <c r="AA345" s="111" t="n"/>
      <c r="AB345" s="111" t="n"/>
      <c r="AC345" s="111" t="n"/>
      <c r="AD345" s="111" t="n"/>
      <c r="AE345" s="111" t="n"/>
      <c r="AF345" s="111" t="n"/>
      <c r="AG345" s="111" t="n"/>
      <c r="AH345" s="111" t="n"/>
      <c r="AI345" s="111" t="n"/>
      <c r="AJ345" s="114">
        <f>IF(COUNTA(B345,E345,H345,I345,J345,K345,L345,M345,N345,O345,P345,Q345,R345,S345,T345,U345,V345,W345,X345,Y345,Z345,AA345,AB345,AC345,AD345,AE345,AF345,AG345,AH345,AI345)=0,"",IF(OR(B345="",E345="",H345="",J345="",K345="",L345="",M345="",O345="",P345="",Q345="",R345="",S345="",T345="",U345="",W345="",X345="",Y345="",AB345="",AC345="",AE345="",AF345=""),"Incompleta: faltan campos obligatorios",IF(AND(LEFT(H345,6)="PROPIA",I345=""),"Falta el nombre de la acción propia del área",IF(AND(LEFT(H345,4)="AC27",IFERROR(INDEX('Catalogos_PDN'!$T$5:$T$207,MATCH(H345,'Catalogos_PDN'!$U$5:$U$207,0)),"x")&lt;&gt;LEFT(E345,7)),"La acción no corresponde a la meta seleccionada",IF(OR(NOT(ISNUMBER(M345)),M345&lt;10000000,M345&gt;99999999),"Código UNSPSC inválido: registre 8 dígitos",IF(MOD(M345,10000)=0,"UNSPSC a nivel de segmento o familia: use clase o producto",IF(IFERROR(MATCH(P345,PN_MESES,0)&lt;MATCH(O345,PN_MESES,0),TRUE()),"El mes de ofertas es anterior al de inicio del proceso",IF(OR(NOT(ISNUMBER(Q345)),Q345&lt;=0),"Duración inválida",IF(OR(NOT(ISNUMBER(W345)),NOT(ISNUMBER(X345))),"Valor inválido: registre solo números",IF(OR(W345&lt;=0,X345&lt;=0),"Valor inválido: debe ser mayor que cero",IF(X345&gt;W345,"El valor de la vigencia 2027 supera el valor total",IF(AND(X345&lt;W345,Y345="No"),"El valor total supera el de 2027: requiere vigencias futuras",IF(AND(Y345="Sí",OR(Z345="",Z345="No aplica")),"Indique el estado de la solicitud de vigencias futuras",IF(IF(AND(S345="Mínima cuantía",ISNUMBER(PN_TOPE_MINIMA)),W345&gt;PN_TOPE_MINIMA,FALSE()),"El valor supera el tope de mínima cuantía 2027",IF(IF(AND(S345="Selección abreviada de menor cuantía",ISNUMBER(PN_TOPE_MENOR)),W345&gt;PN_TOPE_MENOR,FALSE()),"El valor supera el tope de menor cuantía 2027",IF(OR(ISERROR(SEARCH("@itc.edu.co",AE345)),SUMPRODUCT(--ISNUMBER(SEARCH({"á","é","í","ó","ú","ñ"," "},AE345)))&gt;0),"El correo del responsable no es institucional válido",IF(AND(AF345="Sí",AG345=""),"Indique el N.° de registro 2026 que continúa","OK")))))))))))))))))</f>
        <v/>
      </c>
      <c r="AK345" s="114">
        <f>IF(AJ345="OK",COUNTIF($AJ$7:AJ345,"OK"),"")</f>
        <v/>
      </c>
    </row>
    <row r="346">
      <c r="A346" s="110">
        <f>"PN27-"&amp;TEXT(ROW()-6,"000")</f>
        <v/>
      </c>
      <c r="B346" s="111" t="n"/>
      <c r="C346" s="110">
        <f>IF(B346="","",IFERROR(INDEX('Catalogos_PDN'!$R$5:$R$51,MATCH(B346,PN_AREAS,0)),""))</f>
        <v/>
      </c>
      <c r="D346" s="110">
        <f>IF(B346="","",IFERROR(INDEX('Catalogos_PDN'!$O$5:$O$51,MATCH(B346,PN_AREAS,0)),""))</f>
        <v/>
      </c>
      <c r="E346" s="111" t="n"/>
      <c r="F346" s="110">
        <f>IF(E346="","",IFERROR(INDEX('Catalogos_PDN'!$C$5:$C$49,MATCH(E346,PN_METAS,0)),""))</f>
        <v/>
      </c>
      <c r="G346" s="110">
        <f>IF(E346="","",IFERROR(INDEX('Catalogos_PDN'!$E$5:$E$49,MATCH(E346,PN_METAS,0)),""))</f>
        <v/>
      </c>
      <c r="H346" s="111" t="n"/>
      <c r="I346" s="111" t="n"/>
      <c r="J346" s="111" t="n"/>
      <c r="K346" s="111" t="n"/>
      <c r="L346" s="111" t="n"/>
      <c r="M346" s="112" t="n"/>
      <c r="N346" s="111" t="n"/>
      <c r="O346" s="111" t="n"/>
      <c r="P346" s="111" t="n"/>
      <c r="Q346" s="111" t="n"/>
      <c r="R346" s="111" t="n"/>
      <c r="S346" s="111" t="n"/>
      <c r="T346" s="111" t="n"/>
      <c r="U346" s="111" t="n"/>
      <c r="V346" s="111" t="n"/>
      <c r="W346" s="113" t="n"/>
      <c r="X346" s="113" t="n"/>
      <c r="Y346" s="111" t="n"/>
      <c r="Z346" s="111" t="n"/>
      <c r="AA346" s="111" t="n"/>
      <c r="AB346" s="111" t="n"/>
      <c r="AC346" s="111" t="n"/>
      <c r="AD346" s="111" t="n"/>
      <c r="AE346" s="111" t="n"/>
      <c r="AF346" s="111" t="n"/>
      <c r="AG346" s="111" t="n"/>
      <c r="AH346" s="111" t="n"/>
      <c r="AI346" s="111" t="n"/>
      <c r="AJ346" s="114">
        <f>IF(COUNTA(B346,E346,H346,I346,J346,K346,L346,M346,N346,O346,P346,Q346,R346,S346,T346,U346,V346,W346,X346,Y346,Z346,AA346,AB346,AC346,AD346,AE346,AF346,AG346,AH346,AI346)=0,"",IF(OR(B346="",E346="",H346="",J346="",K346="",L346="",M346="",O346="",P346="",Q346="",R346="",S346="",T346="",U346="",W346="",X346="",Y346="",AB346="",AC346="",AE346="",AF346=""),"Incompleta: faltan campos obligatorios",IF(AND(LEFT(H346,6)="PROPIA",I346=""),"Falta el nombre de la acción propia del área",IF(AND(LEFT(H346,4)="AC27",IFERROR(INDEX('Catalogos_PDN'!$T$5:$T$207,MATCH(H346,'Catalogos_PDN'!$U$5:$U$207,0)),"x")&lt;&gt;LEFT(E346,7)),"La acción no corresponde a la meta seleccionada",IF(OR(NOT(ISNUMBER(M346)),M346&lt;10000000,M346&gt;99999999),"Código UNSPSC inválido: registre 8 dígitos",IF(MOD(M346,10000)=0,"UNSPSC a nivel de segmento o familia: use clase o producto",IF(IFERROR(MATCH(P346,PN_MESES,0)&lt;MATCH(O346,PN_MESES,0),TRUE()),"El mes de ofertas es anterior al de inicio del proceso",IF(OR(NOT(ISNUMBER(Q346)),Q346&lt;=0),"Duración inválida",IF(OR(NOT(ISNUMBER(W346)),NOT(ISNUMBER(X346))),"Valor inválido: registre solo números",IF(OR(W346&lt;=0,X346&lt;=0),"Valor inválido: debe ser mayor que cero",IF(X346&gt;W346,"El valor de la vigencia 2027 supera el valor total",IF(AND(X346&lt;W346,Y346="No"),"El valor total supera el de 2027: requiere vigencias futuras",IF(AND(Y346="Sí",OR(Z346="",Z346="No aplica")),"Indique el estado de la solicitud de vigencias futuras",IF(IF(AND(S346="Mínima cuantía",ISNUMBER(PN_TOPE_MINIMA)),W346&gt;PN_TOPE_MINIMA,FALSE()),"El valor supera el tope de mínima cuantía 2027",IF(IF(AND(S346="Selección abreviada de menor cuantía",ISNUMBER(PN_TOPE_MENOR)),W346&gt;PN_TOPE_MENOR,FALSE()),"El valor supera el tope de menor cuantía 2027",IF(OR(ISERROR(SEARCH("@itc.edu.co",AE346)),SUMPRODUCT(--ISNUMBER(SEARCH({"á","é","í","ó","ú","ñ"," "},AE346)))&gt;0),"El correo del responsable no es institucional válido",IF(AND(AF346="Sí",AG346=""),"Indique el N.° de registro 2026 que continúa","OK")))))))))))))))))</f>
        <v/>
      </c>
      <c r="AK346" s="114">
        <f>IF(AJ346="OK",COUNTIF($AJ$7:AJ346,"OK"),"")</f>
        <v/>
      </c>
    </row>
    <row r="347">
      <c r="A347" s="110">
        <f>"PN27-"&amp;TEXT(ROW()-6,"000")</f>
        <v/>
      </c>
      <c r="B347" s="111" t="n"/>
      <c r="C347" s="110">
        <f>IF(B347="","",IFERROR(INDEX('Catalogos_PDN'!$R$5:$R$51,MATCH(B347,PN_AREAS,0)),""))</f>
        <v/>
      </c>
      <c r="D347" s="110">
        <f>IF(B347="","",IFERROR(INDEX('Catalogos_PDN'!$O$5:$O$51,MATCH(B347,PN_AREAS,0)),""))</f>
        <v/>
      </c>
      <c r="E347" s="111" t="n"/>
      <c r="F347" s="110">
        <f>IF(E347="","",IFERROR(INDEX('Catalogos_PDN'!$C$5:$C$49,MATCH(E347,PN_METAS,0)),""))</f>
        <v/>
      </c>
      <c r="G347" s="110">
        <f>IF(E347="","",IFERROR(INDEX('Catalogos_PDN'!$E$5:$E$49,MATCH(E347,PN_METAS,0)),""))</f>
        <v/>
      </c>
      <c r="H347" s="111" t="n"/>
      <c r="I347" s="111" t="n"/>
      <c r="J347" s="111" t="n"/>
      <c r="K347" s="111" t="n"/>
      <c r="L347" s="111" t="n"/>
      <c r="M347" s="112" t="n"/>
      <c r="N347" s="111" t="n"/>
      <c r="O347" s="111" t="n"/>
      <c r="P347" s="111" t="n"/>
      <c r="Q347" s="111" t="n"/>
      <c r="R347" s="111" t="n"/>
      <c r="S347" s="111" t="n"/>
      <c r="T347" s="111" t="n"/>
      <c r="U347" s="111" t="n"/>
      <c r="V347" s="111" t="n"/>
      <c r="W347" s="113" t="n"/>
      <c r="X347" s="113" t="n"/>
      <c r="Y347" s="111" t="n"/>
      <c r="Z347" s="111" t="n"/>
      <c r="AA347" s="111" t="n"/>
      <c r="AB347" s="111" t="n"/>
      <c r="AC347" s="111" t="n"/>
      <c r="AD347" s="111" t="n"/>
      <c r="AE347" s="111" t="n"/>
      <c r="AF347" s="111" t="n"/>
      <c r="AG347" s="111" t="n"/>
      <c r="AH347" s="111" t="n"/>
      <c r="AI347" s="111" t="n"/>
      <c r="AJ347" s="114">
        <f>IF(COUNTA(B347,E347,H347,I347,J347,K347,L347,M347,N347,O347,P347,Q347,R347,S347,T347,U347,V347,W347,X347,Y347,Z347,AA347,AB347,AC347,AD347,AE347,AF347,AG347,AH347,AI347)=0,"",IF(OR(B347="",E347="",H347="",J347="",K347="",L347="",M347="",O347="",P347="",Q347="",R347="",S347="",T347="",U347="",W347="",X347="",Y347="",AB347="",AC347="",AE347="",AF347=""),"Incompleta: faltan campos obligatorios",IF(AND(LEFT(H347,6)="PROPIA",I347=""),"Falta el nombre de la acción propia del área",IF(AND(LEFT(H347,4)="AC27",IFERROR(INDEX('Catalogos_PDN'!$T$5:$T$207,MATCH(H347,'Catalogos_PDN'!$U$5:$U$207,0)),"x")&lt;&gt;LEFT(E347,7)),"La acción no corresponde a la meta seleccionada",IF(OR(NOT(ISNUMBER(M347)),M347&lt;10000000,M347&gt;99999999),"Código UNSPSC inválido: registre 8 dígitos",IF(MOD(M347,10000)=0,"UNSPSC a nivel de segmento o familia: use clase o producto",IF(IFERROR(MATCH(P347,PN_MESES,0)&lt;MATCH(O347,PN_MESES,0),TRUE()),"El mes de ofertas es anterior al de inicio del proceso",IF(OR(NOT(ISNUMBER(Q347)),Q347&lt;=0),"Duración inválida",IF(OR(NOT(ISNUMBER(W347)),NOT(ISNUMBER(X347))),"Valor inválido: registre solo números",IF(OR(W347&lt;=0,X347&lt;=0),"Valor inválido: debe ser mayor que cero",IF(X347&gt;W347,"El valor de la vigencia 2027 supera el valor total",IF(AND(X347&lt;W347,Y347="No"),"El valor total supera el de 2027: requiere vigencias futuras",IF(AND(Y347="Sí",OR(Z347="",Z347="No aplica")),"Indique el estado de la solicitud de vigencias futuras",IF(IF(AND(S347="Mínima cuantía",ISNUMBER(PN_TOPE_MINIMA)),W347&gt;PN_TOPE_MINIMA,FALSE()),"El valor supera el tope de mínima cuantía 2027",IF(IF(AND(S347="Selección abreviada de menor cuantía",ISNUMBER(PN_TOPE_MENOR)),W347&gt;PN_TOPE_MENOR,FALSE()),"El valor supera el tope de menor cuantía 2027",IF(OR(ISERROR(SEARCH("@itc.edu.co",AE347)),SUMPRODUCT(--ISNUMBER(SEARCH({"á","é","í","ó","ú","ñ"," "},AE347)))&gt;0),"El correo del responsable no es institucional válido",IF(AND(AF347="Sí",AG347=""),"Indique el N.° de registro 2026 que continúa","OK")))))))))))))))))</f>
        <v/>
      </c>
      <c r="AK347" s="114">
        <f>IF(AJ347="OK",COUNTIF($AJ$7:AJ347,"OK"),"")</f>
        <v/>
      </c>
    </row>
    <row r="348">
      <c r="A348" s="110">
        <f>"PN27-"&amp;TEXT(ROW()-6,"000")</f>
        <v/>
      </c>
      <c r="B348" s="111" t="n"/>
      <c r="C348" s="110">
        <f>IF(B348="","",IFERROR(INDEX('Catalogos_PDN'!$R$5:$R$51,MATCH(B348,PN_AREAS,0)),""))</f>
        <v/>
      </c>
      <c r="D348" s="110">
        <f>IF(B348="","",IFERROR(INDEX('Catalogos_PDN'!$O$5:$O$51,MATCH(B348,PN_AREAS,0)),""))</f>
        <v/>
      </c>
      <c r="E348" s="111" t="n"/>
      <c r="F348" s="110">
        <f>IF(E348="","",IFERROR(INDEX('Catalogos_PDN'!$C$5:$C$49,MATCH(E348,PN_METAS,0)),""))</f>
        <v/>
      </c>
      <c r="G348" s="110">
        <f>IF(E348="","",IFERROR(INDEX('Catalogos_PDN'!$E$5:$E$49,MATCH(E348,PN_METAS,0)),""))</f>
        <v/>
      </c>
      <c r="H348" s="111" t="n"/>
      <c r="I348" s="111" t="n"/>
      <c r="J348" s="111" t="n"/>
      <c r="K348" s="111" t="n"/>
      <c r="L348" s="111" t="n"/>
      <c r="M348" s="112" t="n"/>
      <c r="N348" s="111" t="n"/>
      <c r="O348" s="111" t="n"/>
      <c r="P348" s="111" t="n"/>
      <c r="Q348" s="111" t="n"/>
      <c r="R348" s="111" t="n"/>
      <c r="S348" s="111" t="n"/>
      <c r="T348" s="111" t="n"/>
      <c r="U348" s="111" t="n"/>
      <c r="V348" s="111" t="n"/>
      <c r="W348" s="113" t="n"/>
      <c r="X348" s="113" t="n"/>
      <c r="Y348" s="111" t="n"/>
      <c r="Z348" s="111" t="n"/>
      <c r="AA348" s="111" t="n"/>
      <c r="AB348" s="111" t="n"/>
      <c r="AC348" s="111" t="n"/>
      <c r="AD348" s="111" t="n"/>
      <c r="AE348" s="111" t="n"/>
      <c r="AF348" s="111" t="n"/>
      <c r="AG348" s="111" t="n"/>
      <c r="AH348" s="111" t="n"/>
      <c r="AI348" s="111" t="n"/>
      <c r="AJ348" s="114">
        <f>IF(COUNTA(B348,E348,H348,I348,J348,K348,L348,M348,N348,O348,P348,Q348,R348,S348,T348,U348,V348,W348,X348,Y348,Z348,AA348,AB348,AC348,AD348,AE348,AF348,AG348,AH348,AI348)=0,"",IF(OR(B348="",E348="",H348="",J348="",K348="",L348="",M348="",O348="",P348="",Q348="",R348="",S348="",T348="",U348="",W348="",X348="",Y348="",AB348="",AC348="",AE348="",AF348=""),"Incompleta: faltan campos obligatorios",IF(AND(LEFT(H348,6)="PROPIA",I348=""),"Falta el nombre de la acción propia del área",IF(AND(LEFT(H348,4)="AC27",IFERROR(INDEX('Catalogos_PDN'!$T$5:$T$207,MATCH(H348,'Catalogos_PDN'!$U$5:$U$207,0)),"x")&lt;&gt;LEFT(E348,7)),"La acción no corresponde a la meta seleccionada",IF(OR(NOT(ISNUMBER(M348)),M348&lt;10000000,M348&gt;99999999),"Código UNSPSC inválido: registre 8 dígitos",IF(MOD(M348,10000)=0,"UNSPSC a nivel de segmento o familia: use clase o producto",IF(IFERROR(MATCH(P348,PN_MESES,0)&lt;MATCH(O348,PN_MESES,0),TRUE()),"El mes de ofertas es anterior al de inicio del proceso",IF(OR(NOT(ISNUMBER(Q348)),Q348&lt;=0),"Duración inválida",IF(OR(NOT(ISNUMBER(W348)),NOT(ISNUMBER(X348))),"Valor inválido: registre solo números",IF(OR(W348&lt;=0,X348&lt;=0),"Valor inválido: debe ser mayor que cero",IF(X348&gt;W348,"El valor de la vigencia 2027 supera el valor total",IF(AND(X348&lt;W348,Y348="No"),"El valor total supera el de 2027: requiere vigencias futuras",IF(AND(Y348="Sí",OR(Z348="",Z348="No aplica")),"Indique el estado de la solicitud de vigencias futuras",IF(IF(AND(S348="Mínima cuantía",ISNUMBER(PN_TOPE_MINIMA)),W348&gt;PN_TOPE_MINIMA,FALSE()),"El valor supera el tope de mínima cuantía 2027",IF(IF(AND(S348="Selección abreviada de menor cuantía",ISNUMBER(PN_TOPE_MENOR)),W348&gt;PN_TOPE_MENOR,FALSE()),"El valor supera el tope de menor cuantía 2027",IF(OR(ISERROR(SEARCH("@itc.edu.co",AE348)),SUMPRODUCT(--ISNUMBER(SEARCH({"á","é","í","ó","ú","ñ"," "},AE348)))&gt;0),"El correo del responsable no es institucional válido",IF(AND(AF348="Sí",AG348=""),"Indique el N.° de registro 2026 que continúa","OK")))))))))))))))))</f>
        <v/>
      </c>
      <c r="AK348" s="114">
        <f>IF(AJ348="OK",COUNTIF($AJ$7:AJ348,"OK"),"")</f>
        <v/>
      </c>
    </row>
    <row r="349">
      <c r="A349" s="110">
        <f>"PN27-"&amp;TEXT(ROW()-6,"000")</f>
        <v/>
      </c>
      <c r="B349" s="111" t="n"/>
      <c r="C349" s="110">
        <f>IF(B349="","",IFERROR(INDEX('Catalogos_PDN'!$R$5:$R$51,MATCH(B349,PN_AREAS,0)),""))</f>
        <v/>
      </c>
      <c r="D349" s="110">
        <f>IF(B349="","",IFERROR(INDEX('Catalogos_PDN'!$O$5:$O$51,MATCH(B349,PN_AREAS,0)),""))</f>
        <v/>
      </c>
      <c r="E349" s="111" t="n"/>
      <c r="F349" s="110">
        <f>IF(E349="","",IFERROR(INDEX('Catalogos_PDN'!$C$5:$C$49,MATCH(E349,PN_METAS,0)),""))</f>
        <v/>
      </c>
      <c r="G349" s="110">
        <f>IF(E349="","",IFERROR(INDEX('Catalogos_PDN'!$E$5:$E$49,MATCH(E349,PN_METAS,0)),""))</f>
        <v/>
      </c>
      <c r="H349" s="111" t="n"/>
      <c r="I349" s="111" t="n"/>
      <c r="J349" s="111" t="n"/>
      <c r="K349" s="111" t="n"/>
      <c r="L349" s="111" t="n"/>
      <c r="M349" s="112" t="n"/>
      <c r="N349" s="111" t="n"/>
      <c r="O349" s="111" t="n"/>
      <c r="P349" s="111" t="n"/>
      <c r="Q349" s="111" t="n"/>
      <c r="R349" s="111" t="n"/>
      <c r="S349" s="111" t="n"/>
      <c r="T349" s="111" t="n"/>
      <c r="U349" s="111" t="n"/>
      <c r="V349" s="111" t="n"/>
      <c r="W349" s="113" t="n"/>
      <c r="X349" s="113" t="n"/>
      <c r="Y349" s="111" t="n"/>
      <c r="Z349" s="111" t="n"/>
      <c r="AA349" s="111" t="n"/>
      <c r="AB349" s="111" t="n"/>
      <c r="AC349" s="111" t="n"/>
      <c r="AD349" s="111" t="n"/>
      <c r="AE349" s="111" t="n"/>
      <c r="AF349" s="111" t="n"/>
      <c r="AG349" s="111" t="n"/>
      <c r="AH349" s="111" t="n"/>
      <c r="AI349" s="111" t="n"/>
      <c r="AJ349" s="114">
        <f>IF(COUNTA(B349,E349,H349,I349,J349,K349,L349,M349,N349,O349,P349,Q349,R349,S349,T349,U349,V349,W349,X349,Y349,Z349,AA349,AB349,AC349,AD349,AE349,AF349,AG349,AH349,AI349)=0,"",IF(OR(B349="",E349="",H349="",J349="",K349="",L349="",M349="",O349="",P349="",Q349="",R349="",S349="",T349="",U349="",W349="",X349="",Y349="",AB349="",AC349="",AE349="",AF349=""),"Incompleta: faltan campos obligatorios",IF(AND(LEFT(H349,6)="PROPIA",I349=""),"Falta el nombre de la acción propia del área",IF(AND(LEFT(H349,4)="AC27",IFERROR(INDEX('Catalogos_PDN'!$T$5:$T$207,MATCH(H349,'Catalogos_PDN'!$U$5:$U$207,0)),"x")&lt;&gt;LEFT(E349,7)),"La acción no corresponde a la meta seleccionada",IF(OR(NOT(ISNUMBER(M349)),M349&lt;10000000,M349&gt;99999999),"Código UNSPSC inválido: registre 8 dígitos",IF(MOD(M349,10000)=0,"UNSPSC a nivel de segmento o familia: use clase o producto",IF(IFERROR(MATCH(P349,PN_MESES,0)&lt;MATCH(O349,PN_MESES,0),TRUE()),"El mes de ofertas es anterior al de inicio del proceso",IF(OR(NOT(ISNUMBER(Q349)),Q349&lt;=0),"Duración inválida",IF(OR(NOT(ISNUMBER(W349)),NOT(ISNUMBER(X349))),"Valor inválido: registre solo números",IF(OR(W349&lt;=0,X349&lt;=0),"Valor inválido: debe ser mayor que cero",IF(X349&gt;W349,"El valor de la vigencia 2027 supera el valor total",IF(AND(X349&lt;W349,Y349="No"),"El valor total supera el de 2027: requiere vigencias futuras",IF(AND(Y349="Sí",OR(Z349="",Z349="No aplica")),"Indique el estado de la solicitud de vigencias futuras",IF(IF(AND(S349="Mínima cuantía",ISNUMBER(PN_TOPE_MINIMA)),W349&gt;PN_TOPE_MINIMA,FALSE()),"El valor supera el tope de mínima cuantía 2027",IF(IF(AND(S349="Selección abreviada de menor cuantía",ISNUMBER(PN_TOPE_MENOR)),W349&gt;PN_TOPE_MENOR,FALSE()),"El valor supera el tope de menor cuantía 2027",IF(OR(ISERROR(SEARCH("@itc.edu.co",AE349)),SUMPRODUCT(--ISNUMBER(SEARCH({"á","é","í","ó","ú","ñ"," "},AE349)))&gt;0),"El correo del responsable no es institucional válido",IF(AND(AF349="Sí",AG349=""),"Indique el N.° de registro 2026 que continúa","OK")))))))))))))))))</f>
        <v/>
      </c>
      <c r="AK349" s="114">
        <f>IF(AJ349="OK",COUNTIF($AJ$7:AJ349,"OK"),"")</f>
        <v/>
      </c>
    </row>
    <row r="350">
      <c r="A350" s="110">
        <f>"PN27-"&amp;TEXT(ROW()-6,"000")</f>
        <v/>
      </c>
      <c r="B350" s="111" t="n"/>
      <c r="C350" s="110">
        <f>IF(B350="","",IFERROR(INDEX('Catalogos_PDN'!$R$5:$R$51,MATCH(B350,PN_AREAS,0)),""))</f>
        <v/>
      </c>
      <c r="D350" s="110">
        <f>IF(B350="","",IFERROR(INDEX('Catalogos_PDN'!$O$5:$O$51,MATCH(B350,PN_AREAS,0)),""))</f>
        <v/>
      </c>
      <c r="E350" s="111" t="n"/>
      <c r="F350" s="110">
        <f>IF(E350="","",IFERROR(INDEX('Catalogos_PDN'!$C$5:$C$49,MATCH(E350,PN_METAS,0)),""))</f>
        <v/>
      </c>
      <c r="G350" s="110">
        <f>IF(E350="","",IFERROR(INDEX('Catalogos_PDN'!$E$5:$E$49,MATCH(E350,PN_METAS,0)),""))</f>
        <v/>
      </c>
      <c r="H350" s="111" t="n"/>
      <c r="I350" s="111" t="n"/>
      <c r="J350" s="111" t="n"/>
      <c r="K350" s="111" t="n"/>
      <c r="L350" s="111" t="n"/>
      <c r="M350" s="112" t="n"/>
      <c r="N350" s="111" t="n"/>
      <c r="O350" s="111" t="n"/>
      <c r="P350" s="111" t="n"/>
      <c r="Q350" s="111" t="n"/>
      <c r="R350" s="111" t="n"/>
      <c r="S350" s="111" t="n"/>
      <c r="T350" s="111" t="n"/>
      <c r="U350" s="111" t="n"/>
      <c r="V350" s="111" t="n"/>
      <c r="W350" s="113" t="n"/>
      <c r="X350" s="113" t="n"/>
      <c r="Y350" s="111" t="n"/>
      <c r="Z350" s="111" t="n"/>
      <c r="AA350" s="111" t="n"/>
      <c r="AB350" s="111" t="n"/>
      <c r="AC350" s="111" t="n"/>
      <c r="AD350" s="111" t="n"/>
      <c r="AE350" s="111" t="n"/>
      <c r="AF350" s="111" t="n"/>
      <c r="AG350" s="111" t="n"/>
      <c r="AH350" s="111" t="n"/>
      <c r="AI350" s="111" t="n"/>
      <c r="AJ350" s="114">
        <f>IF(COUNTA(B350,E350,H350,I350,J350,K350,L350,M350,N350,O350,P350,Q350,R350,S350,T350,U350,V350,W350,X350,Y350,Z350,AA350,AB350,AC350,AD350,AE350,AF350,AG350,AH350,AI350)=0,"",IF(OR(B350="",E350="",H350="",J350="",K350="",L350="",M350="",O350="",P350="",Q350="",R350="",S350="",T350="",U350="",W350="",X350="",Y350="",AB350="",AC350="",AE350="",AF350=""),"Incompleta: faltan campos obligatorios",IF(AND(LEFT(H350,6)="PROPIA",I350=""),"Falta el nombre de la acción propia del área",IF(AND(LEFT(H350,4)="AC27",IFERROR(INDEX('Catalogos_PDN'!$T$5:$T$207,MATCH(H350,'Catalogos_PDN'!$U$5:$U$207,0)),"x")&lt;&gt;LEFT(E350,7)),"La acción no corresponde a la meta seleccionada",IF(OR(NOT(ISNUMBER(M350)),M350&lt;10000000,M350&gt;99999999),"Código UNSPSC inválido: registre 8 dígitos",IF(MOD(M350,10000)=0,"UNSPSC a nivel de segmento o familia: use clase o producto",IF(IFERROR(MATCH(P350,PN_MESES,0)&lt;MATCH(O350,PN_MESES,0),TRUE()),"El mes de ofertas es anterior al de inicio del proceso",IF(OR(NOT(ISNUMBER(Q350)),Q350&lt;=0),"Duración inválida",IF(OR(NOT(ISNUMBER(W350)),NOT(ISNUMBER(X350))),"Valor inválido: registre solo números",IF(OR(W350&lt;=0,X350&lt;=0),"Valor inválido: debe ser mayor que cero",IF(X350&gt;W350,"El valor de la vigencia 2027 supera el valor total",IF(AND(X350&lt;W350,Y350="No"),"El valor total supera el de 2027: requiere vigencias futuras",IF(AND(Y350="Sí",OR(Z350="",Z350="No aplica")),"Indique el estado de la solicitud de vigencias futuras",IF(IF(AND(S350="Mínima cuantía",ISNUMBER(PN_TOPE_MINIMA)),W350&gt;PN_TOPE_MINIMA,FALSE()),"El valor supera el tope de mínima cuantía 2027",IF(IF(AND(S350="Selección abreviada de menor cuantía",ISNUMBER(PN_TOPE_MENOR)),W350&gt;PN_TOPE_MENOR,FALSE()),"El valor supera el tope de menor cuantía 2027",IF(OR(ISERROR(SEARCH("@itc.edu.co",AE350)),SUMPRODUCT(--ISNUMBER(SEARCH({"á","é","í","ó","ú","ñ"," "},AE350)))&gt;0),"El correo del responsable no es institucional válido",IF(AND(AF350="Sí",AG350=""),"Indique el N.° de registro 2026 que continúa","OK")))))))))))))))))</f>
        <v/>
      </c>
      <c r="AK350" s="114">
        <f>IF(AJ350="OK",COUNTIF($AJ$7:AJ350,"OK"),"")</f>
        <v/>
      </c>
    </row>
    <row r="351">
      <c r="A351" s="110">
        <f>"PN27-"&amp;TEXT(ROW()-6,"000")</f>
        <v/>
      </c>
      <c r="B351" s="111" t="n"/>
      <c r="C351" s="110">
        <f>IF(B351="","",IFERROR(INDEX('Catalogos_PDN'!$R$5:$R$51,MATCH(B351,PN_AREAS,0)),""))</f>
        <v/>
      </c>
      <c r="D351" s="110">
        <f>IF(B351="","",IFERROR(INDEX('Catalogos_PDN'!$O$5:$O$51,MATCH(B351,PN_AREAS,0)),""))</f>
        <v/>
      </c>
      <c r="E351" s="111" t="n"/>
      <c r="F351" s="110">
        <f>IF(E351="","",IFERROR(INDEX('Catalogos_PDN'!$C$5:$C$49,MATCH(E351,PN_METAS,0)),""))</f>
        <v/>
      </c>
      <c r="G351" s="110">
        <f>IF(E351="","",IFERROR(INDEX('Catalogos_PDN'!$E$5:$E$49,MATCH(E351,PN_METAS,0)),""))</f>
        <v/>
      </c>
      <c r="H351" s="111" t="n"/>
      <c r="I351" s="111" t="n"/>
      <c r="J351" s="111" t="n"/>
      <c r="K351" s="111" t="n"/>
      <c r="L351" s="111" t="n"/>
      <c r="M351" s="112" t="n"/>
      <c r="N351" s="111" t="n"/>
      <c r="O351" s="111" t="n"/>
      <c r="P351" s="111" t="n"/>
      <c r="Q351" s="111" t="n"/>
      <c r="R351" s="111" t="n"/>
      <c r="S351" s="111" t="n"/>
      <c r="T351" s="111" t="n"/>
      <c r="U351" s="111" t="n"/>
      <c r="V351" s="111" t="n"/>
      <c r="W351" s="113" t="n"/>
      <c r="X351" s="113" t="n"/>
      <c r="Y351" s="111" t="n"/>
      <c r="Z351" s="111" t="n"/>
      <c r="AA351" s="111" t="n"/>
      <c r="AB351" s="111" t="n"/>
      <c r="AC351" s="111" t="n"/>
      <c r="AD351" s="111" t="n"/>
      <c r="AE351" s="111" t="n"/>
      <c r="AF351" s="111" t="n"/>
      <c r="AG351" s="111" t="n"/>
      <c r="AH351" s="111" t="n"/>
      <c r="AI351" s="111" t="n"/>
      <c r="AJ351" s="114">
        <f>IF(COUNTA(B351,E351,H351,I351,J351,K351,L351,M351,N351,O351,P351,Q351,R351,S351,T351,U351,V351,W351,X351,Y351,Z351,AA351,AB351,AC351,AD351,AE351,AF351,AG351,AH351,AI351)=0,"",IF(OR(B351="",E351="",H351="",J351="",K351="",L351="",M351="",O351="",P351="",Q351="",R351="",S351="",T351="",U351="",W351="",X351="",Y351="",AB351="",AC351="",AE351="",AF351=""),"Incompleta: faltan campos obligatorios",IF(AND(LEFT(H351,6)="PROPIA",I351=""),"Falta el nombre de la acción propia del área",IF(AND(LEFT(H351,4)="AC27",IFERROR(INDEX('Catalogos_PDN'!$T$5:$T$207,MATCH(H351,'Catalogos_PDN'!$U$5:$U$207,0)),"x")&lt;&gt;LEFT(E351,7)),"La acción no corresponde a la meta seleccionada",IF(OR(NOT(ISNUMBER(M351)),M351&lt;10000000,M351&gt;99999999),"Código UNSPSC inválido: registre 8 dígitos",IF(MOD(M351,10000)=0,"UNSPSC a nivel de segmento o familia: use clase o producto",IF(IFERROR(MATCH(P351,PN_MESES,0)&lt;MATCH(O351,PN_MESES,0),TRUE()),"El mes de ofertas es anterior al de inicio del proceso",IF(OR(NOT(ISNUMBER(Q351)),Q351&lt;=0),"Duración inválida",IF(OR(NOT(ISNUMBER(W351)),NOT(ISNUMBER(X351))),"Valor inválido: registre solo números",IF(OR(W351&lt;=0,X351&lt;=0),"Valor inválido: debe ser mayor que cero",IF(X351&gt;W351,"El valor de la vigencia 2027 supera el valor total",IF(AND(X351&lt;W351,Y351="No"),"El valor total supera el de 2027: requiere vigencias futuras",IF(AND(Y351="Sí",OR(Z351="",Z351="No aplica")),"Indique el estado de la solicitud de vigencias futuras",IF(IF(AND(S351="Mínima cuantía",ISNUMBER(PN_TOPE_MINIMA)),W351&gt;PN_TOPE_MINIMA,FALSE()),"El valor supera el tope de mínima cuantía 2027",IF(IF(AND(S351="Selección abreviada de menor cuantía",ISNUMBER(PN_TOPE_MENOR)),W351&gt;PN_TOPE_MENOR,FALSE()),"El valor supera el tope de menor cuantía 2027",IF(OR(ISERROR(SEARCH("@itc.edu.co",AE351)),SUMPRODUCT(--ISNUMBER(SEARCH({"á","é","í","ó","ú","ñ"," "},AE351)))&gt;0),"El correo del responsable no es institucional válido",IF(AND(AF351="Sí",AG351=""),"Indique el N.° de registro 2026 que continúa","OK")))))))))))))))))</f>
        <v/>
      </c>
      <c r="AK351" s="114">
        <f>IF(AJ351="OK",COUNTIF($AJ$7:AJ351,"OK"),"")</f>
        <v/>
      </c>
    </row>
    <row r="352">
      <c r="A352" s="110">
        <f>"PN27-"&amp;TEXT(ROW()-6,"000")</f>
        <v/>
      </c>
      <c r="B352" s="111" t="n"/>
      <c r="C352" s="110">
        <f>IF(B352="","",IFERROR(INDEX('Catalogos_PDN'!$R$5:$R$51,MATCH(B352,PN_AREAS,0)),""))</f>
        <v/>
      </c>
      <c r="D352" s="110">
        <f>IF(B352="","",IFERROR(INDEX('Catalogos_PDN'!$O$5:$O$51,MATCH(B352,PN_AREAS,0)),""))</f>
        <v/>
      </c>
      <c r="E352" s="111" t="n"/>
      <c r="F352" s="110">
        <f>IF(E352="","",IFERROR(INDEX('Catalogos_PDN'!$C$5:$C$49,MATCH(E352,PN_METAS,0)),""))</f>
        <v/>
      </c>
      <c r="G352" s="110">
        <f>IF(E352="","",IFERROR(INDEX('Catalogos_PDN'!$E$5:$E$49,MATCH(E352,PN_METAS,0)),""))</f>
        <v/>
      </c>
      <c r="H352" s="111" t="n"/>
      <c r="I352" s="111" t="n"/>
      <c r="J352" s="111" t="n"/>
      <c r="K352" s="111" t="n"/>
      <c r="L352" s="111" t="n"/>
      <c r="M352" s="112" t="n"/>
      <c r="N352" s="111" t="n"/>
      <c r="O352" s="111" t="n"/>
      <c r="P352" s="111" t="n"/>
      <c r="Q352" s="111" t="n"/>
      <c r="R352" s="111" t="n"/>
      <c r="S352" s="111" t="n"/>
      <c r="T352" s="111" t="n"/>
      <c r="U352" s="111" t="n"/>
      <c r="V352" s="111" t="n"/>
      <c r="W352" s="113" t="n"/>
      <c r="X352" s="113" t="n"/>
      <c r="Y352" s="111" t="n"/>
      <c r="Z352" s="111" t="n"/>
      <c r="AA352" s="111" t="n"/>
      <c r="AB352" s="111" t="n"/>
      <c r="AC352" s="111" t="n"/>
      <c r="AD352" s="111" t="n"/>
      <c r="AE352" s="111" t="n"/>
      <c r="AF352" s="111" t="n"/>
      <c r="AG352" s="111" t="n"/>
      <c r="AH352" s="111" t="n"/>
      <c r="AI352" s="111" t="n"/>
      <c r="AJ352" s="114">
        <f>IF(COUNTA(B352,E352,H352,I352,J352,K352,L352,M352,N352,O352,P352,Q352,R352,S352,T352,U352,V352,W352,X352,Y352,Z352,AA352,AB352,AC352,AD352,AE352,AF352,AG352,AH352,AI352)=0,"",IF(OR(B352="",E352="",H352="",J352="",K352="",L352="",M352="",O352="",P352="",Q352="",R352="",S352="",T352="",U352="",W352="",X352="",Y352="",AB352="",AC352="",AE352="",AF352=""),"Incompleta: faltan campos obligatorios",IF(AND(LEFT(H352,6)="PROPIA",I352=""),"Falta el nombre de la acción propia del área",IF(AND(LEFT(H352,4)="AC27",IFERROR(INDEX('Catalogos_PDN'!$T$5:$T$207,MATCH(H352,'Catalogos_PDN'!$U$5:$U$207,0)),"x")&lt;&gt;LEFT(E352,7)),"La acción no corresponde a la meta seleccionada",IF(OR(NOT(ISNUMBER(M352)),M352&lt;10000000,M352&gt;99999999),"Código UNSPSC inválido: registre 8 dígitos",IF(MOD(M352,10000)=0,"UNSPSC a nivel de segmento o familia: use clase o producto",IF(IFERROR(MATCH(P352,PN_MESES,0)&lt;MATCH(O352,PN_MESES,0),TRUE()),"El mes de ofertas es anterior al de inicio del proceso",IF(OR(NOT(ISNUMBER(Q352)),Q352&lt;=0),"Duración inválida",IF(OR(NOT(ISNUMBER(W352)),NOT(ISNUMBER(X352))),"Valor inválido: registre solo números",IF(OR(W352&lt;=0,X352&lt;=0),"Valor inválido: debe ser mayor que cero",IF(X352&gt;W352,"El valor de la vigencia 2027 supera el valor total",IF(AND(X352&lt;W352,Y352="No"),"El valor total supera el de 2027: requiere vigencias futuras",IF(AND(Y352="Sí",OR(Z352="",Z352="No aplica")),"Indique el estado de la solicitud de vigencias futuras",IF(IF(AND(S352="Mínima cuantía",ISNUMBER(PN_TOPE_MINIMA)),W352&gt;PN_TOPE_MINIMA,FALSE()),"El valor supera el tope de mínima cuantía 2027",IF(IF(AND(S352="Selección abreviada de menor cuantía",ISNUMBER(PN_TOPE_MENOR)),W352&gt;PN_TOPE_MENOR,FALSE()),"El valor supera el tope de menor cuantía 2027",IF(OR(ISERROR(SEARCH("@itc.edu.co",AE352)),SUMPRODUCT(--ISNUMBER(SEARCH({"á","é","í","ó","ú","ñ"," "},AE352)))&gt;0),"El correo del responsable no es institucional válido",IF(AND(AF352="Sí",AG352=""),"Indique el N.° de registro 2026 que continúa","OK")))))))))))))))))</f>
        <v/>
      </c>
      <c r="AK352" s="114">
        <f>IF(AJ352="OK",COUNTIF($AJ$7:AJ352,"OK"),"")</f>
        <v/>
      </c>
    </row>
    <row r="353">
      <c r="A353" s="110">
        <f>"PN27-"&amp;TEXT(ROW()-6,"000")</f>
        <v/>
      </c>
      <c r="B353" s="111" t="n"/>
      <c r="C353" s="110">
        <f>IF(B353="","",IFERROR(INDEX('Catalogos_PDN'!$R$5:$R$51,MATCH(B353,PN_AREAS,0)),""))</f>
        <v/>
      </c>
      <c r="D353" s="110">
        <f>IF(B353="","",IFERROR(INDEX('Catalogos_PDN'!$O$5:$O$51,MATCH(B353,PN_AREAS,0)),""))</f>
        <v/>
      </c>
      <c r="E353" s="111" t="n"/>
      <c r="F353" s="110">
        <f>IF(E353="","",IFERROR(INDEX('Catalogos_PDN'!$C$5:$C$49,MATCH(E353,PN_METAS,0)),""))</f>
        <v/>
      </c>
      <c r="G353" s="110">
        <f>IF(E353="","",IFERROR(INDEX('Catalogos_PDN'!$E$5:$E$49,MATCH(E353,PN_METAS,0)),""))</f>
        <v/>
      </c>
      <c r="H353" s="111" t="n"/>
      <c r="I353" s="111" t="n"/>
      <c r="J353" s="111" t="n"/>
      <c r="K353" s="111" t="n"/>
      <c r="L353" s="111" t="n"/>
      <c r="M353" s="112" t="n"/>
      <c r="N353" s="111" t="n"/>
      <c r="O353" s="111" t="n"/>
      <c r="P353" s="111" t="n"/>
      <c r="Q353" s="111" t="n"/>
      <c r="R353" s="111" t="n"/>
      <c r="S353" s="111" t="n"/>
      <c r="T353" s="111" t="n"/>
      <c r="U353" s="111" t="n"/>
      <c r="V353" s="111" t="n"/>
      <c r="W353" s="113" t="n"/>
      <c r="X353" s="113" t="n"/>
      <c r="Y353" s="111" t="n"/>
      <c r="Z353" s="111" t="n"/>
      <c r="AA353" s="111" t="n"/>
      <c r="AB353" s="111" t="n"/>
      <c r="AC353" s="111" t="n"/>
      <c r="AD353" s="111" t="n"/>
      <c r="AE353" s="111" t="n"/>
      <c r="AF353" s="111" t="n"/>
      <c r="AG353" s="111" t="n"/>
      <c r="AH353" s="111" t="n"/>
      <c r="AI353" s="111" t="n"/>
      <c r="AJ353" s="114">
        <f>IF(COUNTA(B353,E353,H353,I353,J353,K353,L353,M353,N353,O353,P353,Q353,R353,S353,T353,U353,V353,W353,X353,Y353,Z353,AA353,AB353,AC353,AD353,AE353,AF353,AG353,AH353,AI353)=0,"",IF(OR(B353="",E353="",H353="",J353="",K353="",L353="",M353="",O353="",P353="",Q353="",R353="",S353="",T353="",U353="",W353="",X353="",Y353="",AB353="",AC353="",AE353="",AF353=""),"Incompleta: faltan campos obligatorios",IF(AND(LEFT(H353,6)="PROPIA",I353=""),"Falta el nombre de la acción propia del área",IF(AND(LEFT(H353,4)="AC27",IFERROR(INDEX('Catalogos_PDN'!$T$5:$T$207,MATCH(H353,'Catalogos_PDN'!$U$5:$U$207,0)),"x")&lt;&gt;LEFT(E353,7)),"La acción no corresponde a la meta seleccionada",IF(OR(NOT(ISNUMBER(M353)),M353&lt;10000000,M353&gt;99999999),"Código UNSPSC inválido: registre 8 dígitos",IF(MOD(M353,10000)=0,"UNSPSC a nivel de segmento o familia: use clase o producto",IF(IFERROR(MATCH(P353,PN_MESES,0)&lt;MATCH(O353,PN_MESES,0),TRUE()),"El mes de ofertas es anterior al de inicio del proceso",IF(OR(NOT(ISNUMBER(Q353)),Q353&lt;=0),"Duración inválida",IF(OR(NOT(ISNUMBER(W353)),NOT(ISNUMBER(X353))),"Valor inválido: registre solo números",IF(OR(W353&lt;=0,X353&lt;=0),"Valor inválido: debe ser mayor que cero",IF(X353&gt;W353,"El valor de la vigencia 2027 supera el valor total",IF(AND(X353&lt;W353,Y353="No"),"El valor total supera el de 2027: requiere vigencias futuras",IF(AND(Y353="Sí",OR(Z353="",Z353="No aplica")),"Indique el estado de la solicitud de vigencias futuras",IF(IF(AND(S353="Mínima cuantía",ISNUMBER(PN_TOPE_MINIMA)),W353&gt;PN_TOPE_MINIMA,FALSE()),"El valor supera el tope de mínima cuantía 2027",IF(IF(AND(S353="Selección abreviada de menor cuantía",ISNUMBER(PN_TOPE_MENOR)),W353&gt;PN_TOPE_MENOR,FALSE()),"El valor supera el tope de menor cuantía 2027",IF(OR(ISERROR(SEARCH("@itc.edu.co",AE353)),SUMPRODUCT(--ISNUMBER(SEARCH({"á","é","í","ó","ú","ñ"," "},AE353)))&gt;0),"El correo del responsable no es institucional válido",IF(AND(AF353="Sí",AG353=""),"Indique el N.° de registro 2026 que continúa","OK")))))))))))))))))</f>
        <v/>
      </c>
      <c r="AK353" s="114">
        <f>IF(AJ353="OK",COUNTIF($AJ$7:AJ353,"OK"),"")</f>
        <v/>
      </c>
    </row>
    <row r="354">
      <c r="A354" s="110">
        <f>"PN27-"&amp;TEXT(ROW()-6,"000")</f>
        <v/>
      </c>
      <c r="B354" s="111" t="n"/>
      <c r="C354" s="110">
        <f>IF(B354="","",IFERROR(INDEX('Catalogos_PDN'!$R$5:$R$51,MATCH(B354,PN_AREAS,0)),""))</f>
        <v/>
      </c>
      <c r="D354" s="110">
        <f>IF(B354="","",IFERROR(INDEX('Catalogos_PDN'!$O$5:$O$51,MATCH(B354,PN_AREAS,0)),""))</f>
        <v/>
      </c>
      <c r="E354" s="111" t="n"/>
      <c r="F354" s="110">
        <f>IF(E354="","",IFERROR(INDEX('Catalogos_PDN'!$C$5:$C$49,MATCH(E354,PN_METAS,0)),""))</f>
        <v/>
      </c>
      <c r="G354" s="110">
        <f>IF(E354="","",IFERROR(INDEX('Catalogos_PDN'!$E$5:$E$49,MATCH(E354,PN_METAS,0)),""))</f>
        <v/>
      </c>
      <c r="H354" s="111" t="n"/>
      <c r="I354" s="111" t="n"/>
      <c r="J354" s="111" t="n"/>
      <c r="K354" s="111" t="n"/>
      <c r="L354" s="111" t="n"/>
      <c r="M354" s="112" t="n"/>
      <c r="N354" s="111" t="n"/>
      <c r="O354" s="111" t="n"/>
      <c r="P354" s="111" t="n"/>
      <c r="Q354" s="111" t="n"/>
      <c r="R354" s="111" t="n"/>
      <c r="S354" s="111" t="n"/>
      <c r="T354" s="111" t="n"/>
      <c r="U354" s="111" t="n"/>
      <c r="V354" s="111" t="n"/>
      <c r="W354" s="113" t="n"/>
      <c r="X354" s="113" t="n"/>
      <c r="Y354" s="111" t="n"/>
      <c r="Z354" s="111" t="n"/>
      <c r="AA354" s="111" t="n"/>
      <c r="AB354" s="111" t="n"/>
      <c r="AC354" s="111" t="n"/>
      <c r="AD354" s="111" t="n"/>
      <c r="AE354" s="111" t="n"/>
      <c r="AF354" s="111" t="n"/>
      <c r="AG354" s="111" t="n"/>
      <c r="AH354" s="111" t="n"/>
      <c r="AI354" s="111" t="n"/>
      <c r="AJ354" s="114">
        <f>IF(COUNTA(B354,E354,H354,I354,J354,K354,L354,M354,N354,O354,P354,Q354,R354,S354,T354,U354,V354,W354,X354,Y354,Z354,AA354,AB354,AC354,AD354,AE354,AF354,AG354,AH354,AI354)=0,"",IF(OR(B354="",E354="",H354="",J354="",K354="",L354="",M354="",O354="",P354="",Q354="",R354="",S354="",T354="",U354="",W354="",X354="",Y354="",AB354="",AC354="",AE354="",AF354=""),"Incompleta: faltan campos obligatorios",IF(AND(LEFT(H354,6)="PROPIA",I354=""),"Falta el nombre de la acción propia del área",IF(AND(LEFT(H354,4)="AC27",IFERROR(INDEX('Catalogos_PDN'!$T$5:$T$207,MATCH(H354,'Catalogos_PDN'!$U$5:$U$207,0)),"x")&lt;&gt;LEFT(E354,7)),"La acción no corresponde a la meta seleccionada",IF(OR(NOT(ISNUMBER(M354)),M354&lt;10000000,M354&gt;99999999),"Código UNSPSC inválido: registre 8 dígitos",IF(MOD(M354,10000)=0,"UNSPSC a nivel de segmento o familia: use clase o producto",IF(IFERROR(MATCH(P354,PN_MESES,0)&lt;MATCH(O354,PN_MESES,0),TRUE()),"El mes de ofertas es anterior al de inicio del proceso",IF(OR(NOT(ISNUMBER(Q354)),Q354&lt;=0),"Duración inválida",IF(OR(NOT(ISNUMBER(W354)),NOT(ISNUMBER(X354))),"Valor inválido: registre solo números",IF(OR(W354&lt;=0,X354&lt;=0),"Valor inválido: debe ser mayor que cero",IF(X354&gt;W354,"El valor de la vigencia 2027 supera el valor total",IF(AND(X354&lt;W354,Y354="No"),"El valor total supera el de 2027: requiere vigencias futuras",IF(AND(Y354="Sí",OR(Z354="",Z354="No aplica")),"Indique el estado de la solicitud de vigencias futuras",IF(IF(AND(S354="Mínima cuantía",ISNUMBER(PN_TOPE_MINIMA)),W354&gt;PN_TOPE_MINIMA,FALSE()),"El valor supera el tope de mínima cuantía 2027",IF(IF(AND(S354="Selección abreviada de menor cuantía",ISNUMBER(PN_TOPE_MENOR)),W354&gt;PN_TOPE_MENOR,FALSE()),"El valor supera el tope de menor cuantía 2027",IF(OR(ISERROR(SEARCH("@itc.edu.co",AE354)),SUMPRODUCT(--ISNUMBER(SEARCH({"á","é","í","ó","ú","ñ"," "},AE354)))&gt;0),"El correo del responsable no es institucional válido",IF(AND(AF354="Sí",AG354=""),"Indique el N.° de registro 2026 que continúa","OK")))))))))))))))))</f>
        <v/>
      </c>
      <c r="AK354" s="114">
        <f>IF(AJ354="OK",COUNTIF($AJ$7:AJ354,"OK"),"")</f>
        <v/>
      </c>
    </row>
    <row r="355">
      <c r="A355" s="110">
        <f>"PN27-"&amp;TEXT(ROW()-6,"000")</f>
        <v/>
      </c>
      <c r="B355" s="111" t="n"/>
      <c r="C355" s="110">
        <f>IF(B355="","",IFERROR(INDEX('Catalogos_PDN'!$R$5:$R$51,MATCH(B355,PN_AREAS,0)),""))</f>
        <v/>
      </c>
      <c r="D355" s="110">
        <f>IF(B355="","",IFERROR(INDEX('Catalogos_PDN'!$O$5:$O$51,MATCH(B355,PN_AREAS,0)),""))</f>
        <v/>
      </c>
      <c r="E355" s="111" t="n"/>
      <c r="F355" s="110">
        <f>IF(E355="","",IFERROR(INDEX('Catalogos_PDN'!$C$5:$C$49,MATCH(E355,PN_METAS,0)),""))</f>
        <v/>
      </c>
      <c r="G355" s="110">
        <f>IF(E355="","",IFERROR(INDEX('Catalogos_PDN'!$E$5:$E$49,MATCH(E355,PN_METAS,0)),""))</f>
        <v/>
      </c>
      <c r="H355" s="111" t="n"/>
      <c r="I355" s="111" t="n"/>
      <c r="J355" s="111" t="n"/>
      <c r="K355" s="111" t="n"/>
      <c r="L355" s="111" t="n"/>
      <c r="M355" s="112" t="n"/>
      <c r="N355" s="111" t="n"/>
      <c r="O355" s="111" t="n"/>
      <c r="P355" s="111" t="n"/>
      <c r="Q355" s="111" t="n"/>
      <c r="R355" s="111" t="n"/>
      <c r="S355" s="111" t="n"/>
      <c r="T355" s="111" t="n"/>
      <c r="U355" s="111" t="n"/>
      <c r="V355" s="111" t="n"/>
      <c r="W355" s="113" t="n"/>
      <c r="X355" s="113" t="n"/>
      <c r="Y355" s="111" t="n"/>
      <c r="Z355" s="111" t="n"/>
      <c r="AA355" s="111" t="n"/>
      <c r="AB355" s="111" t="n"/>
      <c r="AC355" s="111" t="n"/>
      <c r="AD355" s="111" t="n"/>
      <c r="AE355" s="111" t="n"/>
      <c r="AF355" s="111" t="n"/>
      <c r="AG355" s="111" t="n"/>
      <c r="AH355" s="111" t="n"/>
      <c r="AI355" s="111" t="n"/>
      <c r="AJ355" s="114">
        <f>IF(COUNTA(B355,E355,H355,I355,J355,K355,L355,M355,N355,O355,P355,Q355,R355,S355,T355,U355,V355,W355,X355,Y355,Z355,AA355,AB355,AC355,AD355,AE355,AF355,AG355,AH355,AI355)=0,"",IF(OR(B355="",E355="",H355="",J355="",K355="",L355="",M355="",O355="",P355="",Q355="",R355="",S355="",T355="",U355="",W355="",X355="",Y355="",AB355="",AC355="",AE355="",AF355=""),"Incompleta: faltan campos obligatorios",IF(AND(LEFT(H355,6)="PROPIA",I355=""),"Falta el nombre de la acción propia del área",IF(AND(LEFT(H355,4)="AC27",IFERROR(INDEX('Catalogos_PDN'!$T$5:$T$207,MATCH(H355,'Catalogos_PDN'!$U$5:$U$207,0)),"x")&lt;&gt;LEFT(E355,7)),"La acción no corresponde a la meta seleccionada",IF(OR(NOT(ISNUMBER(M355)),M355&lt;10000000,M355&gt;99999999),"Código UNSPSC inválido: registre 8 dígitos",IF(MOD(M355,10000)=0,"UNSPSC a nivel de segmento o familia: use clase o producto",IF(IFERROR(MATCH(P355,PN_MESES,0)&lt;MATCH(O355,PN_MESES,0),TRUE()),"El mes de ofertas es anterior al de inicio del proceso",IF(OR(NOT(ISNUMBER(Q355)),Q355&lt;=0),"Duración inválida",IF(OR(NOT(ISNUMBER(W355)),NOT(ISNUMBER(X355))),"Valor inválido: registre solo números",IF(OR(W355&lt;=0,X355&lt;=0),"Valor inválido: debe ser mayor que cero",IF(X355&gt;W355,"El valor de la vigencia 2027 supera el valor total",IF(AND(X355&lt;W355,Y355="No"),"El valor total supera el de 2027: requiere vigencias futuras",IF(AND(Y355="Sí",OR(Z355="",Z355="No aplica")),"Indique el estado de la solicitud de vigencias futuras",IF(IF(AND(S355="Mínima cuantía",ISNUMBER(PN_TOPE_MINIMA)),W355&gt;PN_TOPE_MINIMA,FALSE()),"El valor supera el tope de mínima cuantía 2027",IF(IF(AND(S355="Selección abreviada de menor cuantía",ISNUMBER(PN_TOPE_MENOR)),W355&gt;PN_TOPE_MENOR,FALSE()),"El valor supera el tope de menor cuantía 2027",IF(OR(ISERROR(SEARCH("@itc.edu.co",AE355)),SUMPRODUCT(--ISNUMBER(SEARCH({"á","é","í","ó","ú","ñ"," "},AE355)))&gt;0),"El correo del responsable no es institucional válido",IF(AND(AF355="Sí",AG355=""),"Indique el N.° de registro 2026 que continúa","OK")))))))))))))))))</f>
        <v/>
      </c>
      <c r="AK355" s="114">
        <f>IF(AJ355="OK",COUNTIF($AJ$7:AJ355,"OK"),"")</f>
        <v/>
      </c>
    </row>
    <row r="356">
      <c r="A356" s="110">
        <f>"PN27-"&amp;TEXT(ROW()-6,"000")</f>
        <v/>
      </c>
      <c r="B356" s="111" t="n"/>
      <c r="C356" s="110">
        <f>IF(B356="","",IFERROR(INDEX('Catalogos_PDN'!$R$5:$R$51,MATCH(B356,PN_AREAS,0)),""))</f>
        <v/>
      </c>
      <c r="D356" s="110">
        <f>IF(B356="","",IFERROR(INDEX('Catalogos_PDN'!$O$5:$O$51,MATCH(B356,PN_AREAS,0)),""))</f>
        <v/>
      </c>
      <c r="E356" s="111" t="n"/>
      <c r="F356" s="110">
        <f>IF(E356="","",IFERROR(INDEX('Catalogos_PDN'!$C$5:$C$49,MATCH(E356,PN_METAS,0)),""))</f>
        <v/>
      </c>
      <c r="G356" s="110">
        <f>IF(E356="","",IFERROR(INDEX('Catalogos_PDN'!$E$5:$E$49,MATCH(E356,PN_METAS,0)),""))</f>
        <v/>
      </c>
      <c r="H356" s="111" t="n"/>
      <c r="I356" s="111" t="n"/>
      <c r="J356" s="111" t="n"/>
      <c r="K356" s="111" t="n"/>
      <c r="L356" s="111" t="n"/>
      <c r="M356" s="112" t="n"/>
      <c r="N356" s="111" t="n"/>
      <c r="O356" s="111" t="n"/>
      <c r="P356" s="111" t="n"/>
      <c r="Q356" s="111" t="n"/>
      <c r="R356" s="111" t="n"/>
      <c r="S356" s="111" t="n"/>
      <c r="T356" s="111" t="n"/>
      <c r="U356" s="111" t="n"/>
      <c r="V356" s="111" t="n"/>
      <c r="W356" s="113" t="n"/>
      <c r="X356" s="113" t="n"/>
      <c r="Y356" s="111" t="n"/>
      <c r="Z356" s="111" t="n"/>
      <c r="AA356" s="111" t="n"/>
      <c r="AB356" s="111" t="n"/>
      <c r="AC356" s="111" t="n"/>
      <c r="AD356" s="111" t="n"/>
      <c r="AE356" s="111" t="n"/>
      <c r="AF356" s="111" t="n"/>
      <c r="AG356" s="111" t="n"/>
      <c r="AH356" s="111" t="n"/>
      <c r="AI356" s="111" t="n"/>
      <c r="AJ356" s="114">
        <f>IF(COUNTA(B356,E356,H356,I356,J356,K356,L356,M356,N356,O356,P356,Q356,R356,S356,T356,U356,V356,W356,X356,Y356,Z356,AA356,AB356,AC356,AD356,AE356,AF356,AG356,AH356,AI356)=0,"",IF(OR(B356="",E356="",H356="",J356="",K356="",L356="",M356="",O356="",P356="",Q356="",R356="",S356="",T356="",U356="",W356="",X356="",Y356="",AB356="",AC356="",AE356="",AF356=""),"Incompleta: faltan campos obligatorios",IF(AND(LEFT(H356,6)="PROPIA",I356=""),"Falta el nombre de la acción propia del área",IF(AND(LEFT(H356,4)="AC27",IFERROR(INDEX('Catalogos_PDN'!$T$5:$T$207,MATCH(H356,'Catalogos_PDN'!$U$5:$U$207,0)),"x")&lt;&gt;LEFT(E356,7)),"La acción no corresponde a la meta seleccionada",IF(OR(NOT(ISNUMBER(M356)),M356&lt;10000000,M356&gt;99999999),"Código UNSPSC inválido: registre 8 dígitos",IF(MOD(M356,10000)=0,"UNSPSC a nivel de segmento o familia: use clase o producto",IF(IFERROR(MATCH(P356,PN_MESES,0)&lt;MATCH(O356,PN_MESES,0),TRUE()),"El mes de ofertas es anterior al de inicio del proceso",IF(OR(NOT(ISNUMBER(Q356)),Q356&lt;=0),"Duración inválida",IF(OR(NOT(ISNUMBER(W356)),NOT(ISNUMBER(X356))),"Valor inválido: registre solo números",IF(OR(W356&lt;=0,X356&lt;=0),"Valor inválido: debe ser mayor que cero",IF(X356&gt;W356,"El valor de la vigencia 2027 supera el valor total",IF(AND(X356&lt;W356,Y356="No"),"El valor total supera el de 2027: requiere vigencias futuras",IF(AND(Y356="Sí",OR(Z356="",Z356="No aplica")),"Indique el estado de la solicitud de vigencias futuras",IF(IF(AND(S356="Mínima cuantía",ISNUMBER(PN_TOPE_MINIMA)),W356&gt;PN_TOPE_MINIMA,FALSE()),"El valor supera el tope de mínima cuantía 2027",IF(IF(AND(S356="Selección abreviada de menor cuantía",ISNUMBER(PN_TOPE_MENOR)),W356&gt;PN_TOPE_MENOR,FALSE()),"El valor supera el tope de menor cuantía 2027",IF(OR(ISERROR(SEARCH("@itc.edu.co",AE356)),SUMPRODUCT(--ISNUMBER(SEARCH({"á","é","í","ó","ú","ñ"," "},AE356)))&gt;0),"El correo del responsable no es institucional válido",IF(AND(AF356="Sí",AG356=""),"Indique el N.° de registro 2026 que continúa","OK")))))))))))))))))</f>
        <v/>
      </c>
      <c r="AK356" s="114">
        <f>IF(AJ356="OK",COUNTIF($AJ$7:AJ356,"OK"),"")</f>
        <v/>
      </c>
    </row>
    <row r="357">
      <c r="A357" s="110">
        <f>"PN27-"&amp;TEXT(ROW()-6,"000")</f>
        <v/>
      </c>
      <c r="B357" s="111" t="n"/>
      <c r="C357" s="110">
        <f>IF(B357="","",IFERROR(INDEX('Catalogos_PDN'!$R$5:$R$51,MATCH(B357,PN_AREAS,0)),""))</f>
        <v/>
      </c>
      <c r="D357" s="110">
        <f>IF(B357="","",IFERROR(INDEX('Catalogos_PDN'!$O$5:$O$51,MATCH(B357,PN_AREAS,0)),""))</f>
        <v/>
      </c>
      <c r="E357" s="111" t="n"/>
      <c r="F357" s="110">
        <f>IF(E357="","",IFERROR(INDEX('Catalogos_PDN'!$C$5:$C$49,MATCH(E357,PN_METAS,0)),""))</f>
        <v/>
      </c>
      <c r="G357" s="110">
        <f>IF(E357="","",IFERROR(INDEX('Catalogos_PDN'!$E$5:$E$49,MATCH(E357,PN_METAS,0)),""))</f>
        <v/>
      </c>
      <c r="H357" s="111" t="n"/>
      <c r="I357" s="111" t="n"/>
      <c r="J357" s="111" t="n"/>
      <c r="K357" s="111" t="n"/>
      <c r="L357" s="111" t="n"/>
      <c r="M357" s="112" t="n"/>
      <c r="N357" s="111" t="n"/>
      <c r="O357" s="111" t="n"/>
      <c r="P357" s="111" t="n"/>
      <c r="Q357" s="111" t="n"/>
      <c r="R357" s="111" t="n"/>
      <c r="S357" s="111" t="n"/>
      <c r="T357" s="111" t="n"/>
      <c r="U357" s="111" t="n"/>
      <c r="V357" s="111" t="n"/>
      <c r="W357" s="113" t="n"/>
      <c r="X357" s="113" t="n"/>
      <c r="Y357" s="111" t="n"/>
      <c r="Z357" s="111" t="n"/>
      <c r="AA357" s="111" t="n"/>
      <c r="AB357" s="111" t="n"/>
      <c r="AC357" s="111" t="n"/>
      <c r="AD357" s="111" t="n"/>
      <c r="AE357" s="111" t="n"/>
      <c r="AF357" s="111" t="n"/>
      <c r="AG357" s="111" t="n"/>
      <c r="AH357" s="111" t="n"/>
      <c r="AI357" s="111" t="n"/>
      <c r="AJ357" s="114">
        <f>IF(COUNTA(B357,E357,H357,I357,J357,K357,L357,M357,N357,O357,P357,Q357,R357,S357,T357,U357,V357,W357,X357,Y357,Z357,AA357,AB357,AC357,AD357,AE357,AF357,AG357,AH357,AI357)=0,"",IF(OR(B357="",E357="",H357="",J357="",K357="",L357="",M357="",O357="",P357="",Q357="",R357="",S357="",T357="",U357="",W357="",X357="",Y357="",AB357="",AC357="",AE357="",AF357=""),"Incompleta: faltan campos obligatorios",IF(AND(LEFT(H357,6)="PROPIA",I357=""),"Falta el nombre de la acción propia del área",IF(AND(LEFT(H357,4)="AC27",IFERROR(INDEX('Catalogos_PDN'!$T$5:$T$207,MATCH(H357,'Catalogos_PDN'!$U$5:$U$207,0)),"x")&lt;&gt;LEFT(E357,7)),"La acción no corresponde a la meta seleccionada",IF(OR(NOT(ISNUMBER(M357)),M357&lt;10000000,M357&gt;99999999),"Código UNSPSC inválido: registre 8 dígitos",IF(MOD(M357,10000)=0,"UNSPSC a nivel de segmento o familia: use clase o producto",IF(IFERROR(MATCH(P357,PN_MESES,0)&lt;MATCH(O357,PN_MESES,0),TRUE()),"El mes de ofertas es anterior al de inicio del proceso",IF(OR(NOT(ISNUMBER(Q357)),Q357&lt;=0),"Duración inválida",IF(OR(NOT(ISNUMBER(W357)),NOT(ISNUMBER(X357))),"Valor inválido: registre solo números",IF(OR(W357&lt;=0,X357&lt;=0),"Valor inválido: debe ser mayor que cero",IF(X357&gt;W357,"El valor de la vigencia 2027 supera el valor total",IF(AND(X357&lt;W357,Y357="No"),"El valor total supera el de 2027: requiere vigencias futuras",IF(AND(Y357="Sí",OR(Z357="",Z357="No aplica")),"Indique el estado de la solicitud de vigencias futuras",IF(IF(AND(S357="Mínima cuantía",ISNUMBER(PN_TOPE_MINIMA)),W357&gt;PN_TOPE_MINIMA,FALSE()),"El valor supera el tope de mínima cuantía 2027",IF(IF(AND(S357="Selección abreviada de menor cuantía",ISNUMBER(PN_TOPE_MENOR)),W357&gt;PN_TOPE_MENOR,FALSE()),"El valor supera el tope de menor cuantía 2027",IF(OR(ISERROR(SEARCH("@itc.edu.co",AE357)),SUMPRODUCT(--ISNUMBER(SEARCH({"á","é","í","ó","ú","ñ"," "},AE357)))&gt;0),"El correo del responsable no es institucional válido",IF(AND(AF357="Sí",AG357=""),"Indique el N.° de registro 2026 que continúa","OK")))))))))))))))))</f>
        <v/>
      </c>
      <c r="AK357" s="114">
        <f>IF(AJ357="OK",COUNTIF($AJ$7:AJ357,"OK"),"")</f>
        <v/>
      </c>
    </row>
    <row r="358">
      <c r="A358" s="110">
        <f>"PN27-"&amp;TEXT(ROW()-6,"000")</f>
        <v/>
      </c>
      <c r="B358" s="111" t="n"/>
      <c r="C358" s="110">
        <f>IF(B358="","",IFERROR(INDEX('Catalogos_PDN'!$R$5:$R$51,MATCH(B358,PN_AREAS,0)),""))</f>
        <v/>
      </c>
      <c r="D358" s="110">
        <f>IF(B358="","",IFERROR(INDEX('Catalogos_PDN'!$O$5:$O$51,MATCH(B358,PN_AREAS,0)),""))</f>
        <v/>
      </c>
      <c r="E358" s="111" t="n"/>
      <c r="F358" s="110">
        <f>IF(E358="","",IFERROR(INDEX('Catalogos_PDN'!$C$5:$C$49,MATCH(E358,PN_METAS,0)),""))</f>
        <v/>
      </c>
      <c r="G358" s="110">
        <f>IF(E358="","",IFERROR(INDEX('Catalogos_PDN'!$E$5:$E$49,MATCH(E358,PN_METAS,0)),""))</f>
        <v/>
      </c>
      <c r="H358" s="111" t="n"/>
      <c r="I358" s="111" t="n"/>
      <c r="J358" s="111" t="n"/>
      <c r="K358" s="111" t="n"/>
      <c r="L358" s="111" t="n"/>
      <c r="M358" s="112" t="n"/>
      <c r="N358" s="111" t="n"/>
      <c r="O358" s="111" t="n"/>
      <c r="P358" s="111" t="n"/>
      <c r="Q358" s="111" t="n"/>
      <c r="R358" s="111" t="n"/>
      <c r="S358" s="111" t="n"/>
      <c r="T358" s="111" t="n"/>
      <c r="U358" s="111" t="n"/>
      <c r="V358" s="111" t="n"/>
      <c r="W358" s="113" t="n"/>
      <c r="X358" s="113" t="n"/>
      <c r="Y358" s="111" t="n"/>
      <c r="Z358" s="111" t="n"/>
      <c r="AA358" s="111" t="n"/>
      <c r="AB358" s="111" t="n"/>
      <c r="AC358" s="111" t="n"/>
      <c r="AD358" s="111" t="n"/>
      <c r="AE358" s="111" t="n"/>
      <c r="AF358" s="111" t="n"/>
      <c r="AG358" s="111" t="n"/>
      <c r="AH358" s="111" t="n"/>
      <c r="AI358" s="111" t="n"/>
      <c r="AJ358" s="114">
        <f>IF(COUNTA(B358,E358,H358,I358,J358,K358,L358,M358,N358,O358,P358,Q358,R358,S358,T358,U358,V358,W358,X358,Y358,Z358,AA358,AB358,AC358,AD358,AE358,AF358,AG358,AH358,AI358)=0,"",IF(OR(B358="",E358="",H358="",J358="",K358="",L358="",M358="",O358="",P358="",Q358="",R358="",S358="",T358="",U358="",W358="",X358="",Y358="",AB358="",AC358="",AE358="",AF358=""),"Incompleta: faltan campos obligatorios",IF(AND(LEFT(H358,6)="PROPIA",I358=""),"Falta el nombre de la acción propia del área",IF(AND(LEFT(H358,4)="AC27",IFERROR(INDEX('Catalogos_PDN'!$T$5:$T$207,MATCH(H358,'Catalogos_PDN'!$U$5:$U$207,0)),"x")&lt;&gt;LEFT(E358,7)),"La acción no corresponde a la meta seleccionada",IF(OR(NOT(ISNUMBER(M358)),M358&lt;10000000,M358&gt;99999999),"Código UNSPSC inválido: registre 8 dígitos",IF(MOD(M358,10000)=0,"UNSPSC a nivel de segmento o familia: use clase o producto",IF(IFERROR(MATCH(P358,PN_MESES,0)&lt;MATCH(O358,PN_MESES,0),TRUE()),"El mes de ofertas es anterior al de inicio del proceso",IF(OR(NOT(ISNUMBER(Q358)),Q358&lt;=0),"Duración inválida",IF(OR(NOT(ISNUMBER(W358)),NOT(ISNUMBER(X358))),"Valor inválido: registre solo números",IF(OR(W358&lt;=0,X358&lt;=0),"Valor inválido: debe ser mayor que cero",IF(X358&gt;W358,"El valor de la vigencia 2027 supera el valor total",IF(AND(X358&lt;W358,Y358="No"),"El valor total supera el de 2027: requiere vigencias futuras",IF(AND(Y358="Sí",OR(Z358="",Z358="No aplica")),"Indique el estado de la solicitud de vigencias futuras",IF(IF(AND(S358="Mínima cuantía",ISNUMBER(PN_TOPE_MINIMA)),W358&gt;PN_TOPE_MINIMA,FALSE()),"El valor supera el tope de mínima cuantía 2027",IF(IF(AND(S358="Selección abreviada de menor cuantía",ISNUMBER(PN_TOPE_MENOR)),W358&gt;PN_TOPE_MENOR,FALSE()),"El valor supera el tope de menor cuantía 2027",IF(OR(ISERROR(SEARCH("@itc.edu.co",AE358)),SUMPRODUCT(--ISNUMBER(SEARCH({"á","é","í","ó","ú","ñ"," "},AE358)))&gt;0),"El correo del responsable no es institucional válido",IF(AND(AF358="Sí",AG358=""),"Indique el N.° de registro 2026 que continúa","OK")))))))))))))))))</f>
        <v/>
      </c>
      <c r="AK358" s="114">
        <f>IF(AJ358="OK",COUNTIF($AJ$7:AJ358,"OK"),"")</f>
        <v/>
      </c>
    </row>
    <row r="359">
      <c r="A359" s="110">
        <f>"PN27-"&amp;TEXT(ROW()-6,"000")</f>
        <v/>
      </c>
      <c r="B359" s="111" t="n"/>
      <c r="C359" s="110">
        <f>IF(B359="","",IFERROR(INDEX('Catalogos_PDN'!$R$5:$R$51,MATCH(B359,PN_AREAS,0)),""))</f>
        <v/>
      </c>
      <c r="D359" s="110">
        <f>IF(B359="","",IFERROR(INDEX('Catalogos_PDN'!$O$5:$O$51,MATCH(B359,PN_AREAS,0)),""))</f>
        <v/>
      </c>
      <c r="E359" s="111" t="n"/>
      <c r="F359" s="110">
        <f>IF(E359="","",IFERROR(INDEX('Catalogos_PDN'!$C$5:$C$49,MATCH(E359,PN_METAS,0)),""))</f>
        <v/>
      </c>
      <c r="G359" s="110">
        <f>IF(E359="","",IFERROR(INDEX('Catalogos_PDN'!$E$5:$E$49,MATCH(E359,PN_METAS,0)),""))</f>
        <v/>
      </c>
      <c r="H359" s="111" t="n"/>
      <c r="I359" s="111" t="n"/>
      <c r="J359" s="111" t="n"/>
      <c r="K359" s="111" t="n"/>
      <c r="L359" s="111" t="n"/>
      <c r="M359" s="112" t="n"/>
      <c r="N359" s="111" t="n"/>
      <c r="O359" s="111" t="n"/>
      <c r="P359" s="111" t="n"/>
      <c r="Q359" s="111" t="n"/>
      <c r="R359" s="111" t="n"/>
      <c r="S359" s="111" t="n"/>
      <c r="T359" s="111" t="n"/>
      <c r="U359" s="111" t="n"/>
      <c r="V359" s="111" t="n"/>
      <c r="W359" s="113" t="n"/>
      <c r="X359" s="113" t="n"/>
      <c r="Y359" s="111" t="n"/>
      <c r="Z359" s="111" t="n"/>
      <c r="AA359" s="111" t="n"/>
      <c r="AB359" s="111" t="n"/>
      <c r="AC359" s="111" t="n"/>
      <c r="AD359" s="111" t="n"/>
      <c r="AE359" s="111" t="n"/>
      <c r="AF359" s="111" t="n"/>
      <c r="AG359" s="111" t="n"/>
      <c r="AH359" s="111" t="n"/>
      <c r="AI359" s="111" t="n"/>
      <c r="AJ359" s="114">
        <f>IF(COUNTA(B359,E359,H359,I359,J359,K359,L359,M359,N359,O359,P359,Q359,R359,S359,T359,U359,V359,W359,X359,Y359,Z359,AA359,AB359,AC359,AD359,AE359,AF359,AG359,AH359,AI359)=0,"",IF(OR(B359="",E359="",H359="",J359="",K359="",L359="",M359="",O359="",P359="",Q359="",R359="",S359="",T359="",U359="",W359="",X359="",Y359="",AB359="",AC359="",AE359="",AF359=""),"Incompleta: faltan campos obligatorios",IF(AND(LEFT(H359,6)="PROPIA",I359=""),"Falta el nombre de la acción propia del área",IF(AND(LEFT(H359,4)="AC27",IFERROR(INDEX('Catalogos_PDN'!$T$5:$T$207,MATCH(H359,'Catalogos_PDN'!$U$5:$U$207,0)),"x")&lt;&gt;LEFT(E359,7)),"La acción no corresponde a la meta seleccionada",IF(OR(NOT(ISNUMBER(M359)),M359&lt;10000000,M359&gt;99999999),"Código UNSPSC inválido: registre 8 dígitos",IF(MOD(M359,10000)=0,"UNSPSC a nivel de segmento o familia: use clase o producto",IF(IFERROR(MATCH(P359,PN_MESES,0)&lt;MATCH(O359,PN_MESES,0),TRUE()),"El mes de ofertas es anterior al de inicio del proceso",IF(OR(NOT(ISNUMBER(Q359)),Q359&lt;=0),"Duración inválida",IF(OR(NOT(ISNUMBER(W359)),NOT(ISNUMBER(X359))),"Valor inválido: registre solo números",IF(OR(W359&lt;=0,X359&lt;=0),"Valor inválido: debe ser mayor que cero",IF(X359&gt;W359,"El valor de la vigencia 2027 supera el valor total",IF(AND(X359&lt;W359,Y359="No"),"El valor total supera el de 2027: requiere vigencias futuras",IF(AND(Y359="Sí",OR(Z359="",Z359="No aplica")),"Indique el estado de la solicitud de vigencias futuras",IF(IF(AND(S359="Mínima cuantía",ISNUMBER(PN_TOPE_MINIMA)),W359&gt;PN_TOPE_MINIMA,FALSE()),"El valor supera el tope de mínima cuantía 2027",IF(IF(AND(S359="Selección abreviada de menor cuantía",ISNUMBER(PN_TOPE_MENOR)),W359&gt;PN_TOPE_MENOR,FALSE()),"El valor supera el tope de menor cuantía 2027",IF(OR(ISERROR(SEARCH("@itc.edu.co",AE359)),SUMPRODUCT(--ISNUMBER(SEARCH({"á","é","í","ó","ú","ñ"," "},AE359)))&gt;0),"El correo del responsable no es institucional válido",IF(AND(AF359="Sí",AG359=""),"Indique el N.° de registro 2026 que continúa","OK")))))))))))))))))</f>
        <v/>
      </c>
      <c r="AK359" s="114">
        <f>IF(AJ359="OK",COUNTIF($AJ$7:AJ359,"OK"),"")</f>
        <v/>
      </c>
    </row>
    <row r="360">
      <c r="A360" s="110">
        <f>"PN27-"&amp;TEXT(ROW()-6,"000")</f>
        <v/>
      </c>
      <c r="B360" s="111" t="n"/>
      <c r="C360" s="110">
        <f>IF(B360="","",IFERROR(INDEX('Catalogos_PDN'!$R$5:$R$51,MATCH(B360,PN_AREAS,0)),""))</f>
        <v/>
      </c>
      <c r="D360" s="110">
        <f>IF(B360="","",IFERROR(INDEX('Catalogos_PDN'!$O$5:$O$51,MATCH(B360,PN_AREAS,0)),""))</f>
        <v/>
      </c>
      <c r="E360" s="111" t="n"/>
      <c r="F360" s="110">
        <f>IF(E360="","",IFERROR(INDEX('Catalogos_PDN'!$C$5:$C$49,MATCH(E360,PN_METAS,0)),""))</f>
        <v/>
      </c>
      <c r="G360" s="110">
        <f>IF(E360="","",IFERROR(INDEX('Catalogos_PDN'!$E$5:$E$49,MATCH(E360,PN_METAS,0)),""))</f>
        <v/>
      </c>
      <c r="H360" s="111" t="n"/>
      <c r="I360" s="111" t="n"/>
      <c r="J360" s="111" t="n"/>
      <c r="K360" s="111" t="n"/>
      <c r="L360" s="111" t="n"/>
      <c r="M360" s="112" t="n"/>
      <c r="N360" s="111" t="n"/>
      <c r="O360" s="111" t="n"/>
      <c r="P360" s="111" t="n"/>
      <c r="Q360" s="111" t="n"/>
      <c r="R360" s="111" t="n"/>
      <c r="S360" s="111" t="n"/>
      <c r="T360" s="111" t="n"/>
      <c r="U360" s="111" t="n"/>
      <c r="V360" s="111" t="n"/>
      <c r="W360" s="113" t="n"/>
      <c r="X360" s="113" t="n"/>
      <c r="Y360" s="111" t="n"/>
      <c r="Z360" s="111" t="n"/>
      <c r="AA360" s="111" t="n"/>
      <c r="AB360" s="111" t="n"/>
      <c r="AC360" s="111" t="n"/>
      <c r="AD360" s="111" t="n"/>
      <c r="AE360" s="111" t="n"/>
      <c r="AF360" s="111" t="n"/>
      <c r="AG360" s="111" t="n"/>
      <c r="AH360" s="111" t="n"/>
      <c r="AI360" s="111" t="n"/>
      <c r="AJ360" s="114">
        <f>IF(COUNTA(B360,E360,H360,I360,J360,K360,L360,M360,N360,O360,P360,Q360,R360,S360,T360,U360,V360,W360,X360,Y360,Z360,AA360,AB360,AC360,AD360,AE360,AF360,AG360,AH360,AI360)=0,"",IF(OR(B360="",E360="",H360="",J360="",K360="",L360="",M360="",O360="",P360="",Q360="",R360="",S360="",T360="",U360="",W360="",X360="",Y360="",AB360="",AC360="",AE360="",AF360=""),"Incompleta: faltan campos obligatorios",IF(AND(LEFT(H360,6)="PROPIA",I360=""),"Falta el nombre de la acción propia del área",IF(AND(LEFT(H360,4)="AC27",IFERROR(INDEX('Catalogos_PDN'!$T$5:$T$207,MATCH(H360,'Catalogos_PDN'!$U$5:$U$207,0)),"x")&lt;&gt;LEFT(E360,7)),"La acción no corresponde a la meta seleccionada",IF(OR(NOT(ISNUMBER(M360)),M360&lt;10000000,M360&gt;99999999),"Código UNSPSC inválido: registre 8 dígitos",IF(MOD(M360,10000)=0,"UNSPSC a nivel de segmento o familia: use clase o producto",IF(IFERROR(MATCH(P360,PN_MESES,0)&lt;MATCH(O360,PN_MESES,0),TRUE()),"El mes de ofertas es anterior al de inicio del proceso",IF(OR(NOT(ISNUMBER(Q360)),Q360&lt;=0),"Duración inválida",IF(OR(NOT(ISNUMBER(W360)),NOT(ISNUMBER(X360))),"Valor inválido: registre solo números",IF(OR(W360&lt;=0,X360&lt;=0),"Valor inválido: debe ser mayor que cero",IF(X360&gt;W360,"El valor de la vigencia 2027 supera el valor total",IF(AND(X360&lt;W360,Y360="No"),"El valor total supera el de 2027: requiere vigencias futuras",IF(AND(Y360="Sí",OR(Z360="",Z360="No aplica")),"Indique el estado de la solicitud de vigencias futuras",IF(IF(AND(S360="Mínima cuantía",ISNUMBER(PN_TOPE_MINIMA)),W360&gt;PN_TOPE_MINIMA,FALSE()),"El valor supera el tope de mínima cuantía 2027",IF(IF(AND(S360="Selección abreviada de menor cuantía",ISNUMBER(PN_TOPE_MENOR)),W360&gt;PN_TOPE_MENOR,FALSE()),"El valor supera el tope de menor cuantía 2027",IF(OR(ISERROR(SEARCH("@itc.edu.co",AE360)),SUMPRODUCT(--ISNUMBER(SEARCH({"á","é","í","ó","ú","ñ"," "},AE360)))&gt;0),"El correo del responsable no es institucional válido",IF(AND(AF360="Sí",AG360=""),"Indique el N.° de registro 2026 que continúa","OK")))))))))))))))))</f>
        <v/>
      </c>
      <c r="AK360" s="114">
        <f>IF(AJ360="OK",COUNTIF($AJ$7:AJ360,"OK"),"")</f>
        <v/>
      </c>
    </row>
    <row r="361">
      <c r="A361" s="110">
        <f>"PN27-"&amp;TEXT(ROW()-6,"000")</f>
        <v/>
      </c>
      <c r="B361" s="111" t="n"/>
      <c r="C361" s="110">
        <f>IF(B361="","",IFERROR(INDEX('Catalogos_PDN'!$R$5:$R$51,MATCH(B361,PN_AREAS,0)),""))</f>
        <v/>
      </c>
      <c r="D361" s="110">
        <f>IF(B361="","",IFERROR(INDEX('Catalogos_PDN'!$O$5:$O$51,MATCH(B361,PN_AREAS,0)),""))</f>
        <v/>
      </c>
      <c r="E361" s="111" t="n"/>
      <c r="F361" s="110">
        <f>IF(E361="","",IFERROR(INDEX('Catalogos_PDN'!$C$5:$C$49,MATCH(E361,PN_METAS,0)),""))</f>
        <v/>
      </c>
      <c r="G361" s="110">
        <f>IF(E361="","",IFERROR(INDEX('Catalogos_PDN'!$E$5:$E$49,MATCH(E361,PN_METAS,0)),""))</f>
        <v/>
      </c>
      <c r="H361" s="111" t="n"/>
      <c r="I361" s="111" t="n"/>
      <c r="J361" s="111" t="n"/>
      <c r="K361" s="111" t="n"/>
      <c r="L361" s="111" t="n"/>
      <c r="M361" s="112" t="n"/>
      <c r="N361" s="111" t="n"/>
      <c r="O361" s="111" t="n"/>
      <c r="P361" s="111" t="n"/>
      <c r="Q361" s="111" t="n"/>
      <c r="R361" s="111" t="n"/>
      <c r="S361" s="111" t="n"/>
      <c r="T361" s="111" t="n"/>
      <c r="U361" s="111" t="n"/>
      <c r="V361" s="111" t="n"/>
      <c r="W361" s="113" t="n"/>
      <c r="X361" s="113" t="n"/>
      <c r="Y361" s="111" t="n"/>
      <c r="Z361" s="111" t="n"/>
      <c r="AA361" s="111" t="n"/>
      <c r="AB361" s="111" t="n"/>
      <c r="AC361" s="111" t="n"/>
      <c r="AD361" s="111" t="n"/>
      <c r="AE361" s="111" t="n"/>
      <c r="AF361" s="111" t="n"/>
      <c r="AG361" s="111" t="n"/>
      <c r="AH361" s="111" t="n"/>
      <c r="AI361" s="111" t="n"/>
      <c r="AJ361" s="114">
        <f>IF(COUNTA(B361,E361,H361,I361,J361,K361,L361,M361,N361,O361,P361,Q361,R361,S361,T361,U361,V361,W361,X361,Y361,Z361,AA361,AB361,AC361,AD361,AE361,AF361,AG361,AH361,AI361)=0,"",IF(OR(B361="",E361="",H361="",J361="",K361="",L361="",M361="",O361="",P361="",Q361="",R361="",S361="",T361="",U361="",W361="",X361="",Y361="",AB361="",AC361="",AE361="",AF361=""),"Incompleta: faltan campos obligatorios",IF(AND(LEFT(H361,6)="PROPIA",I361=""),"Falta el nombre de la acción propia del área",IF(AND(LEFT(H361,4)="AC27",IFERROR(INDEX('Catalogos_PDN'!$T$5:$T$207,MATCH(H361,'Catalogos_PDN'!$U$5:$U$207,0)),"x")&lt;&gt;LEFT(E361,7)),"La acción no corresponde a la meta seleccionada",IF(OR(NOT(ISNUMBER(M361)),M361&lt;10000000,M361&gt;99999999),"Código UNSPSC inválido: registre 8 dígitos",IF(MOD(M361,10000)=0,"UNSPSC a nivel de segmento o familia: use clase o producto",IF(IFERROR(MATCH(P361,PN_MESES,0)&lt;MATCH(O361,PN_MESES,0),TRUE()),"El mes de ofertas es anterior al de inicio del proceso",IF(OR(NOT(ISNUMBER(Q361)),Q361&lt;=0),"Duración inválida",IF(OR(NOT(ISNUMBER(W361)),NOT(ISNUMBER(X361))),"Valor inválido: registre solo números",IF(OR(W361&lt;=0,X361&lt;=0),"Valor inválido: debe ser mayor que cero",IF(X361&gt;W361,"El valor de la vigencia 2027 supera el valor total",IF(AND(X361&lt;W361,Y361="No"),"El valor total supera el de 2027: requiere vigencias futuras",IF(AND(Y361="Sí",OR(Z361="",Z361="No aplica")),"Indique el estado de la solicitud de vigencias futuras",IF(IF(AND(S361="Mínima cuantía",ISNUMBER(PN_TOPE_MINIMA)),W361&gt;PN_TOPE_MINIMA,FALSE()),"El valor supera el tope de mínima cuantía 2027",IF(IF(AND(S361="Selección abreviada de menor cuantía",ISNUMBER(PN_TOPE_MENOR)),W361&gt;PN_TOPE_MENOR,FALSE()),"El valor supera el tope de menor cuantía 2027",IF(OR(ISERROR(SEARCH("@itc.edu.co",AE361)),SUMPRODUCT(--ISNUMBER(SEARCH({"á","é","í","ó","ú","ñ"," "},AE361)))&gt;0),"El correo del responsable no es institucional válido",IF(AND(AF361="Sí",AG361=""),"Indique el N.° de registro 2026 que continúa","OK")))))))))))))))))</f>
        <v/>
      </c>
      <c r="AK361" s="114">
        <f>IF(AJ361="OK",COUNTIF($AJ$7:AJ361,"OK"),"")</f>
        <v/>
      </c>
    </row>
    <row r="362">
      <c r="A362" s="110">
        <f>"PN27-"&amp;TEXT(ROW()-6,"000")</f>
        <v/>
      </c>
      <c r="B362" s="111" t="n"/>
      <c r="C362" s="110">
        <f>IF(B362="","",IFERROR(INDEX('Catalogos_PDN'!$R$5:$R$51,MATCH(B362,PN_AREAS,0)),""))</f>
        <v/>
      </c>
      <c r="D362" s="110">
        <f>IF(B362="","",IFERROR(INDEX('Catalogos_PDN'!$O$5:$O$51,MATCH(B362,PN_AREAS,0)),""))</f>
        <v/>
      </c>
      <c r="E362" s="111" t="n"/>
      <c r="F362" s="110">
        <f>IF(E362="","",IFERROR(INDEX('Catalogos_PDN'!$C$5:$C$49,MATCH(E362,PN_METAS,0)),""))</f>
        <v/>
      </c>
      <c r="G362" s="110">
        <f>IF(E362="","",IFERROR(INDEX('Catalogos_PDN'!$E$5:$E$49,MATCH(E362,PN_METAS,0)),""))</f>
        <v/>
      </c>
      <c r="H362" s="111" t="n"/>
      <c r="I362" s="111" t="n"/>
      <c r="J362" s="111" t="n"/>
      <c r="K362" s="111" t="n"/>
      <c r="L362" s="111" t="n"/>
      <c r="M362" s="112" t="n"/>
      <c r="N362" s="111" t="n"/>
      <c r="O362" s="111" t="n"/>
      <c r="P362" s="111" t="n"/>
      <c r="Q362" s="111" t="n"/>
      <c r="R362" s="111" t="n"/>
      <c r="S362" s="111" t="n"/>
      <c r="T362" s="111" t="n"/>
      <c r="U362" s="111" t="n"/>
      <c r="V362" s="111" t="n"/>
      <c r="W362" s="113" t="n"/>
      <c r="X362" s="113" t="n"/>
      <c r="Y362" s="111" t="n"/>
      <c r="Z362" s="111" t="n"/>
      <c r="AA362" s="111" t="n"/>
      <c r="AB362" s="111" t="n"/>
      <c r="AC362" s="111" t="n"/>
      <c r="AD362" s="111" t="n"/>
      <c r="AE362" s="111" t="n"/>
      <c r="AF362" s="111" t="n"/>
      <c r="AG362" s="111" t="n"/>
      <c r="AH362" s="111" t="n"/>
      <c r="AI362" s="111" t="n"/>
      <c r="AJ362" s="114">
        <f>IF(COUNTA(B362,E362,H362,I362,J362,K362,L362,M362,N362,O362,P362,Q362,R362,S362,T362,U362,V362,W362,X362,Y362,Z362,AA362,AB362,AC362,AD362,AE362,AF362,AG362,AH362,AI362)=0,"",IF(OR(B362="",E362="",H362="",J362="",K362="",L362="",M362="",O362="",P362="",Q362="",R362="",S362="",T362="",U362="",W362="",X362="",Y362="",AB362="",AC362="",AE362="",AF362=""),"Incompleta: faltan campos obligatorios",IF(AND(LEFT(H362,6)="PROPIA",I362=""),"Falta el nombre de la acción propia del área",IF(AND(LEFT(H362,4)="AC27",IFERROR(INDEX('Catalogos_PDN'!$T$5:$T$207,MATCH(H362,'Catalogos_PDN'!$U$5:$U$207,0)),"x")&lt;&gt;LEFT(E362,7)),"La acción no corresponde a la meta seleccionada",IF(OR(NOT(ISNUMBER(M362)),M362&lt;10000000,M362&gt;99999999),"Código UNSPSC inválido: registre 8 dígitos",IF(MOD(M362,10000)=0,"UNSPSC a nivel de segmento o familia: use clase o producto",IF(IFERROR(MATCH(P362,PN_MESES,0)&lt;MATCH(O362,PN_MESES,0),TRUE()),"El mes de ofertas es anterior al de inicio del proceso",IF(OR(NOT(ISNUMBER(Q362)),Q362&lt;=0),"Duración inválida",IF(OR(NOT(ISNUMBER(W362)),NOT(ISNUMBER(X362))),"Valor inválido: registre solo números",IF(OR(W362&lt;=0,X362&lt;=0),"Valor inválido: debe ser mayor que cero",IF(X362&gt;W362,"El valor de la vigencia 2027 supera el valor total",IF(AND(X362&lt;W362,Y362="No"),"El valor total supera el de 2027: requiere vigencias futuras",IF(AND(Y362="Sí",OR(Z362="",Z362="No aplica")),"Indique el estado de la solicitud de vigencias futuras",IF(IF(AND(S362="Mínima cuantía",ISNUMBER(PN_TOPE_MINIMA)),W362&gt;PN_TOPE_MINIMA,FALSE()),"El valor supera el tope de mínima cuantía 2027",IF(IF(AND(S362="Selección abreviada de menor cuantía",ISNUMBER(PN_TOPE_MENOR)),W362&gt;PN_TOPE_MENOR,FALSE()),"El valor supera el tope de menor cuantía 2027",IF(OR(ISERROR(SEARCH("@itc.edu.co",AE362)),SUMPRODUCT(--ISNUMBER(SEARCH({"á","é","í","ó","ú","ñ"," "},AE362)))&gt;0),"El correo del responsable no es institucional válido",IF(AND(AF362="Sí",AG362=""),"Indique el N.° de registro 2026 que continúa","OK")))))))))))))))))</f>
        <v/>
      </c>
      <c r="AK362" s="114">
        <f>IF(AJ362="OK",COUNTIF($AJ$7:AJ362,"OK"),"")</f>
        <v/>
      </c>
    </row>
    <row r="363">
      <c r="A363" s="110">
        <f>"PN27-"&amp;TEXT(ROW()-6,"000")</f>
        <v/>
      </c>
      <c r="B363" s="111" t="n"/>
      <c r="C363" s="110">
        <f>IF(B363="","",IFERROR(INDEX('Catalogos_PDN'!$R$5:$R$51,MATCH(B363,PN_AREAS,0)),""))</f>
        <v/>
      </c>
      <c r="D363" s="110">
        <f>IF(B363="","",IFERROR(INDEX('Catalogos_PDN'!$O$5:$O$51,MATCH(B363,PN_AREAS,0)),""))</f>
        <v/>
      </c>
      <c r="E363" s="111" t="n"/>
      <c r="F363" s="110">
        <f>IF(E363="","",IFERROR(INDEX('Catalogos_PDN'!$C$5:$C$49,MATCH(E363,PN_METAS,0)),""))</f>
        <v/>
      </c>
      <c r="G363" s="110">
        <f>IF(E363="","",IFERROR(INDEX('Catalogos_PDN'!$E$5:$E$49,MATCH(E363,PN_METAS,0)),""))</f>
        <v/>
      </c>
      <c r="H363" s="111" t="n"/>
      <c r="I363" s="111" t="n"/>
      <c r="J363" s="111" t="n"/>
      <c r="K363" s="111" t="n"/>
      <c r="L363" s="111" t="n"/>
      <c r="M363" s="112" t="n"/>
      <c r="N363" s="111" t="n"/>
      <c r="O363" s="111" t="n"/>
      <c r="P363" s="111" t="n"/>
      <c r="Q363" s="111" t="n"/>
      <c r="R363" s="111" t="n"/>
      <c r="S363" s="111" t="n"/>
      <c r="T363" s="111" t="n"/>
      <c r="U363" s="111" t="n"/>
      <c r="V363" s="111" t="n"/>
      <c r="W363" s="113" t="n"/>
      <c r="X363" s="113" t="n"/>
      <c r="Y363" s="111" t="n"/>
      <c r="Z363" s="111" t="n"/>
      <c r="AA363" s="111" t="n"/>
      <c r="AB363" s="111" t="n"/>
      <c r="AC363" s="111" t="n"/>
      <c r="AD363" s="111" t="n"/>
      <c r="AE363" s="111" t="n"/>
      <c r="AF363" s="111" t="n"/>
      <c r="AG363" s="111" t="n"/>
      <c r="AH363" s="111" t="n"/>
      <c r="AI363" s="111" t="n"/>
      <c r="AJ363" s="114">
        <f>IF(COUNTA(B363,E363,H363,I363,J363,K363,L363,M363,N363,O363,P363,Q363,R363,S363,T363,U363,V363,W363,X363,Y363,Z363,AA363,AB363,AC363,AD363,AE363,AF363,AG363,AH363,AI363)=0,"",IF(OR(B363="",E363="",H363="",J363="",K363="",L363="",M363="",O363="",P363="",Q363="",R363="",S363="",T363="",U363="",W363="",X363="",Y363="",AB363="",AC363="",AE363="",AF363=""),"Incompleta: faltan campos obligatorios",IF(AND(LEFT(H363,6)="PROPIA",I363=""),"Falta el nombre de la acción propia del área",IF(AND(LEFT(H363,4)="AC27",IFERROR(INDEX('Catalogos_PDN'!$T$5:$T$207,MATCH(H363,'Catalogos_PDN'!$U$5:$U$207,0)),"x")&lt;&gt;LEFT(E363,7)),"La acción no corresponde a la meta seleccionada",IF(OR(NOT(ISNUMBER(M363)),M363&lt;10000000,M363&gt;99999999),"Código UNSPSC inválido: registre 8 dígitos",IF(MOD(M363,10000)=0,"UNSPSC a nivel de segmento o familia: use clase o producto",IF(IFERROR(MATCH(P363,PN_MESES,0)&lt;MATCH(O363,PN_MESES,0),TRUE()),"El mes de ofertas es anterior al de inicio del proceso",IF(OR(NOT(ISNUMBER(Q363)),Q363&lt;=0),"Duración inválida",IF(OR(NOT(ISNUMBER(W363)),NOT(ISNUMBER(X363))),"Valor inválido: registre solo números",IF(OR(W363&lt;=0,X363&lt;=0),"Valor inválido: debe ser mayor que cero",IF(X363&gt;W363,"El valor de la vigencia 2027 supera el valor total",IF(AND(X363&lt;W363,Y363="No"),"El valor total supera el de 2027: requiere vigencias futuras",IF(AND(Y363="Sí",OR(Z363="",Z363="No aplica")),"Indique el estado de la solicitud de vigencias futuras",IF(IF(AND(S363="Mínima cuantía",ISNUMBER(PN_TOPE_MINIMA)),W363&gt;PN_TOPE_MINIMA,FALSE()),"El valor supera el tope de mínima cuantía 2027",IF(IF(AND(S363="Selección abreviada de menor cuantía",ISNUMBER(PN_TOPE_MENOR)),W363&gt;PN_TOPE_MENOR,FALSE()),"El valor supera el tope de menor cuantía 2027",IF(OR(ISERROR(SEARCH("@itc.edu.co",AE363)),SUMPRODUCT(--ISNUMBER(SEARCH({"á","é","í","ó","ú","ñ"," "},AE363)))&gt;0),"El correo del responsable no es institucional válido",IF(AND(AF363="Sí",AG363=""),"Indique el N.° de registro 2026 que continúa","OK")))))))))))))))))</f>
        <v/>
      </c>
      <c r="AK363" s="114">
        <f>IF(AJ363="OK",COUNTIF($AJ$7:AJ363,"OK"),"")</f>
        <v/>
      </c>
    </row>
    <row r="364">
      <c r="A364" s="110">
        <f>"PN27-"&amp;TEXT(ROW()-6,"000")</f>
        <v/>
      </c>
      <c r="B364" s="111" t="n"/>
      <c r="C364" s="110">
        <f>IF(B364="","",IFERROR(INDEX('Catalogos_PDN'!$R$5:$R$51,MATCH(B364,PN_AREAS,0)),""))</f>
        <v/>
      </c>
      <c r="D364" s="110">
        <f>IF(B364="","",IFERROR(INDEX('Catalogos_PDN'!$O$5:$O$51,MATCH(B364,PN_AREAS,0)),""))</f>
        <v/>
      </c>
      <c r="E364" s="111" t="n"/>
      <c r="F364" s="110">
        <f>IF(E364="","",IFERROR(INDEX('Catalogos_PDN'!$C$5:$C$49,MATCH(E364,PN_METAS,0)),""))</f>
        <v/>
      </c>
      <c r="G364" s="110">
        <f>IF(E364="","",IFERROR(INDEX('Catalogos_PDN'!$E$5:$E$49,MATCH(E364,PN_METAS,0)),""))</f>
        <v/>
      </c>
      <c r="H364" s="111" t="n"/>
      <c r="I364" s="111" t="n"/>
      <c r="J364" s="111" t="n"/>
      <c r="K364" s="111" t="n"/>
      <c r="L364" s="111" t="n"/>
      <c r="M364" s="112" t="n"/>
      <c r="N364" s="111" t="n"/>
      <c r="O364" s="111" t="n"/>
      <c r="P364" s="111" t="n"/>
      <c r="Q364" s="111" t="n"/>
      <c r="R364" s="111" t="n"/>
      <c r="S364" s="111" t="n"/>
      <c r="T364" s="111" t="n"/>
      <c r="U364" s="111" t="n"/>
      <c r="V364" s="111" t="n"/>
      <c r="W364" s="113" t="n"/>
      <c r="X364" s="113" t="n"/>
      <c r="Y364" s="111" t="n"/>
      <c r="Z364" s="111" t="n"/>
      <c r="AA364" s="111" t="n"/>
      <c r="AB364" s="111" t="n"/>
      <c r="AC364" s="111" t="n"/>
      <c r="AD364" s="111" t="n"/>
      <c r="AE364" s="111" t="n"/>
      <c r="AF364" s="111" t="n"/>
      <c r="AG364" s="111" t="n"/>
      <c r="AH364" s="111" t="n"/>
      <c r="AI364" s="111" t="n"/>
      <c r="AJ364" s="114">
        <f>IF(COUNTA(B364,E364,H364,I364,J364,K364,L364,M364,N364,O364,P364,Q364,R364,S364,T364,U364,V364,W364,X364,Y364,Z364,AA364,AB364,AC364,AD364,AE364,AF364,AG364,AH364,AI364)=0,"",IF(OR(B364="",E364="",H364="",J364="",K364="",L364="",M364="",O364="",P364="",Q364="",R364="",S364="",T364="",U364="",W364="",X364="",Y364="",AB364="",AC364="",AE364="",AF364=""),"Incompleta: faltan campos obligatorios",IF(AND(LEFT(H364,6)="PROPIA",I364=""),"Falta el nombre de la acción propia del área",IF(AND(LEFT(H364,4)="AC27",IFERROR(INDEX('Catalogos_PDN'!$T$5:$T$207,MATCH(H364,'Catalogos_PDN'!$U$5:$U$207,0)),"x")&lt;&gt;LEFT(E364,7)),"La acción no corresponde a la meta seleccionada",IF(OR(NOT(ISNUMBER(M364)),M364&lt;10000000,M364&gt;99999999),"Código UNSPSC inválido: registre 8 dígitos",IF(MOD(M364,10000)=0,"UNSPSC a nivel de segmento o familia: use clase o producto",IF(IFERROR(MATCH(P364,PN_MESES,0)&lt;MATCH(O364,PN_MESES,0),TRUE()),"El mes de ofertas es anterior al de inicio del proceso",IF(OR(NOT(ISNUMBER(Q364)),Q364&lt;=0),"Duración inválida",IF(OR(NOT(ISNUMBER(W364)),NOT(ISNUMBER(X364))),"Valor inválido: registre solo números",IF(OR(W364&lt;=0,X364&lt;=0),"Valor inválido: debe ser mayor que cero",IF(X364&gt;W364,"El valor de la vigencia 2027 supera el valor total",IF(AND(X364&lt;W364,Y364="No"),"El valor total supera el de 2027: requiere vigencias futuras",IF(AND(Y364="Sí",OR(Z364="",Z364="No aplica")),"Indique el estado de la solicitud de vigencias futuras",IF(IF(AND(S364="Mínima cuantía",ISNUMBER(PN_TOPE_MINIMA)),W364&gt;PN_TOPE_MINIMA,FALSE()),"El valor supera el tope de mínima cuantía 2027",IF(IF(AND(S364="Selección abreviada de menor cuantía",ISNUMBER(PN_TOPE_MENOR)),W364&gt;PN_TOPE_MENOR,FALSE()),"El valor supera el tope de menor cuantía 2027",IF(OR(ISERROR(SEARCH("@itc.edu.co",AE364)),SUMPRODUCT(--ISNUMBER(SEARCH({"á","é","í","ó","ú","ñ"," "},AE364)))&gt;0),"El correo del responsable no es institucional válido",IF(AND(AF364="Sí",AG364=""),"Indique el N.° de registro 2026 que continúa","OK")))))))))))))))))</f>
        <v/>
      </c>
      <c r="AK364" s="114">
        <f>IF(AJ364="OK",COUNTIF($AJ$7:AJ364,"OK"),"")</f>
        <v/>
      </c>
    </row>
    <row r="365">
      <c r="A365" s="110">
        <f>"PN27-"&amp;TEXT(ROW()-6,"000")</f>
        <v/>
      </c>
      <c r="B365" s="111" t="n"/>
      <c r="C365" s="110">
        <f>IF(B365="","",IFERROR(INDEX('Catalogos_PDN'!$R$5:$R$51,MATCH(B365,PN_AREAS,0)),""))</f>
        <v/>
      </c>
      <c r="D365" s="110">
        <f>IF(B365="","",IFERROR(INDEX('Catalogos_PDN'!$O$5:$O$51,MATCH(B365,PN_AREAS,0)),""))</f>
        <v/>
      </c>
      <c r="E365" s="111" t="n"/>
      <c r="F365" s="110">
        <f>IF(E365="","",IFERROR(INDEX('Catalogos_PDN'!$C$5:$C$49,MATCH(E365,PN_METAS,0)),""))</f>
        <v/>
      </c>
      <c r="G365" s="110">
        <f>IF(E365="","",IFERROR(INDEX('Catalogos_PDN'!$E$5:$E$49,MATCH(E365,PN_METAS,0)),""))</f>
        <v/>
      </c>
      <c r="H365" s="111" t="n"/>
      <c r="I365" s="111" t="n"/>
      <c r="J365" s="111" t="n"/>
      <c r="K365" s="111" t="n"/>
      <c r="L365" s="111" t="n"/>
      <c r="M365" s="112" t="n"/>
      <c r="N365" s="111" t="n"/>
      <c r="O365" s="111" t="n"/>
      <c r="P365" s="111" t="n"/>
      <c r="Q365" s="111" t="n"/>
      <c r="R365" s="111" t="n"/>
      <c r="S365" s="111" t="n"/>
      <c r="T365" s="111" t="n"/>
      <c r="U365" s="111" t="n"/>
      <c r="V365" s="111" t="n"/>
      <c r="W365" s="113" t="n"/>
      <c r="X365" s="113" t="n"/>
      <c r="Y365" s="111" t="n"/>
      <c r="Z365" s="111" t="n"/>
      <c r="AA365" s="111" t="n"/>
      <c r="AB365" s="111" t="n"/>
      <c r="AC365" s="111" t="n"/>
      <c r="AD365" s="111" t="n"/>
      <c r="AE365" s="111" t="n"/>
      <c r="AF365" s="111" t="n"/>
      <c r="AG365" s="111" t="n"/>
      <c r="AH365" s="111" t="n"/>
      <c r="AI365" s="111" t="n"/>
      <c r="AJ365" s="114">
        <f>IF(COUNTA(B365,E365,H365,I365,J365,K365,L365,M365,N365,O365,P365,Q365,R365,S365,T365,U365,V365,W365,X365,Y365,Z365,AA365,AB365,AC365,AD365,AE365,AF365,AG365,AH365,AI365)=0,"",IF(OR(B365="",E365="",H365="",J365="",K365="",L365="",M365="",O365="",P365="",Q365="",R365="",S365="",T365="",U365="",W365="",X365="",Y365="",AB365="",AC365="",AE365="",AF365=""),"Incompleta: faltan campos obligatorios",IF(AND(LEFT(H365,6)="PROPIA",I365=""),"Falta el nombre de la acción propia del área",IF(AND(LEFT(H365,4)="AC27",IFERROR(INDEX('Catalogos_PDN'!$T$5:$T$207,MATCH(H365,'Catalogos_PDN'!$U$5:$U$207,0)),"x")&lt;&gt;LEFT(E365,7)),"La acción no corresponde a la meta seleccionada",IF(OR(NOT(ISNUMBER(M365)),M365&lt;10000000,M365&gt;99999999),"Código UNSPSC inválido: registre 8 dígitos",IF(MOD(M365,10000)=0,"UNSPSC a nivel de segmento o familia: use clase o producto",IF(IFERROR(MATCH(P365,PN_MESES,0)&lt;MATCH(O365,PN_MESES,0),TRUE()),"El mes de ofertas es anterior al de inicio del proceso",IF(OR(NOT(ISNUMBER(Q365)),Q365&lt;=0),"Duración inválida",IF(OR(NOT(ISNUMBER(W365)),NOT(ISNUMBER(X365))),"Valor inválido: registre solo números",IF(OR(W365&lt;=0,X365&lt;=0),"Valor inválido: debe ser mayor que cero",IF(X365&gt;W365,"El valor de la vigencia 2027 supera el valor total",IF(AND(X365&lt;W365,Y365="No"),"El valor total supera el de 2027: requiere vigencias futuras",IF(AND(Y365="Sí",OR(Z365="",Z365="No aplica")),"Indique el estado de la solicitud de vigencias futuras",IF(IF(AND(S365="Mínima cuantía",ISNUMBER(PN_TOPE_MINIMA)),W365&gt;PN_TOPE_MINIMA,FALSE()),"El valor supera el tope de mínima cuantía 2027",IF(IF(AND(S365="Selección abreviada de menor cuantía",ISNUMBER(PN_TOPE_MENOR)),W365&gt;PN_TOPE_MENOR,FALSE()),"El valor supera el tope de menor cuantía 2027",IF(OR(ISERROR(SEARCH("@itc.edu.co",AE365)),SUMPRODUCT(--ISNUMBER(SEARCH({"á","é","í","ó","ú","ñ"," "},AE365)))&gt;0),"El correo del responsable no es institucional válido",IF(AND(AF365="Sí",AG365=""),"Indique el N.° de registro 2026 que continúa","OK")))))))))))))))))</f>
        <v/>
      </c>
      <c r="AK365" s="114">
        <f>IF(AJ365="OK",COUNTIF($AJ$7:AJ365,"OK"),"")</f>
        <v/>
      </c>
    </row>
    <row r="366">
      <c r="A366" s="110">
        <f>"PN27-"&amp;TEXT(ROW()-6,"000")</f>
        <v/>
      </c>
      <c r="B366" s="111" t="n"/>
      <c r="C366" s="110">
        <f>IF(B366="","",IFERROR(INDEX('Catalogos_PDN'!$R$5:$R$51,MATCH(B366,PN_AREAS,0)),""))</f>
        <v/>
      </c>
      <c r="D366" s="110">
        <f>IF(B366="","",IFERROR(INDEX('Catalogos_PDN'!$O$5:$O$51,MATCH(B366,PN_AREAS,0)),""))</f>
        <v/>
      </c>
      <c r="E366" s="111" t="n"/>
      <c r="F366" s="110">
        <f>IF(E366="","",IFERROR(INDEX('Catalogos_PDN'!$C$5:$C$49,MATCH(E366,PN_METAS,0)),""))</f>
        <v/>
      </c>
      <c r="G366" s="110">
        <f>IF(E366="","",IFERROR(INDEX('Catalogos_PDN'!$E$5:$E$49,MATCH(E366,PN_METAS,0)),""))</f>
        <v/>
      </c>
      <c r="H366" s="111" t="n"/>
      <c r="I366" s="111" t="n"/>
      <c r="J366" s="111" t="n"/>
      <c r="K366" s="111" t="n"/>
      <c r="L366" s="111" t="n"/>
      <c r="M366" s="112" t="n"/>
      <c r="N366" s="111" t="n"/>
      <c r="O366" s="111" t="n"/>
      <c r="P366" s="111" t="n"/>
      <c r="Q366" s="111" t="n"/>
      <c r="R366" s="111" t="n"/>
      <c r="S366" s="111" t="n"/>
      <c r="T366" s="111" t="n"/>
      <c r="U366" s="111" t="n"/>
      <c r="V366" s="111" t="n"/>
      <c r="W366" s="113" t="n"/>
      <c r="X366" s="113" t="n"/>
      <c r="Y366" s="111" t="n"/>
      <c r="Z366" s="111" t="n"/>
      <c r="AA366" s="111" t="n"/>
      <c r="AB366" s="111" t="n"/>
      <c r="AC366" s="111" t="n"/>
      <c r="AD366" s="111" t="n"/>
      <c r="AE366" s="111" t="n"/>
      <c r="AF366" s="111" t="n"/>
      <c r="AG366" s="111" t="n"/>
      <c r="AH366" s="111" t="n"/>
      <c r="AI366" s="111" t="n"/>
      <c r="AJ366" s="114">
        <f>IF(COUNTA(B366,E366,H366,I366,J366,K366,L366,M366,N366,O366,P366,Q366,R366,S366,T366,U366,V366,W366,X366,Y366,Z366,AA366,AB366,AC366,AD366,AE366,AF366,AG366,AH366,AI366)=0,"",IF(OR(B366="",E366="",H366="",J366="",K366="",L366="",M366="",O366="",P366="",Q366="",R366="",S366="",T366="",U366="",W366="",X366="",Y366="",AB366="",AC366="",AE366="",AF366=""),"Incompleta: faltan campos obligatorios",IF(AND(LEFT(H366,6)="PROPIA",I366=""),"Falta el nombre de la acción propia del área",IF(AND(LEFT(H366,4)="AC27",IFERROR(INDEX('Catalogos_PDN'!$T$5:$T$207,MATCH(H366,'Catalogos_PDN'!$U$5:$U$207,0)),"x")&lt;&gt;LEFT(E366,7)),"La acción no corresponde a la meta seleccionada",IF(OR(NOT(ISNUMBER(M366)),M366&lt;10000000,M366&gt;99999999),"Código UNSPSC inválido: registre 8 dígitos",IF(MOD(M366,10000)=0,"UNSPSC a nivel de segmento o familia: use clase o producto",IF(IFERROR(MATCH(P366,PN_MESES,0)&lt;MATCH(O366,PN_MESES,0),TRUE()),"El mes de ofertas es anterior al de inicio del proceso",IF(OR(NOT(ISNUMBER(Q366)),Q366&lt;=0),"Duración inválida",IF(OR(NOT(ISNUMBER(W366)),NOT(ISNUMBER(X366))),"Valor inválido: registre solo números",IF(OR(W366&lt;=0,X366&lt;=0),"Valor inválido: debe ser mayor que cero",IF(X366&gt;W366,"El valor de la vigencia 2027 supera el valor total",IF(AND(X366&lt;W366,Y366="No"),"El valor total supera el de 2027: requiere vigencias futuras",IF(AND(Y366="Sí",OR(Z366="",Z366="No aplica")),"Indique el estado de la solicitud de vigencias futuras",IF(IF(AND(S366="Mínima cuantía",ISNUMBER(PN_TOPE_MINIMA)),W366&gt;PN_TOPE_MINIMA,FALSE()),"El valor supera el tope de mínima cuantía 2027",IF(IF(AND(S366="Selección abreviada de menor cuantía",ISNUMBER(PN_TOPE_MENOR)),W366&gt;PN_TOPE_MENOR,FALSE()),"El valor supera el tope de menor cuantía 2027",IF(OR(ISERROR(SEARCH("@itc.edu.co",AE366)),SUMPRODUCT(--ISNUMBER(SEARCH({"á","é","í","ó","ú","ñ"," "},AE366)))&gt;0),"El correo del responsable no es institucional válido",IF(AND(AF366="Sí",AG366=""),"Indique el N.° de registro 2026 que continúa","OK")))))))))))))))))</f>
        <v/>
      </c>
      <c r="AK366" s="114">
        <f>IF(AJ366="OK",COUNTIF($AJ$7:AJ366,"OK"),"")</f>
        <v/>
      </c>
    </row>
    <row r="367">
      <c r="A367" s="110">
        <f>"PN27-"&amp;TEXT(ROW()-6,"000")</f>
        <v/>
      </c>
      <c r="B367" s="111" t="n"/>
      <c r="C367" s="110">
        <f>IF(B367="","",IFERROR(INDEX('Catalogos_PDN'!$R$5:$R$51,MATCH(B367,PN_AREAS,0)),""))</f>
        <v/>
      </c>
      <c r="D367" s="110">
        <f>IF(B367="","",IFERROR(INDEX('Catalogos_PDN'!$O$5:$O$51,MATCH(B367,PN_AREAS,0)),""))</f>
        <v/>
      </c>
      <c r="E367" s="111" t="n"/>
      <c r="F367" s="110">
        <f>IF(E367="","",IFERROR(INDEX('Catalogos_PDN'!$C$5:$C$49,MATCH(E367,PN_METAS,0)),""))</f>
        <v/>
      </c>
      <c r="G367" s="110">
        <f>IF(E367="","",IFERROR(INDEX('Catalogos_PDN'!$E$5:$E$49,MATCH(E367,PN_METAS,0)),""))</f>
        <v/>
      </c>
      <c r="H367" s="111" t="n"/>
      <c r="I367" s="111" t="n"/>
      <c r="J367" s="111" t="n"/>
      <c r="K367" s="111" t="n"/>
      <c r="L367" s="111" t="n"/>
      <c r="M367" s="112" t="n"/>
      <c r="N367" s="111" t="n"/>
      <c r="O367" s="111" t="n"/>
      <c r="P367" s="111" t="n"/>
      <c r="Q367" s="111" t="n"/>
      <c r="R367" s="111" t="n"/>
      <c r="S367" s="111" t="n"/>
      <c r="T367" s="111" t="n"/>
      <c r="U367" s="111" t="n"/>
      <c r="V367" s="111" t="n"/>
      <c r="W367" s="113" t="n"/>
      <c r="X367" s="113" t="n"/>
      <c r="Y367" s="111" t="n"/>
      <c r="Z367" s="111" t="n"/>
      <c r="AA367" s="111" t="n"/>
      <c r="AB367" s="111" t="n"/>
      <c r="AC367" s="111" t="n"/>
      <c r="AD367" s="111" t="n"/>
      <c r="AE367" s="111" t="n"/>
      <c r="AF367" s="111" t="n"/>
      <c r="AG367" s="111" t="n"/>
      <c r="AH367" s="111" t="n"/>
      <c r="AI367" s="111" t="n"/>
      <c r="AJ367" s="114">
        <f>IF(COUNTA(B367,E367,H367,I367,J367,K367,L367,M367,N367,O367,P367,Q367,R367,S367,T367,U367,V367,W367,X367,Y367,Z367,AA367,AB367,AC367,AD367,AE367,AF367,AG367,AH367,AI367)=0,"",IF(OR(B367="",E367="",H367="",J367="",K367="",L367="",M367="",O367="",P367="",Q367="",R367="",S367="",T367="",U367="",W367="",X367="",Y367="",AB367="",AC367="",AE367="",AF367=""),"Incompleta: faltan campos obligatorios",IF(AND(LEFT(H367,6)="PROPIA",I367=""),"Falta el nombre de la acción propia del área",IF(AND(LEFT(H367,4)="AC27",IFERROR(INDEX('Catalogos_PDN'!$T$5:$T$207,MATCH(H367,'Catalogos_PDN'!$U$5:$U$207,0)),"x")&lt;&gt;LEFT(E367,7)),"La acción no corresponde a la meta seleccionada",IF(OR(NOT(ISNUMBER(M367)),M367&lt;10000000,M367&gt;99999999),"Código UNSPSC inválido: registre 8 dígitos",IF(MOD(M367,10000)=0,"UNSPSC a nivel de segmento o familia: use clase o producto",IF(IFERROR(MATCH(P367,PN_MESES,0)&lt;MATCH(O367,PN_MESES,0),TRUE()),"El mes de ofertas es anterior al de inicio del proceso",IF(OR(NOT(ISNUMBER(Q367)),Q367&lt;=0),"Duración inválida",IF(OR(NOT(ISNUMBER(W367)),NOT(ISNUMBER(X367))),"Valor inválido: registre solo números",IF(OR(W367&lt;=0,X367&lt;=0),"Valor inválido: debe ser mayor que cero",IF(X367&gt;W367,"El valor de la vigencia 2027 supera el valor total",IF(AND(X367&lt;W367,Y367="No"),"El valor total supera el de 2027: requiere vigencias futuras",IF(AND(Y367="Sí",OR(Z367="",Z367="No aplica")),"Indique el estado de la solicitud de vigencias futuras",IF(IF(AND(S367="Mínima cuantía",ISNUMBER(PN_TOPE_MINIMA)),W367&gt;PN_TOPE_MINIMA,FALSE()),"El valor supera el tope de mínima cuantía 2027",IF(IF(AND(S367="Selección abreviada de menor cuantía",ISNUMBER(PN_TOPE_MENOR)),W367&gt;PN_TOPE_MENOR,FALSE()),"El valor supera el tope de menor cuantía 2027",IF(OR(ISERROR(SEARCH("@itc.edu.co",AE367)),SUMPRODUCT(--ISNUMBER(SEARCH({"á","é","í","ó","ú","ñ"," "},AE367)))&gt;0),"El correo del responsable no es institucional válido",IF(AND(AF367="Sí",AG367=""),"Indique el N.° de registro 2026 que continúa","OK")))))))))))))))))</f>
        <v/>
      </c>
      <c r="AK367" s="114">
        <f>IF(AJ367="OK",COUNTIF($AJ$7:AJ367,"OK"),"")</f>
        <v/>
      </c>
    </row>
    <row r="368">
      <c r="A368" s="110">
        <f>"PN27-"&amp;TEXT(ROW()-6,"000")</f>
        <v/>
      </c>
      <c r="B368" s="111" t="n"/>
      <c r="C368" s="110">
        <f>IF(B368="","",IFERROR(INDEX('Catalogos_PDN'!$R$5:$R$51,MATCH(B368,PN_AREAS,0)),""))</f>
        <v/>
      </c>
      <c r="D368" s="110">
        <f>IF(B368="","",IFERROR(INDEX('Catalogos_PDN'!$O$5:$O$51,MATCH(B368,PN_AREAS,0)),""))</f>
        <v/>
      </c>
      <c r="E368" s="111" t="n"/>
      <c r="F368" s="110">
        <f>IF(E368="","",IFERROR(INDEX('Catalogos_PDN'!$C$5:$C$49,MATCH(E368,PN_METAS,0)),""))</f>
        <v/>
      </c>
      <c r="G368" s="110">
        <f>IF(E368="","",IFERROR(INDEX('Catalogos_PDN'!$E$5:$E$49,MATCH(E368,PN_METAS,0)),""))</f>
        <v/>
      </c>
      <c r="H368" s="111" t="n"/>
      <c r="I368" s="111" t="n"/>
      <c r="J368" s="111" t="n"/>
      <c r="K368" s="111" t="n"/>
      <c r="L368" s="111" t="n"/>
      <c r="M368" s="112" t="n"/>
      <c r="N368" s="111" t="n"/>
      <c r="O368" s="111" t="n"/>
      <c r="P368" s="111" t="n"/>
      <c r="Q368" s="111" t="n"/>
      <c r="R368" s="111" t="n"/>
      <c r="S368" s="111" t="n"/>
      <c r="T368" s="111" t="n"/>
      <c r="U368" s="111" t="n"/>
      <c r="V368" s="111" t="n"/>
      <c r="W368" s="113" t="n"/>
      <c r="X368" s="113" t="n"/>
      <c r="Y368" s="111" t="n"/>
      <c r="Z368" s="111" t="n"/>
      <c r="AA368" s="111" t="n"/>
      <c r="AB368" s="111" t="n"/>
      <c r="AC368" s="111" t="n"/>
      <c r="AD368" s="111" t="n"/>
      <c r="AE368" s="111" t="n"/>
      <c r="AF368" s="111" t="n"/>
      <c r="AG368" s="111" t="n"/>
      <c r="AH368" s="111" t="n"/>
      <c r="AI368" s="111" t="n"/>
      <c r="AJ368" s="114">
        <f>IF(COUNTA(B368,E368,H368,I368,J368,K368,L368,M368,N368,O368,P368,Q368,R368,S368,T368,U368,V368,W368,X368,Y368,Z368,AA368,AB368,AC368,AD368,AE368,AF368,AG368,AH368,AI368)=0,"",IF(OR(B368="",E368="",H368="",J368="",K368="",L368="",M368="",O368="",P368="",Q368="",R368="",S368="",T368="",U368="",W368="",X368="",Y368="",AB368="",AC368="",AE368="",AF368=""),"Incompleta: faltan campos obligatorios",IF(AND(LEFT(H368,6)="PROPIA",I368=""),"Falta el nombre de la acción propia del área",IF(AND(LEFT(H368,4)="AC27",IFERROR(INDEX('Catalogos_PDN'!$T$5:$T$207,MATCH(H368,'Catalogos_PDN'!$U$5:$U$207,0)),"x")&lt;&gt;LEFT(E368,7)),"La acción no corresponde a la meta seleccionada",IF(OR(NOT(ISNUMBER(M368)),M368&lt;10000000,M368&gt;99999999),"Código UNSPSC inválido: registre 8 dígitos",IF(MOD(M368,10000)=0,"UNSPSC a nivel de segmento o familia: use clase o producto",IF(IFERROR(MATCH(P368,PN_MESES,0)&lt;MATCH(O368,PN_MESES,0),TRUE()),"El mes de ofertas es anterior al de inicio del proceso",IF(OR(NOT(ISNUMBER(Q368)),Q368&lt;=0),"Duración inválida",IF(OR(NOT(ISNUMBER(W368)),NOT(ISNUMBER(X368))),"Valor inválido: registre solo números",IF(OR(W368&lt;=0,X368&lt;=0),"Valor inválido: debe ser mayor que cero",IF(X368&gt;W368,"El valor de la vigencia 2027 supera el valor total",IF(AND(X368&lt;W368,Y368="No"),"El valor total supera el de 2027: requiere vigencias futuras",IF(AND(Y368="Sí",OR(Z368="",Z368="No aplica")),"Indique el estado de la solicitud de vigencias futuras",IF(IF(AND(S368="Mínima cuantía",ISNUMBER(PN_TOPE_MINIMA)),W368&gt;PN_TOPE_MINIMA,FALSE()),"El valor supera el tope de mínima cuantía 2027",IF(IF(AND(S368="Selección abreviada de menor cuantía",ISNUMBER(PN_TOPE_MENOR)),W368&gt;PN_TOPE_MENOR,FALSE()),"El valor supera el tope de menor cuantía 2027",IF(OR(ISERROR(SEARCH("@itc.edu.co",AE368)),SUMPRODUCT(--ISNUMBER(SEARCH({"á","é","í","ó","ú","ñ"," "},AE368)))&gt;0),"El correo del responsable no es institucional válido",IF(AND(AF368="Sí",AG368=""),"Indique el N.° de registro 2026 que continúa","OK")))))))))))))))))</f>
        <v/>
      </c>
      <c r="AK368" s="114">
        <f>IF(AJ368="OK",COUNTIF($AJ$7:AJ368,"OK"),"")</f>
        <v/>
      </c>
    </row>
    <row r="369">
      <c r="A369" s="110">
        <f>"PN27-"&amp;TEXT(ROW()-6,"000")</f>
        <v/>
      </c>
      <c r="B369" s="111" t="n"/>
      <c r="C369" s="110">
        <f>IF(B369="","",IFERROR(INDEX('Catalogos_PDN'!$R$5:$R$51,MATCH(B369,PN_AREAS,0)),""))</f>
        <v/>
      </c>
      <c r="D369" s="110">
        <f>IF(B369="","",IFERROR(INDEX('Catalogos_PDN'!$O$5:$O$51,MATCH(B369,PN_AREAS,0)),""))</f>
        <v/>
      </c>
      <c r="E369" s="111" t="n"/>
      <c r="F369" s="110">
        <f>IF(E369="","",IFERROR(INDEX('Catalogos_PDN'!$C$5:$C$49,MATCH(E369,PN_METAS,0)),""))</f>
        <v/>
      </c>
      <c r="G369" s="110">
        <f>IF(E369="","",IFERROR(INDEX('Catalogos_PDN'!$E$5:$E$49,MATCH(E369,PN_METAS,0)),""))</f>
        <v/>
      </c>
      <c r="H369" s="111" t="n"/>
      <c r="I369" s="111" t="n"/>
      <c r="J369" s="111" t="n"/>
      <c r="K369" s="111" t="n"/>
      <c r="L369" s="111" t="n"/>
      <c r="M369" s="112" t="n"/>
      <c r="N369" s="111" t="n"/>
      <c r="O369" s="111" t="n"/>
      <c r="P369" s="111" t="n"/>
      <c r="Q369" s="111" t="n"/>
      <c r="R369" s="111" t="n"/>
      <c r="S369" s="111" t="n"/>
      <c r="T369" s="111" t="n"/>
      <c r="U369" s="111" t="n"/>
      <c r="V369" s="111" t="n"/>
      <c r="W369" s="113" t="n"/>
      <c r="X369" s="113" t="n"/>
      <c r="Y369" s="111" t="n"/>
      <c r="Z369" s="111" t="n"/>
      <c r="AA369" s="111" t="n"/>
      <c r="AB369" s="111" t="n"/>
      <c r="AC369" s="111" t="n"/>
      <c r="AD369" s="111" t="n"/>
      <c r="AE369" s="111" t="n"/>
      <c r="AF369" s="111" t="n"/>
      <c r="AG369" s="111" t="n"/>
      <c r="AH369" s="111" t="n"/>
      <c r="AI369" s="111" t="n"/>
      <c r="AJ369" s="114">
        <f>IF(COUNTA(B369,E369,H369,I369,J369,K369,L369,M369,N369,O369,P369,Q369,R369,S369,T369,U369,V369,W369,X369,Y369,Z369,AA369,AB369,AC369,AD369,AE369,AF369,AG369,AH369,AI369)=0,"",IF(OR(B369="",E369="",H369="",J369="",K369="",L369="",M369="",O369="",P369="",Q369="",R369="",S369="",T369="",U369="",W369="",X369="",Y369="",AB369="",AC369="",AE369="",AF369=""),"Incompleta: faltan campos obligatorios",IF(AND(LEFT(H369,6)="PROPIA",I369=""),"Falta el nombre de la acción propia del área",IF(AND(LEFT(H369,4)="AC27",IFERROR(INDEX('Catalogos_PDN'!$T$5:$T$207,MATCH(H369,'Catalogos_PDN'!$U$5:$U$207,0)),"x")&lt;&gt;LEFT(E369,7)),"La acción no corresponde a la meta seleccionada",IF(OR(NOT(ISNUMBER(M369)),M369&lt;10000000,M369&gt;99999999),"Código UNSPSC inválido: registre 8 dígitos",IF(MOD(M369,10000)=0,"UNSPSC a nivel de segmento o familia: use clase o producto",IF(IFERROR(MATCH(P369,PN_MESES,0)&lt;MATCH(O369,PN_MESES,0),TRUE()),"El mes de ofertas es anterior al de inicio del proceso",IF(OR(NOT(ISNUMBER(Q369)),Q369&lt;=0),"Duración inválida",IF(OR(NOT(ISNUMBER(W369)),NOT(ISNUMBER(X369))),"Valor inválido: registre solo números",IF(OR(W369&lt;=0,X369&lt;=0),"Valor inválido: debe ser mayor que cero",IF(X369&gt;W369,"El valor de la vigencia 2027 supera el valor total",IF(AND(X369&lt;W369,Y369="No"),"El valor total supera el de 2027: requiere vigencias futuras",IF(AND(Y369="Sí",OR(Z369="",Z369="No aplica")),"Indique el estado de la solicitud de vigencias futuras",IF(IF(AND(S369="Mínima cuantía",ISNUMBER(PN_TOPE_MINIMA)),W369&gt;PN_TOPE_MINIMA,FALSE()),"El valor supera el tope de mínima cuantía 2027",IF(IF(AND(S369="Selección abreviada de menor cuantía",ISNUMBER(PN_TOPE_MENOR)),W369&gt;PN_TOPE_MENOR,FALSE()),"El valor supera el tope de menor cuantía 2027",IF(OR(ISERROR(SEARCH("@itc.edu.co",AE369)),SUMPRODUCT(--ISNUMBER(SEARCH({"á","é","í","ó","ú","ñ"," "},AE369)))&gt;0),"El correo del responsable no es institucional válido",IF(AND(AF369="Sí",AG369=""),"Indique el N.° de registro 2026 que continúa","OK")))))))))))))))))</f>
        <v/>
      </c>
      <c r="AK369" s="114">
        <f>IF(AJ369="OK",COUNTIF($AJ$7:AJ369,"OK"),"")</f>
        <v/>
      </c>
    </row>
    <row r="370">
      <c r="A370" s="110">
        <f>"PN27-"&amp;TEXT(ROW()-6,"000")</f>
        <v/>
      </c>
      <c r="B370" s="111" t="n"/>
      <c r="C370" s="110">
        <f>IF(B370="","",IFERROR(INDEX('Catalogos_PDN'!$R$5:$R$51,MATCH(B370,PN_AREAS,0)),""))</f>
        <v/>
      </c>
      <c r="D370" s="110">
        <f>IF(B370="","",IFERROR(INDEX('Catalogos_PDN'!$O$5:$O$51,MATCH(B370,PN_AREAS,0)),""))</f>
        <v/>
      </c>
      <c r="E370" s="111" t="n"/>
      <c r="F370" s="110">
        <f>IF(E370="","",IFERROR(INDEX('Catalogos_PDN'!$C$5:$C$49,MATCH(E370,PN_METAS,0)),""))</f>
        <v/>
      </c>
      <c r="G370" s="110">
        <f>IF(E370="","",IFERROR(INDEX('Catalogos_PDN'!$E$5:$E$49,MATCH(E370,PN_METAS,0)),""))</f>
        <v/>
      </c>
      <c r="H370" s="111" t="n"/>
      <c r="I370" s="111" t="n"/>
      <c r="J370" s="111" t="n"/>
      <c r="K370" s="111" t="n"/>
      <c r="L370" s="111" t="n"/>
      <c r="M370" s="112" t="n"/>
      <c r="N370" s="111" t="n"/>
      <c r="O370" s="111" t="n"/>
      <c r="P370" s="111" t="n"/>
      <c r="Q370" s="111" t="n"/>
      <c r="R370" s="111" t="n"/>
      <c r="S370" s="111" t="n"/>
      <c r="T370" s="111" t="n"/>
      <c r="U370" s="111" t="n"/>
      <c r="V370" s="111" t="n"/>
      <c r="W370" s="113" t="n"/>
      <c r="X370" s="113" t="n"/>
      <c r="Y370" s="111" t="n"/>
      <c r="Z370" s="111" t="n"/>
      <c r="AA370" s="111" t="n"/>
      <c r="AB370" s="111" t="n"/>
      <c r="AC370" s="111" t="n"/>
      <c r="AD370" s="111" t="n"/>
      <c r="AE370" s="111" t="n"/>
      <c r="AF370" s="111" t="n"/>
      <c r="AG370" s="111" t="n"/>
      <c r="AH370" s="111" t="n"/>
      <c r="AI370" s="111" t="n"/>
      <c r="AJ370" s="114">
        <f>IF(COUNTA(B370,E370,H370,I370,J370,K370,L370,M370,N370,O370,P370,Q370,R370,S370,T370,U370,V370,W370,X370,Y370,Z370,AA370,AB370,AC370,AD370,AE370,AF370,AG370,AH370,AI370)=0,"",IF(OR(B370="",E370="",H370="",J370="",K370="",L370="",M370="",O370="",P370="",Q370="",R370="",S370="",T370="",U370="",W370="",X370="",Y370="",AB370="",AC370="",AE370="",AF370=""),"Incompleta: faltan campos obligatorios",IF(AND(LEFT(H370,6)="PROPIA",I370=""),"Falta el nombre de la acción propia del área",IF(AND(LEFT(H370,4)="AC27",IFERROR(INDEX('Catalogos_PDN'!$T$5:$T$207,MATCH(H370,'Catalogos_PDN'!$U$5:$U$207,0)),"x")&lt;&gt;LEFT(E370,7)),"La acción no corresponde a la meta seleccionada",IF(OR(NOT(ISNUMBER(M370)),M370&lt;10000000,M370&gt;99999999),"Código UNSPSC inválido: registre 8 dígitos",IF(MOD(M370,10000)=0,"UNSPSC a nivel de segmento o familia: use clase o producto",IF(IFERROR(MATCH(P370,PN_MESES,0)&lt;MATCH(O370,PN_MESES,0),TRUE()),"El mes de ofertas es anterior al de inicio del proceso",IF(OR(NOT(ISNUMBER(Q370)),Q370&lt;=0),"Duración inválida",IF(OR(NOT(ISNUMBER(W370)),NOT(ISNUMBER(X370))),"Valor inválido: registre solo números",IF(OR(W370&lt;=0,X370&lt;=0),"Valor inválido: debe ser mayor que cero",IF(X370&gt;W370,"El valor de la vigencia 2027 supera el valor total",IF(AND(X370&lt;W370,Y370="No"),"El valor total supera el de 2027: requiere vigencias futuras",IF(AND(Y370="Sí",OR(Z370="",Z370="No aplica")),"Indique el estado de la solicitud de vigencias futuras",IF(IF(AND(S370="Mínima cuantía",ISNUMBER(PN_TOPE_MINIMA)),W370&gt;PN_TOPE_MINIMA,FALSE()),"El valor supera el tope de mínima cuantía 2027",IF(IF(AND(S370="Selección abreviada de menor cuantía",ISNUMBER(PN_TOPE_MENOR)),W370&gt;PN_TOPE_MENOR,FALSE()),"El valor supera el tope de menor cuantía 2027",IF(OR(ISERROR(SEARCH("@itc.edu.co",AE370)),SUMPRODUCT(--ISNUMBER(SEARCH({"á","é","í","ó","ú","ñ"," "},AE370)))&gt;0),"El correo del responsable no es institucional válido",IF(AND(AF370="Sí",AG370=""),"Indique el N.° de registro 2026 que continúa","OK")))))))))))))))))</f>
        <v/>
      </c>
      <c r="AK370" s="114">
        <f>IF(AJ370="OK",COUNTIF($AJ$7:AJ370,"OK"),"")</f>
        <v/>
      </c>
    </row>
    <row r="371">
      <c r="A371" s="110">
        <f>"PN27-"&amp;TEXT(ROW()-6,"000")</f>
        <v/>
      </c>
      <c r="B371" s="111" t="n"/>
      <c r="C371" s="110">
        <f>IF(B371="","",IFERROR(INDEX('Catalogos_PDN'!$R$5:$R$51,MATCH(B371,PN_AREAS,0)),""))</f>
        <v/>
      </c>
      <c r="D371" s="110">
        <f>IF(B371="","",IFERROR(INDEX('Catalogos_PDN'!$O$5:$O$51,MATCH(B371,PN_AREAS,0)),""))</f>
        <v/>
      </c>
      <c r="E371" s="111" t="n"/>
      <c r="F371" s="110">
        <f>IF(E371="","",IFERROR(INDEX('Catalogos_PDN'!$C$5:$C$49,MATCH(E371,PN_METAS,0)),""))</f>
        <v/>
      </c>
      <c r="G371" s="110">
        <f>IF(E371="","",IFERROR(INDEX('Catalogos_PDN'!$E$5:$E$49,MATCH(E371,PN_METAS,0)),""))</f>
        <v/>
      </c>
      <c r="H371" s="111" t="n"/>
      <c r="I371" s="111" t="n"/>
      <c r="J371" s="111" t="n"/>
      <c r="K371" s="111" t="n"/>
      <c r="L371" s="111" t="n"/>
      <c r="M371" s="112" t="n"/>
      <c r="N371" s="111" t="n"/>
      <c r="O371" s="111" t="n"/>
      <c r="P371" s="111" t="n"/>
      <c r="Q371" s="111" t="n"/>
      <c r="R371" s="111" t="n"/>
      <c r="S371" s="111" t="n"/>
      <c r="T371" s="111" t="n"/>
      <c r="U371" s="111" t="n"/>
      <c r="V371" s="111" t="n"/>
      <c r="W371" s="113" t="n"/>
      <c r="X371" s="113" t="n"/>
      <c r="Y371" s="111" t="n"/>
      <c r="Z371" s="111" t="n"/>
      <c r="AA371" s="111" t="n"/>
      <c r="AB371" s="111" t="n"/>
      <c r="AC371" s="111" t="n"/>
      <c r="AD371" s="111" t="n"/>
      <c r="AE371" s="111" t="n"/>
      <c r="AF371" s="111" t="n"/>
      <c r="AG371" s="111" t="n"/>
      <c r="AH371" s="111" t="n"/>
      <c r="AI371" s="111" t="n"/>
      <c r="AJ371" s="114">
        <f>IF(COUNTA(B371,E371,H371,I371,J371,K371,L371,M371,N371,O371,P371,Q371,R371,S371,T371,U371,V371,W371,X371,Y371,Z371,AA371,AB371,AC371,AD371,AE371,AF371,AG371,AH371,AI371)=0,"",IF(OR(B371="",E371="",H371="",J371="",K371="",L371="",M371="",O371="",P371="",Q371="",R371="",S371="",T371="",U371="",W371="",X371="",Y371="",AB371="",AC371="",AE371="",AF371=""),"Incompleta: faltan campos obligatorios",IF(AND(LEFT(H371,6)="PROPIA",I371=""),"Falta el nombre de la acción propia del área",IF(AND(LEFT(H371,4)="AC27",IFERROR(INDEX('Catalogos_PDN'!$T$5:$T$207,MATCH(H371,'Catalogos_PDN'!$U$5:$U$207,0)),"x")&lt;&gt;LEFT(E371,7)),"La acción no corresponde a la meta seleccionada",IF(OR(NOT(ISNUMBER(M371)),M371&lt;10000000,M371&gt;99999999),"Código UNSPSC inválido: registre 8 dígitos",IF(MOD(M371,10000)=0,"UNSPSC a nivel de segmento o familia: use clase o producto",IF(IFERROR(MATCH(P371,PN_MESES,0)&lt;MATCH(O371,PN_MESES,0),TRUE()),"El mes de ofertas es anterior al de inicio del proceso",IF(OR(NOT(ISNUMBER(Q371)),Q371&lt;=0),"Duración inválida",IF(OR(NOT(ISNUMBER(W371)),NOT(ISNUMBER(X371))),"Valor inválido: registre solo números",IF(OR(W371&lt;=0,X371&lt;=0),"Valor inválido: debe ser mayor que cero",IF(X371&gt;W371,"El valor de la vigencia 2027 supera el valor total",IF(AND(X371&lt;W371,Y371="No"),"El valor total supera el de 2027: requiere vigencias futuras",IF(AND(Y371="Sí",OR(Z371="",Z371="No aplica")),"Indique el estado de la solicitud de vigencias futuras",IF(IF(AND(S371="Mínima cuantía",ISNUMBER(PN_TOPE_MINIMA)),W371&gt;PN_TOPE_MINIMA,FALSE()),"El valor supera el tope de mínima cuantía 2027",IF(IF(AND(S371="Selección abreviada de menor cuantía",ISNUMBER(PN_TOPE_MENOR)),W371&gt;PN_TOPE_MENOR,FALSE()),"El valor supera el tope de menor cuantía 2027",IF(OR(ISERROR(SEARCH("@itc.edu.co",AE371)),SUMPRODUCT(--ISNUMBER(SEARCH({"á","é","í","ó","ú","ñ"," "},AE371)))&gt;0),"El correo del responsable no es institucional válido",IF(AND(AF371="Sí",AG371=""),"Indique el N.° de registro 2026 que continúa","OK")))))))))))))))))</f>
        <v/>
      </c>
      <c r="AK371" s="114">
        <f>IF(AJ371="OK",COUNTIF($AJ$7:AJ371,"OK"),"")</f>
        <v/>
      </c>
    </row>
    <row r="372">
      <c r="A372" s="110">
        <f>"PN27-"&amp;TEXT(ROW()-6,"000")</f>
        <v/>
      </c>
      <c r="B372" s="111" t="n"/>
      <c r="C372" s="110">
        <f>IF(B372="","",IFERROR(INDEX('Catalogos_PDN'!$R$5:$R$51,MATCH(B372,PN_AREAS,0)),""))</f>
        <v/>
      </c>
      <c r="D372" s="110">
        <f>IF(B372="","",IFERROR(INDEX('Catalogos_PDN'!$O$5:$O$51,MATCH(B372,PN_AREAS,0)),""))</f>
        <v/>
      </c>
      <c r="E372" s="111" t="n"/>
      <c r="F372" s="110">
        <f>IF(E372="","",IFERROR(INDEX('Catalogos_PDN'!$C$5:$C$49,MATCH(E372,PN_METAS,0)),""))</f>
        <v/>
      </c>
      <c r="G372" s="110">
        <f>IF(E372="","",IFERROR(INDEX('Catalogos_PDN'!$E$5:$E$49,MATCH(E372,PN_METAS,0)),""))</f>
        <v/>
      </c>
      <c r="H372" s="111" t="n"/>
      <c r="I372" s="111" t="n"/>
      <c r="J372" s="111" t="n"/>
      <c r="K372" s="111" t="n"/>
      <c r="L372" s="111" t="n"/>
      <c r="M372" s="112" t="n"/>
      <c r="N372" s="111" t="n"/>
      <c r="O372" s="111" t="n"/>
      <c r="P372" s="111" t="n"/>
      <c r="Q372" s="111" t="n"/>
      <c r="R372" s="111" t="n"/>
      <c r="S372" s="111" t="n"/>
      <c r="T372" s="111" t="n"/>
      <c r="U372" s="111" t="n"/>
      <c r="V372" s="111" t="n"/>
      <c r="W372" s="113" t="n"/>
      <c r="X372" s="113" t="n"/>
      <c r="Y372" s="111" t="n"/>
      <c r="Z372" s="111" t="n"/>
      <c r="AA372" s="111" t="n"/>
      <c r="AB372" s="111" t="n"/>
      <c r="AC372" s="111" t="n"/>
      <c r="AD372" s="111" t="n"/>
      <c r="AE372" s="111" t="n"/>
      <c r="AF372" s="111" t="n"/>
      <c r="AG372" s="111" t="n"/>
      <c r="AH372" s="111" t="n"/>
      <c r="AI372" s="111" t="n"/>
      <c r="AJ372" s="114">
        <f>IF(COUNTA(B372,E372,H372,I372,J372,K372,L372,M372,N372,O372,P372,Q372,R372,S372,T372,U372,V372,W372,X372,Y372,Z372,AA372,AB372,AC372,AD372,AE372,AF372,AG372,AH372,AI372)=0,"",IF(OR(B372="",E372="",H372="",J372="",K372="",L372="",M372="",O372="",P372="",Q372="",R372="",S372="",T372="",U372="",W372="",X372="",Y372="",AB372="",AC372="",AE372="",AF372=""),"Incompleta: faltan campos obligatorios",IF(AND(LEFT(H372,6)="PROPIA",I372=""),"Falta el nombre de la acción propia del área",IF(AND(LEFT(H372,4)="AC27",IFERROR(INDEX('Catalogos_PDN'!$T$5:$T$207,MATCH(H372,'Catalogos_PDN'!$U$5:$U$207,0)),"x")&lt;&gt;LEFT(E372,7)),"La acción no corresponde a la meta seleccionada",IF(OR(NOT(ISNUMBER(M372)),M372&lt;10000000,M372&gt;99999999),"Código UNSPSC inválido: registre 8 dígitos",IF(MOD(M372,10000)=0,"UNSPSC a nivel de segmento o familia: use clase o producto",IF(IFERROR(MATCH(P372,PN_MESES,0)&lt;MATCH(O372,PN_MESES,0),TRUE()),"El mes de ofertas es anterior al de inicio del proceso",IF(OR(NOT(ISNUMBER(Q372)),Q372&lt;=0),"Duración inválida",IF(OR(NOT(ISNUMBER(W372)),NOT(ISNUMBER(X372))),"Valor inválido: registre solo números",IF(OR(W372&lt;=0,X372&lt;=0),"Valor inválido: debe ser mayor que cero",IF(X372&gt;W372,"El valor de la vigencia 2027 supera el valor total",IF(AND(X372&lt;W372,Y372="No"),"El valor total supera el de 2027: requiere vigencias futuras",IF(AND(Y372="Sí",OR(Z372="",Z372="No aplica")),"Indique el estado de la solicitud de vigencias futuras",IF(IF(AND(S372="Mínima cuantía",ISNUMBER(PN_TOPE_MINIMA)),W372&gt;PN_TOPE_MINIMA,FALSE()),"El valor supera el tope de mínima cuantía 2027",IF(IF(AND(S372="Selección abreviada de menor cuantía",ISNUMBER(PN_TOPE_MENOR)),W372&gt;PN_TOPE_MENOR,FALSE()),"El valor supera el tope de menor cuantía 2027",IF(OR(ISERROR(SEARCH("@itc.edu.co",AE372)),SUMPRODUCT(--ISNUMBER(SEARCH({"á","é","í","ó","ú","ñ"," "},AE372)))&gt;0),"El correo del responsable no es institucional válido",IF(AND(AF372="Sí",AG372=""),"Indique el N.° de registro 2026 que continúa","OK")))))))))))))))))</f>
        <v/>
      </c>
      <c r="AK372" s="114">
        <f>IF(AJ372="OK",COUNTIF($AJ$7:AJ372,"OK"),"")</f>
        <v/>
      </c>
    </row>
    <row r="373">
      <c r="A373" s="110">
        <f>"PN27-"&amp;TEXT(ROW()-6,"000")</f>
        <v/>
      </c>
      <c r="B373" s="111" t="n"/>
      <c r="C373" s="110">
        <f>IF(B373="","",IFERROR(INDEX('Catalogos_PDN'!$R$5:$R$51,MATCH(B373,PN_AREAS,0)),""))</f>
        <v/>
      </c>
      <c r="D373" s="110">
        <f>IF(B373="","",IFERROR(INDEX('Catalogos_PDN'!$O$5:$O$51,MATCH(B373,PN_AREAS,0)),""))</f>
        <v/>
      </c>
      <c r="E373" s="111" t="n"/>
      <c r="F373" s="110">
        <f>IF(E373="","",IFERROR(INDEX('Catalogos_PDN'!$C$5:$C$49,MATCH(E373,PN_METAS,0)),""))</f>
        <v/>
      </c>
      <c r="G373" s="110">
        <f>IF(E373="","",IFERROR(INDEX('Catalogos_PDN'!$E$5:$E$49,MATCH(E373,PN_METAS,0)),""))</f>
        <v/>
      </c>
      <c r="H373" s="111" t="n"/>
      <c r="I373" s="111" t="n"/>
      <c r="J373" s="111" t="n"/>
      <c r="K373" s="111" t="n"/>
      <c r="L373" s="111" t="n"/>
      <c r="M373" s="112" t="n"/>
      <c r="N373" s="111" t="n"/>
      <c r="O373" s="111" t="n"/>
      <c r="P373" s="111" t="n"/>
      <c r="Q373" s="111" t="n"/>
      <c r="R373" s="111" t="n"/>
      <c r="S373" s="111" t="n"/>
      <c r="T373" s="111" t="n"/>
      <c r="U373" s="111" t="n"/>
      <c r="V373" s="111" t="n"/>
      <c r="W373" s="113" t="n"/>
      <c r="X373" s="113" t="n"/>
      <c r="Y373" s="111" t="n"/>
      <c r="Z373" s="111" t="n"/>
      <c r="AA373" s="111" t="n"/>
      <c r="AB373" s="111" t="n"/>
      <c r="AC373" s="111" t="n"/>
      <c r="AD373" s="111" t="n"/>
      <c r="AE373" s="111" t="n"/>
      <c r="AF373" s="111" t="n"/>
      <c r="AG373" s="111" t="n"/>
      <c r="AH373" s="111" t="n"/>
      <c r="AI373" s="111" t="n"/>
      <c r="AJ373" s="114">
        <f>IF(COUNTA(B373,E373,H373,I373,J373,K373,L373,M373,N373,O373,P373,Q373,R373,S373,T373,U373,V373,W373,X373,Y373,Z373,AA373,AB373,AC373,AD373,AE373,AF373,AG373,AH373,AI373)=0,"",IF(OR(B373="",E373="",H373="",J373="",K373="",L373="",M373="",O373="",P373="",Q373="",R373="",S373="",T373="",U373="",W373="",X373="",Y373="",AB373="",AC373="",AE373="",AF373=""),"Incompleta: faltan campos obligatorios",IF(AND(LEFT(H373,6)="PROPIA",I373=""),"Falta el nombre de la acción propia del área",IF(AND(LEFT(H373,4)="AC27",IFERROR(INDEX('Catalogos_PDN'!$T$5:$T$207,MATCH(H373,'Catalogos_PDN'!$U$5:$U$207,0)),"x")&lt;&gt;LEFT(E373,7)),"La acción no corresponde a la meta seleccionada",IF(OR(NOT(ISNUMBER(M373)),M373&lt;10000000,M373&gt;99999999),"Código UNSPSC inválido: registre 8 dígitos",IF(MOD(M373,10000)=0,"UNSPSC a nivel de segmento o familia: use clase o producto",IF(IFERROR(MATCH(P373,PN_MESES,0)&lt;MATCH(O373,PN_MESES,0),TRUE()),"El mes de ofertas es anterior al de inicio del proceso",IF(OR(NOT(ISNUMBER(Q373)),Q373&lt;=0),"Duración inválida",IF(OR(NOT(ISNUMBER(W373)),NOT(ISNUMBER(X373))),"Valor inválido: registre solo números",IF(OR(W373&lt;=0,X373&lt;=0),"Valor inválido: debe ser mayor que cero",IF(X373&gt;W373,"El valor de la vigencia 2027 supera el valor total",IF(AND(X373&lt;W373,Y373="No"),"El valor total supera el de 2027: requiere vigencias futuras",IF(AND(Y373="Sí",OR(Z373="",Z373="No aplica")),"Indique el estado de la solicitud de vigencias futuras",IF(IF(AND(S373="Mínima cuantía",ISNUMBER(PN_TOPE_MINIMA)),W373&gt;PN_TOPE_MINIMA,FALSE()),"El valor supera el tope de mínima cuantía 2027",IF(IF(AND(S373="Selección abreviada de menor cuantía",ISNUMBER(PN_TOPE_MENOR)),W373&gt;PN_TOPE_MENOR,FALSE()),"El valor supera el tope de menor cuantía 2027",IF(OR(ISERROR(SEARCH("@itc.edu.co",AE373)),SUMPRODUCT(--ISNUMBER(SEARCH({"á","é","í","ó","ú","ñ"," "},AE373)))&gt;0),"El correo del responsable no es institucional válido",IF(AND(AF373="Sí",AG373=""),"Indique el N.° de registro 2026 que continúa","OK")))))))))))))))))</f>
        <v/>
      </c>
      <c r="AK373" s="114">
        <f>IF(AJ373="OK",COUNTIF($AJ$7:AJ373,"OK"),"")</f>
        <v/>
      </c>
    </row>
    <row r="374">
      <c r="A374" s="110">
        <f>"PN27-"&amp;TEXT(ROW()-6,"000")</f>
        <v/>
      </c>
      <c r="B374" s="111" t="n"/>
      <c r="C374" s="110">
        <f>IF(B374="","",IFERROR(INDEX('Catalogos_PDN'!$R$5:$R$51,MATCH(B374,PN_AREAS,0)),""))</f>
        <v/>
      </c>
      <c r="D374" s="110">
        <f>IF(B374="","",IFERROR(INDEX('Catalogos_PDN'!$O$5:$O$51,MATCH(B374,PN_AREAS,0)),""))</f>
        <v/>
      </c>
      <c r="E374" s="111" t="n"/>
      <c r="F374" s="110">
        <f>IF(E374="","",IFERROR(INDEX('Catalogos_PDN'!$C$5:$C$49,MATCH(E374,PN_METAS,0)),""))</f>
        <v/>
      </c>
      <c r="G374" s="110">
        <f>IF(E374="","",IFERROR(INDEX('Catalogos_PDN'!$E$5:$E$49,MATCH(E374,PN_METAS,0)),""))</f>
        <v/>
      </c>
      <c r="H374" s="111" t="n"/>
      <c r="I374" s="111" t="n"/>
      <c r="J374" s="111" t="n"/>
      <c r="K374" s="111" t="n"/>
      <c r="L374" s="111" t="n"/>
      <c r="M374" s="112" t="n"/>
      <c r="N374" s="111" t="n"/>
      <c r="O374" s="111" t="n"/>
      <c r="P374" s="111" t="n"/>
      <c r="Q374" s="111" t="n"/>
      <c r="R374" s="111" t="n"/>
      <c r="S374" s="111" t="n"/>
      <c r="T374" s="111" t="n"/>
      <c r="U374" s="111" t="n"/>
      <c r="V374" s="111" t="n"/>
      <c r="W374" s="113" t="n"/>
      <c r="X374" s="113" t="n"/>
      <c r="Y374" s="111" t="n"/>
      <c r="Z374" s="111" t="n"/>
      <c r="AA374" s="111" t="n"/>
      <c r="AB374" s="111" t="n"/>
      <c r="AC374" s="111" t="n"/>
      <c r="AD374" s="111" t="n"/>
      <c r="AE374" s="111" t="n"/>
      <c r="AF374" s="111" t="n"/>
      <c r="AG374" s="111" t="n"/>
      <c r="AH374" s="111" t="n"/>
      <c r="AI374" s="111" t="n"/>
      <c r="AJ374" s="114">
        <f>IF(COUNTA(B374,E374,H374,I374,J374,K374,L374,M374,N374,O374,P374,Q374,R374,S374,T374,U374,V374,W374,X374,Y374,Z374,AA374,AB374,AC374,AD374,AE374,AF374,AG374,AH374,AI374)=0,"",IF(OR(B374="",E374="",H374="",J374="",K374="",L374="",M374="",O374="",P374="",Q374="",R374="",S374="",T374="",U374="",W374="",X374="",Y374="",AB374="",AC374="",AE374="",AF374=""),"Incompleta: faltan campos obligatorios",IF(AND(LEFT(H374,6)="PROPIA",I374=""),"Falta el nombre de la acción propia del área",IF(AND(LEFT(H374,4)="AC27",IFERROR(INDEX('Catalogos_PDN'!$T$5:$T$207,MATCH(H374,'Catalogos_PDN'!$U$5:$U$207,0)),"x")&lt;&gt;LEFT(E374,7)),"La acción no corresponde a la meta seleccionada",IF(OR(NOT(ISNUMBER(M374)),M374&lt;10000000,M374&gt;99999999),"Código UNSPSC inválido: registre 8 dígitos",IF(MOD(M374,10000)=0,"UNSPSC a nivel de segmento o familia: use clase o producto",IF(IFERROR(MATCH(P374,PN_MESES,0)&lt;MATCH(O374,PN_MESES,0),TRUE()),"El mes de ofertas es anterior al de inicio del proceso",IF(OR(NOT(ISNUMBER(Q374)),Q374&lt;=0),"Duración inválida",IF(OR(NOT(ISNUMBER(W374)),NOT(ISNUMBER(X374))),"Valor inválido: registre solo números",IF(OR(W374&lt;=0,X374&lt;=0),"Valor inválido: debe ser mayor que cero",IF(X374&gt;W374,"El valor de la vigencia 2027 supera el valor total",IF(AND(X374&lt;W374,Y374="No"),"El valor total supera el de 2027: requiere vigencias futuras",IF(AND(Y374="Sí",OR(Z374="",Z374="No aplica")),"Indique el estado de la solicitud de vigencias futuras",IF(IF(AND(S374="Mínima cuantía",ISNUMBER(PN_TOPE_MINIMA)),W374&gt;PN_TOPE_MINIMA,FALSE()),"El valor supera el tope de mínima cuantía 2027",IF(IF(AND(S374="Selección abreviada de menor cuantía",ISNUMBER(PN_TOPE_MENOR)),W374&gt;PN_TOPE_MENOR,FALSE()),"El valor supera el tope de menor cuantía 2027",IF(OR(ISERROR(SEARCH("@itc.edu.co",AE374)),SUMPRODUCT(--ISNUMBER(SEARCH({"á","é","í","ó","ú","ñ"," "},AE374)))&gt;0),"El correo del responsable no es institucional válido",IF(AND(AF374="Sí",AG374=""),"Indique el N.° de registro 2026 que continúa","OK")))))))))))))))))</f>
        <v/>
      </c>
      <c r="AK374" s="114">
        <f>IF(AJ374="OK",COUNTIF($AJ$7:AJ374,"OK"),"")</f>
        <v/>
      </c>
    </row>
    <row r="375">
      <c r="A375" s="110">
        <f>"PN27-"&amp;TEXT(ROW()-6,"000")</f>
        <v/>
      </c>
      <c r="B375" s="111" t="n"/>
      <c r="C375" s="110">
        <f>IF(B375="","",IFERROR(INDEX('Catalogos_PDN'!$R$5:$R$51,MATCH(B375,PN_AREAS,0)),""))</f>
        <v/>
      </c>
      <c r="D375" s="110">
        <f>IF(B375="","",IFERROR(INDEX('Catalogos_PDN'!$O$5:$O$51,MATCH(B375,PN_AREAS,0)),""))</f>
        <v/>
      </c>
      <c r="E375" s="111" t="n"/>
      <c r="F375" s="110">
        <f>IF(E375="","",IFERROR(INDEX('Catalogos_PDN'!$C$5:$C$49,MATCH(E375,PN_METAS,0)),""))</f>
        <v/>
      </c>
      <c r="G375" s="110">
        <f>IF(E375="","",IFERROR(INDEX('Catalogos_PDN'!$E$5:$E$49,MATCH(E375,PN_METAS,0)),""))</f>
        <v/>
      </c>
      <c r="H375" s="111" t="n"/>
      <c r="I375" s="111" t="n"/>
      <c r="J375" s="111" t="n"/>
      <c r="K375" s="111" t="n"/>
      <c r="L375" s="111" t="n"/>
      <c r="M375" s="112" t="n"/>
      <c r="N375" s="111" t="n"/>
      <c r="O375" s="111" t="n"/>
      <c r="P375" s="111" t="n"/>
      <c r="Q375" s="111" t="n"/>
      <c r="R375" s="111" t="n"/>
      <c r="S375" s="111" t="n"/>
      <c r="T375" s="111" t="n"/>
      <c r="U375" s="111" t="n"/>
      <c r="V375" s="111" t="n"/>
      <c r="W375" s="113" t="n"/>
      <c r="X375" s="113" t="n"/>
      <c r="Y375" s="111" t="n"/>
      <c r="Z375" s="111" t="n"/>
      <c r="AA375" s="111" t="n"/>
      <c r="AB375" s="111" t="n"/>
      <c r="AC375" s="111" t="n"/>
      <c r="AD375" s="111" t="n"/>
      <c r="AE375" s="111" t="n"/>
      <c r="AF375" s="111" t="n"/>
      <c r="AG375" s="111" t="n"/>
      <c r="AH375" s="111" t="n"/>
      <c r="AI375" s="111" t="n"/>
      <c r="AJ375" s="114">
        <f>IF(COUNTA(B375,E375,H375,I375,J375,K375,L375,M375,N375,O375,P375,Q375,R375,S375,T375,U375,V375,W375,X375,Y375,Z375,AA375,AB375,AC375,AD375,AE375,AF375,AG375,AH375,AI375)=0,"",IF(OR(B375="",E375="",H375="",J375="",K375="",L375="",M375="",O375="",P375="",Q375="",R375="",S375="",T375="",U375="",W375="",X375="",Y375="",AB375="",AC375="",AE375="",AF375=""),"Incompleta: faltan campos obligatorios",IF(AND(LEFT(H375,6)="PROPIA",I375=""),"Falta el nombre de la acción propia del área",IF(AND(LEFT(H375,4)="AC27",IFERROR(INDEX('Catalogos_PDN'!$T$5:$T$207,MATCH(H375,'Catalogos_PDN'!$U$5:$U$207,0)),"x")&lt;&gt;LEFT(E375,7)),"La acción no corresponde a la meta seleccionada",IF(OR(NOT(ISNUMBER(M375)),M375&lt;10000000,M375&gt;99999999),"Código UNSPSC inválido: registre 8 dígitos",IF(MOD(M375,10000)=0,"UNSPSC a nivel de segmento o familia: use clase o producto",IF(IFERROR(MATCH(P375,PN_MESES,0)&lt;MATCH(O375,PN_MESES,0),TRUE()),"El mes de ofertas es anterior al de inicio del proceso",IF(OR(NOT(ISNUMBER(Q375)),Q375&lt;=0),"Duración inválida",IF(OR(NOT(ISNUMBER(W375)),NOT(ISNUMBER(X375))),"Valor inválido: registre solo números",IF(OR(W375&lt;=0,X375&lt;=0),"Valor inválido: debe ser mayor que cero",IF(X375&gt;W375,"El valor de la vigencia 2027 supera el valor total",IF(AND(X375&lt;W375,Y375="No"),"El valor total supera el de 2027: requiere vigencias futuras",IF(AND(Y375="Sí",OR(Z375="",Z375="No aplica")),"Indique el estado de la solicitud de vigencias futuras",IF(IF(AND(S375="Mínima cuantía",ISNUMBER(PN_TOPE_MINIMA)),W375&gt;PN_TOPE_MINIMA,FALSE()),"El valor supera el tope de mínima cuantía 2027",IF(IF(AND(S375="Selección abreviada de menor cuantía",ISNUMBER(PN_TOPE_MENOR)),W375&gt;PN_TOPE_MENOR,FALSE()),"El valor supera el tope de menor cuantía 2027",IF(OR(ISERROR(SEARCH("@itc.edu.co",AE375)),SUMPRODUCT(--ISNUMBER(SEARCH({"á","é","í","ó","ú","ñ"," "},AE375)))&gt;0),"El correo del responsable no es institucional válido",IF(AND(AF375="Sí",AG375=""),"Indique el N.° de registro 2026 que continúa","OK")))))))))))))))))</f>
        <v/>
      </c>
      <c r="AK375" s="114">
        <f>IF(AJ375="OK",COUNTIF($AJ$7:AJ375,"OK"),"")</f>
        <v/>
      </c>
    </row>
    <row r="376">
      <c r="A376" s="110">
        <f>"PN27-"&amp;TEXT(ROW()-6,"000")</f>
        <v/>
      </c>
      <c r="B376" s="111" t="n"/>
      <c r="C376" s="110">
        <f>IF(B376="","",IFERROR(INDEX('Catalogos_PDN'!$R$5:$R$51,MATCH(B376,PN_AREAS,0)),""))</f>
        <v/>
      </c>
      <c r="D376" s="110">
        <f>IF(B376="","",IFERROR(INDEX('Catalogos_PDN'!$O$5:$O$51,MATCH(B376,PN_AREAS,0)),""))</f>
        <v/>
      </c>
      <c r="E376" s="111" t="n"/>
      <c r="F376" s="110">
        <f>IF(E376="","",IFERROR(INDEX('Catalogos_PDN'!$C$5:$C$49,MATCH(E376,PN_METAS,0)),""))</f>
        <v/>
      </c>
      <c r="G376" s="110">
        <f>IF(E376="","",IFERROR(INDEX('Catalogos_PDN'!$E$5:$E$49,MATCH(E376,PN_METAS,0)),""))</f>
        <v/>
      </c>
      <c r="H376" s="111" t="n"/>
      <c r="I376" s="111" t="n"/>
      <c r="J376" s="111" t="n"/>
      <c r="K376" s="111" t="n"/>
      <c r="L376" s="111" t="n"/>
      <c r="M376" s="112" t="n"/>
      <c r="N376" s="111" t="n"/>
      <c r="O376" s="111" t="n"/>
      <c r="P376" s="111" t="n"/>
      <c r="Q376" s="111" t="n"/>
      <c r="R376" s="111" t="n"/>
      <c r="S376" s="111" t="n"/>
      <c r="T376" s="111" t="n"/>
      <c r="U376" s="111" t="n"/>
      <c r="V376" s="111" t="n"/>
      <c r="W376" s="113" t="n"/>
      <c r="X376" s="113" t="n"/>
      <c r="Y376" s="111" t="n"/>
      <c r="Z376" s="111" t="n"/>
      <c r="AA376" s="111" t="n"/>
      <c r="AB376" s="111" t="n"/>
      <c r="AC376" s="111" t="n"/>
      <c r="AD376" s="111" t="n"/>
      <c r="AE376" s="111" t="n"/>
      <c r="AF376" s="111" t="n"/>
      <c r="AG376" s="111" t="n"/>
      <c r="AH376" s="111" t="n"/>
      <c r="AI376" s="111" t="n"/>
      <c r="AJ376" s="114">
        <f>IF(COUNTA(B376,E376,H376,I376,J376,K376,L376,M376,N376,O376,P376,Q376,R376,S376,T376,U376,V376,W376,X376,Y376,Z376,AA376,AB376,AC376,AD376,AE376,AF376,AG376,AH376,AI376)=0,"",IF(OR(B376="",E376="",H376="",J376="",K376="",L376="",M376="",O376="",P376="",Q376="",R376="",S376="",T376="",U376="",W376="",X376="",Y376="",AB376="",AC376="",AE376="",AF376=""),"Incompleta: faltan campos obligatorios",IF(AND(LEFT(H376,6)="PROPIA",I376=""),"Falta el nombre de la acción propia del área",IF(AND(LEFT(H376,4)="AC27",IFERROR(INDEX('Catalogos_PDN'!$T$5:$T$207,MATCH(H376,'Catalogos_PDN'!$U$5:$U$207,0)),"x")&lt;&gt;LEFT(E376,7)),"La acción no corresponde a la meta seleccionada",IF(OR(NOT(ISNUMBER(M376)),M376&lt;10000000,M376&gt;99999999),"Código UNSPSC inválido: registre 8 dígitos",IF(MOD(M376,10000)=0,"UNSPSC a nivel de segmento o familia: use clase o producto",IF(IFERROR(MATCH(P376,PN_MESES,0)&lt;MATCH(O376,PN_MESES,0),TRUE()),"El mes de ofertas es anterior al de inicio del proceso",IF(OR(NOT(ISNUMBER(Q376)),Q376&lt;=0),"Duración inválida",IF(OR(NOT(ISNUMBER(W376)),NOT(ISNUMBER(X376))),"Valor inválido: registre solo números",IF(OR(W376&lt;=0,X376&lt;=0),"Valor inválido: debe ser mayor que cero",IF(X376&gt;W376,"El valor de la vigencia 2027 supera el valor total",IF(AND(X376&lt;W376,Y376="No"),"El valor total supera el de 2027: requiere vigencias futuras",IF(AND(Y376="Sí",OR(Z376="",Z376="No aplica")),"Indique el estado de la solicitud de vigencias futuras",IF(IF(AND(S376="Mínima cuantía",ISNUMBER(PN_TOPE_MINIMA)),W376&gt;PN_TOPE_MINIMA,FALSE()),"El valor supera el tope de mínima cuantía 2027",IF(IF(AND(S376="Selección abreviada de menor cuantía",ISNUMBER(PN_TOPE_MENOR)),W376&gt;PN_TOPE_MENOR,FALSE()),"El valor supera el tope de menor cuantía 2027",IF(OR(ISERROR(SEARCH("@itc.edu.co",AE376)),SUMPRODUCT(--ISNUMBER(SEARCH({"á","é","í","ó","ú","ñ"," "},AE376)))&gt;0),"El correo del responsable no es institucional válido",IF(AND(AF376="Sí",AG376=""),"Indique el N.° de registro 2026 que continúa","OK")))))))))))))))))</f>
        <v/>
      </c>
      <c r="AK376" s="114">
        <f>IF(AJ376="OK",COUNTIF($AJ$7:AJ376,"OK"),"")</f>
        <v/>
      </c>
    </row>
    <row r="377">
      <c r="A377" s="110">
        <f>"PN27-"&amp;TEXT(ROW()-6,"000")</f>
        <v/>
      </c>
      <c r="B377" s="111" t="n"/>
      <c r="C377" s="110">
        <f>IF(B377="","",IFERROR(INDEX('Catalogos_PDN'!$R$5:$R$51,MATCH(B377,PN_AREAS,0)),""))</f>
        <v/>
      </c>
      <c r="D377" s="110">
        <f>IF(B377="","",IFERROR(INDEX('Catalogos_PDN'!$O$5:$O$51,MATCH(B377,PN_AREAS,0)),""))</f>
        <v/>
      </c>
      <c r="E377" s="111" t="n"/>
      <c r="F377" s="110">
        <f>IF(E377="","",IFERROR(INDEX('Catalogos_PDN'!$C$5:$C$49,MATCH(E377,PN_METAS,0)),""))</f>
        <v/>
      </c>
      <c r="G377" s="110">
        <f>IF(E377="","",IFERROR(INDEX('Catalogos_PDN'!$E$5:$E$49,MATCH(E377,PN_METAS,0)),""))</f>
        <v/>
      </c>
      <c r="H377" s="111" t="n"/>
      <c r="I377" s="111" t="n"/>
      <c r="J377" s="111" t="n"/>
      <c r="K377" s="111" t="n"/>
      <c r="L377" s="111" t="n"/>
      <c r="M377" s="112" t="n"/>
      <c r="N377" s="111" t="n"/>
      <c r="O377" s="111" t="n"/>
      <c r="P377" s="111" t="n"/>
      <c r="Q377" s="111" t="n"/>
      <c r="R377" s="111" t="n"/>
      <c r="S377" s="111" t="n"/>
      <c r="T377" s="111" t="n"/>
      <c r="U377" s="111" t="n"/>
      <c r="V377" s="111" t="n"/>
      <c r="W377" s="113" t="n"/>
      <c r="X377" s="113" t="n"/>
      <c r="Y377" s="111" t="n"/>
      <c r="Z377" s="111" t="n"/>
      <c r="AA377" s="111" t="n"/>
      <c r="AB377" s="111" t="n"/>
      <c r="AC377" s="111" t="n"/>
      <c r="AD377" s="111" t="n"/>
      <c r="AE377" s="111" t="n"/>
      <c r="AF377" s="111" t="n"/>
      <c r="AG377" s="111" t="n"/>
      <c r="AH377" s="111" t="n"/>
      <c r="AI377" s="111" t="n"/>
      <c r="AJ377" s="114">
        <f>IF(COUNTA(B377,E377,H377,I377,J377,K377,L377,M377,N377,O377,P377,Q377,R377,S377,T377,U377,V377,W377,X377,Y377,Z377,AA377,AB377,AC377,AD377,AE377,AF377,AG377,AH377,AI377)=0,"",IF(OR(B377="",E377="",H377="",J377="",K377="",L377="",M377="",O377="",P377="",Q377="",R377="",S377="",T377="",U377="",W377="",X377="",Y377="",AB377="",AC377="",AE377="",AF377=""),"Incompleta: faltan campos obligatorios",IF(AND(LEFT(H377,6)="PROPIA",I377=""),"Falta el nombre de la acción propia del área",IF(AND(LEFT(H377,4)="AC27",IFERROR(INDEX('Catalogos_PDN'!$T$5:$T$207,MATCH(H377,'Catalogos_PDN'!$U$5:$U$207,0)),"x")&lt;&gt;LEFT(E377,7)),"La acción no corresponde a la meta seleccionada",IF(OR(NOT(ISNUMBER(M377)),M377&lt;10000000,M377&gt;99999999),"Código UNSPSC inválido: registre 8 dígitos",IF(MOD(M377,10000)=0,"UNSPSC a nivel de segmento o familia: use clase o producto",IF(IFERROR(MATCH(P377,PN_MESES,0)&lt;MATCH(O377,PN_MESES,0),TRUE()),"El mes de ofertas es anterior al de inicio del proceso",IF(OR(NOT(ISNUMBER(Q377)),Q377&lt;=0),"Duración inválida",IF(OR(NOT(ISNUMBER(W377)),NOT(ISNUMBER(X377))),"Valor inválido: registre solo números",IF(OR(W377&lt;=0,X377&lt;=0),"Valor inválido: debe ser mayor que cero",IF(X377&gt;W377,"El valor de la vigencia 2027 supera el valor total",IF(AND(X377&lt;W377,Y377="No"),"El valor total supera el de 2027: requiere vigencias futuras",IF(AND(Y377="Sí",OR(Z377="",Z377="No aplica")),"Indique el estado de la solicitud de vigencias futuras",IF(IF(AND(S377="Mínima cuantía",ISNUMBER(PN_TOPE_MINIMA)),W377&gt;PN_TOPE_MINIMA,FALSE()),"El valor supera el tope de mínima cuantía 2027",IF(IF(AND(S377="Selección abreviada de menor cuantía",ISNUMBER(PN_TOPE_MENOR)),W377&gt;PN_TOPE_MENOR,FALSE()),"El valor supera el tope de menor cuantía 2027",IF(OR(ISERROR(SEARCH("@itc.edu.co",AE377)),SUMPRODUCT(--ISNUMBER(SEARCH({"á","é","í","ó","ú","ñ"," "},AE377)))&gt;0),"El correo del responsable no es institucional válido",IF(AND(AF377="Sí",AG377=""),"Indique el N.° de registro 2026 que continúa","OK")))))))))))))))))</f>
        <v/>
      </c>
      <c r="AK377" s="114">
        <f>IF(AJ377="OK",COUNTIF($AJ$7:AJ377,"OK"),"")</f>
        <v/>
      </c>
    </row>
    <row r="378">
      <c r="A378" s="110">
        <f>"PN27-"&amp;TEXT(ROW()-6,"000")</f>
        <v/>
      </c>
      <c r="B378" s="111" t="n"/>
      <c r="C378" s="110">
        <f>IF(B378="","",IFERROR(INDEX('Catalogos_PDN'!$R$5:$R$51,MATCH(B378,PN_AREAS,0)),""))</f>
        <v/>
      </c>
      <c r="D378" s="110">
        <f>IF(B378="","",IFERROR(INDEX('Catalogos_PDN'!$O$5:$O$51,MATCH(B378,PN_AREAS,0)),""))</f>
        <v/>
      </c>
      <c r="E378" s="111" t="n"/>
      <c r="F378" s="110">
        <f>IF(E378="","",IFERROR(INDEX('Catalogos_PDN'!$C$5:$C$49,MATCH(E378,PN_METAS,0)),""))</f>
        <v/>
      </c>
      <c r="G378" s="110">
        <f>IF(E378="","",IFERROR(INDEX('Catalogos_PDN'!$E$5:$E$49,MATCH(E378,PN_METAS,0)),""))</f>
        <v/>
      </c>
      <c r="H378" s="111" t="n"/>
      <c r="I378" s="111" t="n"/>
      <c r="J378" s="111" t="n"/>
      <c r="K378" s="111" t="n"/>
      <c r="L378" s="111" t="n"/>
      <c r="M378" s="112" t="n"/>
      <c r="N378" s="111" t="n"/>
      <c r="O378" s="111" t="n"/>
      <c r="P378" s="111" t="n"/>
      <c r="Q378" s="111" t="n"/>
      <c r="R378" s="111" t="n"/>
      <c r="S378" s="111" t="n"/>
      <c r="T378" s="111" t="n"/>
      <c r="U378" s="111" t="n"/>
      <c r="V378" s="111" t="n"/>
      <c r="W378" s="113" t="n"/>
      <c r="X378" s="113" t="n"/>
      <c r="Y378" s="111" t="n"/>
      <c r="Z378" s="111" t="n"/>
      <c r="AA378" s="111" t="n"/>
      <c r="AB378" s="111" t="n"/>
      <c r="AC378" s="111" t="n"/>
      <c r="AD378" s="111" t="n"/>
      <c r="AE378" s="111" t="n"/>
      <c r="AF378" s="111" t="n"/>
      <c r="AG378" s="111" t="n"/>
      <c r="AH378" s="111" t="n"/>
      <c r="AI378" s="111" t="n"/>
      <c r="AJ378" s="114">
        <f>IF(COUNTA(B378,E378,H378,I378,J378,K378,L378,M378,N378,O378,P378,Q378,R378,S378,T378,U378,V378,W378,X378,Y378,Z378,AA378,AB378,AC378,AD378,AE378,AF378,AG378,AH378,AI378)=0,"",IF(OR(B378="",E378="",H378="",J378="",K378="",L378="",M378="",O378="",P378="",Q378="",R378="",S378="",T378="",U378="",W378="",X378="",Y378="",AB378="",AC378="",AE378="",AF378=""),"Incompleta: faltan campos obligatorios",IF(AND(LEFT(H378,6)="PROPIA",I378=""),"Falta el nombre de la acción propia del área",IF(AND(LEFT(H378,4)="AC27",IFERROR(INDEX('Catalogos_PDN'!$T$5:$T$207,MATCH(H378,'Catalogos_PDN'!$U$5:$U$207,0)),"x")&lt;&gt;LEFT(E378,7)),"La acción no corresponde a la meta seleccionada",IF(OR(NOT(ISNUMBER(M378)),M378&lt;10000000,M378&gt;99999999),"Código UNSPSC inválido: registre 8 dígitos",IF(MOD(M378,10000)=0,"UNSPSC a nivel de segmento o familia: use clase o producto",IF(IFERROR(MATCH(P378,PN_MESES,0)&lt;MATCH(O378,PN_MESES,0),TRUE()),"El mes de ofertas es anterior al de inicio del proceso",IF(OR(NOT(ISNUMBER(Q378)),Q378&lt;=0),"Duración inválida",IF(OR(NOT(ISNUMBER(W378)),NOT(ISNUMBER(X378))),"Valor inválido: registre solo números",IF(OR(W378&lt;=0,X378&lt;=0),"Valor inválido: debe ser mayor que cero",IF(X378&gt;W378,"El valor de la vigencia 2027 supera el valor total",IF(AND(X378&lt;W378,Y378="No"),"El valor total supera el de 2027: requiere vigencias futuras",IF(AND(Y378="Sí",OR(Z378="",Z378="No aplica")),"Indique el estado de la solicitud de vigencias futuras",IF(IF(AND(S378="Mínima cuantía",ISNUMBER(PN_TOPE_MINIMA)),W378&gt;PN_TOPE_MINIMA,FALSE()),"El valor supera el tope de mínima cuantía 2027",IF(IF(AND(S378="Selección abreviada de menor cuantía",ISNUMBER(PN_TOPE_MENOR)),W378&gt;PN_TOPE_MENOR,FALSE()),"El valor supera el tope de menor cuantía 2027",IF(OR(ISERROR(SEARCH("@itc.edu.co",AE378)),SUMPRODUCT(--ISNUMBER(SEARCH({"á","é","í","ó","ú","ñ"," "},AE378)))&gt;0),"El correo del responsable no es institucional válido",IF(AND(AF378="Sí",AG378=""),"Indique el N.° de registro 2026 que continúa","OK")))))))))))))))))</f>
        <v/>
      </c>
      <c r="AK378" s="114">
        <f>IF(AJ378="OK",COUNTIF($AJ$7:AJ378,"OK"),"")</f>
        <v/>
      </c>
    </row>
    <row r="379">
      <c r="A379" s="110">
        <f>"PN27-"&amp;TEXT(ROW()-6,"000")</f>
        <v/>
      </c>
      <c r="B379" s="111" t="n"/>
      <c r="C379" s="110">
        <f>IF(B379="","",IFERROR(INDEX('Catalogos_PDN'!$R$5:$R$51,MATCH(B379,PN_AREAS,0)),""))</f>
        <v/>
      </c>
      <c r="D379" s="110">
        <f>IF(B379="","",IFERROR(INDEX('Catalogos_PDN'!$O$5:$O$51,MATCH(B379,PN_AREAS,0)),""))</f>
        <v/>
      </c>
      <c r="E379" s="111" t="n"/>
      <c r="F379" s="110">
        <f>IF(E379="","",IFERROR(INDEX('Catalogos_PDN'!$C$5:$C$49,MATCH(E379,PN_METAS,0)),""))</f>
        <v/>
      </c>
      <c r="G379" s="110">
        <f>IF(E379="","",IFERROR(INDEX('Catalogos_PDN'!$E$5:$E$49,MATCH(E379,PN_METAS,0)),""))</f>
        <v/>
      </c>
      <c r="H379" s="111" t="n"/>
      <c r="I379" s="111" t="n"/>
      <c r="J379" s="111" t="n"/>
      <c r="K379" s="111" t="n"/>
      <c r="L379" s="111" t="n"/>
      <c r="M379" s="112" t="n"/>
      <c r="N379" s="111" t="n"/>
      <c r="O379" s="111" t="n"/>
      <c r="P379" s="111" t="n"/>
      <c r="Q379" s="111" t="n"/>
      <c r="R379" s="111" t="n"/>
      <c r="S379" s="111" t="n"/>
      <c r="T379" s="111" t="n"/>
      <c r="U379" s="111" t="n"/>
      <c r="V379" s="111" t="n"/>
      <c r="W379" s="113" t="n"/>
      <c r="X379" s="113" t="n"/>
      <c r="Y379" s="111" t="n"/>
      <c r="Z379" s="111" t="n"/>
      <c r="AA379" s="111" t="n"/>
      <c r="AB379" s="111" t="n"/>
      <c r="AC379" s="111" t="n"/>
      <c r="AD379" s="111" t="n"/>
      <c r="AE379" s="111" t="n"/>
      <c r="AF379" s="111" t="n"/>
      <c r="AG379" s="111" t="n"/>
      <c r="AH379" s="111" t="n"/>
      <c r="AI379" s="111" t="n"/>
      <c r="AJ379" s="114">
        <f>IF(COUNTA(B379,E379,H379,I379,J379,K379,L379,M379,N379,O379,P379,Q379,R379,S379,T379,U379,V379,W379,X379,Y379,Z379,AA379,AB379,AC379,AD379,AE379,AF379,AG379,AH379,AI379)=0,"",IF(OR(B379="",E379="",H379="",J379="",K379="",L379="",M379="",O379="",P379="",Q379="",R379="",S379="",T379="",U379="",W379="",X379="",Y379="",AB379="",AC379="",AE379="",AF379=""),"Incompleta: faltan campos obligatorios",IF(AND(LEFT(H379,6)="PROPIA",I379=""),"Falta el nombre de la acción propia del área",IF(AND(LEFT(H379,4)="AC27",IFERROR(INDEX('Catalogos_PDN'!$T$5:$T$207,MATCH(H379,'Catalogos_PDN'!$U$5:$U$207,0)),"x")&lt;&gt;LEFT(E379,7)),"La acción no corresponde a la meta seleccionada",IF(OR(NOT(ISNUMBER(M379)),M379&lt;10000000,M379&gt;99999999),"Código UNSPSC inválido: registre 8 dígitos",IF(MOD(M379,10000)=0,"UNSPSC a nivel de segmento o familia: use clase o producto",IF(IFERROR(MATCH(P379,PN_MESES,0)&lt;MATCH(O379,PN_MESES,0),TRUE()),"El mes de ofertas es anterior al de inicio del proceso",IF(OR(NOT(ISNUMBER(Q379)),Q379&lt;=0),"Duración inválida",IF(OR(NOT(ISNUMBER(W379)),NOT(ISNUMBER(X379))),"Valor inválido: registre solo números",IF(OR(W379&lt;=0,X379&lt;=0),"Valor inválido: debe ser mayor que cero",IF(X379&gt;W379,"El valor de la vigencia 2027 supera el valor total",IF(AND(X379&lt;W379,Y379="No"),"El valor total supera el de 2027: requiere vigencias futuras",IF(AND(Y379="Sí",OR(Z379="",Z379="No aplica")),"Indique el estado de la solicitud de vigencias futuras",IF(IF(AND(S379="Mínima cuantía",ISNUMBER(PN_TOPE_MINIMA)),W379&gt;PN_TOPE_MINIMA,FALSE()),"El valor supera el tope de mínima cuantía 2027",IF(IF(AND(S379="Selección abreviada de menor cuantía",ISNUMBER(PN_TOPE_MENOR)),W379&gt;PN_TOPE_MENOR,FALSE()),"El valor supera el tope de menor cuantía 2027",IF(OR(ISERROR(SEARCH("@itc.edu.co",AE379)),SUMPRODUCT(--ISNUMBER(SEARCH({"á","é","í","ó","ú","ñ"," "},AE379)))&gt;0),"El correo del responsable no es institucional válido",IF(AND(AF379="Sí",AG379=""),"Indique el N.° de registro 2026 que continúa","OK")))))))))))))))))</f>
        <v/>
      </c>
      <c r="AK379" s="114">
        <f>IF(AJ379="OK",COUNTIF($AJ$7:AJ379,"OK"),"")</f>
        <v/>
      </c>
    </row>
    <row r="380">
      <c r="A380" s="110">
        <f>"PN27-"&amp;TEXT(ROW()-6,"000")</f>
        <v/>
      </c>
      <c r="B380" s="111" t="n"/>
      <c r="C380" s="110">
        <f>IF(B380="","",IFERROR(INDEX('Catalogos_PDN'!$R$5:$R$51,MATCH(B380,PN_AREAS,0)),""))</f>
        <v/>
      </c>
      <c r="D380" s="110">
        <f>IF(B380="","",IFERROR(INDEX('Catalogos_PDN'!$O$5:$O$51,MATCH(B380,PN_AREAS,0)),""))</f>
        <v/>
      </c>
      <c r="E380" s="111" t="n"/>
      <c r="F380" s="110">
        <f>IF(E380="","",IFERROR(INDEX('Catalogos_PDN'!$C$5:$C$49,MATCH(E380,PN_METAS,0)),""))</f>
        <v/>
      </c>
      <c r="G380" s="110">
        <f>IF(E380="","",IFERROR(INDEX('Catalogos_PDN'!$E$5:$E$49,MATCH(E380,PN_METAS,0)),""))</f>
        <v/>
      </c>
      <c r="H380" s="111" t="n"/>
      <c r="I380" s="111" t="n"/>
      <c r="J380" s="111" t="n"/>
      <c r="K380" s="111" t="n"/>
      <c r="L380" s="111" t="n"/>
      <c r="M380" s="112" t="n"/>
      <c r="N380" s="111" t="n"/>
      <c r="O380" s="111" t="n"/>
      <c r="P380" s="111" t="n"/>
      <c r="Q380" s="111" t="n"/>
      <c r="R380" s="111" t="n"/>
      <c r="S380" s="111" t="n"/>
      <c r="T380" s="111" t="n"/>
      <c r="U380" s="111" t="n"/>
      <c r="V380" s="111" t="n"/>
      <c r="W380" s="113" t="n"/>
      <c r="X380" s="113" t="n"/>
      <c r="Y380" s="111" t="n"/>
      <c r="Z380" s="111" t="n"/>
      <c r="AA380" s="111" t="n"/>
      <c r="AB380" s="111" t="n"/>
      <c r="AC380" s="111" t="n"/>
      <c r="AD380" s="111" t="n"/>
      <c r="AE380" s="111" t="n"/>
      <c r="AF380" s="111" t="n"/>
      <c r="AG380" s="111" t="n"/>
      <c r="AH380" s="111" t="n"/>
      <c r="AI380" s="111" t="n"/>
      <c r="AJ380" s="114">
        <f>IF(COUNTA(B380,E380,H380,I380,J380,K380,L380,M380,N380,O380,P380,Q380,R380,S380,T380,U380,V380,W380,X380,Y380,Z380,AA380,AB380,AC380,AD380,AE380,AF380,AG380,AH380,AI380)=0,"",IF(OR(B380="",E380="",H380="",J380="",K380="",L380="",M380="",O380="",P380="",Q380="",R380="",S380="",T380="",U380="",W380="",X380="",Y380="",AB380="",AC380="",AE380="",AF380=""),"Incompleta: faltan campos obligatorios",IF(AND(LEFT(H380,6)="PROPIA",I380=""),"Falta el nombre de la acción propia del área",IF(AND(LEFT(H380,4)="AC27",IFERROR(INDEX('Catalogos_PDN'!$T$5:$T$207,MATCH(H380,'Catalogos_PDN'!$U$5:$U$207,0)),"x")&lt;&gt;LEFT(E380,7)),"La acción no corresponde a la meta seleccionada",IF(OR(NOT(ISNUMBER(M380)),M380&lt;10000000,M380&gt;99999999),"Código UNSPSC inválido: registre 8 dígitos",IF(MOD(M380,10000)=0,"UNSPSC a nivel de segmento o familia: use clase o producto",IF(IFERROR(MATCH(P380,PN_MESES,0)&lt;MATCH(O380,PN_MESES,0),TRUE()),"El mes de ofertas es anterior al de inicio del proceso",IF(OR(NOT(ISNUMBER(Q380)),Q380&lt;=0),"Duración inválida",IF(OR(NOT(ISNUMBER(W380)),NOT(ISNUMBER(X380))),"Valor inválido: registre solo números",IF(OR(W380&lt;=0,X380&lt;=0),"Valor inválido: debe ser mayor que cero",IF(X380&gt;W380,"El valor de la vigencia 2027 supera el valor total",IF(AND(X380&lt;W380,Y380="No"),"El valor total supera el de 2027: requiere vigencias futuras",IF(AND(Y380="Sí",OR(Z380="",Z380="No aplica")),"Indique el estado de la solicitud de vigencias futuras",IF(IF(AND(S380="Mínima cuantía",ISNUMBER(PN_TOPE_MINIMA)),W380&gt;PN_TOPE_MINIMA,FALSE()),"El valor supera el tope de mínima cuantía 2027",IF(IF(AND(S380="Selección abreviada de menor cuantía",ISNUMBER(PN_TOPE_MENOR)),W380&gt;PN_TOPE_MENOR,FALSE()),"El valor supera el tope de menor cuantía 2027",IF(OR(ISERROR(SEARCH("@itc.edu.co",AE380)),SUMPRODUCT(--ISNUMBER(SEARCH({"á","é","í","ó","ú","ñ"," "},AE380)))&gt;0),"El correo del responsable no es institucional válido",IF(AND(AF380="Sí",AG380=""),"Indique el N.° de registro 2026 que continúa","OK")))))))))))))))))</f>
        <v/>
      </c>
      <c r="AK380" s="114">
        <f>IF(AJ380="OK",COUNTIF($AJ$7:AJ380,"OK"),"")</f>
        <v/>
      </c>
    </row>
    <row r="381">
      <c r="A381" s="110">
        <f>"PN27-"&amp;TEXT(ROW()-6,"000")</f>
        <v/>
      </c>
      <c r="B381" s="111" t="n"/>
      <c r="C381" s="110">
        <f>IF(B381="","",IFERROR(INDEX('Catalogos_PDN'!$R$5:$R$51,MATCH(B381,PN_AREAS,0)),""))</f>
        <v/>
      </c>
      <c r="D381" s="110">
        <f>IF(B381="","",IFERROR(INDEX('Catalogos_PDN'!$O$5:$O$51,MATCH(B381,PN_AREAS,0)),""))</f>
        <v/>
      </c>
      <c r="E381" s="111" t="n"/>
      <c r="F381" s="110">
        <f>IF(E381="","",IFERROR(INDEX('Catalogos_PDN'!$C$5:$C$49,MATCH(E381,PN_METAS,0)),""))</f>
        <v/>
      </c>
      <c r="G381" s="110">
        <f>IF(E381="","",IFERROR(INDEX('Catalogos_PDN'!$E$5:$E$49,MATCH(E381,PN_METAS,0)),""))</f>
        <v/>
      </c>
      <c r="H381" s="111" t="n"/>
      <c r="I381" s="111" t="n"/>
      <c r="J381" s="111" t="n"/>
      <c r="K381" s="111" t="n"/>
      <c r="L381" s="111" t="n"/>
      <c r="M381" s="112" t="n"/>
      <c r="N381" s="111" t="n"/>
      <c r="O381" s="111" t="n"/>
      <c r="P381" s="111" t="n"/>
      <c r="Q381" s="111" t="n"/>
      <c r="R381" s="111" t="n"/>
      <c r="S381" s="111" t="n"/>
      <c r="T381" s="111" t="n"/>
      <c r="U381" s="111" t="n"/>
      <c r="V381" s="111" t="n"/>
      <c r="W381" s="113" t="n"/>
      <c r="X381" s="113" t="n"/>
      <c r="Y381" s="111" t="n"/>
      <c r="Z381" s="111" t="n"/>
      <c r="AA381" s="111" t="n"/>
      <c r="AB381" s="111" t="n"/>
      <c r="AC381" s="111" t="n"/>
      <c r="AD381" s="111" t="n"/>
      <c r="AE381" s="111" t="n"/>
      <c r="AF381" s="111" t="n"/>
      <c r="AG381" s="111" t="n"/>
      <c r="AH381" s="111" t="n"/>
      <c r="AI381" s="111" t="n"/>
      <c r="AJ381" s="114">
        <f>IF(COUNTA(B381,E381,H381,I381,J381,K381,L381,M381,N381,O381,P381,Q381,R381,S381,T381,U381,V381,W381,X381,Y381,Z381,AA381,AB381,AC381,AD381,AE381,AF381,AG381,AH381,AI381)=0,"",IF(OR(B381="",E381="",H381="",J381="",K381="",L381="",M381="",O381="",P381="",Q381="",R381="",S381="",T381="",U381="",W381="",X381="",Y381="",AB381="",AC381="",AE381="",AF381=""),"Incompleta: faltan campos obligatorios",IF(AND(LEFT(H381,6)="PROPIA",I381=""),"Falta el nombre de la acción propia del área",IF(AND(LEFT(H381,4)="AC27",IFERROR(INDEX('Catalogos_PDN'!$T$5:$T$207,MATCH(H381,'Catalogos_PDN'!$U$5:$U$207,0)),"x")&lt;&gt;LEFT(E381,7)),"La acción no corresponde a la meta seleccionada",IF(OR(NOT(ISNUMBER(M381)),M381&lt;10000000,M381&gt;99999999),"Código UNSPSC inválido: registre 8 dígitos",IF(MOD(M381,10000)=0,"UNSPSC a nivel de segmento o familia: use clase o producto",IF(IFERROR(MATCH(P381,PN_MESES,0)&lt;MATCH(O381,PN_MESES,0),TRUE()),"El mes de ofertas es anterior al de inicio del proceso",IF(OR(NOT(ISNUMBER(Q381)),Q381&lt;=0),"Duración inválida",IF(OR(NOT(ISNUMBER(W381)),NOT(ISNUMBER(X381))),"Valor inválido: registre solo números",IF(OR(W381&lt;=0,X381&lt;=0),"Valor inválido: debe ser mayor que cero",IF(X381&gt;W381,"El valor de la vigencia 2027 supera el valor total",IF(AND(X381&lt;W381,Y381="No"),"El valor total supera el de 2027: requiere vigencias futuras",IF(AND(Y381="Sí",OR(Z381="",Z381="No aplica")),"Indique el estado de la solicitud de vigencias futuras",IF(IF(AND(S381="Mínima cuantía",ISNUMBER(PN_TOPE_MINIMA)),W381&gt;PN_TOPE_MINIMA,FALSE()),"El valor supera el tope de mínima cuantía 2027",IF(IF(AND(S381="Selección abreviada de menor cuantía",ISNUMBER(PN_TOPE_MENOR)),W381&gt;PN_TOPE_MENOR,FALSE()),"El valor supera el tope de menor cuantía 2027",IF(OR(ISERROR(SEARCH("@itc.edu.co",AE381)),SUMPRODUCT(--ISNUMBER(SEARCH({"á","é","í","ó","ú","ñ"," "},AE381)))&gt;0),"El correo del responsable no es institucional válido",IF(AND(AF381="Sí",AG381=""),"Indique el N.° de registro 2026 que continúa","OK")))))))))))))))))</f>
        <v/>
      </c>
      <c r="AK381" s="114">
        <f>IF(AJ381="OK",COUNTIF($AJ$7:AJ381,"OK"),"")</f>
        <v/>
      </c>
    </row>
    <row r="382">
      <c r="A382" s="110">
        <f>"PN27-"&amp;TEXT(ROW()-6,"000")</f>
        <v/>
      </c>
      <c r="B382" s="111" t="n"/>
      <c r="C382" s="110">
        <f>IF(B382="","",IFERROR(INDEX('Catalogos_PDN'!$R$5:$R$51,MATCH(B382,PN_AREAS,0)),""))</f>
        <v/>
      </c>
      <c r="D382" s="110">
        <f>IF(B382="","",IFERROR(INDEX('Catalogos_PDN'!$O$5:$O$51,MATCH(B382,PN_AREAS,0)),""))</f>
        <v/>
      </c>
      <c r="E382" s="111" t="n"/>
      <c r="F382" s="110">
        <f>IF(E382="","",IFERROR(INDEX('Catalogos_PDN'!$C$5:$C$49,MATCH(E382,PN_METAS,0)),""))</f>
        <v/>
      </c>
      <c r="G382" s="110">
        <f>IF(E382="","",IFERROR(INDEX('Catalogos_PDN'!$E$5:$E$49,MATCH(E382,PN_METAS,0)),""))</f>
        <v/>
      </c>
      <c r="H382" s="111" t="n"/>
      <c r="I382" s="111" t="n"/>
      <c r="J382" s="111" t="n"/>
      <c r="K382" s="111" t="n"/>
      <c r="L382" s="111" t="n"/>
      <c r="M382" s="112" t="n"/>
      <c r="N382" s="111" t="n"/>
      <c r="O382" s="111" t="n"/>
      <c r="P382" s="111" t="n"/>
      <c r="Q382" s="111" t="n"/>
      <c r="R382" s="111" t="n"/>
      <c r="S382" s="111" t="n"/>
      <c r="T382" s="111" t="n"/>
      <c r="U382" s="111" t="n"/>
      <c r="V382" s="111" t="n"/>
      <c r="W382" s="113" t="n"/>
      <c r="X382" s="113" t="n"/>
      <c r="Y382" s="111" t="n"/>
      <c r="Z382" s="111" t="n"/>
      <c r="AA382" s="111" t="n"/>
      <c r="AB382" s="111" t="n"/>
      <c r="AC382" s="111" t="n"/>
      <c r="AD382" s="111" t="n"/>
      <c r="AE382" s="111" t="n"/>
      <c r="AF382" s="111" t="n"/>
      <c r="AG382" s="111" t="n"/>
      <c r="AH382" s="111" t="n"/>
      <c r="AI382" s="111" t="n"/>
      <c r="AJ382" s="114">
        <f>IF(COUNTA(B382,E382,H382,I382,J382,K382,L382,M382,N382,O382,P382,Q382,R382,S382,T382,U382,V382,W382,X382,Y382,Z382,AA382,AB382,AC382,AD382,AE382,AF382,AG382,AH382,AI382)=0,"",IF(OR(B382="",E382="",H382="",J382="",K382="",L382="",M382="",O382="",P382="",Q382="",R382="",S382="",T382="",U382="",W382="",X382="",Y382="",AB382="",AC382="",AE382="",AF382=""),"Incompleta: faltan campos obligatorios",IF(AND(LEFT(H382,6)="PROPIA",I382=""),"Falta el nombre de la acción propia del área",IF(AND(LEFT(H382,4)="AC27",IFERROR(INDEX('Catalogos_PDN'!$T$5:$T$207,MATCH(H382,'Catalogos_PDN'!$U$5:$U$207,0)),"x")&lt;&gt;LEFT(E382,7)),"La acción no corresponde a la meta seleccionada",IF(OR(NOT(ISNUMBER(M382)),M382&lt;10000000,M382&gt;99999999),"Código UNSPSC inválido: registre 8 dígitos",IF(MOD(M382,10000)=0,"UNSPSC a nivel de segmento o familia: use clase o producto",IF(IFERROR(MATCH(P382,PN_MESES,0)&lt;MATCH(O382,PN_MESES,0),TRUE()),"El mes de ofertas es anterior al de inicio del proceso",IF(OR(NOT(ISNUMBER(Q382)),Q382&lt;=0),"Duración inválida",IF(OR(NOT(ISNUMBER(W382)),NOT(ISNUMBER(X382))),"Valor inválido: registre solo números",IF(OR(W382&lt;=0,X382&lt;=0),"Valor inválido: debe ser mayor que cero",IF(X382&gt;W382,"El valor de la vigencia 2027 supera el valor total",IF(AND(X382&lt;W382,Y382="No"),"El valor total supera el de 2027: requiere vigencias futuras",IF(AND(Y382="Sí",OR(Z382="",Z382="No aplica")),"Indique el estado de la solicitud de vigencias futuras",IF(IF(AND(S382="Mínima cuantía",ISNUMBER(PN_TOPE_MINIMA)),W382&gt;PN_TOPE_MINIMA,FALSE()),"El valor supera el tope de mínima cuantía 2027",IF(IF(AND(S382="Selección abreviada de menor cuantía",ISNUMBER(PN_TOPE_MENOR)),W382&gt;PN_TOPE_MENOR,FALSE()),"El valor supera el tope de menor cuantía 2027",IF(OR(ISERROR(SEARCH("@itc.edu.co",AE382)),SUMPRODUCT(--ISNUMBER(SEARCH({"á","é","í","ó","ú","ñ"," "},AE382)))&gt;0),"El correo del responsable no es institucional válido",IF(AND(AF382="Sí",AG382=""),"Indique el N.° de registro 2026 que continúa","OK")))))))))))))))))</f>
        <v/>
      </c>
      <c r="AK382" s="114">
        <f>IF(AJ382="OK",COUNTIF($AJ$7:AJ382,"OK"),"")</f>
        <v/>
      </c>
    </row>
    <row r="383">
      <c r="A383" s="110">
        <f>"PN27-"&amp;TEXT(ROW()-6,"000")</f>
        <v/>
      </c>
      <c r="B383" s="111" t="n"/>
      <c r="C383" s="110">
        <f>IF(B383="","",IFERROR(INDEX('Catalogos_PDN'!$R$5:$R$51,MATCH(B383,PN_AREAS,0)),""))</f>
        <v/>
      </c>
      <c r="D383" s="110">
        <f>IF(B383="","",IFERROR(INDEX('Catalogos_PDN'!$O$5:$O$51,MATCH(B383,PN_AREAS,0)),""))</f>
        <v/>
      </c>
      <c r="E383" s="111" t="n"/>
      <c r="F383" s="110">
        <f>IF(E383="","",IFERROR(INDEX('Catalogos_PDN'!$C$5:$C$49,MATCH(E383,PN_METAS,0)),""))</f>
        <v/>
      </c>
      <c r="G383" s="110">
        <f>IF(E383="","",IFERROR(INDEX('Catalogos_PDN'!$E$5:$E$49,MATCH(E383,PN_METAS,0)),""))</f>
        <v/>
      </c>
      <c r="H383" s="111" t="n"/>
      <c r="I383" s="111" t="n"/>
      <c r="J383" s="111" t="n"/>
      <c r="K383" s="111" t="n"/>
      <c r="L383" s="111" t="n"/>
      <c r="M383" s="112" t="n"/>
      <c r="N383" s="111" t="n"/>
      <c r="O383" s="111" t="n"/>
      <c r="P383" s="111" t="n"/>
      <c r="Q383" s="111" t="n"/>
      <c r="R383" s="111" t="n"/>
      <c r="S383" s="111" t="n"/>
      <c r="T383" s="111" t="n"/>
      <c r="U383" s="111" t="n"/>
      <c r="V383" s="111" t="n"/>
      <c r="W383" s="113" t="n"/>
      <c r="X383" s="113" t="n"/>
      <c r="Y383" s="111" t="n"/>
      <c r="Z383" s="111" t="n"/>
      <c r="AA383" s="111" t="n"/>
      <c r="AB383" s="111" t="n"/>
      <c r="AC383" s="111" t="n"/>
      <c r="AD383" s="111" t="n"/>
      <c r="AE383" s="111" t="n"/>
      <c r="AF383" s="111" t="n"/>
      <c r="AG383" s="111" t="n"/>
      <c r="AH383" s="111" t="n"/>
      <c r="AI383" s="111" t="n"/>
      <c r="AJ383" s="114">
        <f>IF(COUNTA(B383,E383,H383,I383,J383,K383,L383,M383,N383,O383,P383,Q383,R383,S383,T383,U383,V383,W383,X383,Y383,Z383,AA383,AB383,AC383,AD383,AE383,AF383,AG383,AH383,AI383)=0,"",IF(OR(B383="",E383="",H383="",J383="",K383="",L383="",M383="",O383="",P383="",Q383="",R383="",S383="",T383="",U383="",W383="",X383="",Y383="",AB383="",AC383="",AE383="",AF383=""),"Incompleta: faltan campos obligatorios",IF(AND(LEFT(H383,6)="PROPIA",I383=""),"Falta el nombre de la acción propia del área",IF(AND(LEFT(H383,4)="AC27",IFERROR(INDEX('Catalogos_PDN'!$T$5:$T$207,MATCH(H383,'Catalogos_PDN'!$U$5:$U$207,0)),"x")&lt;&gt;LEFT(E383,7)),"La acción no corresponde a la meta seleccionada",IF(OR(NOT(ISNUMBER(M383)),M383&lt;10000000,M383&gt;99999999),"Código UNSPSC inválido: registre 8 dígitos",IF(MOD(M383,10000)=0,"UNSPSC a nivel de segmento o familia: use clase o producto",IF(IFERROR(MATCH(P383,PN_MESES,0)&lt;MATCH(O383,PN_MESES,0),TRUE()),"El mes de ofertas es anterior al de inicio del proceso",IF(OR(NOT(ISNUMBER(Q383)),Q383&lt;=0),"Duración inválida",IF(OR(NOT(ISNUMBER(W383)),NOT(ISNUMBER(X383))),"Valor inválido: registre solo números",IF(OR(W383&lt;=0,X383&lt;=0),"Valor inválido: debe ser mayor que cero",IF(X383&gt;W383,"El valor de la vigencia 2027 supera el valor total",IF(AND(X383&lt;W383,Y383="No"),"El valor total supera el de 2027: requiere vigencias futuras",IF(AND(Y383="Sí",OR(Z383="",Z383="No aplica")),"Indique el estado de la solicitud de vigencias futuras",IF(IF(AND(S383="Mínima cuantía",ISNUMBER(PN_TOPE_MINIMA)),W383&gt;PN_TOPE_MINIMA,FALSE()),"El valor supera el tope de mínima cuantía 2027",IF(IF(AND(S383="Selección abreviada de menor cuantía",ISNUMBER(PN_TOPE_MENOR)),W383&gt;PN_TOPE_MENOR,FALSE()),"El valor supera el tope de menor cuantía 2027",IF(OR(ISERROR(SEARCH("@itc.edu.co",AE383)),SUMPRODUCT(--ISNUMBER(SEARCH({"á","é","í","ó","ú","ñ"," "},AE383)))&gt;0),"El correo del responsable no es institucional válido",IF(AND(AF383="Sí",AG383=""),"Indique el N.° de registro 2026 que continúa","OK")))))))))))))))))</f>
        <v/>
      </c>
      <c r="AK383" s="114">
        <f>IF(AJ383="OK",COUNTIF($AJ$7:AJ383,"OK"),"")</f>
        <v/>
      </c>
    </row>
    <row r="384">
      <c r="A384" s="110">
        <f>"PN27-"&amp;TEXT(ROW()-6,"000")</f>
        <v/>
      </c>
      <c r="B384" s="111" t="n"/>
      <c r="C384" s="110">
        <f>IF(B384="","",IFERROR(INDEX('Catalogos_PDN'!$R$5:$R$51,MATCH(B384,PN_AREAS,0)),""))</f>
        <v/>
      </c>
      <c r="D384" s="110">
        <f>IF(B384="","",IFERROR(INDEX('Catalogos_PDN'!$O$5:$O$51,MATCH(B384,PN_AREAS,0)),""))</f>
        <v/>
      </c>
      <c r="E384" s="111" t="n"/>
      <c r="F384" s="110">
        <f>IF(E384="","",IFERROR(INDEX('Catalogos_PDN'!$C$5:$C$49,MATCH(E384,PN_METAS,0)),""))</f>
        <v/>
      </c>
      <c r="G384" s="110">
        <f>IF(E384="","",IFERROR(INDEX('Catalogos_PDN'!$E$5:$E$49,MATCH(E384,PN_METAS,0)),""))</f>
        <v/>
      </c>
      <c r="H384" s="111" t="n"/>
      <c r="I384" s="111" t="n"/>
      <c r="J384" s="111" t="n"/>
      <c r="K384" s="111" t="n"/>
      <c r="L384" s="111" t="n"/>
      <c r="M384" s="112" t="n"/>
      <c r="N384" s="111" t="n"/>
      <c r="O384" s="111" t="n"/>
      <c r="P384" s="111" t="n"/>
      <c r="Q384" s="111" t="n"/>
      <c r="R384" s="111" t="n"/>
      <c r="S384" s="111" t="n"/>
      <c r="T384" s="111" t="n"/>
      <c r="U384" s="111" t="n"/>
      <c r="V384" s="111" t="n"/>
      <c r="W384" s="113" t="n"/>
      <c r="X384" s="113" t="n"/>
      <c r="Y384" s="111" t="n"/>
      <c r="Z384" s="111" t="n"/>
      <c r="AA384" s="111" t="n"/>
      <c r="AB384" s="111" t="n"/>
      <c r="AC384" s="111" t="n"/>
      <c r="AD384" s="111" t="n"/>
      <c r="AE384" s="111" t="n"/>
      <c r="AF384" s="111" t="n"/>
      <c r="AG384" s="111" t="n"/>
      <c r="AH384" s="111" t="n"/>
      <c r="AI384" s="111" t="n"/>
      <c r="AJ384" s="114">
        <f>IF(COUNTA(B384,E384,H384,I384,J384,K384,L384,M384,N384,O384,P384,Q384,R384,S384,T384,U384,V384,W384,X384,Y384,Z384,AA384,AB384,AC384,AD384,AE384,AF384,AG384,AH384,AI384)=0,"",IF(OR(B384="",E384="",H384="",J384="",K384="",L384="",M384="",O384="",P384="",Q384="",R384="",S384="",T384="",U384="",W384="",X384="",Y384="",AB384="",AC384="",AE384="",AF384=""),"Incompleta: faltan campos obligatorios",IF(AND(LEFT(H384,6)="PROPIA",I384=""),"Falta el nombre de la acción propia del área",IF(AND(LEFT(H384,4)="AC27",IFERROR(INDEX('Catalogos_PDN'!$T$5:$T$207,MATCH(H384,'Catalogos_PDN'!$U$5:$U$207,0)),"x")&lt;&gt;LEFT(E384,7)),"La acción no corresponde a la meta seleccionada",IF(OR(NOT(ISNUMBER(M384)),M384&lt;10000000,M384&gt;99999999),"Código UNSPSC inválido: registre 8 dígitos",IF(MOD(M384,10000)=0,"UNSPSC a nivel de segmento o familia: use clase o producto",IF(IFERROR(MATCH(P384,PN_MESES,0)&lt;MATCH(O384,PN_MESES,0),TRUE()),"El mes de ofertas es anterior al de inicio del proceso",IF(OR(NOT(ISNUMBER(Q384)),Q384&lt;=0),"Duración inválida",IF(OR(NOT(ISNUMBER(W384)),NOT(ISNUMBER(X384))),"Valor inválido: registre solo números",IF(OR(W384&lt;=0,X384&lt;=0),"Valor inválido: debe ser mayor que cero",IF(X384&gt;W384,"El valor de la vigencia 2027 supera el valor total",IF(AND(X384&lt;W384,Y384="No"),"El valor total supera el de 2027: requiere vigencias futuras",IF(AND(Y384="Sí",OR(Z384="",Z384="No aplica")),"Indique el estado de la solicitud de vigencias futuras",IF(IF(AND(S384="Mínima cuantía",ISNUMBER(PN_TOPE_MINIMA)),W384&gt;PN_TOPE_MINIMA,FALSE()),"El valor supera el tope de mínima cuantía 2027",IF(IF(AND(S384="Selección abreviada de menor cuantía",ISNUMBER(PN_TOPE_MENOR)),W384&gt;PN_TOPE_MENOR,FALSE()),"El valor supera el tope de menor cuantía 2027",IF(OR(ISERROR(SEARCH("@itc.edu.co",AE384)),SUMPRODUCT(--ISNUMBER(SEARCH({"á","é","í","ó","ú","ñ"," "},AE384)))&gt;0),"El correo del responsable no es institucional válido",IF(AND(AF384="Sí",AG384=""),"Indique el N.° de registro 2026 que continúa","OK")))))))))))))))))</f>
        <v/>
      </c>
      <c r="AK384" s="114">
        <f>IF(AJ384="OK",COUNTIF($AJ$7:AJ384,"OK"),"")</f>
        <v/>
      </c>
    </row>
    <row r="385">
      <c r="A385" s="110">
        <f>"PN27-"&amp;TEXT(ROW()-6,"000")</f>
        <v/>
      </c>
      <c r="B385" s="111" t="n"/>
      <c r="C385" s="110">
        <f>IF(B385="","",IFERROR(INDEX('Catalogos_PDN'!$R$5:$R$51,MATCH(B385,PN_AREAS,0)),""))</f>
        <v/>
      </c>
      <c r="D385" s="110">
        <f>IF(B385="","",IFERROR(INDEX('Catalogos_PDN'!$O$5:$O$51,MATCH(B385,PN_AREAS,0)),""))</f>
        <v/>
      </c>
      <c r="E385" s="111" t="n"/>
      <c r="F385" s="110">
        <f>IF(E385="","",IFERROR(INDEX('Catalogos_PDN'!$C$5:$C$49,MATCH(E385,PN_METAS,0)),""))</f>
        <v/>
      </c>
      <c r="G385" s="110">
        <f>IF(E385="","",IFERROR(INDEX('Catalogos_PDN'!$E$5:$E$49,MATCH(E385,PN_METAS,0)),""))</f>
        <v/>
      </c>
      <c r="H385" s="111" t="n"/>
      <c r="I385" s="111" t="n"/>
      <c r="J385" s="111" t="n"/>
      <c r="K385" s="111" t="n"/>
      <c r="L385" s="111" t="n"/>
      <c r="M385" s="112" t="n"/>
      <c r="N385" s="111" t="n"/>
      <c r="O385" s="111" t="n"/>
      <c r="P385" s="111" t="n"/>
      <c r="Q385" s="111" t="n"/>
      <c r="R385" s="111" t="n"/>
      <c r="S385" s="111" t="n"/>
      <c r="T385" s="111" t="n"/>
      <c r="U385" s="111" t="n"/>
      <c r="V385" s="111" t="n"/>
      <c r="W385" s="113" t="n"/>
      <c r="X385" s="113" t="n"/>
      <c r="Y385" s="111" t="n"/>
      <c r="Z385" s="111" t="n"/>
      <c r="AA385" s="111" t="n"/>
      <c r="AB385" s="111" t="n"/>
      <c r="AC385" s="111" t="n"/>
      <c r="AD385" s="111" t="n"/>
      <c r="AE385" s="111" t="n"/>
      <c r="AF385" s="111" t="n"/>
      <c r="AG385" s="111" t="n"/>
      <c r="AH385" s="111" t="n"/>
      <c r="AI385" s="111" t="n"/>
      <c r="AJ385" s="114">
        <f>IF(COUNTA(B385,E385,H385,I385,J385,K385,L385,M385,N385,O385,P385,Q385,R385,S385,T385,U385,V385,W385,X385,Y385,Z385,AA385,AB385,AC385,AD385,AE385,AF385,AG385,AH385,AI385)=0,"",IF(OR(B385="",E385="",H385="",J385="",K385="",L385="",M385="",O385="",P385="",Q385="",R385="",S385="",T385="",U385="",W385="",X385="",Y385="",AB385="",AC385="",AE385="",AF385=""),"Incompleta: faltan campos obligatorios",IF(AND(LEFT(H385,6)="PROPIA",I385=""),"Falta el nombre de la acción propia del área",IF(AND(LEFT(H385,4)="AC27",IFERROR(INDEX('Catalogos_PDN'!$T$5:$T$207,MATCH(H385,'Catalogos_PDN'!$U$5:$U$207,0)),"x")&lt;&gt;LEFT(E385,7)),"La acción no corresponde a la meta seleccionada",IF(OR(NOT(ISNUMBER(M385)),M385&lt;10000000,M385&gt;99999999),"Código UNSPSC inválido: registre 8 dígitos",IF(MOD(M385,10000)=0,"UNSPSC a nivel de segmento o familia: use clase o producto",IF(IFERROR(MATCH(P385,PN_MESES,0)&lt;MATCH(O385,PN_MESES,0),TRUE()),"El mes de ofertas es anterior al de inicio del proceso",IF(OR(NOT(ISNUMBER(Q385)),Q385&lt;=0),"Duración inválida",IF(OR(NOT(ISNUMBER(W385)),NOT(ISNUMBER(X385))),"Valor inválido: registre solo números",IF(OR(W385&lt;=0,X385&lt;=0),"Valor inválido: debe ser mayor que cero",IF(X385&gt;W385,"El valor de la vigencia 2027 supera el valor total",IF(AND(X385&lt;W385,Y385="No"),"El valor total supera el de 2027: requiere vigencias futuras",IF(AND(Y385="Sí",OR(Z385="",Z385="No aplica")),"Indique el estado de la solicitud de vigencias futuras",IF(IF(AND(S385="Mínima cuantía",ISNUMBER(PN_TOPE_MINIMA)),W385&gt;PN_TOPE_MINIMA,FALSE()),"El valor supera el tope de mínima cuantía 2027",IF(IF(AND(S385="Selección abreviada de menor cuantía",ISNUMBER(PN_TOPE_MENOR)),W385&gt;PN_TOPE_MENOR,FALSE()),"El valor supera el tope de menor cuantía 2027",IF(OR(ISERROR(SEARCH("@itc.edu.co",AE385)),SUMPRODUCT(--ISNUMBER(SEARCH({"á","é","í","ó","ú","ñ"," "},AE385)))&gt;0),"El correo del responsable no es institucional válido",IF(AND(AF385="Sí",AG385=""),"Indique el N.° de registro 2026 que continúa","OK")))))))))))))))))</f>
        <v/>
      </c>
      <c r="AK385" s="114">
        <f>IF(AJ385="OK",COUNTIF($AJ$7:AJ385,"OK"),"")</f>
        <v/>
      </c>
    </row>
    <row r="386">
      <c r="A386" s="110">
        <f>"PN27-"&amp;TEXT(ROW()-6,"000")</f>
        <v/>
      </c>
      <c r="B386" s="111" t="n"/>
      <c r="C386" s="110">
        <f>IF(B386="","",IFERROR(INDEX('Catalogos_PDN'!$R$5:$R$51,MATCH(B386,PN_AREAS,0)),""))</f>
        <v/>
      </c>
      <c r="D386" s="110">
        <f>IF(B386="","",IFERROR(INDEX('Catalogos_PDN'!$O$5:$O$51,MATCH(B386,PN_AREAS,0)),""))</f>
        <v/>
      </c>
      <c r="E386" s="111" t="n"/>
      <c r="F386" s="110">
        <f>IF(E386="","",IFERROR(INDEX('Catalogos_PDN'!$C$5:$C$49,MATCH(E386,PN_METAS,0)),""))</f>
        <v/>
      </c>
      <c r="G386" s="110">
        <f>IF(E386="","",IFERROR(INDEX('Catalogos_PDN'!$E$5:$E$49,MATCH(E386,PN_METAS,0)),""))</f>
        <v/>
      </c>
      <c r="H386" s="111" t="n"/>
      <c r="I386" s="111" t="n"/>
      <c r="J386" s="111" t="n"/>
      <c r="K386" s="111" t="n"/>
      <c r="L386" s="111" t="n"/>
      <c r="M386" s="112" t="n"/>
      <c r="N386" s="111" t="n"/>
      <c r="O386" s="111" t="n"/>
      <c r="P386" s="111" t="n"/>
      <c r="Q386" s="111" t="n"/>
      <c r="R386" s="111" t="n"/>
      <c r="S386" s="111" t="n"/>
      <c r="T386" s="111" t="n"/>
      <c r="U386" s="111" t="n"/>
      <c r="V386" s="111" t="n"/>
      <c r="W386" s="113" t="n"/>
      <c r="X386" s="113" t="n"/>
      <c r="Y386" s="111" t="n"/>
      <c r="Z386" s="111" t="n"/>
      <c r="AA386" s="111" t="n"/>
      <c r="AB386" s="111" t="n"/>
      <c r="AC386" s="111" t="n"/>
      <c r="AD386" s="111" t="n"/>
      <c r="AE386" s="111" t="n"/>
      <c r="AF386" s="111" t="n"/>
      <c r="AG386" s="111" t="n"/>
      <c r="AH386" s="111" t="n"/>
      <c r="AI386" s="111" t="n"/>
      <c r="AJ386" s="114">
        <f>IF(COUNTA(B386,E386,H386,I386,J386,K386,L386,M386,N386,O386,P386,Q386,R386,S386,T386,U386,V386,W386,X386,Y386,Z386,AA386,AB386,AC386,AD386,AE386,AF386,AG386,AH386,AI386)=0,"",IF(OR(B386="",E386="",H386="",J386="",K386="",L386="",M386="",O386="",P386="",Q386="",R386="",S386="",T386="",U386="",W386="",X386="",Y386="",AB386="",AC386="",AE386="",AF386=""),"Incompleta: faltan campos obligatorios",IF(AND(LEFT(H386,6)="PROPIA",I386=""),"Falta el nombre de la acción propia del área",IF(AND(LEFT(H386,4)="AC27",IFERROR(INDEX('Catalogos_PDN'!$T$5:$T$207,MATCH(H386,'Catalogos_PDN'!$U$5:$U$207,0)),"x")&lt;&gt;LEFT(E386,7)),"La acción no corresponde a la meta seleccionada",IF(OR(NOT(ISNUMBER(M386)),M386&lt;10000000,M386&gt;99999999),"Código UNSPSC inválido: registre 8 dígitos",IF(MOD(M386,10000)=0,"UNSPSC a nivel de segmento o familia: use clase o producto",IF(IFERROR(MATCH(P386,PN_MESES,0)&lt;MATCH(O386,PN_MESES,0),TRUE()),"El mes de ofertas es anterior al de inicio del proceso",IF(OR(NOT(ISNUMBER(Q386)),Q386&lt;=0),"Duración inválida",IF(OR(NOT(ISNUMBER(W386)),NOT(ISNUMBER(X386))),"Valor inválido: registre solo números",IF(OR(W386&lt;=0,X386&lt;=0),"Valor inválido: debe ser mayor que cero",IF(X386&gt;W386,"El valor de la vigencia 2027 supera el valor total",IF(AND(X386&lt;W386,Y386="No"),"El valor total supera el de 2027: requiere vigencias futuras",IF(AND(Y386="Sí",OR(Z386="",Z386="No aplica")),"Indique el estado de la solicitud de vigencias futuras",IF(IF(AND(S386="Mínima cuantía",ISNUMBER(PN_TOPE_MINIMA)),W386&gt;PN_TOPE_MINIMA,FALSE()),"El valor supera el tope de mínima cuantía 2027",IF(IF(AND(S386="Selección abreviada de menor cuantía",ISNUMBER(PN_TOPE_MENOR)),W386&gt;PN_TOPE_MENOR,FALSE()),"El valor supera el tope de menor cuantía 2027",IF(OR(ISERROR(SEARCH("@itc.edu.co",AE386)),SUMPRODUCT(--ISNUMBER(SEARCH({"á","é","í","ó","ú","ñ"," "},AE386)))&gt;0),"El correo del responsable no es institucional válido",IF(AND(AF386="Sí",AG386=""),"Indique el N.° de registro 2026 que continúa","OK")))))))))))))))))</f>
        <v/>
      </c>
      <c r="AK386" s="114">
        <f>IF(AJ386="OK",COUNTIF($AJ$7:AJ386,"OK"),"")</f>
        <v/>
      </c>
    </row>
    <row r="387">
      <c r="A387" s="110">
        <f>"PN27-"&amp;TEXT(ROW()-6,"000")</f>
        <v/>
      </c>
      <c r="B387" s="111" t="n"/>
      <c r="C387" s="110">
        <f>IF(B387="","",IFERROR(INDEX('Catalogos_PDN'!$R$5:$R$51,MATCH(B387,PN_AREAS,0)),""))</f>
        <v/>
      </c>
      <c r="D387" s="110">
        <f>IF(B387="","",IFERROR(INDEX('Catalogos_PDN'!$O$5:$O$51,MATCH(B387,PN_AREAS,0)),""))</f>
        <v/>
      </c>
      <c r="E387" s="111" t="n"/>
      <c r="F387" s="110">
        <f>IF(E387="","",IFERROR(INDEX('Catalogos_PDN'!$C$5:$C$49,MATCH(E387,PN_METAS,0)),""))</f>
        <v/>
      </c>
      <c r="G387" s="110">
        <f>IF(E387="","",IFERROR(INDEX('Catalogos_PDN'!$E$5:$E$49,MATCH(E387,PN_METAS,0)),""))</f>
        <v/>
      </c>
      <c r="H387" s="111" t="n"/>
      <c r="I387" s="111" t="n"/>
      <c r="J387" s="111" t="n"/>
      <c r="K387" s="111" t="n"/>
      <c r="L387" s="111" t="n"/>
      <c r="M387" s="112" t="n"/>
      <c r="N387" s="111" t="n"/>
      <c r="O387" s="111" t="n"/>
      <c r="P387" s="111" t="n"/>
      <c r="Q387" s="111" t="n"/>
      <c r="R387" s="111" t="n"/>
      <c r="S387" s="111" t="n"/>
      <c r="T387" s="111" t="n"/>
      <c r="U387" s="111" t="n"/>
      <c r="V387" s="111" t="n"/>
      <c r="W387" s="113" t="n"/>
      <c r="X387" s="113" t="n"/>
      <c r="Y387" s="111" t="n"/>
      <c r="Z387" s="111" t="n"/>
      <c r="AA387" s="111" t="n"/>
      <c r="AB387" s="111" t="n"/>
      <c r="AC387" s="111" t="n"/>
      <c r="AD387" s="111" t="n"/>
      <c r="AE387" s="111" t="n"/>
      <c r="AF387" s="111" t="n"/>
      <c r="AG387" s="111" t="n"/>
      <c r="AH387" s="111" t="n"/>
      <c r="AI387" s="111" t="n"/>
      <c r="AJ387" s="114">
        <f>IF(COUNTA(B387,E387,H387,I387,J387,K387,L387,M387,N387,O387,P387,Q387,R387,S387,T387,U387,V387,W387,X387,Y387,Z387,AA387,AB387,AC387,AD387,AE387,AF387,AG387,AH387,AI387)=0,"",IF(OR(B387="",E387="",H387="",J387="",K387="",L387="",M387="",O387="",P387="",Q387="",R387="",S387="",T387="",U387="",W387="",X387="",Y387="",AB387="",AC387="",AE387="",AF387=""),"Incompleta: faltan campos obligatorios",IF(AND(LEFT(H387,6)="PROPIA",I387=""),"Falta el nombre de la acción propia del área",IF(AND(LEFT(H387,4)="AC27",IFERROR(INDEX('Catalogos_PDN'!$T$5:$T$207,MATCH(H387,'Catalogos_PDN'!$U$5:$U$207,0)),"x")&lt;&gt;LEFT(E387,7)),"La acción no corresponde a la meta seleccionada",IF(OR(NOT(ISNUMBER(M387)),M387&lt;10000000,M387&gt;99999999),"Código UNSPSC inválido: registre 8 dígitos",IF(MOD(M387,10000)=0,"UNSPSC a nivel de segmento o familia: use clase o producto",IF(IFERROR(MATCH(P387,PN_MESES,0)&lt;MATCH(O387,PN_MESES,0),TRUE()),"El mes de ofertas es anterior al de inicio del proceso",IF(OR(NOT(ISNUMBER(Q387)),Q387&lt;=0),"Duración inválida",IF(OR(NOT(ISNUMBER(W387)),NOT(ISNUMBER(X387))),"Valor inválido: registre solo números",IF(OR(W387&lt;=0,X387&lt;=0),"Valor inválido: debe ser mayor que cero",IF(X387&gt;W387,"El valor de la vigencia 2027 supera el valor total",IF(AND(X387&lt;W387,Y387="No"),"El valor total supera el de 2027: requiere vigencias futuras",IF(AND(Y387="Sí",OR(Z387="",Z387="No aplica")),"Indique el estado de la solicitud de vigencias futuras",IF(IF(AND(S387="Mínima cuantía",ISNUMBER(PN_TOPE_MINIMA)),W387&gt;PN_TOPE_MINIMA,FALSE()),"El valor supera el tope de mínima cuantía 2027",IF(IF(AND(S387="Selección abreviada de menor cuantía",ISNUMBER(PN_TOPE_MENOR)),W387&gt;PN_TOPE_MENOR,FALSE()),"El valor supera el tope de menor cuantía 2027",IF(OR(ISERROR(SEARCH("@itc.edu.co",AE387)),SUMPRODUCT(--ISNUMBER(SEARCH({"á","é","í","ó","ú","ñ"," "},AE387)))&gt;0),"El correo del responsable no es institucional válido",IF(AND(AF387="Sí",AG387=""),"Indique el N.° de registro 2026 que continúa","OK")))))))))))))))))</f>
        <v/>
      </c>
      <c r="AK387" s="114">
        <f>IF(AJ387="OK",COUNTIF($AJ$7:AJ387,"OK"),"")</f>
        <v/>
      </c>
    </row>
    <row r="388">
      <c r="A388" s="110">
        <f>"PN27-"&amp;TEXT(ROW()-6,"000")</f>
        <v/>
      </c>
      <c r="B388" s="111" t="n"/>
      <c r="C388" s="110">
        <f>IF(B388="","",IFERROR(INDEX('Catalogos_PDN'!$R$5:$R$51,MATCH(B388,PN_AREAS,0)),""))</f>
        <v/>
      </c>
      <c r="D388" s="110">
        <f>IF(B388="","",IFERROR(INDEX('Catalogos_PDN'!$O$5:$O$51,MATCH(B388,PN_AREAS,0)),""))</f>
        <v/>
      </c>
      <c r="E388" s="111" t="n"/>
      <c r="F388" s="110">
        <f>IF(E388="","",IFERROR(INDEX('Catalogos_PDN'!$C$5:$C$49,MATCH(E388,PN_METAS,0)),""))</f>
        <v/>
      </c>
      <c r="G388" s="110">
        <f>IF(E388="","",IFERROR(INDEX('Catalogos_PDN'!$E$5:$E$49,MATCH(E388,PN_METAS,0)),""))</f>
        <v/>
      </c>
      <c r="H388" s="111" t="n"/>
      <c r="I388" s="111" t="n"/>
      <c r="J388" s="111" t="n"/>
      <c r="K388" s="111" t="n"/>
      <c r="L388" s="111" t="n"/>
      <c r="M388" s="112" t="n"/>
      <c r="N388" s="111" t="n"/>
      <c r="O388" s="111" t="n"/>
      <c r="P388" s="111" t="n"/>
      <c r="Q388" s="111" t="n"/>
      <c r="R388" s="111" t="n"/>
      <c r="S388" s="111" t="n"/>
      <c r="T388" s="111" t="n"/>
      <c r="U388" s="111" t="n"/>
      <c r="V388" s="111" t="n"/>
      <c r="W388" s="113" t="n"/>
      <c r="X388" s="113" t="n"/>
      <c r="Y388" s="111" t="n"/>
      <c r="Z388" s="111" t="n"/>
      <c r="AA388" s="111" t="n"/>
      <c r="AB388" s="111" t="n"/>
      <c r="AC388" s="111" t="n"/>
      <c r="AD388" s="111" t="n"/>
      <c r="AE388" s="111" t="n"/>
      <c r="AF388" s="111" t="n"/>
      <c r="AG388" s="111" t="n"/>
      <c r="AH388" s="111" t="n"/>
      <c r="AI388" s="111" t="n"/>
      <c r="AJ388" s="114">
        <f>IF(COUNTA(B388,E388,H388,I388,J388,K388,L388,M388,N388,O388,P388,Q388,R388,S388,T388,U388,V388,W388,X388,Y388,Z388,AA388,AB388,AC388,AD388,AE388,AF388,AG388,AH388,AI388)=0,"",IF(OR(B388="",E388="",H388="",J388="",K388="",L388="",M388="",O388="",P388="",Q388="",R388="",S388="",T388="",U388="",W388="",X388="",Y388="",AB388="",AC388="",AE388="",AF388=""),"Incompleta: faltan campos obligatorios",IF(AND(LEFT(H388,6)="PROPIA",I388=""),"Falta el nombre de la acción propia del área",IF(AND(LEFT(H388,4)="AC27",IFERROR(INDEX('Catalogos_PDN'!$T$5:$T$207,MATCH(H388,'Catalogos_PDN'!$U$5:$U$207,0)),"x")&lt;&gt;LEFT(E388,7)),"La acción no corresponde a la meta seleccionada",IF(OR(NOT(ISNUMBER(M388)),M388&lt;10000000,M388&gt;99999999),"Código UNSPSC inválido: registre 8 dígitos",IF(MOD(M388,10000)=0,"UNSPSC a nivel de segmento o familia: use clase o producto",IF(IFERROR(MATCH(P388,PN_MESES,0)&lt;MATCH(O388,PN_MESES,0),TRUE()),"El mes de ofertas es anterior al de inicio del proceso",IF(OR(NOT(ISNUMBER(Q388)),Q388&lt;=0),"Duración inválida",IF(OR(NOT(ISNUMBER(W388)),NOT(ISNUMBER(X388))),"Valor inválido: registre solo números",IF(OR(W388&lt;=0,X388&lt;=0),"Valor inválido: debe ser mayor que cero",IF(X388&gt;W388,"El valor de la vigencia 2027 supera el valor total",IF(AND(X388&lt;W388,Y388="No"),"El valor total supera el de 2027: requiere vigencias futuras",IF(AND(Y388="Sí",OR(Z388="",Z388="No aplica")),"Indique el estado de la solicitud de vigencias futuras",IF(IF(AND(S388="Mínima cuantía",ISNUMBER(PN_TOPE_MINIMA)),W388&gt;PN_TOPE_MINIMA,FALSE()),"El valor supera el tope de mínima cuantía 2027",IF(IF(AND(S388="Selección abreviada de menor cuantía",ISNUMBER(PN_TOPE_MENOR)),W388&gt;PN_TOPE_MENOR,FALSE()),"El valor supera el tope de menor cuantía 2027",IF(OR(ISERROR(SEARCH("@itc.edu.co",AE388)),SUMPRODUCT(--ISNUMBER(SEARCH({"á","é","í","ó","ú","ñ"," "},AE388)))&gt;0),"El correo del responsable no es institucional válido",IF(AND(AF388="Sí",AG388=""),"Indique el N.° de registro 2026 que continúa","OK")))))))))))))))))</f>
        <v/>
      </c>
      <c r="AK388" s="114">
        <f>IF(AJ388="OK",COUNTIF($AJ$7:AJ388,"OK"),"")</f>
        <v/>
      </c>
    </row>
    <row r="389">
      <c r="A389" s="110">
        <f>"PN27-"&amp;TEXT(ROW()-6,"000")</f>
        <v/>
      </c>
      <c r="B389" s="111" t="n"/>
      <c r="C389" s="110">
        <f>IF(B389="","",IFERROR(INDEX('Catalogos_PDN'!$R$5:$R$51,MATCH(B389,PN_AREAS,0)),""))</f>
        <v/>
      </c>
      <c r="D389" s="110">
        <f>IF(B389="","",IFERROR(INDEX('Catalogos_PDN'!$O$5:$O$51,MATCH(B389,PN_AREAS,0)),""))</f>
        <v/>
      </c>
      <c r="E389" s="111" t="n"/>
      <c r="F389" s="110">
        <f>IF(E389="","",IFERROR(INDEX('Catalogos_PDN'!$C$5:$C$49,MATCH(E389,PN_METAS,0)),""))</f>
        <v/>
      </c>
      <c r="G389" s="110">
        <f>IF(E389="","",IFERROR(INDEX('Catalogos_PDN'!$E$5:$E$49,MATCH(E389,PN_METAS,0)),""))</f>
        <v/>
      </c>
      <c r="H389" s="111" t="n"/>
      <c r="I389" s="111" t="n"/>
      <c r="J389" s="111" t="n"/>
      <c r="K389" s="111" t="n"/>
      <c r="L389" s="111" t="n"/>
      <c r="M389" s="112" t="n"/>
      <c r="N389" s="111" t="n"/>
      <c r="O389" s="111" t="n"/>
      <c r="P389" s="111" t="n"/>
      <c r="Q389" s="111" t="n"/>
      <c r="R389" s="111" t="n"/>
      <c r="S389" s="111" t="n"/>
      <c r="T389" s="111" t="n"/>
      <c r="U389" s="111" t="n"/>
      <c r="V389" s="111" t="n"/>
      <c r="W389" s="113" t="n"/>
      <c r="X389" s="113" t="n"/>
      <c r="Y389" s="111" t="n"/>
      <c r="Z389" s="111" t="n"/>
      <c r="AA389" s="111" t="n"/>
      <c r="AB389" s="111" t="n"/>
      <c r="AC389" s="111" t="n"/>
      <c r="AD389" s="111" t="n"/>
      <c r="AE389" s="111" t="n"/>
      <c r="AF389" s="111" t="n"/>
      <c r="AG389" s="111" t="n"/>
      <c r="AH389" s="111" t="n"/>
      <c r="AI389" s="111" t="n"/>
      <c r="AJ389" s="114">
        <f>IF(COUNTA(B389,E389,H389,I389,J389,K389,L389,M389,N389,O389,P389,Q389,R389,S389,T389,U389,V389,W389,X389,Y389,Z389,AA389,AB389,AC389,AD389,AE389,AF389,AG389,AH389,AI389)=0,"",IF(OR(B389="",E389="",H389="",J389="",K389="",L389="",M389="",O389="",P389="",Q389="",R389="",S389="",T389="",U389="",W389="",X389="",Y389="",AB389="",AC389="",AE389="",AF389=""),"Incompleta: faltan campos obligatorios",IF(AND(LEFT(H389,6)="PROPIA",I389=""),"Falta el nombre de la acción propia del área",IF(AND(LEFT(H389,4)="AC27",IFERROR(INDEX('Catalogos_PDN'!$T$5:$T$207,MATCH(H389,'Catalogos_PDN'!$U$5:$U$207,0)),"x")&lt;&gt;LEFT(E389,7)),"La acción no corresponde a la meta seleccionada",IF(OR(NOT(ISNUMBER(M389)),M389&lt;10000000,M389&gt;99999999),"Código UNSPSC inválido: registre 8 dígitos",IF(MOD(M389,10000)=0,"UNSPSC a nivel de segmento o familia: use clase o producto",IF(IFERROR(MATCH(P389,PN_MESES,0)&lt;MATCH(O389,PN_MESES,0),TRUE()),"El mes de ofertas es anterior al de inicio del proceso",IF(OR(NOT(ISNUMBER(Q389)),Q389&lt;=0),"Duración inválida",IF(OR(NOT(ISNUMBER(W389)),NOT(ISNUMBER(X389))),"Valor inválido: registre solo números",IF(OR(W389&lt;=0,X389&lt;=0),"Valor inválido: debe ser mayor que cero",IF(X389&gt;W389,"El valor de la vigencia 2027 supera el valor total",IF(AND(X389&lt;W389,Y389="No"),"El valor total supera el de 2027: requiere vigencias futuras",IF(AND(Y389="Sí",OR(Z389="",Z389="No aplica")),"Indique el estado de la solicitud de vigencias futuras",IF(IF(AND(S389="Mínima cuantía",ISNUMBER(PN_TOPE_MINIMA)),W389&gt;PN_TOPE_MINIMA,FALSE()),"El valor supera el tope de mínima cuantía 2027",IF(IF(AND(S389="Selección abreviada de menor cuantía",ISNUMBER(PN_TOPE_MENOR)),W389&gt;PN_TOPE_MENOR,FALSE()),"El valor supera el tope de menor cuantía 2027",IF(OR(ISERROR(SEARCH("@itc.edu.co",AE389)),SUMPRODUCT(--ISNUMBER(SEARCH({"á","é","í","ó","ú","ñ"," "},AE389)))&gt;0),"El correo del responsable no es institucional válido",IF(AND(AF389="Sí",AG389=""),"Indique el N.° de registro 2026 que continúa","OK")))))))))))))))))</f>
        <v/>
      </c>
      <c r="AK389" s="114">
        <f>IF(AJ389="OK",COUNTIF($AJ$7:AJ389,"OK"),"")</f>
        <v/>
      </c>
    </row>
    <row r="390">
      <c r="A390" s="110">
        <f>"PN27-"&amp;TEXT(ROW()-6,"000")</f>
        <v/>
      </c>
      <c r="B390" s="111" t="n"/>
      <c r="C390" s="110">
        <f>IF(B390="","",IFERROR(INDEX('Catalogos_PDN'!$R$5:$R$51,MATCH(B390,PN_AREAS,0)),""))</f>
        <v/>
      </c>
      <c r="D390" s="110">
        <f>IF(B390="","",IFERROR(INDEX('Catalogos_PDN'!$O$5:$O$51,MATCH(B390,PN_AREAS,0)),""))</f>
        <v/>
      </c>
      <c r="E390" s="111" t="n"/>
      <c r="F390" s="110">
        <f>IF(E390="","",IFERROR(INDEX('Catalogos_PDN'!$C$5:$C$49,MATCH(E390,PN_METAS,0)),""))</f>
        <v/>
      </c>
      <c r="G390" s="110">
        <f>IF(E390="","",IFERROR(INDEX('Catalogos_PDN'!$E$5:$E$49,MATCH(E390,PN_METAS,0)),""))</f>
        <v/>
      </c>
      <c r="H390" s="111" t="n"/>
      <c r="I390" s="111" t="n"/>
      <c r="J390" s="111" t="n"/>
      <c r="K390" s="111" t="n"/>
      <c r="L390" s="111" t="n"/>
      <c r="M390" s="112" t="n"/>
      <c r="N390" s="111" t="n"/>
      <c r="O390" s="111" t="n"/>
      <c r="P390" s="111" t="n"/>
      <c r="Q390" s="111" t="n"/>
      <c r="R390" s="111" t="n"/>
      <c r="S390" s="111" t="n"/>
      <c r="T390" s="111" t="n"/>
      <c r="U390" s="111" t="n"/>
      <c r="V390" s="111" t="n"/>
      <c r="W390" s="113" t="n"/>
      <c r="X390" s="113" t="n"/>
      <c r="Y390" s="111" t="n"/>
      <c r="Z390" s="111" t="n"/>
      <c r="AA390" s="111" t="n"/>
      <c r="AB390" s="111" t="n"/>
      <c r="AC390" s="111" t="n"/>
      <c r="AD390" s="111" t="n"/>
      <c r="AE390" s="111" t="n"/>
      <c r="AF390" s="111" t="n"/>
      <c r="AG390" s="111" t="n"/>
      <c r="AH390" s="111" t="n"/>
      <c r="AI390" s="111" t="n"/>
      <c r="AJ390" s="114">
        <f>IF(COUNTA(B390,E390,H390,I390,J390,K390,L390,M390,N390,O390,P390,Q390,R390,S390,T390,U390,V390,W390,X390,Y390,Z390,AA390,AB390,AC390,AD390,AE390,AF390,AG390,AH390,AI390)=0,"",IF(OR(B390="",E390="",H390="",J390="",K390="",L390="",M390="",O390="",P390="",Q390="",R390="",S390="",T390="",U390="",W390="",X390="",Y390="",AB390="",AC390="",AE390="",AF390=""),"Incompleta: faltan campos obligatorios",IF(AND(LEFT(H390,6)="PROPIA",I390=""),"Falta el nombre de la acción propia del área",IF(AND(LEFT(H390,4)="AC27",IFERROR(INDEX('Catalogos_PDN'!$T$5:$T$207,MATCH(H390,'Catalogos_PDN'!$U$5:$U$207,0)),"x")&lt;&gt;LEFT(E390,7)),"La acción no corresponde a la meta seleccionada",IF(OR(NOT(ISNUMBER(M390)),M390&lt;10000000,M390&gt;99999999),"Código UNSPSC inválido: registre 8 dígitos",IF(MOD(M390,10000)=0,"UNSPSC a nivel de segmento o familia: use clase o producto",IF(IFERROR(MATCH(P390,PN_MESES,0)&lt;MATCH(O390,PN_MESES,0),TRUE()),"El mes de ofertas es anterior al de inicio del proceso",IF(OR(NOT(ISNUMBER(Q390)),Q390&lt;=0),"Duración inválida",IF(OR(NOT(ISNUMBER(W390)),NOT(ISNUMBER(X390))),"Valor inválido: registre solo números",IF(OR(W390&lt;=0,X390&lt;=0),"Valor inválido: debe ser mayor que cero",IF(X390&gt;W390,"El valor de la vigencia 2027 supera el valor total",IF(AND(X390&lt;W390,Y390="No"),"El valor total supera el de 2027: requiere vigencias futuras",IF(AND(Y390="Sí",OR(Z390="",Z390="No aplica")),"Indique el estado de la solicitud de vigencias futuras",IF(IF(AND(S390="Mínima cuantía",ISNUMBER(PN_TOPE_MINIMA)),W390&gt;PN_TOPE_MINIMA,FALSE()),"El valor supera el tope de mínima cuantía 2027",IF(IF(AND(S390="Selección abreviada de menor cuantía",ISNUMBER(PN_TOPE_MENOR)),W390&gt;PN_TOPE_MENOR,FALSE()),"El valor supera el tope de menor cuantía 2027",IF(OR(ISERROR(SEARCH("@itc.edu.co",AE390)),SUMPRODUCT(--ISNUMBER(SEARCH({"á","é","í","ó","ú","ñ"," "},AE390)))&gt;0),"El correo del responsable no es institucional válido",IF(AND(AF390="Sí",AG390=""),"Indique el N.° de registro 2026 que continúa","OK")))))))))))))))))</f>
        <v/>
      </c>
      <c r="AK390" s="114">
        <f>IF(AJ390="OK",COUNTIF($AJ$7:AJ390,"OK"),"")</f>
        <v/>
      </c>
    </row>
    <row r="391">
      <c r="A391" s="110">
        <f>"PN27-"&amp;TEXT(ROW()-6,"000")</f>
        <v/>
      </c>
      <c r="B391" s="111" t="n"/>
      <c r="C391" s="110">
        <f>IF(B391="","",IFERROR(INDEX('Catalogos_PDN'!$R$5:$R$51,MATCH(B391,PN_AREAS,0)),""))</f>
        <v/>
      </c>
      <c r="D391" s="110">
        <f>IF(B391="","",IFERROR(INDEX('Catalogos_PDN'!$O$5:$O$51,MATCH(B391,PN_AREAS,0)),""))</f>
        <v/>
      </c>
      <c r="E391" s="111" t="n"/>
      <c r="F391" s="110">
        <f>IF(E391="","",IFERROR(INDEX('Catalogos_PDN'!$C$5:$C$49,MATCH(E391,PN_METAS,0)),""))</f>
        <v/>
      </c>
      <c r="G391" s="110">
        <f>IF(E391="","",IFERROR(INDEX('Catalogos_PDN'!$E$5:$E$49,MATCH(E391,PN_METAS,0)),""))</f>
        <v/>
      </c>
      <c r="H391" s="111" t="n"/>
      <c r="I391" s="111" t="n"/>
      <c r="J391" s="111" t="n"/>
      <c r="K391" s="111" t="n"/>
      <c r="L391" s="111" t="n"/>
      <c r="M391" s="112" t="n"/>
      <c r="N391" s="111" t="n"/>
      <c r="O391" s="111" t="n"/>
      <c r="P391" s="111" t="n"/>
      <c r="Q391" s="111" t="n"/>
      <c r="R391" s="111" t="n"/>
      <c r="S391" s="111" t="n"/>
      <c r="T391" s="111" t="n"/>
      <c r="U391" s="111" t="n"/>
      <c r="V391" s="111" t="n"/>
      <c r="W391" s="113" t="n"/>
      <c r="X391" s="113" t="n"/>
      <c r="Y391" s="111" t="n"/>
      <c r="Z391" s="111" t="n"/>
      <c r="AA391" s="111" t="n"/>
      <c r="AB391" s="111" t="n"/>
      <c r="AC391" s="111" t="n"/>
      <c r="AD391" s="111" t="n"/>
      <c r="AE391" s="111" t="n"/>
      <c r="AF391" s="111" t="n"/>
      <c r="AG391" s="111" t="n"/>
      <c r="AH391" s="111" t="n"/>
      <c r="AI391" s="111" t="n"/>
      <c r="AJ391" s="114">
        <f>IF(COUNTA(B391,E391,H391,I391,J391,K391,L391,M391,N391,O391,P391,Q391,R391,S391,T391,U391,V391,W391,X391,Y391,Z391,AA391,AB391,AC391,AD391,AE391,AF391,AG391,AH391,AI391)=0,"",IF(OR(B391="",E391="",H391="",J391="",K391="",L391="",M391="",O391="",P391="",Q391="",R391="",S391="",T391="",U391="",W391="",X391="",Y391="",AB391="",AC391="",AE391="",AF391=""),"Incompleta: faltan campos obligatorios",IF(AND(LEFT(H391,6)="PROPIA",I391=""),"Falta el nombre de la acción propia del área",IF(AND(LEFT(H391,4)="AC27",IFERROR(INDEX('Catalogos_PDN'!$T$5:$T$207,MATCH(H391,'Catalogos_PDN'!$U$5:$U$207,0)),"x")&lt;&gt;LEFT(E391,7)),"La acción no corresponde a la meta seleccionada",IF(OR(NOT(ISNUMBER(M391)),M391&lt;10000000,M391&gt;99999999),"Código UNSPSC inválido: registre 8 dígitos",IF(MOD(M391,10000)=0,"UNSPSC a nivel de segmento o familia: use clase o producto",IF(IFERROR(MATCH(P391,PN_MESES,0)&lt;MATCH(O391,PN_MESES,0),TRUE()),"El mes de ofertas es anterior al de inicio del proceso",IF(OR(NOT(ISNUMBER(Q391)),Q391&lt;=0),"Duración inválida",IF(OR(NOT(ISNUMBER(W391)),NOT(ISNUMBER(X391))),"Valor inválido: registre solo números",IF(OR(W391&lt;=0,X391&lt;=0),"Valor inválido: debe ser mayor que cero",IF(X391&gt;W391,"El valor de la vigencia 2027 supera el valor total",IF(AND(X391&lt;W391,Y391="No"),"El valor total supera el de 2027: requiere vigencias futuras",IF(AND(Y391="Sí",OR(Z391="",Z391="No aplica")),"Indique el estado de la solicitud de vigencias futuras",IF(IF(AND(S391="Mínima cuantía",ISNUMBER(PN_TOPE_MINIMA)),W391&gt;PN_TOPE_MINIMA,FALSE()),"El valor supera el tope de mínima cuantía 2027",IF(IF(AND(S391="Selección abreviada de menor cuantía",ISNUMBER(PN_TOPE_MENOR)),W391&gt;PN_TOPE_MENOR,FALSE()),"El valor supera el tope de menor cuantía 2027",IF(OR(ISERROR(SEARCH("@itc.edu.co",AE391)),SUMPRODUCT(--ISNUMBER(SEARCH({"á","é","í","ó","ú","ñ"," "},AE391)))&gt;0),"El correo del responsable no es institucional válido",IF(AND(AF391="Sí",AG391=""),"Indique el N.° de registro 2026 que continúa","OK")))))))))))))))))</f>
        <v/>
      </c>
      <c r="AK391" s="114">
        <f>IF(AJ391="OK",COUNTIF($AJ$7:AJ391,"OK"),"")</f>
        <v/>
      </c>
    </row>
    <row r="392">
      <c r="A392" s="110">
        <f>"PN27-"&amp;TEXT(ROW()-6,"000")</f>
        <v/>
      </c>
      <c r="B392" s="111" t="n"/>
      <c r="C392" s="110">
        <f>IF(B392="","",IFERROR(INDEX('Catalogos_PDN'!$R$5:$R$51,MATCH(B392,PN_AREAS,0)),""))</f>
        <v/>
      </c>
      <c r="D392" s="110">
        <f>IF(B392="","",IFERROR(INDEX('Catalogos_PDN'!$O$5:$O$51,MATCH(B392,PN_AREAS,0)),""))</f>
        <v/>
      </c>
      <c r="E392" s="111" t="n"/>
      <c r="F392" s="110">
        <f>IF(E392="","",IFERROR(INDEX('Catalogos_PDN'!$C$5:$C$49,MATCH(E392,PN_METAS,0)),""))</f>
        <v/>
      </c>
      <c r="G392" s="110">
        <f>IF(E392="","",IFERROR(INDEX('Catalogos_PDN'!$E$5:$E$49,MATCH(E392,PN_METAS,0)),""))</f>
        <v/>
      </c>
      <c r="H392" s="111" t="n"/>
      <c r="I392" s="111" t="n"/>
      <c r="J392" s="111" t="n"/>
      <c r="K392" s="111" t="n"/>
      <c r="L392" s="111" t="n"/>
      <c r="M392" s="112" t="n"/>
      <c r="N392" s="111" t="n"/>
      <c r="O392" s="111" t="n"/>
      <c r="P392" s="111" t="n"/>
      <c r="Q392" s="111" t="n"/>
      <c r="R392" s="111" t="n"/>
      <c r="S392" s="111" t="n"/>
      <c r="T392" s="111" t="n"/>
      <c r="U392" s="111" t="n"/>
      <c r="V392" s="111" t="n"/>
      <c r="W392" s="113" t="n"/>
      <c r="X392" s="113" t="n"/>
      <c r="Y392" s="111" t="n"/>
      <c r="Z392" s="111" t="n"/>
      <c r="AA392" s="111" t="n"/>
      <c r="AB392" s="111" t="n"/>
      <c r="AC392" s="111" t="n"/>
      <c r="AD392" s="111" t="n"/>
      <c r="AE392" s="111" t="n"/>
      <c r="AF392" s="111" t="n"/>
      <c r="AG392" s="111" t="n"/>
      <c r="AH392" s="111" t="n"/>
      <c r="AI392" s="111" t="n"/>
      <c r="AJ392" s="114">
        <f>IF(COUNTA(B392,E392,H392,I392,J392,K392,L392,M392,N392,O392,P392,Q392,R392,S392,T392,U392,V392,W392,X392,Y392,Z392,AA392,AB392,AC392,AD392,AE392,AF392,AG392,AH392,AI392)=0,"",IF(OR(B392="",E392="",H392="",J392="",K392="",L392="",M392="",O392="",P392="",Q392="",R392="",S392="",T392="",U392="",W392="",X392="",Y392="",AB392="",AC392="",AE392="",AF392=""),"Incompleta: faltan campos obligatorios",IF(AND(LEFT(H392,6)="PROPIA",I392=""),"Falta el nombre de la acción propia del área",IF(AND(LEFT(H392,4)="AC27",IFERROR(INDEX('Catalogos_PDN'!$T$5:$T$207,MATCH(H392,'Catalogos_PDN'!$U$5:$U$207,0)),"x")&lt;&gt;LEFT(E392,7)),"La acción no corresponde a la meta seleccionada",IF(OR(NOT(ISNUMBER(M392)),M392&lt;10000000,M392&gt;99999999),"Código UNSPSC inválido: registre 8 dígitos",IF(MOD(M392,10000)=0,"UNSPSC a nivel de segmento o familia: use clase o producto",IF(IFERROR(MATCH(P392,PN_MESES,0)&lt;MATCH(O392,PN_MESES,0),TRUE()),"El mes de ofertas es anterior al de inicio del proceso",IF(OR(NOT(ISNUMBER(Q392)),Q392&lt;=0),"Duración inválida",IF(OR(NOT(ISNUMBER(W392)),NOT(ISNUMBER(X392))),"Valor inválido: registre solo números",IF(OR(W392&lt;=0,X392&lt;=0),"Valor inválido: debe ser mayor que cero",IF(X392&gt;W392,"El valor de la vigencia 2027 supera el valor total",IF(AND(X392&lt;W392,Y392="No"),"El valor total supera el de 2027: requiere vigencias futuras",IF(AND(Y392="Sí",OR(Z392="",Z392="No aplica")),"Indique el estado de la solicitud de vigencias futuras",IF(IF(AND(S392="Mínima cuantía",ISNUMBER(PN_TOPE_MINIMA)),W392&gt;PN_TOPE_MINIMA,FALSE()),"El valor supera el tope de mínima cuantía 2027",IF(IF(AND(S392="Selección abreviada de menor cuantía",ISNUMBER(PN_TOPE_MENOR)),W392&gt;PN_TOPE_MENOR,FALSE()),"El valor supera el tope de menor cuantía 2027",IF(OR(ISERROR(SEARCH("@itc.edu.co",AE392)),SUMPRODUCT(--ISNUMBER(SEARCH({"á","é","í","ó","ú","ñ"," "},AE392)))&gt;0),"El correo del responsable no es institucional válido",IF(AND(AF392="Sí",AG392=""),"Indique el N.° de registro 2026 que continúa","OK")))))))))))))))))</f>
        <v/>
      </c>
      <c r="AK392" s="114">
        <f>IF(AJ392="OK",COUNTIF($AJ$7:AJ392,"OK"),"")</f>
        <v/>
      </c>
    </row>
    <row r="393">
      <c r="A393" s="110">
        <f>"PN27-"&amp;TEXT(ROW()-6,"000")</f>
        <v/>
      </c>
      <c r="B393" s="111" t="n"/>
      <c r="C393" s="110">
        <f>IF(B393="","",IFERROR(INDEX('Catalogos_PDN'!$R$5:$R$51,MATCH(B393,PN_AREAS,0)),""))</f>
        <v/>
      </c>
      <c r="D393" s="110">
        <f>IF(B393="","",IFERROR(INDEX('Catalogos_PDN'!$O$5:$O$51,MATCH(B393,PN_AREAS,0)),""))</f>
        <v/>
      </c>
      <c r="E393" s="111" t="n"/>
      <c r="F393" s="110">
        <f>IF(E393="","",IFERROR(INDEX('Catalogos_PDN'!$C$5:$C$49,MATCH(E393,PN_METAS,0)),""))</f>
        <v/>
      </c>
      <c r="G393" s="110">
        <f>IF(E393="","",IFERROR(INDEX('Catalogos_PDN'!$E$5:$E$49,MATCH(E393,PN_METAS,0)),""))</f>
        <v/>
      </c>
      <c r="H393" s="111" t="n"/>
      <c r="I393" s="111" t="n"/>
      <c r="J393" s="111" t="n"/>
      <c r="K393" s="111" t="n"/>
      <c r="L393" s="111" t="n"/>
      <c r="M393" s="112" t="n"/>
      <c r="N393" s="111" t="n"/>
      <c r="O393" s="111" t="n"/>
      <c r="P393" s="111" t="n"/>
      <c r="Q393" s="111" t="n"/>
      <c r="R393" s="111" t="n"/>
      <c r="S393" s="111" t="n"/>
      <c r="T393" s="111" t="n"/>
      <c r="U393" s="111" t="n"/>
      <c r="V393" s="111" t="n"/>
      <c r="W393" s="113" t="n"/>
      <c r="X393" s="113" t="n"/>
      <c r="Y393" s="111" t="n"/>
      <c r="Z393" s="111" t="n"/>
      <c r="AA393" s="111" t="n"/>
      <c r="AB393" s="111" t="n"/>
      <c r="AC393" s="111" t="n"/>
      <c r="AD393" s="111" t="n"/>
      <c r="AE393" s="111" t="n"/>
      <c r="AF393" s="111" t="n"/>
      <c r="AG393" s="111" t="n"/>
      <c r="AH393" s="111" t="n"/>
      <c r="AI393" s="111" t="n"/>
      <c r="AJ393" s="114">
        <f>IF(COUNTA(B393,E393,H393,I393,J393,K393,L393,M393,N393,O393,P393,Q393,R393,S393,T393,U393,V393,W393,X393,Y393,Z393,AA393,AB393,AC393,AD393,AE393,AF393,AG393,AH393,AI393)=0,"",IF(OR(B393="",E393="",H393="",J393="",K393="",L393="",M393="",O393="",P393="",Q393="",R393="",S393="",T393="",U393="",W393="",X393="",Y393="",AB393="",AC393="",AE393="",AF393=""),"Incompleta: faltan campos obligatorios",IF(AND(LEFT(H393,6)="PROPIA",I393=""),"Falta el nombre de la acción propia del área",IF(AND(LEFT(H393,4)="AC27",IFERROR(INDEX('Catalogos_PDN'!$T$5:$T$207,MATCH(H393,'Catalogos_PDN'!$U$5:$U$207,0)),"x")&lt;&gt;LEFT(E393,7)),"La acción no corresponde a la meta seleccionada",IF(OR(NOT(ISNUMBER(M393)),M393&lt;10000000,M393&gt;99999999),"Código UNSPSC inválido: registre 8 dígitos",IF(MOD(M393,10000)=0,"UNSPSC a nivel de segmento o familia: use clase o producto",IF(IFERROR(MATCH(P393,PN_MESES,0)&lt;MATCH(O393,PN_MESES,0),TRUE()),"El mes de ofertas es anterior al de inicio del proceso",IF(OR(NOT(ISNUMBER(Q393)),Q393&lt;=0),"Duración inválida",IF(OR(NOT(ISNUMBER(W393)),NOT(ISNUMBER(X393))),"Valor inválido: registre solo números",IF(OR(W393&lt;=0,X393&lt;=0),"Valor inválido: debe ser mayor que cero",IF(X393&gt;W393,"El valor de la vigencia 2027 supera el valor total",IF(AND(X393&lt;W393,Y393="No"),"El valor total supera el de 2027: requiere vigencias futuras",IF(AND(Y393="Sí",OR(Z393="",Z393="No aplica")),"Indique el estado de la solicitud de vigencias futuras",IF(IF(AND(S393="Mínima cuantía",ISNUMBER(PN_TOPE_MINIMA)),W393&gt;PN_TOPE_MINIMA,FALSE()),"El valor supera el tope de mínima cuantía 2027",IF(IF(AND(S393="Selección abreviada de menor cuantía",ISNUMBER(PN_TOPE_MENOR)),W393&gt;PN_TOPE_MENOR,FALSE()),"El valor supera el tope de menor cuantía 2027",IF(OR(ISERROR(SEARCH("@itc.edu.co",AE393)),SUMPRODUCT(--ISNUMBER(SEARCH({"á","é","í","ó","ú","ñ"," "},AE393)))&gt;0),"El correo del responsable no es institucional válido",IF(AND(AF393="Sí",AG393=""),"Indique el N.° de registro 2026 que continúa","OK")))))))))))))))))</f>
        <v/>
      </c>
      <c r="AK393" s="114">
        <f>IF(AJ393="OK",COUNTIF($AJ$7:AJ393,"OK"),"")</f>
        <v/>
      </c>
    </row>
    <row r="394">
      <c r="A394" s="110">
        <f>"PN27-"&amp;TEXT(ROW()-6,"000")</f>
        <v/>
      </c>
      <c r="B394" s="111" t="n"/>
      <c r="C394" s="110">
        <f>IF(B394="","",IFERROR(INDEX('Catalogos_PDN'!$R$5:$R$51,MATCH(B394,PN_AREAS,0)),""))</f>
        <v/>
      </c>
      <c r="D394" s="110">
        <f>IF(B394="","",IFERROR(INDEX('Catalogos_PDN'!$O$5:$O$51,MATCH(B394,PN_AREAS,0)),""))</f>
        <v/>
      </c>
      <c r="E394" s="111" t="n"/>
      <c r="F394" s="110">
        <f>IF(E394="","",IFERROR(INDEX('Catalogos_PDN'!$C$5:$C$49,MATCH(E394,PN_METAS,0)),""))</f>
        <v/>
      </c>
      <c r="G394" s="110">
        <f>IF(E394="","",IFERROR(INDEX('Catalogos_PDN'!$E$5:$E$49,MATCH(E394,PN_METAS,0)),""))</f>
        <v/>
      </c>
      <c r="H394" s="111" t="n"/>
      <c r="I394" s="111" t="n"/>
      <c r="J394" s="111" t="n"/>
      <c r="K394" s="111" t="n"/>
      <c r="L394" s="111" t="n"/>
      <c r="M394" s="112" t="n"/>
      <c r="N394" s="111" t="n"/>
      <c r="O394" s="111" t="n"/>
      <c r="P394" s="111" t="n"/>
      <c r="Q394" s="111" t="n"/>
      <c r="R394" s="111" t="n"/>
      <c r="S394" s="111" t="n"/>
      <c r="T394" s="111" t="n"/>
      <c r="U394" s="111" t="n"/>
      <c r="V394" s="111" t="n"/>
      <c r="W394" s="113" t="n"/>
      <c r="X394" s="113" t="n"/>
      <c r="Y394" s="111" t="n"/>
      <c r="Z394" s="111" t="n"/>
      <c r="AA394" s="111" t="n"/>
      <c r="AB394" s="111" t="n"/>
      <c r="AC394" s="111" t="n"/>
      <c r="AD394" s="111" t="n"/>
      <c r="AE394" s="111" t="n"/>
      <c r="AF394" s="111" t="n"/>
      <c r="AG394" s="111" t="n"/>
      <c r="AH394" s="111" t="n"/>
      <c r="AI394" s="111" t="n"/>
      <c r="AJ394" s="114">
        <f>IF(COUNTA(B394,E394,H394,I394,J394,K394,L394,M394,N394,O394,P394,Q394,R394,S394,T394,U394,V394,W394,X394,Y394,Z394,AA394,AB394,AC394,AD394,AE394,AF394,AG394,AH394,AI394)=0,"",IF(OR(B394="",E394="",H394="",J394="",K394="",L394="",M394="",O394="",P394="",Q394="",R394="",S394="",T394="",U394="",W394="",X394="",Y394="",AB394="",AC394="",AE394="",AF394=""),"Incompleta: faltan campos obligatorios",IF(AND(LEFT(H394,6)="PROPIA",I394=""),"Falta el nombre de la acción propia del área",IF(AND(LEFT(H394,4)="AC27",IFERROR(INDEX('Catalogos_PDN'!$T$5:$T$207,MATCH(H394,'Catalogos_PDN'!$U$5:$U$207,0)),"x")&lt;&gt;LEFT(E394,7)),"La acción no corresponde a la meta seleccionada",IF(OR(NOT(ISNUMBER(M394)),M394&lt;10000000,M394&gt;99999999),"Código UNSPSC inválido: registre 8 dígitos",IF(MOD(M394,10000)=0,"UNSPSC a nivel de segmento o familia: use clase o producto",IF(IFERROR(MATCH(P394,PN_MESES,0)&lt;MATCH(O394,PN_MESES,0),TRUE()),"El mes de ofertas es anterior al de inicio del proceso",IF(OR(NOT(ISNUMBER(Q394)),Q394&lt;=0),"Duración inválida",IF(OR(NOT(ISNUMBER(W394)),NOT(ISNUMBER(X394))),"Valor inválido: registre solo números",IF(OR(W394&lt;=0,X394&lt;=0),"Valor inválido: debe ser mayor que cero",IF(X394&gt;W394,"El valor de la vigencia 2027 supera el valor total",IF(AND(X394&lt;W394,Y394="No"),"El valor total supera el de 2027: requiere vigencias futuras",IF(AND(Y394="Sí",OR(Z394="",Z394="No aplica")),"Indique el estado de la solicitud de vigencias futuras",IF(IF(AND(S394="Mínima cuantía",ISNUMBER(PN_TOPE_MINIMA)),W394&gt;PN_TOPE_MINIMA,FALSE()),"El valor supera el tope de mínima cuantía 2027",IF(IF(AND(S394="Selección abreviada de menor cuantía",ISNUMBER(PN_TOPE_MENOR)),W394&gt;PN_TOPE_MENOR,FALSE()),"El valor supera el tope de menor cuantía 2027",IF(OR(ISERROR(SEARCH("@itc.edu.co",AE394)),SUMPRODUCT(--ISNUMBER(SEARCH({"á","é","í","ó","ú","ñ"," "},AE394)))&gt;0),"El correo del responsable no es institucional válido",IF(AND(AF394="Sí",AG394=""),"Indique el N.° de registro 2026 que continúa","OK")))))))))))))))))</f>
        <v/>
      </c>
      <c r="AK394" s="114">
        <f>IF(AJ394="OK",COUNTIF($AJ$7:AJ394,"OK"),"")</f>
        <v/>
      </c>
    </row>
    <row r="395">
      <c r="A395" s="110">
        <f>"PN27-"&amp;TEXT(ROW()-6,"000")</f>
        <v/>
      </c>
      <c r="B395" s="111" t="n"/>
      <c r="C395" s="110">
        <f>IF(B395="","",IFERROR(INDEX('Catalogos_PDN'!$R$5:$R$51,MATCH(B395,PN_AREAS,0)),""))</f>
        <v/>
      </c>
      <c r="D395" s="110">
        <f>IF(B395="","",IFERROR(INDEX('Catalogos_PDN'!$O$5:$O$51,MATCH(B395,PN_AREAS,0)),""))</f>
        <v/>
      </c>
      <c r="E395" s="111" t="n"/>
      <c r="F395" s="110">
        <f>IF(E395="","",IFERROR(INDEX('Catalogos_PDN'!$C$5:$C$49,MATCH(E395,PN_METAS,0)),""))</f>
        <v/>
      </c>
      <c r="G395" s="110">
        <f>IF(E395="","",IFERROR(INDEX('Catalogos_PDN'!$E$5:$E$49,MATCH(E395,PN_METAS,0)),""))</f>
        <v/>
      </c>
      <c r="H395" s="111" t="n"/>
      <c r="I395" s="111" t="n"/>
      <c r="J395" s="111" t="n"/>
      <c r="K395" s="111" t="n"/>
      <c r="L395" s="111" t="n"/>
      <c r="M395" s="112" t="n"/>
      <c r="N395" s="111" t="n"/>
      <c r="O395" s="111" t="n"/>
      <c r="P395" s="111" t="n"/>
      <c r="Q395" s="111" t="n"/>
      <c r="R395" s="111" t="n"/>
      <c r="S395" s="111" t="n"/>
      <c r="T395" s="111" t="n"/>
      <c r="U395" s="111" t="n"/>
      <c r="V395" s="111" t="n"/>
      <c r="W395" s="113" t="n"/>
      <c r="X395" s="113" t="n"/>
      <c r="Y395" s="111" t="n"/>
      <c r="Z395" s="111" t="n"/>
      <c r="AA395" s="111" t="n"/>
      <c r="AB395" s="111" t="n"/>
      <c r="AC395" s="111" t="n"/>
      <c r="AD395" s="111" t="n"/>
      <c r="AE395" s="111" t="n"/>
      <c r="AF395" s="111" t="n"/>
      <c r="AG395" s="111" t="n"/>
      <c r="AH395" s="111" t="n"/>
      <c r="AI395" s="111" t="n"/>
      <c r="AJ395" s="114">
        <f>IF(COUNTA(B395,E395,H395,I395,J395,K395,L395,M395,N395,O395,P395,Q395,R395,S395,T395,U395,V395,W395,X395,Y395,Z395,AA395,AB395,AC395,AD395,AE395,AF395,AG395,AH395,AI395)=0,"",IF(OR(B395="",E395="",H395="",J395="",K395="",L395="",M395="",O395="",P395="",Q395="",R395="",S395="",T395="",U395="",W395="",X395="",Y395="",AB395="",AC395="",AE395="",AF395=""),"Incompleta: faltan campos obligatorios",IF(AND(LEFT(H395,6)="PROPIA",I395=""),"Falta el nombre de la acción propia del área",IF(AND(LEFT(H395,4)="AC27",IFERROR(INDEX('Catalogos_PDN'!$T$5:$T$207,MATCH(H395,'Catalogos_PDN'!$U$5:$U$207,0)),"x")&lt;&gt;LEFT(E395,7)),"La acción no corresponde a la meta seleccionada",IF(OR(NOT(ISNUMBER(M395)),M395&lt;10000000,M395&gt;99999999),"Código UNSPSC inválido: registre 8 dígitos",IF(MOD(M395,10000)=0,"UNSPSC a nivel de segmento o familia: use clase o producto",IF(IFERROR(MATCH(P395,PN_MESES,0)&lt;MATCH(O395,PN_MESES,0),TRUE()),"El mes de ofertas es anterior al de inicio del proceso",IF(OR(NOT(ISNUMBER(Q395)),Q395&lt;=0),"Duración inválida",IF(OR(NOT(ISNUMBER(W395)),NOT(ISNUMBER(X395))),"Valor inválido: registre solo números",IF(OR(W395&lt;=0,X395&lt;=0),"Valor inválido: debe ser mayor que cero",IF(X395&gt;W395,"El valor de la vigencia 2027 supera el valor total",IF(AND(X395&lt;W395,Y395="No"),"El valor total supera el de 2027: requiere vigencias futuras",IF(AND(Y395="Sí",OR(Z395="",Z395="No aplica")),"Indique el estado de la solicitud de vigencias futuras",IF(IF(AND(S395="Mínima cuantía",ISNUMBER(PN_TOPE_MINIMA)),W395&gt;PN_TOPE_MINIMA,FALSE()),"El valor supera el tope de mínima cuantía 2027",IF(IF(AND(S395="Selección abreviada de menor cuantía",ISNUMBER(PN_TOPE_MENOR)),W395&gt;PN_TOPE_MENOR,FALSE()),"El valor supera el tope de menor cuantía 2027",IF(OR(ISERROR(SEARCH("@itc.edu.co",AE395)),SUMPRODUCT(--ISNUMBER(SEARCH({"á","é","í","ó","ú","ñ"," "},AE395)))&gt;0),"El correo del responsable no es institucional válido",IF(AND(AF395="Sí",AG395=""),"Indique el N.° de registro 2026 que continúa","OK")))))))))))))))))</f>
        <v/>
      </c>
      <c r="AK395" s="114">
        <f>IF(AJ395="OK",COUNTIF($AJ$7:AJ395,"OK"),"")</f>
        <v/>
      </c>
    </row>
    <row r="396">
      <c r="A396" s="110">
        <f>"PN27-"&amp;TEXT(ROW()-6,"000")</f>
        <v/>
      </c>
      <c r="B396" s="111" t="n"/>
      <c r="C396" s="110">
        <f>IF(B396="","",IFERROR(INDEX('Catalogos_PDN'!$R$5:$R$51,MATCH(B396,PN_AREAS,0)),""))</f>
        <v/>
      </c>
      <c r="D396" s="110">
        <f>IF(B396="","",IFERROR(INDEX('Catalogos_PDN'!$O$5:$O$51,MATCH(B396,PN_AREAS,0)),""))</f>
        <v/>
      </c>
      <c r="E396" s="111" t="n"/>
      <c r="F396" s="110">
        <f>IF(E396="","",IFERROR(INDEX('Catalogos_PDN'!$C$5:$C$49,MATCH(E396,PN_METAS,0)),""))</f>
        <v/>
      </c>
      <c r="G396" s="110">
        <f>IF(E396="","",IFERROR(INDEX('Catalogos_PDN'!$E$5:$E$49,MATCH(E396,PN_METAS,0)),""))</f>
        <v/>
      </c>
      <c r="H396" s="111" t="n"/>
      <c r="I396" s="111" t="n"/>
      <c r="J396" s="111" t="n"/>
      <c r="K396" s="111" t="n"/>
      <c r="L396" s="111" t="n"/>
      <c r="M396" s="112" t="n"/>
      <c r="N396" s="111" t="n"/>
      <c r="O396" s="111" t="n"/>
      <c r="P396" s="111" t="n"/>
      <c r="Q396" s="111" t="n"/>
      <c r="R396" s="111" t="n"/>
      <c r="S396" s="111" t="n"/>
      <c r="T396" s="111" t="n"/>
      <c r="U396" s="111" t="n"/>
      <c r="V396" s="111" t="n"/>
      <c r="W396" s="113" t="n"/>
      <c r="X396" s="113" t="n"/>
      <c r="Y396" s="111" t="n"/>
      <c r="Z396" s="111" t="n"/>
      <c r="AA396" s="111" t="n"/>
      <c r="AB396" s="111" t="n"/>
      <c r="AC396" s="111" t="n"/>
      <c r="AD396" s="111" t="n"/>
      <c r="AE396" s="111" t="n"/>
      <c r="AF396" s="111" t="n"/>
      <c r="AG396" s="111" t="n"/>
      <c r="AH396" s="111" t="n"/>
      <c r="AI396" s="111" t="n"/>
      <c r="AJ396" s="114">
        <f>IF(COUNTA(B396,E396,H396,I396,J396,K396,L396,M396,N396,O396,P396,Q396,R396,S396,T396,U396,V396,W396,X396,Y396,Z396,AA396,AB396,AC396,AD396,AE396,AF396,AG396,AH396,AI396)=0,"",IF(OR(B396="",E396="",H396="",J396="",K396="",L396="",M396="",O396="",P396="",Q396="",R396="",S396="",T396="",U396="",W396="",X396="",Y396="",AB396="",AC396="",AE396="",AF396=""),"Incompleta: faltan campos obligatorios",IF(AND(LEFT(H396,6)="PROPIA",I396=""),"Falta el nombre de la acción propia del área",IF(AND(LEFT(H396,4)="AC27",IFERROR(INDEX('Catalogos_PDN'!$T$5:$T$207,MATCH(H396,'Catalogos_PDN'!$U$5:$U$207,0)),"x")&lt;&gt;LEFT(E396,7)),"La acción no corresponde a la meta seleccionada",IF(OR(NOT(ISNUMBER(M396)),M396&lt;10000000,M396&gt;99999999),"Código UNSPSC inválido: registre 8 dígitos",IF(MOD(M396,10000)=0,"UNSPSC a nivel de segmento o familia: use clase o producto",IF(IFERROR(MATCH(P396,PN_MESES,0)&lt;MATCH(O396,PN_MESES,0),TRUE()),"El mes de ofertas es anterior al de inicio del proceso",IF(OR(NOT(ISNUMBER(Q396)),Q396&lt;=0),"Duración inválida",IF(OR(NOT(ISNUMBER(W396)),NOT(ISNUMBER(X396))),"Valor inválido: registre solo números",IF(OR(W396&lt;=0,X396&lt;=0),"Valor inválido: debe ser mayor que cero",IF(X396&gt;W396,"El valor de la vigencia 2027 supera el valor total",IF(AND(X396&lt;W396,Y396="No"),"El valor total supera el de 2027: requiere vigencias futuras",IF(AND(Y396="Sí",OR(Z396="",Z396="No aplica")),"Indique el estado de la solicitud de vigencias futuras",IF(IF(AND(S396="Mínima cuantía",ISNUMBER(PN_TOPE_MINIMA)),W396&gt;PN_TOPE_MINIMA,FALSE()),"El valor supera el tope de mínima cuantía 2027",IF(IF(AND(S396="Selección abreviada de menor cuantía",ISNUMBER(PN_TOPE_MENOR)),W396&gt;PN_TOPE_MENOR,FALSE()),"El valor supera el tope de menor cuantía 2027",IF(OR(ISERROR(SEARCH("@itc.edu.co",AE396)),SUMPRODUCT(--ISNUMBER(SEARCH({"á","é","í","ó","ú","ñ"," "},AE396)))&gt;0),"El correo del responsable no es institucional válido",IF(AND(AF396="Sí",AG396=""),"Indique el N.° de registro 2026 que continúa","OK")))))))))))))))))</f>
        <v/>
      </c>
      <c r="AK396" s="114">
        <f>IF(AJ396="OK",COUNTIF($AJ$7:AJ396,"OK"),"")</f>
        <v/>
      </c>
    </row>
    <row r="397">
      <c r="A397" s="110">
        <f>"PN27-"&amp;TEXT(ROW()-6,"000")</f>
        <v/>
      </c>
      <c r="B397" s="111" t="n"/>
      <c r="C397" s="110">
        <f>IF(B397="","",IFERROR(INDEX('Catalogos_PDN'!$R$5:$R$51,MATCH(B397,PN_AREAS,0)),""))</f>
        <v/>
      </c>
      <c r="D397" s="110">
        <f>IF(B397="","",IFERROR(INDEX('Catalogos_PDN'!$O$5:$O$51,MATCH(B397,PN_AREAS,0)),""))</f>
        <v/>
      </c>
      <c r="E397" s="111" t="n"/>
      <c r="F397" s="110">
        <f>IF(E397="","",IFERROR(INDEX('Catalogos_PDN'!$C$5:$C$49,MATCH(E397,PN_METAS,0)),""))</f>
        <v/>
      </c>
      <c r="G397" s="110">
        <f>IF(E397="","",IFERROR(INDEX('Catalogos_PDN'!$E$5:$E$49,MATCH(E397,PN_METAS,0)),""))</f>
        <v/>
      </c>
      <c r="H397" s="111" t="n"/>
      <c r="I397" s="111" t="n"/>
      <c r="J397" s="111" t="n"/>
      <c r="K397" s="111" t="n"/>
      <c r="L397" s="111" t="n"/>
      <c r="M397" s="112" t="n"/>
      <c r="N397" s="111" t="n"/>
      <c r="O397" s="111" t="n"/>
      <c r="P397" s="111" t="n"/>
      <c r="Q397" s="111" t="n"/>
      <c r="R397" s="111" t="n"/>
      <c r="S397" s="111" t="n"/>
      <c r="T397" s="111" t="n"/>
      <c r="U397" s="111" t="n"/>
      <c r="V397" s="111" t="n"/>
      <c r="W397" s="113" t="n"/>
      <c r="X397" s="113" t="n"/>
      <c r="Y397" s="111" t="n"/>
      <c r="Z397" s="111" t="n"/>
      <c r="AA397" s="111" t="n"/>
      <c r="AB397" s="111" t="n"/>
      <c r="AC397" s="111" t="n"/>
      <c r="AD397" s="111" t="n"/>
      <c r="AE397" s="111" t="n"/>
      <c r="AF397" s="111" t="n"/>
      <c r="AG397" s="111" t="n"/>
      <c r="AH397" s="111" t="n"/>
      <c r="AI397" s="111" t="n"/>
      <c r="AJ397" s="114">
        <f>IF(COUNTA(B397,E397,H397,I397,J397,K397,L397,M397,N397,O397,P397,Q397,R397,S397,T397,U397,V397,W397,X397,Y397,Z397,AA397,AB397,AC397,AD397,AE397,AF397,AG397,AH397,AI397)=0,"",IF(OR(B397="",E397="",H397="",J397="",K397="",L397="",M397="",O397="",P397="",Q397="",R397="",S397="",T397="",U397="",W397="",X397="",Y397="",AB397="",AC397="",AE397="",AF397=""),"Incompleta: faltan campos obligatorios",IF(AND(LEFT(H397,6)="PROPIA",I397=""),"Falta el nombre de la acción propia del área",IF(AND(LEFT(H397,4)="AC27",IFERROR(INDEX('Catalogos_PDN'!$T$5:$T$207,MATCH(H397,'Catalogos_PDN'!$U$5:$U$207,0)),"x")&lt;&gt;LEFT(E397,7)),"La acción no corresponde a la meta seleccionada",IF(OR(NOT(ISNUMBER(M397)),M397&lt;10000000,M397&gt;99999999),"Código UNSPSC inválido: registre 8 dígitos",IF(MOD(M397,10000)=0,"UNSPSC a nivel de segmento o familia: use clase o producto",IF(IFERROR(MATCH(P397,PN_MESES,0)&lt;MATCH(O397,PN_MESES,0),TRUE()),"El mes de ofertas es anterior al de inicio del proceso",IF(OR(NOT(ISNUMBER(Q397)),Q397&lt;=0),"Duración inválida",IF(OR(NOT(ISNUMBER(W397)),NOT(ISNUMBER(X397))),"Valor inválido: registre solo números",IF(OR(W397&lt;=0,X397&lt;=0),"Valor inválido: debe ser mayor que cero",IF(X397&gt;W397,"El valor de la vigencia 2027 supera el valor total",IF(AND(X397&lt;W397,Y397="No"),"El valor total supera el de 2027: requiere vigencias futuras",IF(AND(Y397="Sí",OR(Z397="",Z397="No aplica")),"Indique el estado de la solicitud de vigencias futuras",IF(IF(AND(S397="Mínima cuantía",ISNUMBER(PN_TOPE_MINIMA)),W397&gt;PN_TOPE_MINIMA,FALSE()),"El valor supera el tope de mínima cuantía 2027",IF(IF(AND(S397="Selección abreviada de menor cuantía",ISNUMBER(PN_TOPE_MENOR)),W397&gt;PN_TOPE_MENOR,FALSE()),"El valor supera el tope de menor cuantía 2027",IF(OR(ISERROR(SEARCH("@itc.edu.co",AE397)),SUMPRODUCT(--ISNUMBER(SEARCH({"á","é","í","ó","ú","ñ"," "},AE397)))&gt;0),"El correo del responsable no es institucional válido",IF(AND(AF397="Sí",AG397=""),"Indique el N.° de registro 2026 que continúa","OK")))))))))))))))))</f>
        <v/>
      </c>
      <c r="AK397" s="114">
        <f>IF(AJ397="OK",COUNTIF($AJ$7:AJ397,"OK"),"")</f>
        <v/>
      </c>
    </row>
    <row r="398">
      <c r="A398" s="110">
        <f>"PN27-"&amp;TEXT(ROW()-6,"000")</f>
        <v/>
      </c>
      <c r="B398" s="111" t="n"/>
      <c r="C398" s="110">
        <f>IF(B398="","",IFERROR(INDEX('Catalogos_PDN'!$R$5:$R$51,MATCH(B398,PN_AREAS,0)),""))</f>
        <v/>
      </c>
      <c r="D398" s="110">
        <f>IF(B398="","",IFERROR(INDEX('Catalogos_PDN'!$O$5:$O$51,MATCH(B398,PN_AREAS,0)),""))</f>
        <v/>
      </c>
      <c r="E398" s="111" t="n"/>
      <c r="F398" s="110">
        <f>IF(E398="","",IFERROR(INDEX('Catalogos_PDN'!$C$5:$C$49,MATCH(E398,PN_METAS,0)),""))</f>
        <v/>
      </c>
      <c r="G398" s="110">
        <f>IF(E398="","",IFERROR(INDEX('Catalogos_PDN'!$E$5:$E$49,MATCH(E398,PN_METAS,0)),""))</f>
        <v/>
      </c>
      <c r="H398" s="111" t="n"/>
      <c r="I398" s="111" t="n"/>
      <c r="J398" s="111" t="n"/>
      <c r="K398" s="111" t="n"/>
      <c r="L398" s="111" t="n"/>
      <c r="M398" s="112" t="n"/>
      <c r="N398" s="111" t="n"/>
      <c r="O398" s="111" t="n"/>
      <c r="P398" s="111" t="n"/>
      <c r="Q398" s="111" t="n"/>
      <c r="R398" s="111" t="n"/>
      <c r="S398" s="111" t="n"/>
      <c r="T398" s="111" t="n"/>
      <c r="U398" s="111" t="n"/>
      <c r="V398" s="111" t="n"/>
      <c r="W398" s="113" t="n"/>
      <c r="X398" s="113" t="n"/>
      <c r="Y398" s="111" t="n"/>
      <c r="Z398" s="111" t="n"/>
      <c r="AA398" s="111" t="n"/>
      <c r="AB398" s="111" t="n"/>
      <c r="AC398" s="111" t="n"/>
      <c r="AD398" s="111" t="n"/>
      <c r="AE398" s="111" t="n"/>
      <c r="AF398" s="111" t="n"/>
      <c r="AG398" s="111" t="n"/>
      <c r="AH398" s="111" t="n"/>
      <c r="AI398" s="111" t="n"/>
      <c r="AJ398" s="114">
        <f>IF(COUNTA(B398,E398,H398,I398,J398,K398,L398,M398,N398,O398,P398,Q398,R398,S398,T398,U398,V398,W398,X398,Y398,Z398,AA398,AB398,AC398,AD398,AE398,AF398,AG398,AH398,AI398)=0,"",IF(OR(B398="",E398="",H398="",J398="",K398="",L398="",M398="",O398="",P398="",Q398="",R398="",S398="",T398="",U398="",W398="",X398="",Y398="",AB398="",AC398="",AE398="",AF398=""),"Incompleta: faltan campos obligatorios",IF(AND(LEFT(H398,6)="PROPIA",I398=""),"Falta el nombre de la acción propia del área",IF(AND(LEFT(H398,4)="AC27",IFERROR(INDEX('Catalogos_PDN'!$T$5:$T$207,MATCH(H398,'Catalogos_PDN'!$U$5:$U$207,0)),"x")&lt;&gt;LEFT(E398,7)),"La acción no corresponde a la meta seleccionada",IF(OR(NOT(ISNUMBER(M398)),M398&lt;10000000,M398&gt;99999999),"Código UNSPSC inválido: registre 8 dígitos",IF(MOD(M398,10000)=0,"UNSPSC a nivel de segmento o familia: use clase o producto",IF(IFERROR(MATCH(P398,PN_MESES,0)&lt;MATCH(O398,PN_MESES,0),TRUE()),"El mes de ofertas es anterior al de inicio del proceso",IF(OR(NOT(ISNUMBER(Q398)),Q398&lt;=0),"Duración inválida",IF(OR(NOT(ISNUMBER(W398)),NOT(ISNUMBER(X398))),"Valor inválido: registre solo números",IF(OR(W398&lt;=0,X398&lt;=0),"Valor inválido: debe ser mayor que cero",IF(X398&gt;W398,"El valor de la vigencia 2027 supera el valor total",IF(AND(X398&lt;W398,Y398="No"),"El valor total supera el de 2027: requiere vigencias futuras",IF(AND(Y398="Sí",OR(Z398="",Z398="No aplica")),"Indique el estado de la solicitud de vigencias futuras",IF(IF(AND(S398="Mínima cuantía",ISNUMBER(PN_TOPE_MINIMA)),W398&gt;PN_TOPE_MINIMA,FALSE()),"El valor supera el tope de mínima cuantía 2027",IF(IF(AND(S398="Selección abreviada de menor cuantía",ISNUMBER(PN_TOPE_MENOR)),W398&gt;PN_TOPE_MENOR,FALSE()),"El valor supera el tope de menor cuantía 2027",IF(OR(ISERROR(SEARCH("@itc.edu.co",AE398)),SUMPRODUCT(--ISNUMBER(SEARCH({"á","é","í","ó","ú","ñ"," "},AE398)))&gt;0),"El correo del responsable no es institucional válido",IF(AND(AF398="Sí",AG398=""),"Indique el N.° de registro 2026 que continúa","OK")))))))))))))))))</f>
        <v/>
      </c>
      <c r="AK398" s="114">
        <f>IF(AJ398="OK",COUNTIF($AJ$7:AJ398,"OK"),"")</f>
        <v/>
      </c>
    </row>
    <row r="399">
      <c r="A399" s="110">
        <f>"PN27-"&amp;TEXT(ROW()-6,"000")</f>
        <v/>
      </c>
      <c r="B399" s="111" t="n"/>
      <c r="C399" s="110">
        <f>IF(B399="","",IFERROR(INDEX('Catalogos_PDN'!$R$5:$R$51,MATCH(B399,PN_AREAS,0)),""))</f>
        <v/>
      </c>
      <c r="D399" s="110">
        <f>IF(B399="","",IFERROR(INDEX('Catalogos_PDN'!$O$5:$O$51,MATCH(B399,PN_AREAS,0)),""))</f>
        <v/>
      </c>
      <c r="E399" s="111" t="n"/>
      <c r="F399" s="110">
        <f>IF(E399="","",IFERROR(INDEX('Catalogos_PDN'!$C$5:$C$49,MATCH(E399,PN_METAS,0)),""))</f>
        <v/>
      </c>
      <c r="G399" s="110">
        <f>IF(E399="","",IFERROR(INDEX('Catalogos_PDN'!$E$5:$E$49,MATCH(E399,PN_METAS,0)),""))</f>
        <v/>
      </c>
      <c r="H399" s="111" t="n"/>
      <c r="I399" s="111" t="n"/>
      <c r="J399" s="111" t="n"/>
      <c r="K399" s="111" t="n"/>
      <c r="L399" s="111" t="n"/>
      <c r="M399" s="112" t="n"/>
      <c r="N399" s="111" t="n"/>
      <c r="O399" s="111" t="n"/>
      <c r="P399" s="111" t="n"/>
      <c r="Q399" s="111" t="n"/>
      <c r="R399" s="111" t="n"/>
      <c r="S399" s="111" t="n"/>
      <c r="T399" s="111" t="n"/>
      <c r="U399" s="111" t="n"/>
      <c r="V399" s="111" t="n"/>
      <c r="W399" s="113" t="n"/>
      <c r="X399" s="113" t="n"/>
      <c r="Y399" s="111" t="n"/>
      <c r="Z399" s="111" t="n"/>
      <c r="AA399" s="111" t="n"/>
      <c r="AB399" s="111" t="n"/>
      <c r="AC399" s="111" t="n"/>
      <c r="AD399" s="111" t="n"/>
      <c r="AE399" s="111" t="n"/>
      <c r="AF399" s="111" t="n"/>
      <c r="AG399" s="111" t="n"/>
      <c r="AH399" s="111" t="n"/>
      <c r="AI399" s="111" t="n"/>
      <c r="AJ399" s="114">
        <f>IF(COUNTA(B399,E399,H399,I399,J399,K399,L399,M399,N399,O399,P399,Q399,R399,S399,T399,U399,V399,W399,X399,Y399,Z399,AA399,AB399,AC399,AD399,AE399,AF399,AG399,AH399,AI399)=0,"",IF(OR(B399="",E399="",H399="",J399="",K399="",L399="",M399="",O399="",P399="",Q399="",R399="",S399="",T399="",U399="",W399="",X399="",Y399="",AB399="",AC399="",AE399="",AF399=""),"Incompleta: faltan campos obligatorios",IF(AND(LEFT(H399,6)="PROPIA",I399=""),"Falta el nombre de la acción propia del área",IF(AND(LEFT(H399,4)="AC27",IFERROR(INDEX('Catalogos_PDN'!$T$5:$T$207,MATCH(H399,'Catalogos_PDN'!$U$5:$U$207,0)),"x")&lt;&gt;LEFT(E399,7)),"La acción no corresponde a la meta seleccionada",IF(OR(NOT(ISNUMBER(M399)),M399&lt;10000000,M399&gt;99999999),"Código UNSPSC inválido: registre 8 dígitos",IF(MOD(M399,10000)=0,"UNSPSC a nivel de segmento o familia: use clase o producto",IF(IFERROR(MATCH(P399,PN_MESES,0)&lt;MATCH(O399,PN_MESES,0),TRUE()),"El mes de ofertas es anterior al de inicio del proceso",IF(OR(NOT(ISNUMBER(Q399)),Q399&lt;=0),"Duración inválida",IF(OR(NOT(ISNUMBER(W399)),NOT(ISNUMBER(X399))),"Valor inválido: registre solo números",IF(OR(W399&lt;=0,X399&lt;=0),"Valor inválido: debe ser mayor que cero",IF(X399&gt;W399,"El valor de la vigencia 2027 supera el valor total",IF(AND(X399&lt;W399,Y399="No"),"El valor total supera el de 2027: requiere vigencias futuras",IF(AND(Y399="Sí",OR(Z399="",Z399="No aplica")),"Indique el estado de la solicitud de vigencias futuras",IF(IF(AND(S399="Mínima cuantía",ISNUMBER(PN_TOPE_MINIMA)),W399&gt;PN_TOPE_MINIMA,FALSE()),"El valor supera el tope de mínima cuantía 2027",IF(IF(AND(S399="Selección abreviada de menor cuantía",ISNUMBER(PN_TOPE_MENOR)),W399&gt;PN_TOPE_MENOR,FALSE()),"El valor supera el tope de menor cuantía 2027",IF(OR(ISERROR(SEARCH("@itc.edu.co",AE399)),SUMPRODUCT(--ISNUMBER(SEARCH({"á","é","í","ó","ú","ñ"," "},AE399)))&gt;0),"El correo del responsable no es institucional válido",IF(AND(AF399="Sí",AG399=""),"Indique el N.° de registro 2026 que continúa","OK")))))))))))))))))</f>
        <v/>
      </c>
      <c r="AK399" s="114">
        <f>IF(AJ399="OK",COUNTIF($AJ$7:AJ399,"OK"),"")</f>
        <v/>
      </c>
    </row>
    <row r="400">
      <c r="A400" s="110">
        <f>"PN27-"&amp;TEXT(ROW()-6,"000")</f>
        <v/>
      </c>
      <c r="B400" s="111" t="n"/>
      <c r="C400" s="110">
        <f>IF(B400="","",IFERROR(INDEX('Catalogos_PDN'!$R$5:$R$51,MATCH(B400,PN_AREAS,0)),""))</f>
        <v/>
      </c>
      <c r="D400" s="110">
        <f>IF(B400="","",IFERROR(INDEX('Catalogos_PDN'!$O$5:$O$51,MATCH(B400,PN_AREAS,0)),""))</f>
        <v/>
      </c>
      <c r="E400" s="111" t="n"/>
      <c r="F400" s="110">
        <f>IF(E400="","",IFERROR(INDEX('Catalogos_PDN'!$C$5:$C$49,MATCH(E400,PN_METAS,0)),""))</f>
        <v/>
      </c>
      <c r="G400" s="110">
        <f>IF(E400="","",IFERROR(INDEX('Catalogos_PDN'!$E$5:$E$49,MATCH(E400,PN_METAS,0)),""))</f>
        <v/>
      </c>
      <c r="H400" s="111" t="n"/>
      <c r="I400" s="111" t="n"/>
      <c r="J400" s="111" t="n"/>
      <c r="K400" s="111" t="n"/>
      <c r="L400" s="111" t="n"/>
      <c r="M400" s="112" t="n"/>
      <c r="N400" s="111" t="n"/>
      <c r="O400" s="111" t="n"/>
      <c r="P400" s="111" t="n"/>
      <c r="Q400" s="111" t="n"/>
      <c r="R400" s="111" t="n"/>
      <c r="S400" s="111" t="n"/>
      <c r="T400" s="111" t="n"/>
      <c r="U400" s="111" t="n"/>
      <c r="V400" s="111" t="n"/>
      <c r="W400" s="113" t="n"/>
      <c r="X400" s="113" t="n"/>
      <c r="Y400" s="111" t="n"/>
      <c r="Z400" s="111" t="n"/>
      <c r="AA400" s="111" t="n"/>
      <c r="AB400" s="111" t="n"/>
      <c r="AC400" s="111" t="n"/>
      <c r="AD400" s="111" t="n"/>
      <c r="AE400" s="111" t="n"/>
      <c r="AF400" s="111" t="n"/>
      <c r="AG400" s="111" t="n"/>
      <c r="AH400" s="111" t="n"/>
      <c r="AI400" s="111" t="n"/>
      <c r="AJ400" s="114">
        <f>IF(COUNTA(B400,E400,H400,I400,J400,K400,L400,M400,N400,O400,P400,Q400,R400,S400,T400,U400,V400,W400,X400,Y400,Z400,AA400,AB400,AC400,AD400,AE400,AF400,AG400,AH400,AI400)=0,"",IF(OR(B400="",E400="",H400="",J400="",K400="",L400="",M400="",O400="",P400="",Q400="",R400="",S400="",T400="",U400="",W400="",X400="",Y400="",AB400="",AC400="",AE400="",AF400=""),"Incompleta: faltan campos obligatorios",IF(AND(LEFT(H400,6)="PROPIA",I400=""),"Falta el nombre de la acción propia del área",IF(AND(LEFT(H400,4)="AC27",IFERROR(INDEX('Catalogos_PDN'!$T$5:$T$207,MATCH(H400,'Catalogos_PDN'!$U$5:$U$207,0)),"x")&lt;&gt;LEFT(E400,7)),"La acción no corresponde a la meta seleccionada",IF(OR(NOT(ISNUMBER(M400)),M400&lt;10000000,M400&gt;99999999),"Código UNSPSC inválido: registre 8 dígitos",IF(MOD(M400,10000)=0,"UNSPSC a nivel de segmento o familia: use clase o producto",IF(IFERROR(MATCH(P400,PN_MESES,0)&lt;MATCH(O400,PN_MESES,0),TRUE()),"El mes de ofertas es anterior al de inicio del proceso",IF(OR(NOT(ISNUMBER(Q400)),Q400&lt;=0),"Duración inválida",IF(OR(NOT(ISNUMBER(W400)),NOT(ISNUMBER(X400))),"Valor inválido: registre solo números",IF(OR(W400&lt;=0,X400&lt;=0),"Valor inválido: debe ser mayor que cero",IF(X400&gt;W400,"El valor de la vigencia 2027 supera el valor total",IF(AND(X400&lt;W400,Y400="No"),"El valor total supera el de 2027: requiere vigencias futuras",IF(AND(Y400="Sí",OR(Z400="",Z400="No aplica")),"Indique el estado de la solicitud de vigencias futuras",IF(IF(AND(S400="Mínima cuantía",ISNUMBER(PN_TOPE_MINIMA)),W400&gt;PN_TOPE_MINIMA,FALSE()),"El valor supera el tope de mínima cuantía 2027",IF(IF(AND(S400="Selección abreviada de menor cuantía",ISNUMBER(PN_TOPE_MENOR)),W400&gt;PN_TOPE_MENOR,FALSE()),"El valor supera el tope de menor cuantía 2027",IF(OR(ISERROR(SEARCH("@itc.edu.co",AE400)),SUMPRODUCT(--ISNUMBER(SEARCH({"á","é","í","ó","ú","ñ"," "},AE400)))&gt;0),"El correo del responsable no es institucional válido",IF(AND(AF400="Sí",AG400=""),"Indique el N.° de registro 2026 que continúa","OK")))))))))))))))))</f>
        <v/>
      </c>
      <c r="AK400" s="114">
        <f>IF(AJ400="OK",COUNTIF($AJ$7:AJ400,"OK"),"")</f>
        <v/>
      </c>
    </row>
    <row r="401">
      <c r="A401" s="110">
        <f>"PN27-"&amp;TEXT(ROW()-6,"000")</f>
        <v/>
      </c>
      <c r="B401" s="111" t="n"/>
      <c r="C401" s="110">
        <f>IF(B401="","",IFERROR(INDEX('Catalogos_PDN'!$R$5:$R$51,MATCH(B401,PN_AREAS,0)),""))</f>
        <v/>
      </c>
      <c r="D401" s="110">
        <f>IF(B401="","",IFERROR(INDEX('Catalogos_PDN'!$O$5:$O$51,MATCH(B401,PN_AREAS,0)),""))</f>
        <v/>
      </c>
      <c r="E401" s="111" t="n"/>
      <c r="F401" s="110">
        <f>IF(E401="","",IFERROR(INDEX('Catalogos_PDN'!$C$5:$C$49,MATCH(E401,PN_METAS,0)),""))</f>
        <v/>
      </c>
      <c r="G401" s="110">
        <f>IF(E401="","",IFERROR(INDEX('Catalogos_PDN'!$E$5:$E$49,MATCH(E401,PN_METAS,0)),""))</f>
        <v/>
      </c>
      <c r="H401" s="111" t="n"/>
      <c r="I401" s="111" t="n"/>
      <c r="J401" s="111" t="n"/>
      <c r="K401" s="111" t="n"/>
      <c r="L401" s="111" t="n"/>
      <c r="M401" s="112" t="n"/>
      <c r="N401" s="111" t="n"/>
      <c r="O401" s="111" t="n"/>
      <c r="P401" s="111" t="n"/>
      <c r="Q401" s="111" t="n"/>
      <c r="R401" s="111" t="n"/>
      <c r="S401" s="111" t="n"/>
      <c r="T401" s="111" t="n"/>
      <c r="U401" s="111" t="n"/>
      <c r="V401" s="111" t="n"/>
      <c r="W401" s="113" t="n"/>
      <c r="X401" s="113" t="n"/>
      <c r="Y401" s="111" t="n"/>
      <c r="Z401" s="111" t="n"/>
      <c r="AA401" s="111" t="n"/>
      <c r="AB401" s="111" t="n"/>
      <c r="AC401" s="111" t="n"/>
      <c r="AD401" s="111" t="n"/>
      <c r="AE401" s="111" t="n"/>
      <c r="AF401" s="111" t="n"/>
      <c r="AG401" s="111" t="n"/>
      <c r="AH401" s="111" t="n"/>
      <c r="AI401" s="111" t="n"/>
      <c r="AJ401" s="114">
        <f>IF(COUNTA(B401,E401,H401,I401,J401,K401,L401,M401,N401,O401,P401,Q401,R401,S401,T401,U401,V401,W401,X401,Y401,Z401,AA401,AB401,AC401,AD401,AE401,AF401,AG401,AH401,AI401)=0,"",IF(OR(B401="",E401="",H401="",J401="",K401="",L401="",M401="",O401="",P401="",Q401="",R401="",S401="",T401="",U401="",W401="",X401="",Y401="",AB401="",AC401="",AE401="",AF401=""),"Incompleta: faltan campos obligatorios",IF(AND(LEFT(H401,6)="PROPIA",I401=""),"Falta el nombre de la acción propia del área",IF(AND(LEFT(H401,4)="AC27",IFERROR(INDEX('Catalogos_PDN'!$T$5:$T$207,MATCH(H401,'Catalogos_PDN'!$U$5:$U$207,0)),"x")&lt;&gt;LEFT(E401,7)),"La acción no corresponde a la meta seleccionada",IF(OR(NOT(ISNUMBER(M401)),M401&lt;10000000,M401&gt;99999999),"Código UNSPSC inválido: registre 8 dígitos",IF(MOD(M401,10000)=0,"UNSPSC a nivel de segmento o familia: use clase o producto",IF(IFERROR(MATCH(P401,PN_MESES,0)&lt;MATCH(O401,PN_MESES,0),TRUE()),"El mes de ofertas es anterior al de inicio del proceso",IF(OR(NOT(ISNUMBER(Q401)),Q401&lt;=0),"Duración inválida",IF(OR(NOT(ISNUMBER(W401)),NOT(ISNUMBER(X401))),"Valor inválido: registre solo números",IF(OR(W401&lt;=0,X401&lt;=0),"Valor inválido: debe ser mayor que cero",IF(X401&gt;W401,"El valor de la vigencia 2027 supera el valor total",IF(AND(X401&lt;W401,Y401="No"),"El valor total supera el de 2027: requiere vigencias futuras",IF(AND(Y401="Sí",OR(Z401="",Z401="No aplica")),"Indique el estado de la solicitud de vigencias futuras",IF(IF(AND(S401="Mínima cuantía",ISNUMBER(PN_TOPE_MINIMA)),W401&gt;PN_TOPE_MINIMA,FALSE()),"El valor supera el tope de mínima cuantía 2027",IF(IF(AND(S401="Selección abreviada de menor cuantía",ISNUMBER(PN_TOPE_MENOR)),W401&gt;PN_TOPE_MENOR,FALSE()),"El valor supera el tope de menor cuantía 2027",IF(OR(ISERROR(SEARCH("@itc.edu.co",AE401)),SUMPRODUCT(--ISNUMBER(SEARCH({"á","é","í","ó","ú","ñ"," "},AE401)))&gt;0),"El correo del responsable no es institucional válido",IF(AND(AF401="Sí",AG401=""),"Indique el N.° de registro 2026 que continúa","OK")))))))))))))))))</f>
        <v/>
      </c>
      <c r="AK401" s="114">
        <f>IF(AJ401="OK",COUNTIF($AJ$7:AJ401,"OK"),"")</f>
        <v/>
      </c>
    </row>
    <row r="402">
      <c r="A402" s="110">
        <f>"PN27-"&amp;TEXT(ROW()-6,"000")</f>
        <v/>
      </c>
      <c r="B402" s="111" t="n"/>
      <c r="C402" s="110">
        <f>IF(B402="","",IFERROR(INDEX('Catalogos_PDN'!$R$5:$R$51,MATCH(B402,PN_AREAS,0)),""))</f>
        <v/>
      </c>
      <c r="D402" s="110">
        <f>IF(B402="","",IFERROR(INDEX('Catalogos_PDN'!$O$5:$O$51,MATCH(B402,PN_AREAS,0)),""))</f>
        <v/>
      </c>
      <c r="E402" s="111" t="n"/>
      <c r="F402" s="110">
        <f>IF(E402="","",IFERROR(INDEX('Catalogos_PDN'!$C$5:$C$49,MATCH(E402,PN_METAS,0)),""))</f>
        <v/>
      </c>
      <c r="G402" s="110">
        <f>IF(E402="","",IFERROR(INDEX('Catalogos_PDN'!$E$5:$E$49,MATCH(E402,PN_METAS,0)),""))</f>
        <v/>
      </c>
      <c r="H402" s="111" t="n"/>
      <c r="I402" s="111" t="n"/>
      <c r="J402" s="111" t="n"/>
      <c r="K402" s="111" t="n"/>
      <c r="L402" s="111" t="n"/>
      <c r="M402" s="112" t="n"/>
      <c r="N402" s="111" t="n"/>
      <c r="O402" s="111" t="n"/>
      <c r="P402" s="111" t="n"/>
      <c r="Q402" s="111" t="n"/>
      <c r="R402" s="111" t="n"/>
      <c r="S402" s="111" t="n"/>
      <c r="T402" s="111" t="n"/>
      <c r="U402" s="111" t="n"/>
      <c r="V402" s="111" t="n"/>
      <c r="W402" s="113" t="n"/>
      <c r="X402" s="113" t="n"/>
      <c r="Y402" s="111" t="n"/>
      <c r="Z402" s="111" t="n"/>
      <c r="AA402" s="111" t="n"/>
      <c r="AB402" s="111" t="n"/>
      <c r="AC402" s="111" t="n"/>
      <c r="AD402" s="111" t="n"/>
      <c r="AE402" s="111" t="n"/>
      <c r="AF402" s="111" t="n"/>
      <c r="AG402" s="111" t="n"/>
      <c r="AH402" s="111" t="n"/>
      <c r="AI402" s="111" t="n"/>
      <c r="AJ402" s="114">
        <f>IF(COUNTA(B402,E402,H402,I402,J402,K402,L402,M402,N402,O402,P402,Q402,R402,S402,T402,U402,V402,W402,X402,Y402,Z402,AA402,AB402,AC402,AD402,AE402,AF402,AG402,AH402,AI402)=0,"",IF(OR(B402="",E402="",H402="",J402="",K402="",L402="",M402="",O402="",P402="",Q402="",R402="",S402="",T402="",U402="",W402="",X402="",Y402="",AB402="",AC402="",AE402="",AF402=""),"Incompleta: faltan campos obligatorios",IF(AND(LEFT(H402,6)="PROPIA",I402=""),"Falta el nombre de la acción propia del área",IF(AND(LEFT(H402,4)="AC27",IFERROR(INDEX('Catalogos_PDN'!$T$5:$T$207,MATCH(H402,'Catalogos_PDN'!$U$5:$U$207,0)),"x")&lt;&gt;LEFT(E402,7)),"La acción no corresponde a la meta seleccionada",IF(OR(NOT(ISNUMBER(M402)),M402&lt;10000000,M402&gt;99999999),"Código UNSPSC inválido: registre 8 dígitos",IF(MOD(M402,10000)=0,"UNSPSC a nivel de segmento o familia: use clase o producto",IF(IFERROR(MATCH(P402,PN_MESES,0)&lt;MATCH(O402,PN_MESES,0),TRUE()),"El mes de ofertas es anterior al de inicio del proceso",IF(OR(NOT(ISNUMBER(Q402)),Q402&lt;=0),"Duración inválida",IF(OR(NOT(ISNUMBER(W402)),NOT(ISNUMBER(X402))),"Valor inválido: registre solo números",IF(OR(W402&lt;=0,X402&lt;=0),"Valor inválido: debe ser mayor que cero",IF(X402&gt;W402,"El valor de la vigencia 2027 supera el valor total",IF(AND(X402&lt;W402,Y402="No"),"El valor total supera el de 2027: requiere vigencias futuras",IF(AND(Y402="Sí",OR(Z402="",Z402="No aplica")),"Indique el estado de la solicitud de vigencias futuras",IF(IF(AND(S402="Mínima cuantía",ISNUMBER(PN_TOPE_MINIMA)),W402&gt;PN_TOPE_MINIMA,FALSE()),"El valor supera el tope de mínima cuantía 2027",IF(IF(AND(S402="Selección abreviada de menor cuantía",ISNUMBER(PN_TOPE_MENOR)),W402&gt;PN_TOPE_MENOR,FALSE()),"El valor supera el tope de menor cuantía 2027",IF(OR(ISERROR(SEARCH("@itc.edu.co",AE402)),SUMPRODUCT(--ISNUMBER(SEARCH({"á","é","í","ó","ú","ñ"," "},AE402)))&gt;0),"El correo del responsable no es institucional válido",IF(AND(AF402="Sí",AG402=""),"Indique el N.° de registro 2026 que continúa","OK")))))))))))))))))</f>
        <v/>
      </c>
      <c r="AK402" s="114">
        <f>IF(AJ402="OK",COUNTIF($AJ$7:AJ402,"OK"),"")</f>
        <v/>
      </c>
    </row>
    <row r="403">
      <c r="A403" s="110">
        <f>"PN27-"&amp;TEXT(ROW()-6,"000")</f>
        <v/>
      </c>
      <c r="B403" s="111" t="n"/>
      <c r="C403" s="110">
        <f>IF(B403="","",IFERROR(INDEX('Catalogos_PDN'!$R$5:$R$51,MATCH(B403,PN_AREAS,0)),""))</f>
        <v/>
      </c>
      <c r="D403" s="110">
        <f>IF(B403="","",IFERROR(INDEX('Catalogos_PDN'!$O$5:$O$51,MATCH(B403,PN_AREAS,0)),""))</f>
        <v/>
      </c>
      <c r="E403" s="111" t="n"/>
      <c r="F403" s="110">
        <f>IF(E403="","",IFERROR(INDEX('Catalogos_PDN'!$C$5:$C$49,MATCH(E403,PN_METAS,0)),""))</f>
        <v/>
      </c>
      <c r="G403" s="110">
        <f>IF(E403="","",IFERROR(INDEX('Catalogos_PDN'!$E$5:$E$49,MATCH(E403,PN_METAS,0)),""))</f>
        <v/>
      </c>
      <c r="H403" s="111" t="n"/>
      <c r="I403" s="111" t="n"/>
      <c r="J403" s="111" t="n"/>
      <c r="K403" s="111" t="n"/>
      <c r="L403" s="111" t="n"/>
      <c r="M403" s="112" t="n"/>
      <c r="N403" s="111" t="n"/>
      <c r="O403" s="111" t="n"/>
      <c r="P403" s="111" t="n"/>
      <c r="Q403" s="111" t="n"/>
      <c r="R403" s="111" t="n"/>
      <c r="S403" s="111" t="n"/>
      <c r="T403" s="111" t="n"/>
      <c r="U403" s="111" t="n"/>
      <c r="V403" s="111" t="n"/>
      <c r="W403" s="113" t="n"/>
      <c r="X403" s="113" t="n"/>
      <c r="Y403" s="111" t="n"/>
      <c r="Z403" s="111" t="n"/>
      <c r="AA403" s="111" t="n"/>
      <c r="AB403" s="111" t="n"/>
      <c r="AC403" s="111" t="n"/>
      <c r="AD403" s="111" t="n"/>
      <c r="AE403" s="111" t="n"/>
      <c r="AF403" s="111" t="n"/>
      <c r="AG403" s="111" t="n"/>
      <c r="AH403" s="111" t="n"/>
      <c r="AI403" s="111" t="n"/>
      <c r="AJ403" s="114">
        <f>IF(COUNTA(B403,E403,H403,I403,J403,K403,L403,M403,N403,O403,P403,Q403,R403,S403,T403,U403,V403,W403,X403,Y403,Z403,AA403,AB403,AC403,AD403,AE403,AF403,AG403,AH403,AI403)=0,"",IF(OR(B403="",E403="",H403="",J403="",K403="",L403="",M403="",O403="",P403="",Q403="",R403="",S403="",T403="",U403="",W403="",X403="",Y403="",AB403="",AC403="",AE403="",AF403=""),"Incompleta: faltan campos obligatorios",IF(AND(LEFT(H403,6)="PROPIA",I403=""),"Falta el nombre de la acción propia del área",IF(AND(LEFT(H403,4)="AC27",IFERROR(INDEX('Catalogos_PDN'!$T$5:$T$207,MATCH(H403,'Catalogos_PDN'!$U$5:$U$207,0)),"x")&lt;&gt;LEFT(E403,7)),"La acción no corresponde a la meta seleccionada",IF(OR(NOT(ISNUMBER(M403)),M403&lt;10000000,M403&gt;99999999),"Código UNSPSC inválido: registre 8 dígitos",IF(MOD(M403,10000)=0,"UNSPSC a nivel de segmento o familia: use clase o producto",IF(IFERROR(MATCH(P403,PN_MESES,0)&lt;MATCH(O403,PN_MESES,0),TRUE()),"El mes de ofertas es anterior al de inicio del proceso",IF(OR(NOT(ISNUMBER(Q403)),Q403&lt;=0),"Duración inválida",IF(OR(NOT(ISNUMBER(W403)),NOT(ISNUMBER(X403))),"Valor inválido: registre solo números",IF(OR(W403&lt;=0,X403&lt;=0),"Valor inválido: debe ser mayor que cero",IF(X403&gt;W403,"El valor de la vigencia 2027 supera el valor total",IF(AND(X403&lt;W403,Y403="No"),"El valor total supera el de 2027: requiere vigencias futuras",IF(AND(Y403="Sí",OR(Z403="",Z403="No aplica")),"Indique el estado de la solicitud de vigencias futuras",IF(IF(AND(S403="Mínima cuantía",ISNUMBER(PN_TOPE_MINIMA)),W403&gt;PN_TOPE_MINIMA,FALSE()),"El valor supera el tope de mínima cuantía 2027",IF(IF(AND(S403="Selección abreviada de menor cuantía",ISNUMBER(PN_TOPE_MENOR)),W403&gt;PN_TOPE_MENOR,FALSE()),"El valor supera el tope de menor cuantía 2027",IF(OR(ISERROR(SEARCH("@itc.edu.co",AE403)),SUMPRODUCT(--ISNUMBER(SEARCH({"á","é","í","ó","ú","ñ"," "},AE403)))&gt;0),"El correo del responsable no es institucional válido",IF(AND(AF403="Sí",AG403=""),"Indique el N.° de registro 2026 que continúa","OK")))))))))))))))))</f>
        <v/>
      </c>
      <c r="AK403" s="114">
        <f>IF(AJ403="OK",COUNTIF($AJ$7:AJ403,"OK"),"")</f>
        <v/>
      </c>
    </row>
    <row r="404">
      <c r="A404" s="110">
        <f>"PN27-"&amp;TEXT(ROW()-6,"000")</f>
        <v/>
      </c>
      <c r="B404" s="111" t="n"/>
      <c r="C404" s="110">
        <f>IF(B404="","",IFERROR(INDEX('Catalogos_PDN'!$R$5:$R$51,MATCH(B404,PN_AREAS,0)),""))</f>
        <v/>
      </c>
      <c r="D404" s="110">
        <f>IF(B404="","",IFERROR(INDEX('Catalogos_PDN'!$O$5:$O$51,MATCH(B404,PN_AREAS,0)),""))</f>
        <v/>
      </c>
      <c r="E404" s="111" t="n"/>
      <c r="F404" s="110">
        <f>IF(E404="","",IFERROR(INDEX('Catalogos_PDN'!$C$5:$C$49,MATCH(E404,PN_METAS,0)),""))</f>
        <v/>
      </c>
      <c r="G404" s="110">
        <f>IF(E404="","",IFERROR(INDEX('Catalogos_PDN'!$E$5:$E$49,MATCH(E404,PN_METAS,0)),""))</f>
        <v/>
      </c>
      <c r="H404" s="111" t="n"/>
      <c r="I404" s="111" t="n"/>
      <c r="J404" s="111" t="n"/>
      <c r="K404" s="111" t="n"/>
      <c r="L404" s="111" t="n"/>
      <c r="M404" s="112" t="n"/>
      <c r="N404" s="111" t="n"/>
      <c r="O404" s="111" t="n"/>
      <c r="P404" s="111" t="n"/>
      <c r="Q404" s="111" t="n"/>
      <c r="R404" s="111" t="n"/>
      <c r="S404" s="111" t="n"/>
      <c r="T404" s="111" t="n"/>
      <c r="U404" s="111" t="n"/>
      <c r="V404" s="111" t="n"/>
      <c r="W404" s="113" t="n"/>
      <c r="X404" s="113" t="n"/>
      <c r="Y404" s="111" t="n"/>
      <c r="Z404" s="111" t="n"/>
      <c r="AA404" s="111" t="n"/>
      <c r="AB404" s="111" t="n"/>
      <c r="AC404" s="111" t="n"/>
      <c r="AD404" s="111" t="n"/>
      <c r="AE404" s="111" t="n"/>
      <c r="AF404" s="111" t="n"/>
      <c r="AG404" s="111" t="n"/>
      <c r="AH404" s="111" t="n"/>
      <c r="AI404" s="111" t="n"/>
      <c r="AJ404" s="114">
        <f>IF(COUNTA(B404,E404,H404,I404,J404,K404,L404,M404,N404,O404,P404,Q404,R404,S404,T404,U404,V404,W404,X404,Y404,Z404,AA404,AB404,AC404,AD404,AE404,AF404,AG404,AH404,AI404)=0,"",IF(OR(B404="",E404="",H404="",J404="",K404="",L404="",M404="",O404="",P404="",Q404="",R404="",S404="",T404="",U404="",W404="",X404="",Y404="",AB404="",AC404="",AE404="",AF404=""),"Incompleta: faltan campos obligatorios",IF(AND(LEFT(H404,6)="PROPIA",I404=""),"Falta el nombre de la acción propia del área",IF(AND(LEFT(H404,4)="AC27",IFERROR(INDEX('Catalogos_PDN'!$T$5:$T$207,MATCH(H404,'Catalogos_PDN'!$U$5:$U$207,0)),"x")&lt;&gt;LEFT(E404,7)),"La acción no corresponde a la meta seleccionada",IF(OR(NOT(ISNUMBER(M404)),M404&lt;10000000,M404&gt;99999999),"Código UNSPSC inválido: registre 8 dígitos",IF(MOD(M404,10000)=0,"UNSPSC a nivel de segmento o familia: use clase o producto",IF(IFERROR(MATCH(P404,PN_MESES,0)&lt;MATCH(O404,PN_MESES,0),TRUE()),"El mes de ofertas es anterior al de inicio del proceso",IF(OR(NOT(ISNUMBER(Q404)),Q404&lt;=0),"Duración inválida",IF(OR(NOT(ISNUMBER(W404)),NOT(ISNUMBER(X404))),"Valor inválido: registre solo números",IF(OR(W404&lt;=0,X404&lt;=0),"Valor inválido: debe ser mayor que cero",IF(X404&gt;W404,"El valor de la vigencia 2027 supera el valor total",IF(AND(X404&lt;W404,Y404="No"),"El valor total supera el de 2027: requiere vigencias futuras",IF(AND(Y404="Sí",OR(Z404="",Z404="No aplica")),"Indique el estado de la solicitud de vigencias futuras",IF(IF(AND(S404="Mínima cuantía",ISNUMBER(PN_TOPE_MINIMA)),W404&gt;PN_TOPE_MINIMA,FALSE()),"El valor supera el tope de mínima cuantía 2027",IF(IF(AND(S404="Selección abreviada de menor cuantía",ISNUMBER(PN_TOPE_MENOR)),W404&gt;PN_TOPE_MENOR,FALSE()),"El valor supera el tope de menor cuantía 2027",IF(OR(ISERROR(SEARCH("@itc.edu.co",AE404)),SUMPRODUCT(--ISNUMBER(SEARCH({"á","é","í","ó","ú","ñ"," "},AE404)))&gt;0),"El correo del responsable no es institucional válido",IF(AND(AF404="Sí",AG404=""),"Indique el N.° de registro 2026 que continúa","OK")))))))))))))))))</f>
        <v/>
      </c>
      <c r="AK404" s="114">
        <f>IF(AJ404="OK",COUNTIF($AJ$7:AJ404,"OK"),"")</f>
        <v/>
      </c>
    </row>
    <row r="405">
      <c r="A405" s="110">
        <f>"PN27-"&amp;TEXT(ROW()-6,"000")</f>
        <v/>
      </c>
      <c r="B405" s="111" t="n"/>
      <c r="C405" s="110">
        <f>IF(B405="","",IFERROR(INDEX('Catalogos_PDN'!$R$5:$R$51,MATCH(B405,PN_AREAS,0)),""))</f>
        <v/>
      </c>
      <c r="D405" s="110">
        <f>IF(B405="","",IFERROR(INDEX('Catalogos_PDN'!$O$5:$O$51,MATCH(B405,PN_AREAS,0)),""))</f>
        <v/>
      </c>
      <c r="E405" s="111" t="n"/>
      <c r="F405" s="110">
        <f>IF(E405="","",IFERROR(INDEX('Catalogos_PDN'!$C$5:$C$49,MATCH(E405,PN_METAS,0)),""))</f>
        <v/>
      </c>
      <c r="G405" s="110">
        <f>IF(E405="","",IFERROR(INDEX('Catalogos_PDN'!$E$5:$E$49,MATCH(E405,PN_METAS,0)),""))</f>
        <v/>
      </c>
      <c r="H405" s="111" t="n"/>
      <c r="I405" s="111" t="n"/>
      <c r="J405" s="111" t="n"/>
      <c r="K405" s="111" t="n"/>
      <c r="L405" s="111" t="n"/>
      <c r="M405" s="112" t="n"/>
      <c r="N405" s="111" t="n"/>
      <c r="O405" s="111" t="n"/>
      <c r="P405" s="111" t="n"/>
      <c r="Q405" s="111" t="n"/>
      <c r="R405" s="111" t="n"/>
      <c r="S405" s="111" t="n"/>
      <c r="T405" s="111" t="n"/>
      <c r="U405" s="111" t="n"/>
      <c r="V405" s="111" t="n"/>
      <c r="W405" s="113" t="n"/>
      <c r="X405" s="113" t="n"/>
      <c r="Y405" s="111" t="n"/>
      <c r="Z405" s="111" t="n"/>
      <c r="AA405" s="111" t="n"/>
      <c r="AB405" s="111" t="n"/>
      <c r="AC405" s="111" t="n"/>
      <c r="AD405" s="111" t="n"/>
      <c r="AE405" s="111" t="n"/>
      <c r="AF405" s="111" t="n"/>
      <c r="AG405" s="111" t="n"/>
      <c r="AH405" s="111" t="n"/>
      <c r="AI405" s="111" t="n"/>
      <c r="AJ405" s="114">
        <f>IF(COUNTA(B405,E405,H405,I405,J405,K405,L405,M405,N405,O405,P405,Q405,R405,S405,T405,U405,V405,W405,X405,Y405,Z405,AA405,AB405,AC405,AD405,AE405,AF405,AG405,AH405,AI405)=0,"",IF(OR(B405="",E405="",H405="",J405="",K405="",L405="",M405="",O405="",P405="",Q405="",R405="",S405="",T405="",U405="",W405="",X405="",Y405="",AB405="",AC405="",AE405="",AF405=""),"Incompleta: faltan campos obligatorios",IF(AND(LEFT(H405,6)="PROPIA",I405=""),"Falta el nombre de la acción propia del área",IF(AND(LEFT(H405,4)="AC27",IFERROR(INDEX('Catalogos_PDN'!$T$5:$T$207,MATCH(H405,'Catalogos_PDN'!$U$5:$U$207,0)),"x")&lt;&gt;LEFT(E405,7)),"La acción no corresponde a la meta seleccionada",IF(OR(NOT(ISNUMBER(M405)),M405&lt;10000000,M405&gt;99999999),"Código UNSPSC inválido: registre 8 dígitos",IF(MOD(M405,10000)=0,"UNSPSC a nivel de segmento o familia: use clase o producto",IF(IFERROR(MATCH(P405,PN_MESES,0)&lt;MATCH(O405,PN_MESES,0),TRUE()),"El mes de ofertas es anterior al de inicio del proceso",IF(OR(NOT(ISNUMBER(Q405)),Q405&lt;=0),"Duración inválida",IF(OR(NOT(ISNUMBER(W405)),NOT(ISNUMBER(X405))),"Valor inválido: registre solo números",IF(OR(W405&lt;=0,X405&lt;=0),"Valor inválido: debe ser mayor que cero",IF(X405&gt;W405,"El valor de la vigencia 2027 supera el valor total",IF(AND(X405&lt;W405,Y405="No"),"El valor total supera el de 2027: requiere vigencias futuras",IF(AND(Y405="Sí",OR(Z405="",Z405="No aplica")),"Indique el estado de la solicitud de vigencias futuras",IF(IF(AND(S405="Mínima cuantía",ISNUMBER(PN_TOPE_MINIMA)),W405&gt;PN_TOPE_MINIMA,FALSE()),"El valor supera el tope de mínima cuantía 2027",IF(IF(AND(S405="Selección abreviada de menor cuantía",ISNUMBER(PN_TOPE_MENOR)),W405&gt;PN_TOPE_MENOR,FALSE()),"El valor supera el tope de menor cuantía 2027",IF(OR(ISERROR(SEARCH("@itc.edu.co",AE405)),SUMPRODUCT(--ISNUMBER(SEARCH({"á","é","í","ó","ú","ñ"," "},AE405)))&gt;0),"El correo del responsable no es institucional válido",IF(AND(AF405="Sí",AG405=""),"Indique el N.° de registro 2026 que continúa","OK")))))))))))))))))</f>
        <v/>
      </c>
      <c r="AK405" s="114">
        <f>IF(AJ405="OK",COUNTIF($AJ$7:AJ405,"OK"),"")</f>
        <v/>
      </c>
    </row>
    <row r="406">
      <c r="A406" s="110">
        <f>"PN27-"&amp;TEXT(ROW()-6,"000")</f>
        <v/>
      </c>
      <c r="B406" s="111" t="n"/>
      <c r="C406" s="110">
        <f>IF(B406="","",IFERROR(INDEX('Catalogos_PDN'!$R$5:$R$51,MATCH(B406,PN_AREAS,0)),""))</f>
        <v/>
      </c>
      <c r="D406" s="110">
        <f>IF(B406="","",IFERROR(INDEX('Catalogos_PDN'!$O$5:$O$51,MATCH(B406,PN_AREAS,0)),""))</f>
        <v/>
      </c>
      <c r="E406" s="111" t="n"/>
      <c r="F406" s="110">
        <f>IF(E406="","",IFERROR(INDEX('Catalogos_PDN'!$C$5:$C$49,MATCH(E406,PN_METAS,0)),""))</f>
        <v/>
      </c>
      <c r="G406" s="110">
        <f>IF(E406="","",IFERROR(INDEX('Catalogos_PDN'!$E$5:$E$49,MATCH(E406,PN_METAS,0)),""))</f>
        <v/>
      </c>
      <c r="H406" s="111" t="n"/>
      <c r="I406" s="111" t="n"/>
      <c r="J406" s="111" t="n"/>
      <c r="K406" s="111" t="n"/>
      <c r="L406" s="111" t="n"/>
      <c r="M406" s="112" t="n"/>
      <c r="N406" s="111" t="n"/>
      <c r="O406" s="111" t="n"/>
      <c r="P406" s="111" t="n"/>
      <c r="Q406" s="111" t="n"/>
      <c r="R406" s="111" t="n"/>
      <c r="S406" s="111" t="n"/>
      <c r="T406" s="111" t="n"/>
      <c r="U406" s="111" t="n"/>
      <c r="V406" s="111" t="n"/>
      <c r="W406" s="113" t="n"/>
      <c r="X406" s="113" t="n"/>
      <c r="Y406" s="111" t="n"/>
      <c r="Z406" s="111" t="n"/>
      <c r="AA406" s="111" t="n"/>
      <c r="AB406" s="111" t="n"/>
      <c r="AC406" s="111" t="n"/>
      <c r="AD406" s="111" t="n"/>
      <c r="AE406" s="111" t="n"/>
      <c r="AF406" s="111" t="n"/>
      <c r="AG406" s="111" t="n"/>
      <c r="AH406" s="111" t="n"/>
      <c r="AI406" s="111" t="n"/>
      <c r="AJ406" s="114">
        <f>IF(COUNTA(B406,E406,H406,I406,J406,K406,L406,M406,N406,O406,P406,Q406,R406,S406,T406,U406,V406,W406,X406,Y406,Z406,AA406,AB406,AC406,AD406,AE406,AF406,AG406,AH406,AI406)=0,"",IF(OR(B406="",E406="",H406="",J406="",K406="",L406="",M406="",O406="",P406="",Q406="",R406="",S406="",T406="",U406="",W406="",X406="",Y406="",AB406="",AC406="",AE406="",AF406=""),"Incompleta: faltan campos obligatorios",IF(AND(LEFT(H406,6)="PROPIA",I406=""),"Falta el nombre de la acción propia del área",IF(AND(LEFT(H406,4)="AC27",IFERROR(INDEX('Catalogos_PDN'!$T$5:$T$207,MATCH(H406,'Catalogos_PDN'!$U$5:$U$207,0)),"x")&lt;&gt;LEFT(E406,7)),"La acción no corresponde a la meta seleccionada",IF(OR(NOT(ISNUMBER(M406)),M406&lt;10000000,M406&gt;99999999),"Código UNSPSC inválido: registre 8 dígitos",IF(MOD(M406,10000)=0,"UNSPSC a nivel de segmento o familia: use clase o producto",IF(IFERROR(MATCH(P406,PN_MESES,0)&lt;MATCH(O406,PN_MESES,0),TRUE()),"El mes de ofertas es anterior al de inicio del proceso",IF(OR(NOT(ISNUMBER(Q406)),Q406&lt;=0),"Duración inválida",IF(OR(NOT(ISNUMBER(W406)),NOT(ISNUMBER(X406))),"Valor inválido: registre solo números",IF(OR(W406&lt;=0,X406&lt;=0),"Valor inválido: debe ser mayor que cero",IF(X406&gt;W406,"El valor de la vigencia 2027 supera el valor total",IF(AND(X406&lt;W406,Y406="No"),"El valor total supera el de 2027: requiere vigencias futuras",IF(AND(Y406="Sí",OR(Z406="",Z406="No aplica")),"Indique el estado de la solicitud de vigencias futuras",IF(IF(AND(S406="Mínima cuantía",ISNUMBER(PN_TOPE_MINIMA)),W406&gt;PN_TOPE_MINIMA,FALSE()),"El valor supera el tope de mínima cuantía 2027",IF(IF(AND(S406="Selección abreviada de menor cuantía",ISNUMBER(PN_TOPE_MENOR)),W406&gt;PN_TOPE_MENOR,FALSE()),"El valor supera el tope de menor cuantía 2027",IF(OR(ISERROR(SEARCH("@itc.edu.co",AE406)),SUMPRODUCT(--ISNUMBER(SEARCH({"á","é","í","ó","ú","ñ"," "},AE406)))&gt;0),"El correo del responsable no es institucional válido",IF(AND(AF406="Sí",AG406=""),"Indique el N.° de registro 2026 que continúa","OK")))))))))))))))))</f>
        <v/>
      </c>
      <c r="AK406" s="114">
        <f>IF(AJ406="OK",COUNTIF($AJ$7:AJ406,"OK"),"")</f>
        <v/>
      </c>
    </row>
    <row r="407">
      <c r="A407" s="110">
        <f>"PN27-"&amp;TEXT(ROW()-6,"000")</f>
        <v/>
      </c>
      <c r="B407" s="111" t="n"/>
      <c r="C407" s="110">
        <f>IF(B407="","",IFERROR(INDEX('Catalogos_PDN'!$R$5:$R$51,MATCH(B407,PN_AREAS,0)),""))</f>
        <v/>
      </c>
      <c r="D407" s="110">
        <f>IF(B407="","",IFERROR(INDEX('Catalogos_PDN'!$O$5:$O$51,MATCH(B407,PN_AREAS,0)),""))</f>
        <v/>
      </c>
      <c r="E407" s="111" t="n"/>
      <c r="F407" s="110">
        <f>IF(E407="","",IFERROR(INDEX('Catalogos_PDN'!$C$5:$C$49,MATCH(E407,PN_METAS,0)),""))</f>
        <v/>
      </c>
      <c r="G407" s="110">
        <f>IF(E407="","",IFERROR(INDEX('Catalogos_PDN'!$E$5:$E$49,MATCH(E407,PN_METAS,0)),""))</f>
        <v/>
      </c>
      <c r="H407" s="111" t="n"/>
      <c r="I407" s="111" t="n"/>
      <c r="J407" s="111" t="n"/>
      <c r="K407" s="111" t="n"/>
      <c r="L407" s="111" t="n"/>
      <c r="M407" s="112" t="n"/>
      <c r="N407" s="111" t="n"/>
      <c r="O407" s="111" t="n"/>
      <c r="P407" s="111" t="n"/>
      <c r="Q407" s="111" t="n"/>
      <c r="R407" s="111" t="n"/>
      <c r="S407" s="111" t="n"/>
      <c r="T407" s="111" t="n"/>
      <c r="U407" s="111" t="n"/>
      <c r="V407" s="111" t="n"/>
      <c r="W407" s="113" t="n"/>
      <c r="X407" s="113" t="n"/>
      <c r="Y407" s="111" t="n"/>
      <c r="Z407" s="111" t="n"/>
      <c r="AA407" s="111" t="n"/>
      <c r="AB407" s="111" t="n"/>
      <c r="AC407" s="111" t="n"/>
      <c r="AD407" s="111" t="n"/>
      <c r="AE407" s="111" t="n"/>
      <c r="AF407" s="111" t="n"/>
      <c r="AG407" s="111" t="n"/>
      <c r="AH407" s="111" t="n"/>
      <c r="AI407" s="111" t="n"/>
      <c r="AJ407" s="114">
        <f>IF(COUNTA(B407,E407,H407,I407,J407,K407,L407,M407,N407,O407,P407,Q407,R407,S407,T407,U407,V407,W407,X407,Y407,Z407,AA407,AB407,AC407,AD407,AE407,AF407,AG407,AH407,AI407)=0,"",IF(OR(B407="",E407="",H407="",J407="",K407="",L407="",M407="",O407="",P407="",Q407="",R407="",S407="",T407="",U407="",W407="",X407="",Y407="",AB407="",AC407="",AE407="",AF407=""),"Incompleta: faltan campos obligatorios",IF(AND(LEFT(H407,6)="PROPIA",I407=""),"Falta el nombre de la acción propia del área",IF(AND(LEFT(H407,4)="AC27",IFERROR(INDEX('Catalogos_PDN'!$T$5:$T$207,MATCH(H407,'Catalogos_PDN'!$U$5:$U$207,0)),"x")&lt;&gt;LEFT(E407,7)),"La acción no corresponde a la meta seleccionada",IF(OR(NOT(ISNUMBER(M407)),M407&lt;10000000,M407&gt;99999999),"Código UNSPSC inválido: registre 8 dígitos",IF(MOD(M407,10000)=0,"UNSPSC a nivel de segmento o familia: use clase o producto",IF(IFERROR(MATCH(P407,PN_MESES,0)&lt;MATCH(O407,PN_MESES,0),TRUE()),"El mes de ofertas es anterior al de inicio del proceso",IF(OR(NOT(ISNUMBER(Q407)),Q407&lt;=0),"Duración inválida",IF(OR(NOT(ISNUMBER(W407)),NOT(ISNUMBER(X407))),"Valor inválido: registre solo números",IF(OR(W407&lt;=0,X407&lt;=0),"Valor inválido: debe ser mayor que cero",IF(X407&gt;W407,"El valor de la vigencia 2027 supera el valor total",IF(AND(X407&lt;W407,Y407="No"),"El valor total supera el de 2027: requiere vigencias futuras",IF(AND(Y407="Sí",OR(Z407="",Z407="No aplica")),"Indique el estado de la solicitud de vigencias futuras",IF(IF(AND(S407="Mínima cuantía",ISNUMBER(PN_TOPE_MINIMA)),W407&gt;PN_TOPE_MINIMA,FALSE()),"El valor supera el tope de mínima cuantía 2027",IF(IF(AND(S407="Selección abreviada de menor cuantía",ISNUMBER(PN_TOPE_MENOR)),W407&gt;PN_TOPE_MENOR,FALSE()),"El valor supera el tope de menor cuantía 2027",IF(OR(ISERROR(SEARCH("@itc.edu.co",AE407)),SUMPRODUCT(--ISNUMBER(SEARCH({"á","é","í","ó","ú","ñ"," "},AE407)))&gt;0),"El correo del responsable no es institucional válido",IF(AND(AF407="Sí",AG407=""),"Indique el N.° de registro 2026 que continúa","OK")))))))))))))))))</f>
        <v/>
      </c>
      <c r="AK407" s="114">
        <f>IF(AJ407="OK",COUNTIF($AJ$7:AJ407,"OK"),"")</f>
        <v/>
      </c>
    </row>
    <row r="408">
      <c r="A408" s="110">
        <f>"PN27-"&amp;TEXT(ROW()-6,"000")</f>
        <v/>
      </c>
      <c r="B408" s="111" t="n"/>
      <c r="C408" s="110">
        <f>IF(B408="","",IFERROR(INDEX('Catalogos_PDN'!$R$5:$R$51,MATCH(B408,PN_AREAS,0)),""))</f>
        <v/>
      </c>
      <c r="D408" s="110">
        <f>IF(B408="","",IFERROR(INDEX('Catalogos_PDN'!$O$5:$O$51,MATCH(B408,PN_AREAS,0)),""))</f>
        <v/>
      </c>
      <c r="E408" s="111" t="n"/>
      <c r="F408" s="110">
        <f>IF(E408="","",IFERROR(INDEX('Catalogos_PDN'!$C$5:$C$49,MATCH(E408,PN_METAS,0)),""))</f>
        <v/>
      </c>
      <c r="G408" s="110">
        <f>IF(E408="","",IFERROR(INDEX('Catalogos_PDN'!$E$5:$E$49,MATCH(E408,PN_METAS,0)),""))</f>
        <v/>
      </c>
      <c r="H408" s="111" t="n"/>
      <c r="I408" s="111" t="n"/>
      <c r="J408" s="111" t="n"/>
      <c r="K408" s="111" t="n"/>
      <c r="L408" s="111" t="n"/>
      <c r="M408" s="112" t="n"/>
      <c r="N408" s="111" t="n"/>
      <c r="O408" s="111" t="n"/>
      <c r="P408" s="111" t="n"/>
      <c r="Q408" s="111" t="n"/>
      <c r="R408" s="111" t="n"/>
      <c r="S408" s="111" t="n"/>
      <c r="T408" s="111" t="n"/>
      <c r="U408" s="111" t="n"/>
      <c r="V408" s="111" t="n"/>
      <c r="W408" s="113" t="n"/>
      <c r="X408" s="113" t="n"/>
      <c r="Y408" s="111" t="n"/>
      <c r="Z408" s="111" t="n"/>
      <c r="AA408" s="111" t="n"/>
      <c r="AB408" s="111" t="n"/>
      <c r="AC408" s="111" t="n"/>
      <c r="AD408" s="111" t="n"/>
      <c r="AE408" s="111" t="n"/>
      <c r="AF408" s="111" t="n"/>
      <c r="AG408" s="111" t="n"/>
      <c r="AH408" s="111" t="n"/>
      <c r="AI408" s="111" t="n"/>
      <c r="AJ408" s="114">
        <f>IF(COUNTA(B408,E408,H408,I408,J408,K408,L408,M408,N408,O408,P408,Q408,R408,S408,T408,U408,V408,W408,X408,Y408,Z408,AA408,AB408,AC408,AD408,AE408,AF408,AG408,AH408,AI408)=0,"",IF(OR(B408="",E408="",H408="",J408="",K408="",L408="",M408="",O408="",P408="",Q408="",R408="",S408="",T408="",U408="",W408="",X408="",Y408="",AB408="",AC408="",AE408="",AF408=""),"Incompleta: faltan campos obligatorios",IF(AND(LEFT(H408,6)="PROPIA",I408=""),"Falta el nombre de la acción propia del área",IF(AND(LEFT(H408,4)="AC27",IFERROR(INDEX('Catalogos_PDN'!$T$5:$T$207,MATCH(H408,'Catalogos_PDN'!$U$5:$U$207,0)),"x")&lt;&gt;LEFT(E408,7)),"La acción no corresponde a la meta seleccionada",IF(OR(NOT(ISNUMBER(M408)),M408&lt;10000000,M408&gt;99999999),"Código UNSPSC inválido: registre 8 dígitos",IF(MOD(M408,10000)=0,"UNSPSC a nivel de segmento o familia: use clase o producto",IF(IFERROR(MATCH(P408,PN_MESES,0)&lt;MATCH(O408,PN_MESES,0),TRUE()),"El mes de ofertas es anterior al de inicio del proceso",IF(OR(NOT(ISNUMBER(Q408)),Q408&lt;=0),"Duración inválida",IF(OR(NOT(ISNUMBER(W408)),NOT(ISNUMBER(X408))),"Valor inválido: registre solo números",IF(OR(W408&lt;=0,X408&lt;=0),"Valor inválido: debe ser mayor que cero",IF(X408&gt;W408,"El valor de la vigencia 2027 supera el valor total",IF(AND(X408&lt;W408,Y408="No"),"El valor total supera el de 2027: requiere vigencias futuras",IF(AND(Y408="Sí",OR(Z408="",Z408="No aplica")),"Indique el estado de la solicitud de vigencias futuras",IF(IF(AND(S408="Mínima cuantía",ISNUMBER(PN_TOPE_MINIMA)),W408&gt;PN_TOPE_MINIMA,FALSE()),"El valor supera el tope de mínima cuantía 2027",IF(IF(AND(S408="Selección abreviada de menor cuantía",ISNUMBER(PN_TOPE_MENOR)),W408&gt;PN_TOPE_MENOR,FALSE()),"El valor supera el tope de menor cuantía 2027",IF(OR(ISERROR(SEARCH("@itc.edu.co",AE408)),SUMPRODUCT(--ISNUMBER(SEARCH({"á","é","í","ó","ú","ñ"," "},AE408)))&gt;0),"El correo del responsable no es institucional válido",IF(AND(AF408="Sí",AG408=""),"Indique el N.° de registro 2026 que continúa","OK")))))))))))))))))</f>
        <v/>
      </c>
      <c r="AK408" s="114">
        <f>IF(AJ408="OK",COUNTIF($AJ$7:AJ408,"OK"),"")</f>
        <v/>
      </c>
    </row>
    <row r="409">
      <c r="A409" s="110">
        <f>"PN27-"&amp;TEXT(ROW()-6,"000")</f>
        <v/>
      </c>
      <c r="B409" s="111" t="n"/>
      <c r="C409" s="110">
        <f>IF(B409="","",IFERROR(INDEX('Catalogos_PDN'!$R$5:$R$51,MATCH(B409,PN_AREAS,0)),""))</f>
        <v/>
      </c>
      <c r="D409" s="110">
        <f>IF(B409="","",IFERROR(INDEX('Catalogos_PDN'!$O$5:$O$51,MATCH(B409,PN_AREAS,0)),""))</f>
        <v/>
      </c>
      <c r="E409" s="111" t="n"/>
      <c r="F409" s="110">
        <f>IF(E409="","",IFERROR(INDEX('Catalogos_PDN'!$C$5:$C$49,MATCH(E409,PN_METAS,0)),""))</f>
        <v/>
      </c>
      <c r="G409" s="110">
        <f>IF(E409="","",IFERROR(INDEX('Catalogos_PDN'!$E$5:$E$49,MATCH(E409,PN_METAS,0)),""))</f>
        <v/>
      </c>
      <c r="H409" s="111" t="n"/>
      <c r="I409" s="111" t="n"/>
      <c r="J409" s="111" t="n"/>
      <c r="K409" s="111" t="n"/>
      <c r="L409" s="111" t="n"/>
      <c r="M409" s="112" t="n"/>
      <c r="N409" s="111" t="n"/>
      <c r="O409" s="111" t="n"/>
      <c r="P409" s="111" t="n"/>
      <c r="Q409" s="111" t="n"/>
      <c r="R409" s="111" t="n"/>
      <c r="S409" s="111" t="n"/>
      <c r="T409" s="111" t="n"/>
      <c r="U409" s="111" t="n"/>
      <c r="V409" s="111" t="n"/>
      <c r="W409" s="113" t="n"/>
      <c r="X409" s="113" t="n"/>
      <c r="Y409" s="111" t="n"/>
      <c r="Z409" s="111" t="n"/>
      <c r="AA409" s="111" t="n"/>
      <c r="AB409" s="111" t="n"/>
      <c r="AC409" s="111" t="n"/>
      <c r="AD409" s="111" t="n"/>
      <c r="AE409" s="111" t="n"/>
      <c r="AF409" s="111" t="n"/>
      <c r="AG409" s="111" t="n"/>
      <c r="AH409" s="111" t="n"/>
      <c r="AI409" s="111" t="n"/>
      <c r="AJ409" s="114">
        <f>IF(COUNTA(B409,E409,H409,I409,J409,K409,L409,M409,N409,O409,P409,Q409,R409,S409,T409,U409,V409,W409,X409,Y409,Z409,AA409,AB409,AC409,AD409,AE409,AF409,AG409,AH409,AI409)=0,"",IF(OR(B409="",E409="",H409="",J409="",K409="",L409="",M409="",O409="",P409="",Q409="",R409="",S409="",T409="",U409="",W409="",X409="",Y409="",AB409="",AC409="",AE409="",AF409=""),"Incompleta: faltan campos obligatorios",IF(AND(LEFT(H409,6)="PROPIA",I409=""),"Falta el nombre de la acción propia del área",IF(AND(LEFT(H409,4)="AC27",IFERROR(INDEX('Catalogos_PDN'!$T$5:$T$207,MATCH(H409,'Catalogos_PDN'!$U$5:$U$207,0)),"x")&lt;&gt;LEFT(E409,7)),"La acción no corresponde a la meta seleccionada",IF(OR(NOT(ISNUMBER(M409)),M409&lt;10000000,M409&gt;99999999),"Código UNSPSC inválido: registre 8 dígitos",IF(MOD(M409,10000)=0,"UNSPSC a nivel de segmento o familia: use clase o producto",IF(IFERROR(MATCH(P409,PN_MESES,0)&lt;MATCH(O409,PN_MESES,0),TRUE()),"El mes de ofertas es anterior al de inicio del proceso",IF(OR(NOT(ISNUMBER(Q409)),Q409&lt;=0),"Duración inválida",IF(OR(NOT(ISNUMBER(W409)),NOT(ISNUMBER(X409))),"Valor inválido: registre solo números",IF(OR(W409&lt;=0,X409&lt;=0),"Valor inválido: debe ser mayor que cero",IF(X409&gt;W409,"El valor de la vigencia 2027 supera el valor total",IF(AND(X409&lt;W409,Y409="No"),"El valor total supera el de 2027: requiere vigencias futuras",IF(AND(Y409="Sí",OR(Z409="",Z409="No aplica")),"Indique el estado de la solicitud de vigencias futuras",IF(IF(AND(S409="Mínima cuantía",ISNUMBER(PN_TOPE_MINIMA)),W409&gt;PN_TOPE_MINIMA,FALSE()),"El valor supera el tope de mínima cuantía 2027",IF(IF(AND(S409="Selección abreviada de menor cuantía",ISNUMBER(PN_TOPE_MENOR)),W409&gt;PN_TOPE_MENOR,FALSE()),"El valor supera el tope de menor cuantía 2027",IF(OR(ISERROR(SEARCH("@itc.edu.co",AE409)),SUMPRODUCT(--ISNUMBER(SEARCH({"á","é","í","ó","ú","ñ"," "},AE409)))&gt;0),"El correo del responsable no es institucional válido",IF(AND(AF409="Sí",AG409=""),"Indique el N.° de registro 2026 que continúa","OK")))))))))))))))))</f>
        <v/>
      </c>
      <c r="AK409" s="114">
        <f>IF(AJ409="OK",COUNTIF($AJ$7:AJ409,"OK"),"")</f>
        <v/>
      </c>
    </row>
    <row r="410">
      <c r="A410" s="110">
        <f>"PN27-"&amp;TEXT(ROW()-6,"000")</f>
        <v/>
      </c>
      <c r="B410" s="111" t="n"/>
      <c r="C410" s="110">
        <f>IF(B410="","",IFERROR(INDEX('Catalogos_PDN'!$R$5:$R$51,MATCH(B410,PN_AREAS,0)),""))</f>
        <v/>
      </c>
      <c r="D410" s="110">
        <f>IF(B410="","",IFERROR(INDEX('Catalogos_PDN'!$O$5:$O$51,MATCH(B410,PN_AREAS,0)),""))</f>
        <v/>
      </c>
      <c r="E410" s="111" t="n"/>
      <c r="F410" s="110">
        <f>IF(E410="","",IFERROR(INDEX('Catalogos_PDN'!$C$5:$C$49,MATCH(E410,PN_METAS,0)),""))</f>
        <v/>
      </c>
      <c r="G410" s="110">
        <f>IF(E410="","",IFERROR(INDEX('Catalogos_PDN'!$E$5:$E$49,MATCH(E410,PN_METAS,0)),""))</f>
        <v/>
      </c>
      <c r="H410" s="111" t="n"/>
      <c r="I410" s="111" t="n"/>
      <c r="J410" s="111" t="n"/>
      <c r="K410" s="111" t="n"/>
      <c r="L410" s="111" t="n"/>
      <c r="M410" s="112" t="n"/>
      <c r="N410" s="111" t="n"/>
      <c r="O410" s="111" t="n"/>
      <c r="P410" s="111" t="n"/>
      <c r="Q410" s="111" t="n"/>
      <c r="R410" s="111" t="n"/>
      <c r="S410" s="111" t="n"/>
      <c r="T410" s="111" t="n"/>
      <c r="U410" s="111" t="n"/>
      <c r="V410" s="111" t="n"/>
      <c r="W410" s="113" t="n"/>
      <c r="X410" s="113" t="n"/>
      <c r="Y410" s="111" t="n"/>
      <c r="Z410" s="111" t="n"/>
      <c r="AA410" s="111" t="n"/>
      <c r="AB410" s="111" t="n"/>
      <c r="AC410" s="111" t="n"/>
      <c r="AD410" s="111" t="n"/>
      <c r="AE410" s="111" t="n"/>
      <c r="AF410" s="111" t="n"/>
      <c r="AG410" s="111" t="n"/>
      <c r="AH410" s="111" t="n"/>
      <c r="AI410" s="111" t="n"/>
      <c r="AJ410" s="114">
        <f>IF(COUNTA(B410,E410,H410,I410,J410,K410,L410,M410,N410,O410,P410,Q410,R410,S410,T410,U410,V410,W410,X410,Y410,Z410,AA410,AB410,AC410,AD410,AE410,AF410,AG410,AH410,AI410)=0,"",IF(OR(B410="",E410="",H410="",J410="",K410="",L410="",M410="",O410="",P410="",Q410="",R410="",S410="",T410="",U410="",W410="",X410="",Y410="",AB410="",AC410="",AE410="",AF410=""),"Incompleta: faltan campos obligatorios",IF(AND(LEFT(H410,6)="PROPIA",I410=""),"Falta el nombre de la acción propia del área",IF(AND(LEFT(H410,4)="AC27",IFERROR(INDEX('Catalogos_PDN'!$T$5:$T$207,MATCH(H410,'Catalogos_PDN'!$U$5:$U$207,0)),"x")&lt;&gt;LEFT(E410,7)),"La acción no corresponde a la meta seleccionada",IF(OR(NOT(ISNUMBER(M410)),M410&lt;10000000,M410&gt;99999999),"Código UNSPSC inválido: registre 8 dígitos",IF(MOD(M410,10000)=0,"UNSPSC a nivel de segmento o familia: use clase o producto",IF(IFERROR(MATCH(P410,PN_MESES,0)&lt;MATCH(O410,PN_MESES,0),TRUE()),"El mes de ofertas es anterior al de inicio del proceso",IF(OR(NOT(ISNUMBER(Q410)),Q410&lt;=0),"Duración inválida",IF(OR(NOT(ISNUMBER(W410)),NOT(ISNUMBER(X410))),"Valor inválido: registre solo números",IF(OR(W410&lt;=0,X410&lt;=0),"Valor inválido: debe ser mayor que cero",IF(X410&gt;W410,"El valor de la vigencia 2027 supera el valor total",IF(AND(X410&lt;W410,Y410="No"),"El valor total supera el de 2027: requiere vigencias futuras",IF(AND(Y410="Sí",OR(Z410="",Z410="No aplica")),"Indique el estado de la solicitud de vigencias futuras",IF(IF(AND(S410="Mínima cuantía",ISNUMBER(PN_TOPE_MINIMA)),W410&gt;PN_TOPE_MINIMA,FALSE()),"El valor supera el tope de mínima cuantía 2027",IF(IF(AND(S410="Selección abreviada de menor cuantía",ISNUMBER(PN_TOPE_MENOR)),W410&gt;PN_TOPE_MENOR,FALSE()),"El valor supera el tope de menor cuantía 2027",IF(OR(ISERROR(SEARCH("@itc.edu.co",AE410)),SUMPRODUCT(--ISNUMBER(SEARCH({"á","é","í","ó","ú","ñ"," "},AE410)))&gt;0),"El correo del responsable no es institucional válido",IF(AND(AF410="Sí",AG410=""),"Indique el N.° de registro 2026 que continúa","OK")))))))))))))))))</f>
        <v/>
      </c>
      <c r="AK410" s="114">
        <f>IF(AJ410="OK",COUNTIF($AJ$7:AJ410,"OK"),"")</f>
        <v/>
      </c>
    </row>
    <row r="411">
      <c r="A411" s="110">
        <f>"PN27-"&amp;TEXT(ROW()-6,"000")</f>
        <v/>
      </c>
      <c r="B411" s="111" t="n"/>
      <c r="C411" s="110">
        <f>IF(B411="","",IFERROR(INDEX('Catalogos_PDN'!$R$5:$R$51,MATCH(B411,PN_AREAS,0)),""))</f>
        <v/>
      </c>
      <c r="D411" s="110">
        <f>IF(B411="","",IFERROR(INDEX('Catalogos_PDN'!$O$5:$O$51,MATCH(B411,PN_AREAS,0)),""))</f>
        <v/>
      </c>
      <c r="E411" s="111" t="n"/>
      <c r="F411" s="110">
        <f>IF(E411="","",IFERROR(INDEX('Catalogos_PDN'!$C$5:$C$49,MATCH(E411,PN_METAS,0)),""))</f>
        <v/>
      </c>
      <c r="G411" s="110">
        <f>IF(E411="","",IFERROR(INDEX('Catalogos_PDN'!$E$5:$E$49,MATCH(E411,PN_METAS,0)),""))</f>
        <v/>
      </c>
      <c r="H411" s="111" t="n"/>
      <c r="I411" s="111" t="n"/>
      <c r="J411" s="111" t="n"/>
      <c r="K411" s="111" t="n"/>
      <c r="L411" s="111" t="n"/>
      <c r="M411" s="112" t="n"/>
      <c r="N411" s="111" t="n"/>
      <c r="O411" s="111" t="n"/>
      <c r="P411" s="111" t="n"/>
      <c r="Q411" s="111" t="n"/>
      <c r="R411" s="111" t="n"/>
      <c r="S411" s="111" t="n"/>
      <c r="T411" s="111" t="n"/>
      <c r="U411" s="111" t="n"/>
      <c r="V411" s="111" t="n"/>
      <c r="W411" s="113" t="n"/>
      <c r="X411" s="113" t="n"/>
      <c r="Y411" s="111" t="n"/>
      <c r="Z411" s="111" t="n"/>
      <c r="AA411" s="111" t="n"/>
      <c r="AB411" s="111" t="n"/>
      <c r="AC411" s="111" t="n"/>
      <c r="AD411" s="111" t="n"/>
      <c r="AE411" s="111" t="n"/>
      <c r="AF411" s="111" t="n"/>
      <c r="AG411" s="111" t="n"/>
      <c r="AH411" s="111" t="n"/>
      <c r="AI411" s="111" t="n"/>
      <c r="AJ411" s="114">
        <f>IF(COUNTA(B411,E411,H411,I411,J411,K411,L411,M411,N411,O411,P411,Q411,R411,S411,T411,U411,V411,W411,X411,Y411,Z411,AA411,AB411,AC411,AD411,AE411,AF411,AG411,AH411,AI411)=0,"",IF(OR(B411="",E411="",H411="",J411="",K411="",L411="",M411="",O411="",P411="",Q411="",R411="",S411="",T411="",U411="",W411="",X411="",Y411="",AB411="",AC411="",AE411="",AF411=""),"Incompleta: faltan campos obligatorios",IF(AND(LEFT(H411,6)="PROPIA",I411=""),"Falta el nombre de la acción propia del área",IF(AND(LEFT(H411,4)="AC27",IFERROR(INDEX('Catalogos_PDN'!$T$5:$T$207,MATCH(H411,'Catalogos_PDN'!$U$5:$U$207,0)),"x")&lt;&gt;LEFT(E411,7)),"La acción no corresponde a la meta seleccionada",IF(OR(NOT(ISNUMBER(M411)),M411&lt;10000000,M411&gt;99999999),"Código UNSPSC inválido: registre 8 dígitos",IF(MOD(M411,10000)=0,"UNSPSC a nivel de segmento o familia: use clase o producto",IF(IFERROR(MATCH(P411,PN_MESES,0)&lt;MATCH(O411,PN_MESES,0),TRUE()),"El mes de ofertas es anterior al de inicio del proceso",IF(OR(NOT(ISNUMBER(Q411)),Q411&lt;=0),"Duración inválida",IF(OR(NOT(ISNUMBER(W411)),NOT(ISNUMBER(X411))),"Valor inválido: registre solo números",IF(OR(W411&lt;=0,X411&lt;=0),"Valor inválido: debe ser mayor que cero",IF(X411&gt;W411,"El valor de la vigencia 2027 supera el valor total",IF(AND(X411&lt;W411,Y411="No"),"El valor total supera el de 2027: requiere vigencias futuras",IF(AND(Y411="Sí",OR(Z411="",Z411="No aplica")),"Indique el estado de la solicitud de vigencias futuras",IF(IF(AND(S411="Mínima cuantía",ISNUMBER(PN_TOPE_MINIMA)),W411&gt;PN_TOPE_MINIMA,FALSE()),"El valor supera el tope de mínima cuantía 2027",IF(IF(AND(S411="Selección abreviada de menor cuantía",ISNUMBER(PN_TOPE_MENOR)),W411&gt;PN_TOPE_MENOR,FALSE()),"El valor supera el tope de menor cuantía 2027",IF(OR(ISERROR(SEARCH("@itc.edu.co",AE411)),SUMPRODUCT(--ISNUMBER(SEARCH({"á","é","í","ó","ú","ñ"," "},AE411)))&gt;0),"El correo del responsable no es institucional válido",IF(AND(AF411="Sí",AG411=""),"Indique el N.° de registro 2026 que continúa","OK")))))))))))))))))</f>
        <v/>
      </c>
      <c r="AK411" s="114">
        <f>IF(AJ411="OK",COUNTIF($AJ$7:AJ411,"OK"),"")</f>
        <v/>
      </c>
    </row>
    <row r="412">
      <c r="A412" s="110">
        <f>"PN27-"&amp;TEXT(ROW()-6,"000")</f>
        <v/>
      </c>
      <c r="B412" s="111" t="n"/>
      <c r="C412" s="110">
        <f>IF(B412="","",IFERROR(INDEX('Catalogos_PDN'!$R$5:$R$51,MATCH(B412,PN_AREAS,0)),""))</f>
        <v/>
      </c>
      <c r="D412" s="110">
        <f>IF(B412="","",IFERROR(INDEX('Catalogos_PDN'!$O$5:$O$51,MATCH(B412,PN_AREAS,0)),""))</f>
        <v/>
      </c>
      <c r="E412" s="111" t="n"/>
      <c r="F412" s="110">
        <f>IF(E412="","",IFERROR(INDEX('Catalogos_PDN'!$C$5:$C$49,MATCH(E412,PN_METAS,0)),""))</f>
        <v/>
      </c>
      <c r="G412" s="110">
        <f>IF(E412="","",IFERROR(INDEX('Catalogos_PDN'!$E$5:$E$49,MATCH(E412,PN_METAS,0)),""))</f>
        <v/>
      </c>
      <c r="H412" s="111" t="n"/>
      <c r="I412" s="111" t="n"/>
      <c r="J412" s="111" t="n"/>
      <c r="K412" s="111" t="n"/>
      <c r="L412" s="111" t="n"/>
      <c r="M412" s="112" t="n"/>
      <c r="N412" s="111" t="n"/>
      <c r="O412" s="111" t="n"/>
      <c r="P412" s="111" t="n"/>
      <c r="Q412" s="111" t="n"/>
      <c r="R412" s="111" t="n"/>
      <c r="S412" s="111" t="n"/>
      <c r="T412" s="111" t="n"/>
      <c r="U412" s="111" t="n"/>
      <c r="V412" s="111" t="n"/>
      <c r="W412" s="113" t="n"/>
      <c r="X412" s="113" t="n"/>
      <c r="Y412" s="111" t="n"/>
      <c r="Z412" s="111" t="n"/>
      <c r="AA412" s="111" t="n"/>
      <c r="AB412" s="111" t="n"/>
      <c r="AC412" s="111" t="n"/>
      <c r="AD412" s="111" t="n"/>
      <c r="AE412" s="111" t="n"/>
      <c r="AF412" s="111" t="n"/>
      <c r="AG412" s="111" t="n"/>
      <c r="AH412" s="111" t="n"/>
      <c r="AI412" s="111" t="n"/>
      <c r="AJ412" s="114">
        <f>IF(COUNTA(B412,E412,H412,I412,J412,K412,L412,M412,N412,O412,P412,Q412,R412,S412,T412,U412,V412,W412,X412,Y412,Z412,AA412,AB412,AC412,AD412,AE412,AF412,AG412,AH412,AI412)=0,"",IF(OR(B412="",E412="",H412="",J412="",K412="",L412="",M412="",O412="",P412="",Q412="",R412="",S412="",T412="",U412="",W412="",X412="",Y412="",AB412="",AC412="",AE412="",AF412=""),"Incompleta: faltan campos obligatorios",IF(AND(LEFT(H412,6)="PROPIA",I412=""),"Falta el nombre de la acción propia del área",IF(AND(LEFT(H412,4)="AC27",IFERROR(INDEX('Catalogos_PDN'!$T$5:$T$207,MATCH(H412,'Catalogos_PDN'!$U$5:$U$207,0)),"x")&lt;&gt;LEFT(E412,7)),"La acción no corresponde a la meta seleccionada",IF(OR(NOT(ISNUMBER(M412)),M412&lt;10000000,M412&gt;99999999),"Código UNSPSC inválido: registre 8 dígitos",IF(MOD(M412,10000)=0,"UNSPSC a nivel de segmento o familia: use clase o producto",IF(IFERROR(MATCH(P412,PN_MESES,0)&lt;MATCH(O412,PN_MESES,0),TRUE()),"El mes de ofertas es anterior al de inicio del proceso",IF(OR(NOT(ISNUMBER(Q412)),Q412&lt;=0),"Duración inválida",IF(OR(NOT(ISNUMBER(W412)),NOT(ISNUMBER(X412))),"Valor inválido: registre solo números",IF(OR(W412&lt;=0,X412&lt;=0),"Valor inválido: debe ser mayor que cero",IF(X412&gt;W412,"El valor de la vigencia 2027 supera el valor total",IF(AND(X412&lt;W412,Y412="No"),"El valor total supera el de 2027: requiere vigencias futuras",IF(AND(Y412="Sí",OR(Z412="",Z412="No aplica")),"Indique el estado de la solicitud de vigencias futuras",IF(IF(AND(S412="Mínima cuantía",ISNUMBER(PN_TOPE_MINIMA)),W412&gt;PN_TOPE_MINIMA,FALSE()),"El valor supera el tope de mínima cuantía 2027",IF(IF(AND(S412="Selección abreviada de menor cuantía",ISNUMBER(PN_TOPE_MENOR)),W412&gt;PN_TOPE_MENOR,FALSE()),"El valor supera el tope de menor cuantía 2027",IF(OR(ISERROR(SEARCH("@itc.edu.co",AE412)),SUMPRODUCT(--ISNUMBER(SEARCH({"á","é","í","ó","ú","ñ"," "},AE412)))&gt;0),"El correo del responsable no es institucional válido",IF(AND(AF412="Sí",AG412=""),"Indique el N.° de registro 2026 que continúa","OK")))))))))))))))))</f>
        <v/>
      </c>
      <c r="AK412" s="114">
        <f>IF(AJ412="OK",COUNTIF($AJ$7:AJ412,"OK"),"")</f>
        <v/>
      </c>
    </row>
    <row r="413">
      <c r="A413" s="110">
        <f>"PN27-"&amp;TEXT(ROW()-6,"000")</f>
        <v/>
      </c>
      <c r="B413" s="111" t="n"/>
      <c r="C413" s="110">
        <f>IF(B413="","",IFERROR(INDEX('Catalogos_PDN'!$R$5:$R$51,MATCH(B413,PN_AREAS,0)),""))</f>
        <v/>
      </c>
      <c r="D413" s="110">
        <f>IF(B413="","",IFERROR(INDEX('Catalogos_PDN'!$O$5:$O$51,MATCH(B413,PN_AREAS,0)),""))</f>
        <v/>
      </c>
      <c r="E413" s="111" t="n"/>
      <c r="F413" s="110">
        <f>IF(E413="","",IFERROR(INDEX('Catalogos_PDN'!$C$5:$C$49,MATCH(E413,PN_METAS,0)),""))</f>
        <v/>
      </c>
      <c r="G413" s="110">
        <f>IF(E413="","",IFERROR(INDEX('Catalogos_PDN'!$E$5:$E$49,MATCH(E413,PN_METAS,0)),""))</f>
        <v/>
      </c>
      <c r="H413" s="111" t="n"/>
      <c r="I413" s="111" t="n"/>
      <c r="J413" s="111" t="n"/>
      <c r="K413" s="111" t="n"/>
      <c r="L413" s="111" t="n"/>
      <c r="M413" s="112" t="n"/>
      <c r="N413" s="111" t="n"/>
      <c r="O413" s="111" t="n"/>
      <c r="P413" s="111" t="n"/>
      <c r="Q413" s="111" t="n"/>
      <c r="R413" s="111" t="n"/>
      <c r="S413" s="111" t="n"/>
      <c r="T413" s="111" t="n"/>
      <c r="U413" s="111" t="n"/>
      <c r="V413" s="111" t="n"/>
      <c r="W413" s="113" t="n"/>
      <c r="X413" s="113" t="n"/>
      <c r="Y413" s="111" t="n"/>
      <c r="Z413" s="111" t="n"/>
      <c r="AA413" s="111" t="n"/>
      <c r="AB413" s="111" t="n"/>
      <c r="AC413" s="111" t="n"/>
      <c r="AD413" s="111" t="n"/>
      <c r="AE413" s="111" t="n"/>
      <c r="AF413" s="111" t="n"/>
      <c r="AG413" s="111" t="n"/>
      <c r="AH413" s="111" t="n"/>
      <c r="AI413" s="111" t="n"/>
      <c r="AJ413" s="114">
        <f>IF(COUNTA(B413,E413,H413,I413,J413,K413,L413,M413,N413,O413,P413,Q413,R413,S413,T413,U413,V413,W413,X413,Y413,Z413,AA413,AB413,AC413,AD413,AE413,AF413,AG413,AH413,AI413)=0,"",IF(OR(B413="",E413="",H413="",J413="",K413="",L413="",M413="",O413="",P413="",Q413="",R413="",S413="",T413="",U413="",W413="",X413="",Y413="",AB413="",AC413="",AE413="",AF413=""),"Incompleta: faltan campos obligatorios",IF(AND(LEFT(H413,6)="PROPIA",I413=""),"Falta el nombre de la acción propia del área",IF(AND(LEFT(H413,4)="AC27",IFERROR(INDEX('Catalogos_PDN'!$T$5:$T$207,MATCH(H413,'Catalogos_PDN'!$U$5:$U$207,0)),"x")&lt;&gt;LEFT(E413,7)),"La acción no corresponde a la meta seleccionada",IF(OR(NOT(ISNUMBER(M413)),M413&lt;10000000,M413&gt;99999999),"Código UNSPSC inválido: registre 8 dígitos",IF(MOD(M413,10000)=0,"UNSPSC a nivel de segmento o familia: use clase o producto",IF(IFERROR(MATCH(P413,PN_MESES,0)&lt;MATCH(O413,PN_MESES,0),TRUE()),"El mes de ofertas es anterior al de inicio del proceso",IF(OR(NOT(ISNUMBER(Q413)),Q413&lt;=0),"Duración inválida",IF(OR(NOT(ISNUMBER(W413)),NOT(ISNUMBER(X413))),"Valor inválido: registre solo números",IF(OR(W413&lt;=0,X413&lt;=0),"Valor inválido: debe ser mayor que cero",IF(X413&gt;W413,"El valor de la vigencia 2027 supera el valor total",IF(AND(X413&lt;W413,Y413="No"),"El valor total supera el de 2027: requiere vigencias futuras",IF(AND(Y413="Sí",OR(Z413="",Z413="No aplica")),"Indique el estado de la solicitud de vigencias futuras",IF(IF(AND(S413="Mínima cuantía",ISNUMBER(PN_TOPE_MINIMA)),W413&gt;PN_TOPE_MINIMA,FALSE()),"El valor supera el tope de mínima cuantía 2027",IF(IF(AND(S413="Selección abreviada de menor cuantía",ISNUMBER(PN_TOPE_MENOR)),W413&gt;PN_TOPE_MENOR,FALSE()),"El valor supera el tope de menor cuantía 2027",IF(OR(ISERROR(SEARCH("@itc.edu.co",AE413)),SUMPRODUCT(--ISNUMBER(SEARCH({"á","é","í","ó","ú","ñ"," "},AE413)))&gt;0),"El correo del responsable no es institucional válido",IF(AND(AF413="Sí",AG413=""),"Indique el N.° de registro 2026 que continúa","OK")))))))))))))))))</f>
        <v/>
      </c>
      <c r="AK413" s="114">
        <f>IF(AJ413="OK",COUNTIF($AJ$7:AJ413,"OK"),"")</f>
        <v/>
      </c>
    </row>
    <row r="414">
      <c r="A414" s="110">
        <f>"PN27-"&amp;TEXT(ROW()-6,"000")</f>
        <v/>
      </c>
      <c r="B414" s="111" t="n"/>
      <c r="C414" s="110">
        <f>IF(B414="","",IFERROR(INDEX('Catalogos_PDN'!$R$5:$R$51,MATCH(B414,PN_AREAS,0)),""))</f>
        <v/>
      </c>
      <c r="D414" s="110">
        <f>IF(B414="","",IFERROR(INDEX('Catalogos_PDN'!$O$5:$O$51,MATCH(B414,PN_AREAS,0)),""))</f>
        <v/>
      </c>
      <c r="E414" s="111" t="n"/>
      <c r="F414" s="110">
        <f>IF(E414="","",IFERROR(INDEX('Catalogos_PDN'!$C$5:$C$49,MATCH(E414,PN_METAS,0)),""))</f>
        <v/>
      </c>
      <c r="G414" s="110">
        <f>IF(E414="","",IFERROR(INDEX('Catalogos_PDN'!$E$5:$E$49,MATCH(E414,PN_METAS,0)),""))</f>
        <v/>
      </c>
      <c r="H414" s="111" t="n"/>
      <c r="I414" s="111" t="n"/>
      <c r="J414" s="111" t="n"/>
      <c r="K414" s="111" t="n"/>
      <c r="L414" s="111" t="n"/>
      <c r="M414" s="112" t="n"/>
      <c r="N414" s="111" t="n"/>
      <c r="O414" s="111" t="n"/>
      <c r="P414" s="111" t="n"/>
      <c r="Q414" s="111" t="n"/>
      <c r="R414" s="111" t="n"/>
      <c r="S414" s="111" t="n"/>
      <c r="T414" s="111" t="n"/>
      <c r="U414" s="111" t="n"/>
      <c r="V414" s="111" t="n"/>
      <c r="W414" s="113" t="n"/>
      <c r="X414" s="113" t="n"/>
      <c r="Y414" s="111" t="n"/>
      <c r="Z414" s="111" t="n"/>
      <c r="AA414" s="111" t="n"/>
      <c r="AB414" s="111" t="n"/>
      <c r="AC414" s="111" t="n"/>
      <c r="AD414" s="111" t="n"/>
      <c r="AE414" s="111" t="n"/>
      <c r="AF414" s="111" t="n"/>
      <c r="AG414" s="111" t="n"/>
      <c r="AH414" s="111" t="n"/>
      <c r="AI414" s="111" t="n"/>
      <c r="AJ414" s="114">
        <f>IF(COUNTA(B414,E414,H414,I414,J414,K414,L414,M414,N414,O414,P414,Q414,R414,S414,T414,U414,V414,W414,X414,Y414,Z414,AA414,AB414,AC414,AD414,AE414,AF414,AG414,AH414,AI414)=0,"",IF(OR(B414="",E414="",H414="",J414="",K414="",L414="",M414="",O414="",P414="",Q414="",R414="",S414="",T414="",U414="",W414="",X414="",Y414="",AB414="",AC414="",AE414="",AF414=""),"Incompleta: faltan campos obligatorios",IF(AND(LEFT(H414,6)="PROPIA",I414=""),"Falta el nombre de la acción propia del área",IF(AND(LEFT(H414,4)="AC27",IFERROR(INDEX('Catalogos_PDN'!$T$5:$T$207,MATCH(H414,'Catalogos_PDN'!$U$5:$U$207,0)),"x")&lt;&gt;LEFT(E414,7)),"La acción no corresponde a la meta seleccionada",IF(OR(NOT(ISNUMBER(M414)),M414&lt;10000000,M414&gt;99999999),"Código UNSPSC inválido: registre 8 dígitos",IF(MOD(M414,10000)=0,"UNSPSC a nivel de segmento o familia: use clase o producto",IF(IFERROR(MATCH(P414,PN_MESES,0)&lt;MATCH(O414,PN_MESES,0),TRUE()),"El mes de ofertas es anterior al de inicio del proceso",IF(OR(NOT(ISNUMBER(Q414)),Q414&lt;=0),"Duración inválida",IF(OR(NOT(ISNUMBER(W414)),NOT(ISNUMBER(X414))),"Valor inválido: registre solo números",IF(OR(W414&lt;=0,X414&lt;=0),"Valor inválido: debe ser mayor que cero",IF(X414&gt;W414,"El valor de la vigencia 2027 supera el valor total",IF(AND(X414&lt;W414,Y414="No"),"El valor total supera el de 2027: requiere vigencias futuras",IF(AND(Y414="Sí",OR(Z414="",Z414="No aplica")),"Indique el estado de la solicitud de vigencias futuras",IF(IF(AND(S414="Mínima cuantía",ISNUMBER(PN_TOPE_MINIMA)),W414&gt;PN_TOPE_MINIMA,FALSE()),"El valor supera el tope de mínima cuantía 2027",IF(IF(AND(S414="Selección abreviada de menor cuantía",ISNUMBER(PN_TOPE_MENOR)),W414&gt;PN_TOPE_MENOR,FALSE()),"El valor supera el tope de menor cuantía 2027",IF(OR(ISERROR(SEARCH("@itc.edu.co",AE414)),SUMPRODUCT(--ISNUMBER(SEARCH({"á","é","í","ó","ú","ñ"," "},AE414)))&gt;0),"El correo del responsable no es institucional válido",IF(AND(AF414="Sí",AG414=""),"Indique el N.° de registro 2026 que continúa","OK")))))))))))))))))</f>
        <v/>
      </c>
      <c r="AK414" s="114">
        <f>IF(AJ414="OK",COUNTIF($AJ$7:AJ414,"OK"),"")</f>
        <v/>
      </c>
    </row>
    <row r="415">
      <c r="A415" s="110">
        <f>"PN27-"&amp;TEXT(ROW()-6,"000")</f>
        <v/>
      </c>
      <c r="B415" s="111" t="n"/>
      <c r="C415" s="110">
        <f>IF(B415="","",IFERROR(INDEX('Catalogos_PDN'!$R$5:$R$51,MATCH(B415,PN_AREAS,0)),""))</f>
        <v/>
      </c>
      <c r="D415" s="110">
        <f>IF(B415="","",IFERROR(INDEX('Catalogos_PDN'!$O$5:$O$51,MATCH(B415,PN_AREAS,0)),""))</f>
        <v/>
      </c>
      <c r="E415" s="111" t="n"/>
      <c r="F415" s="110">
        <f>IF(E415="","",IFERROR(INDEX('Catalogos_PDN'!$C$5:$C$49,MATCH(E415,PN_METAS,0)),""))</f>
        <v/>
      </c>
      <c r="G415" s="110">
        <f>IF(E415="","",IFERROR(INDEX('Catalogos_PDN'!$E$5:$E$49,MATCH(E415,PN_METAS,0)),""))</f>
        <v/>
      </c>
      <c r="H415" s="111" t="n"/>
      <c r="I415" s="111" t="n"/>
      <c r="J415" s="111" t="n"/>
      <c r="K415" s="111" t="n"/>
      <c r="L415" s="111" t="n"/>
      <c r="M415" s="112" t="n"/>
      <c r="N415" s="111" t="n"/>
      <c r="O415" s="111" t="n"/>
      <c r="P415" s="111" t="n"/>
      <c r="Q415" s="111" t="n"/>
      <c r="R415" s="111" t="n"/>
      <c r="S415" s="111" t="n"/>
      <c r="T415" s="111" t="n"/>
      <c r="U415" s="111" t="n"/>
      <c r="V415" s="111" t="n"/>
      <c r="W415" s="113" t="n"/>
      <c r="X415" s="113" t="n"/>
      <c r="Y415" s="111" t="n"/>
      <c r="Z415" s="111" t="n"/>
      <c r="AA415" s="111" t="n"/>
      <c r="AB415" s="111" t="n"/>
      <c r="AC415" s="111" t="n"/>
      <c r="AD415" s="111" t="n"/>
      <c r="AE415" s="111" t="n"/>
      <c r="AF415" s="111" t="n"/>
      <c r="AG415" s="111" t="n"/>
      <c r="AH415" s="111" t="n"/>
      <c r="AI415" s="111" t="n"/>
      <c r="AJ415" s="114">
        <f>IF(COUNTA(B415,E415,H415,I415,J415,K415,L415,M415,N415,O415,P415,Q415,R415,S415,T415,U415,V415,W415,X415,Y415,Z415,AA415,AB415,AC415,AD415,AE415,AF415,AG415,AH415,AI415)=0,"",IF(OR(B415="",E415="",H415="",J415="",K415="",L415="",M415="",O415="",P415="",Q415="",R415="",S415="",T415="",U415="",W415="",X415="",Y415="",AB415="",AC415="",AE415="",AF415=""),"Incompleta: faltan campos obligatorios",IF(AND(LEFT(H415,6)="PROPIA",I415=""),"Falta el nombre de la acción propia del área",IF(AND(LEFT(H415,4)="AC27",IFERROR(INDEX('Catalogos_PDN'!$T$5:$T$207,MATCH(H415,'Catalogos_PDN'!$U$5:$U$207,0)),"x")&lt;&gt;LEFT(E415,7)),"La acción no corresponde a la meta seleccionada",IF(OR(NOT(ISNUMBER(M415)),M415&lt;10000000,M415&gt;99999999),"Código UNSPSC inválido: registre 8 dígitos",IF(MOD(M415,10000)=0,"UNSPSC a nivel de segmento o familia: use clase o producto",IF(IFERROR(MATCH(P415,PN_MESES,0)&lt;MATCH(O415,PN_MESES,0),TRUE()),"El mes de ofertas es anterior al de inicio del proceso",IF(OR(NOT(ISNUMBER(Q415)),Q415&lt;=0),"Duración inválida",IF(OR(NOT(ISNUMBER(W415)),NOT(ISNUMBER(X415))),"Valor inválido: registre solo números",IF(OR(W415&lt;=0,X415&lt;=0),"Valor inválido: debe ser mayor que cero",IF(X415&gt;W415,"El valor de la vigencia 2027 supera el valor total",IF(AND(X415&lt;W415,Y415="No"),"El valor total supera el de 2027: requiere vigencias futuras",IF(AND(Y415="Sí",OR(Z415="",Z415="No aplica")),"Indique el estado de la solicitud de vigencias futuras",IF(IF(AND(S415="Mínima cuantía",ISNUMBER(PN_TOPE_MINIMA)),W415&gt;PN_TOPE_MINIMA,FALSE()),"El valor supera el tope de mínima cuantía 2027",IF(IF(AND(S415="Selección abreviada de menor cuantía",ISNUMBER(PN_TOPE_MENOR)),W415&gt;PN_TOPE_MENOR,FALSE()),"El valor supera el tope de menor cuantía 2027",IF(OR(ISERROR(SEARCH("@itc.edu.co",AE415)),SUMPRODUCT(--ISNUMBER(SEARCH({"á","é","í","ó","ú","ñ"," "},AE415)))&gt;0),"El correo del responsable no es institucional válido",IF(AND(AF415="Sí",AG415=""),"Indique el N.° de registro 2026 que continúa","OK")))))))))))))))))</f>
        <v/>
      </c>
      <c r="AK415" s="114">
        <f>IF(AJ415="OK",COUNTIF($AJ$7:AJ415,"OK"),"")</f>
        <v/>
      </c>
    </row>
    <row r="416">
      <c r="A416" s="110">
        <f>"PN27-"&amp;TEXT(ROW()-6,"000")</f>
        <v/>
      </c>
      <c r="B416" s="111" t="n"/>
      <c r="C416" s="110">
        <f>IF(B416="","",IFERROR(INDEX('Catalogos_PDN'!$R$5:$R$51,MATCH(B416,PN_AREAS,0)),""))</f>
        <v/>
      </c>
      <c r="D416" s="110">
        <f>IF(B416="","",IFERROR(INDEX('Catalogos_PDN'!$O$5:$O$51,MATCH(B416,PN_AREAS,0)),""))</f>
        <v/>
      </c>
      <c r="E416" s="111" t="n"/>
      <c r="F416" s="110">
        <f>IF(E416="","",IFERROR(INDEX('Catalogos_PDN'!$C$5:$C$49,MATCH(E416,PN_METAS,0)),""))</f>
        <v/>
      </c>
      <c r="G416" s="110">
        <f>IF(E416="","",IFERROR(INDEX('Catalogos_PDN'!$E$5:$E$49,MATCH(E416,PN_METAS,0)),""))</f>
        <v/>
      </c>
      <c r="H416" s="111" t="n"/>
      <c r="I416" s="111" t="n"/>
      <c r="J416" s="111" t="n"/>
      <c r="K416" s="111" t="n"/>
      <c r="L416" s="111" t="n"/>
      <c r="M416" s="112" t="n"/>
      <c r="N416" s="111" t="n"/>
      <c r="O416" s="111" t="n"/>
      <c r="P416" s="111" t="n"/>
      <c r="Q416" s="111" t="n"/>
      <c r="R416" s="111" t="n"/>
      <c r="S416" s="111" t="n"/>
      <c r="T416" s="111" t="n"/>
      <c r="U416" s="111" t="n"/>
      <c r="V416" s="111" t="n"/>
      <c r="W416" s="113" t="n"/>
      <c r="X416" s="113" t="n"/>
      <c r="Y416" s="111" t="n"/>
      <c r="Z416" s="111" t="n"/>
      <c r="AA416" s="111" t="n"/>
      <c r="AB416" s="111" t="n"/>
      <c r="AC416" s="111" t="n"/>
      <c r="AD416" s="111" t="n"/>
      <c r="AE416" s="111" t="n"/>
      <c r="AF416" s="111" t="n"/>
      <c r="AG416" s="111" t="n"/>
      <c r="AH416" s="111" t="n"/>
      <c r="AI416" s="111" t="n"/>
      <c r="AJ416" s="114">
        <f>IF(COUNTA(B416,E416,H416,I416,J416,K416,L416,M416,N416,O416,P416,Q416,R416,S416,T416,U416,V416,W416,X416,Y416,Z416,AA416,AB416,AC416,AD416,AE416,AF416,AG416,AH416,AI416)=0,"",IF(OR(B416="",E416="",H416="",J416="",K416="",L416="",M416="",O416="",P416="",Q416="",R416="",S416="",T416="",U416="",W416="",X416="",Y416="",AB416="",AC416="",AE416="",AF416=""),"Incompleta: faltan campos obligatorios",IF(AND(LEFT(H416,6)="PROPIA",I416=""),"Falta el nombre de la acción propia del área",IF(AND(LEFT(H416,4)="AC27",IFERROR(INDEX('Catalogos_PDN'!$T$5:$T$207,MATCH(H416,'Catalogos_PDN'!$U$5:$U$207,0)),"x")&lt;&gt;LEFT(E416,7)),"La acción no corresponde a la meta seleccionada",IF(OR(NOT(ISNUMBER(M416)),M416&lt;10000000,M416&gt;99999999),"Código UNSPSC inválido: registre 8 dígitos",IF(MOD(M416,10000)=0,"UNSPSC a nivel de segmento o familia: use clase o producto",IF(IFERROR(MATCH(P416,PN_MESES,0)&lt;MATCH(O416,PN_MESES,0),TRUE()),"El mes de ofertas es anterior al de inicio del proceso",IF(OR(NOT(ISNUMBER(Q416)),Q416&lt;=0),"Duración inválida",IF(OR(NOT(ISNUMBER(W416)),NOT(ISNUMBER(X416))),"Valor inválido: registre solo números",IF(OR(W416&lt;=0,X416&lt;=0),"Valor inválido: debe ser mayor que cero",IF(X416&gt;W416,"El valor de la vigencia 2027 supera el valor total",IF(AND(X416&lt;W416,Y416="No"),"El valor total supera el de 2027: requiere vigencias futuras",IF(AND(Y416="Sí",OR(Z416="",Z416="No aplica")),"Indique el estado de la solicitud de vigencias futuras",IF(IF(AND(S416="Mínima cuantía",ISNUMBER(PN_TOPE_MINIMA)),W416&gt;PN_TOPE_MINIMA,FALSE()),"El valor supera el tope de mínima cuantía 2027",IF(IF(AND(S416="Selección abreviada de menor cuantía",ISNUMBER(PN_TOPE_MENOR)),W416&gt;PN_TOPE_MENOR,FALSE()),"El valor supera el tope de menor cuantía 2027",IF(OR(ISERROR(SEARCH("@itc.edu.co",AE416)),SUMPRODUCT(--ISNUMBER(SEARCH({"á","é","í","ó","ú","ñ"," "},AE416)))&gt;0),"El correo del responsable no es institucional válido",IF(AND(AF416="Sí",AG416=""),"Indique el N.° de registro 2026 que continúa","OK")))))))))))))))))</f>
        <v/>
      </c>
      <c r="AK416" s="114">
        <f>IF(AJ416="OK",COUNTIF($AJ$7:AJ416,"OK"),"")</f>
        <v/>
      </c>
    </row>
    <row r="417">
      <c r="A417" s="110">
        <f>"PN27-"&amp;TEXT(ROW()-6,"000")</f>
        <v/>
      </c>
      <c r="B417" s="111" t="n"/>
      <c r="C417" s="110">
        <f>IF(B417="","",IFERROR(INDEX('Catalogos_PDN'!$R$5:$R$51,MATCH(B417,PN_AREAS,0)),""))</f>
        <v/>
      </c>
      <c r="D417" s="110">
        <f>IF(B417="","",IFERROR(INDEX('Catalogos_PDN'!$O$5:$O$51,MATCH(B417,PN_AREAS,0)),""))</f>
        <v/>
      </c>
      <c r="E417" s="111" t="n"/>
      <c r="F417" s="110">
        <f>IF(E417="","",IFERROR(INDEX('Catalogos_PDN'!$C$5:$C$49,MATCH(E417,PN_METAS,0)),""))</f>
        <v/>
      </c>
      <c r="G417" s="110">
        <f>IF(E417="","",IFERROR(INDEX('Catalogos_PDN'!$E$5:$E$49,MATCH(E417,PN_METAS,0)),""))</f>
        <v/>
      </c>
      <c r="H417" s="111" t="n"/>
      <c r="I417" s="111" t="n"/>
      <c r="J417" s="111" t="n"/>
      <c r="K417" s="111" t="n"/>
      <c r="L417" s="111" t="n"/>
      <c r="M417" s="112" t="n"/>
      <c r="N417" s="111" t="n"/>
      <c r="O417" s="111" t="n"/>
      <c r="P417" s="111" t="n"/>
      <c r="Q417" s="111" t="n"/>
      <c r="R417" s="111" t="n"/>
      <c r="S417" s="111" t="n"/>
      <c r="T417" s="111" t="n"/>
      <c r="U417" s="111" t="n"/>
      <c r="V417" s="111" t="n"/>
      <c r="W417" s="113" t="n"/>
      <c r="X417" s="113" t="n"/>
      <c r="Y417" s="111" t="n"/>
      <c r="Z417" s="111" t="n"/>
      <c r="AA417" s="111" t="n"/>
      <c r="AB417" s="111" t="n"/>
      <c r="AC417" s="111" t="n"/>
      <c r="AD417" s="111" t="n"/>
      <c r="AE417" s="111" t="n"/>
      <c r="AF417" s="111" t="n"/>
      <c r="AG417" s="111" t="n"/>
      <c r="AH417" s="111" t="n"/>
      <c r="AI417" s="111" t="n"/>
      <c r="AJ417" s="114">
        <f>IF(COUNTA(B417,E417,H417,I417,J417,K417,L417,M417,N417,O417,P417,Q417,R417,S417,T417,U417,V417,W417,X417,Y417,Z417,AA417,AB417,AC417,AD417,AE417,AF417,AG417,AH417,AI417)=0,"",IF(OR(B417="",E417="",H417="",J417="",K417="",L417="",M417="",O417="",P417="",Q417="",R417="",S417="",T417="",U417="",W417="",X417="",Y417="",AB417="",AC417="",AE417="",AF417=""),"Incompleta: faltan campos obligatorios",IF(AND(LEFT(H417,6)="PROPIA",I417=""),"Falta el nombre de la acción propia del área",IF(AND(LEFT(H417,4)="AC27",IFERROR(INDEX('Catalogos_PDN'!$T$5:$T$207,MATCH(H417,'Catalogos_PDN'!$U$5:$U$207,0)),"x")&lt;&gt;LEFT(E417,7)),"La acción no corresponde a la meta seleccionada",IF(OR(NOT(ISNUMBER(M417)),M417&lt;10000000,M417&gt;99999999),"Código UNSPSC inválido: registre 8 dígitos",IF(MOD(M417,10000)=0,"UNSPSC a nivel de segmento o familia: use clase o producto",IF(IFERROR(MATCH(P417,PN_MESES,0)&lt;MATCH(O417,PN_MESES,0),TRUE()),"El mes de ofertas es anterior al de inicio del proceso",IF(OR(NOT(ISNUMBER(Q417)),Q417&lt;=0),"Duración inválida",IF(OR(NOT(ISNUMBER(W417)),NOT(ISNUMBER(X417))),"Valor inválido: registre solo números",IF(OR(W417&lt;=0,X417&lt;=0),"Valor inválido: debe ser mayor que cero",IF(X417&gt;W417,"El valor de la vigencia 2027 supera el valor total",IF(AND(X417&lt;W417,Y417="No"),"El valor total supera el de 2027: requiere vigencias futuras",IF(AND(Y417="Sí",OR(Z417="",Z417="No aplica")),"Indique el estado de la solicitud de vigencias futuras",IF(IF(AND(S417="Mínima cuantía",ISNUMBER(PN_TOPE_MINIMA)),W417&gt;PN_TOPE_MINIMA,FALSE()),"El valor supera el tope de mínima cuantía 2027",IF(IF(AND(S417="Selección abreviada de menor cuantía",ISNUMBER(PN_TOPE_MENOR)),W417&gt;PN_TOPE_MENOR,FALSE()),"El valor supera el tope de menor cuantía 2027",IF(OR(ISERROR(SEARCH("@itc.edu.co",AE417)),SUMPRODUCT(--ISNUMBER(SEARCH({"á","é","í","ó","ú","ñ"," "},AE417)))&gt;0),"El correo del responsable no es institucional válido",IF(AND(AF417="Sí",AG417=""),"Indique el N.° de registro 2026 que continúa","OK")))))))))))))))))</f>
        <v/>
      </c>
      <c r="AK417" s="114">
        <f>IF(AJ417="OK",COUNTIF($AJ$7:AJ417,"OK"),"")</f>
        <v/>
      </c>
    </row>
    <row r="418">
      <c r="A418" s="110">
        <f>"PN27-"&amp;TEXT(ROW()-6,"000")</f>
        <v/>
      </c>
      <c r="B418" s="111" t="n"/>
      <c r="C418" s="110">
        <f>IF(B418="","",IFERROR(INDEX('Catalogos_PDN'!$R$5:$R$51,MATCH(B418,PN_AREAS,0)),""))</f>
        <v/>
      </c>
      <c r="D418" s="110">
        <f>IF(B418="","",IFERROR(INDEX('Catalogos_PDN'!$O$5:$O$51,MATCH(B418,PN_AREAS,0)),""))</f>
        <v/>
      </c>
      <c r="E418" s="111" t="n"/>
      <c r="F418" s="110">
        <f>IF(E418="","",IFERROR(INDEX('Catalogos_PDN'!$C$5:$C$49,MATCH(E418,PN_METAS,0)),""))</f>
        <v/>
      </c>
      <c r="G418" s="110">
        <f>IF(E418="","",IFERROR(INDEX('Catalogos_PDN'!$E$5:$E$49,MATCH(E418,PN_METAS,0)),""))</f>
        <v/>
      </c>
      <c r="H418" s="111" t="n"/>
      <c r="I418" s="111" t="n"/>
      <c r="J418" s="111" t="n"/>
      <c r="K418" s="111" t="n"/>
      <c r="L418" s="111" t="n"/>
      <c r="M418" s="112" t="n"/>
      <c r="N418" s="111" t="n"/>
      <c r="O418" s="111" t="n"/>
      <c r="P418" s="111" t="n"/>
      <c r="Q418" s="111" t="n"/>
      <c r="R418" s="111" t="n"/>
      <c r="S418" s="111" t="n"/>
      <c r="T418" s="111" t="n"/>
      <c r="U418" s="111" t="n"/>
      <c r="V418" s="111" t="n"/>
      <c r="W418" s="113" t="n"/>
      <c r="X418" s="113" t="n"/>
      <c r="Y418" s="111" t="n"/>
      <c r="Z418" s="111" t="n"/>
      <c r="AA418" s="111" t="n"/>
      <c r="AB418" s="111" t="n"/>
      <c r="AC418" s="111" t="n"/>
      <c r="AD418" s="111" t="n"/>
      <c r="AE418" s="111" t="n"/>
      <c r="AF418" s="111" t="n"/>
      <c r="AG418" s="111" t="n"/>
      <c r="AH418" s="111" t="n"/>
      <c r="AI418" s="111" t="n"/>
      <c r="AJ418" s="114">
        <f>IF(COUNTA(B418,E418,H418,I418,J418,K418,L418,M418,N418,O418,P418,Q418,R418,S418,T418,U418,V418,W418,X418,Y418,Z418,AA418,AB418,AC418,AD418,AE418,AF418,AG418,AH418,AI418)=0,"",IF(OR(B418="",E418="",H418="",J418="",K418="",L418="",M418="",O418="",P418="",Q418="",R418="",S418="",T418="",U418="",W418="",X418="",Y418="",AB418="",AC418="",AE418="",AF418=""),"Incompleta: faltan campos obligatorios",IF(AND(LEFT(H418,6)="PROPIA",I418=""),"Falta el nombre de la acción propia del área",IF(AND(LEFT(H418,4)="AC27",IFERROR(INDEX('Catalogos_PDN'!$T$5:$T$207,MATCH(H418,'Catalogos_PDN'!$U$5:$U$207,0)),"x")&lt;&gt;LEFT(E418,7)),"La acción no corresponde a la meta seleccionada",IF(OR(NOT(ISNUMBER(M418)),M418&lt;10000000,M418&gt;99999999),"Código UNSPSC inválido: registre 8 dígitos",IF(MOD(M418,10000)=0,"UNSPSC a nivel de segmento o familia: use clase o producto",IF(IFERROR(MATCH(P418,PN_MESES,0)&lt;MATCH(O418,PN_MESES,0),TRUE()),"El mes de ofertas es anterior al de inicio del proceso",IF(OR(NOT(ISNUMBER(Q418)),Q418&lt;=0),"Duración inválida",IF(OR(NOT(ISNUMBER(W418)),NOT(ISNUMBER(X418))),"Valor inválido: registre solo números",IF(OR(W418&lt;=0,X418&lt;=0),"Valor inválido: debe ser mayor que cero",IF(X418&gt;W418,"El valor de la vigencia 2027 supera el valor total",IF(AND(X418&lt;W418,Y418="No"),"El valor total supera el de 2027: requiere vigencias futuras",IF(AND(Y418="Sí",OR(Z418="",Z418="No aplica")),"Indique el estado de la solicitud de vigencias futuras",IF(IF(AND(S418="Mínima cuantía",ISNUMBER(PN_TOPE_MINIMA)),W418&gt;PN_TOPE_MINIMA,FALSE()),"El valor supera el tope de mínima cuantía 2027",IF(IF(AND(S418="Selección abreviada de menor cuantía",ISNUMBER(PN_TOPE_MENOR)),W418&gt;PN_TOPE_MENOR,FALSE()),"El valor supera el tope de menor cuantía 2027",IF(OR(ISERROR(SEARCH("@itc.edu.co",AE418)),SUMPRODUCT(--ISNUMBER(SEARCH({"á","é","í","ó","ú","ñ"," "},AE418)))&gt;0),"El correo del responsable no es institucional válido",IF(AND(AF418="Sí",AG418=""),"Indique el N.° de registro 2026 que continúa","OK")))))))))))))))))</f>
        <v/>
      </c>
      <c r="AK418" s="114">
        <f>IF(AJ418="OK",COUNTIF($AJ$7:AJ418,"OK"),"")</f>
        <v/>
      </c>
    </row>
    <row r="419">
      <c r="A419" s="110">
        <f>"PN27-"&amp;TEXT(ROW()-6,"000")</f>
        <v/>
      </c>
      <c r="B419" s="111" t="n"/>
      <c r="C419" s="110">
        <f>IF(B419="","",IFERROR(INDEX('Catalogos_PDN'!$R$5:$R$51,MATCH(B419,PN_AREAS,0)),""))</f>
        <v/>
      </c>
      <c r="D419" s="110">
        <f>IF(B419="","",IFERROR(INDEX('Catalogos_PDN'!$O$5:$O$51,MATCH(B419,PN_AREAS,0)),""))</f>
        <v/>
      </c>
      <c r="E419" s="111" t="n"/>
      <c r="F419" s="110">
        <f>IF(E419="","",IFERROR(INDEX('Catalogos_PDN'!$C$5:$C$49,MATCH(E419,PN_METAS,0)),""))</f>
        <v/>
      </c>
      <c r="G419" s="110">
        <f>IF(E419="","",IFERROR(INDEX('Catalogos_PDN'!$E$5:$E$49,MATCH(E419,PN_METAS,0)),""))</f>
        <v/>
      </c>
      <c r="H419" s="111" t="n"/>
      <c r="I419" s="111" t="n"/>
      <c r="J419" s="111" t="n"/>
      <c r="K419" s="111" t="n"/>
      <c r="L419" s="111" t="n"/>
      <c r="M419" s="112" t="n"/>
      <c r="N419" s="111" t="n"/>
      <c r="O419" s="111" t="n"/>
      <c r="P419" s="111" t="n"/>
      <c r="Q419" s="111" t="n"/>
      <c r="R419" s="111" t="n"/>
      <c r="S419" s="111" t="n"/>
      <c r="T419" s="111" t="n"/>
      <c r="U419" s="111" t="n"/>
      <c r="V419" s="111" t="n"/>
      <c r="W419" s="113" t="n"/>
      <c r="X419" s="113" t="n"/>
      <c r="Y419" s="111" t="n"/>
      <c r="Z419" s="111" t="n"/>
      <c r="AA419" s="111" t="n"/>
      <c r="AB419" s="111" t="n"/>
      <c r="AC419" s="111" t="n"/>
      <c r="AD419" s="111" t="n"/>
      <c r="AE419" s="111" t="n"/>
      <c r="AF419" s="111" t="n"/>
      <c r="AG419" s="111" t="n"/>
      <c r="AH419" s="111" t="n"/>
      <c r="AI419" s="111" t="n"/>
      <c r="AJ419" s="114">
        <f>IF(COUNTA(B419,E419,H419,I419,J419,K419,L419,M419,N419,O419,P419,Q419,R419,S419,T419,U419,V419,W419,X419,Y419,Z419,AA419,AB419,AC419,AD419,AE419,AF419,AG419,AH419,AI419)=0,"",IF(OR(B419="",E419="",H419="",J419="",K419="",L419="",M419="",O419="",P419="",Q419="",R419="",S419="",T419="",U419="",W419="",X419="",Y419="",AB419="",AC419="",AE419="",AF419=""),"Incompleta: faltan campos obligatorios",IF(AND(LEFT(H419,6)="PROPIA",I419=""),"Falta el nombre de la acción propia del área",IF(AND(LEFT(H419,4)="AC27",IFERROR(INDEX('Catalogos_PDN'!$T$5:$T$207,MATCH(H419,'Catalogos_PDN'!$U$5:$U$207,0)),"x")&lt;&gt;LEFT(E419,7)),"La acción no corresponde a la meta seleccionada",IF(OR(NOT(ISNUMBER(M419)),M419&lt;10000000,M419&gt;99999999),"Código UNSPSC inválido: registre 8 dígitos",IF(MOD(M419,10000)=0,"UNSPSC a nivel de segmento o familia: use clase o producto",IF(IFERROR(MATCH(P419,PN_MESES,0)&lt;MATCH(O419,PN_MESES,0),TRUE()),"El mes de ofertas es anterior al de inicio del proceso",IF(OR(NOT(ISNUMBER(Q419)),Q419&lt;=0),"Duración inválida",IF(OR(NOT(ISNUMBER(W419)),NOT(ISNUMBER(X419))),"Valor inválido: registre solo números",IF(OR(W419&lt;=0,X419&lt;=0),"Valor inválido: debe ser mayor que cero",IF(X419&gt;W419,"El valor de la vigencia 2027 supera el valor total",IF(AND(X419&lt;W419,Y419="No"),"El valor total supera el de 2027: requiere vigencias futuras",IF(AND(Y419="Sí",OR(Z419="",Z419="No aplica")),"Indique el estado de la solicitud de vigencias futuras",IF(IF(AND(S419="Mínima cuantía",ISNUMBER(PN_TOPE_MINIMA)),W419&gt;PN_TOPE_MINIMA,FALSE()),"El valor supera el tope de mínima cuantía 2027",IF(IF(AND(S419="Selección abreviada de menor cuantía",ISNUMBER(PN_TOPE_MENOR)),W419&gt;PN_TOPE_MENOR,FALSE()),"El valor supera el tope de menor cuantía 2027",IF(OR(ISERROR(SEARCH("@itc.edu.co",AE419)),SUMPRODUCT(--ISNUMBER(SEARCH({"á","é","í","ó","ú","ñ"," "},AE419)))&gt;0),"El correo del responsable no es institucional válido",IF(AND(AF419="Sí",AG419=""),"Indique el N.° de registro 2026 que continúa","OK")))))))))))))))))</f>
        <v/>
      </c>
      <c r="AK419" s="114">
        <f>IF(AJ419="OK",COUNTIF($AJ$7:AJ419,"OK"),"")</f>
        <v/>
      </c>
    </row>
    <row r="420">
      <c r="A420" s="110">
        <f>"PN27-"&amp;TEXT(ROW()-6,"000")</f>
        <v/>
      </c>
      <c r="B420" s="111" t="n"/>
      <c r="C420" s="110">
        <f>IF(B420="","",IFERROR(INDEX('Catalogos_PDN'!$R$5:$R$51,MATCH(B420,PN_AREAS,0)),""))</f>
        <v/>
      </c>
      <c r="D420" s="110">
        <f>IF(B420="","",IFERROR(INDEX('Catalogos_PDN'!$O$5:$O$51,MATCH(B420,PN_AREAS,0)),""))</f>
        <v/>
      </c>
      <c r="E420" s="111" t="n"/>
      <c r="F420" s="110">
        <f>IF(E420="","",IFERROR(INDEX('Catalogos_PDN'!$C$5:$C$49,MATCH(E420,PN_METAS,0)),""))</f>
        <v/>
      </c>
      <c r="G420" s="110">
        <f>IF(E420="","",IFERROR(INDEX('Catalogos_PDN'!$E$5:$E$49,MATCH(E420,PN_METAS,0)),""))</f>
        <v/>
      </c>
      <c r="H420" s="111" t="n"/>
      <c r="I420" s="111" t="n"/>
      <c r="J420" s="111" t="n"/>
      <c r="K420" s="111" t="n"/>
      <c r="L420" s="111" t="n"/>
      <c r="M420" s="112" t="n"/>
      <c r="N420" s="111" t="n"/>
      <c r="O420" s="111" t="n"/>
      <c r="P420" s="111" t="n"/>
      <c r="Q420" s="111" t="n"/>
      <c r="R420" s="111" t="n"/>
      <c r="S420" s="111" t="n"/>
      <c r="T420" s="111" t="n"/>
      <c r="U420" s="111" t="n"/>
      <c r="V420" s="111" t="n"/>
      <c r="W420" s="113" t="n"/>
      <c r="X420" s="113" t="n"/>
      <c r="Y420" s="111" t="n"/>
      <c r="Z420" s="111" t="n"/>
      <c r="AA420" s="111" t="n"/>
      <c r="AB420" s="111" t="n"/>
      <c r="AC420" s="111" t="n"/>
      <c r="AD420" s="111" t="n"/>
      <c r="AE420" s="111" t="n"/>
      <c r="AF420" s="111" t="n"/>
      <c r="AG420" s="111" t="n"/>
      <c r="AH420" s="111" t="n"/>
      <c r="AI420" s="111" t="n"/>
      <c r="AJ420" s="114">
        <f>IF(COUNTA(B420,E420,H420,I420,J420,K420,L420,M420,N420,O420,P420,Q420,R420,S420,T420,U420,V420,W420,X420,Y420,Z420,AA420,AB420,AC420,AD420,AE420,AF420,AG420,AH420,AI420)=0,"",IF(OR(B420="",E420="",H420="",J420="",K420="",L420="",M420="",O420="",P420="",Q420="",R420="",S420="",T420="",U420="",W420="",X420="",Y420="",AB420="",AC420="",AE420="",AF420=""),"Incompleta: faltan campos obligatorios",IF(AND(LEFT(H420,6)="PROPIA",I420=""),"Falta el nombre de la acción propia del área",IF(AND(LEFT(H420,4)="AC27",IFERROR(INDEX('Catalogos_PDN'!$T$5:$T$207,MATCH(H420,'Catalogos_PDN'!$U$5:$U$207,0)),"x")&lt;&gt;LEFT(E420,7)),"La acción no corresponde a la meta seleccionada",IF(OR(NOT(ISNUMBER(M420)),M420&lt;10000000,M420&gt;99999999),"Código UNSPSC inválido: registre 8 dígitos",IF(MOD(M420,10000)=0,"UNSPSC a nivel de segmento o familia: use clase o producto",IF(IFERROR(MATCH(P420,PN_MESES,0)&lt;MATCH(O420,PN_MESES,0),TRUE()),"El mes de ofertas es anterior al de inicio del proceso",IF(OR(NOT(ISNUMBER(Q420)),Q420&lt;=0),"Duración inválida",IF(OR(NOT(ISNUMBER(W420)),NOT(ISNUMBER(X420))),"Valor inválido: registre solo números",IF(OR(W420&lt;=0,X420&lt;=0),"Valor inválido: debe ser mayor que cero",IF(X420&gt;W420,"El valor de la vigencia 2027 supera el valor total",IF(AND(X420&lt;W420,Y420="No"),"El valor total supera el de 2027: requiere vigencias futuras",IF(AND(Y420="Sí",OR(Z420="",Z420="No aplica")),"Indique el estado de la solicitud de vigencias futuras",IF(IF(AND(S420="Mínima cuantía",ISNUMBER(PN_TOPE_MINIMA)),W420&gt;PN_TOPE_MINIMA,FALSE()),"El valor supera el tope de mínima cuantía 2027",IF(IF(AND(S420="Selección abreviada de menor cuantía",ISNUMBER(PN_TOPE_MENOR)),W420&gt;PN_TOPE_MENOR,FALSE()),"El valor supera el tope de menor cuantía 2027",IF(OR(ISERROR(SEARCH("@itc.edu.co",AE420)),SUMPRODUCT(--ISNUMBER(SEARCH({"á","é","í","ó","ú","ñ"," "},AE420)))&gt;0),"El correo del responsable no es institucional válido",IF(AND(AF420="Sí",AG420=""),"Indique el N.° de registro 2026 que continúa","OK")))))))))))))))))</f>
        <v/>
      </c>
      <c r="AK420" s="114">
        <f>IF(AJ420="OK",COUNTIF($AJ$7:AJ420,"OK"),"")</f>
        <v/>
      </c>
    </row>
    <row r="421">
      <c r="A421" s="110">
        <f>"PN27-"&amp;TEXT(ROW()-6,"000")</f>
        <v/>
      </c>
      <c r="B421" s="111" t="n"/>
      <c r="C421" s="110">
        <f>IF(B421="","",IFERROR(INDEX('Catalogos_PDN'!$R$5:$R$51,MATCH(B421,PN_AREAS,0)),""))</f>
        <v/>
      </c>
      <c r="D421" s="110">
        <f>IF(B421="","",IFERROR(INDEX('Catalogos_PDN'!$O$5:$O$51,MATCH(B421,PN_AREAS,0)),""))</f>
        <v/>
      </c>
      <c r="E421" s="111" t="n"/>
      <c r="F421" s="110">
        <f>IF(E421="","",IFERROR(INDEX('Catalogos_PDN'!$C$5:$C$49,MATCH(E421,PN_METAS,0)),""))</f>
        <v/>
      </c>
      <c r="G421" s="110">
        <f>IF(E421="","",IFERROR(INDEX('Catalogos_PDN'!$E$5:$E$49,MATCH(E421,PN_METAS,0)),""))</f>
        <v/>
      </c>
      <c r="H421" s="111" t="n"/>
      <c r="I421" s="111" t="n"/>
      <c r="J421" s="111" t="n"/>
      <c r="K421" s="111" t="n"/>
      <c r="L421" s="111" t="n"/>
      <c r="M421" s="112" t="n"/>
      <c r="N421" s="111" t="n"/>
      <c r="O421" s="111" t="n"/>
      <c r="P421" s="111" t="n"/>
      <c r="Q421" s="111" t="n"/>
      <c r="R421" s="111" t="n"/>
      <c r="S421" s="111" t="n"/>
      <c r="T421" s="111" t="n"/>
      <c r="U421" s="111" t="n"/>
      <c r="V421" s="111" t="n"/>
      <c r="W421" s="113" t="n"/>
      <c r="X421" s="113" t="n"/>
      <c r="Y421" s="111" t="n"/>
      <c r="Z421" s="111" t="n"/>
      <c r="AA421" s="111" t="n"/>
      <c r="AB421" s="111" t="n"/>
      <c r="AC421" s="111" t="n"/>
      <c r="AD421" s="111" t="n"/>
      <c r="AE421" s="111" t="n"/>
      <c r="AF421" s="111" t="n"/>
      <c r="AG421" s="111" t="n"/>
      <c r="AH421" s="111" t="n"/>
      <c r="AI421" s="111" t="n"/>
      <c r="AJ421" s="114">
        <f>IF(COUNTA(B421,E421,H421,I421,J421,K421,L421,M421,N421,O421,P421,Q421,R421,S421,T421,U421,V421,W421,X421,Y421,Z421,AA421,AB421,AC421,AD421,AE421,AF421,AG421,AH421,AI421)=0,"",IF(OR(B421="",E421="",H421="",J421="",K421="",L421="",M421="",O421="",P421="",Q421="",R421="",S421="",T421="",U421="",W421="",X421="",Y421="",AB421="",AC421="",AE421="",AF421=""),"Incompleta: faltan campos obligatorios",IF(AND(LEFT(H421,6)="PROPIA",I421=""),"Falta el nombre de la acción propia del área",IF(AND(LEFT(H421,4)="AC27",IFERROR(INDEX('Catalogos_PDN'!$T$5:$T$207,MATCH(H421,'Catalogos_PDN'!$U$5:$U$207,0)),"x")&lt;&gt;LEFT(E421,7)),"La acción no corresponde a la meta seleccionada",IF(OR(NOT(ISNUMBER(M421)),M421&lt;10000000,M421&gt;99999999),"Código UNSPSC inválido: registre 8 dígitos",IF(MOD(M421,10000)=0,"UNSPSC a nivel de segmento o familia: use clase o producto",IF(IFERROR(MATCH(P421,PN_MESES,0)&lt;MATCH(O421,PN_MESES,0),TRUE()),"El mes de ofertas es anterior al de inicio del proceso",IF(OR(NOT(ISNUMBER(Q421)),Q421&lt;=0),"Duración inválida",IF(OR(NOT(ISNUMBER(W421)),NOT(ISNUMBER(X421))),"Valor inválido: registre solo números",IF(OR(W421&lt;=0,X421&lt;=0),"Valor inválido: debe ser mayor que cero",IF(X421&gt;W421,"El valor de la vigencia 2027 supera el valor total",IF(AND(X421&lt;W421,Y421="No"),"El valor total supera el de 2027: requiere vigencias futuras",IF(AND(Y421="Sí",OR(Z421="",Z421="No aplica")),"Indique el estado de la solicitud de vigencias futuras",IF(IF(AND(S421="Mínima cuantía",ISNUMBER(PN_TOPE_MINIMA)),W421&gt;PN_TOPE_MINIMA,FALSE()),"El valor supera el tope de mínima cuantía 2027",IF(IF(AND(S421="Selección abreviada de menor cuantía",ISNUMBER(PN_TOPE_MENOR)),W421&gt;PN_TOPE_MENOR,FALSE()),"El valor supera el tope de menor cuantía 2027",IF(OR(ISERROR(SEARCH("@itc.edu.co",AE421)),SUMPRODUCT(--ISNUMBER(SEARCH({"á","é","í","ó","ú","ñ"," "},AE421)))&gt;0),"El correo del responsable no es institucional válido",IF(AND(AF421="Sí",AG421=""),"Indique el N.° de registro 2026 que continúa","OK")))))))))))))))))</f>
        <v/>
      </c>
      <c r="AK421" s="114">
        <f>IF(AJ421="OK",COUNTIF($AJ$7:AJ421,"OK"),"")</f>
        <v/>
      </c>
    </row>
    <row r="422">
      <c r="A422" s="110">
        <f>"PN27-"&amp;TEXT(ROW()-6,"000")</f>
        <v/>
      </c>
      <c r="B422" s="111" t="n"/>
      <c r="C422" s="110">
        <f>IF(B422="","",IFERROR(INDEX('Catalogos_PDN'!$R$5:$R$51,MATCH(B422,PN_AREAS,0)),""))</f>
        <v/>
      </c>
      <c r="D422" s="110">
        <f>IF(B422="","",IFERROR(INDEX('Catalogos_PDN'!$O$5:$O$51,MATCH(B422,PN_AREAS,0)),""))</f>
        <v/>
      </c>
      <c r="E422" s="111" t="n"/>
      <c r="F422" s="110">
        <f>IF(E422="","",IFERROR(INDEX('Catalogos_PDN'!$C$5:$C$49,MATCH(E422,PN_METAS,0)),""))</f>
        <v/>
      </c>
      <c r="G422" s="110">
        <f>IF(E422="","",IFERROR(INDEX('Catalogos_PDN'!$E$5:$E$49,MATCH(E422,PN_METAS,0)),""))</f>
        <v/>
      </c>
      <c r="H422" s="111" t="n"/>
      <c r="I422" s="111" t="n"/>
      <c r="J422" s="111" t="n"/>
      <c r="K422" s="111" t="n"/>
      <c r="L422" s="111" t="n"/>
      <c r="M422" s="112" t="n"/>
      <c r="N422" s="111" t="n"/>
      <c r="O422" s="111" t="n"/>
      <c r="P422" s="111" t="n"/>
      <c r="Q422" s="111" t="n"/>
      <c r="R422" s="111" t="n"/>
      <c r="S422" s="111" t="n"/>
      <c r="T422" s="111" t="n"/>
      <c r="U422" s="111" t="n"/>
      <c r="V422" s="111" t="n"/>
      <c r="W422" s="113" t="n"/>
      <c r="X422" s="113" t="n"/>
      <c r="Y422" s="111" t="n"/>
      <c r="Z422" s="111" t="n"/>
      <c r="AA422" s="111" t="n"/>
      <c r="AB422" s="111" t="n"/>
      <c r="AC422" s="111" t="n"/>
      <c r="AD422" s="111" t="n"/>
      <c r="AE422" s="111" t="n"/>
      <c r="AF422" s="111" t="n"/>
      <c r="AG422" s="111" t="n"/>
      <c r="AH422" s="111" t="n"/>
      <c r="AI422" s="111" t="n"/>
      <c r="AJ422" s="114">
        <f>IF(COUNTA(B422,E422,H422,I422,J422,K422,L422,M422,N422,O422,P422,Q422,R422,S422,T422,U422,V422,W422,X422,Y422,Z422,AA422,AB422,AC422,AD422,AE422,AF422,AG422,AH422,AI422)=0,"",IF(OR(B422="",E422="",H422="",J422="",K422="",L422="",M422="",O422="",P422="",Q422="",R422="",S422="",T422="",U422="",W422="",X422="",Y422="",AB422="",AC422="",AE422="",AF422=""),"Incompleta: faltan campos obligatorios",IF(AND(LEFT(H422,6)="PROPIA",I422=""),"Falta el nombre de la acción propia del área",IF(AND(LEFT(H422,4)="AC27",IFERROR(INDEX('Catalogos_PDN'!$T$5:$T$207,MATCH(H422,'Catalogos_PDN'!$U$5:$U$207,0)),"x")&lt;&gt;LEFT(E422,7)),"La acción no corresponde a la meta seleccionada",IF(OR(NOT(ISNUMBER(M422)),M422&lt;10000000,M422&gt;99999999),"Código UNSPSC inválido: registre 8 dígitos",IF(MOD(M422,10000)=0,"UNSPSC a nivel de segmento o familia: use clase o producto",IF(IFERROR(MATCH(P422,PN_MESES,0)&lt;MATCH(O422,PN_MESES,0),TRUE()),"El mes de ofertas es anterior al de inicio del proceso",IF(OR(NOT(ISNUMBER(Q422)),Q422&lt;=0),"Duración inválida",IF(OR(NOT(ISNUMBER(W422)),NOT(ISNUMBER(X422))),"Valor inválido: registre solo números",IF(OR(W422&lt;=0,X422&lt;=0),"Valor inválido: debe ser mayor que cero",IF(X422&gt;W422,"El valor de la vigencia 2027 supera el valor total",IF(AND(X422&lt;W422,Y422="No"),"El valor total supera el de 2027: requiere vigencias futuras",IF(AND(Y422="Sí",OR(Z422="",Z422="No aplica")),"Indique el estado de la solicitud de vigencias futuras",IF(IF(AND(S422="Mínima cuantía",ISNUMBER(PN_TOPE_MINIMA)),W422&gt;PN_TOPE_MINIMA,FALSE()),"El valor supera el tope de mínima cuantía 2027",IF(IF(AND(S422="Selección abreviada de menor cuantía",ISNUMBER(PN_TOPE_MENOR)),W422&gt;PN_TOPE_MENOR,FALSE()),"El valor supera el tope de menor cuantía 2027",IF(OR(ISERROR(SEARCH("@itc.edu.co",AE422)),SUMPRODUCT(--ISNUMBER(SEARCH({"á","é","í","ó","ú","ñ"," "},AE422)))&gt;0),"El correo del responsable no es institucional válido",IF(AND(AF422="Sí",AG422=""),"Indique el N.° de registro 2026 que continúa","OK")))))))))))))))))</f>
        <v/>
      </c>
      <c r="AK422" s="114">
        <f>IF(AJ422="OK",COUNTIF($AJ$7:AJ422,"OK"),"")</f>
        <v/>
      </c>
    </row>
    <row r="423">
      <c r="A423" s="110">
        <f>"PN27-"&amp;TEXT(ROW()-6,"000")</f>
        <v/>
      </c>
      <c r="B423" s="111" t="n"/>
      <c r="C423" s="110">
        <f>IF(B423="","",IFERROR(INDEX('Catalogos_PDN'!$R$5:$R$51,MATCH(B423,PN_AREAS,0)),""))</f>
        <v/>
      </c>
      <c r="D423" s="110">
        <f>IF(B423="","",IFERROR(INDEX('Catalogos_PDN'!$O$5:$O$51,MATCH(B423,PN_AREAS,0)),""))</f>
        <v/>
      </c>
      <c r="E423" s="111" t="n"/>
      <c r="F423" s="110">
        <f>IF(E423="","",IFERROR(INDEX('Catalogos_PDN'!$C$5:$C$49,MATCH(E423,PN_METAS,0)),""))</f>
        <v/>
      </c>
      <c r="G423" s="110">
        <f>IF(E423="","",IFERROR(INDEX('Catalogos_PDN'!$E$5:$E$49,MATCH(E423,PN_METAS,0)),""))</f>
        <v/>
      </c>
      <c r="H423" s="111" t="n"/>
      <c r="I423" s="111" t="n"/>
      <c r="J423" s="111" t="n"/>
      <c r="K423" s="111" t="n"/>
      <c r="L423" s="111" t="n"/>
      <c r="M423" s="112" t="n"/>
      <c r="N423" s="111" t="n"/>
      <c r="O423" s="111" t="n"/>
      <c r="P423" s="111" t="n"/>
      <c r="Q423" s="111" t="n"/>
      <c r="R423" s="111" t="n"/>
      <c r="S423" s="111" t="n"/>
      <c r="T423" s="111" t="n"/>
      <c r="U423" s="111" t="n"/>
      <c r="V423" s="111" t="n"/>
      <c r="W423" s="113" t="n"/>
      <c r="X423" s="113" t="n"/>
      <c r="Y423" s="111" t="n"/>
      <c r="Z423" s="111" t="n"/>
      <c r="AA423" s="111" t="n"/>
      <c r="AB423" s="111" t="n"/>
      <c r="AC423" s="111" t="n"/>
      <c r="AD423" s="111" t="n"/>
      <c r="AE423" s="111" t="n"/>
      <c r="AF423" s="111" t="n"/>
      <c r="AG423" s="111" t="n"/>
      <c r="AH423" s="111" t="n"/>
      <c r="AI423" s="111" t="n"/>
      <c r="AJ423" s="114">
        <f>IF(COUNTA(B423,E423,H423,I423,J423,K423,L423,M423,N423,O423,P423,Q423,R423,S423,T423,U423,V423,W423,X423,Y423,Z423,AA423,AB423,AC423,AD423,AE423,AF423,AG423,AH423,AI423)=0,"",IF(OR(B423="",E423="",H423="",J423="",K423="",L423="",M423="",O423="",P423="",Q423="",R423="",S423="",T423="",U423="",W423="",X423="",Y423="",AB423="",AC423="",AE423="",AF423=""),"Incompleta: faltan campos obligatorios",IF(AND(LEFT(H423,6)="PROPIA",I423=""),"Falta el nombre de la acción propia del área",IF(AND(LEFT(H423,4)="AC27",IFERROR(INDEX('Catalogos_PDN'!$T$5:$T$207,MATCH(H423,'Catalogos_PDN'!$U$5:$U$207,0)),"x")&lt;&gt;LEFT(E423,7)),"La acción no corresponde a la meta seleccionada",IF(OR(NOT(ISNUMBER(M423)),M423&lt;10000000,M423&gt;99999999),"Código UNSPSC inválido: registre 8 dígitos",IF(MOD(M423,10000)=0,"UNSPSC a nivel de segmento o familia: use clase o producto",IF(IFERROR(MATCH(P423,PN_MESES,0)&lt;MATCH(O423,PN_MESES,0),TRUE()),"El mes de ofertas es anterior al de inicio del proceso",IF(OR(NOT(ISNUMBER(Q423)),Q423&lt;=0),"Duración inválida",IF(OR(NOT(ISNUMBER(W423)),NOT(ISNUMBER(X423))),"Valor inválido: registre solo números",IF(OR(W423&lt;=0,X423&lt;=0),"Valor inválido: debe ser mayor que cero",IF(X423&gt;W423,"El valor de la vigencia 2027 supera el valor total",IF(AND(X423&lt;W423,Y423="No"),"El valor total supera el de 2027: requiere vigencias futuras",IF(AND(Y423="Sí",OR(Z423="",Z423="No aplica")),"Indique el estado de la solicitud de vigencias futuras",IF(IF(AND(S423="Mínima cuantía",ISNUMBER(PN_TOPE_MINIMA)),W423&gt;PN_TOPE_MINIMA,FALSE()),"El valor supera el tope de mínima cuantía 2027",IF(IF(AND(S423="Selección abreviada de menor cuantía",ISNUMBER(PN_TOPE_MENOR)),W423&gt;PN_TOPE_MENOR,FALSE()),"El valor supera el tope de menor cuantía 2027",IF(OR(ISERROR(SEARCH("@itc.edu.co",AE423)),SUMPRODUCT(--ISNUMBER(SEARCH({"á","é","í","ó","ú","ñ"," "},AE423)))&gt;0),"El correo del responsable no es institucional válido",IF(AND(AF423="Sí",AG423=""),"Indique el N.° de registro 2026 que continúa","OK")))))))))))))))))</f>
        <v/>
      </c>
      <c r="AK423" s="114">
        <f>IF(AJ423="OK",COUNTIF($AJ$7:AJ423,"OK"),"")</f>
        <v/>
      </c>
    </row>
    <row r="424">
      <c r="A424" s="110">
        <f>"PN27-"&amp;TEXT(ROW()-6,"000")</f>
        <v/>
      </c>
      <c r="B424" s="111" t="n"/>
      <c r="C424" s="110">
        <f>IF(B424="","",IFERROR(INDEX('Catalogos_PDN'!$R$5:$R$51,MATCH(B424,PN_AREAS,0)),""))</f>
        <v/>
      </c>
      <c r="D424" s="110">
        <f>IF(B424="","",IFERROR(INDEX('Catalogos_PDN'!$O$5:$O$51,MATCH(B424,PN_AREAS,0)),""))</f>
        <v/>
      </c>
      <c r="E424" s="111" t="n"/>
      <c r="F424" s="110">
        <f>IF(E424="","",IFERROR(INDEX('Catalogos_PDN'!$C$5:$C$49,MATCH(E424,PN_METAS,0)),""))</f>
        <v/>
      </c>
      <c r="G424" s="110">
        <f>IF(E424="","",IFERROR(INDEX('Catalogos_PDN'!$E$5:$E$49,MATCH(E424,PN_METAS,0)),""))</f>
        <v/>
      </c>
      <c r="H424" s="111" t="n"/>
      <c r="I424" s="111" t="n"/>
      <c r="J424" s="111" t="n"/>
      <c r="K424" s="111" t="n"/>
      <c r="L424" s="111" t="n"/>
      <c r="M424" s="112" t="n"/>
      <c r="N424" s="111" t="n"/>
      <c r="O424" s="111" t="n"/>
      <c r="P424" s="111" t="n"/>
      <c r="Q424" s="111" t="n"/>
      <c r="R424" s="111" t="n"/>
      <c r="S424" s="111" t="n"/>
      <c r="T424" s="111" t="n"/>
      <c r="U424" s="111" t="n"/>
      <c r="V424" s="111" t="n"/>
      <c r="W424" s="113" t="n"/>
      <c r="X424" s="113" t="n"/>
      <c r="Y424" s="111" t="n"/>
      <c r="Z424" s="111" t="n"/>
      <c r="AA424" s="111" t="n"/>
      <c r="AB424" s="111" t="n"/>
      <c r="AC424" s="111" t="n"/>
      <c r="AD424" s="111" t="n"/>
      <c r="AE424" s="111" t="n"/>
      <c r="AF424" s="111" t="n"/>
      <c r="AG424" s="111" t="n"/>
      <c r="AH424" s="111" t="n"/>
      <c r="AI424" s="111" t="n"/>
      <c r="AJ424" s="114">
        <f>IF(COUNTA(B424,E424,H424,I424,J424,K424,L424,M424,N424,O424,P424,Q424,R424,S424,T424,U424,V424,W424,X424,Y424,Z424,AA424,AB424,AC424,AD424,AE424,AF424,AG424,AH424,AI424)=0,"",IF(OR(B424="",E424="",H424="",J424="",K424="",L424="",M424="",O424="",P424="",Q424="",R424="",S424="",T424="",U424="",W424="",X424="",Y424="",AB424="",AC424="",AE424="",AF424=""),"Incompleta: faltan campos obligatorios",IF(AND(LEFT(H424,6)="PROPIA",I424=""),"Falta el nombre de la acción propia del área",IF(AND(LEFT(H424,4)="AC27",IFERROR(INDEX('Catalogos_PDN'!$T$5:$T$207,MATCH(H424,'Catalogos_PDN'!$U$5:$U$207,0)),"x")&lt;&gt;LEFT(E424,7)),"La acción no corresponde a la meta seleccionada",IF(OR(NOT(ISNUMBER(M424)),M424&lt;10000000,M424&gt;99999999),"Código UNSPSC inválido: registre 8 dígitos",IF(MOD(M424,10000)=0,"UNSPSC a nivel de segmento o familia: use clase o producto",IF(IFERROR(MATCH(P424,PN_MESES,0)&lt;MATCH(O424,PN_MESES,0),TRUE()),"El mes de ofertas es anterior al de inicio del proceso",IF(OR(NOT(ISNUMBER(Q424)),Q424&lt;=0),"Duración inválida",IF(OR(NOT(ISNUMBER(W424)),NOT(ISNUMBER(X424))),"Valor inválido: registre solo números",IF(OR(W424&lt;=0,X424&lt;=0),"Valor inválido: debe ser mayor que cero",IF(X424&gt;W424,"El valor de la vigencia 2027 supera el valor total",IF(AND(X424&lt;W424,Y424="No"),"El valor total supera el de 2027: requiere vigencias futuras",IF(AND(Y424="Sí",OR(Z424="",Z424="No aplica")),"Indique el estado de la solicitud de vigencias futuras",IF(IF(AND(S424="Mínima cuantía",ISNUMBER(PN_TOPE_MINIMA)),W424&gt;PN_TOPE_MINIMA,FALSE()),"El valor supera el tope de mínima cuantía 2027",IF(IF(AND(S424="Selección abreviada de menor cuantía",ISNUMBER(PN_TOPE_MENOR)),W424&gt;PN_TOPE_MENOR,FALSE()),"El valor supera el tope de menor cuantía 2027",IF(OR(ISERROR(SEARCH("@itc.edu.co",AE424)),SUMPRODUCT(--ISNUMBER(SEARCH({"á","é","í","ó","ú","ñ"," "},AE424)))&gt;0),"El correo del responsable no es institucional válido",IF(AND(AF424="Sí",AG424=""),"Indique el N.° de registro 2026 que continúa","OK")))))))))))))))))</f>
        <v/>
      </c>
      <c r="AK424" s="114">
        <f>IF(AJ424="OK",COUNTIF($AJ$7:AJ424,"OK"),"")</f>
        <v/>
      </c>
    </row>
    <row r="425">
      <c r="A425" s="110">
        <f>"PN27-"&amp;TEXT(ROW()-6,"000")</f>
        <v/>
      </c>
      <c r="B425" s="111" t="n"/>
      <c r="C425" s="110">
        <f>IF(B425="","",IFERROR(INDEX('Catalogos_PDN'!$R$5:$R$51,MATCH(B425,PN_AREAS,0)),""))</f>
        <v/>
      </c>
      <c r="D425" s="110">
        <f>IF(B425="","",IFERROR(INDEX('Catalogos_PDN'!$O$5:$O$51,MATCH(B425,PN_AREAS,0)),""))</f>
        <v/>
      </c>
      <c r="E425" s="111" t="n"/>
      <c r="F425" s="110">
        <f>IF(E425="","",IFERROR(INDEX('Catalogos_PDN'!$C$5:$C$49,MATCH(E425,PN_METAS,0)),""))</f>
        <v/>
      </c>
      <c r="G425" s="110">
        <f>IF(E425="","",IFERROR(INDEX('Catalogos_PDN'!$E$5:$E$49,MATCH(E425,PN_METAS,0)),""))</f>
        <v/>
      </c>
      <c r="H425" s="111" t="n"/>
      <c r="I425" s="111" t="n"/>
      <c r="J425" s="111" t="n"/>
      <c r="K425" s="111" t="n"/>
      <c r="L425" s="111" t="n"/>
      <c r="M425" s="112" t="n"/>
      <c r="N425" s="111" t="n"/>
      <c r="O425" s="111" t="n"/>
      <c r="P425" s="111" t="n"/>
      <c r="Q425" s="111" t="n"/>
      <c r="R425" s="111" t="n"/>
      <c r="S425" s="111" t="n"/>
      <c r="T425" s="111" t="n"/>
      <c r="U425" s="111" t="n"/>
      <c r="V425" s="111" t="n"/>
      <c r="W425" s="113" t="n"/>
      <c r="X425" s="113" t="n"/>
      <c r="Y425" s="111" t="n"/>
      <c r="Z425" s="111" t="n"/>
      <c r="AA425" s="111" t="n"/>
      <c r="AB425" s="111" t="n"/>
      <c r="AC425" s="111" t="n"/>
      <c r="AD425" s="111" t="n"/>
      <c r="AE425" s="111" t="n"/>
      <c r="AF425" s="111" t="n"/>
      <c r="AG425" s="111" t="n"/>
      <c r="AH425" s="111" t="n"/>
      <c r="AI425" s="111" t="n"/>
      <c r="AJ425" s="114">
        <f>IF(COUNTA(B425,E425,H425,I425,J425,K425,L425,M425,N425,O425,P425,Q425,R425,S425,T425,U425,V425,W425,X425,Y425,Z425,AA425,AB425,AC425,AD425,AE425,AF425,AG425,AH425,AI425)=0,"",IF(OR(B425="",E425="",H425="",J425="",K425="",L425="",M425="",O425="",P425="",Q425="",R425="",S425="",T425="",U425="",W425="",X425="",Y425="",AB425="",AC425="",AE425="",AF425=""),"Incompleta: faltan campos obligatorios",IF(AND(LEFT(H425,6)="PROPIA",I425=""),"Falta el nombre de la acción propia del área",IF(AND(LEFT(H425,4)="AC27",IFERROR(INDEX('Catalogos_PDN'!$T$5:$T$207,MATCH(H425,'Catalogos_PDN'!$U$5:$U$207,0)),"x")&lt;&gt;LEFT(E425,7)),"La acción no corresponde a la meta seleccionada",IF(OR(NOT(ISNUMBER(M425)),M425&lt;10000000,M425&gt;99999999),"Código UNSPSC inválido: registre 8 dígitos",IF(MOD(M425,10000)=0,"UNSPSC a nivel de segmento o familia: use clase o producto",IF(IFERROR(MATCH(P425,PN_MESES,0)&lt;MATCH(O425,PN_MESES,0),TRUE()),"El mes de ofertas es anterior al de inicio del proceso",IF(OR(NOT(ISNUMBER(Q425)),Q425&lt;=0),"Duración inválida",IF(OR(NOT(ISNUMBER(W425)),NOT(ISNUMBER(X425))),"Valor inválido: registre solo números",IF(OR(W425&lt;=0,X425&lt;=0),"Valor inválido: debe ser mayor que cero",IF(X425&gt;W425,"El valor de la vigencia 2027 supera el valor total",IF(AND(X425&lt;W425,Y425="No"),"El valor total supera el de 2027: requiere vigencias futuras",IF(AND(Y425="Sí",OR(Z425="",Z425="No aplica")),"Indique el estado de la solicitud de vigencias futuras",IF(IF(AND(S425="Mínima cuantía",ISNUMBER(PN_TOPE_MINIMA)),W425&gt;PN_TOPE_MINIMA,FALSE()),"El valor supera el tope de mínima cuantía 2027",IF(IF(AND(S425="Selección abreviada de menor cuantía",ISNUMBER(PN_TOPE_MENOR)),W425&gt;PN_TOPE_MENOR,FALSE()),"El valor supera el tope de menor cuantía 2027",IF(OR(ISERROR(SEARCH("@itc.edu.co",AE425)),SUMPRODUCT(--ISNUMBER(SEARCH({"á","é","í","ó","ú","ñ"," "},AE425)))&gt;0),"El correo del responsable no es institucional válido",IF(AND(AF425="Sí",AG425=""),"Indique el N.° de registro 2026 que continúa","OK")))))))))))))))))</f>
        <v/>
      </c>
      <c r="AK425" s="114">
        <f>IF(AJ425="OK",COUNTIF($AJ$7:AJ425,"OK"),"")</f>
        <v/>
      </c>
    </row>
    <row r="426">
      <c r="A426" s="110">
        <f>"PN27-"&amp;TEXT(ROW()-6,"000")</f>
        <v/>
      </c>
      <c r="B426" s="111" t="n"/>
      <c r="C426" s="110">
        <f>IF(B426="","",IFERROR(INDEX('Catalogos_PDN'!$R$5:$R$51,MATCH(B426,PN_AREAS,0)),""))</f>
        <v/>
      </c>
      <c r="D426" s="110">
        <f>IF(B426="","",IFERROR(INDEX('Catalogos_PDN'!$O$5:$O$51,MATCH(B426,PN_AREAS,0)),""))</f>
        <v/>
      </c>
      <c r="E426" s="111" t="n"/>
      <c r="F426" s="110">
        <f>IF(E426="","",IFERROR(INDEX('Catalogos_PDN'!$C$5:$C$49,MATCH(E426,PN_METAS,0)),""))</f>
        <v/>
      </c>
      <c r="G426" s="110">
        <f>IF(E426="","",IFERROR(INDEX('Catalogos_PDN'!$E$5:$E$49,MATCH(E426,PN_METAS,0)),""))</f>
        <v/>
      </c>
      <c r="H426" s="111" t="n"/>
      <c r="I426" s="111" t="n"/>
      <c r="J426" s="111" t="n"/>
      <c r="K426" s="111" t="n"/>
      <c r="L426" s="111" t="n"/>
      <c r="M426" s="112" t="n"/>
      <c r="N426" s="111" t="n"/>
      <c r="O426" s="111" t="n"/>
      <c r="P426" s="111" t="n"/>
      <c r="Q426" s="111" t="n"/>
      <c r="R426" s="111" t="n"/>
      <c r="S426" s="111" t="n"/>
      <c r="T426" s="111" t="n"/>
      <c r="U426" s="111" t="n"/>
      <c r="V426" s="111" t="n"/>
      <c r="W426" s="113" t="n"/>
      <c r="X426" s="113" t="n"/>
      <c r="Y426" s="111" t="n"/>
      <c r="Z426" s="111" t="n"/>
      <c r="AA426" s="111" t="n"/>
      <c r="AB426" s="111" t="n"/>
      <c r="AC426" s="111" t="n"/>
      <c r="AD426" s="111" t="n"/>
      <c r="AE426" s="111" t="n"/>
      <c r="AF426" s="111" t="n"/>
      <c r="AG426" s="111" t="n"/>
      <c r="AH426" s="111" t="n"/>
      <c r="AI426" s="111" t="n"/>
      <c r="AJ426" s="114">
        <f>IF(COUNTA(B426,E426,H426,I426,J426,K426,L426,M426,N426,O426,P426,Q426,R426,S426,T426,U426,V426,W426,X426,Y426,Z426,AA426,AB426,AC426,AD426,AE426,AF426,AG426,AH426,AI426)=0,"",IF(OR(B426="",E426="",H426="",J426="",K426="",L426="",M426="",O426="",P426="",Q426="",R426="",S426="",T426="",U426="",W426="",X426="",Y426="",AB426="",AC426="",AE426="",AF426=""),"Incompleta: faltan campos obligatorios",IF(AND(LEFT(H426,6)="PROPIA",I426=""),"Falta el nombre de la acción propia del área",IF(AND(LEFT(H426,4)="AC27",IFERROR(INDEX('Catalogos_PDN'!$T$5:$T$207,MATCH(H426,'Catalogos_PDN'!$U$5:$U$207,0)),"x")&lt;&gt;LEFT(E426,7)),"La acción no corresponde a la meta seleccionada",IF(OR(NOT(ISNUMBER(M426)),M426&lt;10000000,M426&gt;99999999),"Código UNSPSC inválido: registre 8 dígitos",IF(MOD(M426,10000)=0,"UNSPSC a nivel de segmento o familia: use clase o producto",IF(IFERROR(MATCH(P426,PN_MESES,0)&lt;MATCH(O426,PN_MESES,0),TRUE()),"El mes de ofertas es anterior al de inicio del proceso",IF(OR(NOT(ISNUMBER(Q426)),Q426&lt;=0),"Duración inválida",IF(OR(NOT(ISNUMBER(W426)),NOT(ISNUMBER(X426))),"Valor inválido: registre solo números",IF(OR(W426&lt;=0,X426&lt;=0),"Valor inválido: debe ser mayor que cero",IF(X426&gt;W426,"El valor de la vigencia 2027 supera el valor total",IF(AND(X426&lt;W426,Y426="No"),"El valor total supera el de 2027: requiere vigencias futuras",IF(AND(Y426="Sí",OR(Z426="",Z426="No aplica")),"Indique el estado de la solicitud de vigencias futuras",IF(IF(AND(S426="Mínima cuantía",ISNUMBER(PN_TOPE_MINIMA)),W426&gt;PN_TOPE_MINIMA,FALSE()),"El valor supera el tope de mínima cuantía 2027",IF(IF(AND(S426="Selección abreviada de menor cuantía",ISNUMBER(PN_TOPE_MENOR)),W426&gt;PN_TOPE_MENOR,FALSE()),"El valor supera el tope de menor cuantía 2027",IF(OR(ISERROR(SEARCH("@itc.edu.co",AE426)),SUMPRODUCT(--ISNUMBER(SEARCH({"á","é","í","ó","ú","ñ"," "},AE426)))&gt;0),"El correo del responsable no es institucional válido",IF(AND(AF426="Sí",AG426=""),"Indique el N.° de registro 2026 que continúa","OK")))))))))))))))))</f>
        <v/>
      </c>
      <c r="AK426" s="114">
        <f>IF(AJ426="OK",COUNTIF($AJ$7:AJ426,"OK"),"")</f>
        <v/>
      </c>
    </row>
    <row r="427">
      <c r="A427" s="110">
        <f>"PN27-"&amp;TEXT(ROW()-6,"000")</f>
        <v/>
      </c>
      <c r="B427" s="111" t="n"/>
      <c r="C427" s="110">
        <f>IF(B427="","",IFERROR(INDEX('Catalogos_PDN'!$R$5:$R$51,MATCH(B427,PN_AREAS,0)),""))</f>
        <v/>
      </c>
      <c r="D427" s="110">
        <f>IF(B427="","",IFERROR(INDEX('Catalogos_PDN'!$O$5:$O$51,MATCH(B427,PN_AREAS,0)),""))</f>
        <v/>
      </c>
      <c r="E427" s="111" t="n"/>
      <c r="F427" s="110">
        <f>IF(E427="","",IFERROR(INDEX('Catalogos_PDN'!$C$5:$C$49,MATCH(E427,PN_METAS,0)),""))</f>
        <v/>
      </c>
      <c r="G427" s="110">
        <f>IF(E427="","",IFERROR(INDEX('Catalogos_PDN'!$E$5:$E$49,MATCH(E427,PN_METAS,0)),""))</f>
        <v/>
      </c>
      <c r="H427" s="111" t="n"/>
      <c r="I427" s="111" t="n"/>
      <c r="J427" s="111" t="n"/>
      <c r="K427" s="111" t="n"/>
      <c r="L427" s="111" t="n"/>
      <c r="M427" s="112" t="n"/>
      <c r="N427" s="111" t="n"/>
      <c r="O427" s="111" t="n"/>
      <c r="P427" s="111" t="n"/>
      <c r="Q427" s="111" t="n"/>
      <c r="R427" s="111" t="n"/>
      <c r="S427" s="111" t="n"/>
      <c r="T427" s="111" t="n"/>
      <c r="U427" s="111" t="n"/>
      <c r="V427" s="111" t="n"/>
      <c r="W427" s="113" t="n"/>
      <c r="X427" s="113" t="n"/>
      <c r="Y427" s="111" t="n"/>
      <c r="Z427" s="111" t="n"/>
      <c r="AA427" s="111" t="n"/>
      <c r="AB427" s="111" t="n"/>
      <c r="AC427" s="111" t="n"/>
      <c r="AD427" s="111" t="n"/>
      <c r="AE427" s="111" t="n"/>
      <c r="AF427" s="111" t="n"/>
      <c r="AG427" s="111" t="n"/>
      <c r="AH427" s="111" t="n"/>
      <c r="AI427" s="111" t="n"/>
      <c r="AJ427" s="114">
        <f>IF(COUNTA(B427,E427,H427,I427,J427,K427,L427,M427,N427,O427,P427,Q427,R427,S427,T427,U427,V427,W427,X427,Y427,Z427,AA427,AB427,AC427,AD427,AE427,AF427,AG427,AH427,AI427)=0,"",IF(OR(B427="",E427="",H427="",J427="",K427="",L427="",M427="",O427="",P427="",Q427="",R427="",S427="",T427="",U427="",W427="",X427="",Y427="",AB427="",AC427="",AE427="",AF427=""),"Incompleta: faltan campos obligatorios",IF(AND(LEFT(H427,6)="PROPIA",I427=""),"Falta el nombre de la acción propia del área",IF(AND(LEFT(H427,4)="AC27",IFERROR(INDEX('Catalogos_PDN'!$T$5:$T$207,MATCH(H427,'Catalogos_PDN'!$U$5:$U$207,0)),"x")&lt;&gt;LEFT(E427,7)),"La acción no corresponde a la meta seleccionada",IF(OR(NOT(ISNUMBER(M427)),M427&lt;10000000,M427&gt;99999999),"Código UNSPSC inválido: registre 8 dígitos",IF(MOD(M427,10000)=0,"UNSPSC a nivel de segmento o familia: use clase o producto",IF(IFERROR(MATCH(P427,PN_MESES,0)&lt;MATCH(O427,PN_MESES,0),TRUE()),"El mes de ofertas es anterior al de inicio del proceso",IF(OR(NOT(ISNUMBER(Q427)),Q427&lt;=0),"Duración inválida",IF(OR(NOT(ISNUMBER(W427)),NOT(ISNUMBER(X427))),"Valor inválido: registre solo números",IF(OR(W427&lt;=0,X427&lt;=0),"Valor inválido: debe ser mayor que cero",IF(X427&gt;W427,"El valor de la vigencia 2027 supera el valor total",IF(AND(X427&lt;W427,Y427="No"),"El valor total supera el de 2027: requiere vigencias futuras",IF(AND(Y427="Sí",OR(Z427="",Z427="No aplica")),"Indique el estado de la solicitud de vigencias futuras",IF(IF(AND(S427="Mínima cuantía",ISNUMBER(PN_TOPE_MINIMA)),W427&gt;PN_TOPE_MINIMA,FALSE()),"El valor supera el tope de mínima cuantía 2027",IF(IF(AND(S427="Selección abreviada de menor cuantía",ISNUMBER(PN_TOPE_MENOR)),W427&gt;PN_TOPE_MENOR,FALSE()),"El valor supera el tope de menor cuantía 2027",IF(OR(ISERROR(SEARCH("@itc.edu.co",AE427)),SUMPRODUCT(--ISNUMBER(SEARCH({"á","é","í","ó","ú","ñ"," "},AE427)))&gt;0),"El correo del responsable no es institucional válido",IF(AND(AF427="Sí",AG427=""),"Indique el N.° de registro 2026 que continúa","OK")))))))))))))))))</f>
        <v/>
      </c>
      <c r="AK427" s="114">
        <f>IF(AJ427="OK",COUNTIF($AJ$7:AJ427,"OK"),"")</f>
        <v/>
      </c>
    </row>
    <row r="428">
      <c r="A428" s="110">
        <f>"PN27-"&amp;TEXT(ROW()-6,"000")</f>
        <v/>
      </c>
      <c r="B428" s="111" t="n"/>
      <c r="C428" s="110">
        <f>IF(B428="","",IFERROR(INDEX('Catalogos_PDN'!$R$5:$R$51,MATCH(B428,PN_AREAS,0)),""))</f>
        <v/>
      </c>
      <c r="D428" s="110">
        <f>IF(B428="","",IFERROR(INDEX('Catalogos_PDN'!$O$5:$O$51,MATCH(B428,PN_AREAS,0)),""))</f>
        <v/>
      </c>
      <c r="E428" s="111" t="n"/>
      <c r="F428" s="110">
        <f>IF(E428="","",IFERROR(INDEX('Catalogos_PDN'!$C$5:$C$49,MATCH(E428,PN_METAS,0)),""))</f>
        <v/>
      </c>
      <c r="G428" s="110">
        <f>IF(E428="","",IFERROR(INDEX('Catalogos_PDN'!$E$5:$E$49,MATCH(E428,PN_METAS,0)),""))</f>
        <v/>
      </c>
      <c r="H428" s="111" t="n"/>
      <c r="I428" s="111" t="n"/>
      <c r="J428" s="111" t="n"/>
      <c r="K428" s="111" t="n"/>
      <c r="L428" s="111" t="n"/>
      <c r="M428" s="112" t="n"/>
      <c r="N428" s="111" t="n"/>
      <c r="O428" s="111" t="n"/>
      <c r="P428" s="111" t="n"/>
      <c r="Q428" s="111" t="n"/>
      <c r="R428" s="111" t="n"/>
      <c r="S428" s="111" t="n"/>
      <c r="T428" s="111" t="n"/>
      <c r="U428" s="111" t="n"/>
      <c r="V428" s="111" t="n"/>
      <c r="W428" s="113" t="n"/>
      <c r="X428" s="113" t="n"/>
      <c r="Y428" s="111" t="n"/>
      <c r="Z428" s="111" t="n"/>
      <c r="AA428" s="111" t="n"/>
      <c r="AB428" s="111" t="n"/>
      <c r="AC428" s="111" t="n"/>
      <c r="AD428" s="111" t="n"/>
      <c r="AE428" s="111" t="n"/>
      <c r="AF428" s="111" t="n"/>
      <c r="AG428" s="111" t="n"/>
      <c r="AH428" s="111" t="n"/>
      <c r="AI428" s="111" t="n"/>
      <c r="AJ428" s="114">
        <f>IF(COUNTA(B428,E428,H428,I428,J428,K428,L428,M428,N428,O428,P428,Q428,R428,S428,T428,U428,V428,W428,X428,Y428,Z428,AA428,AB428,AC428,AD428,AE428,AF428,AG428,AH428,AI428)=0,"",IF(OR(B428="",E428="",H428="",J428="",K428="",L428="",M428="",O428="",P428="",Q428="",R428="",S428="",T428="",U428="",W428="",X428="",Y428="",AB428="",AC428="",AE428="",AF428=""),"Incompleta: faltan campos obligatorios",IF(AND(LEFT(H428,6)="PROPIA",I428=""),"Falta el nombre de la acción propia del área",IF(AND(LEFT(H428,4)="AC27",IFERROR(INDEX('Catalogos_PDN'!$T$5:$T$207,MATCH(H428,'Catalogos_PDN'!$U$5:$U$207,0)),"x")&lt;&gt;LEFT(E428,7)),"La acción no corresponde a la meta seleccionada",IF(OR(NOT(ISNUMBER(M428)),M428&lt;10000000,M428&gt;99999999),"Código UNSPSC inválido: registre 8 dígitos",IF(MOD(M428,10000)=0,"UNSPSC a nivel de segmento o familia: use clase o producto",IF(IFERROR(MATCH(P428,PN_MESES,0)&lt;MATCH(O428,PN_MESES,0),TRUE()),"El mes de ofertas es anterior al de inicio del proceso",IF(OR(NOT(ISNUMBER(Q428)),Q428&lt;=0),"Duración inválida",IF(OR(NOT(ISNUMBER(W428)),NOT(ISNUMBER(X428))),"Valor inválido: registre solo números",IF(OR(W428&lt;=0,X428&lt;=0),"Valor inválido: debe ser mayor que cero",IF(X428&gt;W428,"El valor de la vigencia 2027 supera el valor total",IF(AND(X428&lt;W428,Y428="No"),"El valor total supera el de 2027: requiere vigencias futuras",IF(AND(Y428="Sí",OR(Z428="",Z428="No aplica")),"Indique el estado de la solicitud de vigencias futuras",IF(IF(AND(S428="Mínima cuantía",ISNUMBER(PN_TOPE_MINIMA)),W428&gt;PN_TOPE_MINIMA,FALSE()),"El valor supera el tope de mínima cuantía 2027",IF(IF(AND(S428="Selección abreviada de menor cuantía",ISNUMBER(PN_TOPE_MENOR)),W428&gt;PN_TOPE_MENOR,FALSE()),"El valor supera el tope de menor cuantía 2027",IF(OR(ISERROR(SEARCH("@itc.edu.co",AE428)),SUMPRODUCT(--ISNUMBER(SEARCH({"á","é","í","ó","ú","ñ"," "},AE428)))&gt;0),"El correo del responsable no es institucional válido",IF(AND(AF428="Sí",AG428=""),"Indique el N.° de registro 2026 que continúa","OK")))))))))))))))))</f>
        <v/>
      </c>
      <c r="AK428" s="114">
        <f>IF(AJ428="OK",COUNTIF($AJ$7:AJ428,"OK"),"")</f>
        <v/>
      </c>
    </row>
    <row r="429">
      <c r="A429" s="110">
        <f>"PN27-"&amp;TEXT(ROW()-6,"000")</f>
        <v/>
      </c>
      <c r="B429" s="111" t="n"/>
      <c r="C429" s="110">
        <f>IF(B429="","",IFERROR(INDEX('Catalogos_PDN'!$R$5:$R$51,MATCH(B429,PN_AREAS,0)),""))</f>
        <v/>
      </c>
      <c r="D429" s="110">
        <f>IF(B429="","",IFERROR(INDEX('Catalogos_PDN'!$O$5:$O$51,MATCH(B429,PN_AREAS,0)),""))</f>
        <v/>
      </c>
      <c r="E429" s="111" t="n"/>
      <c r="F429" s="110">
        <f>IF(E429="","",IFERROR(INDEX('Catalogos_PDN'!$C$5:$C$49,MATCH(E429,PN_METAS,0)),""))</f>
        <v/>
      </c>
      <c r="G429" s="110">
        <f>IF(E429="","",IFERROR(INDEX('Catalogos_PDN'!$E$5:$E$49,MATCH(E429,PN_METAS,0)),""))</f>
        <v/>
      </c>
      <c r="H429" s="111" t="n"/>
      <c r="I429" s="111" t="n"/>
      <c r="J429" s="111" t="n"/>
      <c r="K429" s="111" t="n"/>
      <c r="L429" s="111" t="n"/>
      <c r="M429" s="112" t="n"/>
      <c r="N429" s="111" t="n"/>
      <c r="O429" s="111" t="n"/>
      <c r="P429" s="111" t="n"/>
      <c r="Q429" s="111" t="n"/>
      <c r="R429" s="111" t="n"/>
      <c r="S429" s="111" t="n"/>
      <c r="T429" s="111" t="n"/>
      <c r="U429" s="111" t="n"/>
      <c r="V429" s="111" t="n"/>
      <c r="W429" s="113" t="n"/>
      <c r="X429" s="113" t="n"/>
      <c r="Y429" s="111" t="n"/>
      <c r="Z429" s="111" t="n"/>
      <c r="AA429" s="111" t="n"/>
      <c r="AB429" s="111" t="n"/>
      <c r="AC429" s="111" t="n"/>
      <c r="AD429" s="111" t="n"/>
      <c r="AE429" s="111" t="n"/>
      <c r="AF429" s="111" t="n"/>
      <c r="AG429" s="111" t="n"/>
      <c r="AH429" s="111" t="n"/>
      <c r="AI429" s="111" t="n"/>
      <c r="AJ429" s="114">
        <f>IF(COUNTA(B429,E429,H429,I429,J429,K429,L429,M429,N429,O429,P429,Q429,R429,S429,T429,U429,V429,W429,X429,Y429,Z429,AA429,AB429,AC429,AD429,AE429,AF429,AG429,AH429,AI429)=0,"",IF(OR(B429="",E429="",H429="",J429="",K429="",L429="",M429="",O429="",P429="",Q429="",R429="",S429="",T429="",U429="",W429="",X429="",Y429="",AB429="",AC429="",AE429="",AF429=""),"Incompleta: faltan campos obligatorios",IF(AND(LEFT(H429,6)="PROPIA",I429=""),"Falta el nombre de la acción propia del área",IF(AND(LEFT(H429,4)="AC27",IFERROR(INDEX('Catalogos_PDN'!$T$5:$T$207,MATCH(H429,'Catalogos_PDN'!$U$5:$U$207,0)),"x")&lt;&gt;LEFT(E429,7)),"La acción no corresponde a la meta seleccionada",IF(OR(NOT(ISNUMBER(M429)),M429&lt;10000000,M429&gt;99999999),"Código UNSPSC inválido: registre 8 dígitos",IF(MOD(M429,10000)=0,"UNSPSC a nivel de segmento o familia: use clase o producto",IF(IFERROR(MATCH(P429,PN_MESES,0)&lt;MATCH(O429,PN_MESES,0),TRUE()),"El mes de ofertas es anterior al de inicio del proceso",IF(OR(NOT(ISNUMBER(Q429)),Q429&lt;=0),"Duración inválida",IF(OR(NOT(ISNUMBER(W429)),NOT(ISNUMBER(X429))),"Valor inválido: registre solo números",IF(OR(W429&lt;=0,X429&lt;=0),"Valor inválido: debe ser mayor que cero",IF(X429&gt;W429,"El valor de la vigencia 2027 supera el valor total",IF(AND(X429&lt;W429,Y429="No"),"El valor total supera el de 2027: requiere vigencias futuras",IF(AND(Y429="Sí",OR(Z429="",Z429="No aplica")),"Indique el estado de la solicitud de vigencias futuras",IF(IF(AND(S429="Mínima cuantía",ISNUMBER(PN_TOPE_MINIMA)),W429&gt;PN_TOPE_MINIMA,FALSE()),"El valor supera el tope de mínima cuantía 2027",IF(IF(AND(S429="Selección abreviada de menor cuantía",ISNUMBER(PN_TOPE_MENOR)),W429&gt;PN_TOPE_MENOR,FALSE()),"El valor supera el tope de menor cuantía 2027",IF(OR(ISERROR(SEARCH("@itc.edu.co",AE429)),SUMPRODUCT(--ISNUMBER(SEARCH({"á","é","í","ó","ú","ñ"," "},AE429)))&gt;0),"El correo del responsable no es institucional válido",IF(AND(AF429="Sí",AG429=""),"Indique el N.° de registro 2026 que continúa","OK")))))))))))))))))</f>
        <v/>
      </c>
      <c r="AK429" s="114">
        <f>IF(AJ429="OK",COUNTIF($AJ$7:AJ429,"OK"),"")</f>
        <v/>
      </c>
    </row>
    <row r="430">
      <c r="A430" s="110">
        <f>"PN27-"&amp;TEXT(ROW()-6,"000")</f>
        <v/>
      </c>
      <c r="B430" s="111" t="n"/>
      <c r="C430" s="110">
        <f>IF(B430="","",IFERROR(INDEX('Catalogos_PDN'!$R$5:$R$51,MATCH(B430,PN_AREAS,0)),""))</f>
        <v/>
      </c>
      <c r="D430" s="110">
        <f>IF(B430="","",IFERROR(INDEX('Catalogos_PDN'!$O$5:$O$51,MATCH(B430,PN_AREAS,0)),""))</f>
        <v/>
      </c>
      <c r="E430" s="111" t="n"/>
      <c r="F430" s="110">
        <f>IF(E430="","",IFERROR(INDEX('Catalogos_PDN'!$C$5:$C$49,MATCH(E430,PN_METAS,0)),""))</f>
        <v/>
      </c>
      <c r="G430" s="110">
        <f>IF(E430="","",IFERROR(INDEX('Catalogos_PDN'!$E$5:$E$49,MATCH(E430,PN_METAS,0)),""))</f>
        <v/>
      </c>
      <c r="H430" s="111" t="n"/>
      <c r="I430" s="111" t="n"/>
      <c r="J430" s="111" t="n"/>
      <c r="K430" s="111" t="n"/>
      <c r="L430" s="111" t="n"/>
      <c r="M430" s="112" t="n"/>
      <c r="N430" s="111" t="n"/>
      <c r="O430" s="111" t="n"/>
      <c r="P430" s="111" t="n"/>
      <c r="Q430" s="111" t="n"/>
      <c r="R430" s="111" t="n"/>
      <c r="S430" s="111" t="n"/>
      <c r="T430" s="111" t="n"/>
      <c r="U430" s="111" t="n"/>
      <c r="V430" s="111" t="n"/>
      <c r="W430" s="113" t="n"/>
      <c r="X430" s="113" t="n"/>
      <c r="Y430" s="111" t="n"/>
      <c r="Z430" s="111" t="n"/>
      <c r="AA430" s="111" t="n"/>
      <c r="AB430" s="111" t="n"/>
      <c r="AC430" s="111" t="n"/>
      <c r="AD430" s="111" t="n"/>
      <c r="AE430" s="111" t="n"/>
      <c r="AF430" s="111" t="n"/>
      <c r="AG430" s="111" t="n"/>
      <c r="AH430" s="111" t="n"/>
      <c r="AI430" s="111" t="n"/>
      <c r="AJ430" s="114">
        <f>IF(COUNTA(B430,E430,H430,I430,J430,K430,L430,M430,N430,O430,P430,Q430,R430,S430,T430,U430,V430,W430,X430,Y430,Z430,AA430,AB430,AC430,AD430,AE430,AF430,AG430,AH430,AI430)=0,"",IF(OR(B430="",E430="",H430="",J430="",K430="",L430="",M430="",O430="",P430="",Q430="",R430="",S430="",T430="",U430="",W430="",X430="",Y430="",AB430="",AC430="",AE430="",AF430=""),"Incompleta: faltan campos obligatorios",IF(AND(LEFT(H430,6)="PROPIA",I430=""),"Falta el nombre de la acción propia del área",IF(AND(LEFT(H430,4)="AC27",IFERROR(INDEX('Catalogos_PDN'!$T$5:$T$207,MATCH(H430,'Catalogos_PDN'!$U$5:$U$207,0)),"x")&lt;&gt;LEFT(E430,7)),"La acción no corresponde a la meta seleccionada",IF(OR(NOT(ISNUMBER(M430)),M430&lt;10000000,M430&gt;99999999),"Código UNSPSC inválido: registre 8 dígitos",IF(MOD(M430,10000)=0,"UNSPSC a nivel de segmento o familia: use clase o producto",IF(IFERROR(MATCH(P430,PN_MESES,0)&lt;MATCH(O430,PN_MESES,0),TRUE()),"El mes de ofertas es anterior al de inicio del proceso",IF(OR(NOT(ISNUMBER(Q430)),Q430&lt;=0),"Duración inválida",IF(OR(NOT(ISNUMBER(W430)),NOT(ISNUMBER(X430))),"Valor inválido: registre solo números",IF(OR(W430&lt;=0,X430&lt;=0),"Valor inválido: debe ser mayor que cero",IF(X430&gt;W430,"El valor de la vigencia 2027 supera el valor total",IF(AND(X430&lt;W430,Y430="No"),"El valor total supera el de 2027: requiere vigencias futuras",IF(AND(Y430="Sí",OR(Z430="",Z430="No aplica")),"Indique el estado de la solicitud de vigencias futuras",IF(IF(AND(S430="Mínima cuantía",ISNUMBER(PN_TOPE_MINIMA)),W430&gt;PN_TOPE_MINIMA,FALSE()),"El valor supera el tope de mínima cuantía 2027",IF(IF(AND(S430="Selección abreviada de menor cuantía",ISNUMBER(PN_TOPE_MENOR)),W430&gt;PN_TOPE_MENOR,FALSE()),"El valor supera el tope de menor cuantía 2027",IF(OR(ISERROR(SEARCH("@itc.edu.co",AE430)),SUMPRODUCT(--ISNUMBER(SEARCH({"á","é","í","ó","ú","ñ"," "},AE430)))&gt;0),"El correo del responsable no es institucional válido",IF(AND(AF430="Sí",AG430=""),"Indique el N.° de registro 2026 que continúa","OK")))))))))))))))))</f>
        <v/>
      </c>
      <c r="AK430" s="114">
        <f>IF(AJ430="OK",COUNTIF($AJ$7:AJ430,"OK"),"")</f>
        <v/>
      </c>
    </row>
    <row r="431">
      <c r="A431" s="110">
        <f>"PN27-"&amp;TEXT(ROW()-6,"000")</f>
        <v/>
      </c>
      <c r="B431" s="111" t="n"/>
      <c r="C431" s="110">
        <f>IF(B431="","",IFERROR(INDEX('Catalogos_PDN'!$R$5:$R$51,MATCH(B431,PN_AREAS,0)),""))</f>
        <v/>
      </c>
      <c r="D431" s="110">
        <f>IF(B431="","",IFERROR(INDEX('Catalogos_PDN'!$O$5:$O$51,MATCH(B431,PN_AREAS,0)),""))</f>
        <v/>
      </c>
      <c r="E431" s="111" t="n"/>
      <c r="F431" s="110">
        <f>IF(E431="","",IFERROR(INDEX('Catalogos_PDN'!$C$5:$C$49,MATCH(E431,PN_METAS,0)),""))</f>
        <v/>
      </c>
      <c r="G431" s="110">
        <f>IF(E431="","",IFERROR(INDEX('Catalogos_PDN'!$E$5:$E$49,MATCH(E431,PN_METAS,0)),""))</f>
        <v/>
      </c>
      <c r="H431" s="111" t="n"/>
      <c r="I431" s="111" t="n"/>
      <c r="J431" s="111" t="n"/>
      <c r="K431" s="111" t="n"/>
      <c r="L431" s="111" t="n"/>
      <c r="M431" s="112" t="n"/>
      <c r="N431" s="111" t="n"/>
      <c r="O431" s="111" t="n"/>
      <c r="P431" s="111" t="n"/>
      <c r="Q431" s="111" t="n"/>
      <c r="R431" s="111" t="n"/>
      <c r="S431" s="111" t="n"/>
      <c r="T431" s="111" t="n"/>
      <c r="U431" s="111" t="n"/>
      <c r="V431" s="111" t="n"/>
      <c r="W431" s="113" t="n"/>
      <c r="X431" s="113" t="n"/>
      <c r="Y431" s="111" t="n"/>
      <c r="Z431" s="111" t="n"/>
      <c r="AA431" s="111" t="n"/>
      <c r="AB431" s="111" t="n"/>
      <c r="AC431" s="111" t="n"/>
      <c r="AD431" s="111" t="n"/>
      <c r="AE431" s="111" t="n"/>
      <c r="AF431" s="111" t="n"/>
      <c r="AG431" s="111" t="n"/>
      <c r="AH431" s="111" t="n"/>
      <c r="AI431" s="111" t="n"/>
      <c r="AJ431" s="114">
        <f>IF(COUNTA(B431,E431,H431,I431,J431,K431,L431,M431,N431,O431,P431,Q431,R431,S431,T431,U431,V431,W431,X431,Y431,Z431,AA431,AB431,AC431,AD431,AE431,AF431,AG431,AH431,AI431)=0,"",IF(OR(B431="",E431="",H431="",J431="",K431="",L431="",M431="",O431="",P431="",Q431="",R431="",S431="",T431="",U431="",W431="",X431="",Y431="",AB431="",AC431="",AE431="",AF431=""),"Incompleta: faltan campos obligatorios",IF(AND(LEFT(H431,6)="PROPIA",I431=""),"Falta el nombre de la acción propia del área",IF(AND(LEFT(H431,4)="AC27",IFERROR(INDEX('Catalogos_PDN'!$T$5:$T$207,MATCH(H431,'Catalogos_PDN'!$U$5:$U$207,0)),"x")&lt;&gt;LEFT(E431,7)),"La acción no corresponde a la meta seleccionada",IF(OR(NOT(ISNUMBER(M431)),M431&lt;10000000,M431&gt;99999999),"Código UNSPSC inválido: registre 8 dígitos",IF(MOD(M431,10000)=0,"UNSPSC a nivel de segmento o familia: use clase o producto",IF(IFERROR(MATCH(P431,PN_MESES,0)&lt;MATCH(O431,PN_MESES,0),TRUE()),"El mes de ofertas es anterior al de inicio del proceso",IF(OR(NOT(ISNUMBER(Q431)),Q431&lt;=0),"Duración inválida",IF(OR(NOT(ISNUMBER(W431)),NOT(ISNUMBER(X431))),"Valor inválido: registre solo números",IF(OR(W431&lt;=0,X431&lt;=0),"Valor inválido: debe ser mayor que cero",IF(X431&gt;W431,"El valor de la vigencia 2027 supera el valor total",IF(AND(X431&lt;W431,Y431="No"),"El valor total supera el de 2027: requiere vigencias futuras",IF(AND(Y431="Sí",OR(Z431="",Z431="No aplica")),"Indique el estado de la solicitud de vigencias futuras",IF(IF(AND(S431="Mínima cuantía",ISNUMBER(PN_TOPE_MINIMA)),W431&gt;PN_TOPE_MINIMA,FALSE()),"El valor supera el tope de mínima cuantía 2027",IF(IF(AND(S431="Selección abreviada de menor cuantía",ISNUMBER(PN_TOPE_MENOR)),W431&gt;PN_TOPE_MENOR,FALSE()),"El valor supera el tope de menor cuantía 2027",IF(OR(ISERROR(SEARCH("@itc.edu.co",AE431)),SUMPRODUCT(--ISNUMBER(SEARCH({"á","é","í","ó","ú","ñ"," "},AE431)))&gt;0),"El correo del responsable no es institucional válido",IF(AND(AF431="Sí",AG431=""),"Indique el N.° de registro 2026 que continúa","OK")))))))))))))))))</f>
        <v/>
      </c>
      <c r="AK431" s="114">
        <f>IF(AJ431="OK",COUNTIF($AJ$7:AJ431,"OK"),"")</f>
        <v/>
      </c>
    </row>
    <row r="432">
      <c r="A432" s="110">
        <f>"PN27-"&amp;TEXT(ROW()-6,"000")</f>
        <v/>
      </c>
      <c r="B432" s="111" t="n"/>
      <c r="C432" s="110">
        <f>IF(B432="","",IFERROR(INDEX('Catalogos_PDN'!$R$5:$R$51,MATCH(B432,PN_AREAS,0)),""))</f>
        <v/>
      </c>
      <c r="D432" s="110">
        <f>IF(B432="","",IFERROR(INDEX('Catalogos_PDN'!$O$5:$O$51,MATCH(B432,PN_AREAS,0)),""))</f>
        <v/>
      </c>
      <c r="E432" s="111" t="n"/>
      <c r="F432" s="110">
        <f>IF(E432="","",IFERROR(INDEX('Catalogos_PDN'!$C$5:$C$49,MATCH(E432,PN_METAS,0)),""))</f>
        <v/>
      </c>
      <c r="G432" s="110">
        <f>IF(E432="","",IFERROR(INDEX('Catalogos_PDN'!$E$5:$E$49,MATCH(E432,PN_METAS,0)),""))</f>
        <v/>
      </c>
      <c r="H432" s="111" t="n"/>
      <c r="I432" s="111" t="n"/>
      <c r="J432" s="111" t="n"/>
      <c r="K432" s="111" t="n"/>
      <c r="L432" s="111" t="n"/>
      <c r="M432" s="112" t="n"/>
      <c r="N432" s="111" t="n"/>
      <c r="O432" s="111" t="n"/>
      <c r="P432" s="111" t="n"/>
      <c r="Q432" s="111" t="n"/>
      <c r="R432" s="111" t="n"/>
      <c r="S432" s="111" t="n"/>
      <c r="T432" s="111" t="n"/>
      <c r="U432" s="111" t="n"/>
      <c r="V432" s="111" t="n"/>
      <c r="W432" s="113" t="n"/>
      <c r="X432" s="113" t="n"/>
      <c r="Y432" s="111" t="n"/>
      <c r="Z432" s="111" t="n"/>
      <c r="AA432" s="111" t="n"/>
      <c r="AB432" s="111" t="n"/>
      <c r="AC432" s="111" t="n"/>
      <c r="AD432" s="111" t="n"/>
      <c r="AE432" s="111" t="n"/>
      <c r="AF432" s="111" t="n"/>
      <c r="AG432" s="111" t="n"/>
      <c r="AH432" s="111" t="n"/>
      <c r="AI432" s="111" t="n"/>
      <c r="AJ432" s="114">
        <f>IF(COUNTA(B432,E432,H432,I432,J432,K432,L432,M432,N432,O432,P432,Q432,R432,S432,T432,U432,V432,W432,X432,Y432,Z432,AA432,AB432,AC432,AD432,AE432,AF432,AG432,AH432,AI432)=0,"",IF(OR(B432="",E432="",H432="",J432="",K432="",L432="",M432="",O432="",P432="",Q432="",R432="",S432="",T432="",U432="",W432="",X432="",Y432="",AB432="",AC432="",AE432="",AF432=""),"Incompleta: faltan campos obligatorios",IF(AND(LEFT(H432,6)="PROPIA",I432=""),"Falta el nombre de la acción propia del área",IF(AND(LEFT(H432,4)="AC27",IFERROR(INDEX('Catalogos_PDN'!$T$5:$T$207,MATCH(H432,'Catalogos_PDN'!$U$5:$U$207,0)),"x")&lt;&gt;LEFT(E432,7)),"La acción no corresponde a la meta seleccionada",IF(OR(NOT(ISNUMBER(M432)),M432&lt;10000000,M432&gt;99999999),"Código UNSPSC inválido: registre 8 dígitos",IF(MOD(M432,10000)=0,"UNSPSC a nivel de segmento o familia: use clase o producto",IF(IFERROR(MATCH(P432,PN_MESES,0)&lt;MATCH(O432,PN_MESES,0),TRUE()),"El mes de ofertas es anterior al de inicio del proceso",IF(OR(NOT(ISNUMBER(Q432)),Q432&lt;=0),"Duración inválida",IF(OR(NOT(ISNUMBER(W432)),NOT(ISNUMBER(X432))),"Valor inválido: registre solo números",IF(OR(W432&lt;=0,X432&lt;=0),"Valor inválido: debe ser mayor que cero",IF(X432&gt;W432,"El valor de la vigencia 2027 supera el valor total",IF(AND(X432&lt;W432,Y432="No"),"El valor total supera el de 2027: requiere vigencias futuras",IF(AND(Y432="Sí",OR(Z432="",Z432="No aplica")),"Indique el estado de la solicitud de vigencias futuras",IF(IF(AND(S432="Mínima cuantía",ISNUMBER(PN_TOPE_MINIMA)),W432&gt;PN_TOPE_MINIMA,FALSE()),"El valor supera el tope de mínima cuantía 2027",IF(IF(AND(S432="Selección abreviada de menor cuantía",ISNUMBER(PN_TOPE_MENOR)),W432&gt;PN_TOPE_MENOR,FALSE()),"El valor supera el tope de menor cuantía 2027",IF(OR(ISERROR(SEARCH("@itc.edu.co",AE432)),SUMPRODUCT(--ISNUMBER(SEARCH({"á","é","í","ó","ú","ñ"," "},AE432)))&gt;0),"El correo del responsable no es institucional válido",IF(AND(AF432="Sí",AG432=""),"Indique el N.° de registro 2026 que continúa","OK")))))))))))))))))</f>
        <v/>
      </c>
      <c r="AK432" s="114">
        <f>IF(AJ432="OK",COUNTIF($AJ$7:AJ432,"OK"),"")</f>
        <v/>
      </c>
    </row>
    <row r="433">
      <c r="A433" s="110">
        <f>"PN27-"&amp;TEXT(ROW()-6,"000")</f>
        <v/>
      </c>
      <c r="B433" s="111" t="n"/>
      <c r="C433" s="110">
        <f>IF(B433="","",IFERROR(INDEX('Catalogos_PDN'!$R$5:$R$51,MATCH(B433,PN_AREAS,0)),""))</f>
        <v/>
      </c>
      <c r="D433" s="110">
        <f>IF(B433="","",IFERROR(INDEX('Catalogos_PDN'!$O$5:$O$51,MATCH(B433,PN_AREAS,0)),""))</f>
        <v/>
      </c>
      <c r="E433" s="111" t="n"/>
      <c r="F433" s="110">
        <f>IF(E433="","",IFERROR(INDEX('Catalogos_PDN'!$C$5:$C$49,MATCH(E433,PN_METAS,0)),""))</f>
        <v/>
      </c>
      <c r="G433" s="110">
        <f>IF(E433="","",IFERROR(INDEX('Catalogos_PDN'!$E$5:$E$49,MATCH(E433,PN_METAS,0)),""))</f>
        <v/>
      </c>
      <c r="H433" s="111" t="n"/>
      <c r="I433" s="111" t="n"/>
      <c r="J433" s="111" t="n"/>
      <c r="K433" s="111" t="n"/>
      <c r="L433" s="111" t="n"/>
      <c r="M433" s="112" t="n"/>
      <c r="N433" s="111" t="n"/>
      <c r="O433" s="111" t="n"/>
      <c r="P433" s="111" t="n"/>
      <c r="Q433" s="111" t="n"/>
      <c r="R433" s="111" t="n"/>
      <c r="S433" s="111" t="n"/>
      <c r="T433" s="111" t="n"/>
      <c r="U433" s="111" t="n"/>
      <c r="V433" s="111" t="n"/>
      <c r="W433" s="113" t="n"/>
      <c r="X433" s="113" t="n"/>
      <c r="Y433" s="111" t="n"/>
      <c r="Z433" s="111" t="n"/>
      <c r="AA433" s="111" t="n"/>
      <c r="AB433" s="111" t="n"/>
      <c r="AC433" s="111" t="n"/>
      <c r="AD433" s="111" t="n"/>
      <c r="AE433" s="111" t="n"/>
      <c r="AF433" s="111" t="n"/>
      <c r="AG433" s="111" t="n"/>
      <c r="AH433" s="111" t="n"/>
      <c r="AI433" s="111" t="n"/>
      <c r="AJ433" s="114">
        <f>IF(COUNTA(B433,E433,H433,I433,J433,K433,L433,M433,N433,O433,P433,Q433,R433,S433,T433,U433,V433,W433,X433,Y433,Z433,AA433,AB433,AC433,AD433,AE433,AF433,AG433,AH433,AI433)=0,"",IF(OR(B433="",E433="",H433="",J433="",K433="",L433="",M433="",O433="",P433="",Q433="",R433="",S433="",T433="",U433="",W433="",X433="",Y433="",AB433="",AC433="",AE433="",AF433=""),"Incompleta: faltan campos obligatorios",IF(AND(LEFT(H433,6)="PROPIA",I433=""),"Falta el nombre de la acción propia del área",IF(AND(LEFT(H433,4)="AC27",IFERROR(INDEX('Catalogos_PDN'!$T$5:$T$207,MATCH(H433,'Catalogos_PDN'!$U$5:$U$207,0)),"x")&lt;&gt;LEFT(E433,7)),"La acción no corresponde a la meta seleccionada",IF(OR(NOT(ISNUMBER(M433)),M433&lt;10000000,M433&gt;99999999),"Código UNSPSC inválido: registre 8 dígitos",IF(MOD(M433,10000)=0,"UNSPSC a nivel de segmento o familia: use clase o producto",IF(IFERROR(MATCH(P433,PN_MESES,0)&lt;MATCH(O433,PN_MESES,0),TRUE()),"El mes de ofertas es anterior al de inicio del proceso",IF(OR(NOT(ISNUMBER(Q433)),Q433&lt;=0),"Duración inválida",IF(OR(NOT(ISNUMBER(W433)),NOT(ISNUMBER(X433))),"Valor inválido: registre solo números",IF(OR(W433&lt;=0,X433&lt;=0),"Valor inválido: debe ser mayor que cero",IF(X433&gt;W433,"El valor de la vigencia 2027 supera el valor total",IF(AND(X433&lt;W433,Y433="No"),"El valor total supera el de 2027: requiere vigencias futuras",IF(AND(Y433="Sí",OR(Z433="",Z433="No aplica")),"Indique el estado de la solicitud de vigencias futuras",IF(IF(AND(S433="Mínima cuantía",ISNUMBER(PN_TOPE_MINIMA)),W433&gt;PN_TOPE_MINIMA,FALSE()),"El valor supera el tope de mínima cuantía 2027",IF(IF(AND(S433="Selección abreviada de menor cuantía",ISNUMBER(PN_TOPE_MENOR)),W433&gt;PN_TOPE_MENOR,FALSE()),"El valor supera el tope de menor cuantía 2027",IF(OR(ISERROR(SEARCH("@itc.edu.co",AE433)),SUMPRODUCT(--ISNUMBER(SEARCH({"á","é","í","ó","ú","ñ"," "},AE433)))&gt;0),"El correo del responsable no es institucional válido",IF(AND(AF433="Sí",AG433=""),"Indique el N.° de registro 2026 que continúa","OK")))))))))))))))))</f>
        <v/>
      </c>
      <c r="AK433" s="114">
        <f>IF(AJ433="OK",COUNTIF($AJ$7:AJ433,"OK"),"")</f>
        <v/>
      </c>
    </row>
    <row r="434">
      <c r="A434" s="110">
        <f>"PN27-"&amp;TEXT(ROW()-6,"000")</f>
        <v/>
      </c>
      <c r="B434" s="111" t="n"/>
      <c r="C434" s="110">
        <f>IF(B434="","",IFERROR(INDEX('Catalogos_PDN'!$R$5:$R$51,MATCH(B434,PN_AREAS,0)),""))</f>
        <v/>
      </c>
      <c r="D434" s="110">
        <f>IF(B434="","",IFERROR(INDEX('Catalogos_PDN'!$O$5:$O$51,MATCH(B434,PN_AREAS,0)),""))</f>
        <v/>
      </c>
      <c r="E434" s="111" t="n"/>
      <c r="F434" s="110">
        <f>IF(E434="","",IFERROR(INDEX('Catalogos_PDN'!$C$5:$C$49,MATCH(E434,PN_METAS,0)),""))</f>
        <v/>
      </c>
      <c r="G434" s="110">
        <f>IF(E434="","",IFERROR(INDEX('Catalogos_PDN'!$E$5:$E$49,MATCH(E434,PN_METAS,0)),""))</f>
        <v/>
      </c>
      <c r="H434" s="111" t="n"/>
      <c r="I434" s="111" t="n"/>
      <c r="J434" s="111" t="n"/>
      <c r="K434" s="111" t="n"/>
      <c r="L434" s="111" t="n"/>
      <c r="M434" s="112" t="n"/>
      <c r="N434" s="111" t="n"/>
      <c r="O434" s="111" t="n"/>
      <c r="P434" s="111" t="n"/>
      <c r="Q434" s="111" t="n"/>
      <c r="R434" s="111" t="n"/>
      <c r="S434" s="111" t="n"/>
      <c r="T434" s="111" t="n"/>
      <c r="U434" s="111" t="n"/>
      <c r="V434" s="111" t="n"/>
      <c r="W434" s="113" t="n"/>
      <c r="X434" s="113" t="n"/>
      <c r="Y434" s="111" t="n"/>
      <c r="Z434" s="111" t="n"/>
      <c r="AA434" s="111" t="n"/>
      <c r="AB434" s="111" t="n"/>
      <c r="AC434" s="111" t="n"/>
      <c r="AD434" s="111" t="n"/>
      <c r="AE434" s="111" t="n"/>
      <c r="AF434" s="111" t="n"/>
      <c r="AG434" s="111" t="n"/>
      <c r="AH434" s="111" t="n"/>
      <c r="AI434" s="111" t="n"/>
      <c r="AJ434" s="114">
        <f>IF(COUNTA(B434,E434,H434,I434,J434,K434,L434,M434,N434,O434,P434,Q434,R434,S434,T434,U434,V434,W434,X434,Y434,Z434,AA434,AB434,AC434,AD434,AE434,AF434,AG434,AH434,AI434)=0,"",IF(OR(B434="",E434="",H434="",J434="",K434="",L434="",M434="",O434="",P434="",Q434="",R434="",S434="",T434="",U434="",W434="",X434="",Y434="",AB434="",AC434="",AE434="",AF434=""),"Incompleta: faltan campos obligatorios",IF(AND(LEFT(H434,6)="PROPIA",I434=""),"Falta el nombre de la acción propia del área",IF(AND(LEFT(H434,4)="AC27",IFERROR(INDEX('Catalogos_PDN'!$T$5:$T$207,MATCH(H434,'Catalogos_PDN'!$U$5:$U$207,0)),"x")&lt;&gt;LEFT(E434,7)),"La acción no corresponde a la meta seleccionada",IF(OR(NOT(ISNUMBER(M434)),M434&lt;10000000,M434&gt;99999999),"Código UNSPSC inválido: registre 8 dígitos",IF(MOD(M434,10000)=0,"UNSPSC a nivel de segmento o familia: use clase o producto",IF(IFERROR(MATCH(P434,PN_MESES,0)&lt;MATCH(O434,PN_MESES,0),TRUE()),"El mes de ofertas es anterior al de inicio del proceso",IF(OR(NOT(ISNUMBER(Q434)),Q434&lt;=0),"Duración inválida",IF(OR(NOT(ISNUMBER(W434)),NOT(ISNUMBER(X434))),"Valor inválido: registre solo números",IF(OR(W434&lt;=0,X434&lt;=0),"Valor inválido: debe ser mayor que cero",IF(X434&gt;W434,"El valor de la vigencia 2027 supera el valor total",IF(AND(X434&lt;W434,Y434="No"),"El valor total supera el de 2027: requiere vigencias futuras",IF(AND(Y434="Sí",OR(Z434="",Z434="No aplica")),"Indique el estado de la solicitud de vigencias futuras",IF(IF(AND(S434="Mínima cuantía",ISNUMBER(PN_TOPE_MINIMA)),W434&gt;PN_TOPE_MINIMA,FALSE()),"El valor supera el tope de mínima cuantía 2027",IF(IF(AND(S434="Selección abreviada de menor cuantía",ISNUMBER(PN_TOPE_MENOR)),W434&gt;PN_TOPE_MENOR,FALSE()),"El valor supera el tope de menor cuantía 2027",IF(OR(ISERROR(SEARCH("@itc.edu.co",AE434)),SUMPRODUCT(--ISNUMBER(SEARCH({"á","é","í","ó","ú","ñ"," "},AE434)))&gt;0),"El correo del responsable no es institucional válido",IF(AND(AF434="Sí",AG434=""),"Indique el N.° de registro 2026 que continúa","OK")))))))))))))))))</f>
        <v/>
      </c>
      <c r="AK434" s="114">
        <f>IF(AJ434="OK",COUNTIF($AJ$7:AJ434,"OK"),"")</f>
        <v/>
      </c>
    </row>
    <row r="435">
      <c r="A435" s="110">
        <f>"PN27-"&amp;TEXT(ROW()-6,"000")</f>
        <v/>
      </c>
      <c r="B435" s="111" t="n"/>
      <c r="C435" s="110">
        <f>IF(B435="","",IFERROR(INDEX('Catalogos_PDN'!$R$5:$R$51,MATCH(B435,PN_AREAS,0)),""))</f>
        <v/>
      </c>
      <c r="D435" s="110">
        <f>IF(B435="","",IFERROR(INDEX('Catalogos_PDN'!$O$5:$O$51,MATCH(B435,PN_AREAS,0)),""))</f>
        <v/>
      </c>
      <c r="E435" s="111" t="n"/>
      <c r="F435" s="110">
        <f>IF(E435="","",IFERROR(INDEX('Catalogos_PDN'!$C$5:$C$49,MATCH(E435,PN_METAS,0)),""))</f>
        <v/>
      </c>
      <c r="G435" s="110">
        <f>IF(E435="","",IFERROR(INDEX('Catalogos_PDN'!$E$5:$E$49,MATCH(E435,PN_METAS,0)),""))</f>
        <v/>
      </c>
      <c r="H435" s="111" t="n"/>
      <c r="I435" s="111" t="n"/>
      <c r="J435" s="111" t="n"/>
      <c r="K435" s="111" t="n"/>
      <c r="L435" s="111" t="n"/>
      <c r="M435" s="112" t="n"/>
      <c r="N435" s="111" t="n"/>
      <c r="O435" s="111" t="n"/>
      <c r="P435" s="111" t="n"/>
      <c r="Q435" s="111" t="n"/>
      <c r="R435" s="111" t="n"/>
      <c r="S435" s="111" t="n"/>
      <c r="T435" s="111" t="n"/>
      <c r="U435" s="111" t="n"/>
      <c r="V435" s="111" t="n"/>
      <c r="W435" s="113" t="n"/>
      <c r="X435" s="113" t="n"/>
      <c r="Y435" s="111" t="n"/>
      <c r="Z435" s="111" t="n"/>
      <c r="AA435" s="111" t="n"/>
      <c r="AB435" s="111" t="n"/>
      <c r="AC435" s="111" t="n"/>
      <c r="AD435" s="111" t="n"/>
      <c r="AE435" s="111" t="n"/>
      <c r="AF435" s="111" t="n"/>
      <c r="AG435" s="111" t="n"/>
      <c r="AH435" s="111" t="n"/>
      <c r="AI435" s="111" t="n"/>
      <c r="AJ435" s="114">
        <f>IF(COUNTA(B435,E435,H435,I435,J435,K435,L435,M435,N435,O435,P435,Q435,R435,S435,T435,U435,V435,W435,X435,Y435,Z435,AA435,AB435,AC435,AD435,AE435,AF435,AG435,AH435,AI435)=0,"",IF(OR(B435="",E435="",H435="",J435="",K435="",L435="",M435="",O435="",P435="",Q435="",R435="",S435="",T435="",U435="",W435="",X435="",Y435="",AB435="",AC435="",AE435="",AF435=""),"Incompleta: faltan campos obligatorios",IF(AND(LEFT(H435,6)="PROPIA",I435=""),"Falta el nombre de la acción propia del área",IF(AND(LEFT(H435,4)="AC27",IFERROR(INDEX('Catalogos_PDN'!$T$5:$T$207,MATCH(H435,'Catalogos_PDN'!$U$5:$U$207,0)),"x")&lt;&gt;LEFT(E435,7)),"La acción no corresponde a la meta seleccionada",IF(OR(NOT(ISNUMBER(M435)),M435&lt;10000000,M435&gt;99999999),"Código UNSPSC inválido: registre 8 dígitos",IF(MOD(M435,10000)=0,"UNSPSC a nivel de segmento o familia: use clase o producto",IF(IFERROR(MATCH(P435,PN_MESES,0)&lt;MATCH(O435,PN_MESES,0),TRUE()),"El mes de ofertas es anterior al de inicio del proceso",IF(OR(NOT(ISNUMBER(Q435)),Q435&lt;=0),"Duración inválida",IF(OR(NOT(ISNUMBER(W435)),NOT(ISNUMBER(X435))),"Valor inválido: registre solo números",IF(OR(W435&lt;=0,X435&lt;=0),"Valor inválido: debe ser mayor que cero",IF(X435&gt;W435,"El valor de la vigencia 2027 supera el valor total",IF(AND(X435&lt;W435,Y435="No"),"El valor total supera el de 2027: requiere vigencias futuras",IF(AND(Y435="Sí",OR(Z435="",Z435="No aplica")),"Indique el estado de la solicitud de vigencias futuras",IF(IF(AND(S435="Mínima cuantía",ISNUMBER(PN_TOPE_MINIMA)),W435&gt;PN_TOPE_MINIMA,FALSE()),"El valor supera el tope de mínima cuantía 2027",IF(IF(AND(S435="Selección abreviada de menor cuantía",ISNUMBER(PN_TOPE_MENOR)),W435&gt;PN_TOPE_MENOR,FALSE()),"El valor supera el tope de menor cuantía 2027",IF(OR(ISERROR(SEARCH("@itc.edu.co",AE435)),SUMPRODUCT(--ISNUMBER(SEARCH({"á","é","í","ó","ú","ñ"," "},AE435)))&gt;0),"El correo del responsable no es institucional válido",IF(AND(AF435="Sí",AG435=""),"Indique el N.° de registro 2026 que continúa","OK")))))))))))))))))</f>
        <v/>
      </c>
      <c r="AK435" s="114">
        <f>IF(AJ435="OK",COUNTIF($AJ$7:AJ435,"OK"),"")</f>
        <v/>
      </c>
    </row>
    <row r="436">
      <c r="A436" s="110">
        <f>"PN27-"&amp;TEXT(ROW()-6,"000")</f>
        <v/>
      </c>
      <c r="B436" s="111" t="n"/>
      <c r="C436" s="110">
        <f>IF(B436="","",IFERROR(INDEX('Catalogos_PDN'!$R$5:$R$51,MATCH(B436,PN_AREAS,0)),""))</f>
        <v/>
      </c>
      <c r="D436" s="110">
        <f>IF(B436="","",IFERROR(INDEX('Catalogos_PDN'!$O$5:$O$51,MATCH(B436,PN_AREAS,0)),""))</f>
        <v/>
      </c>
      <c r="E436" s="111" t="n"/>
      <c r="F436" s="110">
        <f>IF(E436="","",IFERROR(INDEX('Catalogos_PDN'!$C$5:$C$49,MATCH(E436,PN_METAS,0)),""))</f>
        <v/>
      </c>
      <c r="G436" s="110">
        <f>IF(E436="","",IFERROR(INDEX('Catalogos_PDN'!$E$5:$E$49,MATCH(E436,PN_METAS,0)),""))</f>
        <v/>
      </c>
      <c r="H436" s="111" t="n"/>
      <c r="I436" s="111" t="n"/>
      <c r="J436" s="111" t="n"/>
      <c r="K436" s="111" t="n"/>
      <c r="L436" s="111" t="n"/>
      <c r="M436" s="112" t="n"/>
      <c r="N436" s="111" t="n"/>
      <c r="O436" s="111" t="n"/>
      <c r="P436" s="111" t="n"/>
      <c r="Q436" s="111" t="n"/>
      <c r="R436" s="111" t="n"/>
      <c r="S436" s="111" t="n"/>
      <c r="T436" s="111" t="n"/>
      <c r="U436" s="111" t="n"/>
      <c r="V436" s="111" t="n"/>
      <c r="W436" s="113" t="n"/>
      <c r="X436" s="113" t="n"/>
      <c r="Y436" s="111" t="n"/>
      <c r="Z436" s="111" t="n"/>
      <c r="AA436" s="111" t="n"/>
      <c r="AB436" s="111" t="n"/>
      <c r="AC436" s="111" t="n"/>
      <c r="AD436" s="111" t="n"/>
      <c r="AE436" s="111" t="n"/>
      <c r="AF436" s="111" t="n"/>
      <c r="AG436" s="111" t="n"/>
      <c r="AH436" s="111" t="n"/>
      <c r="AI436" s="111" t="n"/>
      <c r="AJ436" s="114">
        <f>IF(COUNTA(B436,E436,H436,I436,J436,K436,L436,M436,N436,O436,P436,Q436,R436,S436,T436,U436,V436,W436,X436,Y436,Z436,AA436,AB436,AC436,AD436,AE436,AF436,AG436,AH436,AI436)=0,"",IF(OR(B436="",E436="",H436="",J436="",K436="",L436="",M436="",O436="",P436="",Q436="",R436="",S436="",T436="",U436="",W436="",X436="",Y436="",AB436="",AC436="",AE436="",AF436=""),"Incompleta: faltan campos obligatorios",IF(AND(LEFT(H436,6)="PROPIA",I436=""),"Falta el nombre de la acción propia del área",IF(AND(LEFT(H436,4)="AC27",IFERROR(INDEX('Catalogos_PDN'!$T$5:$T$207,MATCH(H436,'Catalogos_PDN'!$U$5:$U$207,0)),"x")&lt;&gt;LEFT(E436,7)),"La acción no corresponde a la meta seleccionada",IF(OR(NOT(ISNUMBER(M436)),M436&lt;10000000,M436&gt;99999999),"Código UNSPSC inválido: registre 8 dígitos",IF(MOD(M436,10000)=0,"UNSPSC a nivel de segmento o familia: use clase o producto",IF(IFERROR(MATCH(P436,PN_MESES,0)&lt;MATCH(O436,PN_MESES,0),TRUE()),"El mes de ofertas es anterior al de inicio del proceso",IF(OR(NOT(ISNUMBER(Q436)),Q436&lt;=0),"Duración inválida",IF(OR(NOT(ISNUMBER(W436)),NOT(ISNUMBER(X436))),"Valor inválido: registre solo números",IF(OR(W436&lt;=0,X436&lt;=0),"Valor inválido: debe ser mayor que cero",IF(X436&gt;W436,"El valor de la vigencia 2027 supera el valor total",IF(AND(X436&lt;W436,Y436="No"),"El valor total supera el de 2027: requiere vigencias futuras",IF(AND(Y436="Sí",OR(Z436="",Z436="No aplica")),"Indique el estado de la solicitud de vigencias futuras",IF(IF(AND(S436="Mínima cuantía",ISNUMBER(PN_TOPE_MINIMA)),W436&gt;PN_TOPE_MINIMA,FALSE()),"El valor supera el tope de mínima cuantía 2027",IF(IF(AND(S436="Selección abreviada de menor cuantía",ISNUMBER(PN_TOPE_MENOR)),W436&gt;PN_TOPE_MENOR,FALSE()),"El valor supera el tope de menor cuantía 2027",IF(OR(ISERROR(SEARCH("@itc.edu.co",AE436)),SUMPRODUCT(--ISNUMBER(SEARCH({"á","é","í","ó","ú","ñ"," "},AE436)))&gt;0),"El correo del responsable no es institucional válido",IF(AND(AF436="Sí",AG436=""),"Indique el N.° de registro 2026 que continúa","OK")))))))))))))))))</f>
        <v/>
      </c>
      <c r="AK436" s="114">
        <f>IF(AJ436="OK",COUNTIF($AJ$7:AJ436,"OK"),"")</f>
        <v/>
      </c>
    </row>
    <row r="437">
      <c r="A437" s="110">
        <f>"PN27-"&amp;TEXT(ROW()-6,"000")</f>
        <v/>
      </c>
      <c r="B437" s="111" t="n"/>
      <c r="C437" s="110">
        <f>IF(B437="","",IFERROR(INDEX('Catalogos_PDN'!$R$5:$R$51,MATCH(B437,PN_AREAS,0)),""))</f>
        <v/>
      </c>
      <c r="D437" s="110">
        <f>IF(B437="","",IFERROR(INDEX('Catalogos_PDN'!$O$5:$O$51,MATCH(B437,PN_AREAS,0)),""))</f>
        <v/>
      </c>
      <c r="E437" s="111" t="n"/>
      <c r="F437" s="110">
        <f>IF(E437="","",IFERROR(INDEX('Catalogos_PDN'!$C$5:$C$49,MATCH(E437,PN_METAS,0)),""))</f>
        <v/>
      </c>
      <c r="G437" s="110">
        <f>IF(E437="","",IFERROR(INDEX('Catalogos_PDN'!$E$5:$E$49,MATCH(E437,PN_METAS,0)),""))</f>
        <v/>
      </c>
      <c r="H437" s="111" t="n"/>
      <c r="I437" s="111" t="n"/>
      <c r="J437" s="111" t="n"/>
      <c r="K437" s="111" t="n"/>
      <c r="L437" s="111" t="n"/>
      <c r="M437" s="112" t="n"/>
      <c r="N437" s="111" t="n"/>
      <c r="O437" s="111" t="n"/>
      <c r="P437" s="111" t="n"/>
      <c r="Q437" s="111" t="n"/>
      <c r="R437" s="111" t="n"/>
      <c r="S437" s="111" t="n"/>
      <c r="T437" s="111" t="n"/>
      <c r="U437" s="111" t="n"/>
      <c r="V437" s="111" t="n"/>
      <c r="W437" s="113" t="n"/>
      <c r="X437" s="113" t="n"/>
      <c r="Y437" s="111" t="n"/>
      <c r="Z437" s="111" t="n"/>
      <c r="AA437" s="111" t="n"/>
      <c r="AB437" s="111" t="n"/>
      <c r="AC437" s="111" t="n"/>
      <c r="AD437" s="111" t="n"/>
      <c r="AE437" s="111" t="n"/>
      <c r="AF437" s="111" t="n"/>
      <c r="AG437" s="111" t="n"/>
      <c r="AH437" s="111" t="n"/>
      <c r="AI437" s="111" t="n"/>
      <c r="AJ437" s="114">
        <f>IF(COUNTA(B437,E437,H437,I437,J437,K437,L437,M437,N437,O437,P437,Q437,R437,S437,T437,U437,V437,W437,X437,Y437,Z437,AA437,AB437,AC437,AD437,AE437,AF437,AG437,AH437,AI437)=0,"",IF(OR(B437="",E437="",H437="",J437="",K437="",L437="",M437="",O437="",P437="",Q437="",R437="",S437="",T437="",U437="",W437="",X437="",Y437="",AB437="",AC437="",AE437="",AF437=""),"Incompleta: faltan campos obligatorios",IF(AND(LEFT(H437,6)="PROPIA",I437=""),"Falta el nombre de la acción propia del área",IF(AND(LEFT(H437,4)="AC27",IFERROR(INDEX('Catalogos_PDN'!$T$5:$T$207,MATCH(H437,'Catalogos_PDN'!$U$5:$U$207,0)),"x")&lt;&gt;LEFT(E437,7)),"La acción no corresponde a la meta seleccionada",IF(OR(NOT(ISNUMBER(M437)),M437&lt;10000000,M437&gt;99999999),"Código UNSPSC inválido: registre 8 dígitos",IF(MOD(M437,10000)=0,"UNSPSC a nivel de segmento o familia: use clase o producto",IF(IFERROR(MATCH(P437,PN_MESES,0)&lt;MATCH(O437,PN_MESES,0),TRUE()),"El mes de ofertas es anterior al de inicio del proceso",IF(OR(NOT(ISNUMBER(Q437)),Q437&lt;=0),"Duración inválida",IF(OR(NOT(ISNUMBER(W437)),NOT(ISNUMBER(X437))),"Valor inválido: registre solo números",IF(OR(W437&lt;=0,X437&lt;=0),"Valor inválido: debe ser mayor que cero",IF(X437&gt;W437,"El valor de la vigencia 2027 supera el valor total",IF(AND(X437&lt;W437,Y437="No"),"El valor total supera el de 2027: requiere vigencias futuras",IF(AND(Y437="Sí",OR(Z437="",Z437="No aplica")),"Indique el estado de la solicitud de vigencias futuras",IF(IF(AND(S437="Mínima cuantía",ISNUMBER(PN_TOPE_MINIMA)),W437&gt;PN_TOPE_MINIMA,FALSE()),"El valor supera el tope de mínima cuantía 2027",IF(IF(AND(S437="Selección abreviada de menor cuantía",ISNUMBER(PN_TOPE_MENOR)),W437&gt;PN_TOPE_MENOR,FALSE()),"El valor supera el tope de menor cuantía 2027",IF(OR(ISERROR(SEARCH("@itc.edu.co",AE437)),SUMPRODUCT(--ISNUMBER(SEARCH({"á","é","í","ó","ú","ñ"," "},AE437)))&gt;0),"El correo del responsable no es institucional válido",IF(AND(AF437="Sí",AG437=""),"Indique el N.° de registro 2026 que continúa","OK")))))))))))))))))</f>
        <v/>
      </c>
      <c r="AK437" s="114">
        <f>IF(AJ437="OK",COUNTIF($AJ$7:AJ437,"OK"),"")</f>
        <v/>
      </c>
    </row>
    <row r="438">
      <c r="A438" s="110">
        <f>"PN27-"&amp;TEXT(ROW()-6,"000")</f>
        <v/>
      </c>
      <c r="B438" s="111" t="n"/>
      <c r="C438" s="110">
        <f>IF(B438="","",IFERROR(INDEX('Catalogos_PDN'!$R$5:$R$51,MATCH(B438,PN_AREAS,0)),""))</f>
        <v/>
      </c>
      <c r="D438" s="110">
        <f>IF(B438="","",IFERROR(INDEX('Catalogos_PDN'!$O$5:$O$51,MATCH(B438,PN_AREAS,0)),""))</f>
        <v/>
      </c>
      <c r="E438" s="111" t="n"/>
      <c r="F438" s="110">
        <f>IF(E438="","",IFERROR(INDEX('Catalogos_PDN'!$C$5:$C$49,MATCH(E438,PN_METAS,0)),""))</f>
        <v/>
      </c>
      <c r="G438" s="110">
        <f>IF(E438="","",IFERROR(INDEX('Catalogos_PDN'!$E$5:$E$49,MATCH(E438,PN_METAS,0)),""))</f>
        <v/>
      </c>
      <c r="H438" s="111" t="n"/>
      <c r="I438" s="111" t="n"/>
      <c r="J438" s="111" t="n"/>
      <c r="K438" s="111" t="n"/>
      <c r="L438" s="111" t="n"/>
      <c r="M438" s="112" t="n"/>
      <c r="N438" s="111" t="n"/>
      <c r="O438" s="111" t="n"/>
      <c r="P438" s="111" t="n"/>
      <c r="Q438" s="111" t="n"/>
      <c r="R438" s="111" t="n"/>
      <c r="S438" s="111" t="n"/>
      <c r="T438" s="111" t="n"/>
      <c r="U438" s="111" t="n"/>
      <c r="V438" s="111" t="n"/>
      <c r="W438" s="113" t="n"/>
      <c r="X438" s="113" t="n"/>
      <c r="Y438" s="111" t="n"/>
      <c r="Z438" s="111" t="n"/>
      <c r="AA438" s="111" t="n"/>
      <c r="AB438" s="111" t="n"/>
      <c r="AC438" s="111" t="n"/>
      <c r="AD438" s="111" t="n"/>
      <c r="AE438" s="111" t="n"/>
      <c r="AF438" s="111" t="n"/>
      <c r="AG438" s="111" t="n"/>
      <c r="AH438" s="111" t="n"/>
      <c r="AI438" s="111" t="n"/>
      <c r="AJ438" s="114">
        <f>IF(COUNTA(B438,E438,H438,I438,J438,K438,L438,M438,N438,O438,P438,Q438,R438,S438,T438,U438,V438,W438,X438,Y438,Z438,AA438,AB438,AC438,AD438,AE438,AF438,AG438,AH438,AI438)=0,"",IF(OR(B438="",E438="",H438="",J438="",K438="",L438="",M438="",O438="",P438="",Q438="",R438="",S438="",T438="",U438="",W438="",X438="",Y438="",AB438="",AC438="",AE438="",AF438=""),"Incompleta: faltan campos obligatorios",IF(AND(LEFT(H438,6)="PROPIA",I438=""),"Falta el nombre de la acción propia del área",IF(AND(LEFT(H438,4)="AC27",IFERROR(INDEX('Catalogos_PDN'!$T$5:$T$207,MATCH(H438,'Catalogos_PDN'!$U$5:$U$207,0)),"x")&lt;&gt;LEFT(E438,7)),"La acción no corresponde a la meta seleccionada",IF(OR(NOT(ISNUMBER(M438)),M438&lt;10000000,M438&gt;99999999),"Código UNSPSC inválido: registre 8 dígitos",IF(MOD(M438,10000)=0,"UNSPSC a nivel de segmento o familia: use clase o producto",IF(IFERROR(MATCH(P438,PN_MESES,0)&lt;MATCH(O438,PN_MESES,0),TRUE()),"El mes de ofertas es anterior al de inicio del proceso",IF(OR(NOT(ISNUMBER(Q438)),Q438&lt;=0),"Duración inválida",IF(OR(NOT(ISNUMBER(W438)),NOT(ISNUMBER(X438))),"Valor inválido: registre solo números",IF(OR(W438&lt;=0,X438&lt;=0),"Valor inválido: debe ser mayor que cero",IF(X438&gt;W438,"El valor de la vigencia 2027 supera el valor total",IF(AND(X438&lt;W438,Y438="No"),"El valor total supera el de 2027: requiere vigencias futuras",IF(AND(Y438="Sí",OR(Z438="",Z438="No aplica")),"Indique el estado de la solicitud de vigencias futuras",IF(IF(AND(S438="Mínima cuantía",ISNUMBER(PN_TOPE_MINIMA)),W438&gt;PN_TOPE_MINIMA,FALSE()),"El valor supera el tope de mínima cuantía 2027",IF(IF(AND(S438="Selección abreviada de menor cuantía",ISNUMBER(PN_TOPE_MENOR)),W438&gt;PN_TOPE_MENOR,FALSE()),"El valor supera el tope de menor cuantía 2027",IF(OR(ISERROR(SEARCH("@itc.edu.co",AE438)),SUMPRODUCT(--ISNUMBER(SEARCH({"á","é","í","ó","ú","ñ"," "},AE438)))&gt;0),"El correo del responsable no es institucional válido",IF(AND(AF438="Sí",AG438=""),"Indique el N.° de registro 2026 que continúa","OK")))))))))))))))))</f>
        <v/>
      </c>
      <c r="AK438" s="114">
        <f>IF(AJ438="OK",COUNTIF($AJ$7:AJ438,"OK"),"")</f>
        <v/>
      </c>
    </row>
    <row r="439">
      <c r="A439" s="110">
        <f>"PN27-"&amp;TEXT(ROW()-6,"000")</f>
        <v/>
      </c>
      <c r="B439" s="111" t="n"/>
      <c r="C439" s="110">
        <f>IF(B439="","",IFERROR(INDEX('Catalogos_PDN'!$R$5:$R$51,MATCH(B439,PN_AREAS,0)),""))</f>
        <v/>
      </c>
      <c r="D439" s="110">
        <f>IF(B439="","",IFERROR(INDEX('Catalogos_PDN'!$O$5:$O$51,MATCH(B439,PN_AREAS,0)),""))</f>
        <v/>
      </c>
      <c r="E439" s="111" t="n"/>
      <c r="F439" s="110">
        <f>IF(E439="","",IFERROR(INDEX('Catalogos_PDN'!$C$5:$C$49,MATCH(E439,PN_METAS,0)),""))</f>
        <v/>
      </c>
      <c r="G439" s="110">
        <f>IF(E439="","",IFERROR(INDEX('Catalogos_PDN'!$E$5:$E$49,MATCH(E439,PN_METAS,0)),""))</f>
        <v/>
      </c>
      <c r="H439" s="111" t="n"/>
      <c r="I439" s="111" t="n"/>
      <c r="J439" s="111" t="n"/>
      <c r="K439" s="111" t="n"/>
      <c r="L439" s="111" t="n"/>
      <c r="M439" s="112" t="n"/>
      <c r="N439" s="111" t="n"/>
      <c r="O439" s="111" t="n"/>
      <c r="P439" s="111" t="n"/>
      <c r="Q439" s="111" t="n"/>
      <c r="R439" s="111" t="n"/>
      <c r="S439" s="111" t="n"/>
      <c r="T439" s="111" t="n"/>
      <c r="U439" s="111" t="n"/>
      <c r="V439" s="111" t="n"/>
      <c r="W439" s="113" t="n"/>
      <c r="X439" s="113" t="n"/>
      <c r="Y439" s="111" t="n"/>
      <c r="Z439" s="111" t="n"/>
      <c r="AA439" s="111" t="n"/>
      <c r="AB439" s="111" t="n"/>
      <c r="AC439" s="111" t="n"/>
      <c r="AD439" s="111" t="n"/>
      <c r="AE439" s="111" t="n"/>
      <c r="AF439" s="111" t="n"/>
      <c r="AG439" s="111" t="n"/>
      <c r="AH439" s="111" t="n"/>
      <c r="AI439" s="111" t="n"/>
      <c r="AJ439" s="114">
        <f>IF(COUNTA(B439,E439,H439,I439,J439,K439,L439,M439,N439,O439,P439,Q439,R439,S439,T439,U439,V439,W439,X439,Y439,Z439,AA439,AB439,AC439,AD439,AE439,AF439,AG439,AH439,AI439)=0,"",IF(OR(B439="",E439="",H439="",J439="",K439="",L439="",M439="",O439="",P439="",Q439="",R439="",S439="",T439="",U439="",W439="",X439="",Y439="",AB439="",AC439="",AE439="",AF439=""),"Incompleta: faltan campos obligatorios",IF(AND(LEFT(H439,6)="PROPIA",I439=""),"Falta el nombre de la acción propia del área",IF(AND(LEFT(H439,4)="AC27",IFERROR(INDEX('Catalogos_PDN'!$T$5:$T$207,MATCH(H439,'Catalogos_PDN'!$U$5:$U$207,0)),"x")&lt;&gt;LEFT(E439,7)),"La acción no corresponde a la meta seleccionada",IF(OR(NOT(ISNUMBER(M439)),M439&lt;10000000,M439&gt;99999999),"Código UNSPSC inválido: registre 8 dígitos",IF(MOD(M439,10000)=0,"UNSPSC a nivel de segmento o familia: use clase o producto",IF(IFERROR(MATCH(P439,PN_MESES,0)&lt;MATCH(O439,PN_MESES,0),TRUE()),"El mes de ofertas es anterior al de inicio del proceso",IF(OR(NOT(ISNUMBER(Q439)),Q439&lt;=0),"Duración inválida",IF(OR(NOT(ISNUMBER(W439)),NOT(ISNUMBER(X439))),"Valor inválido: registre solo números",IF(OR(W439&lt;=0,X439&lt;=0),"Valor inválido: debe ser mayor que cero",IF(X439&gt;W439,"El valor de la vigencia 2027 supera el valor total",IF(AND(X439&lt;W439,Y439="No"),"El valor total supera el de 2027: requiere vigencias futuras",IF(AND(Y439="Sí",OR(Z439="",Z439="No aplica")),"Indique el estado de la solicitud de vigencias futuras",IF(IF(AND(S439="Mínima cuantía",ISNUMBER(PN_TOPE_MINIMA)),W439&gt;PN_TOPE_MINIMA,FALSE()),"El valor supera el tope de mínima cuantía 2027",IF(IF(AND(S439="Selección abreviada de menor cuantía",ISNUMBER(PN_TOPE_MENOR)),W439&gt;PN_TOPE_MENOR,FALSE()),"El valor supera el tope de menor cuantía 2027",IF(OR(ISERROR(SEARCH("@itc.edu.co",AE439)),SUMPRODUCT(--ISNUMBER(SEARCH({"á","é","í","ó","ú","ñ"," "},AE439)))&gt;0),"El correo del responsable no es institucional válido",IF(AND(AF439="Sí",AG439=""),"Indique el N.° de registro 2026 que continúa","OK")))))))))))))))))</f>
        <v/>
      </c>
      <c r="AK439" s="114">
        <f>IF(AJ439="OK",COUNTIF($AJ$7:AJ439,"OK"),"")</f>
        <v/>
      </c>
    </row>
    <row r="440">
      <c r="A440" s="110">
        <f>"PN27-"&amp;TEXT(ROW()-6,"000")</f>
        <v/>
      </c>
      <c r="B440" s="111" t="n"/>
      <c r="C440" s="110">
        <f>IF(B440="","",IFERROR(INDEX('Catalogos_PDN'!$R$5:$R$51,MATCH(B440,PN_AREAS,0)),""))</f>
        <v/>
      </c>
      <c r="D440" s="110">
        <f>IF(B440="","",IFERROR(INDEX('Catalogos_PDN'!$O$5:$O$51,MATCH(B440,PN_AREAS,0)),""))</f>
        <v/>
      </c>
      <c r="E440" s="111" t="n"/>
      <c r="F440" s="110">
        <f>IF(E440="","",IFERROR(INDEX('Catalogos_PDN'!$C$5:$C$49,MATCH(E440,PN_METAS,0)),""))</f>
        <v/>
      </c>
      <c r="G440" s="110">
        <f>IF(E440="","",IFERROR(INDEX('Catalogos_PDN'!$E$5:$E$49,MATCH(E440,PN_METAS,0)),""))</f>
        <v/>
      </c>
      <c r="H440" s="111" t="n"/>
      <c r="I440" s="111" t="n"/>
      <c r="J440" s="111" t="n"/>
      <c r="K440" s="111" t="n"/>
      <c r="L440" s="111" t="n"/>
      <c r="M440" s="112" t="n"/>
      <c r="N440" s="111" t="n"/>
      <c r="O440" s="111" t="n"/>
      <c r="P440" s="111" t="n"/>
      <c r="Q440" s="111" t="n"/>
      <c r="R440" s="111" t="n"/>
      <c r="S440" s="111" t="n"/>
      <c r="T440" s="111" t="n"/>
      <c r="U440" s="111" t="n"/>
      <c r="V440" s="111" t="n"/>
      <c r="W440" s="113" t="n"/>
      <c r="X440" s="113" t="n"/>
      <c r="Y440" s="111" t="n"/>
      <c r="Z440" s="111" t="n"/>
      <c r="AA440" s="111" t="n"/>
      <c r="AB440" s="111" t="n"/>
      <c r="AC440" s="111" t="n"/>
      <c r="AD440" s="111" t="n"/>
      <c r="AE440" s="111" t="n"/>
      <c r="AF440" s="111" t="n"/>
      <c r="AG440" s="111" t="n"/>
      <c r="AH440" s="111" t="n"/>
      <c r="AI440" s="111" t="n"/>
      <c r="AJ440" s="114">
        <f>IF(COUNTA(B440,E440,H440,I440,J440,K440,L440,M440,N440,O440,P440,Q440,R440,S440,T440,U440,V440,W440,X440,Y440,Z440,AA440,AB440,AC440,AD440,AE440,AF440,AG440,AH440,AI440)=0,"",IF(OR(B440="",E440="",H440="",J440="",K440="",L440="",M440="",O440="",P440="",Q440="",R440="",S440="",T440="",U440="",W440="",X440="",Y440="",AB440="",AC440="",AE440="",AF440=""),"Incompleta: faltan campos obligatorios",IF(AND(LEFT(H440,6)="PROPIA",I440=""),"Falta el nombre de la acción propia del área",IF(AND(LEFT(H440,4)="AC27",IFERROR(INDEX('Catalogos_PDN'!$T$5:$T$207,MATCH(H440,'Catalogos_PDN'!$U$5:$U$207,0)),"x")&lt;&gt;LEFT(E440,7)),"La acción no corresponde a la meta seleccionada",IF(OR(NOT(ISNUMBER(M440)),M440&lt;10000000,M440&gt;99999999),"Código UNSPSC inválido: registre 8 dígitos",IF(MOD(M440,10000)=0,"UNSPSC a nivel de segmento o familia: use clase o producto",IF(IFERROR(MATCH(P440,PN_MESES,0)&lt;MATCH(O440,PN_MESES,0),TRUE()),"El mes de ofertas es anterior al de inicio del proceso",IF(OR(NOT(ISNUMBER(Q440)),Q440&lt;=0),"Duración inválida",IF(OR(NOT(ISNUMBER(W440)),NOT(ISNUMBER(X440))),"Valor inválido: registre solo números",IF(OR(W440&lt;=0,X440&lt;=0),"Valor inválido: debe ser mayor que cero",IF(X440&gt;W440,"El valor de la vigencia 2027 supera el valor total",IF(AND(X440&lt;W440,Y440="No"),"El valor total supera el de 2027: requiere vigencias futuras",IF(AND(Y440="Sí",OR(Z440="",Z440="No aplica")),"Indique el estado de la solicitud de vigencias futuras",IF(IF(AND(S440="Mínima cuantía",ISNUMBER(PN_TOPE_MINIMA)),W440&gt;PN_TOPE_MINIMA,FALSE()),"El valor supera el tope de mínima cuantía 2027",IF(IF(AND(S440="Selección abreviada de menor cuantía",ISNUMBER(PN_TOPE_MENOR)),W440&gt;PN_TOPE_MENOR,FALSE()),"El valor supera el tope de menor cuantía 2027",IF(OR(ISERROR(SEARCH("@itc.edu.co",AE440)),SUMPRODUCT(--ISNUMBER(SEARCH({"á","é","í","ó","ú","ñ"," "},AE440)))&gt;0),"El correo del responsable no es institucional válido",IF(AND(AF440="Sí",AG440=""),"Indique el N.° de registro 2026 que continúa","OK")))))))))))))))))</f>
        <v/>
      </c>
      <c r="AK440" s="114">
        <f>IF(AJ440="OK",COUNTIF($AJ$7:AJ440,"OK"),"")</f>
        <v/>
      </c>
    </row>
    <row r="441">
      <c r="A441" s="110">
        <f>"PN27-"&amp;TEXT(ROW()-6,"000")</f>
        <v/>
      </c>
      <c r="B441" s="111" t="n"/>
      <c r="C441" s="110">
        <f>IF(B441="","",IFERROR(INDEX('Catalogos_PDN'!$R$5:$R$51,MATCH(B441,PN_AREAS,0)),""))</f>
        <v/>
      </c>
      <c r="D441" s="110">
        <f>IF(B441="","",IFERROR(INDEX('Catalogos_PDN'!$O$5:$O$51,MATCH(B441,PN_AREAS,0)),""))</f>
        <v/>
      </c>
      <c r="E441" s="111" t="n"/>
      <c r="F441" s="110">
        <f>IF(E441="","",IFERROR(INDEX('Catalogos_PDN'!$C$5:$C$49,MATCH(E441,PN_METAS,0)),""))</f>
        <v/>
      </c>
      <c r="G441" s="110">
        <f>IF(E441="","",IFERROR(INDEX('Catalogos_PDN'!$E$5:$E$49,MATCH(E441,PN_METAS,0)),""))</f>
        <v/>
      </c>
      <c r="H441" s="111" t="n"/>
      <c r="I441" s="111" t="n"/>
      <c r="J441" s="111" t="n"/>
      <c r="K441" s="111" t="n"/>
      <c r="L441" s="111" t="n"/>
      <c r="M441" s="112" t="n"/>
      <c r="N441" s="111" t="n"/>
      <c r="O441" s="111" t="n"/>
      <c r="P441" s="111" t="n"/>
      <c r="Q441" s="111" t="n"/>
      <c r="R441" s="111" t="n"/>
      <c r="S441" s="111" t="n"/>
      <c r="T441" s="111" t="n"/>
      <c r="U441" s="111" t="n"/>
      <c r="V441" s="111" t="n"/>
      <c r="W441" s="113" t="n"/>
      <c r="X441" s="113" t="n"/>
      <c r="Y441" s="111" t="n"/>
      <c r="Z441" s="111" t="n"/>
      <c r="AA441" s="111" t="n"/>
      <c r="AB441" s="111" t="n"/>
      <c r="AC441" s="111" t="n"/>
      <c r="AD441" s="111" t="n"/>
      <c r="AE441" s="111" t="n"/>
      <c r="AF441" s="111" t="n"/>
      <c r="AG441" s="111" t="n"/>
      <c r="AH441" s="111" t="n"/>
      <c r="AI441" s="111" t="n"/>
      <c r="AJ441" s="114">
        <f>IF(COUNTA(B441,E441,H441,I441,J441,K441,L441,M441,N441,O441,P441,Q441,R441,S441,T441,U441,V441,W441,X441,Y441,Z441,AA441,AB441,AC441,AD441,AE441,AF441,AG441,AH441,AI441)=0,"",IF(OR(B441="",E441="",H441="",J441="",K441="",L441="",M441="",O441="",P441="",Q441="",R441="",S441="",T441="",U441="",W441="",X441="",Y441="",AB441="",AC441="",AE441="",AF441=""),"Incompleta: faltan campos obligatorios",IF(AND(LEFT(H441,6)="PROPIA",I441=""),"Falta el nombre de la acción propia del área",IF(AND(LEFT(H441,4)="AC27",IFERROR(INDEX('Catalogos_PDN'!$T$5:$T$207,MATCH(H441,'Catalogos_PDN'!$U$5:$U$207,0)),"x")&lt;&gt;LEFT(E441,7)),"La acción no corresponde a la meta seleccionada",IF(OR(NOT(ISNUMBER(M441)),M441&lt;10000000,M441&gt;99999999),"Código UNSPSC inválido: registre 8 dígitos",IF(MOD(M441,10000)=0,"UNSPSC a nivel de segmento o familia: use clase o producto",IF(IFERROR(MATCH(P441,PN_MESES,0)&lt;MATCH(O441,PN_MESES,0),TRUE()),"El mes de ofertas es anterior al de inicio del proceso",IF(OR(NOT(ISNUMBER(Q441)),Q441&lt;=0),"Duración inválida",IF(OR(NOT(ISNUMBER(W441)),NOT(ISNUMBER(X441))),"Valor inválido: registre solo números",IF(OR(W441&lt;=0,X441&lt;=0),"Valor inválido: debe ser mayor que cero",IF(X441&gt;W441,"El valor de la vigencia 2027 supera el valor total",IF(AND(X441&lt;W441,Y441="No"),"El valor total supera el de 2027: requiere vigencias futuras",IF(AND(Y441="Sí",OR(Z441="",Z441="No aplica")),"Indique el estado de la solicitud de vigencias futuras",IF(IF(AND(S441="Mínima cuantía",ISNUMBER(PN_TOPE_MINIMA)),W441&gt;PN_TOPE_MINIMA,FALSE()),"El valor supera el tope de mínima cuantía 2027",IF(IF(AND(S441="Selección abreviada de menor cuantía",ISNUMBER(PN_TOPE_MENOR)),W441&gt;PN_TOPE_MENOR,FALSE()),"El valor supera el tope de menor cuantía 2027",IF(OR(ISERROR(SEARCH("@itc.edu.co",AE441)),SUMPRODUCT(--ISNUMBER(SEARCH({"á","é","í","ó","ú","ñ"," "},AE441)))&gt;0),"El correo del responsable no es institucional válido",IF(AND(AF441="Sí",AG441=""),"Indique el N.° de registro 2026 que continúa","OK")))))))))))))))))</f>
        <v/>
      </c>
      <c r="AK441" s="114">
        <f>IF(AJ441="OK",COUNTIF($AJ$7:AJ441,"OK"),"")</f>
        <v/>
      </c>
    </row>
    <row r="442">
      <c r="A442" s="110">
        <f>"PN27-"&amp;TEXT(ROW()-6,"000")</f>
        <v/>
      </c>
      <c r="B442" s="111" t="n"/>
      <c r="C442" s="110">
        <f>IF(B442="","",IFERROR(INDEX('Catalogos_PDN'!$R$5:$R$51,MATCH(B442,PN_AREAS,0)),""))</f>
        <v/>
      </c>
      <c r="D442" s="110">
        <f>IF(B442="","",IFERROR(INDEX('Catalogos_PDN'!$O$5:$O$51,MATCH(B442,PN_AREAS,0)),""))</f>
        <v/>
      </c>
      <c r="E442" s="111" t="n"/>
      <c r="F442" s="110">
        <f>IF(E442="","",IFERROR(INDEX('Catalogos_PDN'!$C$5:$C$49,MATCH(E442,PN_METAS,0)),""))</f>
        <v/>
      </c>
      <c r="G442" s="110">
        <f>IF(E442="","",IFERROR(INDEX('Catalogos_PDN'!$E$5:$E$49,MATCH(E442,PN_METAS,0)),""))</f>
        <v/>
      </c>
      <c r="H442" s="111" t="n"/>
      <c r="I442" s="111" t="n"/>
      <c r="J442" s="111" t="n"/>
      <c r="K442" s="111" t="n"/>
      <c r="L442" s="111" t="n"/>
      <c r="M442" s="112" t="n"/>
      <c r="N442" s="111" t="n"/>
      <c r="O442" s="111" t="n"/>
      <c r="P442" s="111" t="n"/>
      <c r="Q442" s="111" t="n"/>
      <c r="R442" s="111" t="n"/>
      <c r="S442" s="111" t="n"/>
      <c r="T442" s="111" t="n"/>
      <c r="U442" s="111" t="n"/>
      <c r="V442" s="111" t="n"/>
      <c r="W442" s="113" t="n"/>
      <c r="X442" s="113" t="n"/>
      <c r="Y442" s="111" t="n"/>
      <c r="Z442" s="111" t="n"/>
      <c r="AA442" s="111" t="n"/>
      <c r="AB442" s="111" t="n"/>
      <c r="AC442" s="111" t="n"/>
      <c r="AD442" s="111" t="n"/>
      <c r="AE442" s="111" t="n"/>
      <c r="AF442" s="111" t="n"/>
      <c r="AG442" s="111" t="n"/>
      <c r="AH442" s="111" t="n"/>
      <c r="AI442" s="111" t="n"/>
      <c r="AJ442" s="114">
        <f>IF(COUNTA(B442,E442,H442,I442,J442,K442,L442,M442,N442,O442,P442,Q442,R442,S442,T442,U442,V442,W442,X442,Y442,Z442,AA442,AB442,AC442,AD442,AE442,AF442,AG442,AH442,AI442)=0,"",IF(OR(B442="",E442="",H442="",J442="",K442="",L442="",M442="",O442="",P442="",Q442="",R442="",S442="",T442="",U442="",W442="",X442="",Y442="",AB442="",AC442="",AE442="",AF442=""),"Incompleta: faltan campos obligatorios",IF(AND(LEFT(H442,6)="PROPIA",I442=""),"Falta el nombre de la acción propia del área",IF(AND(LEFT(H442,4)="AC27",IFERROR(INDEX('Catalogos_PDN'!$T$5:$T$207,MATCH(H442,'Catalogos_PDN'!$U$5:$U$207,0)),"x")&lt;&gt;LEFT(E442,7)),"La acción no corresponde a la meta seleccionada",IF(OR(NOT(ISNUMBER(M442)),M442&lt;10000000,M442&gt;99999999),"Código UNSPSC inválido: registre 8 dígitos",IF(MOD(M442,10000)=0,"UNSPSC a nivel de segmento o familia: use clase o producto",IF(IFERROR(MATCH(P442,PN_MESES,0)&lt;MATCH(O442,PN_MESES,0),TRUE()),"El mes de ofertas es anterior al de inicio del proceso",IF(OR(NOT(ISNUMBER(Q442)),Q442&lt;=0),"Duración inválida",IF(OR(NOT(ISNUMBER(W442)),NOT(ISNUMBER(X442))),"Valor inválido: registre solo números",IF(OR(W442&lt;=0,X442&lt;=0),"Valor inválido: debe ser mayor que cero",IF(X442&gt;W442,"El valor de la vigencia 2027 supera el valor total",IF(AND(X442&lt;W442,Y442="No"),"El valor total supera el de 2027: requiere vigencias futuras",IF(AND(Y442="Sí",OR(Z442="",Z442="No aplica")),"Indique el estado de la solicitud de vigencias futuras",IF(IF(AND(S442="Mínima cuantía",ISNUMBER(PN_TOPE_MINIMA)),W442&gt;PN_TOPE_MINIMA,FALSE()),"El valor supera el tope de mínima cuantía 2027",IF(IF(AND(S442="Selección abreviada de menor cuantía",ISNUMBER(PN_TOPE_MENOR)),W442&gt;PN_TOPE_MENOR,FALSE()),"El valor supera el tope de menor cuantía 2027",IF(OR(ISERROR(SEARCH("@itc.edu.co",AE442)),SUMPRODUCT(--ISNUMBER(SEARCH({"á","é","í","ó","ú","ñ"," "},AE442)))&gt;0),"El correo del responsable no es institucional válido",IF(AND(AF442="Sí",AG442=""),"Indique el N.° de registro 2026 que continúa","OK")))))))))))))))))</f>
        <v/>
      </c>
      <c r="AK442" s="114">
        <f>IF(AJ442="OK",COUNTIF($AJ$7:AJ442,"OK"),"")</f>
        <v/>
      </c>
    </row>
    <row r="443">
      <c r="A443" s="110">
        <f>"PN27-"&amp;TEXT(ROW()-6,"000")</f>
        <v/>
      </c>
      <c r="B443" s="111" t="n"/>
      <c r="C443" s="110">
        <f>IF(B443="","",IFERROR(INDEX('Catalogos_PDN'!$R$5:$R$51,MATCH(B443,PN_AREAS,0)),""))</f>
        <v/>
      </c>
      <c r="D443" s="110">
        <f>IF(B443="","",IFERROR(INDEX('Catalogos_PDN'!$O$5:$O$51,MATCH(B443,PN_AREAS,0)),""))</f>
        <v/>
      </c>
      <c r="E443" s="111" t="n"/>
      <c r="F443" s="110">
        <f>IF(E443="","",IFERROR(INDEX('Catalogos_PDN'!$C$5:$C$49,MATCH(E443,PN_METAS,0)),""))</f>
        <v/>
      </c>
      <c r="G443" s="110">
        <f>IF(E443="","",IFERROR(INDEX('Catalogos_PDN'!$E$5:$E$49,MATCH(E443,PN_METAS,0)),""))</f>
        <v/>
      </c>
      <c r="H443" s="111" t="n"/>
      <c r="I443" s="111" t="n"/>
      <c r="J443" s="111" t="n"/>
      <c r="K443" s="111" t="n"/>
      <c r="L443" s="111" t="n"/>
      <c r="M443" s="112" t="n"/>
      <c r="N443" s="111" t="n"/>
      <c r="O443" s="111" t="n"/>
      <c r="P443" s="111" t="n"/>
      <c r="Q443" s="111" t="n"/>
      <c r="R443" s="111" t="n"/>
      <c r="S443" s="111" t="n"/>
      <c r="T443" s="111" t="n"/>
      <c r="U443" s="111" t="n"/>
      <c r="V443" s="111" t="n"/>
      <c r="W443" s="113" t="n"/>
      <c r="X443" s="113" t="n"/>
      <c r="Y443" s="111" t="n"/>
      <c r="Z443" s="111" t="n"/>
      <c r="AA443" s="111" t="n"/>
      <c r="AB443" s="111" t="n"/>
      <c r="AC443" s="111" t="n"/>
      <c r="AD443" s="111" t="n"/>
      <c r="AE443" s="111" t="n"/>
      <c r="AF443" s="111" t="n"/>
      <c r="AG443" s="111" t="n"/>
      <c r="AH443" s="111" t="n"/>
      <c r="AI443" s="111" t="n"/>
      <c r="AJ443" s="114">
        <f>IF(COUNTA(B443,E443,H443,I443,J443,K443,L443,M443,N443,O443,P443,Q443,R443,S443,T443,U443,V443,W443,X443,Y443,Z443,AA443,AB443,AC443,AD443,AE443,AF443,AG443,AH443,AI443)=0,"",IF(OR(B443="",E443="",H443="",J443="",K443="",L443="",M443="",O443="",P443="",Q443="",R443="",S443="",T443="",U443="",W443="",X443="",Y443="",AB443="",AC443="",AE443="",AF443=""),"Incompleta: faltan campos obligatorios",IF(AND(LEFT(H443,6)="PROPIA",I443=""),"Falta el nombre de la acción propia del área",IF(AND(LEFT(H443,4)="AC27",IFERROR(INDEX('Catalogos_PDN'!$T$5:$T$207,MATCH(H443,'Catalogos_PDN'!$U$5:$U$207,0)),"x")&lt;&gt;LEFT(E443,7)),"La acción no corresponde a la meta seleccionada",IF(OR(NOT(ISNUMBER(M443)),M443&lt;10000000,M443&gt;99999999),"Código UNSPSC inválido: registre 8 dígitos",IF(MOD(M443,10000)=0,"UNSPSC a nivel de segmento o familia: use clase o producto",IF(IFERROR(MATCH(P443,PN_MESES,0)&lt;MATCH(O443,PN_MESES,0),TRUE()),"El mes de ofertas es anterior al de inicio del proceso",IF(OR(NOT(ISNUMBER(Q443)),Q443&lt;=0),"Duración inválida",IF(OR(NOT(ISNUMBER(W443)),NOT(ISNUMBER(X443))),"Valor inválido: registre solo números",IF(OR(W443&lt;=0,X443&lt;=0),"Valor inválido: debe ser mayor que cero",IF(X443&gt;W443,"El valor de la vigencia 2027 supera el valor total",IF(AND(X443&lt;W443,Y443="No"),"El valor total supera el de 2027: requiere vigencias futuras",IF(AND(Y443="Sí",OR(Z443="",Z443="No aplica")),"Indique el estado de la solicitud de vigencias futuras",IF(IF(AND(S443="Mínima cuantía",ISNUMBER(PN_TOPE_MINIMA)),W443&gt;PN_TOPE_MINIMA,FALSE()),"El valor supera el tope de mínima cuantía 2027",IF(IF(AND(S443="Selección abreviada de menor cuantía",ISNUMBER(PN_TOPE_MENOR)),W443&gt;PN_TOPE_MENOR,FALSE()),"El valor supera el tope de menor cuantía 2027",IF(OR(ISERROR(SEARCH("@itc.edu.co",AE443)),SUMPRODUCT(--ISNUMBER(SEARCH({"á","é","í","ó","ú","ñ"," "},AE443)))&gt;0),"El correo del responsable no es institucional válido",IF(AND(AF443="Sí",AG443=""),"Indique el N.° de registro 2026 que continúa","OK")))))))))))))))))</f>
        <v/>
      </c>
      <c r="AK443" s="114">
        <f>IF(AJ443="OK",COUNTIF($AJ$7:AJ443,"OK"),"")</f>
        <v/>
      </c>
    </row>
    <row r="444">
      <c r="A444" s="110">
        <f>"PN27-"&amp;TEXT(ROW()-6,"000")</f>
        <v/>
      </c>
      <c r="B444" s="111" t="n"/>
      <c r="C444" s="110">
        <f>IF(B444="","",IFERROR(INDEX('Catalogos_PDN'!$R$5:$R$51,MATCH(B444,PN_AREAS,0)),""))</f>
        <v/>
      </c>
      <c r="D444" s="110">
        <f>IF(B444="","",IFERROR(INDEX('Catalogos_PDN'!$O$5:$O$51,MATCH(B444,PN_AREAS,0)),""))</f>
        <v/>
      </c>
      <c r="E444" s="111" t="n"/>
      <c r="F444" s="110">
        <f>IF(E444="","",IFERROR(INDEX('Catalogos_PDN'!$C$5:$C$49,MATCH(E444,PN_METAS,0)),""))</f>
        <v/>
      </c>
      <c r="G444" s="110">
        <f>IF(E444="","",IFERROR(INDEX('Catalogos_PDN'!$E$5:$E$49,MATCH(E444,PN_METAS,0)),""))</f>
        <v/>
      </c>
      <c r="H444" s="111" t="n"/>
      <c r="I444" s="111" t="n"/>
      <c r="J444" s="111" t="n"/>
      <c r="K444" s="111" t="n"/>
      <c r="L444" s="111" t="n"/>
      <c r="M444" s="112" t="n"/>
      <c r="N444" s="111" t="n"/>
      <c r="O444" s="111" t="n"/>
      <c r="P444" s="111" t="n"/>
      <c r="Q444" s="111" t="n"/>
      <c r="R444" s="111" t="n"/>
      <c r="S444" s="111" t="n"/>
      <c r="T444" s="111" t="n"/>
      <c r="U444" s="111" t="n"/>
      <c r="V444" s="111" t="n"/>
      <c r="W444" s="113" t="n"/>
      <c r="X444" s="113" t="n"/>
      <c r="Y444" s="111" t="n"/>
      <c r="Z444" s="111" t="n"/>
      <c r="AA444" s="111" t="n"/>
      <c r="AB444" s="111" t="n"/>
      <c r="AC444" s="111" t="n"/>
      <c r="AD444" s="111" t="n"/>
      <c r="AE444" s="111" t="n"/>
      <c r="AF444" s="111" t="n"/>
      <c r="AG444" s="111" t="n"/>
      <c r="AH444" s="111" t="n"/>
      <c r="AI444" s="111" t="n"/>
      <c r="AJ444" s="114">
        <f>IF(COUNTA(B444,E444,H444,I444,J444,K444,L444,M444,N444,O444,P444,Q444,R444,S444,T444,U444,V444,W444,X444,Y444,Z444,AA444,AB444,AC444,AD444,AE444,AF444,AG444,AH444,AI444)=0,"",IF(OR(B444="",E444="",H444="",J444="",K444="",L444="",M444="",O444="",P444="",Q444="",R444="",S444="",T444="",U444="",W444="",X444="",Y444="",AB444="",AC444="",AE444="",AF444=""),"Incompleta: faltan campos obligatorios",IF(AND(LEFT(H444,6)="PROPIA",I444=""),"Falta el nombre de la acción propia del área",IF(AND(LEFT(H444,4)="AC27",IFERROR(INDEX('Catalogos_PDN'!$T$5:$T$207,MATCH(H444,'Catalogos_PDN'!$U$5:$U$207,0)),"x")&lt;&gt;LEFT(E444,7)),"La acción no corresponde a la meta seleccionada",IF(OR(NOT(ISNUMBER(M444)),M444&lt;10000000,M444&gt;99999999),"Código UNSPSC inválido: registre 8 dígitos",IF(MOD(M444,10000)=0,"UNSPSC a nivel de segmento o familia: use clase o producto",IF(IFERROR(MATCH(P444,PN_MESES,0)&lt;MATCH(O444,PN_MESES,0),TRUE()),"El mes de ofertas es anterior al de inicio del proceso",IF(OR(NOT(ISNUMBER(Q444)),Q444&lt;=0),"Duración inválida",IF(OR(NOT(ISNUMBER(W444)),NOT(ISNUMBER(X444))),"Valor inválido: registre solo números",IF(OR(W444&lt;=0,X444&lt;=0),"Valor inválido: debe ser mayor que cero",IF(X444&gt;W444,"El valor de la vigencia 2027 supera el valor total",IF(AND(X444&lt;W444,Y444="No"),"El valor total supera el de 2027: requiere vigencias futuras",IF(AND(Y444="Sí",OR(Z444="",Z444="No aplica")),"Indique el estado de la solicitud de vigencias futuras",IF(IF(AND(S444="Mínima cuantía",ISNUMBER(PN_TOPE_MINIMA)),W444&gt;PN_TOPE_MINIMA,FALSE()),"El valor supera el tope de mínima cuantía 2027",IF(IF(AND(S444="Selección abreviada de menor cuantía",ISNUMBER(PN_TOPE_MENOR)),W444&gt;PN_TOPE_MENOR,FALSE()),"El valor supera el tope de menor cuantía 2027",IF(OR(ISERROR(SEARCH("@itc.edu.co",AE444)),SUMPRODUCT(--ISNUMBER(SEARCH({"á","é","í","ó","ú","ñ"," "},AE444)))&gt;0),"El correo del responsable no es institucional válido",IF(AND(AF444="Sí",AG444=""),"Indique el N.° de registro 2026 que continúa","OK")))))))))))))))))</f>
        <v/>
      </c>
      <c r="AK444" s="114">
        <f>IF(AJ444="OK",COUNTIF($AJ$7:AJ444,"OK"),"")</f>
        <v/>
      </c>
    </row>
    <row r="445">
      <c r="A445" s="110">
        <f>"PN27-"&amp;TEXT(ROW()-6,"000")</f>
        <v/>
      </c>
      <c r="B445" s="111" t="n"/>
      <c r="C445" s="110">
        <f>IF(B445="","",IFERROR(INDEX('Catalogos_PDN'!$R$5:$R$51,MATCH(B445,PN_AREAS,0)),""))</f>
        <v/>
      </c>
      <c r="D445" s="110">
        <f>IF(B445="","",IFERROR(INDEX('Catalogos_PDN'!$O$5:$O$51,MATCH(B445,PN_AREAS,0)),""))</f>
        <v/>
      </c>
      <c r="E445" s="111" t="n"/>
      <c r="F445" s="110">
        <f>IF(E445="","",IFERROR(INDEX('Catalogos_PDN'!$C$5:$C$49,MATCH(E445,PN_METAS,0)),""))</f>
        <v/>
      </c>
      <c r="G445" s="110">
        <f>IF(E445="","",IFERROR(INDEX('Catalogos_PDN'!$E$5:$E$49,MATCH(E445,PN_METAS,0)),""))</f>
        <v/>
      </c>
      <c r="H445" s="111" t="n"/>
      <c r="I445" s="111" t="n"/>
      <c r="J445" s="111" t="n"/>
      <c r="K445" s="111" t="n"/>
      <c r="L445" s="111" t="n"/>
      <c r="M445" s="112" t="n"/>
      <c r="N445" s="111" t="n"/>
      <c r="O445" s="111" t="n"/>
      <c r="P445" s="111" t="n"/>
      <c r="Q445" s="111" t="n"/>
      <c r="R445" s="111" t="n"/>
      <c r="S445" s="111" t="n"/>
      <c r="T445" s="111" t="n"/>
      <c r="U445" s="111" t="n"/>
      <c r="V445" s="111" t="n"/>
      <c r="W445" s="113" t="n"/>
      <c r="X445" s="113" t="n"/>
      <c r="Y445" s="111" t="n"/>
      <c r="Z445" s="111" t="n"/>
      <c r="AA445" s="111" t="n"/>
      <c r="AB445" s="111" t="n"/>
      <c r="AC445" s="111" t="n"/>
      <c r="AD445" s="111" t="n"/>
      <c r="AE445" s="111" t="n"/>
      <c r="AF445" s="111" t="n"/>
      <c r="AG445" s="111" t="n"/>
      <c r="AH445" s="111" t="n"/>
      <c r="AI445" s="111" t="n"/>
      <c r="AJ445" s="114">
        <f>IF(COUNTA(B445,E445,H445,I445,J445,K445,L445,M445,N445,O445,P445,Q445,R445,S445,T445,U445,V445,W445,X445,Y445,Z445,AA445,AB445,AC445,AD445,AE445,AF445,AG445,AH445,AI445)=0,"",IF(OR(B445="",E445="",H445="",J445="",K445="",L445="",M445="",O445="",P445="",Q445="",R445="",S445="",T445="",U445="",W445="",X445="",Y445="",AB445="",AC445="",AE445="",AF445=""),"Incompleta: faltan campos obligatorios",IF(AND(LEFT(H445,6)="PROPIA",I445=""),"Falta el nombre de la acción propia del área",IF(AND(LEFT(H445,4)="AC27",IFERROR(INDEX('Catalogos_PDN'!$T$5:$T$207,MATCH(H445,'Catalogos_PDN'!$U$5:$U$207,0)),"x")&lt;&gt;LEFT(E445,7)),"La acción no corresponde a la meta seleccionada",IF(OR(NOT(ISNUMBER(M445)),M445&lt;10000000,M445&gt;99999999),"Código UNSPSC inválido: registre 8 dígitos",IF(MOD(M445,10000)=0,"UNSPSC a nivel de segmento o familia: use clase o producto",IF(IFERROR(MATCH(P445,PN_MESES,0)&lt;MATCH(O445,PN_MESES,0),TRUE()),"El mes de ofertas es anterior al de inicio del proceso",IF(OR(NOT(ISNUMBER(Q445)),Q445&lt;=0),"Duración inválida",IF(OR(NOT(ISNUMBER(W445)),NOT(ISNUMBER(X445))),"Valor inválido: registre solo números",IF(OR(W445&lt;=0,X445&lt;=0),"Valor inválido: debe ser mayor que cero",IF(X445&gt;W445,"El valor de la vigencia 2027 supera el valor total",IF(AND(X445&lt;W445,Y445="No"),"El valor total supera el de 2027: requiere vigencias futuras",IF(AND(Y445="Sí",OR(Z445="",Z445="No aplica")),"Indique el estado de la solicitud de vigencias futuras",IF(IF(AND(S445="Mínima cuantía",ISNUMBER(PN_TOPE_MINIMA)),W445&gt;PN_TOPE_MINIMA,FALSE()),"El valor supera el tope de mínima cuantía 2027",IF(IF(AND(S445="Selección abreviada de menor cuantía",ISNUMBER(PN_TOPE_MENOR)),W445&gt;PN_TOPE_MENOR,FALSE()),"El valor supera el tope de menor cuantía 2027",IF(OR(ISERROR(SEARCH("@itc.edu.co",AE445)),SUMPRODUCT(--ISNUMBER(SEARCH({"á","é","í","ó","ú","ñ"," "},AE445)))&gt;0),"El correo del responsable no es institucional válido",IF(AND(AF445="Sí",AG445=""),"Indique el N.° de registro 2026 que continúa","OK")))))))))))))))))</f>
        <v/>
      </c>
      <c r="AK445" s="114">
        <f>IF(AJ445="OK",COUNTIF($AJ$7:AJ445,"OK"),"")</f>
        <v/>
      </c>
    </row>
    <row r="446">
      <c r="A446" s="110">
        <f>"PN27-"&amp;TEXT(ROW()-6,"000")</f>
        <v/>
      </c>
      <c r="B446" s="111" t="n"/>
      <c r="C446" s="110">
        <f>IF(B446="","",IFERROR(INDEX('Catalogos_PDN'!$R$5:$R$51,MATCH(B446,PN_AREAS,0)),""))</f>
        <v/>
      </c>
      <c r="D446" s="110">
        <f>IF(B446="","",IFERROR(INDEX('Catalogos_PDN'!$O$5:$O$51,MATCH(B446,PN_AREAS,0)),""))</f>
        <v/>
      </c>
      <c r="E446" s="111" t="n"/>
      <c r="F446" s="110">
        <f>IF(E446="","",IFERROR(INDEX('Catalogos_PDN'!$C$5:$C$49,MATCH(E446,PN_METAS,0)),""))</f>
        <v/>
      </c>
      <c r="G446" s="110">
        <f>IF(E446="","",IFERROR(INDEX('Catalogos_PDN'!$E$5:$E$49,MATCH(E446,PN_METAS,0)),""))</f>
        <v/>
      </c>
      <c r="H446" s="111" t="n"/>
      <c r="I446" s="111" t="n"/>
      <c r="J446" s="111" t="n"/>
      <c r="K446" s="111" t="n"/>
      <c r="L446" s="111" t="n"/>
      <c r="M446" s="112" t="n"/>
      <c r="N446" s="111" t="n"/>
      <c r="O446" s="111" t="n"/>
      <c r="P446" s="111" t="n"/>
      <c r="Q446" s="111" t="n"/>
      <c r="R446" s="111" t="n"/>
      <c r="S446" s="111" t="n"/>
      <c r="T446" s="111" t="n"/>
      <c r="U446" s="111" t="n"/>
      <c r="V446" s="111" t="n"/>
      <c r="W446" s="113" t="n"/>
      <c r="X446" s="113" t="n"/>
      <c r="Y446" s="111" t="n"/>
      <c r="Z446" s="111" t="n"/>
      <c r="AA446" s="111" t="n"/>
      <c r="AB446" s="111" t="n"/>
      <c r="AC446" s="111" t="n"/>
      <c r="AD446" s="111" t="n"/>
      <c r="AE446" s="111" t="n"/>
      <c r="AF446" s="111" t="n"/>
      <c r="AG446" s="111" t="n"/>
      <c r="AH446" s="111" t="n"/>
      <c r="AI446" s="111" t="n"/>
      <c r="AJ446" s="114">
        <f>IF(COUNTA(B446,E446,H446,I446,J446,K446,L446,M446,N446,O446,P446,Q446,R446,S446,T446,U446,V446,W446,X446,Y446,Z446,AA446,AB446,AC446,AD446,AE446,AF446,AG446,AH446,AI446)=0,"",IF(OR(B446="",E446="",H446="",J446="",K446="",L446="",M446="",O446="",P446="",Q446="",R446="",S446="",T446="",U446="",W446="",X446="",Y446="",AB446="",AC446="",AE446="",AF446=""),"Incompleta: faltan campos obligatorios",IF(AND(LEFT(H446,6)="PROPIA",I446=""),"Falta el nombre de la acción propia del área",IF(AND(LEFT(H446,4)="AC27",IFERROR(INDEX('Catalogos_PDN'!$T$5:$T$207,MATCH(H446,'Catalogos_PDN'!$U$5:$U$207,0)),"x")&lt;&gt;LEFT(E446,7)),"La acción no corresponde a la meta seleccionada",IF(OR(NOT(ISNUMBER(M446)),M446&lt;10000000,M446&gt;99999999),"Código UNSPSC inválido: registre 8 dígitos",IF(MOD(M446,10000)=0,"UNSPSC a nivel de segmento o familia: use clase o producto",IF(IFERROR(MATCH(P446,PN_MESES,0)&lt;MATCH(O446,PN_MESES,0),TRUE()),"El mes de ofertas es anterior al de inicio del proceso",IF(OR(NOT(ISNUMBER(Q446)),Q446&lt;=0),"Duración inválida",IF(OR(NOT(ISNUMBER(W446)),NOT(ISNUMBER(X446))),"Valor inválido: registre solo números",IF(OR(W446&lt;=0,X446&lt;=0),"Valor inválido: debe ser mayor que cero",IF(X446&gt;W446,"El valor de la vigencia 2027 supera el valor total",IF(AND(X446&lt;W446,Y446="No"),"El valor total supera el de 2027: requiere vigencias futuras",IF(AND(Y446="Sí",OR(Z446="",Z446="No aplica")),"Indique el estado de la solicitud de vigencias futuras",IF(IF(AND(S446="Mínima cuantía",ISNUMBER(PN_TOPE_MINIMA)),W446&gt;PN_TOPE_MINIMA,FALSE()),"El valor supera el tope de mínima cuantía 2027",IF(IF(AND(S446="Selección abreviada de menor cuantía",ISNUMBER(PN_TOPE_MENOR)),W446&gt;PN_TOPE_MENOR,FALSE()),"El valor supera el tope de menor cuantía 2027",IF(OR(ISERROR(SEARCH("@itc.edu.co",AE446)),SUMPRODUCT(--ISNUMBER(SEARCH({"á","é","í","ó","ú","ñ"," "},AE446)))&gt;0),"El correo del responsable no es institucional válido",IF(AND(AF446="Sí",AG446=""),"Indique el N.° de registro 2026 que continúa","OK")))))))))))))))))</f>
        <v/>
      </c>
      <c r="AK446" s="114">
        <f>IF(AJ446="OK",COUNTIF($AJ$7:AJ446,"OK"),"")</f>
        <v/>
      </c>
    </row>
    <row r="447">
      <c r="A447" s="110">
        <f>"PN27-"&amp;TEXT(ROW()-6,"000")</f>
        <v/>
      </c>
      <c r="B447" s="111" t="n"/>
      <c r="C447" s="110">
        <f>IF(B447="","",IFERROR(INDEX('Catalogos_PDN'!$R$5:$R$51,MATCH(B447,PN_AREAS,0)),""))</f>
        <v/>
      </c>
      <c r="D447" s="110">
        <f>IF(B447="","",IFERROR(INDEX('Catalogos_PDN'!$O$5:$O$51,MATCH(B447,PN_AREAS,0)),""))</f>
        <v/>
      </c>
      <c r="E447" s="111" t="n"/>
      <c r="F447" s="110">
        <f>IF(E447="","",IFERROR(INDEX('Catalogos_PDN'!$C$5:$C$49,MATCH(E447,PN_METAS,0)),""))</f>
        <v/>
      </c>
      <c r="G447" s="110">
        <f>IF(E447="","",IFERROR(INDEX('Catalogos_PDN'!$E$5:$E$49,MATCH(E447,PN_METAS,0)),""))</f>
        <v/>
      </c>
      <c r="H447" s="111" t="n"/>
      <c r="I447" s="111" t="n"/>
      <c r="J447" s="111" t="n"/>
      <c r="K447" s="111" t="n"/>
      <c r="L447" s="111" t="n"/>
      <c r="M447" s="112" t="n"/>
      <c r="N447" s="111" t="n"/>
      <c r="O447" s="111" t="n"/>
      <c r="P447" s="111" t="n"/>
      <c r="Q447" s="111" t="n"/>
      <c r="R447" s="111" t="n"/>
      <c r="S447" s="111" t="n"/>
      <c r="T447" s="111" t="n"/>
      <c r="U447" s="111" t="n"/>
      <c r="V447" s="111" t="n"/>
      <c r="W447" s="113" t="n"/>
      <c r="X447" s="113" t="n"/>
      <c r="Y447" s="111" t="n"/>
      <c r="Z447" s="111" t="n"/>
      <c r="AA447" s="111" t="n"/>
      <c r="AB447" s="111" t="n"/>
      <c r="AC447" s="111" t="n"/>
      <c r="AD447" s="111" t="n"/>
      <c r="AE447" s="111" t="n"/>
      <c r="AF447" s="111" t="n"/>
      <c r="AG447" s="111" t="n"/>
      <c r="AH447" s="111" t="n"/>
      <c r="AI447" s="111" t="n"/>
      <c r="AJ447" s="114">
        <f>IF(COUNTA(B447,E447,H447,I447,J447,K447,L447,M447,N447,O447,P447,Q447,R447,S447,T447,U447,V447,W447,X447,Y447,Z447,AA447,AB447,AC447,AD447,AE447,AF447,AG447,AH447,AI447)=0,"",IF(OR(B447="",E447="",H447="",J447="",K447="",L447="",M447="",O447="",P447="",Q447="",R447="",S447="",T447="",U447="",W447="",X447="",Y447="",AB447="",AC447="",AE447="",AF447=""),"Incompleta: faltan campos obligatorios",IF(AND(LEFT(H447,6)="PROPIA",I447=""),"Falta el nombre de la acción propia del área",IF(AND(LEFT(H447,4)="AC27",IFERROR(INDEX('Catalogos_PDN'!$T$5:$T$207,MATCH(H447,'Catalogos_PDN'!$U$5:$U$207,0)),"x")&lt;&gt;LEFT(E447,7)),"La acción no corresponde a la meta seleccionada",IF(OR(NOT(ISNUMBER(M447)),M447&lt;10000000,M447&gt;99999999),"Código UNSPSC inválido: registre 8 dígitos",IF(MOD(M447,10000)=0,"UNSPSC a nivel de segmento o familia: use clase o producto",IF(IFERROR(MATCH(P447,PN_MESES,0)&lt;MATCH(O447,PN_MESES,0),TRUE()),"El mes de ofertas es anterior al de inicio del proceso",IF(OR(NOT(ISNUMBER(Q447)),Q447&lt;=0),"Duración inválida",IF(OR(NOT(ISNUMBER(W447)),NOT(ISNUMBER(X447))),"Valor inválido: registre solo números",IF(OR(W447&lt;=0,X447&lt;=0),"Valor inválido: debe ser mayor que cero",IF(X447&gt;W447,"El valor de la vigencia 2027 supera el valor total",IF(AND(X447&lt;W447,Y447="No"),"El valor total supera el de 2027: requiere vigencias futuras",IF(AND(Y447="Sí",OR(Z447="",Z447="No aplica")),"Indique el estado de la solicitud de vigencias futuras",IF(IF(AND(S447="Mínima cuantía",ISNUMBER(PN_TOPE_MINIMA)),W447&gt;PN_TOPE_MINIMA,FALSE()),"El valor supera el tope de mínima cuantía 2027",IF(IF(AND(S447="Selección abreviada de menor cuantía",ISNUMBER(PN_TOPE_MENOR)),W447&gt;PN_TOPE_MENOR,FALSE()),"El valor supera el tope de menor cuantía 2027",IF(OR(ISERROR(SEARCH("@itc.edu.co",AE447)),SUMPRODUCT(--ISNUMBER(SEARCH({"á","é","í","ó","ú","ñ"," "},AE447)))&gt;0),"El correo del responsable no es institucional válido",IF(AND(AF447="Sí",AG447=""),"Indique el N.° de registro 2026 que continúa","OK")))))))))))))))))</f>
        <v/>
      </c>
      <c r="AK447" s="114">
        <f>IF(AJ447="OK",COUNTIF($AJ$7:AJ447,"OK"),"")</f>
        <v/>
      </c>
    </row>
    <row r="448">
      <c r="A448" s="110">
        <f>"PN27-"&amp;TEXT(ROW()-6,"000")</f>
        <v/>
      </c>
      <c r="B448" s="111" t="n"/>
      <c r="C448" s="110">
        <f>IF(B448="","",IFERROR(INDEX('Catalogos_PDN'!$R$5:$R$51,MATCH(B448,PN_AREAS,0)),""))</f>
        <v/>
      </c>
      <c r="D448" s="110">
        <f>IF(B448="","",IFERROR(INDEX('Catalogos_PDN'!$O$5:$O$51,MATCH(B448,PN_AREAS,0)),""))</f>
        <v/>
      </c>
      <c r="E448" s="111" t="n"/>
      <c r="F448" s="110">
        <f>IF(E448="","",IFERROR(INDEX('Catalogos_PDN'!$C$5:$C$49,MATCH(E448,PN_METAS,0)),""))</f>
        <v/>
      </c>
      <c r="G448" s="110">
        <f>IF(E448="","",IFERROR(INDEX('Catalogos_PDN'!$E$5:$E$49,MATCH(E448,PN_METAS,0)),""))</f>
        <v/>
      </c>
      <c r="H448" s="111" t="n"/>
      <c r="I448" s="111" t="n"/>
      <c r="J448" s="111" t="n"/>
      <c r="K448" s="111" t="n"/>
      <c r="L448" s="111" t="n"/>
      <c r="M448" s="112" t="n"/>
      <c r="N448" s="111" t="n"/>
      <c r="O448" s="111" t="n"/>
      <c r="P448" s="111" t="n"/>
      <c r="Q448" s="111" t="n"/>
      <c r="R448" s="111" t="n"/>
      <c r="S448" s="111" t="n"/>
      <c r="T448" s="111" t="n"/>
      <c r="U448" s="111" t="n"/>
      <c r="V448" s="111" t="n"/>
      <c r="W448" s="113" t="n"/>
      <c r="X448" s="113" t="n"/>
      <c r="Y448" s="111" t="n"/>
      <c r="Z448" s="111" t="n"/>
      <c r="AA448" s="111" t="n"/>
      <c r="AB448" s="111" t="n"/>
      <c r="AC448" s="111" t="n"/>
      <c r="AD448" s="111" t="n"/>
      <c r="AE448" s="111" t="n"/>
      <c r="AF448" s="111" t="n"/>
      <c r="AG448" s="111" t="n"/>
      <c r="AH448" s="111" t="n"/>
      <c r="AI448" s="111" t="n"/>
      <c r="AJ448" s="114">
        <f>IF(COUNTA(B448,E448,H448,I448,J448,K448,L448,M448,N448,O448,P448,Q448,R448,S448,T448,U448,V448,W448,X448,Y448,Z448,AA448,AB448,AC448,AD448,AE448,AF448,AG448,AH448,AI448)=0,"",IF(OR(B448="",E448="",H448="",J448="",K448="",L448="",M448="",O448="",P448="",Q448="",R448="",S448="",T448="",U448="",W448="",X448="",Y448="",AB448="",AC448="",AE448="",AF448=""),"Incompleta: faltan campos obligatorios",IF(AND(LEFT(H448,6)="PROPIA",I448=""),"Falta el nombre de la acción propia del área",IF(AND(LEFT(H448,4)="AC27",IFERROR(INDEX('Catalogos_PDN'!$T$5:$T$207,MATCH(H448,'Catalogos_PDN'!$U$5:$U$207,0)),"x")&lt;&gt;LEFT(E448,7)),"La acción no corresponde a la meta seleccionada",IF(OR(NOT(ISNUMBER(M448)),M448&lt;10000000,M448&gt;99999999),"Código UNSPSC inválido: registre 8 dígitos",IF(MOD(M448,10000)=0,"UNSPSC a nivel de segmento o familia: use clase o producto",IF(IFERROR(MATCH(P448,PN_MESES,0)&lt;MATCH(O448,PN_MESES,0),TRUE()),"El mes de ofertas es anterior al de inicio del proceso",IF(OR(NOT(ISNUMBER(Q448)),Q448&lt;=0),"Duración inválida",IF(OR(NOT(ISNUMBER(W448)),NOT(ISNUMBER(X448))),"Valor inválido: registre solo números",IF(OR(W448&lt;=0,X448&lt;=0),"Valor inválido: debe ser mayor que cero",IF(X448&gt;W448,"El valor de la vigencia 2027 supera el valor total",IF(AND(X448&lt;W448,Y448="No"),"El valor total supera el de 2027: requiere vigencias futuras",IF(AND(Y448="Sí",OR(Z448="",Z448="No aplica")),"Indique el estado de la solicitud de vigencias futuras",IF(IF(AND(S448="Mínima cuantía",ISNUMBER(PN_TOPE_MINIMA)),W448&gt;PN_TOPE_MINIMA,FALSE()),"El valor supera el tope de mínima cuantía 2027",IF(IF(AND(S448="Selección abreviada de menor cuantía",ISNUMBER(PN_TOPE_MENOR)),W448&gt;PN_TOPE_MENOR,FALSE()),"El valor supera el tope de menor cuantía 2027",IF(OR(ISERROR(SEARCH("@itc.edu.co",AE448)),SUMPRODUCT(--ISNUMBER(SEARCH({"á","é","í","ó","ú","ñ"," "},AE448)))&gt;0),"El correo del responsable no es institucional válido",IF(AND(AF448="Sí",AG448=""),"Indique el N.° de registro 2026 que continúa","OK")))))))))))))))))</f>
        <v/>
      </c>
      <c r="AK448" s="114">
        <f>IF(AJ448="OK",COUNTIF($AJ$7:AJ448,"OK"),"")</f>
        <v/>
      </c>
    </row>
    <row r="449">
      <c r="A449" s="110">
        <f>"PN27-"&amp;TEXT(ROW()-6,"000")</f>
        <v/>
      </c>
      <c r="B449" s="111" t="n"/>
      <c r="C449" s="110">
        <f>IF(B449="","",IFERROR(INDEX('Catalogos_PDN'!$R$5:$R$51,MATCH(B449,PN_AREAS,0)),""))</f>
        <v/>
      </c>
      <c r="D449" s="110">
        <f>IF(B449="","",IFERROR(INDEX('Catalogos_PDN'!$O$5:$O$51,MATCH(B449,PN_AREAS,0)),""))</f>
        <v/>
      </c>
      <c r="E449" s="111" t="n"/>
      <c r="F449" s="110">
        <f>IF(E449="","",IFERROR(INDEX('Catalogos_PDN'!$C$5:$C$49,MATCH(E449,PN_METAS,0)),""))</f>
        <v/>
      </c>
      <c r="G449" s="110">
        <f>IF(E449="","",IFERROR(INDEX('Catalogos_PDN'!$E$5:$E$49,MATCH(E449,PN_METAS,0)),""))</f>
        <v/>
      </c>
      <c r="H449" s="111" t="n"/>
      <c r="I449" s="111" t="n"/>
      <c r="J449" s="111" t="n"/>
      <c r="K449" s="111" t="n"/>
      <c r="L449" s="111" t="n"/>
      <c r="M449" s="112" t="n"/>
      <c r="N449" s="111" t="n"/>
      <c r="O449" s="111" t="n"/>
      <c r="P449" s="111" t="n"/>
      <c r="Q449" s="111" t="n"/>
      <c r="R449" s="111" t="n"/>
      <c r="S449" s="111" t="n"/>
      <c r="T449" s="111" t="n"/>
      <c r="U449" s="111" t="n"/>
      <c r="V449" s="111" t="n"/>
      <c r="W449" s="113" t="n"/>
      <c r="X449" s="113" t="n"/>
      <c r="Y449" s="111" t="n"/>
      <c r="Z449" s="111" t="n"/>
      <c r="AA449" s="111" t="n"/>
      <c r="AB449" s="111" t="n"/>
      <c r="AC449" s="111" t="n"/>
      <c r="AD449" s="111" t="n"/>
      <c r="AE449" s="111" t="n"/>
      <c r="AF449" s="111" t="n"/>
      <c r="AG449" s="111" t="n"/>
      <c r="AH449" s="111" t="n"/>
      <c r="AI449" s="111" t="n"/>
      <c r="AJ449" s="114">
        <f>IF(COUNTA(B449,E449,H449,I449,J449,K449,L449,M449,N449,O449,P449,Q449,R449,S449,T449,U449,V449,W449,X449,Y449,Z449,AA449,AB449,AC449,AD449,AE449,AF449,AG449,AH449,AI449)=0,"",IF(OR(B449="",E449="",H449="",J449="",K449="",L449="",M449="",O449="",P449="",Q449="",R449="",S449="",T449="",U449="",W449="",X449="",Y449="",AB449="",AC449="",AE449="",AF449=""),"Incompleta: faltan campos obligatorios",IF(AND(LEFT(H449,6)="PROPIA",I449=""),"Falta el nombre de la acción propia del área",IF(AND(LEFT(H449,4)="AC27",IFERROR(INDEX('Catalogos_PDN'!$T$5:$T$207,MATCH(H449,'Catalogos_PDN'!$U$5:$U$207,0)),"x")&lt;&gt;LEFT(E449,7)),"La acción no corresponde a la meta seleccionada",IF(OR(NOT(ISNUMBER(M449)),M449&lt;10000000,M449&gt;99999999),"Código UNSPSC inválido: registre 8 dígitos",IF(MOD(M449,10000)=0,"UNSPSC a nivel de segmento o familia: use clase o producto",IF(IFERROR(MATCH(P449,PN_MESES,0)&lt;MATCH(O449,PN_MESES,0),TRUE()),"El mes de ofertas es anterior al de inicio del proceso",IF(OR(NOT(ISNUMBER(Q449)),Q449&lt;=0),"Duración inválida",IF(OR(NOT(ISNUMBER(W449)),NOT(ISNUMBER(X449))),"Valor inválido: registre solo números",IF(OR(W449&lt;=0,X449&lt;=0),"Valor inválido: debe ser mayor que cero",IF(X449&gt;W449,"El valor de la vigencia 2027 supera el valor total",IF(AND(X449&lt;W449,Y449="No"),"El valor total supera el de 2027: requiere vigencias futuras",IF(AND(Y449="Sí",OR(Z449="",Z449="No aplica")),"Indique el estado de la solicitud de vigencias futuras",IF(IF(AND(S449="Mínima cuantía",ISNUMBER(PN_TOPE_MINIMA)),W449&gt;PN_TOPE_MINIMA,FALSE()),"El valor supera el tope de mínima cuantía 2027",IF(IF(AND(S449="Selección abreviada de menor cuantía",ISNUMBER(PN_TOPE_MENOR)),W449&gt;PN_TOPE_MENOR,FALSE()),"El valor supera el tope de menor cuantía 2027",IF(OR(ISERROR(SEARCH("@itc.edu.co",AE449)),SUMPRODUCT(--ISNUMBER(SEARCH({"á","é","í","ó","ú","ñ"," "},AE449)))&gt;0),"El correo del responsable no es institucional válido",IF(AND(AF449="Sí",AG449=""),"Indique el N.° de registro 2026 que continúa","OK")))))))))))))))))</f>
        <v/>
      </c>
      <c r="AK449" s="114">
        <f>IF(AJ449="OK",COUNTIF($AJ$7:AJ449,"OK"),"")</f>
        <v/>
      </c>
    </row>
    <row r="450">
      <c r="A450" s="110">
        <f>"PN27-"&amp;TEXT(ROW()-6,"000")</f>
        <v/>
      </c>
      <c r="B450" s="111" t="n"/>
      <c r="C450" s="110">
        <f>IF(B450="","",IFERROR(INDEX('Catalogos_PDN'!$R$5:$R$51,MATCH(B450,PN_AREAS,0)),""))</f>
        <v/>
      </c>
      <c r="D450" s="110">
        <f>IF(B450="","",IFERROR(INDEX('Catalogos_PDN'!$O$5:$O$51,MATCH(B450,PN_AREAS,0)),""))</f>
        <v/>
      </c>
      <c r="E450" s="111" t="n"/>
      <c r="F450" s="110">
        <f>IF(E450="","",IFERROR(INDEX('Catalogos_PDN'!$C$5:$C$49,MATCH(E450,PN_METAS,0)),""))</f>
        <v/>
      </c>
      <c r="G450" s="110">
        <f>IF(E450="","",IFERROR(INDEX('Catalogos_PDN'!$E$5:$E$49,MATCH(E450,PN_METAS,0)),""))</f>
        <v/>
      </c>
      <c r="H450" s="111" t="n"/>
      <c r="I450" s="111" t="n"/>
      <c r="J450" s="111" t="n"/>
      <c r="K450" s="111" t="n"/>
      <c r="L450" s="111" t="n"/>
      <c r="M450" s="112" t="n"/>
      <c r="N450" s="111" t="n"/>
      <c r="O450" s="111" t="n"/>
      <c r="P450" s="111" t="n"/>
      <c r="Q450" s="111" t="n"/>
      <c r="R450" s="111" t="n"/>
      <c r="S450" s="111" t="n"/>
      <c r="T450" s="111" t="n"/>
      <c r="U450" s="111" t="n"/>
      <c r="V450" s="111" t="n"/>
      <c r="W450" s="113" t="n"/>
      <c r="X450" s="113" t="n"/>
      <c r="Y450" s="111" t="n"/>
      <c r="Z450" s="111" t="n"/>
      <c r="AA450" s="111" t="n"/>
      <c r="AB450" s="111" t="n"/>
      <c r="AC450" s="111" t="n"/>
      <c r="AD450" s="111" t="n"/>
      <c r="AE450" s="111" t="n"/>
      <c r="AF450" s="111" t="n"/>
      <c r="AG450" s="111" t="n"/>
      <c r="AH450" s="111" t="n"/>
      <c r="AI450" s="111" t="n"/>
      <c r="AJ450" s="114">
        <f>IF(COUNTA(B450,E450,H450,I450,J450,K450,L450,M450,N450,O450,P450,Q450,R450,S450,T450,U450,V450,W450,X450,Y450,Z450,AA450,AB450,AC450,AD450,AE450,AF450,AG450,AH450,AI450)=0,"",IF(OR(B450="",E450="",H450="",J450="",K450="",L450="",M450="",O450="",P450="",Q450="",R450="",S450="",T450="",U450="",W450="",X450="",Y450="",AB450="",AC450="",AE450="",AF450=""),"Incompleta: faltan campos obligatorios",IF(AND(LEFT(H450,6)="PROPIA",I450=""),"Falta el nombre de la acción propia del área",IF(AND(LEFT(H450,4)="AC27",IFERROR(INDEX('Catalogos_PDN'!$T$5:$T$207,MATCH(H450,'Catalogos_PDN'!$U$5:$U$207,0)),"x")&lt;&gt;LEFT(E450,7)),"La acción no corresponde a la meta seleccionada",IF(OR(NOT(ISNUMBER(M450)),M450&lt;10000000,M450&gt;99999999),"Código UNSPSC inválido: registre 8 dígitos",IF(MOD(M450,10000)=0,"UNSPSC a nivel de segmento o familia: use clase o producto",IF(IFERROR(MATCH(P450,PN_MESES,0)&lt;MATCH(O450,PN_MESES,0),TRUE()),"El mes de ofertas es anterior al de inicio del proceso",IF(OR(NOT(ISNUMBER(Q450)),Q450&lt;=0),"Duración inválida",IF(OR(NOT(ISNUMBER(W450)),NOT(ISNUMBER(X450))),"Valor inválido: registre solo números",IF(OR(W450&lt;=0,X450&lt;=0),"Valor inválido: debe ser mayor que cero",IF(X450&gt;W450,"El valor de la vigencia 2027 supera el valor total",IF(AND(X450&lt;W450,Y450="No"),"El valor total supera el de 2027: requiere vigencias futuras",IF(AND(Y450="Sí",OR(Z450="",Z450="No aplica")),"Indique el estado de la solicitud de vigencias futuras",IF(IF(AND(S450="Mínima cuantía",ISNUMBER(PN_TOPE_MINIMA)),W450&gt;PN_TOPE_MINIMA,FALSE()),"El valor supera el tope de mínima cuantía 2027",IF(IF(AND(S450="Selección abreviada de menor cuantía",ISNUMBER(PN_TOPE_MENOR)),W450&gt;PN_TOPE_MENOR,FALSE()),"El valor supera el tope de menor cuantía 2027",IF(OR(ISERROR(SEARCH("@itc.edu.co",AE450)),SUMPRODUCT(--ISNUMBER(SEARCH({"á","é","í","ó","ú","ñ"," "},AE450)))&gt;0),"El correo del responsable no es institucional válido",IF(AND(AF450="Sí",AG450=""),"Indique el N.° de registro 2026 que continúa","OK")))))))))))))))))</f>
        <v/>
      </c>
      <c r="AK450" s="114">
        <f>IF(AJ450="OK",COUNTIF($AJ$7:AJ450,"OK"),"")</f>
        <v/>
      </c>
    </row>
    <row r="451">
      <c r="A451" s="110">
        <f>"PN27-"&amp;TEXT(ROW()-6,"000")</f>
        <v/>
      </c>
      <c r="B451" s="111" t="n"/>
      <c r="C451" s="110">
        <f>IF(B451="","",IFERROR(INDEX('Catalogos_PDN'!$R$5:$R$51,MATCH(B451,PN_AREAS,0)),""))</f>
        <v/>
      </c>
      <c r="D451" s="110">
        <f>IF(B451="","",IFERROR(INDEX('Catalogos_PDN'!$O$5:$O$51,MATCH(B451,PN_AREAS,0)),""))</f>
        <v/>
      </c>
      <c r="E451" s="111" t="n"/>
      <c r="F451" s="110">
        <f>IF(E451="","",IFERROR(INDEX('Catalogos_PDN'!$C$5:$C$49,MATCH(E451,PN_METAS,0)),""))</f>
        <v/>
      </c>
      <c r="G451" s="110">
        <f>IF(E451="","",IFERROR(INDEX('Catalogos_PDN'!$E$5:$E$49,MATCH(E451,PN_METAS,0)),""))</f>
        <v/>
      </c>
      <c r="H451" s="111" t="n"/>
      <c r="I451" s="111" t="n"/>
      <c r="J451" s="111" t="n"/>
      <c r="K451" s="111" t="n"/>
      <c r="L451" s="111" t="n"/>
      <c r="M451" s="112" t="n"/>
      <c r="N451" s="111" t="n"/>
      <c r="O451" s="111" t="n"/>
      <c r="P451" s="111" t="n"/>
      <c r="Q451" s="111" t="n"/>
      <c r="R451" s="111" t="n"/>
      <c r="S451" s="111" t="n"/>
      <c r="T451" s="111" t="n"/>
      <c r="U451" s="111" t="n"/>
      <c r="V451" s="111" t="n"/>
      <c r="W451" s="113" t="n"/>
      <c r="X451" s="113" t="n"/>
      <c r="Y451" s="111" t="n"/>
      <c r="Z451" s="111" t="n"/>
      <c r="AA451" s="111" t="n"/>
      <c r="AB451" s="111" t="n"/>
      <c r="AC451" s="111" t="n"/>
      <c r="AD451" s="111" t="n"/>
      <c r="AE451" s="111" t="n"/>
      <c r="AF451" s="111" t="n"/>
      <c r="AG451" s="111" t="n"/>
      <c r="AH451" s="111" t="n"/>
      <c r="AI451" s="111" t="n"/>
      <c r="AJ451" s="114">
        <f>IF(COUNTA(B451,E451,H451,I451,J451,K451,L451,M451,N451,O451,P451,Q451,R451,S451,T451,U451,V451,W451,X451,Y451,Z451,AA451,AB451,AC451,AD451,AE451,AF451,AG451,AH451,AI451)=0,"",IF(OR(B451="",E451="",H451="",J451="",K451="",L451="",M451="",O451="",P451="",Q451="",R451="",S451="",T451="",U451="",W451="",X451="",Y451="",AB451="",AC451="",AE451="",AF451=""),"Incompleta: faltan campos obligatorios",IF(AND(LEFT(H451,6)="PROPIA",I451=""),"Falta el nombre de la acción propia del área",IF(AND(LEFT(H451,4)="AC27",IFERROR(INDEX('Catalogos_PDN'!$T$5:$T$207,MATCH(H451,'Catalogos_PDN'!$U$5:$U$207,0)),"x")&lt;&gt;LEFT(E451,7)),"La acción no corresponde a la meta seleccionada",IF(OR(NOT(ISNUMBER(M451)),M451&lt;10000000,M451&gt;99999999),"Código UNSPSC inválido: registre 8 dígitos",IF(MOD(M451,10000)=0,"UNSPSC a nivel de segmento o familia: use clase o producto",IF(IFERROR(MATCH(P451,PN_MESES,0)&lt;MATCH(O451,PN_MESES,0),TRUE()),"El mes de ofertas es anterior al de inicio del proceso",IF(OR(NOT(ISNUMBER(Q451)),Q451&lt;=0),"Duración inválida",IF(OR(NOT(ISNUMBER(W451)),NOT(ISNUMBER(X451))),"Valor inválido: registre solo números",IF(OR(W451&lt;=0,X451&lt;=0),"Valor inválido: debe ser mayor que cero",IF(X451&gt;W451,"El valor de la vigencia 2027 supera el valor total",IF(AND(X451&lt;W451,Y451="No"),"El valor total supera el de 2027: requiere vigencias futuras",IF(AND(Y451="Sí",OR(Z451="",Z451="No aplica")),"Indique el estado de la solicitud de vigencias futuras",IF(IF(AND(S451="Mínima cuantía",ISNUMBER(PN_TOPE_MINIMA)),W451&gt;PN_TOPE_MINIMA,FALSE()),"El valor supera el tope de mínima cuantía 2027",IF(IF(AND(S451="Selección abreviada de menor cuantía",ISNUMBER(PN_TOPE_MENOR)),W451&gt;PN_TOPE_MENOR,FALSE()),"El valor supera el tope de menor cuantía 2027",IF(OR(ISERROR(SEARCH("@itc.edu.co",AE451)),SUMPRODUCT(--ISNUMBER(SEARCH({"á","é","í","ó","ú","ñ"," "},AE451)))&gt;0),"El correo del responsable no es institucional válido",IF(AND(AF451="Sí",AG451=""),"Indique el N.° de registro 2026 que continúa","OK")))))))))))))))))</f>
        <v/>
      </c>
      <c r="AK451" s="114">
        <f>IF(AJ451="OK",COUNTIF($AJ$7:AJ451,"OK"),"")</f>
        <v/>
      </c>
    </row>
    <row r="452">
      <c r="A452" s="110">
        <f>"PN27-"&amp;TEXT(ROW()-6,"000")</f>
        <v/>
      </c>
      <c r="B452" s="111" t="n"/>
      <c r="C452" s="110">
        <f>IF(B452="","",IFERROR(INDEX('Catalogos_PDN'!$R$5:$R$51,MATCH(B452,PN_AREAS,0)),""))</f>
        <v/>
      </c>
      <c r="D452" s="110">
        <f>IF(B452="","",IFERROR(INDEX('Catalogos_PDN'!$O$5:$O$51,MATCH(B452,PN_AREAS,0)),""))</f>
        <v/>
      </c>
      <c r="E452" s="111" t="n"/>
      <c r="F452" s="110">
        <f>IF(E452="","",IFERROR(INDEX('Catalogos_PDN'!$C$5:$C$49,MATCH(E452,PN_METAS,0)),""))</f>
        <v/>
      </c>
      <c r="G452" s="110">
        <f>IF(E452="","",IFERROR(INDEX('Catalogos_PDN'!$E$5:$E$49,MATCH(E452,PN_METAS,0)),""))</f>
        <v/>
      </c>
      <c r="H452" s="111" t="n"/>
      <c r="I452" s="111" t="n"/>
      <c r="J452" s="111" t="n"/>
      <c r="K452" s="111" t="n"/>
      <c r="L452" s="111" t="n"/>
      <c r="M452" s="112" t="n"/>
      <c r="N452" s="111" t="n"/>
      <c r="O452" s="111" t="n"/>
      <c r="P452" s="111" t="n"/>
      <c r="Q452" s="111" t="n"/>
      <c r="R452" s="111" t="n"/>
      <c r="S452" s="111" t="n"/>
      <c r="T452" s="111" t="n"/>
      <c r="U452" s="111" t="n"/>
      <c r="V452" s="111" t="n"/>
      <c r="W452" s="113" t="n"/>
      <c r="X452" s="113" t="n"/>
      <c r="Y452" s="111" t="n"/>
      <c r="Z452" s="111" t="n"/>
      <c r="AA452" s="111" t="n"/>
      <c r="AB452" s="111" t="n"/>
      <c r="AC452" s="111" t="n"/>
      <c r="AD452" s="111" t="n"/>
      <c r="AE452" s="111" t="n"/>
      <c r="AF452" s="111" t="n"/>
      <c r="AG452" s="111" t="n"/>
      <c r="AH452" s="111" t="n"/>
      <c r="AI452" s="111" t="n"/>
      <c r="AJ452" s="114">
        <f>IF(COUNTA(B452,E452,H452,I452,J452,K452,L452,M452,N452,O452,P452,Q452,R452,S452,T452,U452,V452,W452,X452,Y452,Z452,AA452,AB452,AC452,AD452,AE452,AF452,AG452,AH452,AI452)=0,"",IF(OR(B452="",E452="",H452="",J452="",K452="",L452="",M452="",O452="",P452="",Q452="",R452="",S452="",T452="",U452="",W452="",X452="",Y452="",AB452="",AC452="",AE452="",AF452=""),"Incompleta: faltan campos obligatorios",IF(AND(LEFT(H452,6)="PROPIA",I452=""),"Falta el nombre de la acción propia del área",IF(AND(LEFT(H452,4)="AC27",IFERROR(INDEX('Catalogos_PDN'!$T$5:$T$207,MATCH(H452,'Catalogos_PDN'!$U$5:$U$207,0)),"x")&lt;&gt;LEFT(E452,7)),"La acción no corresponde a la meta seleccionada",IF(OR(NOT(ISNUMBER(M452)),M452&lt;10000000,M452&gt;99999999),"Código UNSPSC inválido: registre 8 dígitos",IF(MOD(M452,10000)=0,"UNSPSC a nivel de segmento o familia: use clase o producto",IF(IFERROR(MATCH(P452,PN_MESES,0)&lt;MATCH(O452,PN_MESES,0),TRUE()),"El mes de ofertas es anterior al de inicio del proceso",IF(OR(NOT(ISNUMBER(Q452)),Q452&lt;=0),"Duración inválida",IF(OR(NOT(ISNUMBER(W452)),NOT(ISNUMBER(X452))),"Valor inválido: registre solo números",IF(OR(W452&lt;=0,X452&lt;=0),"Valor inválido: debe ser mayor que cero",IF(X452&gt;W452,"El valor de la vigencia 2027 supera el valor total",IF(AND(X452&lt;W452,Y452="No"),"El valor total supera el de 2027: requiere vigencias futuras",IF(AND(Y452="Sí",OR(Z452="",Z452="No aplica")),"Indique el estado de la solicitud de vigencias futuras",IF(IF(AND(S452="Mínima cuantía",ISNUMBER(PN_TOPE_MINIMA)),W452&gt;PN_TOPE_MINIMA,FALSE()),"El valor supera el tope de mínima cuantía 2027",IF(IF(AND(S452="Selección abreviada de menor cuantía",ISNUMBER(PN_TOPE_MENOR)),W452&gt;PN_TOPE_MENOR,FALSE()),"El valor supera el tope de menor cuantía 2027",IF(OR(ISERROR(SEARCH("@itc.edu.co",AE452)),SUMPRODUCT(--ISNUMBER(SEARCH({"á","é","í","ó","ú","ñ"," "},AE452)))&gt;0),"El correo del responsable no es institucional válido",IF(AND(AF452="Sí",AG452=""),"Indique el N.° de registro 2026 que continúa","OK")))))))))))))))))</f>
        <v/>
      </c>
      <c r="AK452" s="114">
        <f>IF(AJ452="OK",COUNTIF($AJ$7:AJ452,"OK"),"")</f>
        <v/>
      </c>
    </row>
    <row r="453">
      <c r="A453" s="110">
        <f>"PN27-"&amp;TEXT(ROW()-6,"000")</f>
        <v/>
      </c>
      <c r="B453" s="111" t="n"/>
      <c r="C453" s="110">
        <f>IF(B453="","",IFERROR(INDEX('Catalogos_PDN'!$R$5:$R$51,MATCH(B453,PN_AREAS,0)),""))</f>
        <v/>
      </c>
      <c r="D453" s="110">
        <f>IF(B453="","",IFERROR(INDEX('Catalogos_PDN'!$O$5:$O$51,MATCH(B453,PN_AREAS,0)),""))</f>
        <v/>
      </c>
      <c r="E453" s="111" t="n"/>
      <c r="F453" s="110">
        <f>IF(E453="","",IFERROR(INDEX('Catalogos_PDN'!$C$5:$C$49,MATCH(E453,PN_METAS,0)),""))</f>
        <v/>
      </c>
      <c r="G453" s="110">
        <f>IF(E453="","",IFERROR(INDEX('Catalogos_PDN'!$E$5:$E$49,MATCH(E453,PN_METAS,0)),""))</f>
        <v/>
      </c>
      <c r="H453" s="111" t="n"/>
      <c r="I453" s="111" t="n"/>
      <c r="J453" s="111" t="n"/>
      <c r="K453" s="111" t="n"/>
      <c r="L453" s="111" t="n"/>
      <c r="M453" s="112" t="n"/>
      <c r="N453" s="111" t="n"/>
      <c r="O453" s="111" t="n"/>
      <c r="P453" s="111" t="n"/>
      <c r="Q453" s="111" t="n"/>
      <c r="R453" s="111" t="n"/>
      <c r="S453" s="111" t="n"/>
      <c r="T453" s="111" t="n"/>
      <c r="U453" s="111" t="n"/>
      <c r="V453" s="111" t="n"/>
      <c r="W453" s="113" t="n"/>
      <c r="X453" s="113" t="n"/>
      <c r="Y453" s="111" t="n"/>
      <c r="Z453" s="111" t="n"/>
      <c r="AA453" s="111" t="n"/>
      <c r="AB453" s="111" t="n"/>
      <c r="AC453" s="111" t="n"/>
      <c r="AD453" s="111" t="n"/>
      <c r="AE453" s="111" t="n"/>
      <c r="AF453" s="111" t="n"/>
      <c r="AG453" s="111" t="n"/>
      <c r="AH453" s="111" t="n"/>
      <c r="AI453" s="111" t="n"/>
      <c r="AJ453" s="114">
        <f>IF(COUNTA(B453,E453,H453,I453,J453,K453,L453,M453,N453,O453,P453,Q453,R453,S453,T453,U453,V453,W453,X453,Y453,Z453,AA453,AB453,AC453,AD453,AE453,AF453,AG453,AH453,AI453)=0,"",IF(OR(B453="",E453="",H453="",J453="",K453="",L453="",M453="",O453="",P453="",Q453="",R453="",S453="",T453="",U453="",W453="",X453="",Y453="",AB453="",AC453="",AE453="",AF453=""),"Incompleta: faltan campos obligatorios",IF(AND(LEFT(H453,6)="PROPIA",I453=""),"Falta el nombre de la acción propia del área",IF(AND(LEFT(H453,4)="AC27",IFERROR(INDEX('Catalogos_PDN'!$T$5:$T$207,MATCH(H453,'Catalogos_PDN'!$U$5:$U$207,0)),"x")&lt;&gt;LEFT(E453,7)),"La acción no corresponde a la meta seleccionada",IF(OR(NOT(ISNUMBER(M453)),M453&lt;10000000,M453&gt;99999999),"Código UNSPSC inválido: registre 8 dígitos",IF(MOD(M453,10000)=0,"UNSPSC a nivel de segmento o familia: use clase o producto",IF(IFERROR(MATCH(P453,PN_MESES,0)&lt;MATCH(O453,PN_MESES,0),TRUE()),"El mes de ofertas es anterior al de inicio del proceso",IF(OR(NOT(ISNUMBER(Q453)),Q453&lt;=0),"Duración inválida",IF(OR(NOT(ISNUMBER(W453)),NOT(ISNUMBER(X453))),"Valor inválido: registre solo números",IF(OR(W453&lt;=0,X453&lt;=0),"Valor inválido: debe ser mayor que cero",IF(X453&gt;W453,"El valor de la vigencia 2027 supera el valor total",IF(AND(X453&lt;W453,Y453="No"),"El valor total supera el de 2027: requiere vigencias futuras",IF(AND(Y453="Sí",OR(Z453="",Z453="No aplica")),"Indique el estado de la solicitud de vigencias futuras",IF(IF(AND(S453="Mínima cuantía",ISNUMBER(PN_TOPE_MINIMA)),W453&gt;PN_TOPE_MINIMA,FALSE()),"El valor supera el tope de mínima cuantía 2027",IF(IF(AND(S453="Selección abreviada de menor cuantía",ISNUMBER(PN_TOPE_MENOR)),W453&gt;PN_TOPE_MENOR,FALSE()),"El valor supera el tope de menor cuantía 2027",IF(OR(ISERROR(SEARCH("@itc.edu.co",AE453)),SUMPRODUCT(--ISNUMBER(SEARCH({"á","é","í","ó","ú","ñ"," "},AE453)))&gt;0),"El correo del responsable no es institucional válido",IF(AND(AF453="Sí",AG453=""),"Indique el N.° de registro 2026 que continúa","OK")))))))))))))))))</f>
        <v/>
      </c>
      <c r="AK453" s="114">
        <f>IF(AJ453="OK",COUNTIF($AJ$7:AJ453,"OK"),"")</f>
        <v/>
      </c>
    </row>
    <row r="454">
      <c r="A454" s="110">
        <f>"PN27-"&amp;TEXT(ROW()-6,"000")</f>
        <v/>
      </c>
      <c r="B454" s="111" t="n"/>
      <c r="C454" s="110">
        <f>IF(B454="","",IFERROR(INDEX('Catalogos_PDN'!$R$5:$R$51,MATCH(B454,PN_AREAS,0)),""))</f>
        <v/>
      </c>
      <c r="D454" s="110">
        <f>IF(B454="","",IFERROR(INDEX('Catalogos_PDN'!$O$5:$O$51,MATCH(B454,PN_AREAS,0)),""))</f>
        <v/>
      </c>
      <c r="E454" s="111" t="n"/>
      <c r="F454" s="110">
        <f>IF(E454="","",IFERROR(INDEX('Catalogos_PDN'!$C$5:$C$49,MATCH(E454,PN_METAS,0)),""))</f>
        <v/>
      </c>
      <c r="G454" s="110">
        <f>IF(E454="","",IFERROR(INDEX('Catalogos_PDN'!$E$5:$E$49,MATCH(E454,PN_METAS,0)),""))</f>
        <v/>
      </c>
      <c r="H454" s="111" t="n"/>
      <c r="I454" s="111" t="n"/>
      <c r="J454" s="111" t="n"/>
      <c r="K454" s="111" t="n"/>
      <c r="L454" s="111" t="n"/>
      <c r="M454" s="112" t="n"/>
      <c r="N454" s="111" t="n"/>
      <c r="O454" s="111" t="n"/>
      <c r="P454" s="111" t="n"/>
      <c r="Q454" s="111" t="n"/>
      <c r="R454" s="111" t="n"/>
      <c r="S454" s="111" t="n"/>
      <c r="T454" s="111" t="n"/>
      <c r="U454" s="111" t="n"/>
      <c r="V454" s="111" t="n"/>
      <c r="W454" s="113" t="n"/>
      <c r="X454" s="113" t="n"/>
      <c r="Y454" s="111" t="n"/>
      <c r="Z454" s="111" t="n"/>
      <c r="AA454" s="111" t="n"/>
      <c r="AB454" s="111" t="n"/>
      <c r="AC454" s="111" t="n"/>
      <c r="AD454" s="111" t="n"/>
      <c r="AE454" s="111" t="n"/>
      <c r="AF454" s="111" t="n"/>
      <c r="AG454" s="111" t="n"/>
      <c r="AH454" s="111" t="n"/>
      <c r="AI454" s="111" t="n"/>
      <c r="AJ454" s="114">
        <f>IF(COUNTA(B454,E454,H454,I454,J454,K454,L454,M454,N454,O454,P454,Q454,R454,S454,T454,U454,V454,W454,X454,Y454,Z454,AA454,AB454,AC454,AD454,AE454,AF454,AG454,AH454,AI454)=0,"",IF(OR(B454="",E454="",H454="",J454="",K454="",L454="",M454="",O454="",P454="",Q454="",R454="",S454="",T454="",U454="",W454="",X454="",Y454="",AB454="",AC454="",AE454="",AF454=""),"Incompleta: faltan campos obligatorios",IF(AND(LEFT(H454,6)="PROPIA",I454=""),"Falta el nombre de la acción propia del área",IF(AND(LEFT(H454,4)="AC27",IFERROR(INDEX('Catalogos_PDN'!$T$5:$T$207,MATCH(H454,'Catalogos_PDN'!$U$5:$U$207,0)),"x")&lt;&gt;LEFT(E454,7)),"La acción no corresponde a la meta seleccionada",IF(OR(NOT(ISNUMBER(M454)),M454&lt;10000000,M454&gt;99999999),"Código UNSPSC inválido: registre 8 dígitos",IF(MOD(M454,10000)=0,"UNSPSC a nivel de segmento o familia: use clase o producto",IF(IFERROR(MATCH(P454,PN_MESES,0)&lt;MATCH(O454,PN_MESES,0),TRUE()),"El mes de ofertas es anterior al de inicio del proceso",IF(OR(NOT(ISNUMBER(Q454)),Q454&lt;=0),"Duración inválida",IF(OR(NOT(ISNUMBER(W454)),NOT(ISNUMBER(X454))),"Valor inválido: registre solo números",IF(OR(W454&lt;=0,X454&lt;=0),"Valor inválido: debe ser mayor que cero",IF(X454&gt;W454,"El valor de la vigencia 2027 supera el valor total",IF(AND(X454&lt;W454,Y454="No"),"El valor total supera el de 2027: requiere vigencias futuras",IF(AND(Y454="Sí",OR(Z454="",Z454="No aplica")),"Indique el estado de la solicitud de vigencias futuras",IF(IF(AND(S454="Mínima cuantía",ISNUMBER(PN_TOPE_MINIMA)),W454&gt;PN_TOPE_MINIMA,FALSE()),"El valor supera el tope de mínima cuantía 2027",IF(IF(AND(S454="Selección abreviada de menor cuantía",ISNUMBER(PN_TOPE_MENOR)),W454&gt;PN_TOPE_MENOR,FALSE()),"El valor supera el tope de menor cuantía 2027",IF(OR(ISERROR(SEARCH("@itc.edu.co",AE454)),SUMPRODUCT(--ISNUMBER(SEARCH({"á","é","í","ó","ú","ñ"," "},AE454)))&gt;0),"El correo del responsable no es institucional válido",IF(AND(AF454="Sí",AG454=""),"Indique el N.° de registro 2026 que continúa","OK")))))))))))))))))</f>
        <v/>
      </c>
      <c r="AK454" s="114">
        <f>IF(AJ454="OK",COUNTIF($AJ$7:AJ454,"OK"),"")</f>
        <v/>
      </c>
    </row>
    <row r="455">
      <c r="A455" s="110">
        <f>"PN27-"&amp;TEXT(ROW()-6,"000")</f>
        <v/>
      </c>
      <c r="B455" s="111" t="n"/>
      <c r="C455" s="110">
        <f>IF(B455="","",IFERROR(INDEX('Catalogos_PDN'!$R$5:$R$51,MATCH(B455,PN_AREAS,0)),""))</f>
        <v/>
      </c>
      <c r="D455" s="110">
        <f>IF(B455="","",IFERROR(INDEX('Catalogos_PDN'!$O$5:$O$51,MATCH(B455,PN_AREAS,0)),""))</f>
        <v/>
      </c>
      <c r="E455" s="111" t="n"/>
      <c r="F455" s="110">
        <f>IF(E455="","",IFERROR(INDEX('Catalogos_PDN'!$C$5:$C$49,MATCH(E455,PN_METAS,0)),""))</f>
        <v/>
      </c>
      <c r="G455" s="110">
        <f>IF(E455="","",IFERROR(INDEX('Catalogos_PDN'!$E$5:$E$49,MATCH(E455,PN_METAS,0)),""))</f>
        <v/>
      </c>
      <c r="H455" s="111" t="n"/>
      <c r="I455" s="111" t="n"/>
      <c r="J455" s="111" t="n"/>
      <c r="K455" s="111" t="n"/>
      <c r="L455" s="111" t="n"/>
      <c r="M455" s="112" t="n"/>
      <c r="N455" s="111" t="n"/>
      <c r="O455" s="111" t="n"/>
      <c r="P455" s="111" t="n"/>
      <c r="Q455" s="111" t="n"/>
      <c r="R455" s="111" t="n"/>
      <c r="S455" s="111" t="n"/>
      <c r="T455" s="111" t="n"/>
      <c r="U455" s="111" t="n"/>
      <c r="V455" s="111" t="n"/>
      <c r="W455" s="113" t="n"/>
      <c r="X455" s="113" t="n"/>
      <c r="Y455" s="111" t="n"/>
      <c r="Z455" s="111" t="n"/>
      <c r="AA455" s="111" t="n"/>
      <c r="AB455" s="111" t="n"/>
      <c r="AC455" s="111" t="n"/>
      <c r="AD455" s="111" t="n"/>
      <c r="AE455" s="111" t="n"/>
      <c r="AF455" s="111" t="n"/>
      <c r="AG455" s="111" t="n"/>
      <c r="AH455" s="111" t="n"/>
      <c r="AI455" s="111" t="n"/>
      <c r="AJ455" s="114">
        <f>IF(COUNTA(B455,E455,H455,I455,J455,K455,L455,M455,N455,O455,P455,Q455,R455,S455,T455,U455,V455,W455,X455,Y455,Z455,AA455,AB455,AC455,AD455,AE455,AF455,AG455,AH455,AI455)=0,"",IF(OR(B455="",E455="",H455="",J455="",K455="",L455="",M455="",O455="",P455="",Q455="",R455="",S455="",T455="",U455="",W455="",X455="",Y455="",AB455="",AC455="",AE455="",AF455=""),"Incompleta: faltan campos obligatorios",IF(AND(LEFT(H455,6)="PROPIA",I455=""),"Falta el nombre de la acción propia del área",IF(AND(LEFT(H455,4)="AC27",IFERROR(INDEX('Catalogos_PDN'!$T$5:$T$207,MATCH(H455,'Catalogos_PDN'!$U$5:$U$207,0)),"x")&lt;&gt;LEFT(E455,7)),"La acción no corresponde a la meta seleccionada",IF(OR(NOT(ISNUMBER(M455)),M455&lt;10000000,M455&gt;99999999),"Código UNSPSC inválido: registre 8 dígitos",IF(MOD(M455,10000)=0,"UNSPSC a nivel de segmento o familia: use clase o producto",IF(IFERROR(MATCH(P455,PN_MESES,0)&lt;MATCH(O455,PN_MESES,0),TRUE()),"El mes de ofertas es anterior al de inicio del proceso",IF(OR(NOT(ISNUMBER(Q455)),Q455&lt;=0),"Duración inválida",IF(OR(NOT(ISNUMBER(W455)),NOT(ISNUMBER(X455))),"Valor inválido: registre solo números",IF(OR(W455&lt;=0,X455&lt;=0),"Valor inválido: debe ser mayor que cero",IF(X455&gt;W455,"El valor de la vigencia 2027 supera el valor total",IF(AND(X455&lt;W455,Y455="No"),"El valor total supera el de 2027: requiere vigencias futuras",IF(AND(Y455="Sí",OR(Z455="",Z455="No aplica")),"Indique el estado de la solicitud de vigencias futuras",IF(IF(AND(S455="Mínima cuantía",ISNUMBER(PN_TOPE_MINIMA)),W455&gt;PN_TOPE_MINIMA,FALSE()),"El valor supera el tope de mínima cuantía 2027",IF(IF(AND(S455="Selección abreviada de menor cuantía",ISNUMBER(PN_TOPE_MENOR)),W455&gt;PN_TOPE_MENOR,FALSE()),"El valor supera el tope de menor cuantía 2027",IF(OR(ISERROR(SEARCH("@itc.edu.co",AE455)),SUMPRODUCT(--ISNUMBER(SEARCH({"á","é","í","ó","ú","ñ"," "},AE455)))&gt;0),"El correo del responsable no es institucional válido",IF(AND(AF455="Sí",AG455=""),"Indique el N.° de registro 2026 que continúa","OK")))))))))))))))))</f>
        <v/>
      </c>
      <c r="AK455" s="114">
        <f>IF(AJ455="OK",COUNTIF($AJ$7:AJ455,"OK"),"")</f>
        <v/>
      </c>
    </row>
    <row r="456">
      <c r="A456" s="110">
        <f>"PN27-"&amp;TEXT(ROW()-6,"000")</f>
        <v/>
      </c>
      <c r="B456" s="111" t="n"/>
      <c r="C456" s="110">
        <f>IF(B456="","",IFERROR(INDEX('Catalogos_PDN'!$R$5:$R$51,MATCH(B456,PN_AREAS,0)),""))</f>
        <v/>
      </c>
      <c r="D456" s="110">
        <f>IF(B456="","",IFERROR(INDEX('Catalogos_PDN'!$O$5:$O$51,MATCH(B456,PN_AREAS,0)),""))</f>
        <v/>
      </c>
      <c r="E456" s="111" t="n"/>
      <c r="F456" s="110">
        <f>IF(E456="","",IFERROR(INDEX('Catalogos_PDN'!$C$5:$C$49,MATCH(E456,PN_METAS,0)),""))</f>
        <v/>
      </c>
      <c r="G456" s="110">
        <f>IF(E456="","",IFERROR(INDEX('Catalogos_PDN'!$E$5:$E$49,MATCH(E456,PN_METAS,0)),""))</f>
        <v/>
      </c>
      <c r="H456" s="111" t="n"/>
      <c r="I456" s="111" t="n"/>
      <c r="J456" s="111" t="n"/>
      <c r="K456" s="111" t="n"/>
      <c r="L456" s="111" t="n"/>
      <c r="M456" s="112" t="n"/>
      <c r="N456" s="111" t="n"/>
      <c r="O456" s="111" t="n"/>
      <c r="P456" s="111" t="n"/>
      <c r="Q456" s="111" t="n"/>
      <c r="R456" s="111" t="n"/>
      <c r="S456" s="111" t="n"/>
      <c r="T456" s="111" t="n"/>
      <c r="U456" s="111" t="n"/>
      <c r="V456" s="111" t="n"/>
      <c r="W456" s="113" t="n"/>
      <c r="X456" s="113" t="n"/>
      <c r="Y456" s="111" t="n"/>
      <c r="Z456" s="111" t="n"/>
      <c r="AA456" s="111" t="n"/>
      <c r="AB456" s="111" t="n"/>
      <c r="AC456" s="111" t="n"/>
      <c r="AD456" s="111" t="n"/>
      <c r="AE456" s="111" t="n"/>
      <c r="AF456" s="111" t="n"/>
      <c r="AG456" s="111" t="n"/>
      <c r="AH456" s="111" t="n"/>
      <c r="AI456" s="111" t="n"/>
      <c r="AJ456" s="114">
        <f>IF(COUNTA(B456,E456,H456,I456,J456,K456,L456,M456,N456,O456,P456,Q456,R456,S456,T456,U456,V456,W456,X456,Y456,Z456,AA456,AB456,AC456,AD456,AE456,AF456,AG456,AH456,AI456)=0,"",IF(OR(B456="",E456="",H456="",J456="",K456="",L456="",M456="",O456="",P456="",Q456="",R456="",S456="",T456="",U456="",W456="",X456="",Y456="",AB456="",AC456="",AE456="",AF456=""),"Incompleta: faltan campos obligatorios",IF(AND(LEFT(H456,6)="PROPIA",I456=""),"Falta el nombre de la acción propia del área",IF(AND(LEFT(H456,4)="AC27",IFERROR(INDEX('Catalogos_PDN'!$T$5:$T$207,MATCH(H456,'Catalogos_PDN'!$U$5:$U$207,0)),"x")&lt;&gt;LEFT(E456,7)),"La acción no corresponde a la meta seleccionada",IF(OR(NOT(ISNUMBER(M456)),M456&lt;10000000,M456&gt;99999999),"Código UNSPSC inválido: registre 8 dígitos",IF(MOD(M456,10000)=0,"UNSPSC a nivel de segmento o familia: use clase o producto",IF(IFERROR(MATCH(P456,PN_MESES,0)&lt;MATCH(O456,PN_MESES,0),TRUE()),"El mes de ofertas es anterior al de inicio del proceso",IF(OR(NOT(ISNUMBER(Q456)),Q456&lt;=0),"Duración inválida",IF(OR(NOT(ISNUMBER(W456)),NOT(ISNUMBER(X456))),"Valor inválido: registre solo números",IF(OR(W456&lt;=0,X456&lt;=0),"Valor inválido: debe ser mayor que cero",IF(X456&gt;W456,"El valor de la vigencia 2027 supera el valor total",IF(AND(X456&lt;W456,Y456="No"),"El valor total supera el de 2027: requiere vigencias futuras",IF(AND(Y456="Sí",OR(Z456="",Z456="No aplica")),"Indique el estado de la solicitud de vigencias futuras",IF(IF(AND(S456="Mínima cuantía",ISNUMBER(PN_TOPE_MINIMA)),W456&gt;PN_TOPE_MINIMA,FALSE()),"El valor supera el tope de mínima cuantía 2027",IF(IF(AND(S456="Selección abreviada de menor cuantía",ISNUMBER(PN_TOPE_MENOR)),W456&gt;PN_TOPE_MENOR,FALSE()),"El valor supera el tope de menor cuantía 2027",IF(OR(ISERROR(SEARCH("@itc.edu.co",AE456)),SUMPRODUCT(--ISNUMBER(SEARCH({"á","é","í","ó","ú","ñ"," "},AE456)))&gt;0),"El correo del responsable no es institucional válido",IF(AND(AF456="Sí",AG456=""),"Indique el N.° de registro 2026 que continúa","OK")))))))))))))))))</f>
        <v/>
      </c>
      <c r="AK456" s="114">
        <f>IF(AJ456="OK",COUNTIF($AJ$7:AJ456,"OK"),"")</f>
        <v/>
      </c>
    </row>
    <row r="457">
      <c r="A457" s="110">
        <f>"PN27-"&amp;TEXT(ROW()-6,"000")</f>
        <v/>
      </c>
      <c r="B457" s="111" t="n"/>
      <c r="C457" s="110">
        <f>IF(B457="","",IFERROR(INDEX('Catalogos_PDN'!$R$5:$R$51,MATCH(B457,PN_AREAS,0)),""))</f>
        <v/>
      </c>
      <c r="D457" s="110">
        <f>IF(B457="","",IFERROR(INDEX('Catalogos_PDN'!$O$5:$O$51,MATCH(B457,PN_AREAS,0)),""))</f>
        <v/>
      </c>
      <c r="E457" s="111" t="n"/>
      <c r="F457" s="110">
        <f>IF(E457="","",IFERROR(INDEX('Catalogos_PDN'!$C$5:$C$49,MATCH(E457,PN_METAS,0)),""))</f>
        <v/>
      </c>
      <c r="G457" s="110">
        <f>IF(E457="","",IFERROR(INDEX('Catalogos_PDN'!$E$5:$E$49,MATCH(E457,PN_METAS,0)),""))</f>
        <v/>
      </c>
      <c r="H457" s="111" t="n"/>
      <c r="I457" s="111" t="n"/>
      <c r="J457" s="111" t="n"/>
      <c r="K457" s="111" t="n"/>
      <c r="L457" s="111" t="n"/>
      <c r="M457" s="112" t="n"/>
      <c r="N457" s="111" t="n"/>
      <c r="O457" s="111" t="n"/>
      <c r="P457" s="111" t="n"/>
      <c r="Q457" s="111" t="n"/>
      <c r="R457" s="111" t="n"/>
      <c r="S457" s="111" t="n"/>
      <c r="T457" s="111" t="n"/>
      <c r="U457" s="111" t="n"/>
      <c r="V457" s="111" t="n"/>
      <c r="W457" s="113" t="n"/>
      <c r="X457" s="113" t="n"/>
      <c r="Y457" s="111" t="n"/>
      <c r="Z457" s="111" t="n"/>
      <c r="AA457" s="111" t="n"/>
      <c r="AB457" s="111" t="n"/>
      <c r="AC457" s="111" t="n"/>
      <c r="AD457" s="111" t="n"/>
      <c r="AE457" s="111" t="n"/>
      <c r="AF457" s="111" t="n"/>
      <c r="AG457" s="111" t="n"/>
      <c r="AH457" s="111" t="n"/>
      <c r="AI457" s="111" t="n"/>
      <c r="AJ457" s="114">
        <f>IF(COUNTA(B457,E457,H457,I457,J457,K457,L457,M457,N457,O457,P457,Q457,R457,S457,T457,U457,V457,W457,X457,Y457,Z457,AA457,AB457,AC457,AD457,AE457,AF457,AG457,AH457,AI457)=0,"",IF(OR(B457="",E457="",H457="",J457="",K457="",L457="",M457="",O457="",P457="",Q457="",R457="",S457="",T457="",U457="",W457="",X457="",Y457="",AB457="",AC457="",AE457="",AF457=""),"Incompleta: faltan campos obligatorios",IF(AND(LEFT(H457,6)="PROPIA",I457=""),"Falta el nombre de la acción propia del área",IF(AND(LEFT(H457,4)="AC27",IFERROR(INDEX('Catalogos_PDN'!$T$5:$T$207,MATCH(H457,'Catalogos_PDN'!$U$5:$U$207,0)),"x")&lt;&gt;LEFT(E457,7)),"La acción no corresponde a la meta seleccionada",IF(OR(NOT(ISNUMBER(M457)),M457&lt;10000000,M457&gt;99999999),"Código UNSPSC inválido: registre 8 dígitos",IF(MOD(M457,10000)=0,"UNSPSC a nivel de segmento o familia: use clase o producto",IF(IFERROR(MATCH(P457,PN_MESES,0)&lt;MATCH(O457,PN_MESES,0),TRUE()),"El mes de ofertas es anterior al de inicio del proceso",IF(OR(NOT(ISNUMBER(Q457)),Q457&lt;=0),"Duración inválida",IF(OR(NOT(ISNUMBER(W457)),NOT(ISNUMBER(X457))),"Valor inválido: registre solo números",IF(OR(W457&lt;=0,X457&lt;=0),"Valor inválido: debe ser mayor que cero",IF(X457&gt;W457,"El valor de la vigencia 2027 supera el valor total",IF(AND(X457&lt;W457,Y457="No"),"El valor total supera el de 2027: requiere vigencias futuras",IF(AND(Y457="Sí",OR(Z457="",Z457="No aplica")),"Indique el estado de la solicitud de vigencias futuras",IF(IF(AND(S457="Mínima cuantía",ISNUMBER(PN_TOPE_MINIMA)),W457&gt;PN_TOPE_MINIMA,FALSE()),"El valor supera el tope de mínima cuantía 2027",IF(IF(AND(S457="Selección abreviada de menor cuantía",ISNUMBER(PN_TOPE_MENOR)),W457&gt;PN_TOPE_MENOR,FALSE()),"El valor supera el tope de menor cuantía 2027",IF(OR(ISERROR(SEARCH("@itc.edu.co",AE457)),SUMPRODUCT(--ISNUMBER(SEARCH({"á","é","í","ó","ú","ñ"," "},AE457)))&gt;0),"El correo del responsable no es institucional válido",IF(AND(AF457="Sí",AG457=""),"Indique el N.° de registro 2026 que continúa","OK")))))))))))))))))</f>
        <v/>
      </c>
      <c r="AK457" s="114">
        <f>IF(AJ457="OK",COUNTIF($AJ$7:AJ457,"OK"),"")</f>
        <v/>
      </c>
    </row>
    <row r="458">
      <c r="A458" s="110">
        <f>"PN27-"&amp;TEXT(ROW()-6,"000")</f>
        <v/>
      </c>
      <c r="B458" s="111" t="n"/>
      <c r="C458" s="110">
        <f>IF(B458="","",IFERROR(INDEX('Catalogos_PDN'!$R$5:$R$51,MATCH(B458,PN_AREAS,0)),""))</f>
        <v/>
      </c>
      <c r="D458" s="110">
        <f>IF(B458="","",IFERROR(INDEX('Catalogos_PDN'!$O$5:$O$51,MATCH(B458,PN_AREAS,0)),""))</f>
        <v/>
      </c>
      <c r="E458" s="111" t="n"/>
      <c r="F458" s="110">
        <f>IF(E458="","",IFERROR(INDEX('Catalogos_PDN'!$C$5:$C$49,MATCH(E458,PN_METAS,0)),""))</f>
        <v/>
      </c>
      <c r="G458" s="110">
        <f>IF(E458="","",IFERROR(INDEX('Catalogos_PDN'!$E$5:$E$49,MATCH(E458,PN_METAS,0)),""))</f>
        <v/>
      </c>
      <c r="H458" s="111" t="n"/>
      <c r="I458" s="111" t="n"/>
      <c r="J458" s="111" t="n"/>
      <c r="K458" s="111" t="n"/>
      <c r="L458" s="111" t="n"/>
      <c r="M458" s="112" t="n"/>
      <c r="N458" s="111" t="n"/>
      <c r="O458" s="111" t="n"/>
      <c r="P458" s="111" t="n"/>
      <c r="Q458" s="111" t="n"/>
      <c r="R458" s="111" t="n"/>
      <c r="S458" s="111" t="n"/>
      <c r="T458" s="111" t="n"/>
      <c r="U458" s="111" t="n"/>
      <c r="V458" s="111" t="n"/>
      <c r="W458" s="113" t="n"/>
      <c r="X458" s="113" t="n"/>
      <c r="Y458" s="111" t="n"/>
      <c r="Z458" s="111" t="n"/>
      <c r="AA458" s="111" t="n"/>
      <c r="AB458" s="111" t="n"/>
      <c r="AC458" s="111" t="n"/>
      <c r="AD458" s="111" t="n"/>
      <c r="AE458" s="111" t="n"/>
      <c r="AF458" s="111" t="n"/>
      <c r="AG458" s="111" t="n"/>
      <c r="AH458" s="111" t="n"/>
      <c r="AI458" s="111" t="n"/>
      <c r="AJ458" s="114">
        <f>IF(COUNTA(B458,E458,H458,I458,J458,K458,L458,M458,N458,O458,P458,Q458,R458,S458,T458,U458,V458,W458,X458,Y458,Z458,AA458,AB458,AC458,AD458,AE458,AF458,AG458,AH458,AI458)=0,"",IF(OR(B458="",E458="",H458="",J458="",K458="",L458="",M458="",O458="",P458="",Q458="",R458="",S458="",T458="",U458="",W458="",X458="",Y458="",AB458="",AC458="",AE458="",AF458=""),"Incompleta: faltan campos obligatorios",IF(AND(LEFT(H458,6)="PROPIA",I458=""),"Falta el nombre de la acción propia del área",IF(AND(LEFT(H458,4)="AC27",IFERROR(INDEX('Catalogos_PDN'!$T$5:$T$207,MATCH(H458,'Catalogos_PDN'!$U$5:$U$207,0)),"x")&lt;&gt;LEFT(E458,7)),"La acción no corresponde a la meta seleccionada",IF(OR(NOT(ISNUMBER(M458)),M458&lt;10000000,M458&gt;99999999),"Código UNSPSC inválido: registre 8 dígitos",IF(MOD(M458,10000)=0,"UNSPSC a nivel de segmento o familia: use clase o producto",IF(IFERROR(MATCH(P458,PN_MESES,0)&lt;MATCH(O458,PN_MESES,0),TRUE()),"El mes de ofertas es anterior al de inicio del proceso",IF(OR(NOT(ISNUMBER(Q458)),Q458&lt;=0),"Duración inválida",IF(OR(NOT(ISNUMBER(W458)),NOT(ISNUMBER(X458))),"Valor inválido: registre solo números",IF(OR(W458&lt;=0,X458&lt;=0),"Valor inválido: debe ser mayor que cero",IF(X458&gt;W458,"El valor de la vigencia 2027 supera el valor total",IF(AND(X458&lt;W458,Y458="No"),"El valor total supera el de 2027: requiere vigencias futuras",IF(AND(Y458="Sí",OR(Z458="",Z458="No aplica")),"Indique el estado de la solicitud de vigencias futuras",IF(IF(AND(S458="Mínima cuantía",ISNUMBER(PN_TOPE_MINIMA)),W458&gt;PN_TOPE_MINIMA,FALSE()),"El valor supera el tope de mínima cuantía 2027",IF(IF(AND(S458="Selección abreviada de menor cuantía",ISNUMBER(PN_TOPE_MENOR)),W458&gt;PN_TOPE_MENOR,FALSE()),"El valor supera el tope de menor cuantía 2027",IF(OR(ISERROR(SEARCH("@itc.edu.co",AE458)),SUMPRODUCT(--ISNUMBER(SEARCH({"á","é","í","ó","ú","ñ"," "},AE458)))&gt;0),"El correo del responsable no es institucional válido",IF(AND(AF458="Sí",AG458=""),"Indique el N.° de registro 2026 que continúa","OK")))))))))))))))))</f>
        <v/>
      </c>
      <c r="AK458" s="114">
        <f>IF(AJ458="OK",COUNTIF($AJ$7:AJ458,"OK"),"")</f>
        <v/>
      </c>
    </row>
    <row r="459">
      <c r="A459" s="110">
        <f>"PN27-"&amp;TEXT(ROW()-6,"000")</f>
        <v/>
      </c>
      <c r="B459" s="111" t="n"/>
      <c r="C459" s="110">
        <f>IF(B459="","",IFERROR(INDEX('Catalogos_PDN'!$R$5:$R$51,MATCH(B459,PN_AREAS,0)),""))</f>
        <v/>
      </c>
      <c r="D459" s="110">
        <f>IF(B459="","",IFERROR(INDEX('Catalogos_PDN'!$O$5:$O$51,MATCH(B459,PN_AREAS,0)),""))</f>
        <v/>
      </c>
      <c r="E459" s="111" t="n"/>
      <c r="F459" s="110">
        <f>IF(E459="","",IFERROR(INDEX('Catalogos_PDN'!$C$5:$C$49,MATCH(E459,PN_METAS,0)),""))</f>
        <v/>
      </c>
      <c r="G459" s="110">
        <f>IF(E459="","",IFERROR(INDEX('Catalogos_PDN'!$E$5:$E$49,MATCH(E459,PN_METAS,0)),""))</f>
        <v/>
      </c>
      <c r="H459" s="111" t="n"/>
      <c r="I459" s="111" t="n"/>
      <c r="J459" s="111" t="n"/>
      <c r="K459" s="111" t="n"/>
      <c r="L459" s="111" t="n"/>
      <c r="M459" s="112" t="n"/>
      <c r="N459" s="111" t="n"/>
      <c r="O459" s="111" t="n"/>
      <c r="P459" s="111" t="n"/>
      <c r="Q459" s="111" t="n"/>
      <c r="R459" s="111" t="n"/>
      <c r="S459" s="111" t="n"/>
      <c r="T459" s="111" t="n"/>
      <c r="U459" s="111" t="n"/>
      <c r="V459" s="111" t="n"/>
      <c r="W459" s="113" t="n"/>
      <c r="X459" s="113" t="n"/>
      <c r="Y459" s="111" t="n"/>
      <c r="Z459" s="111" t="n"/>
      <c r="AA459" s="111" t="n"/>
      <c r="AB459" s="111" t="n"/>
      <c r="AC459" s="111" t="n"/>
      <c r="AD459" s="111" t="n"/>
      <c r="AE459" s="111" t="n"/>
      <c r="AF459" s="111" t="n"/>
      <c r="AG459" s="111" t="n"/>
      <c r="AH459" s="111" t="n"/>
      <c r="AI459" s="111" t="n"/>
      <c r="AJ459" s="114">
        <f>IF(COUNTA(B459,E459,H459,I459,J459,K459,L459,M459,N459,O459,P459,Q459,R459,S459,T459,U459,V459,W459,X459,Y459,Z459,AA459,AB459,AC459,AD459,AE459,AF459,AG459,AH459,AI459)=0,"",IF(OR(B459="",E459="",H459="",J459="",K459="",L459="",M459="",O459="",P459="",Q459="",R459="",S459="",T459="",U459="",W459="",X459="",Y459="",AB459="",AC459="",AE459="",AF459=""),"Incompleta: faltan campos obligatorios",IF(AND(LEFT(H459,6)="PROPIA",I459=""),"Falta el nombre de la acción propia del área",IF(AND(LEFT(H459,4)="AC27",IFERROR(INDEX('Catalogos_PDN'!$T$5:$T$207,MATCH(H459,'Catalogos_PDN'!$U$5:$U$207,0)),"x")&lt;&gt;LEFT(E459,7)),"La acción no corresponde a la meta seleccionada",IF(OR(NOT(ISNUMBER(M459)),M459&lt;10000000,M459&gt;99999999),"Código UNSPSC inválido: registre 8 dígitos",IF(MOD(M459,10000)=0,"UNSPSC a nivel de segmento o familia: use clase o producto",IF(IFERROR(MATCH(P459,PN_MESES,0)&lt;MATCH(O459,PN_MESES,0),TRUE()),"El mes de ofertas es anterior al de inicio del proceso",IF(OR(NOT(ISNUMBER(Q459)),Q459&lt;=0),"Duración inválida",IF(OR(NOT(ISNUMBER(W459)),NOT(ISNUMBER(X459))),"Valor inválido: registre solo números",IF(OR(W459&lt;=0,X459&lt;=0),"Valor inválido: debe ser mayor que cero",IF(X459&gt;W459,"El valor de la vigencia 2027 supera el valor total",IF(AND(X459&lt;W459,Y459="No"),"El valor total supera el de 2027: requiere vigencias futuras",IF(AND(Y459="Sí",OR(Z459="",Z459="No aplica")),"Indique el estado de la solicitud de vigencias futuras",IF(IF(AND(S459="Mínima cuantía",ISNUMBER(PN_TOPE_MINIMA)),W459&gt;PN_TOPE_MINIMA,FALSE()),"El valor supera el tope de mínima cuantía 2027",IF(IF(AND(S459="Selección abreviada de menor cuantía",ISNUMBER(PN_TOPE_MENOR)),W459&gt;PN_TOPE_MENOR,FALSE()),"El valor supera el tope de menor cuantía 2027",IF(OR(ISERROR(SEARCH("@itc.edu.co",AE459)),SUMPRODUCT(--ISNUMBER(SEARCH({"á","é","í","ó","ú","ñ"," "},AE459)))&gt;0),"El correo del responsable no es institucional válido",IF(AND(AF459="Sí",AG459=""),"Indique el N.° de registro 2026 que continúa","OK")))))))))))))))))</f>
        <v/>
      </c>
      <c r="AK459" s="114">
        <f>IF(AJ459="OK",COUNTIF($AJ$7:AJ459,"OK"),"")</f>
        <v/>
      </c>
    </row>
    <row r="460">
      <c r="A460" s="110">
        <f>"PN27-"&amp;TEXT(ROW()-6,"000")</f>
        <v/>
      </c>
      <c r="B460" s="111" t="n"/>
      <c r="C460" s="110">
        <f>IF(B460="","",IFERROR(INDEX('Catalogos_PDN'!$R$5:$R$51,MATCH(B460,PN_AREAS,0)),""))</f>
        <v/>
      </c>
      <c r="D460" s="110">
        <f>IF(B460="","",IFERROR(INDEX('Catalogos_PDN'!$O$5:$O$51,MATCH(B460,PN_AREAS,0)),""))</f>
        <v/>
      </c>
      <c r="E460" s="111" t="n"/>
      <c r="F460" s="110">
        <f>IF(E460="","",IFERROR(INDEX('Catalogos_PDN'!$C$5:$C$49,MATCH(E460,PN_METAS,0)),""))</f>
        <v/>
      </c>
      <c r="G460" s="110">
        <f>IF(E460="","",IFERROR(INDEX('Catalogos_PDN'!$E$5:$E$49,MATCH(E460,PN_METAS,0)),""))</f>
        <v/>
      </c>
      <c r="H460" s="111" t="n"/>
      <c r="I460" s="111" t="n"/>
      <c r="J460" s="111" t="n"/>
      <c r="K460" s="111" t="n"/>
      <c r="L460" s="111" t="n"/>
      <c r="M460" s="112" t="n"/>
      <c r="N460" s="111" t="n"/>
      <c r="O460" s="111" t="n"/>
      <c r="P460" s="111" t="n"/>
      <c r="Q460" s="111" t="n"/>
      <c r="R460" s="111" t="n"/>
      <c r="S460" s="111" t="n"/>
      <c r="T460" s="111" t="n"/>
      <c r="U460" s="111" t="n"/>
      <c r="V460" s="111" t="n"/>
      <c r="W460" s="113" t="n"/>
      <c r="X460" s="113" t="n"/>
      <c r="Y460" s="111" t="n"/>
      <c r="Z460" s="111" t="n"/>
      <c r="AA460" s="111" t="n"/>
      <c r="AB460" s="111" t="n"/>
      <c r="AC460" s="111" t="n"/>
      <c r="AD460" s="111" t="n"/>
      <c r="AE460" s="111" t="n"/>
      <c r="AF460" s="111" t="n"/>
      <c r="AG460" s="111" t="n"/>
      <c r="AH460" s="111" t="n"/>
      <c r="AI460" s="111" t="n"/>
      <c r="AJ460" s="114">
        <f>IF(COUNTA(B460,E460,H460,I460,J460,K460,L460,M460,N460,O460,P460,Q460,R460,S460,T460,U460,V460,W460,X460,Y460,Z460,AA460,AB460,AC460,AD460,AE460,AF460,AG460,AH460,AI460)=0,"",IF(OR(B460="",E460="",H460="",J460="",K460="",L460="",M460="",O460="",P460="",Q460="",R460="",S460="",T460="",U460="",W460="",X460="",Y460="",AB460="",AC460="",AE460="",AF460=""),"Incompleta: faltan campos obligatorios",IF(AND(LEFT(H460,6)="PROPIA",I460=""),"Falta el nombre de la acción propia del área",IF(AND(LEFT(H460,4)="AC27",IFERROR(INDEX('Catalogos_PDN'!$T$5:$T$207,MATCH(H460,'Catalogos_PDN'!$U$5:$U$207,0)),"x")&lt;&gt;LEFT(E460,7)),"La acción no corresponde a la meta seleccionada",IF(OR(NOT(ISNUMBER(M460)),M460&lt;10000000,M460&gt;99999999),"Código UNSPSC inválido: registre 8 dígitos",IF(MOD(M460,10000)=0,"UNSPSC a nivel de segmento o familia: use clase o producto",IF(IFERROR(MATCH(P460,PN_MESES,0)&lt;MATCH(O460,PN_MESES,0),TRUE()),"El mes de ofertas es anterior al de inicio del proceso",IF(OR(NOT(ISNUMBER(Q460)),Q460&lt;=0),"Duración inválida",IF(OR(NOT(ISNUMBER(W460)),NOT(ISNUMBER(X460))),"Valor inválido: registre solo números",IF(OR(W460&lt;=0,X460&lt;=0),"Valor inválido: debe ser mayor que cero",IF(X460&gt;W460,"El valor de la vigencia 2027 supera el valor total",IF(AND(X460&lt;W460,Y460="No"),"El valor total supera el de 2027: requiere vigencias futuras",IF(AND(Y460="Sí",OR(Z460="",Z460="No aplica")),"Indique el estado de la solicitud de vigencias futuras",IF(IF(AND(S460="Mínima cuantía",ISNUMBER(PN_TOPE_MINIMA)),W460&gt;PN_TOPE_MINIMA,FALSE()),"El valor supera el tope de mínima cuantía 2027",IF(IF(AND(S460="Selección abreviada de menor cuantía",ISNUMBER(PN_TOPE_MENOR)),W460&gt;PN_TOPE_MENOR,FALSE()),"El valor supera el tope de menor cuantía 2027",IF(OR(ISERROR(SEARCH("@itc.edu.co",AE460)),SUMPRODUCT(--ISNUMBER(SEARCH({"á","é","í","ó","ú","ñ"," "},AE460)))&gt;0),"El correo del responsable no es institucional válido",IF(AND(AF460="Sí",AG460=""),"Indique el N.° de registro 2026 que continúa","OK")))))))))))))))))</f>
        <v/>
      </c>
      <c r="AK460" s="114">
        <f>IF(AJ460="OK",COUNTIF($AJ$7:AJ460,"OK"),"")</f>
        <v/>
      </c>
    </row>
    <row r="461">
      <c r="A461" s="110">
        <f>"PN27-"&amp;TEXT(ROW()-6,"000")</f>
        <v/>
      </c>
      <c r="B461" s="111" t="n"/>
      <c r="C461" s="110">
        <f>IF(B461="","",IFERROR(INDEX('Catalogos_PDN'!$R$5:$R$51,MATCH(B461,PN_AREAS,0)),""))</f>
        <v/>
      </c>
      <c r="D461" s="110">
        <f>IF(B461="","",IFERROR(INDEX('Catalogos_PDN'!$O$5:$O$51,MATCH(B461,PN_AREAS,0)),""))</f>
        <v/>
      </c>
      <c r="E461" s="111" t="n"/>
      <c r="F461" s="110">
        <f>IF(E461="","",IFERROR(INDEX('Catalogos_PDN'!$C$5:$C$49,MATCH(E461,PN_METAS,0)),""))</f>
        <v/>
      </c>
      <c r="G461" s="110">
        <f>IF(E461="","",IFERROR(INDEX('Catalogos_PDN'!$E$5:$E$49,MATCH(E461,PN_METAS,0)),""))</f>
        <v/>
      </c>
      <c r="H461" s="111" t="n"/>
      <c r="I461" s="111" t="n"/>
      <c r="J461" s="111" t="n"/>
      <c r="K461" s="111" t="n"/>
      <c r="L461" s="111" t="n"/>
      <c r="M461" s="112" t="n"/>
      <c r="N461" s="111" t="n"/>
      <c r="O461" s="111" t="n"/>
      <c r="P461" s="111" t="n"/>
      <c r="Q461" s="111" t="n"/>
      <c r="R461" s="111" t="n"/>
      <c r="S461" s="111" t="n"/>
      <c r="T461" s="111" t="n"/>
      <c r="U461" s="111" t="n"/>
      <c r="V461" s="111" t="n"/>
      <c r="W461" s="113" t="n"/>
      <c r="X461" s="113" t="n"/>
      <c r="Y461" s="111" t="n"/>
      <c r="Z461" s="111" t="n"/>
      <c r="AA461" s="111" t="n"/>
      <c r="AB461" s="111" t="n"/>
      <c r="AC461" s="111" t="n"/>
      <c r="AD461" s="111" t="n"/>
      <c r="AE461" s="111" t="n"/>
      <c r="AF461" s="111" t="n"/>
      <c r="AG461" s="111" t="n"/>
      <c r="AH461" s="111" t="n"/>
      <c r="AI461" s="111" t="n"/>
      <c r="AJ461" s="114">
        <f>IF(COUNTA(B461,E461,H461,I461,J461,K461,L461,M461,N461,O461,P461,Q461,R461,S461,T461,U461,V461,W461,X461,Y461,Z461,AA461,AB461,AC461,AD461,AE461,AF461,AG461,AH461,AI461)=0,"",IF(OR(B461="",E461="",H461="",J461="",K461="",L461="",M461="",O461="",P461="",Q461="",R461="",S461="",T461="",U461="",W461="",X461="",Y461="",AB461="",AC461="",AE461="",AF461=""),"Incompleta: faltan campos obligatorios",IF(AND(LEFT(H461,6)="PROPIA",I461=""),"Falta el nombre de la acción propia del área",IF(AND(LEFT(H461,4)="AC27",IFERROR(INDEX('Catalogos_PDN'!$T$5:$T$207,MATCH(H461,'Catalogos_PDN'!$U$5:$U$207,0)),"x")&lt;&gt;LEFT(E461,7)),"La acción no corresponde a la meta seleccionada",IF(OR(NOT(ISNUMBER(M461)),M461&lt;10000000,M461&gt;99999999),"Código UNSPSC inválido: registre 8 dígitos",IF(MOD(M461,10000)=0,"UNSPSC a nivel de segmento o familia: use clase o producto",IF(IFERROR(MATCH(P461,PN_MESES,0)&lt;MATCH(O461,PN_MESES,0),TRUE()),"El mes de ofertas es anterior al de inicio del proceso",IF(OR(NOT(ISNUMBER(Q461)),Q461&lt;=0),"Duración inválida",IF(OR(NOT(ISNUMBER(W461)),NOT(ISNUMBER(X461))),"Valor inválido: registre solo números",IF(OR(W461&lt;=0,X461&lt;=0),"Valor inválido: debe ser mayor que cero",IF(X461&gt;W461,"El valor de la vigencia 2027 supera el valor total",IF(AND(X461&lt;W461,Y461="No"),"El valor total supera el de 2027: requiere vigencias futuras",IF(AND(Y461="Sí",OR(Z461="",Z461="No aplica")),"Indique el estado de la solicitud de vigencias futuras",IF(IF(AND(S461="Mínima cuantía",ISNUMBER(PN_TOPE_MINIMA)),W461&gt;PN_TOPE_MINIMA,FALSE()),"El valor supera el tope de mínima cuantía 2027",IF(IF(AND(S461="Selección abreviada de menor cuantía",ISNUMBER(PN_TOPE_MENOR)),W461&gt;PN_TOPE_MENOR,FALSE()),"El valor supera el tope de menor cuantía 2027",IF(OR(ISERROR(SEARCH("@itc.edu.co",AE461)),SUMPRODUCT(--ISNUMBER(SEARCH({"á","é","í","ó","ú","ñ"," "},AE461)))&gt;0),"El correo del responsable no es institucional válido",IF(AND(AF461="Sí",AG461=""),"Indique el N.° de registro 2026 que continúa","OK")))))))))))))))))</f>
        <v/>
      </c>
      <c r="AK461" s="114">
        <f>IF(AJ461="OK",COUNTIF($AJ$7:AJ461,"OK"),"")</f>
        <v/>
      </c>
    </row>
    <row r="462">
      <c r="A462" s="110">
        <f>"PN27-"&amp;TEXT(ROW()-6,"000")</f>
        <v/>
      </c>
      <c r="B462" s="111" t="n"/>
      <c r="C462" s="110">
        <f>IF(B462="","",IFERROR(INDEX('Catalogos_PDN'!$R$5:$R$51,MATCH(B462,PN_AREAS,0)),""))</f>
        <v/>
      </c>
      <c r="D462" s="110">
        <f>IF(B462="","",IFERROR(INDEX('Catalogos_PDN'!$O$5:$O$51,MATCH(B462,PN_AREAS,0)),""))</f>
        <v/>
      </c>
      <c r="E462" s="111" t="n"/>
      <c r="F462" s="110">
        <f>IF(E462="","",IFERROR(INDEX('Catalogos_PDN'!$C$5:$C$49,MATCH(E462,PN_METAS,0)),""))</f>
        <v/>
      </c>
      <c r="G462" s="110">
        <f>IF(E462="","",IFERROR(INDEX('Catalogos_PDN'!$E$5:$E$49,MATCH(E462,PN_METAS,0)),""))</f>
        <v/>
      </c>
      <c r="H462" s="111" t="n"/>
      <c r="I462" s="111" t="n"/>
      <c r="J462" s="111" t="n"/>
      <c r="K462" s="111" t="n"/>
      <c r="L462" s="111" t="n"/>
      <c r="M462" s="112" t="n"/>
      <c r="N462" s="111" t="n"/>
      <c r="O462" s="111" t="n"/>
      <c r="P462" s="111" t="n"/>
      <c r="Q462" s="111" t="n"/>
      <c r="R462" s="111" t="n"/>
      <c r="S462" s="111" t="n"/>
      <c r="T462" s="111" t="n"/>
      <c r="U462" s="111" t="n"/>
      <c r="V462" s="111" t="n"/>
      <c r="W462" s="113" t="n"/>
      <c r="X462" s="113" t="n"/>
      <c r="Y462" s="111" t="n"/>
      <c r="Z462" s="111" t="n"/>
      <c r="AA462" s="111" t="n"/>
      <c r="AB462" s="111" t="n"/>
      <c r="AC462" s="111" t="n"/>
      <c r="AD462" s="111" t="n"/>
      <c r="AE462" s="111" t="n"/>
      <c r="AF462" s="111" t="n"/>
      <c r="AG462" s="111" t="n"/>
      <c r="AH462" s="111" t="n"/>
      <c r="AI462" s="111" t="n"/>
      <c r="AJ462" s="114">
        <f>IF(COUNTA(B462,E462,H462,I462,J462,K462,L462,M462,N462,O462,P462,Q462,R462,S462,T462,U462,V462,W462,X462,Y462,Z462,AA462,AB462,AC462,AD462,AE462,AF462,AG462,AH462,AI462)=0,"",IF(OR(B462="",E462="",H462="",J462="",K462="",L462="",M462="",O462="",P462="",Q462="",R462="",S462="",T462="",U462="",W462="",X462="",Y462="",AB462="",AC462="",AE462="",AF462=""),"Incompleta: faltan campos obligatorios",IF(AND(LEFT(H462,6)="PROPIA",I462=""),"Falta el nombre de la acción propia del área",IF(AND(LEFT(H462,4)="AC27",IFERROR(INDEX('Catalogos_PDN'!$T$5:$T$207,MATCH(H462,'Catalogos_PDN'!$U$5:$U$207,0)),"x")&lt;&gt;LEFT(E462,7)),"La acción no corresponde a la meta seleccionada",IF(OR(NOT(ISNUMBER(M462)),M462&lt;10000000,M462&gt;99999999),"Código UNSPSC inválido: registre 8 dígitos",IF(MOD(M462,10000)=0,"UNSPSC a nivel de segmento o familia: use clase o producto",IF(IFERROR(MATCH(P462,PN_MESES,0)&lt;MATCH(O462,PN_MESES,0),TRUE()),"El mes de ofertas es anterior al de inicio del proceso",IF(OR(NOT(ISNUMBER(Q462)),Q462&lt;=0),"Duración inválida",IF(OR(NOT(ISNUMBER(W462)),NOT(ISNUMBER(X462))),"Valor inválido: registre solo números",IF(OR(W462&lt;=0,X462&lt;=0),"Valor inválido: debe ser mayor que cero",IF(X462&gt;W462,"El valor de la vigencia 2027 supera el valor total",IF(AND(X462&lt;W462,Y462="No"),"El valor total supera el de 2027: requiere vigencias futuras",IF(AND(Y462="Sí",OR(Z462="",Z462="No aplica")),"Indique el estado de la solicitud de vigencias futuras",IF(IF(AND(S462="Mínima cuantía",ISNUMBER(PN_TOPE_MINIMA)),W462&gt;PN_TOPE_MINIMA,FALSE()),"El valor supera el tope de mínima cuantía 2027",IF(IF(AND(S462="Selección abreviada de menor cuantía",ISNUMBER(PN_TOPE_MENOR)),W462&gt;PN_TOPE_MENOR,FALSE()),"El valor supera el tope de menor cuantía 2027",IF(OR(ISERROR(SEARCH("@itc.edu.co",AE462)),SUMPRODUCT(--ISNUMBER(SEARCH({"á","é","í","ó","ú","ñ"," "},AE462)))&gt;0),"El correo del responsable no es institucional válido",IF(AND(AF462="Sí",AG462=""),"Indique el N.° de registro 2026 que continúa","OK")))))))))))))))))</f>
        <v/>
      </c>
      <c r="AK462" s="114">
        <f>IF(AJ462="OK",COUNTIF($AJ$7:AJ462,"OK"),"")</f>
        <v/>
      </c>
    </row>
    <row r="463">
      <c r="A463" s="110">
        <f>"PN27-"&amp;TEXT(ROW()-6,"000")</f>
        <v/>
      </c>
      <c r="B463" s="111" t="n"/>
      <c r="C463" s="110">
        <f>IF(B463="","",IFERROR(INDEX('Catalogos_PDN'!$R$5:$R$51,MATCH(B463,PN_AREAS,0)),""))</f>
        <v/>
      </c>
      <c r="D463" s="110">
        <f>IF(B463="","",IFERROR(INDEX('Catalogos_PDN'!$O$5:$O$51,MATCH(B463,PN_AREAS,0)),""))</f>
        <v/>
      </c>
      <c r="E463" s="111" t="n"/>
      <c r="F463" s="110">
        <f>IF(E463="","",IFERROR(INDEX('Catalogos_PDN'!$C$5:$C$49,MATCH(E463,PN_METAS,0)),""))</f>
        <v/>
      </c>
      <c r="G463" s="110">
        <f>IF(E463="","",IFERROR(INDEX('Catalogos_PDN'!$E$5:$E$49,MATCH(E463,PN_METAS,0)),""))</f>
        <v/>
      </c>
      <c r="H463" s="111" t="n"/>
      <c r="I463" s="111" t="n"/>
      <c r="J463" s="111" t="n"/>
      <c r="K463" s="111" t="n"/>
      <c r="L463" s="111" t="n"/>
      <c r="M463" s="112" t="n"/>
      <c r="N463" s="111" t="n"/>
      <c r="O463" s="111" t="n"/>
      <c r="P463" s="111" t="n"/>
      <c r="Q463" s="111" t="n"/>
      <c r="R463" s="111" t="n"/>
      <c r="S463" s="111" t="n"/>
      <c r="T463" s="111" t="n"/>
      <c r="U463" s="111" t="n"/>
      <c r="V463" s="111" t="n"/>
      <c r="W463" s="113" t="n"/>
      <c r="X463" s="113" t="n"/>
      <c r="Y463" s="111" t="n"/>
      <c r="Z463" s="111" t="n"/>
      <c r="AA463" s="111" t="n"/>
      <c r="AB463" s="111" t="n"/>
      <c r="AC463" s="111" t="n"/>
      <c r="AD463" s="111" t="n"/>
      <c r="AE463" s="111" t="n"/>
      <c r="AF463" s="111" t="n"/>
      <c r="AG463" s="111" t="n"/>
      <c r="AH463" s="111" t="n"/>
      <c r="AI463" s="111" t="n"/>
      <c r="AJ463" s="114">
        <f>IF(COUNTA(B463,E463,H463,I463,J463,K463,L463,M463,N463,O463,P463,Q463,R463,S463,T463,U463,V463,W463,X463,Y463,Z463,AA463,AB463,AC463,AD463,AE463,AF463,AG463,AH463,AI463)=0,"",IF(OR(B463="",E463="",H463="",J463="",K463="",L463="",M463="",O463="",P463="",Q463="",R463="",S463="",T463="",U463="",W463="",X463="",Y463="",AB463="",AC463="",AE463="",AF463=""),"Incompleta: faltan campos obligatorios",IF(AND(LEFT(H463,6)="PROPIA",I463=""),"Falta el nombre de la acción propia del área",IF(AND(LEFT(H463,4)="AC27",IFERROR(INDEX('Catalogos_PDN'!$T$5:$T$207,MATCH(H463,'Catalogos_PDN'!$U$5:$U$207,0)),"x")&lt;&gt;LEFT(E463,7)),"La acción no corresponde a la meta seleccionada",IF(OR(NOT(ISNUMBER(M463)),M463&lt;10000000,M463&gt;99999999),"Código UNSPSC inválido: registre 8 dígitos",IF(MOD(M463,10000)=0,"UNSPSC a nivel de segmento o familia: use clase o producto",IF(IFERROR(MATCH(P463,PN_MESES,0)&lt;MATCH(O463,PN_MESES,0),TRUE()),"El mes de ofertas es anterior al de inicio del proceso",IF(OR(NOT(ISNUMBER(Q463)),Q463&lt;=0),"Duración inválida",IF(OR(NOT(ISNUMBER(W463)),NOT(ISNUMBER(X463))),"Valor inválido: registre solo números",IF(OR(W463&lt;=0,X463&lt;=0),"Valor inválido: debe ser mayor que cero",IF(X463&gt;W463,"El valor de la vigencia 2027 supera el valor total",IF(AND(X463&lt;W463,Y463="No"),"El valor total supera el de 2027: requiere vigencias futuras",IF(AND(Y463="Sí",OR(Z463="",Z463="No aplica")),"Indique el estado de la solicitud de vigencias futuras",IF(IF(AND(S463="Mínima cuantía",ISNUMBER(PN_TOPE_MINIMA)),W463&gt;PN_TOPE_MINIMA,FALSE()),"El valor supera el tope de mínima cuantía 2027",IF(IF(AND(S463="Selección abreviada de menor cuantía",ISNUMBER(PN_TOPE_MENOR)),W463&gt;PN_TOPE_MENOR,FALSE()),"El valor supera el tope de menor cuantía 2027",IF(OR(ISERROR(SEARCH("@itc.edu.co",AE463)),SUMPRODUCT(--ISNUMBER(SEARCH({"á","é","í","ó","ú","ñ"," "},AE463)))&gt;0),"El correo del responsable no es institucional válido",IF(AND(AF463="Sí",AG463=""),"Indique el N.° de registro 2026 que continúa","OK")))))))))))))))))</f>
        <v/>
      </c>
      <c r="AK463" s="114">
        <f>IF(AJ463="OK",COUNTIF($AJ$7:AJ463,"OK"),"")</f>
        <v/>
      </c>
    </row>
    <row r="464">
      <c r="A464" s="110">
        <f>"PN27-"&amp;TEXT(ROW()-6,"000")</f>
        <v/>
      </c>
      <c r="B464" s="111" t="n"/>
      <c r="C464" s="110">
        <f>IF(B464="","",IFERROR(INDEX('Catalogos_PDN'!$R$5:$R$51,MATCH(B464,PN_AREAS,0)),""))</f>
        <v/>
      </c>
      <c r="D464" s="110">
        <f>IF(B464="","",IFERROR(INDEX('Catalogos_PDN'!$O$5:$O$51,MATCH(B464,PN_AREAS,0)),""))</f>
        <v/>
      </c>
      <c r="E464" s="111" t="n"/>
      <c r="F464" s="110">
        <f>IF(E464="","",IFERROR(INDEX('Catalogos_PDN'!$C$5:$C$49,MATCH(E464,PN_METAS,0)),""))</f>
        <v/>
      </c>
      <c r="G464" s="110">
        <f>IF(E464="","",IFERROR(INDEX('Catalogos_PDN'!$E$5:$E$49,MATCH(E464,PN_METAS,0)),""))</f>
        <v/>
      </c>
      <c r="H464" s="111" t="n"/>
      <c r="I464" s="111" t="n"/>
      <c r="J464" s="111" t="n"/>
      <c r="K464" s="111" t="n"/>
      <c r="L464" s="111" t="n"/>
      <c r="M464" s="112" t="n"/>
      <c r="N464" s="111" t="n"/>
      <c r="O464" s="111" t="n"/>
      <c r="P464" s="111" t="n"/>
      <c r="Q464" s="111" t="n"/>
      <c r="R464" s="111" t="n"/>
      <c r="S464" s="111" t="n"/>
      <c r="T464" s="111" t="n"/>
      <c r="U464" s="111" t="n"/>
      <c r="V464" s="111" t="n"/>
      <c r="W464" s="113" t="n"/>
      <c r="X464" s="113" t="n"/>
      <c r="Y464" s="111" t="n"/>
      <c r="Z464" s="111" t="n"/>
      <c r="AA464" s="111" t="n"/>
      <c r="AB464" s="111" t="n"/>
      <c r="AC464" s="111" t="n"/>
      <c r="AD464" s="111" t="n"/>
      <c r="AE464" s="111" t="n"/>
      <c r="AF464" s="111" t="n"/>
      <c r="AG464" s="111" t="n"/>
      <c r="AH464" s="111" t="n"/>
      <c r="AI464" s="111" t="n"/>
      <c r="AJ464" s="114">
        <f>IF(COUNTA(B464,E464,H464,I464,J464,K464,L464,M464,N464,O464,P464,Q464,R464,S464,T464,U464,V464,W464,X464,Y464,Z464,AA464,AB464,AC464,AD464,AE464,AF464,AG464,AH464,AI464)=0,"",IF(OR(B464="",E464="",H464="",J464="",K464="",L464="",M464="",O464="",P464="",Q464="",R464="",S464="",T464="",U464="",W464="",X464="",Y464="",AB464="",AC464="",AE464="",AF464=""),"Incompleta: faltan campos obligatorios",IF(AND(LEFT(H464,6)="PROPIA",I464=""),"Falta el nombre de la acción propia del área",IF(AND(LEFT(H464,4)="AC27",IFERROR(INDEX('Catalogos_PDN'!$T$5:$T$207,MATCH(H464,'Catalogos_PDN'!$U$5:$U$207,0)),"x")&lt;&gt;LEFT(E464,7)),"La acción no corresponde a la meta seleccionada",IF(OR(NOT(ISNUMBER(M464)),M464&lt;10000000,M464&gt;99999999),"Código UNSPSC inválido: registre 8 dígitos",IF(MOD(M464,10000)=0,"UNSPSC a nivel de segmento o familia: use clase o producto",IF(IFERROR(MATCH(P464,PN_MESES,0)&lt;MATCH(O464,PN_MESES,0),TRUE()),"El mes de ofertas es anterior al de inicio del proceso",IF(OR(NOT(ISNUMBER(Q464)),Q464&lt;=0),"Duración inválida",IF(OR(NOT(ISNUMBER(W464)),NOT(ISNUMBER(X464))),"Valor inválido: registre solo números",IF(OR(W464&lt;=0,X464&lt;=0),"Valor inválido: debe ser mayor que cero",IF(X464&gt;W464,"El valor de la vigencia 2027 supera el valor total",IF(AND(X464&lt;W464,Y464="No"),"El valor total supera el de 2027: requiere vigencias futuras",IF(AND(Y464="Sí",OR(Z464="",Z464="No aplica")),"Indique el estado de la solicitud de vigencias futuras",IF(IF(AND(S464="Mínima cuantía",ISNUMBER(PN_TOPE_MINIMA)),W464&gt;PN_TOPE_MINIMA,FALSE()),"El valor supera el tope de mínima cuantía 2027",IF(IF(AND(S464="Selección abreviada de menor cuantía",ISNUMBER(PN_TOPE_MENOR)),W464&gt;PN_TOPE_MENOR,FALSE()),"El valor supera el tope de menor cuantía 2027",IF(OR(ISERROR(SEARCH("@itc.edu.co",AE464)),SUMPRODUCT(--ISNUMBER(SEARCH({"á","é","í","ó","ú","ñ"," "},AE464)))&gt;0),"El correo del responsable no es institucional válido",IF(AND(AF464="Sí",AG464=""),"Indique el N.° de registro 2026 que continúa","OK")))))))))))))))))</f>
        <v/>
      </c>
      <c r="AK464" s="114">
        <f>IF(AJ464="OK",COUNTIF($AJ$7:AJ464,"OK"),"")</f>
        <v/>
      </c>
    </row>
    <row r="465">
      <c r="A465" s="110">
        <f>"PN27-"&amp;TEXT(ROW()-6,"000")</f>
        <v/>
      </c>
      <c r="B465" s="111" t="n"/>
      <c r="C465" s="110">
        <f>IF(B465="","",IFERROR(INDEX('Catalogos_PDN'!$R$5:$R$51,MATCH(B465,PN_AREAS,0)),""))</f>
        <v/>
      </c>
      <c r="D465" s="110">
        <f>IF(B465="","",IFERROR(INDEX('Catalogos_PDN'!$O$5:$O$51,MATCH(B465,PN_AREAS,0)),""))</f>
        <v/>
      </c>
      <c r="E465" s="111" t="n"/>
      <c r="F465" s="110">
        <f>IF(E465="","",IFERROR(INDEX('Catalogos_PDN'!$C$5:$C$49,MATCH(E465,PN_METAS,0)),""))</f>
        <v/>
      </c>
      <c r="G465" s="110">
        <f>IF(E465="","",IFERROR(INDEX('Catalogos_PDN'!$E$5:$E$49,MATCH(E465,PN_METAS,0)),""))</f>
        <v/>
      </c>
      <c r="H465" s="111" t="n"/>
      <c r="I465" s="111" t="n"/>
      <c r="J465" s="111" t="n"/>
      <c r="K465" s="111" t="n"/>
      <c r="L465" s="111" t="n"/>
      <c r="M465" s="112" t="n"/>
      <c r="N465" s="111" t="n"/>
      <c r="O465" s="111" t="n"/>
      <c r="P465" s="111" t="n"/>
      <c r="Q465" s="111" t="n"/>
      <c r="R465" s="111" t="n"/>
      <c r="S465" s="111" t="n"/>
      <c r="T465" s="111" t="n"/>
      <c r="U465" s="111" t="n"/>
      <c r="V465" s="111" t="n"/>
      <c r="W465" s="113" t="n"/>
      <c r="X465" s="113" t="n"/>
      <c r="Y465" s="111" t="n"/>
      <c r="Z465" s="111" t="n"/>
      <c r="AA465" s="111" t="n"/>
      <c r="AB465" s="111" t="n"/>
      <c r="AC465" s="111" t="n"/>
      <c r="AD465" s="111" t="n"/>
      <c r="AE465" s="111" t="n"/>
      <c r="AF465" s="111" t="n"/>
      <c r="AG465" s="111" t="n"/>
      <c r="AH465" s="111" t="n"/>
      <c r="AI465" s="111" t="n"/>
      <c r="AJ465" s="114">
        <f>IF(COUNTA(B465,E465,H465,I465,J465,K465,L465,M465,N465,O465,P465,Q465,R465,S465,T465,U465,V465,W465,X465,Y465,Z465,AA465,AB465,AC465,AD465,AE465,AF465,AG465,AH465,AI465)=0,"",IF(OR(B465="",E465="",H465="",J465="",K465="",L465="",M465="",O465="",P465="",Q465="",R465="",S465="",T465="",U465="",W465="",X465="",Y465="",AB465="",AC465="",AE465="",AF465=""),"Incompleta: faltan campos obligatorios",IF(AND(LEFT(H465,6)="PROPIA",I465=""),"Falta el nombre de la acción propia del área",IF(AND(LEFT(H465,4)="AC27",IFERROR(INDEX('Catalogos_PDN'!$T$5:$T$207,MATCH(H465,'Catalogos_PDN'!$U$5:$U$207,0)),"x")&lt;&gt;LEFT(E465,7)),"La acción no corresponde a la meta seleccionada",IF(OR(NOT(ISNUMBER(M465)),M465&lt;10000000,M465&gt;99999999),"Código UNSPSC inválido: registre 8 dígitos",IF(MOD(M465,10000)=0,"UNSPSC a nivel de segmento o familia: use clase o producto",IF(IFERROR(MATCH(P465,PN_MESES,0)&lt;MATCH(O465,PN_MESES,0),TRUE()),"El mes de ofertas es anterior al de inicio del proceso",IF(OR(NOT(ISNUMBER(Q465)),Q465&lt;=0),"Duración inválida",IF(OR(NOT(ISNUMBER(W465)),NOT(ISNUMBER(X465))),"Valor inválido: registre solo números",IF(OR(W465&lt;=0,X465&lt;=0),"Valor inválido: debe ser mayor que cero",IF(X465&gt;W465,"El valor de la vigencia 2027 supera el valor total",IF(AND(X465&lt;W465,Y465="No"),"El valor total supera el de 2027: requiere vigencias futuras",IF(AND(Y465="Sí",OR(Z465="",Z465="No aplica")),"Indique el estado de la solicitud de vigencias futuras",IF(IF(AND(S465="Mínima cuantía",ISNUMBER(PN_TOPE_MINIMA)),W465&gt;PN_TOPE_MINIMA,FALSE()),"El valor supera el tope de mínima cuantía 2027",IF(IF(AND(S465="Selección abreviada de menor cuantía",ISNUMBER(PN_TOPE_MENOR)),W465&gt;PN_TOPE_MENOR,FALSE()),"El valor supera el tope de menor cuantía 2027",IF(OR(ISERROR(SEARCH("@itc.edu.co",AE465)),SUMPRODUCT(--ISNUMBER(SEARCH({"á","é","í","ó","ú","ñ"," "},AE465)))&gt;0),"El correo del responsable no es institucional válido",IF(AND(AF465="Sí",AG465=""),"Indique el N.° de registro 2026 que continúa","OK")))))))))))))))))</f>
        <v/>
      </c>
      <c r="AK465" s="114">
        <f>IF(AJ465="OK",COUNTIF($AJ$7:AJ465,"OK"),"")</f>
        <v/>
      </c>
    </row>
    <row r="466">
      <c r="A466" s="110">
        <f>"PN27-"&amp;TEXT(ROW()-6,"000")</f>
        <v/>
      </c>
      <c r="B466" s="111" t="n"/>
      <c r="C466" s="110">
        <f>IF(B466="","",IFERROR(INDEX('Catalogos_PDN'!$R$5:$R$51,MATCH(B466,PN_AREAS,0)),""))</f>
        <v/>
      </c>
      <c r="D466" s="110">
        <f>IF(B466="","",IFERROR(INDEX('Catalogos_PDN'!$O$5:$O$51,MATCH(B466,PN_AREAS,0)),""))</f>
        <v/>
      </c>
      <c r="E466" s="111" t="n"/>
      <c r="F466" s="110">
        <f>IF(E466="","",IFERROR(INDEX('Catalogos_PDN'!$C$5:$C$49,MATCH(E466,PN_METAS,0)),""))</f>
        <v/>
      </c>
      <c r="G466" s="110">
        <f>IF(E466="","",IFERROR(INDEX('Catalogos_PDN'!$E$5:$E$49,MATCH(E466,PN_METAS,0)),""))</f>
        <v/>
      </c>
      <c r="H466" s="111" t="n"/>
      <c r="I466" s="111" t="n"/>
      <c r="J466" s="111" t="n"/>
      <c r="K466" s="111" t="n"/>
      <c r="L466" s="111" t="n"/>
      <c r="M466" s="112" t="n"/>
      <c r="N466" s="111" t="n"/>
      <c r="O466" s="111" t="n"/>
      <c r="P466" s="111" t="n"/>
      <c r="Q466" s="111" t="n"/>
      <c r="R466" s="111" t="n"/>
      <c r="S466" s="111" t="n"/>
      <c r="T466" s="111" t="n"/>
      <c r="U466" s="111" t="n"/>
      <c r="V466" s="111" t="n"/>
      <c r="W466" s="113" t="n"/>
      <c r="X466" s="113" t="n"/>
      <c r="Y466" s="111" t="n"/>
      <c r="Z466" s="111" t="n"/>
      <c r="AA466" s="111" t="n"/>
      <c r="AB466" s="111" t="n"/>
      <c r="AC466" s="111" t="n"/>
      <c r="AD466" s="111" t="n"/>
      <c r="AE466" s="111" t="n"/>
      <c r="AF466" s="111" t="n"/>
      <c r="AG466" s="111" t="n"/>
      <c r="AH466" s="111" t="n"/>
      <c r="AI466" s="111" t="n"/>
      <c r="AJ466" s="114">
        <f>IF(COUNTA(B466,E466,H466,I466,J466,K466,L466,M466,N466,O466,P466,Q466,R466,S466,T466,U466,V466,W466,X466,Y466,Z466,AA466,AB466,AC466,AD466,AE466,AF466,AG466,AH466,AI466)=0,"",IF(OR(B466="",E466="",H466="",J466="",K466="",L466="",M466="",O466="",P466="",Q466="",R466="",S466="",T466="",U466="",W466="",X466="",Y466="",AB466="",AC466="",AE466="",AF466=""),"Incompleta: faltan campos obligatorios",IF(AND(LEFT(H466,6)="PROPIA",I466=""),"Falta el nombre de la acción propia del área",IF(AND(LEFT(H466,4)="AC27",IFERROR(INDEX('Catalogos_PDN'!$T$5:$T$207,MATCH(H466,'Catalogos_PDN'!$U$5:$U$207,0)),"x")&lt;&gt;LEFT(E466,7)),"La acción no corresponde a la meta seleccionada",IF(OR(NOT(ISNUMBER(M466)),M466&lt;10000000,M466&gt;99999999),"Código UNSPSC inválido: registre 8 dígitos",IF(MOD(M466,10000)=0,"UNSPSC a nivel de segmento o familia: use clase o producto",IF(IFERROR(MATCH(P466,PN_MESES,0)&lt;MATCH(O466,PN_MESES,0),TRUE()),"El mes de ofertas es anterior al de inicio del proceso",IF(OR(NOT(ISNUMBER(Q466)),Q466&lt;=0),"Duración inválida",IF(OR(NOT(ISNUMBER(W466)),NOT(ISNUMBER(X466))),"Valor inválido: registre solo números",IF(OR(W466&lt;=0,X466&lt;=0),"Valor inválido: debe ser mayor que cero",IF(X466&gt;W466,"El valor de la vigencia 2027 supera el valor total",IF(AND(X466&lt;W466,Y466="No"),"El valor total supera el de 2027: requiere vigencias futuras",IF(AND(Y466="Sí",OR(Z466="",Z466="No aplica")),"Indique el estado de la solicitud de vigencias futuras",IF(IF(AND(S466="Mínima cuantía",ISNUMBER(PN_TOPE_MINIMA)),W466&gt;PN_TOPE_MINIMA,FALSE()),"El valor supera el tope de mínima cuantía 2027",IF(IF(AND(S466="Selección abreviada de menor cuantía",ISNUMBER(PN_TOPE_MENOR)),W466&gt;PN_TOPE_MENOR,FALSE()),"El valor supera el tope de menor cuantía 2027",IF(OR(ISERROR(SEARCH("@itc.edu.co",AE466)),SUMPRODUCT(--ISNUMBER(SEARCH({"á","é","í","ó","ú","ñ"," "},AE466)))&gt;0),"El correo del responsable no es institucional válido",IF(AND(AF466="Sí",AG466=""),"Indique el N.° de registro 2026 que continúa","OK")))))))))))))))))</f>
        <v/>
      </c>
      <c r="AK466" s="114">
        <f>IF(AJ466="OK",COUNTIF($AJ$7:AJ466,"OK"),"")</f>
        <v/>
      </c>
    </row>
    <row r="467">
      <c r="A467" s="110">
        <f>"PN27-"&amp;TEXT(ROW()-6,"000")</f>
        <v/>
      </c>
      <c r="B467" s="111" t="n"/>
      <c r="C467" s="110">
        <f>IF(B467="","",IFERROR(INDEX('Catalogos_PDN'!$R$5:$R$51,MATCH(B467,PN_AREAS,0)),""))</f>
        <v/>
      </c>
      <c r="D467" s="110">
        <f>IF(B467="","",IFERROR(INDEX('Catalogos_PDN'!$O$5:$O$51,MATCH(B467,PN_AREAS,0)),""))</f>
        <v/>
      </c>
      <c r="E467" s="111" t="n"/>
      <c r="F467" s="110">
        <f>IF(E467="","",IFERROR(INDEX('Catalogos_PDN'!$C$5:$C$49,MATCH(E467,PN_METAS,0)),""))</f>
        <v/>
      </c>
      <c r="G467" s="110">
        <f>IF(E467="","",IFERROR(INDEX('Catalogos_PDN'!$E$5:$E$49,MATCH(E467,PN_METAS,0)),""))</f>
        <v/>
      </c>
      <c r="H467" s="111" t="n"/>
      <c r="I467" s="111" t="n"/>
      <c r="J467" s="111" t="n"/>
      <c r="K467" s="111" t="n"/>
      <c r="L467" s="111" t="n"/>
      <c r="M467" s="112" t="n"/>
      <c r="N467" s="111" t="n"/>
      <c r="O467" s="111" t="n"/>
      <c r="P467" s="111" t="n"/>
      <c r="Q467" s="111" t="n"/>
      <c r="R467" s="111" t="n"/>
      <c r="S467" s="111" t="n"/>
      <c r="T467" s="111" t="n"/>
      <c r="U467" s="111" t="n"/>
      <c r="V467" s="111" t="n"/>
      <c r="W467" s="113" t="n"/>
      <c r="X467" s="113" t="n"/>
      <c r="Y467" s="111" t="n"/>
      <c r="Z467" s="111" t="n"/>
      <c r="AA467" s="111" t="n"/>
      <c r="AB467" s="111" t="n"/>
      <c r="AC467" s="111" t="n"/>
      <c r="AD467" s="111" t="n"/>
      <c r="AE467" s="111" t="n"/>
      <c r="AF467" s="111" t="n"/>
      <c r="AG467" s="111" t="n"/>
      <c r="AH467" s="111" t="n"/>
      <c r="AI467" s="111" t="n"/>
      <c r="AJ467" s="114">
        <f>IF(COUNTA(B467,E467,H467,I467,J467,K467,L467,M467,N467,O467,P467,Q467,R467,S467,T467,U467,V467,W467,X467,Y467,Z467,AA467,AB467,AC467,AD467,AE467,AF467,AG467,AH467,AI467)=0,"",IF(OR(B467="",E467="",H467="",J467="",K467="",L467="",M467="",O467="",P467="",Q467="",R467="",S467="",T467="",U467="",W467="",X467="",Y467="",AB467="",AC467="",AE467="",AF467=""),"Incompleta: faltan campos obligatorios",IF(AND(LEFT(H467,6)="PROPIA",I467=""),"Falta el nombre de la acción propia del área",IF(AND(LEFT(H467,4)="AC27",IFERROR(INDEX('Catalogos_PDN'!$T$5:$T$207,MATCH(H467,'Catalogos_PDN'!$U$5:$U$207,0)),"x")&lt;&gt;LEFT(E467,7)),"La acción no corresponde a la meta seleccionada",IF(OR(NOT(ISNUMBER(M467)),M467&lt;10000000,M467&gt;99999999),"Código UNSPSC inválido: registre 8 dígitos",IF(MOD(M467,10000)=0,"UNSPSC a nivel de segmento o familia: use clase o producto",IF(IFERROR(MATCH(P467,PN_MESES,0)&lt;MATCH(O467,PN_MESES,0),TRUE()),"El mes de ofertas es anterior al de inicio del proceso",IF(OR(NOT(ISNUMBER(Q467)),Q467&lt;=0),"Duración inválida",IF(OR(NOT(ISNUMBER(W467)),NOT(ISNUMBER(X467))),"Valor inválido: registre solo números",IF(OR(W467&lt;=0,X467&lt;=0),"Valor inválido: debe ser mayor que cero",IF(X467&gt;W467,"El valor de la vigencia 2027 supera el valor total",IF(AND(X467&lt;W467,Y467="No"),"El valor total supera el de 2027: requiere vigencias futuras",IF(AND(Y467="Sí",OR(Z467="",Z467="No aplica")),"Indique el estado de la solicitud de vigencias futuras",IF(IF(AND(S467="Mínima cuantía",ISNUMBER(PN_TOPE_MINIMA)),W467&gt;PN_TOPE_MINIMA,FALSE()),"El valor supera el tope de mínima cuantía 2027",IF(IF(AND(S467="Selección abreviada de menor cuantía",ISNUMBER(PN_TOPE_MENOR)),W467&gt;PN_TOPE_MENOR,FALSE()),"El valor supera el tope de menor cuantía 2027",IF(OR(ISERROR(SEARCH("@itc.edu.co",AE467)),SUMPRODUCT(--ISNUMBER(SEARCH({"á","é","í","ó","ú","ñ"," "},AE467)))&gt;0),"El correo del responsable no es institucional válido",IF(AND(AF467="Sí",AG467=""),"Indique el N.° de registro 2026 que continúa","OK")))))))))))))))))</f>
        <v/>
      </c>
      <c r="AK467" s="114">
        <f>IF(AJ467="OK",COUNTIF($AJ$7:AJ467,"OK"),"")</f>
        <v/>
      </c>
    </row>
    <row r="468">
      <c r="A468" s="110">
        <f>"PN27-"&amp;TEXT(ROW()-6,"000")</f>
        <v/>
      </c>
      <c r="B468" s="111" t="n"/>
      <c r="C468" s="110">
        <f>IF(B468="","",IFERROR(INDEX('Catalogos_PDN'!$R$5:$R$51,MATCH(B468,PN_AREAS,0)),""))</f>
        <v/>
      </c>
      <c r="D468" s="110">
        <f>IF(B468="","",IFERROR(INDEX('Catalogos_PDN'!$O$5:$O$51,MATCH(B468,PN_AREAS,0)),""))</f>
        <v/>
      </c>
      <c r="E468" s="111" t="n"/>
      <c r="F468" s="110">
        <f>IF(E468="","",IFERROR(INDEX('Catalogos_PDN'!$C$5:$C$49,MATCH(E468,PN_METAS,0)),""))</f>
        <v/>
      </c>
      <c r="G468" s="110">
        <f>IF(E468="","",IFERROR(INDEX('Catalogos_PDN'!$E$5:$E$49,MATCH(E468,PN_METAS,0)),""))</f>
        <v/>
      </c>
      <c r="H468" s="111" t="n"/>
      <c r="I468" s="111" t="n"/>
      <c r="J468" s="111" t="n"/>
      <c r="K468" s="111" t="n"/>
      <c r="L468" s="111" t="n"/>
      <c r="M468" s="112" t="n"/>
      <c r="N468" s="111" t="n"/>
      <c r="O468" s="111" t="n"/>
      <c r="P468" s="111" t="n"/>
      <c r="Q468" s="111" t="n"/>
      <c r="R468" s="111" t="n"/>
      <c r="S468" s="111" t="n"/>
      <c r="T468" s="111" t="n"/>
      <c r="U468" s="111" t="n"/>
      <c r="V468" s="111" t="n"/>
      <c r="W468" s="113" t="n"/>
      <c r="X468" s="113" t="n"/>
      <c r="Y468" s="111" t="n"/>
      <c r="Z468" s="111" t="n"/>
      <c r="AA468" s="111" t="n"/>
      <c r="AB468" s="111" t="n"/>
      <c r="AC468" s="111" t="n"/>
      <c r="AD468" s="111" t="n"/>
      <c r="AE468" s="111" t="n"/>
      <c r="AF468" s="111" t="n"/>
      <c r="AG468" s="111" t="n"/>
      <c r="AH468" s="111" t="n"/>
      <c r="AI468" s="111" t="n"/>
      <c r="AJ468" s="114">
        <f>IF(COUNTA(B468,E468,H468,I468,J468,K468,L468,M468,N468,O468,P468,Q468,R468,S468,T468,U468,V468,W468,X468,Y468,Z468,AA468,AB468,AC468,AD468,AE468,AF468,AG468,AH468,AI468)=0,"",IF(OR(B468="",E468="",H468="",J468="",K468="",L468="",M468="",O468="",P468="",Q468="",R468="",S468="",T468="",U468="",W468="",X468="",Y468="",AB468="",AC468="",AE468="",AF468=""),"Incompleta: faltan campos obligatorios",IF(AND(LEFT(H468,6)="PROPIA",I468=""),"Falta el nombre de la acción propia del área",IF(AND(LEFT(H468,4)="AC27",IFERROR(INDEX('Catalogos_PDN'!$T$5:$T$207,MATCH(H468,'Catalogos_PDN'!$U$5:$U$207,0)),"x")&lt;&gt;LEFT(E468,7)),"La acción no corresponde a la meta seleccionada",IF(OR(NOT(ISNUMBER(M468)),M468&lt;10000000,M468&gt;99999999),"Código UNSPSC inválido: registre 8 dígitos",IF(MOD(M468,10000)=0,"UNSPSC a nivel de segmento o familia: use clase o producto",IF(IFERROR(MATCH(P468,PN_MESES,0)&lt;MATCH(O468,PN_MESES,0),TRUE()),"El mes de ofertas es anterior al de inicio del proceso",IF(OR(NOT(ISNUMBER(Q468)),Q468&lt;=0),"Duración inválida",IF(OR(NOT(ISNUMBER(W468)),NOT(ISNUMBER(X468))),"Valor inválido: registre solo números",IF(OR(W468&lt;=0,X468&lt;=0),"Valor inválido: debe ser mayor que cero",IF(X468&gt;W468,"El valor de la vigencia 2027 supera el valor total",IF(AND(X468&lt;W468,Y468="No"),"El valor total supera el de 2027: requiere vigencias futuras",IF(AND(Y468="Sí",OR(Z468="",Z468="No aplica")),"Indique el estado de la solicitud de vigencias futuras",IF(IF(AND(S468="Mínima cuantía",ISNUMBER(PN_TOPE_MINIMA)),W468&gt;PN_TOPE_MINIMA,FALSE()),"El valor supera el tope de mínima cuantía 2027",IF(IF(AND(S468="Selección abreviada de menor cuantía",ISNUMBER(PN_TOPE_MENOR)),W468&gt;PN_TOPE_MENOR,FALSE()),"El valor supera el tope de menor cuantía 2027",IF(OR(ISERROR(SEARCH("@itc.edu.co",AE468)),SUMPRODUCT(--ISNUMBER(SEARCH({"á","é","í","ó","ú","ñ"," "},AE468)))&gt;0),"El correo del responsable no es institucional válido",IF(AND(AF468="Sí",AG468=""),"Indique el N.° de registro 2026 que continúa","OK")))))))))))))))))</f>
        <v/>
      </c>
      <c r="AK468" s="114">
        <f>IF(AJ468="OK",COUNTIF($AJ$7:AJ468,"OK"),"")</f>
        <v/>
      </c>
    </row>
    <row r="469">
      <c r="A469" s="110">
        <f>"PN27-"&amp;TEXT(ROW()-6,"000")</f>
        <v/>
      </c>
      <c r="B469" s="111" t="n"/>
      <c r="C469" s="110">
        <f>IF(B469="","",IFERROR(INDEX('Catalogos_PDN'!$R$5:$R$51,MATCH(B469,PN_AREAS,0)),""))</f>
        <v/>
      </c>
      <c r="D469" s="110">
        <f>IF(B469="","",IFERROR(INDEX('Catalogos_PDN'!$O$5:$O$51,MATCH(B469,PN_AREAS,0)),""))</f>
        <v/>
      </c>
      <c r="E469" s="111" t="n"/>
      <c r="F469" s="110">
        <f>IF(E469="","",IFERROR(INDEX('Catalogos_PDN'!$C$5:$C$49,MATCH(E469,PN_METAS,0)),""))</f>
        <v/>
      </c>
      <c r="G469" s="110">
        <f>IF(E469="","",IFERROR(INDEX('Catalogos_PDN'!$E$5:$E$49,MATCH(E469,PN_METAS,0)),""))</f>
        <v/>
      </c>
      <c r="H469" s="111" t="n"/>
      <c r="I469" s="111" t="n"/>
      <c r="J469" s="111" t="n"/>
      <c r="K469" s="111" t="n"/>
      <c r="L469" s="111" t="n"/>
      <c r="M469" s="112" t="n"/>
      <c r="N469" s="111" t="n"/>
      <c r="O469" s="111" t="n"/>
      <c r="P469" s="111" t="n"/>
      <c r="Q469" s="111" t="n"/>
      <c r="R469" s="111" t="n"/>
      <c r="S469" s="111" t="n"/>
      <c r="T469" s="111" t="n"/>
      <c r="U469" s="111" t="n"/>
      <c r="V469" s="111" t="n"/>
      <c r="W469" s="113" t="n"/>
      <c r="X469" s="113" t="n"/>
      <c r="Y469" s="111" t="n"/>
      <c r="Z469" s="111" t="n"/>
      <c r="AA469" s="111" t="n"/>
      <c r="AB469" s="111" t="n"/>
      <c r="AC469" s="111" t="n"/>
      <c r="AD469" s="111" t="n"/>
      <c r="AE469" s="111" t="n"/>
      <c r="AF469" s="111" t="n"/>
      <c r="AG469" s="111" t="n"/>
      <c r="AH469" s="111" t="n"/>
      <c r="AI469" s="111" t="n"/>
      <c r="AJ469" s="114">
        <f>IF(COUNTA(B469,E469,H469,I469,J469,K469,L469,M469,N469,O469,P469,Q469,R469,S469,T469,U469,V469,W469,X469,Y469,Z469,AA469,AB469,AC469,AD469,AE469,AF469,AG469,AH469,AI469)=0,"",IF(OR(B469="",E469="",H469="",J469="",K469="",L469="",M469="",O469="",P469="",Q469="",R469="",S469="",T469="",U469="",W469="",X469="",Y469="",AB469="",AC469="",AE469="",AF469=""),"Incompleta: faltan campos obligatorios",IF(AND(LEFT(H469,6)="PROPIA",I469=""),"Falta el nombre de la acción propia del área",IF(AND(LEFT(H469,4)="AC27",IFERROR(INDEX('Catalogos_PDN'!$T$5:$T$207,MATCH(H469,'Catalogos_PDN'!$U$5:$U$207,0)),"x")&lt;&gt;LEFT(E469,7)),"La acción no corresponde a la meta seleccionada",IF(OR(NOT(ISNUMBER(M469)),M469&lt;10000000,M469&gt;99999999),"Código UNSPSC inválido: registre 8 dígitos",IF(MOD(M469,10000)=0,"UNSPSC a nivel de segmento o familia: use clase o producto",IF(IFERROR(MATCH(P469,PN_MESES,0)&lt;MATCH(O469,PN_MESES,0),TRUE()),"El mes de ofertas es anterior al de inicio del proceso",IF(OR(NOT(ISNUMBER(Q469)),Q469&lt;=0),"Duración inválida",IF(OR(NOT(ISNUMBER(W469)),NOT(ISNUMBER(X469))),"Valor inválido: registre solo números",IF(OR(W469&lt;=0,X469&lt;=0),"Valor inválido: debe ser mayor que cero",IF(X469&gt;W469,"El valor de la vigencia 2027 supera el valor total",IF(AND(X469&lt;W469,Y469="No"),"El valor total supera el de 2027: requiere vigencias futuras",IF(AND(Y469="Sí",OR(Z469="",Z469="No aplica")),"Indique el estado de la solicitud de vigencias futuras",IF(IF(AND(S469="Mínima cuantía",ISNUMBER(PN_TOPE_MINIMA)),W469&gt;PN_TOPE_MINIMA,FALSE()),"El valor supera el tope de mínima cuantía 2027",IF(IF(AND(S469="Selección abreviada de menor cuantía",ISNUMBER(PN_TOPE_MENOR)),W469&gt;PN_TOPE_MENOR,FALSE()),"El valor supera el tope de menor cuantía 2027",IF(OR(ISERROR(SEARCH("@itc.edu.co",AE469)),SUMPRODUCT(--ISNUMBER(SEARCH({"á","é","í","ó","ú","ñ"," "},AE469)))&gt;0),"El correo del responsable no es institucional válido",IF(AND(AF469="Sí",AG469=""),"Indique el N.° de registro 2026 que continúa","OK")))))))))))))))))</f>
        <v/>
      </c>
      <c r="AK469" s="114">
        <f>IF(AJ469="OK",COUNTIF($AJ$7:AJ469,"OK"),"")</f>
        <v/>
      </c>
    </row>
    <row r="470">
      <c r="A470" s="110">
        <f>"PN27-"&amp;TEXT(ROW()-6,"000")</f>
        <v/>
      </c>
      <c r="B470" s="111" t="n"/>
      <c r="C470" s="110">
        <f>IF(B470="","",IFERROR(INDEX('Catalogos_PDN'!$R$5:$R$51,MATCH(B470,PN_AREAS,0)),""))</f>
        <v/>
      </c>
      <c r="D470" s="110">
        <f>IF(B470="","",IFERROR(INDEX('Catalogos_PDN'!$O$5:$O$51,MATCH(B470,PN_AREAS,0)),""))</f>
        <v/>
      </c>
      <c r="E470" s="111" t="n"/>
      <c r="F470" s="110">
        <f>IF(E470="","",IFERROR(INDEX('Catalogos_PDN'!$C$5:$C$49,MATCH(E470,PN_METAS,0)),""))</f>
        <v/>
      </c>
      <c r="G470" s="110">
        <f>IF(E470="","",IFERROR(INDEX('Catalogos_PDN'!$E$5:$E$49,MATCH(E470,PN_METAS,0)),""))</f>
        <v/>
      </c>
      <c r="H470" s="111" t="n"/>
      <c r="I470" s="111" t="n"/>
      <c r="J470" s="111" t="n"/>
      <c r="K470" s="111" t="n"/>
      <c r="L470" s="111" t="n"/>
      <c r="M470" s="112" t="n"/>
      <c r="N470" s="111" t="n"/>
      <c r="O470" s="111" t="n"/>
      <c r="P470" s="111" t="n"/>
      <c r="Q470" s="111" t="n"/>
      <c r="R470" s="111" t="n"/>
      <c r="S470" s="111" t="n"/>
      <c r="T470" s="111" t="n"/>
      <c r="U470" s="111" t="n"/>
      <c r="V470" s="111" t="n"/>
      <c r="W470" s="113" t="n"/>
      <c r="X470" s="113" t="n"/>
      <c r="Y470" s="111" t="n"/>
      <c r="Z470" s="111" t="n"/>
      <c r="AA470" s="111" t="n"/>
      <c r="AB470" s="111" t="n"/>
      <c r="AC470" s="111" t="n"/>
      <c r="AD470" s="111" t="n"/>
      <c r="AE470" s="111" t="n"/>
      <c r="AF470" s="111" t="n"/>
      <c r="AG470" s="111" t="n"/>
      <c r="AH470" s="111" t="n"/>
      <c r="AI470" s="111" t="n"/>
      <c r="AJ470" s="114">
        <f>IF(COUNTA(B470,E470,H470,I470,J470,K470,L470,M470,N470,O470,P470,Q470,R470,S470,T470,U470,V470,W470,X470,Y470,Z470,AA470,AB470,AC470,AD470,AE470,AF470,AG470,AH470,AI470)=0,"",IF(OR(B470="",E470="",H470="",J470="",K470="",L470="",M470="",O470="",P470="",Q470="",R470="",S470="",T470="",U470="",W470="",X470="",Y470="",AB470="",AC470="",AE470="",AF470=""),"Incompleta: faltan campos obligatorios",IF(AND(LEFT(H470,6)="PROPIA",I470=""),"Falta el nombre de la acción propia del área",IF(AND(LEFT(H470,4)="AC27",IFERROR(INDEX('Catalogos_PDN'!$T$5:$T$207,MATCH(H470,'Catalogos_PDN'!$U$5:$U$207,0)),"x")&lt;&gt;LEFT(E470,7)),"La acción no corresponde a la meta seleccionada",IF(OR(NOT(ISNUMBER(M470)),M470&lt;10000000,M470&gt;99999999),"Código UNSPSC inválido: registre 8 dígitos",IF(MOD(M470,10000)=0,"UNSPSC a nivel de segmento o familia: use clase o producto",IF(IFERROR(MATCH(P470,PN_MESES,0)&lt;MATCH(O470,PN_MESES,0),TRUE()),"El mes de ofertas es anterior al de inicio del proceso",IF(OR(NOT(ISNUMBER(Q470)),Q470&lt;=0),"Duración inválida",IF(OR(NOT(ISNUMBER(W470)),NOT(ISNUMBER(X470))),"Valor inválido: registre solo números",IF(OR(W470&lt;=0,X470&lt;=0),"Valor inválido: debe ser mayor que cero",IF(X470&gt;W470,"El valor de la vigencia 2027 supera el valor total",IF(AND(X470&lt;W470,Y470="No"),"El valor total supera el de 2027: requiere vigencias futuras",IF(AND(Y470="Sí",OR(Z470="",Z470="No aplica")),"Indique el estado de la solicitud de vigencias futuras",IF(IF(AND(S470="Mínima cuantía",ISNUMBER(PN_TOPE_MINIMA)),W470&gt;PN_TOPE_MINIMA,FALSE()),"El valor supera el tope de mínima cuantía 2027",IF(IF(AND(S470="Selección abreviada de menor cuantía",ISNUMBER(PN_TOPE_MENOR)),W470&gt;PN_TOPE_MENOR,FALSE()),"El valor supera el tope de menor cuantía 2027",IF(OR(ISERROR(SEARCH("@itc.edu.co",AE470)),SUMPRODUCT(--ISNUMBER(SEARCH({"á","é","í","ó","ú","ñ"," "},AE470)))&gt;0),"El correo del responsable no es institucional válido",IF(AND(AF470="Sí",AG470=""),"Indique el N.° de registro 2026 que continúa","OK")))))))))))))))))</f>
        <v/>
      </c>
      <c r="AK470" s="114">
        <f>IF(AJ470="OK",COUNTIF($AJ$7:AJ470,"OK"),"")</f>
        <v/>
      </c>
    </row>
    <row r="471">
      <c r="A471" s="110">
        <f>"PN27-"&amp;TEXT(ROW()-6,"000")</f>
        <v/>
      </c>
      <c r="B471" s="111" t="n"/>
      <c r="C471" s="110">
        <f>IF(B471="","",IFERROR(INDEX('Catalogos_PDN'!$R$5:$R$51,MATCH(B471,PN_AREAS,0)),""))</f>
        <v/>
      </c>
      <c r="D471" s="110">
        <f>IF(B471="","",IFERROR(INDEX('Catalogos_PDN'!$O$5:$O$51,MATCH(B471,PN_AREAS,0)),""))</f>
        <v/>
      </c>
      <c r="E471" s="111" t="n"/>
      <c r="F471" s="110">
        <f>IF(E471="","",IFERROR(INDEX('Catalogos_PDN'!$C$5:$C$49,MATCH(E471,PN_METAS,0)),""))</f>
        <v/>
      </c>
      <c r="G471" s="110">
        <f>IF(E471="","",IFERROR(INDEX('Catalogos_PDN'!$E$5:$E$49,MATCH(E471,PN_METAS,0)),""))</f>
        <v/>
      </c>
      <c r="H471" s="111" t="n"/>
      <c r="I471" s="111" t="n"/>
      <c r="J471" s="111" t="n"/>
      <c r="K471" s="111" t="n"/>
      <c r="L471" s="111" t="n"/>
      <c r="M471" s="112" t="n"/>
      <c r="N471" s="111" t="n"/>
      <c r="O471" s="111" t="n"/>
      <c r="P471" s="111" t="n"/>
      <c r="Q471" s="111" t="n"/>
      <c r="R471" s="111" t="n"/>
      <c r="S471" s="111" t="n"/>
      <c r="T471" s="111" t="n"/>
      <c r="U471" s="111" t="n"/>
      <c r="V471" s="111" t="n"/>
      <c r="W471" s="113" t="n"/>
      <c r="X471" s="113" t="n"/>
      <c r="Y471" s="111" t="n"/>
      <c r="Z471" s="111" t="n"/>
      <c r="AA471" s="111" t="n"/>
      <c r="AB471" s="111" t="n"/>
      <c r="AC471" s="111" t="n"/>
      <c r="AD471" s="111" t="n"/>
      <c r="AE471" s="111" t="n"/>
      <c r="AF471" s="111" t="n"/>
      <c r="AG471" s="111" t="n"/>
      <c r="AH471" s="111" t="n"/>
      <c r="AI471" s="111" t="n"/>
      <c r="AJ471" s="114">
        <f>IF(COUNTA(B471,E471,H471,I471,J471,K471,L471,M471,N471,O471,P471,Q471,R471,S471,T471,U471,V471,W471,X471,Y471,Z471,AA471,AB471,AC471,AD471,AE471,AF471,AG471,AH471,AI471)=0,"",IF(OR(B471="",E471="",H471="",J471="",K471="",L471="",M471="",O471="",P471="",Q471="",R471="",S471="",T471="",U471="",W471="",X471="",Y471="",AB471="",AC471="",AE471="",AF471=""),"Incompleta: faltan campos obligatorios",IF(AND(LEFT(H471,6)="PROPIA",I471=""),"Falta el nombre de la acción propia del área",IF(AND(LEFT(H471,4)="AC27",IFERROR(INDEX('Catalogos_PDN'!$T$5:$T$207,MATCH(H471,'Catalogos_PDN'!$U$5:$U$207,0)),"x")&lt;&gt;LEFT(E471,7)),"La acción no corresponde a la meta seleccionada",IF(OR(NOT(ISNUMBER(M471)),M471&lt;10000000,M471&gt;99999999),"Código UNSPSC inválido: registre 8 dígitos",IF(MOD(M471,10000)=0,"UNSPSC a nivel de segmento o familia: use clase o producto",IF(IFERROR(MATCH(P471,PN_MESES,0)&lt;MATCH(O471,PN_MESES,0),TRUE()),"El mes de ofertas es anterior al de inicio del proceso",IF(OR(NOT(ISNUMBER(Q471)),Q471&lt;=0),"Duración inválida",IF(OR(NOT(ISNUMBER(W471)),NOT(ISNUMBER(X471))),"Valor inválido: registre solo números",IF(OR(W471&lt;=0,X471&lt;=0),"Valor inválido: debe ser mayor que cero",IF(X471&gt;W471,"El valor de la vigencia 2027 supera el valor total",IF(AND(X471&lt;W471,Y471="No"),"El valor total supera el de 2027: requiere vigencias futuras",IF(AND(Y471="Sí",OR(Z471="",Z471="No aplica")),"Indique el estado de la solicitud de vigencias futuras",IF(IF(AND(S471="Mínima cuantía",ISNUMBER(PN_TOPE_MINIMA)),W471&gt;PN_TOPE_MINIMA,FALSE()),"El valor supera el tope de mínima cuantía 2027",IF(IF(AND(S471="Selección abreviada de menor cuantía",ISNUMBER(PN_TOPE_MENOR)),W471&gt;PN_TOPE_MENOR,FALSE()),"El valor supera el tope de menor cuantía 2027",IF(OR(ISERROR(SEARCH("@itc.edu.co",AE471)),SUMPRODUCT(--ISNUMBER(SEARCH({"á","é","í","ó","ú","ñ"," "},AE471)))&gt;0),"El correo del responsable no es institucional válido",IF(AND(AF471="Sí",AG471=""),"Indique el N.° de registro 2026 que continúa","OK")))))))))))))))))</f>
        <v/>
      </c>
      <c r="AK471" s="114">
        <f>IF(AJ471="OK",COUNTIF($AJ$7:AJ471,"OK"),"")</f>
        <v/>
      </c>
    </row>
    <row r="472">
      <c r="A472" s="110">
        <f>"PN27-"&amp;TEXT(ROW()-6,"000")</f>
        <v/>
      </c>
      <c r="B472" s="111" t="n"/>
      <c r="C472" s="110">
        <f>IF(B472="","",IFERROR(INDEX('Catalogos_PDN'!$R$5:$R$51,MATCH(B472,PN_AREAS,0)),""))</f>
        <v/>
      </c>
      <c r="D472" s="110">
        <f>IF(B472="","",IFERROR(INDEX('Catalogos_PDN'!$O$5:$O$51,MATCH(B472,PN_AREAS,0)),""))</f>
        <v/>
      </c>
      <c r="E472" s="111" t="n"/>
      <c r="F472" s="110">
        <f>IF(E472="","",IFERROR(INDEX('Catalogos_PDN'!$C$5:$C$49,MATCH(E472,PN_METAS,0)),""))</f>
        <v/>
      </c>
      <c r="G472" s="110">
        <f>IF(E472="","",IFERROR(INDEX('Catalogos_PDN'!$E$5:$E$49,MATCH(E472,PN_METAS,0)),""))</f>
        <v/>
      </c>
      <c r="H472" s="111" t="n"/>
      <c r="I472" s="111" t="n"/>
      <c r="J472" s="111" t="n"/>
      <c r="K472" s="111" t="n"/>
      <c r="L472" s="111" t="n"/>
      <c r="M472" s="112" t="n"/>
      <c r="N472" s="111" t="n"/>
      <c r="O472" s="111" t="n"/>
      <c r="P472" s="111" t="n"/>
      <c r="Q472" s="111" t="n"/>
      <c r="R472" s="111" t="n"/>
      <c r="S472" s="111" t="n"/>
      <c r="T472" s="111" t="n"/>
      <c r="U472" s="111" t="n"/>
      <c r="V472" s="111" t="n"/>
      <c r="W472" s="113" t="n"/>
      <c r="X472" s="113" t="n"/>
      <c r="Y472" s="111" t="n"/>
      <c r="Z472" s="111" t="n"/>
      <c r="AA472" s="111" t="n"/>
      <c r="AB472" s="111" t="n"/>
      <c r="AC472" s="111" t="n"/>
      <c r="AD472" s="111" t="n"/>
      <c r="AE472" s="111" t="n"/>
      <c r="AF472" s="111" t="n"/>
      <c r="AG472" s="111" t="n"/>
      <c r="AH472" s="111" t="n"/>
      <c r="AI472" s="111" t="n"/>
      <c r="AJ472" s="114">
        <f>IF(COUNTA(B472,E472,H472,I472,J472,K472,L472,M472,N472,O472,P472,Q472,R472,S472,T472,U472,V472,W472,X472,Y472,Z472,AA472,AB472,AC472,AD472,AE472,AF472,AG472,AH472,AI472)=0,"",IF(OR(B472="",E472="",H472="",J472="",K472="",L472="",M472="",O472="",P472="",Q472="",R472="",S472="",T472="",U472="",W472="",X472="",Y472="",AB472="",AC472="",AE472="",AF472=""),"Incompleta: faltan campos obligatorios",IF(AND(LEFT(H472,6)="PROPIA",I472=""),"Falta el nombre de la acción propia del área",IF(AND(LEFT(H472,4)="AC27",IFERROR(INDEX('Catalogos_PDN'!$T$5:$T$207,MATCH(H472,'Catalogos_PDN'!$U$5:$U$207,0)),"x")&lt;&gt;LEFT(E472,7)),"La acción no corresponde a la meta seleccionada",IF(OR(NOT(ISNUMBER(M472)),M472&lt;10000000,M472&gt;99999999),"Código UNSPSC inválido: registre 8 dígitos",IF(MOD(M472,10000)=0,"UNSPSC a nivel de segmento o familia: use clase o producto",IF(IFERROR(MATCH(P472,PN_MESES,0)&lt;MATCH(O472,PN_MESES,0),TRUE()),"El mes de ofertas es anterior al de inicio del proceso",IF(OR(NOT(ISNUMBER(Q472)),Q472&lt;=0),"Duración inválida",IF(OR(NOT(ISNUMBER(W472)),NOT(ISNUMBER(X472))),"Valor inválido: registre solo números",IF(OR(W472&lt;=0,X472&lt;=0),"Valor inválido: debe ser mayor que cero",IF(X472&gt;W472,"El valor de la vigencia 2027 supera el valor total",IF(AND(X472&lt;W472,Y472="No"),"El valor total supera el de 2027: requiere vigencias futuras",IF(AND(Y472="Sí",OR(Z472="",Z472="No aplica")),"Indique el estado de la solicitud de vigencias futuras",IF(IF(AND(S472="Mínima cuantía",ISNUMBER(PN_TOPE_MINIMA)),W472&gt;PN_TOPE_MINIMA,FALSE()),"El valor supera el tope de mínima cuantía 2027",IF(IF(AND(S472="Selección abreviada de menor cuantía",ISNUMBER(PN_TOPE_MENOR)),W472&gt;PN_TOPE_MENOR,FALSE()),"El valor supera el tope de menor cuantía 2027",IF(OR(ISERROR(SEARCH("@itc.edu.co",AE472)),SUMPRODUCT(--ISNUMBER(SEARCH({"á","é","í","ó","ú","ñ"," "},AE472)))&gt;0),"El correo del responsable no es institucional válido",IF(AND(AF472="Sí",AG472=""),"Indique el N.° de registro 2026 que continúa","OK")))))))))))))))))</f>
        <v/>
      </c>
      <c r="AK472" s="114">
        <f>IF(AJ472="OK",COUNTIF($AJ$7:AJ472,"OK"),"")</f>
        <v/>
      </c>
    </row>
    <row r="473">
      <c r="A473" s="110">
        <f>"PN27-"&amp;TEXT(ROW()-6,"000")</f>
        <v/>
      </c>
      <c r="B473" s="111" t="n"/>
      <c r="C473" s="110">
        <f>IF(B473="","",IFERROR(INDEX('Catalogos_PDN'!$R$5:$R$51,MATCH(B473,PN_AREAS,0)),""))</f>
        <v/>
      </c>
      <c r="D473" s="110">
        <f>IF(B473="","",IFERROR(INDEX('Catalogos_PDN'!$O$5:$O$51,MATCH(B473,PN_AREAS,0)),""))</f>
        <v/>
      </c>
      <c r="E473" s="111" t="n"/>
      <c r="F473" s="110">
        <f>IF(E473="","",IFERROR(INDEX('Catalogos_PDN'!$C$5:$C$49,MATCH(E473,PN_METAS,0)),""))</f>
        <v/>
      </c>
      <c r="G473" s="110">
        <f>IF(E473="","",IFERROR(INDEX('Catalogos_PDN'!$E$5:$E$49,MATCH(E473,PN_METAS,0)),""))</f>
        <v/>
      </c>
      <c r="H473" s="111" t="n"/>
      <c r="I473" s="111" t="n"/>
      <c r="J473" s="111" t="n"/>
      <c r="K473" s="111" t="n"/>
      <c r="L473" s="111" t="n"/>
      <c r="M473" s="112" t="n"/>
      <c r="N473" s="111" t="n"/>
      <c r="O473" s="111" t="n"/>
      <c r="P473" s="111" t="n"/>
      <c r="Q473" s="111" t="n"/>
      <c r="R473" s="111" t="n"/>
      <c r="S473" s="111" t="n"/>
      <c r="T473" s="111" t="n"/>
      <c r="U473" s="111" t="n"/>
      <c r="V473" s="111" t="n"/>
      <c r="W473" s="113" t="n"/>
      <c r="X473" s="113" t="n"/>
      <c r="Y473" s="111" t="n"/>
      <c r="Z473" s="111" t="n"/>
      <c r="AA473" s="111" t="n"/>
      <c r="AB473" s="111" t="n"/>
      <c r="AC473" s="111" t="n"/>
      <c r="AD473" s="111" t="n"/>
      <c r="AE473" s="111" t="n"/>
      <c r="AF473" s="111" t="n"/>
      <c r="AG473" s="111" t="n"/>
      <c r="AH473" s="111" t="n"/>
      <c r="AI473" s="111" t="n"/>
      <c r="AJ473" s="114">
        <f>IF(COUNTA(B473,E473,H473,I473,J473,K473,L473,M473,N473,O473,P473,Q473,R473,S473,T473,U473,V473,W473,X473,Y473,Z473,AA473,AB473,AC473,AD473,AE473,AF473,AG473,AH473,AI473)=0,"",IF(OR(B473="",E473="",H473="",J473="",K473="",L473="",M473="",O473="",P473="",Q473="",R473="",S473="",T473="",U473="",W473="",X473="",Y473="",AB473="",AC473="",AE473="",AF473=""),"Incompleta: faltan campos obligatorios",IF(AND(LEFT(H473,6)="PROPIA",I473=""),"Falta el nombre de la acción propia del área",IF(AND(LEFT(H473,4)="AC27",IFERROR(INDEX('Catalogos_PDN'!$T$5:$T$207,MATCH(H473,'Catalogos_PDN'!$U$5:$U$207,0)),"x")&lt;&gt;LEFT(E473,7)),"La acción no corresponde a la meta seleccionada",IF(OR(NOT(ISNUMBER(M473)),M473&lt;10000000,M473&gt;99999999),"Código UNSPSC inválido: registre 8 dígitos",IF(MOD(M473,10000)=0,"UNSPSC a nivel de segmento o familia: use clase o producto",IF(IFERROR(MATCH(P473,PN_MESES,0)&lt;MATCH(O473,PN_MESES,0),TRUE()),"El mes de ofertas es anterior al de inicio del proceso",IF(OR(NOT(ISNUMBER(Q473)),Q473&lt;=0),"Duración inválida",IF(OR(NOT(ISNUMBER(W473)),NOT(ISNUMBER(X473))),"Valor inválido: registre solo números",IF(OR(W473&lt;=0,X473&lt;=0),"Valor inválido: debe ser mayor que cero",IF(X473&gt;W473,"El valor de la vigencia 2027 supera el valor total",IF(AND(X473&lt;W473,Y473="No"),"El valor total supera el de 2027: requiere vigencias futuras",IF(AND(Y473="Sí",OR(Z473="",Z473="No aplica")),"Indique el estado de la solicitud de vigencias futuras",IF(IF(AND(S473="Mínima cuantía",ISNUMBER(PN_TOPE_MINIMA)),W473&gt;PN_TOPE_MINIMA,FALSE()),"El valor supera el tope de mínima cuantía 2027",IF(IF(AND(S473="Selección abreviada de menor cuantía",ISNUMBER(PN_TOPE_MENOR)),W473&gt;PN_TOPE_MENOR,FALSE()),"El valor supera el tope de menor cuantía 2027",IF(OR(ISERROR(SEARCH("@itc.edu.co",AE473)),SUMPRODUCT(--ISNUMBER(SEARCH({"á","é","í","ó","ú","ñ"," "},AE473)))&gt;0),"El correo del responsable no es institucional válido",IF(AND(AF473="Sí",AG473=""),"Indique el N.° de registro 2026 que continúa","OK")))))))))))))))))</f>
        <v/>
      </c>
      <c r="AK473" s="114">
        <f>IF(AJ473="OK",COUNTIF($AJ$7:AJ473,"OK"),"")</f>
        <v/>
      </c>
    </row>
    <row r="474">
      <c r="A474" s="110">
        <f>"PN27-"&amp;TEXT(ROW()-6,"000")</f>
        <v/>
      </c>
      <c r="B474" s="111" t="n"/>
      <c r="C474" s="110">
        <f>IF(B474="","",IFERROR(INDEX('Catalogos_PDN'!$R$5:$R$51,MATCH(B474,PN_AREAS,0)),""))</f>
        <v/>
      </c>
      <c r="D474" s="110">
        <f>IF(B474="","",IFERROR(INDEX('Catalogos_PDN'!$O$5:$O$51,MATCH(B474,PN_AREAS,0)),""))</f>
        <v/>
      </c>
      <c r="E474" s="111" t="n"/>
      <c r="F474" s="110">
        <f>IF(E474="","",IFERROR(INDEX('Catalogos_PDN'!$C$5:$C$49,MATCH(E474,PN_METAS,0)),""))</f>
        <v/>
      </c>
      <c r="G474" s="110">
        <f>IF(E474="","",IFERROR(INDEX('Catalogos_PDN'!$E$5:$E$49,MATCH(E474,PN_METAS,0)),""))</f>
        <v/>
      </c>
      <c r="H474" s="111" t="n"/>
      <c r="I474" s="111" t="n"/>
      <c r="J474" s="111" t="n"/>
      <c r="K474" s="111" t="n"/>
      <c r="L474" s="111" t="n"/>
      <c r="M474" s="112" t="n"/>
      <c r="N474" s="111" t="n"/>
      <c r="O474" s="111" t="n"/>
      <c r="P474" s="111" t="n"/>
      <c r="Q474" s="111" t="n"/>
      <c r="R474" s="111" t="n"/>
      <c r="S474" s="111" t="n"/>
      <c r="T474" s="111" t="n"/>
      <c r="U474" s="111" t="n"/>
      <c r="V474" s="111" t="n"/>
      <c r="W474" s="113" t="n"/>
      <c r="X474" s="113" t="n"/>
      <c r="Y474" s="111" t="n"/>
      <c r="Z474" s="111" t="n"/>
      <c r="AA474" s="111" t="n"/>
      <c r="AB474" s="111" t="n"/>
      <c r="AC474" s="111" t="n"/>
      <c r="AD474" s="111" t="n"/>
      <c r="AE474" s="111" t="n"/>
      <c r="AF474" s="111" t="n"/>
      <c r="AG474" s="111" t="n"/>
      <c r="AH474" s="111" t="n"/>
      <c r="AI474" s="111" t="n"/>
      <c r="AJ474" s="114">
        <f>IF(COUNTA(B474,E474,H474,I474,J474,K474,L474,M474,N474,O474,P474,Q474,R474,S474,T474,U474,V474,W474,X474,Y474,Z474,AA474,AB474,AC474,AD474,AE474,AF474,AG474,AH474,AI474)=0,"",IF(OR(B474="",E474="",H474="",J474="",K474="",L474="",M474="",O474="",P474="",Q474="",R474="",S474="",T474="",U474="",W474="",X474="",Y474="",AB474="",AC474="",AE474="",AF474=""),"Incompleta: faltan campos obligatorios",IF(AND(LEFT(H474,6)="PROPIA",I474=""),"Falta el nombre de la acción propia del área",IF(AND(LEFT(H474,4)="AC27",IFERROR(INDEX('Catalogos_PDN'!$T$5:$T$207,MATCH(H474,'Catalogos_PDN'!$U$5:$U$207,0)),"x")&lt;&gt;LEFT(E474,7)),"La acción no corresponde a la meta seleccionada",IF(OR(NOT(ISNUMBER(M474)),M474&lt;10000000,M474&gt;99999999),"Código UNSPSC inválido: registre 8 dígitos",IF(MOD(M474,10000)=0,"UNSPSC a nivel de segmento o familia: use clase o producto",IF(IFERROR(MATCH(P474,PN_MESES,0)&lt;MATCH(O474,PN_MESES,0),TRUE()),"El mes de ofertas es anterior al de inicio del proceso",IF(OR(NOT(ISNUMBER(Q474)),Q474&lt;=0),"Duración inválida",IF(OR(NOT(ISNUMBER(W474)),NOT(ISNUMBER(X474))),"Valor inválido: registre solo números",IF(OR(W474&lt;=0,X474&lt;=0),"Valor inválido: debe ser mayor que cero",IF(X474&gt;W474,"El valor de la vigencia 2027 supera el valor total",IF(AND(X474&lt;W474,Y474="No"),"El valor total supera el de 2027: requiere vigencias futuras",IF(AND(Y474="Sí",OR(Z474="",Z474="No aplica")),"Indique el estado de la solicitud de vigencias futuras",IF(IF(AND(S474="Mínima cuantía",ISNUMBER(PN_TOPE_MINIMA)),W474&gt;PN_TOPE_MINIMA,FALSE()),"El valor supera el tope de mínima cuantía 2027",IF(IF(AND(S474="Selección abreviada de menor cuantía",ISNUMBER(PN_TOPE_MENOR)),W474&gt;PN_TOPE_MENOR,FALSE()),"El valor supera el tope de menor cuantía 2027",IF(OR(ISERROR(SEARCH("@itc.edu.co",AE474)),SUMPRODUCT(--ISNUMBER(SEARCH({"á","é","í","ó","ú","ñ"," "},AE474)))&gt;0),"El correo del responsable no es institucional válido",IF(AND(AF474="Sí",AG474=""),"Indique el N.° de registro 2026 que continúa","OK")))))))))))))))))</f>
        <v/>
      </c>
      <c r="AK474" s="114">
        <f>IF(AJ474="OK",COUNTIF($AJ$7:AJ474,"OK"),"")</f>
        <v/>
      </c>
    </row>
    <row r="475">
      <c r="A475" s="110">
        <f>"PN27-"&amp;TEXT(ROW()-6,"000")</f>
        <v/>
      </c>
      <c r="B475" s="111" t="n"/>
      <c r="C475" s="110">
        <f>IF(B475="","",IFERROR(INDEX('Catalogos_PDN'!$R$5:$R$51,MATCH(B475,PN_AREAS,0)),""))</f>
        <v/>
      </c>
      <c r="D475" s="110">
        <f>IF(B475="","",IFERROR(INDEX('Catalogos_PDN'!$O$5:$O$51,MATCH(B475,PN_AREAS,0)),""))</f>
        <v/>
      </c>
      <c r="E475" s="111" t="n"/>
      <c r="F475" s="110">
        <f>IF(E475="","",IFERROR(INDEX('Catalogos_PDN'!$C$5:$C$49,MATCH(E475,PN_METAS,0)),""))</f>
        <v/>
      </c>
      <c r="G475" s="110">
        <f>IF(E475="","",IFERROR(INDEX('Catalogos_PDN'!$E$5:$E$49,MATCH(E475,PN_METAS,0)),""))</f>
        <v/>
      </c>
      <c r="H475" s="111" t="n"/>
      <c r="I475" s="111" t="n"/>
      <c r="J475" s="111" t="n"/>
      <c r="K475" s="111" t="n"/>
      <c r="L475" s="111" t="n"/>
      <c r="M475" s="112" t="n"/>
      <c r="N475" s="111" t="n"/>
      <c r="O475" s="111" t="n"/>
      <c r="P475" s="111" t="n"/>
      <c r="Q475" s="111" t="n"/>
      <c r="R475" s="111" t="n"/>
      <c r="S475" s="111" t="n"/>
      <c r="T475" s="111" t="n"/>
      <c r="U475" s="111" t="n"/>
      <c r="V475" s="111" t="n"/>
      <c r="W475" s="113" t="n"/>
      <c r="X475" s="113" t="n"/>
      <c r="Y475" s="111" t="n"/>
      <c r="Z475" s="111" t="n"/>
      <c r="AA475" s="111" t="n"/>
      <c r="AB475" s="111" t="n"/>
      <c r="AC475" s="111" t="n"/>
      <c r="AD475" s="111" t="n"/>
      <c r="AE475" s="111" t="n"/>
      <c r="AF475" s="111" t="n"/>
      <c r="AG475" s="111" t="n"/>
      <c r="AH475" s="111" t="n"/>
      <c r="AI475" s="111" t="n"/>
      <c r="AJ475" s="114">
        <f>IF(COUNTA(B475,E475,H475,I475,J475,K475,L475,M475,N475,O475,P475,Q475,R475,S475,T475,U475,V475,W475,X475,Y475,Z475,AA475,AB475,AC475,AD475,AE475,AF475,AG475,AH475,AI475)=0,"",IF(OR(B475="",E475="",H475="",J475="",K475="",L475="",M475="",O475="",P475="",Q475="",R475="",S475="",T475="",U475="",W475="",X475="",Y475="",AB475="",AC475="",AE475="",AF475=""),"Incompleta: faltan campos obligatorios",IF(AND(LEFT(H475,6)="PROPIA",I475=""),"Falta el nombre de la acción propia del área",IF(AND(LEFT(H475,4)="AC27",IFERROR(INDEX('Catalogos_PDN'!$T$5:$T$207,MATCH(H475,'Catalogos_PDN'!$U$5:$U$207,0)),"x")&lt;&gt;LEFT(E475,7)),"La acción no corresponde a la meta seleccionada",IF(OR(NOT(ISNUMBER(M475)),M475&lt;10000000,M475&gt;99999999),"Código UNSPSC inválido: registre 8 dígitos",IF(MOD(M475,10000)=0,"UNSPSC a nivel de segmento o familia: use clase o producto",IF(IFERROR(MATCH(P475,PN_MESES,0)&lt;MATCH(O475,PN_MESES,0),TRUE()),"El mes de ofertas es anterior al de inicio del proceso",IF(OR(NOT(ISNUMBER(Q475)),Q475&lt;=0),"Duración inválida",IF(OR(NOT(ISNUMBER(W475)),NOT(ISNUMBER(X475))),"Valor inválido: registre solo números",IF(OR(W475&lt;=0,X475&lt;=0),"Valor inválido: debe ser mayor que cero",IF(X475&gt;W475,"El valor de la vigencia 2027 supera el valor total",IF(AND(X475&lt;W475,Y475="No"),"El valor total supera el de 2027: requiere vigencias futuras",IF(AND(Y475="Sí",OR(Z475="",Z475="No aplica")),"Indique el estado de la solicitud de vigencias futuras",IF(IF(AND(S475="Mínima cuantía",ISNUMBER(PN_TOPE_MINIMA)),W475&gt;PN_TOPE_MINIMA,FALSE()),"El valor supera el tope de mínima cuantía 2027",IF(IF(AND(S475="Selección abreviada de menor cuantía",ISNUMBER(PN_TOPE_MENOR)),W475&gt;PN_TOPE_MENOR,FALSE()),"El valor supera el tope de menor cuantía 2027",IF(OR(ISERROR(SEARCH("@itc.edu.co",AE475)),SUMPRODUCT(--ISNUMBER(SEARCH({"á","é","í","ó","ú","ñ"," "},AE475)))&gt;0),"El correo del responsable no es institucional válido",IF(AND(AF475="Sí",AG475=""),"Indique el N.° de registro 2026 que continúa","OK")))))))))))))))))</f>
        <v/>
      </c>
      <c r="AK475" s="114">
        <f>IF(AJ475="OK",COUNTIF($AJ$7:AJ475,"OK"),"")</f>
        <v/>
      </c>
    </row>
    <row r="476">
      <c r="A476" s="110">
        <f>"PN27-"&amp;TEXT(ROW()-6,"000")</f>
        <v/>
      </c>
      <c r="B476" s="111" t="n"/>
      <c r="C476" s="110">
        <f>IF(B476="","",IFERROR(INDEX('Catalogos_PDN'!$R$5:$R$51,MATCH(B476,PN_AREAS,0)),""))</f>
        <v/>
      </c>
      <c r="D476" s="110">
        <f>IF(B476="","",IFERROR(INDEX('Catalogos_PDN'!$O$5:$O$51,MATCH(B476,PN_AREAS,0)),""))</f>
        <v/>
      </c>
      <c r="E476" s="111" t="n"/>
      <c r="F476" s="110">
        <f>IF(E476="","",IFERROR(INDEX('Catalogos_PDN'!$C$5:$C$49,MATCH(E476,PN_METAS,0)),""))</f>
        <v/>
      </c>
      <c r="G476" s="110">
        <f>IF(E476="","",IFERROR(INDEX('Catalogos_PDN'!$E$5:$E$49,MATCH(E476,PN_METAS,0)),""))</f>
        <v/>
      </c>
      <c r="H476" s="111" t="n"/>
      <c r="I476" s="111" t="n"/>
      <c r="J476" s="111" t="n"/>
      <c r="K476" s="111" t="n"/>
      <c r="L476" s="111" t="n"/>
      <c r="M476" s="112" t="n"/>
      <c r="N476" s="111" t="n"/>
      <c r="O476" s="111" t="n"/>
      <c r="P476" s="111" t="n"/>
      <c r="Q476" s="111" t="n"/>
      <c r="R476" s="111" t="n"/>
      <c r="S476" s="111" t="n"/>
      <c r="T476" s="111" t="n"/>
      <c r="U476" s="111" t="n"/>
      <c r="V476" s="111" t="n"/>
      <c r="W476" s="113" t="n"/>
      <c r="X476" s="113" t="n"/>
      <c r="Y476" s="111" t="n"/>
      <c r="Z476" s="111" t="n"/>
      <c r="AA476" s="111" t="n"/>
      <c r="AB476" s="111" t="n"/>
      <c r="AC476" s="111" t="n"/>
      <c r="AD476" s="111" t="n"/>
      <c r="AE476" s="111" t="n"/>
      <c r="AF476" s="111" t="n"/>
      <c r="AG476" s="111" t="n"/>
      <c r="AH476" s="111" t="n"/>
      <c r="AI476" s="111" t="n"/>
      <c r="AJ476" s="114">
        <f>IF(COUNTA(B476,E476,H476,I476,J476,K476,L476,M476,N476,O476,P476,Q476,R476,S476,T476,U476,V476,W476,X476,Y476,Z476,AA476,AB476,AC476,AD476,AE476,AF476,AG476,AH476,AI476)=0,"",IF(OR(B476="",E476="",H476="",J476="",K476="",L476="",M476="",O476="",P476="",Q476="",R476="",S476="",T476="",U476="",W476="",X476="",Y476="",AB476="",AC476="",AE476="",AF476=""),"Incompleta: faltan campos obligatorios",IF(AND(LEFT(H476,6)="PROPIA",I476=""),"Falta el nombre de la acción propia del área",IF(AND(LEFT(H476,4)="AC27",IFERROR(INDEX('Catalogos_PDN'!$T$5:$T$207,MATCH(H476,'Catalogos_PDN'!$U$5:$U$207,0)),"x")&lt;&gt;LEFT(E476,7)),"La acción no corresponde a la meta seleccionada",IF(OR(NOT(ISNUMBER(M476)),M476&lt;10000000,M476&gt;99999999),"Código UNSPSC inválido: registre 8 dígitos",IF(MOD(M476,10000)=0,"UNSPSC a nivel de segmento o familia: use clase o producto",IF(IFERROR(MATCH(P476,PN_MESES,0)&lt;MATCH(O476,PN_MESES,0),TRUE()),"El mes de ofertas es anterior al de inicio del proceso",IF(OR(NOT(ISNUMBER(Q476)),Q476&lt;=0),"Duración inválida",IF(OR(NOT(ISNUMBER(W476)),NOT(ISNUMBER(X476))),"Valor inválido: registre solo números",IF(OR(W476&lt;=0,X476&lt;=0),"Valor inválido: debe ser mayor que cero",IF(X476&gt;W476,"El valor de la vigencia 2027 supera el valor total",IF(AND(X476&lt;W476,Y476="No"),"El valor total supera el de 2027: requiere vigencias futuras",IF(AND(Y476="Sí",OR(Z476="",Z476="No aplica")),"Indique el estado de la solicitud de vigencias futuras",IF(IF(AND(S476="Mínima cuantía",ISNUMBER(PN_TOPE_MINIMA)),W476&gt;PN_TOPE_MINIMA,FALSE()),"El valor supera el tope de mínima cuantía 2027",IF(IF(AND(S476="Selección abreviada de menor cuantía",ISNUMBER(PN_TOPE_MENOR)),W476&gt;PN_TOPE_MENOR,FALSE()),"El valor supera el tope de menor cuantía 2027",IF(OR(ISERROR(SEARCH("@itc.edu.co",AE476)),SUMPRODUCT(--ISNUMBER(SEARCH({"á","é","í","ó","ú","ñ"," "},AE476)))&gt;0),"El correo del responsable no es institucional válido",IF(AND(AF476="Sí",AG476=""),"Indique el N.° de registro 2026 que continúa","OK")))))))))))))))))</f>
        <v/>
      </c>
      <c r="AK476" s="114">
        <f>IF(AJ476="OK",COUNTIF($AJ$7:AJ476,"OK"),"")</f>
        <v/>
      </c>
    </row>
    <row r="477">
      <c r="A477" s="110">
        <f>"PN27-"&amp;TEXT(ROW()-6,"000")</f>
        <v/>
      </c>
      <c r="B477" s="111" t="n"/>
      <c r="C477" s="110">
        <f>IF(B477="","",IFERROR(INDEX('Catalogos_PDN'!$R$5:$R$51,MATCH(B477,PN_AREAS,0)),""))</f>
        <v/>
      </c>
      <c r="D477" s="110">
        <f>IF(B477="","",IFERROR(INDEX('Catalogos_PDN'!$O$5:$O$51,MATCH(B477,PN_AREAS,0)),""))</f>
        <v/>
      </c>
      <c r="E477" s="111" t="n"/>
      <c r="F477" s="110">
        <f>IF(E477="","",IFERROR(INDEX('Catalogos_PDN'!$C$5:$C$49,MATCH(E477,PN_METAS,0)),""))</f>
        <v/>
      </c>
      <c r="G477" s="110">
        <f>IF(E477="","",IFERROR(INDEX('Catalogos_PDN'!$E$5:$E$49,MATCH(E477,PN_METAS,0)),""))</f>
        <v/>
      </c>
      <c r="H477" s="111" t="n"/>
      <c r="I477" s="111" t="n"/>
      <c r="J477" s="111" t="n"/>
      <c r="K477" s="111" t="n"/>
      <c r="L477" s="111" t="n"/>
      <c r="M477" s="112" t="n"/>
      <c r="N477" s="111" t="n"/>
      <c r="O477" s="111" t="n"/>
      <c r="P477" s="111" t="n"/>
      <c r="Q477" s="111" t="n"/>
      <c r="R477" s="111" t="n"/>
      <c r="S477" s="111" t="n"/>
      <c r="T477" s="111" t="n"/>
      <c r="U477" s="111" t="n"/>
      <c r="V477" s="111" t="n"/>
      <c r="W477" s="113" t="n"/>
      <c r="X477" s="113" t="n"/>
      <c r="Y477" s="111" t="n"/>
      <c r="Z477" s="111" t="n"/>
      <c r="AA477" s="111" t="n"/>
      <c r="AB477" s="111" t="n"/>
      <c r="AC477" s="111" t="n"/>
      <c r="AD477" s="111" t="n"/>
      <c r="AE477" s="111" t="n"/>
      <c r="AF477" s="111" t="n"/>
      <c r="AG477" s="111" t="n"/>
      <c r="AH477" s="111" t="n"/>
      <c r="AI477" s="111" t="n"/>
      <c r="AJ477" s="114">
        <f>IF(COUNTA(B477,E477,H477,I477,J477,K477,L477,M477,N477,O477,P477,Q477,R477,S477,T477,U477,V477,W477,X477,Y477,Z477,AA477,AB477,AC477,AD477,AE477,AF477,AG477,AH477,AI477)=0,"",IF(OR(B477="",E477="",H477="",J477="",K477="",L477="",M477="",O477="",P477="",Q477="",R477="",S477="",T477="",U477="",W477="",X477="",Y477="",AB477="",AC477="",AE477="",AF477=""),"Incompleta: faltan campos obligatorios",IF(AND(LEFT(H477,6)="PROPIA",I477=""),"Falta el nombre de la acción propia del área",IF(AND(LEFT(H477,4)="AC27",IFERROR(INDEX('Catalogos_PDN'!$T$5:$T$207,MATCH(H477,'Catalogos_PDN'!$U$5:$U$207,0)),"x")&lt;&gt;LEFT(E477,7)),"La acción no corresponde a la meta seleccionada",IF(OR(NOT(ISNUMBER(M477)),M477&lt;10000000,M477&gt;99999999),"Código UNSPSC inválido: registre 8 dígitos",IF(MOD(M477,10000)=0,"UNSPSC a nivel de segmento o familia: use clase o producto",IF(IFERROR(MATCH(P477,PN_MESES,0)&lt;MATCH(O477,PN_MESES,0),TRUE()),"El mes de ofertas es anterior al de inicio del proceso",IF(OR(NOT(ISNUMBER(Q477)),Q477&lt;=0),"Duración inválida",IF(OR(NOT(ISNUMBER(W477)),NOT(ISNUMBER(X477))),"Valor inválido: registre solo números",IF(OR(W477&lt;=0,X477&lt;=0),"Valor inválido: debe ser mayor que cero",IF(X477&gt;W477,"El valor de la vigencia 2027 supera el valor total",IF(AND(X477&lt;W477,Y477="No"),"El valor total supera el de 2027: requiere vigencias futuras",IF(AND(Y477="Sí",OR(Z477="",Z477="No aplica")),"Indique el estado de la solicitud de vigencias futuras",IF(IF(AND(S477="Mínima cuantía",ISNUMBER(PN_TOPE_MINIMA)),W477&gt;PN_TOPE_MINIMA,FALSE()),"El valor supera el tope de mínima cuantía 2027",IF(IF(AND(S477="Selección abreviada de menor cuantía",ISNUMBER(PN_TOPE_MENOR)),W477&gt;PN_TOPE_MENOR,FALSE()),"El valor supera el tope de menor cuantía 2027",IF(OR(ISERROR(SEARCH("@itc.edu.co",AE477)),SUMPRODUCT(--ISNUMBER(SEARCH({"á","é","í","ó","ú","ñ"," "},AE477)))&gt;0),"El correo del responsable no es institucional válido",IF(AND(AF477="Sí",AG477=""),"Indique el N.° de registro 2026 que continúa","OK")))))))))))))))))</f>
        <v/>
      </c>
      <c r="AK477" s="114">
        <f>IF(AJ477="OK",COUNTIF($AJ$7:AJ477,"OK"),"")</f>
        <v/>
      </c>
    </row>
    <row r="478">
      <c r="A478" s="110">
        <f>"PN27-"&amp;TEXT(ROW()-6,"000")</f>
        <v/>
      </c>
      <c r="B478" s="111" t="n"/>
      <c r="C478" s="110">
        <f>IF(B478="","",IFERROR(INDEX('Catalogos_PDN'!$R$5:$R$51,MATCH(B478,PN_AREAS,0)),""))</f>
        <v/>
      </c>
      <c r="D478" s="110">
        <f>IF(B478="","",IFERROR(INDEX('Catalogos_PDN'!$O$5:$O$51,MATCH(B478,PN_AREAS,0)),""))</f>
        <v/>
      </c>
      <c r="E478" s="111" t="n"/>
      <c r="F478" s="110">
        <f>IF(E478="","",IFERROR(INDEX('Catalogos_PDN'!$C$5:$C$49,MATCH(E478,PN_METAS,0)),""))</f>
        <v/>
      </c>
      <c r="G478" s="110">
        <f>IF(E478="","",IFERROR(INDEX('Catalogos_PDN'!$E$5:$E$49,MATCH(E478,PN_METAS,0)),""))</f>
        <v/>
      </c>
      <c r="H478" s="111" t="n"/>
      <c r="I478" s="111" t="n"/>
      <c r="J478" s="111" t="n"/>
      <c r="K478" s="111" t="n"/>
      <c r="L478" s="111" t="n"/>
      <c r="M478" s="112" t="n"/>
      <c r="N478" s="111" t="n"/>
      <c r="O478" s="111" t="n"/>
      <c r="P478" s="111" t="n"/>
      <c r="Q478" s="111" t="n"/>
      <c r="R478" s="111" t="n"/>
      <c r="S478" s="111" t="n"/>
      <c r="T478" s="111" t="n"/>
      <c r="U478" s="111" t="n"/>
      <c r="V478" s="111" t="n"/>
      <c r="W478" s="113" t="n"/>
      <c r="X478" s="113" t="n"/>
      <c r="Y478" s="111" t="n"/>
      <c r="Z478" s="111" t="n"/>
      <c r="AA478" s="111" t="n"/>
      <c r="AB478" s="111" t="n"/>
      <c r="AC478" s="111" t="n"/>
      <c r="AD478" s="111" t="n"/>
      <c r="AE478" s="111" t="n"/>
      <c r="AF478" s="111" t="n"/>
      <c r="AG478" s="111" t="n"/>
      <c r="AH478" s="111" t="n"/>
      <c r="AI478" s="111" t="n"/>
      <c r="AJ478" s="114">
        <f>IF(COUNTA(B478,E478,H478,I478,J478,K478,L478,M478,N478,O478,P478,Q478,R478,S478,T478,U478,V478,W478,X478,Y478,Z478,AA478,AB478,AC478,AD478,AE478,AF478,AG478,AH478,AI478)=0,"",IF(OR(B478="",E478="",H478="",J478="",K478="",L478="",M478="",O478="",P478="",Q478="",R478="",S478="",T478="",U478="",W478="",X478="",Y478="",AB478="",AC478="",AE478="",AF478=""),"Incompleta: faltan campos obligatorios",IF(AND(LEFT(H478,6)="PROPIA",I478=""),"Falta el nombre de la acción propia del área",IF(AND(LEFT(H478,4)="AC27",IFERROR(INDEX('Catalogos_PDN'!$T$5:$T$207,MATCH(H478,'Catalogos_PDN'!$U$5:$U$207,0)),"x")&lt;&gt;LEFT(E478,7)),"La acción no corresponde a la meta seleccionada",IF(OR(NOT(ISNUMBER(M478)),M478&lt;10000000,M478&gt;99999999),"Código UNSPSC inválido: registre 8 dígitos",IF(MOD(M478,10000)=0,"UNSPSC a nivel de segmento o familia: use clase o producto",IF(IFERROR(MATCH(P478,PN_MESES,0)&lt;MATCH(O478,PN_MESES,0),TRUE()),"El mes de ofertas es anterior al de inicio del proceso",IF(OR(NOT(ISNUMBER(Q478)),Q478&lt;=0),"Duración inválida",IF(OR(NOT(ISNUMBER(W478)),NOT(ISNUMBER(X478))),"Valor inválido: registre solo números",IF(OR(W478&lt;=0,X478&lt;=0),"Valor inválido: debe ser mayor que cero",IF(X478&gt;W478,"El valor de la vigencia 2027 supera el valor total",IF(AND(X478&lt;W478,Y478="No"),"El valor total supera el de 2027: requiere vigencias futuras",IF(AND(Y478="Sí",OR(Z478="",Z478="No aplica")),"Indique el estado de la solicitud de vigencias futuras",IF(IF(AND(S478="Mínima cuantía",ISNUMBER(PN_TOPE_MINIMA)),W478&gt;PN_TOPE_MINIMA,FALSE()),"El valor supera el tope de mínima cuantía 2027",IF(IF(AND(S478="Selección abreviada de menor cuantía",ISNUMBER(PN_TOPE_MENOR)),W478&gt;PN_TOPE_MENOR,FALSE()),"El valor supera el tope de menor cuantía 2027",IF(OR(ISERROR(SEARCH("@itc.edu.co",AE478)),SUMPRODUCT(--ISNUMBER(SEARCH({"á","é","í","ó","ú","ñ"," "},AE478)))&gt;0),"El correo del responsable no es institucional válido",IF(AND(AF478="Sí",AG478=""),"Indique el N.° de registro 2026 que continúa","OK")))))))))))))))))</f>
        <v/>
      </c>
      <c r="AK478" s="114">
        <f>IF(AJ478="OK",COUNTIF($AJ$7:AJ478,"OK"),"")</f>
        <v/>
      </c>
    </row>
    <row r="479">
      <c r="A479" s="110">
        <f>"PN27-"&amp;TEXT(ROW()-6,"000")</f>
        <v/>
      </c>
      <c r="B479" s="111" t="n"/>
      <c r="C479" s="110">
        <f>IF(B479="","",IFERROR(INDEX('Catalogos_PDN'!$R$5:$R$51,MATCH(B479,PN_AREAS,0)),""))</f>
        <v/>
      </c>
      <c r="D479" s="110">
        <f>IF(B479="","",IFERROR(INDEX('Catalogos_PDN'!$O$5:$O$51,MATCH(B479,PN_AREAS,0)),""))</f>
        <v/>
      </c>
      <c r="E479" s="111" t="n"/>
      <c r="F479" s="110">
        <f>IF(E479="","",IFERROR(INDEX('Catalogos_PDN'!$C$5:$C$49,MATCH(E479,PN_METAS,0)),""))</f>
        <v/>
      </c>
      <c r="G479" s="110">
        <f>IF(E479="","",IFERROR(INDEX('Catalogos_PDN'!$E$5:$E$49,MATCH(E479,PN_METAS,0)),""))</f>
        <v/>
      </c>
      <c r="H479" s="111" t="n"/>
      <c r="I479" s="111" t="n"/>
      <c r="J479" s="111" t="n"/>
      <c r="K479" s="111" t="n"/>
      <c r="L479" s="111" t="n"/>
      <c r="M479" s="112" t="n"/>
      <c r="N479" s="111" t="n"/>
      <c r="O479" s="111" t="n"/>
      <c r="P479" s="111" t="n"/>
      <c r="Q479" s="111" t="n"/>
      <c r="R479" s="111" t="n"/>
      <c r="S479" s="111" t="n"/>
      <c r="T479" s="111" t="n"/>
      <c r="U479" s="111" t="n"/>
      <c r="V479" s="111" t="n"/>
      <c r="W479" s="113" t="n"/>
      <c r="X479" s="113" t="n"/>
      <c r="Y479" s="111" t="n"/>
      <c r="Z479" s="111" t="n"/>
      <c r="AA479" s="111" t="n"/>
      <c r="AB479" s="111" t="n"/>
      <c r="AC479" s="111" t="n"/>
      <c r="AD479" s="111" t="n"/>
      <c r="AE479" s="111" t="n"/>
      <c r="AF479" s="111" t="n"/>
      <c r="AG479" s="111" t="n"/>
      <c r="AH479" s="111" t="n"/>
      <c r="AI479" s="111" t="n"/>
      <c r="AJ479" s="114">
        <f>IF(COUNTA(B479,E479,H479,I479,J479,K479,L479,M479,N479,O479,P479,Q479,R479,S479,T479,U479,V479,W479,X479,Y479,Z479,AA479,AB479,AC479,AD479,AE479,AF479,AG479,AH479,AI479)=0,"",IF(OR(B479="",E479="",H479="",J479="",K479="",L479="",M479="",O479="",P479="",Q479="",R479="",S479="",T479="",U479="",W479="",X479="",Y479="",AB479="",AC479="",AE479="",AF479=""),"Incompleta: faltan campos obligatorios",IF(AND(LEFT(H479,6)="PROPIA",I479=""),"Falta el nombre de la acción propia del área",IF(AND(LEFT(H479,4)="AC27",IFERROR(INDEX('Catalogos_PDN'!$T$5:$T$207,MATCH(H479,'Catalogos_PDN'!$U$5:$U$207,0)),"x")&lt;&gt;LEFT(E479,7)),"La acción no corresponde a la meta seleccionada",IF(OR(NOT(ISNUMBER(M479)),M479&lt;10000000,M479&gt;99999999),"Código UNSPSC inválido: registre 8 dígitos",IF(MOD(M479,10000)=0,"UNSPSC a nivel de segmento o familia: use clase o producto",IF(IFERROR(MATCH(P479,PN_MESES,0)&lt;MATCH(O479,PN_MESES,0),TRUE()),"El mes de ofertas es anterior al de inicio del proceso",IF(OR(NOT(ISNUMBER(Q479)),Q479&lt;=0),"Duración inválida",IF(OR(NOT(ISNUMBER(W479)),NOT(ISNUMBER(X479))),"Valor inválido: registre solo números",IF(OR(W479&lt;=0,X479&lt;=0),"Valor inválido: debe ser mayor que cero",IF(X479&gt;W479,"El valor de la vigencia 2027 supera el valor total",IF(AND(X479&lt;W479,Y479="No"),"El valor total supera el de 2027: requiere vigencias futuras",IF(AND(Y479="Sí",OR(Z479="",Z479="No aplica")),"Indique el estado de la solicitud de vigencias futuras",IF(IF(AND(S479="Mínima cuantía",ISNUMBER(PN_TOPE_MINIMA)),W479&gt;PN_TOPE_MINIMA,FALSE()),"El valor supera el tope de mínima cuantía 2027",IF(IF(AND(S479="Selección abreviada de menor cuantía",ISNUMBER(PN_TOPE_MENOR)),W479&gt;PN_TOPE_MENOR,FALSE()),"El valor supera el tope de menor cuantía 2027",IF(OR(ISERROR(SEARCH("@itc.edu.co",AE479)),SUMPRODUCT(--ISNUMBER(SEARCH({"á","é","í","ó","ú","ñ"," "},AE479)))&gt;0),"El correo del responsable no es institucional válido",IF(AND(AF479="Sí",AG479=""),"Indique el N.° de registro 2026 que continúa","OK")))))))))))))))))</f>
        <v/>
      </c>
      <c r="AK479" s="114">
        <f>IF(AJ479="OK",COUNTIF($AJ$7:AJ479,"OK"),"")</f>
        <v/>
      </c>
    </row>
    <row r="480">
      <c r="A480" s="110">
        <f>"PN27-"&amp;TEXT(ROW()-6,"000")</f>
        <v/>
      </c>
      <c r="B480" s="111" t="n"/>
      <c r="C480" s="110">
        <f>IF(B480="","",IFERROR(INDEX('Catalogos_PDN'!$R$5:$R$51,MATCH(B480,PN_AREAS,0)),""))</f>
        <v/>
      </c>
      <c r="D480" s="110">
        <f>IF(B480="","",IFERROR(INDEX('Catalogos_PDN'!$O$5:$O$51,MATCH(B480,PN_AREAS,0)),""))</f>
        <v/>
      </c>
      <c r="E480" s="111" t="n"/>
      <c r="F480" s="110">
        <f>IF(E480="","",IFERROR(INDEX('Catalogos_PDN'!$C$5:$C$49,MATCH(E480,PN_METAS,0)),""))</f>
        <v/>
      </c>
      <c r="G480" s="110">
        <f>IF(E480="","",IFERROR(INDEX('Catalogos_PDN'!$E$5:$E$49,MATCH(E480,PN_METAS,0)),""))</f>
        <v/>
      </c>
      <c r="H480" s="111" t="n"/>
      <c r="I480" s="111" t="n"/>
      <c r="J480" s="111" t="n"/>
      <c r="K480" s="111" t="n"/>
      <c r="L480" s="111" t="n"/>
      <c r="M480" s="112" t="n"/>
      <c r="N480" s="111" t="n"/>
      <c r="O480" s="111" t="n"/>
      <c r="P480" s="111" t="n"/>
      <c r="Q480" s="111" t="n"/>
      <c r="R480" s="111" t="n"/>
      <c r="S480" s="111" t="n"/>
      <c r="T480" s="111" t="n"/>
      <c r="U480" s="111" t="n"/>
      <c r="V480" s="111" t="n"/>
      <c r="W480" s="113" t="n"/>
      <c r="X480" s="113" t="n"/>
      <c r="Y480" s="111" t="n"/>
      <c r="Z480" s="111" t="n"/>
      <c r="AA480" s="111" t="n"/>
      <c r="AB480" s="111" t="n"/>
      <c r="AC480" s="111" t="n"/>
      <c r="AD480" s="111" t="n"/>
      <c r="AE480" s="111" t="n"/>
      <c r="AF480" s="111" t="n"/>
      <c r="AG480" s="111" t="n"/>
      <c r="AH480" s="111" t="n"/>
      <c r="AI480" s="111" t="n"/>
      <c r="AJ480" s="114">
        <f>IF(COUNTA(B480,E480,H480,I480,J480,K480,L480,M480,N480,O480,P480,Q480,R480,S480,T480,U480,V480,W480,X480,Y480,Z480,AA480,AB480,AC480,AD480,AE480,AF480,AG480,AH480,AI480)=0,"",IF(OR(B480="",E480="",H480="",J480="",K480="",L480="",M480="",O480="",P480="",Q480="",R480="",S480="",T480="",U480="",W480="",X480="",Y480="",AB480="",AC480="",AE480="",AF480=""),"Incompleta: faltan campos obligatorios",IF(AND(LEFT(H480,6)="PROPIA",I480=""),"Falta el nombre de la acción propia del área",IF(AND(LEFT(H480,4)="AC27",IFERROR(INDEX('Catalogos_PDN'!$T$5:$T$207,MATCH(H480,'Catalogos_PDN'!$U$5:$U$207,0)),"x")&lt;&gt;LEFT(E480,7)),"La acción no corresponde a la meta seleccionada",IF(OR(NOT(ISNUMBER(M480)),M480&lt;10000000,M480&gt;99999999),"Código UNSPSC inválido: registre 8 dígitos",IF(MOD(M480,10000)=0,"UNSPSC a nivel de segmento o familia: use clase o producto",IF(IFERROR(MATCH(P480,PN_MESES,0)&lt;MATCH(O480,PN_MESES,0),TRUE()),"El mes de ofertas es anterior al de inicio del proceso",IF(OR(NOT(ISNUMBER(Q480)),Q480&lt;=0),"Duración inválida",IF(OR(NOT(ISNUMBER(W480)),NOT(ISNUMBER(X480))),"Valor inválido: registre solo números",IF(OR(W480&lt;=0,X480&lt;=0),"Valor inválido: debe ser mayor que cero",IF(X480&gt;W480,"El valor de la vigencia 2027 supera el valor total",IF(AND(X480&lt;W480,Y480="No"),"El valor total supera el de 2027: requiere vigencias futuras",IF(AND(Y480="Sí",OR(Z480="",Z480="No aplica")),"Indique el estado de la solicitud de vigencias futuras",IF(IF(AND(S480="Mínima cuantía",ISNUMBER(PN_TOPE_MINIMA)),W480&gt;PN_TOPE_MINIMA,FALSE()),"El valor supera el tope de mínima cuantía 2027",IF(IF(AND(S480="Selección abreviada de menor cuantía",ISNUMBER(PN_TOPE_MENOR)),W480&gt;PN_TOPE_MENOR,FALSE()),"El valor supera el tope de menor cuantía 2027",IF(OR(ISERROR(SEARCH("@itc.edu.co",AE480)),SUMPRODUCT(--ISNUMBER(SEARCH({"á","é","í","ó","ú","ñ"," "},AE480)))&gt;0),"El correo del responsable no es institucional válido",IF(AND(AF480="Sí",AG480=""),"Indique el N.° de registro 2026 que continúa","OK")))))))))))))))))</f>
        <v/>
      </c>
      <c r="AK480" s="114">
        <f>IF(AJ480="OK",COUNTIF($AJ$7:AJ480,"OK"),"")</f>
        <v/>
      </c>
    </row>
    <row r="481">
      <c r="A481" s="110">
        <f>"PN27-"&amp;TEXT(ROW()-6,"000")</f>
        <v/>
      </c>
      <c r="B481" s="111" t="n"/>
      <c r="C481" s="110">
        <f>IF(B481="","",IFERROR(INDEX('Catalogos_PDN'!$R$5:$R$51,MATCH(B481,PN_AREAS,0)),""))</f>
        <v/>
      </c>
      <c r="D481" s="110">
        <f>IF(B481="","",IFERROR(INDEX('Catalogos_PDN'!$O$5:$O$51,MATCH(B481,PN_AREAS,0)),""))</f>
        <v/>
      </c>
      <c r="E481" s="111" t="n"/>
      <c r="F481" s="110">
        <f>IF(E481="","",IFERROR(INDEX('Catalogos_PDN'!$C$5:$C$49,MATCH(E481,PN_METAS,0)),""))</f>
        <v/>
      </c>
      <c r="G481" s="110">
        <f>IF(E481="","",IFERROR(INDEX('Catalogos_PDN'!$E$5:$E$49,MATCH(E481,PN_METAS,0)),""))</f>
        <v/>
      </c>
      <c r="H481" s="111" t="n"/>
      <c r="I481" s="111" t="n"/>
      <c r="J481" s="111" t="n"/>
      <c r="K481" s="111" t="n"/>
      <c r="L481" s="111" t="n"/>
      <c r="M481" s="112" t="n"/>
      <c r="N481" s="111" t="n"/>
      <c r="O481" s="111" t="n"/>
      <c r="P481" s="111" t="n"/>
      <c r="Q481" s="111" t="n"/>
      <c r="R481" s="111" t="n"/>
      <c r="S481" s="111" t="n"/>
      <c r="T481" s="111" t="n"/>
      <c r="U481" s="111" t="n"/>
      <c r="V481" s="111" t="n"/>
      <c r="W481" s="113" t="n"/>
      <c r="X481" s="113" t="n"/>
      <c r="Y481" s="111" t="n"/>
      <c r="Z481" s="111" t="n"/>
      <c r="AA481" s="111" t="n"/>
      <c r="AB481" s="111" t="n"/>
      <c r="AC481" s="111" t="n"/>
      <c r="AD481" s="111" t="n"/>
      <c r="AE481" s="111" t="n"/>
      <c r="AF481" s="111" t="n"/>
      <c r="AG481" s="111" t="n"/>
      <c r="AH481" s="111" t="n"/>
      <c r="AI481" s="111" t="n"/>
      <c r="AJ481" s="114">
        <f>IF(COUNTA(B481,E481,H481,I481,J481,K481,L481,M481,N481,O481,P481,Q481,R481,S481,T481,U481,V481,W481,X481,Y481,Z481,AA481,AB481,AC481,AD481,AE481,AF481,AG481,AH481,AI481)=0,"",IF(OR(B481="",E481="",H481="",J481="",K481="",L481="",M481="",O481="",P481="",Q481="",R481="",S481="",T481="",U481="",W481="",X481="",Y481="",AB481="",AC481="",AE481="",AF481=""),"Incompleta: faltan campos obligatorios",IF(AND(LEFT(H481,6)="PROPIA",I481=""),"Falta el nombre de la acción propia del área",IF(AND(LEFT(H481,4)="AC27",IFERROR(INDEX('Catalogos_PDN'!$T$5:$T$207,MATCH(H481,'Catalogos_PDN'!$U$5:$U$207,0)),"x")&lt;&gt;LEFT(E481,7)),"La acción no corresponde a la meta seleccionada",IF(OR(NOT(ISNUMBER(M481)),M481&lt;10000000,M481&gt;99999999),"Código UNSPSC inválido: registre 8 dígitos",IF(MOD(M481,10000)=0,"UNSPSC a nivel de segmento o familia: use clase o producto",IF(IFERROR(MATCH(P481,PN_MESES,0)&lt;MATCH(O481,PN_MESES,0),TRUE()),"El mes de ofertas es anterior al de inicio del proceso",IF(OR(NOT(ISNUMBER(Q481)),Q481&lt;=0),"Duración inválida",IF(OR(NOT(ISNUMBER(W481)),NOT(ISNUMBER(X481))),"Valor inválido: registre solo números",IF(OR(W481&lt;=0,X481&lt;=0),"Valor inválido: debe ser mayor que cero",IF(X481&gt;W481,"El valor de la vigencia 2027 supera el valor total",IF(AND(X481&lt;W481,Y481="No"),"El valor total supera el de 2027: requiere vigencias futuras",IF(AND(Y481="Sí",OR(Z481="",Z481="No aplica")),"Indique el estado de la solicitud de vigencias futuras",IF(IF(AND(S481="Mínima cuantía",ISNUMBER(PN_TOPE_MINIMA)),W481&gt;PN_TOPE_MINIMA,FALSE()),"El valor supera el tope de mínima cuantía 2027",IF(IF(AND(S481="Selección abreviada de menor cuantía",ISNUMBER(PN_TOPE_MENOR)),W481&gt;PN_TOPE_MENOR,FALSE()),"El valor supera el tope de menor cuantía 2027",IF(OR(ISERROR(SEARCH("@itc.edu.co",AE481)),SUMPRODUCT(--ISNUMBER(SEARCH({"á","é","í","ó","ú","ñ"," "},AE481)))&gt;0),"El correo del responsable no es institucional válido",IF(AND(AF481="Sí",AG481=""),"Indique el N.° de registro 2026 que continúa","OK")))))))))))))))))</f>
        <v/>
      </c>
      <c r="AK481" s="114">
        <f>IF(AJ481="OK",COUNTIF($AJ$7:AJ481,"OK"),"")</f>
        <v/>
      </c>
    </row>
    <row r="482">
      <c r="A482" s="110">
        <f>"PN27-"&amp;TEXT(ROW()-6,"000")</f>
        <v/>
      </c>
      <c r="B482" s="111" t="n"/>
      <c r="C482" s="110">
        <f>IF(B482="","",IFERROR(INDEX('Catalogos_PDN'!$R$5:$R$51,MATCH(B482,PN_AREAS,0)),""))</f>
        <v/>
      </c>
      <c r="D482" s="110">
        <f>IF(B482="","",IFERROR(INDEX('Catalogos_PDN'!$O$5:$O$51,MATCH(B482,PN_AREAS,0)),""))</f>
        <v/>
      </c>
      <c r="E482" s="111" t="n"/>
      <c r="F482" s="110">
        <f>IF(E482="","",IFERROR(INDEX('Catalogos_PDN'!$C$5:$C$49,MATCH(E482,PN_METAS,0)),""))</f>
        <v/>
      </c>
      <c r="G482" s="110">
        <f>IF(E482="","",IFERROR(INDEX('Catalogos_PDN'!$E$5:$E$49,MATCH(E482,PN_METAS,0)),""))</f>
        <v/>
      </c>
      <c r="H482" s="111" t="n"/>
      <c r="I482" s="111" t="n"/>
      <c r="J482" s="111" t="n"/>
      <c r="K482" s="111" t="n"/>
      <c r="L482" s="111" t="n"/>
      <c r="M482" s="112" t="n"/>
      <c r="N482" s="111" t="n"/>
      <c r="O482" s="111" t="n"/>
      <c r="P482" s="111" t="n"/>
      <c r="Q482" s="111" t="n"/>
      <c r="R482" s="111" t="n"/>
      <c r="S482" s="111" t="n"/>
      <c r="T482" s="111" t="n"/>
      <c r="U482" s="111" t="n"/>
      <c r="V482" s="111" t="n"/>
      <c r="W482" s="113" t="n"/>
      <c r="X482" s="113" t="n"/>
      <c r="Y482" s="111" t="n"/>
      <c r="Z482" s="111" t="n"/>
      <c r="AA482" s="111" t="n"/>
      <c r="AB482" s="111" t="n"/>
      <c r="AC482" s="111" t="n"/>
      <c r="AD482" s="111" t="n"/>
      <c r="AE482" s="111" t="n"/>
      <c r="AF482" s="111" t="n"/>
      <c r="AG482" s="111" t="n"/>
      <c r="AH482" s="111" t="n"/>
      <c r="AI482" s="111" t="n"/>
      <c r="AJ482" s="114">
        <f>IF(COUNTA(B482,E482,H482,I482,J482,K482,L482,M482,N482,O482,P482,Q482,R482,S482,T482,U482,V482,W482,X482,Y482,Z482,AA482,AB482,AC482,AD482,AE482,AF482,AG482,AH482,AI482)=0,"",IF(OR(B482="",E482="",H482="",J482="",K482="",L482="",M482="",O482="",P482="",Q482="",R482="",S482="",T482="",U482="",W482="",X482="",Y482="",AB482="",AC482="",AE482="",AF482=""),"Incompleta: faltan campos obligatorios",IF(AND(LEFT(H482,6)="PROPIA",I482=""),"Falta el nombre de la acción propia del área",IF(AND(LEFT(H482,4)="AC27",IFERROR(INDEX('Catalogos_PDN'!$T$5:$T$207,MATCH(H482,'Catalogos_PDN'!$U$5:$U$207,0)),"x")&lt;&gt;LEFT(E482,7)),"La acción no corresponde a la meta seleccionada",IF(OR(NOT(ISNUMBER(M482)),M482&lt;10000000,M482&gt;99999999),"Código UNSPSC inválido: registre 8 dígitos",IF(MOD(M482,10000)=0,"UNSPSC a nivel de segmento o familia: use clase o producto",IF(IFERROR(MATCH(P482,PN_MESES,0)&lt;MATCH(O482,PN_MESES,0),TRUE()),"El mes de ofertas es anterior al de inicio del proceso",IF(OR(NOT(ISNUMBER(Q482)),Q482&lt;=0),"Duración inválida",IF(OR(NOT(ISNUMBER(W482)),NOT(ISNUMBER(X482))),"Valor inválido: registre solo números",IF(OR(W482&lt;=0,X482&lt;=0),"Valor inválido: debe ser mayor que cero",IF(X482&gt;W482,"El valor de la vigencia 2027 supera el valor total",IF(AND(X482&lt;W482,Y482="No"),"El valor total supera el de 2027: requiere vigencias futuras",IF(AND(Y482="Sí",OR(Z482="",Z482="No aplica")),"Indique el estado de la solicitud de vigencias futuras",IF(IF(AND(S482="Mínima cuantía",ISNUMBER(PN_TOPE_MINIMA)),W482&gt;PN_TOPE_MINIMA,FALSE()),"El valor supera el tope de mínima cuantía 2027",IF(IF(AND(S482="Selección abreviada de menor cuantía",ISNUMBER(PN_TOPE_MENOR)),W482&gt;PN_TOPE_MENOR,FALSE()),"El valor supera el tope de menor cuantía 2027",IF(OR(ISERROR(SEARCH("@itc.edu.co",AE482)),SUMPRODUCT(--ISNUMBER(SEARCH({"á","é","í","ó","ú","ñ"," "},AE482)))&gt;0),"El correo del responsable no es institucional válido",IF(AND(AF482="Sí",AG482=""),"Indique el N.° de registro 2026 que continúa","OK")))))))))))))))))</f>
        <v/>
      </c>
      <c r="AK482" s="114">
        <f>IF(AJ482="OK",COUNTIF($AJ$7:AJ482,"OK"),"")</f>
        <v/>
      </c>
    </row>
    <row r="483">
      <c r="A483" s="110">
        <f>"PN27-"&amp;TEXT(ROW()-6,"000")</f>
        <v/>
      </c>
      <c r="B483" s="111" t="n"/>
      <c r="C483" s="110">
        <f>IF(B483="","",IFERROR(INDEX('Catalogos_PDN'!$R$5:$R$51,MATCH(B483,PN_AREAS,0)),""))</f>
        <v/>
      </c>
      <c r="D483" s="110">
        <f>IF(B483="","",IFERROR(INDEX('Catalogos_PDN'!$O$5:$O$51,MATCH(B483,PN_AREAS,0)),""))</f>
        <v/>
      </c>
      <c r="E483" s="111" t="n"/>
      <c r="F483" s="110">
        <f>IF(E483="","",IFERROR(INDEX('Catalogos_PDN'!$C$5:$C$49,MATCH(E483,PN_METAS,0)),""))</f>
        <v/>
      </c>
      <c r="G483" s="110">
        <f>IF(E483="","",IFERROR(INDEX('Catalogos_PDN'!$E$5:$E$49,MATCH(E483,PN_METAS,0)),""))</f>
        <v/>
      </c>
      <c r="H483" s="111" t="n"/>
      <c r="I483" s="111" t="n"/>
      <c r="J483" s="111" t="n"/>
      <c r="K483" s="111" t="n"/>
      <c r="L483" s="111" t="n"/>
      <c r="M483" s="112" t="n"/>
      <c r="N483" s="111" t="n"/>
      <c r="O483" s="111" t="n"/>
      <c r="P483" s="111" t="n"/>
      <c r="Q483" s="111" t="n"/>
      <c r="R483" s="111" t="n"/>
      <c r="S483" s="111" t="n"/>
      <c r="T483" s="111" t="n"/>
      <c r="U483" s="111" t="n"/>
      <c r="V483" s="111" t="n"/>
      <c r="W483" s="113" t="n"/>
      <c r="X483" s="113" t="n"/>
      <c r="Y483" s="111" t="n"/>
      <c r="Z483" s="111" t="n"/>
      <c r="AA483" s="111" t="n"/>
      <c r="AB483" s="111" t="n"/>
      <c r="AC483" s="111" t="n"/>
      <c r="AD483" s="111" t="n"/>
      <c r="AE483" s="111" t="n"/>
      <c r="AF483" s="111" t="n"/>
      <c r="AG483" s="111" t="n"/>
      <c r="AH483" s="111" t="n"/>
      <c r="AI483" s="111" t="n"/>
      <c r="AJ483" s="114">
        <f>IF(COUNTA(B483,E483,H483,I483,J483,K483,L483,M483,N483,O483,P483,Q483,R483,S483,T483,U483,V483,W483,X483,Y483,Z483,AA483,AB483,AC483,AD483,AE483,AF483,AG483,AH483,AI483)=0,"",IF(OR(B483="",E483="",H483="",J483="",K483="",L483="",M483="",O483="",P483="",Q483="",R483="",S483="",T483="",U483="",W483="",X483="",Y483="",AB483="",AC483="",AE483="",AF483=""),"Incompleta: faltan campos obligatorios",IF(AND(LEFT(H483,6)="PROPIA",I483=""),"Falta el nombre de la acción propia del área",IF(AND(LEFT(H483,4)="AC27",IFERROR(INDEX('Catalogos_PDN'!$T$5:$T$207,MATCH(H483,'Catalogos_PDN'!$U$5:$U$207,0)),"x")&lt;&gt;LEFT(E483,7)),"La acción no corresponde a la meta seleccionada",IF(OR(NOT(ISNUMBER(M483)),M483&lt;10000000,M483&gt;99999999),"Código UNSPSC inválido: registre 8 dígitos",IF(MOD(M483,10000)=0,"UNSPSC a nivel de segmento o familia: use clase o producto",IF(IFERROR(MATCH(P483,PN_MESES,0)&lt;MATCH(O483,PN_MESES,0),TRUE()),"El mes de ofertas es anterior al de inicio del proceso",IF(OR(NOT(ISNUMBER(Q483)),Q483&lt;=0),"Duración inválida",IF(OR(NOT(ISNUMBER(W483)),NOT(ISNUMBER(X483))),"Valor inválido: registre solo números",IF(OR(W483&lt;=0,X483&lt;=0),"Valor inválido: debe ser mayor que cero",IF(X483&gt;W483,"El valor de la vigencia 2027 supera el valor total",IF(AND(X483&lt;W483,Y483="No"),"El valor total supera el de 2027: requiere vigencias futuras",IF(AND(Y483="Sí",OR(Z483="",Z483="No aplica")),"Indique el estado de la solicitud de vigencias futuras",IF(IF(AND(S483="Mínima cuantía",ISNUMBER(PN_TOPE_MINIMA)),W483&gt;PN_TOPE_MINIMA,FALSE()),"El valor supera el tope de mínima cuantía 2027",IF(IF(AND(S483="Selección abreviada de menor cuantía",ISNUMBER(PN_TOPE_MENOR)),W483&gt;PN_TOPE_MENOR,FALSE()),"El valor supera el tope de menor cuantía 2027",IF(OR(ISERROR(SEARCH("@itc.edu.co",AE483)),SUMPRODUCT(--ISNUMBER(SEARCH({"á","é","í","ó","ú","ñ"," "},AE483)))&gt;0),"El correo del responsable no es institucional válido",IF(AND(AF483="Sí",AG483=""),"Indique el N.° de registro 2026 que continúa","OK")))))))))))))))))</f>
        <v/>
      </c>
      <c r="AK483" s="114">
        <f>IF(AJ483="OK",COUNTIF($AJ$7:AJ483,"OK"),"")</f>
        <v/>
      </c>
    </row>
    <row r="484">
      <c r="A484" s="110">
        <f>"PN27-"&amp;TEXT(ROW()-6,"000")</f>
        <v/>
      </c>
      <c r="B484" s="111" t="n"/>
      <c r="C484" s="110">
        <f>IF(B484="","",IFERROR(INDEX('Catalogos_PDN'!$R$5:$R$51,MATCH(B484,PN_AREAS,0)),""))</f>
        <v/>
      </c>
      <c r="D484" s="110">
        <f>IF(B484="","",IFERROR(INDEX('Catalogos_PDN'!$O$5:$O$51,MATCH(B484,PN_AREAS,0)),""))</f>
        <v/>
      </c>
      <c r="E484" s="111" t="n"/>
      <c r="F484" s="110">
        <f>IF(E484="","",IFERROR(INDEX('Catalogos_PDN'!$C$5:$C$49,MATCH(E484,PN_METAS,0)),""))</f>
        <v/>
      </c>
      <c r="G484" s="110">
        <f>IF(E484="","",IFERROR(INDEX('Catalogos_PDN'!$E$5:$E$49,MATCH(E484,PN_METAS,0)),""))</f>
        <v/>
      </c>
      <c r="H484" s="111" t="n"/>
      <c r="I484" s="111" t="n"/>
      <c r="J484" s="111" t="n"/>
      <c r="K484" s="111" t="n"/>
      <c r="L484" s="111" t="n"/>
      <c r="M484" s="112" t="n"/>
      <c r="N484" s="111" t="n"/>
      <c r="O484" s="111" t="n"/>
      <c r="P484" s="111" t="n"/>
      <c r="Q484" s="111" t="n"/>
      <c r="R484" s="111" t="n"/>
      <c r="S484" s="111" t="n"/>
      <c r="T484" s="111" t="n"/>
      <c r="U484" s="111" t="n"/>
      <c r="V484" s="111" t="n"/>
      <c r="W484" s="113" t="n"/>
      <c r="X484" s="113" t="n"/>
      <c r="Y484" s="111" t="n"/>
      <c r="Z484" s="111" t="n"/>
      <c r="AA484" s="111" t="n"/>
      <c r="AB484" s="111" t="n"/>
      <c r="AC484" s="111" t="n"/>
      <c r="AD484" s="111" t="n"/>
      <c r="AE484" s="111" t="n"/>
      <c r="AF484" s="111" t="n"/>
      <c r="AG484" s="111" t="n"/>
      <c r="AH484" s="111" t="n"/>
      <c r="AI484" s="111" t="n"/>
      <c r="AJ484" s="114">
        <f>IF(COUNTA(B484,E484,H484,I484,J484,K484,L484,M484,N484,O484,P484,Q484,R484,S484,T484,U484,V484,W484,X484,Y484,Z484,AA484,AB484,AC484,AD484,AE484,AF484,AG484,AH484,AI484)=0,"",IF(OR(B484="",E484="",H484="",J484="",K484="",L484="",M484="",O484="",P484="",Q484="",R484="",S484="",T484="",U484="",W484="",X484="",Y484="",AB484="",AC484="",AE484="",AF484=""),"Incompleta: faltan campos obligatorios",IF(AND(LEFT(H484,6)="PROPIA",I484=""),"Falta el nombre de la acción propia del área",IF(AND(LEFT(H484,4)="AC27",IFERROR(INDEX('Catalogos_PDN'!$T$5:$T$207,MATCH(H484,'Catalogos_PDN'!$U$5:$U$207,0)),"x")&lt;&gt;LEFT(E484,7)),"La acción no corresponde a la meta seleccionada",IF(OR(NOT(ISNUMBER(M484)),M484&lt;10000000,M484&gt;99999999),"Código UNSPSC inválido: registre 8 dígitos",IF(MOD(M484,10000)=0,"UNSPSC a nivel de segmento o familia: use clase o producto",IF(IFERROR(MATCH(P484,PN_MESES,0)&lt;MATCH(O484,PN_MESES,0),TRUE()),"El mes de ofertas es anterior al de inicio del proceso",IF(OR(NOT(ISNUMBER(Q484)),Q484&lt;=0),"Duración inválida",IF(OR(NOT(ISNUMBER(W484)),NOT(ISNUMBER(X484))),"Valor inválido: registre solo números",IF(OR(W484&lt;=0,X484&lt;=0),"Valor inválido: debe ser mayor que cero",IF(X484&gt;W484,"El valor de la vigencia 2027 supera el valor total",IF(AND(X484&lt;W484,Y484="No"),"El valor total supera el de 2027: requiere vigencias futuras",IF(AND(Y484="Sí",OR(Z484="",Z484="No aplica")),"Indique el estado de la solicitud de vigencias futuras",IF(IF(AND(S484="Mínima cuantía",ISNUMBER(PN_TOPE_MINIMA)),W484&gt;PN_TOPE_MINIMA,FALSE()),"El valor supera el tope de mínima cuantía 2027",IF(IF(AND(S484="Selección abreviada de menor cuantía",ISNUMBER(PN_TOPE_MENOR)),W484&gt;PN_TOPE_MENOR,FALSE()),"El valor supera el tope de menor cuantía 2027",IF(OR(ISERROR(SEARCH("@itc.edu.co",AE484)),SUMPRODUCT(--ISNUMBER(SEARCH({"á","é","í","ó","ú","ñ"," "},AE484)))&gt;0),"El correo del responsable no es institucional válido",IF(AND(AF484="Sí",AG484=""),"Indique el N.° de registro 2026 que continúa","OK")))))))))))))))))</f>
        <v/>
      </c>
      <c r="AK484" s="114">
        <f>IF(AJ484="OK",COUNTIF($AJ$7:AJ484,"OK"),"")</f>
        <v/>
      </c>
    </row>
    <row r="485">
      <c r="A485" s="110">
        <f>"PN27-"&amp;TEXT(ROW()-6,"000")</f>
        <v/>
      </c>
      <c r="B485" s="111" t="n"/>
      <c r="C485" s="110">
        <f>IF(B485="","",IFERROR(INDEX('Catalogos_PDN'!$R$5:$R$51,MATCH(B485,PN_AREAS,0)),""))</f>
        <v/>
      </c>
      <c r="D485" s="110">
        <f>IF(B485="","",IFERROR(INDEX('Catalogos_PDN'!$O$5:$O$51,MATCH(B485,PN_AREAS,0)),""))</f>
        <v/>
      </c>
      <c r="E485" s="111" t="n"/>
      <c r="F485" s="110">
        <f>IF(E485="","",IFERROR(INDEX('Catalogos_PDN'!$C$5:$C$49,MATCH(E485,PN_METAS,0)),""))</f>
        <v/>
      </c>
      <c r="G485" s="110">
        <f>IF(E485="","",IFERROR(INDEX('Catalogos_PDN'!$E$5:$E$49,MATCH(E485,PN_METAS,0)),""))</f>
        <v/>
      </c>
      <c r="H485" s="111" t="n"/>
      <c r="I485" s="111" t="n"/>
      <c r="J485" s="111" t="n"/>
      <c r="K485" s="111" t="n"/>
      <c r="L485" s="111" t="n"/>
      <c r="M485" s="112" t="n"/>
      <c r="N485" s="111" t="n"/>
      <c r="O485" s="111" t="n"/>
      <c r="P485" s="111" t="n"/>
      <c r="Q485" s="111" t="n"/>
      <c r="R485" s="111" t="n"/>
      <c r="S485" s="111" t="n"/>
      <c r="T485" s="111" t="n"/>
      <c r="U485" s="111" t="n"/>
      <c r="V485" s="111" t="n"/>
      <c r="W485" s="113" t="n"/>
      <c r="X485" s="113" t="n"/>
      <c r="Y485" s="111" t="n"/>
      <c r="Z485" s="111" t="n"/>
      <c r="AA485" s="111" t="n"/>
      <c r="AB485" s="111" t="n"/>
      <c r="AC485" s="111" t="n"/>
      <c r="AD485" s="111" t="n"/>
      <c r="AE485" s="111" t="n"/>
      <c r="AF485" s="111" t="n"/>
      <c r="AG485" s="111" t="n"/>
      <c r="AH485" s="111" t="n"/>
      <c r="AI485" s="111" t="n"/>
      <c r="AJ485" s="114">
        <f>IF(COUNTA(B485,E485,H485,I485,J485,K485,L485,M485,N485,O485,P485,Q485,R485,S485,T485,U485,V485,W485,X485,Y485,Z485,AA485,AB485,AC485,AD485,AE485,AF485,AG485,AH485,AI485)=0,"",IF(OR(B485="",E485="",H485="",J485="",K485="",L485="",M485="",O485="",P485="",Q485="",R485="",S485="",T485="",U485="",W485="",X485="",Y485="",AB485="",AC485="",AE485="",AF485=""),"Incompleta: faltan campos obligatorios",IF(AND(LEFT(H485,6)="PROPIA",I485=""),"Falta el nombre de la acción propia del área",IF(AND(LEFT(H485,4)="AC27",IFERROR(INDEX('Catalogos_PDN'!$T$5:$T$207,MATCH(H485,'Catalogos_PDN'!$U$5:$U$207,0)),"x")&lt;&gt;LEFT(E485,7)),"La acción no corresponde a la meta seleccionada",IF(OR(NOT(ISNUMBER(M485)),M485&lt;10000000,M485&gt;99999999),"Código UNSPSC inválido: registre 8 dígitos",IF(MOD(M485,10000)=0,"UNSPSC a nivel de segmento o familia: use clase o producto",IF(IFERROR(MATCH(P485,PN_MESES,0)&lt;MATCH(O485,PN_MESES,0),TRUE()),"El mes de ofertas es anterior al de inicio del proceso",IF(OR(NOT(ISNUMBER(Q485)),Q485&lt;=0),"Duración inválida",IF(OR(NOT(ISNUMBER(W485)),NOT(ISNUMBER(X485))),"Valor inválido: registre solo números",IF(OR(W485&lt;=0,X485&lt;=0),"Valor inválido: debe ser mayor que cero",IF(X485&gt;W485,"El valor de la vigencia 2027 supera el valor total",IF(AND(X485&lt;W485,Y485="No"),"El valor total supera el de 2027: requiere vigencias futuras",IF(AND(Y485="Sí",OR(Z485="",Z485="No aplica")),"Indique el estado de la solicitud de vigencias futuras",IF(IF(AND(S485="Mínima cuantía",ISNUMBER(PN_TOPE_MINIMA)),W485&gt;PN_TOPE_MINIMA,FALSE()),"El valor supera el tope de mínima cuantía 2027",IF(IF(AND(S485="Selección abreviada de menor cuantía",ISNUMBER(PN_TOPE_MENOR)),W485&gt;PN_TOPE_MENOR,FALSE()),"El valor supera el tope de menor cuantía 2027",IF(OR(ISERROR(SEARCH("@itc.edu.co",AE485)),SUMPRODUCT(--ISNUMBER(SEARCH({"á","é","í","ó","ú","ñ"," "},AE485)))&gt;0),"El correo del responsable no es institucional válido",IF(AND(AF485="Sí",AG485=""),"Indique el N.° de registro 2026 que continúa","OK")))))))))))))))))</f>
        <v/>
      </c>
      <c r="AK485" s="114">
        <f>IF(AJ485="OK",COUNTIF($AJ$7:AJ485,"OK"),"")</f>
        <v/>
      </c>
    </row>
    <row r="486">
      <c r="A486" s="110">
        <f>"PN27-"&amp;TEXT(ROW()-6,"000")</f>
        <v/>
      </c>
      <c r="B486" s="111" t="n"/>
      <c r="C486" s="110">
        <f>IF(B486="","",IFERROR(INDEX('Catalogos_PDN'!$R$5:$R$51,MATCH(B486,PN_AREAS,0)),""))</f>
        <v/>
      </c>
      <c r="D486" s="110">
        <f>IF(B486="","",IFERROR(INDEX('Catalogos_PDN'!$O$5:$O$51,MATCH(B486,PN_AREAS,0)),""))</f>
        <v/>
      </c>
      <c r="E486" s="111" t="n"/>
      <c r="F486" s="110">
        <f>IF(E486="","",IFERROR(INDEX('Catalogos_PDN'!$C$5:$C$49,MATCH(E486,PN_METAS,0)),""))</f>
        <v/>
      </c>
      <c r="G486" s="110">
        <f>IF(E486="","",IFERROR(INDEX('Catalogos_PDN'!$E$5:$E$49,MATCH(E486,PN_METAS,0)),""))</f>
        <v/>
      </c>
      <c r="H486" s="111" t="n"/>
      <c r="I486" s="111" t="n"/>
      <c r="J486" s="111" t="n"/>
      <c r="K486" s="111" t="n"/>
      <c r="L486" s="111" t="n"/>
      <c r="M486" s="112" t="n"/>
      <c r="N486" s="111" t="n"/>
      <c r="O486" s="111" t="n"/>
      <c r="P486" s="111" t="n"/>
      <c r="Q486" s="111" t="n"/>
      <c r="R486" s="111" t="n"/>
      <c r="S486" s="111" t="n"/>
      <c r="T486" s="111" t="n"/>
      <c r="U486" s="111" t="n"/>
      <c r="V486" s="111" t="n"/>
      <c r="W486" s="113" t="n"/>
      <c r="X486" s="113" t="n"/>
      <c r="Y486" s="111" t="n"/>
      <c r="Z486" s="111" t="n"/>
      <c r="AA486" s="111" t="n"/>
      <c r="AB486" s="111" t="n"/>
      <c r="AC486" s="111" t="n"/>
      <c r="AD486" s="111" t="n"/>
      <c r="AE486" s="111" t="n"/>
      <c r="AF486" s="111" t="n"/>
      <c r="AG486" s="111" t="n"/>
      <c r="AH486" s="111" t="n"/>
      <c r="AI486" s="111" t="n"/>
      <c r="AJ486" s="114">
        <f>IF(COUNTA(B486,E486,H486,I486,J486,K486,L486,M486,N486,O486,P486,Q486,R486,S486,T486,U486,V486,W486,X486,Y486,Z486,AA486,AB486,AC486,AD486,AE486,AF486,AG486,AH486,AI486)=0,"",IF(OR(B486="",E486="",H486="",J486="",K486="",L486="",M486="",O486="",P486="",Q486="",R486="",S486="",T486="",U486="",W486="",X486="",Y486="",AB486="",AC486="",AE486="",AF486=""),"Incompleta: faltan campos obligatorios",IF(AND(LEFT(H486,6)="PROPIA",I486=""),"Falta el nombre de la acción propia del área",IF(AND(LEFT(H486,4)="AC27",IFERROR(INDEX('Catalogos_PDN'!$T$5:$T$207,MATCH(H486,'Catalogos_PDN'!$U$5:$U$207,0)),"x")&lt;&gt;LEFT(E486,7)),"La acción no corresponde a la meta seleccionada",IF(OR(NOT(ISNUMBER(M486)),M486&lt;10000000,M486&gt;99999999),"Código UNSPSC inválido: registre 8 dígitos",IF(MOD(M486,10000)=0,"UNSPSC a nivel de segmento o familia: use clase o producto",IF(IFERROR(MATCH(P486,PN_MESES,0)&lt;MATCH(O486,PN_MESES,0),TRUE()),"El mes de ofertas es anterior al de inicio del proceso",IF(OR(NOT(ISNUMBER(Q486)),Q486&lt;=0),"Duración inválida",IF(OR(NOT(ISNUMBER(W486)),NOT(ISNUMBER(X486))),"Valor inválido: registre solo números",IF(OR(W486&lt;=0,X486&lt;=0),"Valor inválido: debe ser mayor que cero",IF(X486&gt;W486,"El valor de la vigencia 2027 supera el valor total",IF(AND(X486&lt;W486,Y486="No"),"El valor total supera el de 2027: requiere vigencias futuras",IF(AND(Y486="Sí",OR(Z486="",Z486="No aplica")),"Indique el estado de la solicitud de vigencias futuras",IF(IF(AND(S486="Mínima cuantía",ISNUMBER(PN_TOPE_MINIMA)),W486&gt;PN_TOPE_MINIMA,FALSE()),"El valor supera el tope de mínima cuantía 2027",IF(IF(AND(S486="Selección abreviada de menor cuantía",ISNUMBER(PN_TOPE_MENOR)),W486&gt;PN_TOPE_MENOR,FALSE()),"El valor supera el tope de menor cuantía 2027",IF(OR(ISERROR(SEARCH("@itc.edu.co",AE486)),SUMPRODUCT(--ISNUMBER(SEARCH({"á","é","í","ó","ú","ñ"," "},AE486)))&gt;0),"El correo del responsable no es institucional válido",IF(AND(AF486="Sí",AG486=""),"Indique el N.° de registro 2026 que continúa","OK")))))))))))))))))</f>
        <v/>
      </c>
      <c r="AK486" s="114">
        <f>IF(AJ486="OK",COUNTIF($AJ$7:AJ486,"OK"),"")</f>
        <v/>
      </c>
    </row>
    <row r="487">
      <c r="A487" s="110">
        <f>"PN27-"&amp;TEXT(ROW()-6,"000")</f>
        <v/>
      </c>
      <c r="B487" s="111" t="n"/>
      <c r="C487" s="110">
        <f>IF(B487="","",IFERROR(INDEX('Catalogos_PDN'!$R$5:$R$51,MATCH(B487,PN_AREAS,0)),""))</f>
        <v/>
      </c>
      <c r="D487" s="110">
        <f>IF(B487="","",IFERROR(INDEX('Catalogos_PDN'!$O$5:$O$51,MATCH(B487,PN_AREAS,0)),""))</f>
        <v/>
      </c>
      <c r="E487" s="111" t="n"/>
      <c r="F487" s="110">
        <f>IF(E487="","",IFERROR(INDEX('Catalogos_PDN'!$C$5:$C$49,MATCH(E487,PN_METAS,0)),""))</f>
        <v/>
      </c>
      <c r="G487" s="110">
        <f>IF(E487="","",IFERROR(INDEX('Catalogos_PDN'!$E$5:$E$49,MATCH(E487,PN_METAS,0)),""))</f>
        <v/>
      </c>
      <c r="H487" s="111" t="n"/>
      <c r="I487" s="111" t="n"/>
      <c r="J487" s="111" t="n"/>
      <c r="K487" s="111" t="n"/>
      <c r="L487" s="111" t="n"/>
      <c r="M487" s="112" t="n"/>
      <c r="N487" s="111" t="n"/>
      <c r="O487" s="111" t="n"/>
      <c r="P487" s="111" t="n"/>
      <c r="Q487" s="111" t="n"/>
      <c r="R487" s="111" t="n"/>
      <c r="S487" s="111" t="n"/>
      <c r="T487" s="111" t="n"/>
      <c r="U487" s="111" t="n"/>
      <c r="V487" s="111" t="n"/>
      <c r="W487" s="113" t="n"/>
      <c r="X487" s="113" t="n"/>
      <c r="Y487" s="111" t="n"/>
      <c r="Z487" s="111" t="n"/>
      <c r="AA487" s="111" t="n"/>
      <c r="AB487" s="111" t="n"/>
      <c r="AC487" s="111" t="n"/>
      <c r="AD487" s="111" t="n"/>
      <c r="AE487" s="111" t="n"/>
      <c r="AF487" s="111" t="n"/>
      <c r="AG487" s="111" t="n"/>
      <c r="AH487" s="111" t="n"/>
      <c r="AI487" s="111" t="n"/>
      <c r="AJ487" s="114">
        <f>IF(COUNTA(B487,E487,H487,I487,J487,K487,L487,M487,N487,O487,P487,Q487,R487,S487,T487,U487,V487,W487,X487,Y487,Z487,AA487,AB487,AC487,AD487,AE487,AF487,AG487,AH487,AI487)=0,"",IF(OR(B487="",E487="",H487="",J487="",K487="",L487="",M487="",O487="",P487="",Q487="",R487="",S487="",T487="",U487="",W487="",X487="",Y487="",AB487="",AC487="",AE487="",AF487=""),"Incompleta: faltan campos obligatorios",IF(AND(LEFT(H487,6)="PROPIA",I487=""),"Falta el nombre de la acción propia del área",IF(AND(LEFT(H487,4)="AC27",IFERROR(INDEX('Catalogos_PDN'!$T$5:$T$207,MATCH(H487,'Catalogos_PDN'!$U$5:$U$207,0)),"x")&lt;&gt;LEFT(E487,7)),"La acción no corresponde a la meta seleccionada",IF(OR(NOT(ISNUMBER(M487)),M487&lt;10000000,M487&gt;99999999),"Código UNSPSC inválido: registre 8 dígitos",IF(MOD(M487,10000)=0,"UNSPSC a nivel de segmento o familia: use clase o producto",IF(IFERROR(MATCH(P487,PN_MESES,0)&lt;MATCH(O487,PN_MESES,0),TRUE()),"El mes de ofertas es anterior al de inicio del proceso",IF(OR(NOT(ISNUMBER(Q487)),Q487&lt;=0),"Duración inválida",IF(OR(NOT(ISNUMBER(W487)),NOT(ISNUMBER(X487))),"Valor inválido: registre solo números",IF(OR(W487&lt;=0,X487&lt;=0),"Valor inválido: debe ser mayor que cero",IF(X487&gt;W487,"El valor de la vigencia 2027 supera el valor total",IF(AND(X487&lt;W487,Y487="No"),"El valor total supera el de 2027: requiere vigencias futuras",IF(AND(Y487="Sí",OR(Z487="",Z487="No aplica")),"Indique el estado de la solicitud de vigencias futuras",IF(IF(AND(S487="Mínima cuantía",ISNUMBER(PN_TOPE_MINIMA)),W487&gt;PN_TOPE_MINIMA,FALSE()),"El valor supera el tope de mínima cuantía 2027",IF(IF(AND(S487="Selección abreviada de menor cuantía",ISNUMBER(PN_TOPE_MENOR)),W487&gt;PN_TOPE_MENOR,FALSE()),"El valor supera el tope de menor cuantía 2027",IF(OR(ISERROR(SEARCH("@itc.edu.co",AE487)),SUMPRODUCT(--ISNUMBER(SEARCH({"á","é","í","ó","ú","ñ"," "},AE487)))&gt;0),"El correo del responsable no es institucional válido",IF(AND(AF487="Sí",AG487=""),"Indique el N.° de registro 2026 que continúa","OK")))))))))))))))))</f>
        <v/>
      </c>
      <c r="AK487" s="114">
        <f>IF(AJ487="OK",COUNTIF($AJ$7:AJ487,"OK"),"")</f>
        <v/>
      </c>
    </row>
    <row r="488">
      <c r="A488" s="110">
        <f>"PN27-"&amp;TEXT(ROW()-6,"000")</f>
        <v/>
      </c>
      <c r="B488" s="111" t="n"/>
      <c r="C488" s="110">
        <f>IF(B488="","",IFERROR(INDEX('Catalogos_PDN'!$R$5:$R$51,MATCH(B488,PN_AREAS,0)),""))</f>
        <v/>
      </c>
      <c r="D488" s="110">
        <f>IF(B488="","",IFERROR(INDEX('Catalogos_PDN'!$O$5:$O$51,MATCH(B488,PN_AREAS,0)),""))</f>
        <v/>
      </c>
      <c r="E488" s="111" t="n"/>
      <c r="F488" s="110">
        <f>IF(E488="","",IFERROR(INDEX('Catalogos_PDN'!$C$5:$C$49,MATCH(E488,PN_METAS,0)),""))</f>
        <v/>
      </c>
      <c r="G488" s="110">
        <f>IF(E488="","",IFERROR(INDEX('Catalogos_PDN'!$E$5:$E$49,MATCH(E488,PN_METAS,0)),""))</f>
        <v/>
      </c>
      <c r="H488" s="111" t="n"/>
      <c r="I488" s="111" t="n"/>
      <c r="J488" s="111" t="n"/>
      <c r="K488" s="111" t="n"/>
      <c r="L488" s="111" t="n"/>
      <c r="M488" s="112" t="n"/>
      <c r="N488" s="111" t="n"/>
      <c r="O488" s="111" t="n"/>
      <c r="P488" s="111" t="n"/>
      <c r="Q488" s="111" t="n"/>
      <c r="R488" s="111" t="n"/>
      <c r="S488" s="111" t="n"/>
      <c r="T488" s="111" t="n"/>
      <c r="U488" s="111" t="n"/>
      <c r="V488" s="111" t="n"/>
      <c r="W488" s="113" t="n"/>
      <c r="X488" s="113" t="n"/>
      <c r="Y488" s="111" t="n"/>
      <c r="Z488" s="111" t="n"/>
      <c r="AA488" s="111" t="n"/>
      <c r="AB488" s="111" t="n"/>
      <c r="AC488" s="111" t="n"/>
      <c r="AD488" s="111" t="n"/>
      <c r="AE488" s="111" t="n"/>
      <c r="AF488" s="111" t="n"/>
      <c r="AG488" s="111" t="n"/>
      <c r="AH488" s="111" t="n"/>
      <c r="AI488" s="111" t="n"/>
      <c r="AJ488" s="114">
        <f>IF(COUNTA(B488,E488,H488,I488,J488,K488,L488,M488,N488,O488,P488,Q488,R488,S488,T488,U488,V488,W488,X488,Y488,Z488,AA488,AB488,AC488,AD488,AE488,AF488,AG488,AH488,AI488)=0,"",IF(OR(B488="",E488="",H488="",J488="",K488="",L488="",M488="",O488="",P488="",Q488="",R488="",S488="",T488="",U488="",W488="",X488="",Y488="",AB488="",AC488="",AE488="",AF488=""),"Incompleta: faltan campos obligatorios",IF(AND(LEFT(H488,6)="PROPIA",I488=""),"Falta el nombre de la acción propia del área",IF(AND(LEFT(H488,4)="AC27",IFERROR(INDEX('Catalogos_PDN'!$T$5:$T$207,MATCH(H488,'Catalogos_PDN'!$U$5:$U$207,0)),"x")&lt;&gt;LEFT(E488,7)),"La acción no corresponde a la meta seleccionada",IF(OR(NOT(ISNUMBER(M488)),M488&lt;10000000,M488&gt;99999999),"Código UNSPSC inválido: registre 8 dígitos",IF(MOD(M488,10000)=0,"UNSPSC a nivel de segmento o familia: use clase o producto",IF(IFERROR(MATCH(P488,PN_MESES,0)&lt;MATCH(O488,PN_MESES,0),TRUE()),"El mes de ofertas es anterior al de inicio del proceso",IF(OR(NOT(ISNUMBER(Q488)),Q488&lt;=0),"Duración inválida",IF(OR(NOT(ISNUMBER(W488)),NOT(ISNUMBER(X488))),"Valor inválido: registre solo números",IF(OR(W488&lt;=0,X488&lt;=0),"Valor inválido: debe ser mayor que cero",IF(X488&gt;W488,"El valor de la vigencia 2027 supera el valor total",IF(AND(X488&lt;W488,Y488="No"),"El valor total supera el de 2027: requiere vigencias futuras",IF(AND(Y488="Sí",OR(Z488="",Z488="No aplica")),"Indique el estado de la solicitud de vigencias futuras",IF(IF(AND(S488="Mínima cuantía",ISNUMBER(PN_TOPE_MINIMA)),W488&gt;PN_TOPE_MINIMA,FALSE()),"El valor supera el tope de mínima cuantía 2027",IF(IF(AND(S488="Selección abreviada de menor cuantía",ISNUMBER(PN_TOPE_MENOR)),W488&gt;PN_TOPE_MENOR,FALSE()),"El valor supera el tope de menor cuantía 2027",IF(OR(ISERROR(SEARCH("@itc.edu.co",AE488)),SUMPRODUCT(--ISNUMBER(SEARCH({"á","é","í","ó","ú","ñ"," "},AE488)))&gt;0),"El correo del responsable no es institucional válido",IF(AND(AF488="Sí",AG488=""),"Indique el N.° de registro 2026 que continúa","OK")))))))))))))))))</f>
        <v/>
      </c>
      <c r="AK488" s="114">
        <f>IF(AJ488="OK",COUNTIF($AJ$7:AJ488,"OK"),"")</f>
        <v/>
      </c>
    </row>
    <row r="489">
      <c r="A489" s="110">
        <f>"PN27-"&amp;TEXT(ROW()-6,"000")</f>
        <v/>
      </c>
      <c r="B489" s="111" t="n"/>
      <c r="C489" s="110">
        <f>IF(B489="","",IFERROR(INDEX('Catalogos_PDN'!$R$5:$R$51,MATCH(B489,PN_AREAS,0)),""))</f>
        <v/>
      </c>
      <c r="D489" s="110">
        <f>IF(B489="","",IFERROR(INDEX('Catalogos_PDN'!$O$5:$O$51,MATCH(B489,PN_AREAS,0)),""))</f>
        <v/>
      </c>
      <c r="E489" s="111" t="n"/>
      <c r="F489" s="110">
        <f>IF(E489="","",IFERROR(INDEX('Catalogos_PDN'!$C$5:$C$49,MATCH(E489,PN_METAS,0)),""))</f>
        <v/>
      </c>
      <c r="G489" s="110">
        <f>IF(E489="","",IFERROR(INDEX('Catalogos_PDN'!$E$5:$E$49,MATCH(E489,PN_METAS,0)),""))</f>
        <v/>
      </c>
      <c r="H489" s="111" t="n"/>
      <c r="I489" s="111" t="n"/>
      <c r="J489" s="111" t="n"/>
      <c r="K489" s="111" t="n"/>
      <c r="L489" s="111" t="n"/>
      <c r="M489" s="112" t="n"/>
      <c r="N489" s="111" t="n"/>
      <c r="O489" s="111" t="n"/>
      <c r="P489" s="111" t="n"/>
      <c r="Q489" s="111" t="n"/>
      <c r="R489" s="111" t="n"/>
      <c r="S489" s="111" t="n"/>
      <c r="T489" s="111" t="n"/>
      <c r="U489" s="111" t="n"/>
      <c r="V489" s="111" t="n"/>
      <c r="W489" s="113" t="n"/>
      <c r="X489" s="113" t="n"/>
      <c r="Y489" s="111" t="n"/>
      <c r="Z489" s="111" t="n"/>
      <c r="AA489" s="111" t="n"/>
      <c r="AB489" s="111" t="n"/>
      <c r="AC489" s="111" t="n"/>
      <c r="AD489" s="111" t="n"/>
      <c r="AE489" s="111" t="n"/>
      <c r="AF489" s="111" t="n"/>
      <c r="AG489" s="111" t="n"/>
      <c r="AH489" s="111" t="n"/>
      <c r="AI489" s="111" t="n"/>
      <c r="AJ489" s="114">
        <f>IF(COUNTA(B489,E489,H489,I489,J489,K489,L489,M489,N489,O489,P489,Q489,R489,S489,T489,U489,V489,W489,X489,Y489,Z489,AA489,AB489,AC489,AD489,AE489,AF489,AG489,AH489,AI489)=0,"",IF(OR(B489="",E489="",H489="",J489="",K489="",L489="",M489="",O489="",P489="",Q489="",R489="",S489="",T489="",U489="",W489="",X489="",Y489="",AB489="",AC489="",AE489="",AF489=""),"Incompleta: faltan campos obligatorios",IF(AND(LEFT(H489,6)="PROPIA",I489=""),"Falta el nombre de la acción propia del área",IF(AND(LEFT(H489,4)="AC27",IFERROR(INDEX('Catalogos_PDN'!$T$5:$T$207,MATCH(H489,'Catalogos_PDN'!$U$5:$U$207,0)),"x")&lt;&gt;LEFT(E489,7)),"La acción no corresponde a la meta seleccionada",IF(OR(NOT(ISNUMBER(M489)),M489&lt;10000000,M489&gt;99999999),"Código UNSPSC inválido: registre 8 dígitos",IF(MOD(M489,10000)=0,"UNSPSC a nivel de segmento o familia: use clase o producto",IF(IFERROR(MATCH(P489,PN_MESES,0)&lt;MATCH(O489,PN_MESES,0),TRUE()),"El mes de ofertas es anterior al de inicio del proceso",IF(OR(NOT(ISNUMBER(Q489)),Q489&lt;=0),"Duración inválida",IF(OR(NOT(ISNUMBER(W489)),NOT(ISNUMBER(X489))),"Valor inválido: registre solo números",IF(OR(W489&lt;=0,X489&lt;=0),"Valor inválido: debe ser mayor que cero",IF(X489&gt;W489,"El valor de la vigencia 2027 supera el valor total",IF(AND(X489&lt;W489,Y489="No"),"El valor total supera el de 2027: requiere vigencias futuras",IF(AND(Y489="Sí",OR(Z489="",Z489="No aplica")),"Indique el estado de la solicitud de vigencias futuras",IF(IF(AND(S489="Mínima cuantía",ISNUMBER(PN_TOPE_MINIMA)),W489&gt;PN_TOPE_MINIMA,FALSE()),"El valor supera el tope de mínima cuantía 2027",IF(IF(AND(S489="Selección abreviada de menor cuantía",ISNUMBER(PN_TOPE_MENOR)),W489&gt;PN_TOPE_MENOR,FALSE()),"El valor supera el tope de menor cuantía 2027",IF(OR(ISERROR(SEARCH("@itc.edu.co",AE489)),SUMPRODUCT(--ISNUMBER(SEARCH({"á","é","í","ó","ú","ñ"," "},AE489)))&gt;0),"El correo del responsable no es institucional válido",IF(AND(AF489="Sí",AG489=""),"Indique el N.° de registro 2026 que continúa","OK")))))))))))))))))</f>
        <v/>
      </c>
      <c r="AK489" s="114">
        <f>IF(AJ489="OK",COUNTIF($AJ$7:AJ489,"OK"),"")</f>
        <v/>
      </c>
    </row>
    <row r="490">
      <c r="A490" s="110">
        <f>"PN27-"&amp;TEXT(ROW()-6,"000")</f>
        <v/>
      </c>
      <c r="B490" s="111" t="n"/>
      <c r="C490" s="110">
        <f>IF(B490="","",IFERROR(INDEX('Catalogos_PDN'!$R$5:$R$51,MATCH(B490,PN_AREAS,0)),""))</f>
        <v/>
      </c>
      <c r="D490" s="110">
        <f>IF(B490="","",IFERROR(INDEX('Catalogos_PDN'!$O$5:$O$51,MATCH(B490,PN_AREAS,0)),""))</f>
        <v/>
      </c>
      <c r="E490" s="111" t="n"/>
      <c r="F490" s="110">
        <f>IF(E490="","",IFERROR(INDEX('Catalogos_PDN'!$C$5:$C$49,MATCH(E490,PN_METAS,0)),""))</f>
        <v/>
      </c>
      <c r="G490" s="110">
        <f>IF(E490="","",IFERROR(INDEX('Catalogos_PDN'!$E$5:$E$49,MATCH(E490,PN_METAS,0)),""))</f>
        <v/>
      </c>
      <c r="H490" s="111" t="n"/>
      <c r="I490" s="111" t="n"/>
      <c r="J490" s="111" t="n"/>
      <c r="K490" s="111" t="n"/>
      <c r="L490" s="111" t="n"/>
      <c r="M490" s="112" t="n"/>
      <c r="N490" s="111" t="n"/>
      <c r="O490" s="111" t="n"/>
      <c r="P490" s="111" t="n"/>
      <c r="Q490" s="111" t="n"/>
      <c r="R490" s="111" t="n"/>
      <c r="S490" s="111" t="n"/>
      <c r="T490" s="111" t="n"/>
      <c r="U490" s="111" t="n"/>
      <c r="V490" s="111" t="n"/>
      <c r="W490" s="113" t="n"/>
      <c r="X490" s="113" t="n"/>
      <c r="Y490" s="111" t="n"/>
      <c r="Z490" s="111" t="n"/>
      <c r="AA490" s="111" t="n"/>
      <c r="AB490" s="111" t="n"/>
      <c r="AC490" s="111" t="n"/>
      <c r="AD490" s="111" t="n"/>
      <c r="AE490" s="111" t="n"/>
      <c r="AF490" s="111" t="n"/>
      <c r="AG490" s="111" t="n"/>
      <c r="AH490" s="111" t="n"/>
      <c r="AI490" s="111" t="n"/>
      <c r="AJ490" s="114">
        <f>IF(COUNTA(B490,E490,H490,I490,J490,K490,L490,M490,N490,O490,P490,Q490,R490,S490,T490,U490,V490,W490,X490,Y490,Z490,AA490,AB490,AC490,AD490,AE490,AF490,AG490,AH490,AI490)=0,"",IF(OR(B490="",E490="",H490="",J490="",K490="",L490="",M490="",O490="",P490="",Q490="",R490="",S490="",T490="",U490="",W490="",X490="",Y490="",AB490="",AC490="",AE490="",AF490=""),"Incompleta: faltan campos obligatorios",IF(AND(LEFT(H490,6)="PROPIA",I490=""),"Falta el nombre de la acción propia del área",IF(AND(LEFT(H490,4)="AC27",IFERROR(INDEX('Catalogos_PDN'!$T$5:$T$207,MATCH(H490,'Catalogos_PDN'!$U$5:$U$207,0)),"x")&lt;&gt;LEFT(E490,7)),"La acción no corresponde a la meta seleccionada",IF(OR(NOT(ISNUMBER(M490)),M490&lt;10000000,M490&gt;99999999),"Código UNSPSC inválido: registre 8 dígitos",IF(MOD(M490,10000)=0,"UNSPSC a nivel de segmento o familia: use clase o producto",IF(IFERROR(MATCH(P490,PN_MESES,0)&lt;MATCH(O490,PN_MESES,0),TRUE()),"El mes de ofertas es anterior al de inicio del proceso",IF(OR(NOT(ISNUMBER(Q490)),Q490&lt;=0),"Duración inválida",IF(OR(NOT(ISNUMBER(W490)),NOT(ISNUMBER(X490))),"Valor inválido: registre solo números",IF(OR(W490&lt;=0,X490&lt;=0),"Valor inválido: debe ser mayor que cero",IF(X490&gt;W490,"El valor de la vigencia 2027 supera el valor total",IF(AND(X490&lt;W490,Y490="No"),"El valor total supera el de 2027: requiere vigencias futuras",IF(AND(Y490="Sí",OR(Z490="",Z490="No aplica")),"Indique el estado de la solicitud de vigencias futuras",IF(IF(AND(S490="Mínima cuantía",ISNUMBER(PN_TOPE_MINIMA)),W490&gt;PN_TOPE_MINIMA,FALSE()),"El valor supera el tope de mínima cuantía 2027",IF(IF(AND(S490="Selección abreviada de menor cuantía",ISNUMBER(PN_TOPE_MENOR)),W490&gt;PN_TOPE_MENOR,FALSE()),"El valor supera el tope de menor cuantía 2027",IF(OR(ISERROR(SEARCH("@itc.edu.co",AE490)),SUMPRODUCT(--ISNUMBER(SEARCH({"á","é","í","ó","ú","ñ"," "},AE490)))&gt;0),"El correo del responsable no es institucional válido",IF(AND(AF490="Sí",AG490=""),"Indique el N.° de registro 2026 que continúa","OK")))))))))))))))))</f>
        <v/>
      </c>
      <c r="AK490" s="114">
        <f>IF(AJ490="OK",COUNTIF($AJ$7:AJ490,"OK"),"")</f>
        <v/>
      </c>
    </row>
    <row r="491">
      <c r="A491" s="110">
        <f>"PN27-"&amp;TEXT(ROW()-6,"000")</f>
        <v/>
      </c>
      <c r="B491" s="111" t="n"/>
      <c r="C491" s="110">
        <f>IF(B491="","",IFERROR(INDEX('Catalogos_PDN'!$R$5:$R$51,MATCH(B491,PN_AREAS,0)),""))</f>
        <v/>
      </c>
      <c r="D491" s="110">
        <f>IF(B491="","",IFERROR(INDEX('Catalogos_PDN'!$O$5:$O$51,MATCH(B491,PN_AREAS,0)),""))</f>
        <v/>
      </c>
      <c r="E491" s="111" t="n"/>
      <c r="F491" s="110">
        <f>IF(E491="","",IFERROR(INDEX('Catalogos_PDN'!$C$5:$C$49,MATCH(E491,PN_METAS,0)),""))</f>
        <v/>
      </c>
      <c r="G491" s="110">
        <f>IF(E491="","",IFERROR(INDEX('Catalogos_PDN'!$E$5:$E$49,MATCH(E491,PN_METAS,0)),""))</f>
        <v/>
      </c>
      <c r="H491" s="111" t="n"/>
      <c r="I491" s="111" t="n"/>
      <c r="J491" s="111" t="n"/>
      <c r="K491" s="111" t="n"/>
      <c r="L491" s="111" t="n"/>
      <c r="M491" s="112" t="n"/>
      <c r="N491" s="111" t="n"/>
      <c r="O491" s="111" t="n"/>
      <c r="P491" s="111" t="n"/>
      <c r="Q491" s="111" t="n"/>
      <c r="R491" s="111" t="n"/>
      <c r="S491" s="111" t="n"/>
      <c r="T491" s="111" t="n"/>
      <c r="U491" s="111" t="n"/>
      <c r="V491" s="111" t="n"/>
      <c r="W491" s="113" t="n"/>
      <c r="X491" s="113" t="n"/>
      <c r="Y491" s="111" t="n"/>
      <c r="Z491" s="111" t="n"/>
      <c r="AA491" s="111" t="n"/>
      <c r="AB491" s="111" t="n"/>
      <c r="AC491" s="111" t="n"/>
      <c r="AD491" s="111" t="n"/>
      <c r="AE491" s="111" t="n"/>
      <c r="AF491" s="111" t="n"/>
      <c r="AG491" s="111" t="n"/>
      <c r="AH491" s="111" t="n"/>
      <c r="AI491" s="111" t="n"/>
      <c r="AJ491" s="114">
        <f>IF(COUNTA(B491,E491,H491,I491,J491,K491,L491,M491,N491,O491,P491,Q491,R491,S491,T491,U491,V491,W491,X491,Y491,Z491,AA491,AB491,AC491,AD491,AE491,AF491,AG491,AH491,AI491)=0,"",IF(OR(B491="",E491="",H491="",J491="",K491="",L491="",M491="",O491="",P491="",Q491="",R491="",S491="",T491="",U491="",W491="",X491="",Y491="",AB491="",AC491="",AE491="",AF491=""),"Incompleta: faltan campos obligatorios",IF(AND(LEFT(H491,6)="PROPIA",I491=""),"Falta el nombre de la acción propia del área",IF(AND(LEFT(H491,4)="AC27",IFERROR(INDEX('Catalogos_PDN'!$T$5:$T$207,MATCH(H491,'Catalogos_PDN'!$U$5:$U$207,0)),"x")&lt;&gt;LEFT(E491,7)),"La acción no corresponde a la meta seleccionada",IF(OR(NOT(ISNUMBER(M491)),M491&lt;10000000,M491&gt;99999999),"Código UNSPSC inválido: registre 8 dígitos",IF(MOD(M491,10000)=0,"UNSPSC a nivel de segmento o familia: use clase o producto",IF(IFERROR(MATCH(P491,PN_MESES,0)&lt;MATCH(O491,PN_MESES,0),TRUE()),"El mes de ofertas es anterior al de inicio del proceso",IF(OR(NOT(ISNUMBER(Q491)),Q491&lt;=0),"Duración inválida",IF(OR(NOT(ISNUMBER(W491)),NOT(ISNUMBER(X491))),"Valor inválido: registre solo números",IF(OR(W491&lt;=0,X491&lt;=0),"Valor inválido: debe ser mayor que cero",IF(X491&gt;W491,"El valor de la vigencia 2027 supera el valor total",IF(AND(X491&lt;W491,Y491="No"),"El valor total supera el de 2027: requiere vigencias futuras",IF(AND(Y491="Sí",OR(Z491="",Z491="No aplica")),"Indique el estado de la solicitud de vigencias futuras",IF(IF(AND(S491="Mínima cuantía",ISNUMBER(PN_TOPE_MINIMA)),W491&gt;PN_TOPE_MINIMA,FALSE()),"El valor supera el tope de mínima cuantía 2027",IF(IF(AND(S491="Selección abreviada de menor cuantía",ISNUMBER(PN_TOPE_MENOR)),W491&gt;PN_TOPE_MENOR,FALSE()),"El valor supera el tope de menor cuantía 2027",IF(OR(ISERROR(SEARCH("@itc.edu.co",AE491)),SUMPRODUCT(--ISNUMBER(SEARCH({"á","é","í","ó","ú","ñ"," "},AE491)))&gt;0),"El correo del responsable no es institucional válido",IF(AND(AF491="Sí",AG491=""),"Indique el N.° de registro 2026 que continúa","OK")))))))))))))))))</f>
        <v/>
      </c>
      <c r="AK491" s="114">
        <f>IF(AJ491="OK",COUNTIF($AJ$7:AJ491,"OK"),"")</f>
        <v/>
      </c>
    </row>
    <row r="492">
      <c r="A492" s="110">
        <f>"PN27-"&amp;TEXT(ROW()-6,"000")</f>
        <v/>
      </c>
      <c r="B492" s="111" t="n"/>
      <c r="C492" s="110">
        <f>IF(B492="","",IFERROR(INDEX('Catalogos_PDN'!$R$5:$R$51,MATCH(B492,PN_AREAS,0)),""))</f>
        <v/>
      </c>
      <c r="D492" s="110">
        <f>IF(B492="","",IFERROR(INDEX('Catalogos_PDN'!$O$5:$O$51,MATCH(B492,PN_AREAS,0)),""))</f>
        <v/>
      </c>
      <c r="E492" s="111" t="n"/>
      <c r="F492" s="110">
        <f>IF(E492="","",IFERROR(INDEX('Catalogos_PDN'!$C$5:$C$49,MATCH(E492,PN_METAS,0)),""))</f>
        <v/>
      </c>
      <c r="G492" s="110">
        <f>IF(E492="","",IFERROR(INDEX('Catalogos_PDN'!$E$5:$E$49,MATCH(E492,PN_METAS,0)),""))</f>
        <v/>
      </c>
      <c r="H492" s="111" t="n"/>
      <c r="I492" s="111" t="n"/>
      <c r="J492" s="111" t="n"/>
      <c r="K492" s="111" t="n"/>
      <c r="L492" s="111" t="n"/>
      <c r="M492" s="112" t="n"/>
      <c r="N492" s="111" t="n"/>
      <c r="O492" s="111" t="n"/>
      <c r="P492" s="111" t="n"/>
      <c r="Q492" s="111" t="n"/>
      <c r="R492" s="111" t="n"/>
      <c r="S492" s="111" t="n"/>
      <c r="T492" s="111" t="n"/>
      <c r="U492" s="111" t="n"/>
      <c r="V492" s="111" t="n"/>
      <c r="W492" s="113" t="n"/>
      <c r="X492" s="113" t="n"/>
      <c r="Y492" s="111" t="n"/>
      <c r="Z492" s="111" t="n"/>
      <c r="AA492" s="111" t="n"/>
      <c r="AB492" s="111" t="n"/>
      <c r="AC492" s="111" t="n"/>
      <c r="AD492" s="111" t="n"/>
      <c r="AE492" s="111" t="n"/>
      <c r="AF492" s="111" t="n"/>
      <c r="AG492" s="111" t="n"/>
      <c r="AH492" s="111" t="n"/>
      <c r="AI492" s="111" t="n"/>
      <c r="AJ492" s="114">
        <f>IF(COUNTA(B492,E492,H492,I492,J492,K492,L492,M492,N492,O492,P492,Q492,R492,S492,T492,U492,V492,W492,X492,Y492,Z492,AA492,AB492,AC492,AD492,AE492,AF492,AG492,AH492,AI492)=0,"",IF(OR(B492="",E492="",H492="",J492="",K492="",L492="",M492="",O492="",P492="",Q492="",R492="",S492="",T492="",U492="",W492="",X492="",Y492="",AB492="",AC492="",AE492="",AF492=""),"Incompleta: faltan campos obligatorios",IF(AND(LEFT(H492,6)="PROPIA",I492=""),"Falta el nombre de la acción propia del área",IF(AND(LEFT(H492,4)="AC27",IFERROR(INDEX('Catalogos_PDN'!$T$5:$T$207,MATCH(H492,'Catalogos_PDN'!$U$5:$U$207,0)),"x")&lt;&gt;LEFT(E492,7)),"La acción no corresponde a la meta seleccionada",IF(OR(NOT(ISNUMBER(M492)),M492&lt;10000000,M492&gt;99999999),"Código UNSPSC inválido: registre 8 dígitos",IF(MOD(M492,10000)=0,"UNSPSC a nivel de segmento o familia: use clase o producto",IF(IFERROR(MATCH(P492,PN_MESES,0)&lt;MATCH(O492,PN_MESES,0),TRUE()),"El mes de ofertas es anterior al de inicio del proceso",IF(OR(NOT(ISNUMBER(Q492)),Q492&lt;=0),"Duración inválida",IF(OR(NOT(ISNUMBER(W492)),NOT(ISNUMBER(X492))),"Valor inválido: registre solo números",IF(OR(W492&lt;=0,X492&lt;=0),"Valor inválido: debe ser mayor que cero",IF(X492&gt;W492,"El valor de la vigencia 2027 supera el valor total",IF(AND(X492&lt;W492,Y492="No"),"El valor total supera el de 2027: requiere vigencias futuras",IF(AND(Y492="Sí",OR(Z492="",Z492="No aplica")),"Indique el estado de la solicitud de vigencias futuras",IF(IF(AND(S492="Mínima cuantía",ISNUMBER(PN_TOPE_MINIMA)),W492&gt;PN_TOPE_MINIMA,FALSE()),"El valor supera el tope de mínima cuantía 2027",IF(IF(AND(S492="Selección abreviada de menor cuantía",ISNUMBER(PN_TOPE_MENOR)),W492&gt;PN_TOPE_MENOR,FALSE()),"El valor supera el tope de menor cuantía 2027",IF(OR(ISERROR(SEARCH("@itc.edu.co",AE492)),SUMPRODUCT(--ISNUMBER(SEARCH({"á","é","í","ó","ú","ñ"," "},AE492)))&gt;0),"El correo del responsable no es institucional válido",IF(AND(AF492="Sí",AG492=""),"Indique el N.° de registro 2026 que continúa","OK")))))))))))))))))</f>
        <v/>
      </c>
      <c r="AK492" s="114">
        <f>IF(AJ492="OK",COUNTIF($AJ$7:AJ492,"OK"),"")</f>
        <v/>
      </c>
    </row>
    <row r="493">
      <c r="A493" s="110">
        <f>"PN27-"&amp;TEXT(ROW()-6,"000")</f>
        <v/>
      </c>
      <c r="B493" s="111" t="n"/>
      <c r="C493" s="110">
        <f>IF(B493="","",IFERROR(INDEX('Catalogos_PDN'!$R$5:$R$51,MATCH(B493,PN_AREAS,0)),""))</f>
        <v/>
      </c>
      <c r="D493" s="110">
        <f>IF(B493="","",IFERROR(INDEX('Catalogos_PDN'!$O$5:$O$51,MATCH(B493,PN_AREAS,0)),""))</f>
        <v/>
      </c>
      <c r="E493" s="111" t="n"/>
      <c r="F493" s="110">
        <f>IF(E493="","",IFERROR(INDEX('Catalogos_PDN'!$C$5:$C$49,MATCH(E493,PN_METAS,0)),""))</f>
        <v/>
      </c>
      <c r="G493" s="110">
        <f>IF(E493="","",IFERROR(INDEX('Catalogos_PDN'!$E$5:$E$49,MATCH(E493,PN_METAS,0)),""))</f>
        <v/>
      </c>
      <c r="H493" s="111" t="n"/>
      <c r="I493" s="111" t="n"/>
      <c r="J493" s="111" t="n"/>
      <c r="K493" s="111" t="n"/>
      <c r="L493" s="111" t="n"/>
      <c r="M493" s="112" t="n"/>
      <c r="N493" s="111" t="n"/>
      <c r="O493" s="111" t="n"/>
      <c r="P493" s="111" t="n"/>
      <c r="Q493" s="111" t="n"/>
      <c r="R493" s="111" t="n"/>
      <c r="S493" s="111" t="n"/>
      <c r="T493" s="111" t="n"/>
      <c r="U493" s="111" t="n"/>
      <c r="V493" s="111" t="n"/>
      <c r="W493" s="113" t="n"/>
      <c r="X493" s="113" t="n"/>
      <c r="Y493" s="111" t="n"/>
      <c r="Z493" s="111" t="n"/>
      <c r="AA493" s="111" t="n"/>
      <c r="AB493" s="111" t="n"/>
      <c r="AC493" s="111" t="n"/>
      <c r="AD493" s="111" t="n"/>
      <c r="AE493" s="111" t="n"/>
      <c r="AF493" s="111" t="n"/>
      <c r="AG493" s="111" t="n"/>
      <c r="AH493" s="111" t="n"/>
      <c r="AI493" s="111" t="n"/>
      <c r="AJ493" s="114">
        <f>IF(COUNTA(B493,E493,H493,I493,J493,K493,L493,M493,N493,O493,P493,Q493,R493,S493,T493,U493,V493,W493,X493,Y493,Z493,AA493,AB493,AC493,AD493,AE493,AF493,AG493,AH493,AI493)=0,"",IF(OR(B493="",E493="",H493="",J493="",K493="",L493="",M493="",O493="",P493="",Q493="",R493="",S493="",T493="",U493="",W493="",X493="",Y493="",AB493="",AC493="",AE493="",AF493=""),"Incompleta: faltan campos obligatorios",IF(AND(LEFT(H493,6)="PROPIA",I493=""),"Falta el nombre de la acción propia del área",IF(AND(LEFT(H493,4)="AC27",IFERROR(INDEX('Catalogos_PDN'!$T$5:$T$207,MATCH(H493,'Catalogos_PDN'!$U$5:$U$207,0)),"x")&lt;&gt;LEFT(E493,7)),"La acción no corresponde a la meta seleccionada",IF(OR(NOT(ISNUMBER(M493)),M493&lt;10000000,M493&gt;99999999),"Código UNSPSC inválido: registre 8 dígitos",IF(MOD(M493,10000)=0,"UNSPSC a nivel de segmento o familia: use clase o producto",IF(IFERROR(MATCH(P493,PN_MESES,0)&lt;MATCH(O493,PN_MESES,0),TRUE()),"El mes de ofertas es anterior al de inicio del proceso",IF(OR(NOT(ISNUMBER(Q493)),Q493&lt;=0),"Duración inválida",IF(OR(NOT(ISNUMBER(W493)),NOT(ISNUMBER(X493))),"Valor inválido: registre solo números",IF(OR(W493&lt;=0,X493&lt;=0),"Valor inválido: debe ser mayor que cero",IF(X493&gt;W493,"El valor de la vigencia 2027 supera el valor total",IF(AND(X493&lt;W493,Y493="No"),"El valor total supera el de 2027: requiere vigencias futuras",IF(AND(Y493="Sí",OR(Z493="",Z493="No aplica")),"Indique el estado de la solicitud de vigencias futuras",IF(IF(AND(S493="Mínima cuantía",ISNUMBER(PN_TOPE_MINIMA)),W493&gt;PN_TOPE_MINIMA,FALSE()),"El valor supera el tope de mínima cuantía 2027",IF(IF(AND(S493="Selección abreviada de menor cuantía",ISNUMBER(PN_TOPE_MENOR)),W493&gt;PN_TOPE_MENOR,FALSE()),"El valor supera el tope de menor cuantía 2027",IF(OR(ISERROR(SEARCH("@itc.edu.co",AE493)),SUMPRODUCT(--ISNUMBER(SEARCH({"á","é","í","ó","ú","ñ"," "},AE493)))&gt;0),"El correo del responsable no es institucional válido",IF(AND(AF493="Sí",AG493=""),"Indique el N.° de registro 2026 que continúa","OK")))))))))))))))))</f>
        <v/>
      </c>
      <c r="AK493" s="114">
        <f>IF(AJ493="OK",COUNTIF($AJ$7:AJ493,"OK"),"")</f>
        <v/>
      </c>
    </row>
    <row r="494">
      <c r="A494" s="110">
        <f>"PN27-"&amp;TEXT(ROW()-6,"000")</f>
        <v/>
      </c>
      <c r="B494" s="111" t="n"/>
      <c r="C494" s="110">
        <f>IF(B494="","",IFERROR(INDEX('Catalogos_PDN'!$R$5:$R$51,MATCH(B494,PN_AREAS,0)),""))</f>
        <v/>
      </c>
      <c r="D494" s="110">
        <f>IF(B494="","",IFERROR(INDEX('Catalogos_PDN'!$O$5:$O$51,MATCH(B494,PN_AREAS,0)),""))</f>
        <v/>
      </c>
      <c r="E494" s="111" t="n"/>
      <c r="F494" s="110">
        <f>IF(E494="","",IFERROR(INDEX('Catalogos_PDN'!$C$5:$C$49,MATCH(E494,PN_METAS,0)),""))</f>
        <v/>
      </c>
      <c r="G494" s="110">
        <f>IF(E494="","",IFERROR(INDEX('Catalogos_PDN'!$E$5:$E$49,MATCH(E494,PN_METAS,0)),""))</f>
        <v/>
      </c>
      <c r="H494" s="111" t="n"/>
      <c r="I494" s="111" t="n"/>
      <c r="J494" s="111" t="n"/>
      <c r="K494" s="111" t="n"/>
      <c r="L494" s="111" t="n"/>
      <c r="M494" s="112" t="n"/>
      <c r="N494" s="111" t="n"/>
      <c r="O494" s="111" t="n"/>
      <c r="P494" s="111" t="n"/>
      <c r="Q494" s="111" t="n"/>
      <c r="R494" s="111" t="n"/>
      <c r="S494" s="111" t="n"/>
      <c r="T494" s="111" t="n"/>
      <c r="U494" s="111" t="n"/>
      <c r="V494" s="111" t="n"/>
      <c r="W494" s="113" t="n"/>
      <c r="X494" s="113" t="n"/>
      <c r="Y494" s="111" t="n"/>
      <c r="Z494" s="111" t="n"/>
      <c r="AA494" s="111" t="n"/>
      <c r="AB494" s="111" t="n"/>
      <c r="AC494" s="111" t="n"/>
      <c r="AD494" s="111" t="n"/>
      <c r="AE494" s="111" t="n"/>
      <c r="AF494" s="111" t="n"/>
      <c r="AG494" s="111" t="n"/>
      <c r="AH494" s="111" t="n"/>
      <c r="AI494" s="111" t="n"/>
      <c r="AJ494" s="114">
        <f>IF(COUNTA(B494,E494,H494,I494,J494,K494,L494,M494,N494,O494,P494,Q494,R494,S494,T494,U494,V494,W494,X494,Y494,Z494,AA494,AB494,AC494,AD494,AE494,AF494,AG494,AH494,AI494)=0,"",IF(OR(B494="",E494="",H494="",J494="",K494="",L494="",M494="",O494="",P494="",Q494="",R494="",S494="",T494="",U494="",W494="",X494="",Y494="",AB494="",AC494="",AE494="",AF494=""),"Incompleta: faltan campos obligatorios",IF(AND(LEFT(H494,6)="PROPIA",I494=""),"Falta el nombre de la acción propia del área",IF(AND(LEFT(H494,4)="AC27",IFERROR(INDEX('Catalogos_PDN'!$T$5:$T$207,MATCH(H494,'Catalogos_PDN'!$U$5:$U$207,0)),"x")&lt;&gt;LEFT(E494,7)),"La acción no corresponde a la meta seleccionada",IF(OR(NOT(ISNUMBER(M494)),M494&lt;10000000,M494&gt;99999999),"Código UNSPSC inválido: registre 8 dígitos",IF(MOD(M494,10000)=0,"UNSPSC a nivel de segmento o familia: use clase o producto",IF(IFERROR(MATCH(P494,PN_MESES,0)&lt;MATCH(O494,PN_MESES,0),TRUE()),"El mes de ofertas es anterior al de inicio del proceso",IF(OR(NOT(ISNUMBER(Q494)),Q494&lt;=0),"Duración inválida",IF(OR(NOT(ISNUMBER(W494)),NOT(ISNUMBER(X494))),"Valor inválido: registre solo números",IF(OR(W494&lt;=0,X494&lt;=0),"Valor inválido: debe ser mayor que cero",IF(X494&gt;W494,"El valor de la vigencia 2027 supera el valor total",IF(AND(X494&lt;W494,Y494="No"),"El valor total supera el de 2027: requiere vigencias futuras",IF(AND(Y494="Sí",OR(Z494="",Z494="No aplica")),"Indique el estado de la solicitud de vigencias futuras",IF(IF(AND(S494="Mínima cuantía",ISNUMBER(PN_TOPE_MINIMA)),W494&gt;PN_TOPE_MINIMA,FALSE()),"El valor supera el tope de mínima cuantía 2027",IF(IF(AND(S494="Selección abreviada de menor cuantía",ISNUMBER(PN_TOPE_MENOR)),W494&gt;PN_TOPE_MENOR,FALSE()),"El valor supera el tope de menor cuantía 2027",IF(OR(ISERROR(SEARCH("@itc.edu.co",AE494)),SUMPRODUCT(--ISNUMBER(SEARCH({"á","é","í","ó","ú","ñ"," "},AE494)))&gt;0),"El correo del responsable no es institucional válido",IF(AND(AF494="Sí",AG494=""),"Indique el N.° de registro 2026 que continúa","OK")))))))))))))))))</f>
        <v/>
      </c>
      <c r="AK494" s="114">
        <f>IF(AJ494="OK",COUNTIF($AJ$7:AJ494,"OK"),"")</f>
        <v/>
      </c>
    </row>
    <row r="495">
      <c r="A495" s="110">
        <f>"PN27-"&amp;TEXT(ROW()-6,"000")</f>
        <v/>
      </c>
      <c r="B495" s="111" t="n"/>
      <c r="C495" s="110">
        <f>IF(B495="","",IFERROR(INDEX('Catalogos_PDN'!$R$5:$R$51,MATCH(B495,PN_AREAS,0)),""))</f>
        <v/>
      </c>
      <c r="D495" s="110">
        <f>IF(B495="","",IFERROR(INDEX('Catalogos_PDN'!$O$5:$O$51,MATCH(B495,PN_AREAS,0)),""))</f>
        <v/>
      </c>
      <c r="E495" s="111" t="n"/>
      <c r="F495" s="110">
        <f>IF(E495="","",IFERROR(INDEX('Catalogos_PDN'!$C$5:$C$49,MATCH(E495,PN_METAS,0)),""))</f>
        <v/>
      </c>
      <c r="G495" s="110">
        <f>IF(E495="","",IFERROR(INDEX('Catalogos_PDN'!$E$5:$E$49,MATCH(E495,PN_METAS,0)),""))</f>
        <v/>
      </c>
      <c r="H495" s="111" t="n"/>
      <c r="I495" s="111" t="n"/>
      <c r="J495" s="111" t="n"/>
      <c r="K495" s="111" t="n"/>
      <c r="L495" s="111" t="n"/>
      <c r="M495" s="112" t="n"/>
      <c r="N495" s="111" t="n"/>
      <c r="O495" s="111" t="n"/>
      <c r="P495" s="111" t="n"/>
      <c r="Q495" s="111" t="n"/>
      <c r="R495" s="111" t="n"/>
      <c r="S495" s="111" t="n"/>
      <c r="T495" s="111" t="n"/>
      <c r="U495" s="111" t="n"/>
      <c r="V495" s="111" t="n"/>
      <c r="W495" s="113" t="n"/>
      <c r="X495" s="113" t="n"/>
      <c r="Y495" s="111" t="n"/>
      <c r="Z495" s="111" t="n"/>
      <c r="AA495" s="111" t="n"/>
      <c r="AB495" s="111" t="n"/>
      <c r="AC495" s="111" t="n"/>
      <c r="AD495" s="111" t="n"/>
      <c r="AE495" s="111" t="n"/>
      <c r="AF495" s="111" t="n"/>
      <c r="AG495" s="111" t="n"/>
      <c r="AH495" s="111" t="n"/>
      <c r="AI495" s="111" t="n"/>
      <c r="AJ495" s="114">
        <f>IF(COUNTA(B495,E495,H495,I495,J495,K495,L495,M495,N495,O495,P495,Q495,R495,S495,T495,U495,V495,W495,X495,Y495,Z495,AA495,AB495,AC495,AD495,AE495,AF495,AG495,AH495,AI495)=0,"",IF(OR(B495="",E495="",H495="",J495="",K495="",L495="",M495="",O495="",P495="",Q495="",R495="",S495="",T495="",U495="",W495="",X495="",Y495="",AB495="",AC495="",AE495="",AF495=""),"Incompleta: faltan campos obligatorios",IF(AND(LEFT(H495,6)="PROPIA",I495=""),"Falta el nombre de la acción propia del área",IF(AND(LEFT(H495,4)="AC27",IFERROR(INDEX('Catalogos_PDN'!$T$5:$T$207,MATCH(H495,'Catalogos_PDN'!$U$5:$U$207,0)),"x")&lt;&gt;LEFT(E495,7)),"La acción no corresponde a la meta seleccionada",IF(OR(NOT(ISNUMBER(M495)),M495&lt;10000000,M495&gt;99999999),"Código UNSPSC inválido: registre 8 dígitos",IF(MOD(M495,10000)=0,"UNSPSC a nivel de segmento o familia: use clase o producto",IF(IFERROR(MATCH(P495,PN_MESES,0)&lt;MATCH(O495,PN_MESES,0),TRUE()),"El mes de ofertas es anterior al de inicio del proceso",IF(OR(NOT(ISNUMBER(Q495)),Q495&lt;=0),"Duración inválida",IF(OR(NOT(ISNUMBER(W495)),NOT(ISNUMBER(X495))),"Valor inválido: registre solo números",IF(OR(W495&lt;=0,X495&lt;=0),"Valor inválido: debe ser mayor que cero",IF(X495&gt;W495,"El valor de la vigencia 2027 supera el valor total",IF(AND(X495&lt;W495,Y495="No"),"El valor total supera el de 2027: requiere vigencias futuras",IF(AND(Y495="Sí",OR(Z495="",Z495="No aplica")),"Indique el estado de la solicitud de vigencias futuras",IF(IF(AND(S495="Mínima cuantía",ISNUMBER(PN_TOPE_MINIMA)),W495&gt;PN_TOPE_MINIMA,FALSE()),"El valor supera el tope de mínima cuantía 2027",IF(IF(AND(S495="Selección abreviada de menor cuantía",ISNUMBER(PN_TOPE_MENOR)),W495&gt;PN_TOPE_MENOR,FALSE()),"El valor supera el tope de menor cuantía 2027",IF(OR(ISERROR(SEARCH("@itc.edu.co",AE495)),SUMPRODUCT(--ISNUMBER(SEARCH({"á","é","í","ó","ú","ñ"," "},AE495)))&gt;0),"El correo del responsable no es institucional válido",IF(AND(AF495="Sí",AG495=""),"Indique el N.° de registro 2026 que continúa","OK")))))))))))))))))</f>
        <v/>
      </c>
      <c r="AK495" s="114">
        <f>IF(AJ495="OK",COUNTIF($AJ$7:AJ495,"OK"),"")</f>
        <v/>
      </c>
    </row>
    <row r="496">
      <c r="A496" s="110">
        <f>"PN27-"&amp;TEXT(ROW()-6,"000")</f>
        <v/>
      </c>
      <c r="B496" s="111" t="n"/>
      <c r="C496" s="110">
        <f>IF(B496="","",IFERROR(INDEX('Catalogos_PDN'!$R$5:$R$51,MATCH(B496,PN_AREAS,0)),""))</f>
        <v/>
      </c>
      <c r="D496" s="110">
        <f>IF(B496="","",IFERROR(INDEX('Catalogos_PDN'!$O$5:$O$51,MATCH(B496,PN_AREAS,0)),""))</f>
        <v/>
      </c>
      <c r="E496" s="111" t="n"/>
      <c r="F496" s="110">
        <f>IF(E496="","",IFERROR(INDEX('Catalogos_PDN'!$C$5:$C$49,MATCH(E496,PN_METAS,0)),""))</f>
        <v/>
      </c>
      <c r="G496" s="110">
        <f>IF(E496="","",IFERROR(INDEX('Catalogos_PDN'!$E$5:$E$49,MATCH(E496,PN_METAS,0)),""))</f>
        <v/>
      </c>
      <c r="H496" s="111" t="n"/>
      <c r="I496" s="111" t="n"/>
      <c r="J496" s="111" t="n"/>
      <c r="K496" s="111" t="n"/>
      <c r="L496" s="111" t="n"/>
      <c r="M496" s="112" t="n"/>
      <c r="N496" s="111" t="n"/>
      <c r="O496" s="111" t="n"/>
      <c r="P496" s="111" t="n"/>
      <c r="Q496" s="111" t="n"/>
      <c r="R496" s="111" t="n"/>
      <c r="S496" s="111" t="n"/>
      <c r="T496" s="111" t="n"/>
      <c r="U496" s="111" t="n"/>
      <c r="V496" s="111" t="n"/>
      <c r="W496" s="113" t="n"/>
      <c r="X496" s="113" t="n"/>
      <c r="Y496" s="111" t="n"/>
      <c r="Z496" s="111" t="n"/>
      <c r="AA496" s="111" t="n"/>
      <c r="AB496" s="111" t="n"/>
      <c r="AC496" s="111" t="n"/>
      <c r="AD496" s="111" t="n"/>
      <c r="AE496" s="111" t="n"/>
      <c r="AF496" s="111" t="n"/>
      <c r="AG496" s="111" t="n"/>
      <c r="AH496" s="111" t="n"/>
      <c r="AI496" s="111" t="n"/>
      <c r="AJ496" s="114">
        <f>IF(COUNTA(B496,E496,H496,I496,J496,K496,L496,M496,N496,O496,P496,Q496,R496,S496,T496,U496,V496,W496,X496,Y496,Z496,AA496,AB496,AC496,AD496,AE496,AF496,AG496,AH496,AI496)=0,"",IF(OR(B496="",E496="",H496="",J496="",K496="",L496="",M496="",O496="",P496="",Q496="",R496="",S496="",T496="",U496="",W496="",X496="",Y496="",AB496="",AC496="",AE496="",AF496=""),"Incompleta: faltan campos obligatorios",IF(AND(LEFT(H496,6)="PROPIA",I496=""),"Falta el nombre de la acción propia del área",IF(AND(LEFT(H496,4)="AC27",IFERROR(INDEX('Catalogos_PDN'!$T$5:$T$207,MATCH(H496,'Catalogos_PDN'!$U$5:$U$207,0)),"x")&lt;&gt;LEFT(E496,7)),"La acción no corresponde a la meta seleccionada",IF(OR(NOT(ISNUMBER(M496)),M496&lt;10000000,M496&gt;99999999),"Código UNSPSC inválido: registre 8 dígitos",IF(MOD(M496,10000)=0,"UNSPSC a nivel de segmento o familia: use clase o producto",IF(IFERROR(MATCH(P496,PN_MESES,0)&lt;MATCH(O496,PN_MESES,0),TRUE()),"El mes de ofertas es anterior al de inicio del proceso",IF(OR(NOT(ISNUMBER(Q496)),Q496&lt;=0),"Duración inválida",IF(OR(NOT(ISNUMBER(W496)),NOT(ISNUMBER(X496))),"Valor inválido: registre solo números",IF(OR(W496&lt;=0,X496&lt;=0),"Valor inválido: debe ser mayor que cero",IF(X496&gt;W496,"El valor de la vigencia 2027 supera el valor total",IF(AND(X496&lt;W496,Y496="No"),"El valor total supera el de 2027: requiere vigencias futuras",IF(AND(Y496="Sí",OR(Z496="",Z496="No aplica")),"Indique el estado de la solicitud de vigencias futuras",IF(IF(AND(S496="Mínima cuantía",ISNUMBER(PN_TOPE_MINIMA)),W496&gt;PN_TOPE_MINIMA,FALSE()),"El valor supera el tope de mínima cuantía 2027",IF(IF(AND(S496="Selección abreviada de menor cuantía",ISNUMBER(PN_TOPE_MENOR)),W496&gt;PN_TOPE_MENOR,FALSE()),"El valor supera el tope de menor cuantía 2027",IF(OR(ISERROR(SEARCH("@itc.edu.co",AE496)),SUMPRODUCT(--ISNUMBER(SEARCH({"á","é","í","ó","ú","ñ"," "},AE496)))&gt;0),"El correo del responsable no es institucional válido",IF(AND(AF496="Sí",AG496=""),"Indique el N.° de registro 2026 que continúa","OK")))))))))))))))))</f>
        <v/>
      </c>
      <c r="AK496" s="114">
        <f>IF(AJ496="OK",COUNTIF($AJ$7:AJ496,"OK"),"")</f>
        <v/>
      </c>
    </row>
    <row r="497">
      <c r="A497" s="110">
        <f>"PN27-"&amp;TEXT(ROW()-6,"000")</f>
        <v/>
      </c>
      <c r="B497" s="111" t="n"/>
      <c r="C497" s="110">
        <f>IF(B497="","",IFERROR(INDEX('Catalogos_PDN'!$R$5:$R$51,MATCH(B497,PN_AREAS,0)),""))</f>
        <v/>
      </c>
      <c r="D497" s="110">
        <f>IF(B497="","",IFERROR(INDEX('Catalogos_PDN'!$O$5:$O$51,MATCH(B497,PN_AREAS,0)),""))</f>
        <v/>
      </c>
      <c r="E497" s="111" t="n"/>
      <c r="F497" s="110">
        <f>IF(E497="","",IFERROR(INDEX('Catalogos_PDN'!$C$5:$C$49,MATCH(E497,PN_METAS,0)),""))</f>
        <v/>
      </c>
      <c r="G497" s="110">
        <f>IF(E497="","",IFERROR(INDEX('Catalogos_PDN'!$E$5:$E$49,MATCH(E497,PN_METAS,0)),""))</f>
        <v/>
      </c>
      <c r="H497" s="111" t="n"/>
      <c r="I497" s="111" t="n"/>
      <c r="J497" s="111" t="n"/>
      <c r="K497" s="111" t="n"/>
      <c r="L497" s="111" t="n"/>
      <c r="M497" s="112" t="n"/>
      <c r="N497" s="111" t="n"/>
      <c r="O497" s="111" t="n"/>
      <c r="P497" s="111" t="n"/>
      <c r="Q497" s="111" t="n"/>
      <c r="R497" s="111" t="n"/>
      <c r="S497" s="111" t="n"/>
      <c r="T497" s="111" t="n"/>
      <c r="U497" s="111" t="n"/>
      <c r="V497" s="111" t="n"/>
      <c r="W497" s="113" t="n"/>
      <c r="X497" s="113" t="n"/>
      <c r="Y497" s="111" t="n"/>
      <c r="Z497" s="111" t="n"/>
      <c r="AA497" s="111" t="n"/>
      <c r="AB497" s="111" t="n"/>
      <c r="AC497" s="111" t="n"/>
      <c r="AD497" s="111" t="n"/>
      <c r="AE497" s="111" t="n"/>
      <c r="AF497" s="111" t="n"/>
      <c r="AG497" s="111" t="n"/>
      <c r="AH497" s="111" t="n"/>
      <c r="AI497" s="111" t="n"/>
      <c r="AJ497" s="114">
        <f>IF(COUNTA(B497,E497,H497,I497,J497,K497,L497,M497,N497,O497,P497,Q497,R497,S497,T497,U497,V497,W497,X497,Y497,Z497,AA497,AB497,AC497,AD497,AE497,AF497,AG497,AH497,AI497)=0,"",IF(OR(B497="",E497="",H497="",J497="",K497="",L497="",M497="",O497="",P497="",Q497="",R497="",S497="",T497="",U497="",W497="",X497="",Y497="",AB497="",AC497="",AE497="",AF497=""),"Incompleta: faltan campos obligatorios",IF(AND(LEFT(H497,6)="PROPIA",I497=""),"Falta el nombre de la acción propia del área",IF(AND(LEFT(H497,4)="AC27",IFERROR(INDEX('Catalogos_PDN'!$T$5:$T$207,MATCH(H497,'Catalogos_PDN'!$U$5:$U$207,0)),"x")&lt;&gt;LEFT(E497,7)),"La acción no corresponde a la meta seleccionada",IF(OR(NOT(ISNUMBER(M497)),M497&lt;10000000,M497&gt;99999999),"Código UNSPSC inválido: registre 8 dígitos",IF(MOD(M497,10000)=0,"UNSPSC a nivel de segmento o familia: use clase o producto",IF(IFERROR(MATCH(P497,PN_MESES,0)&lt;MATCH(O497,PN_MESES,0),TRUE()),"El mes de ofertas es anterior al de inicio del proceso",IF(OR(NOT(ISNUMBER(Q497)),Q497&lt;=0),"Duración inválida",IF(OR(NOT(ISNUMBER(W497)),NOT(ISNUMBER(X497))),"Valor inválido: registre solo números",IF(OR(W497&lt;=0,X497&lt;=0),"Valor inválido: debe ser mayor que cero",IF(X497&gt;W497,"El valor de la vigencia 2027 supera el valor total",IF(AND(X497&lt;W497,Y497="No"),"El valor total supera el de 2027: requiere vigencias futuras",IF(AND(Y497="Sí",OR(Z497="",Z497="No aplica")),"Indique el estado de la solicitud de vigencias futuras",IF(IF(AND(S497="Mínima cuantía",ISNUMBER(PN_TOPE_MINIMA)),W497&gt;PN_TOPE_MINIMA,FALSE()),"El valor supera el tope de mínima cuantía 2027",IF(IF(AND(S497="Selección abreviada de menor cuantía",ISNUMBER(PN_TOPE_MENOR)),W497&gt;PN_TOPE_MENOR,FALSE()),"El valor supera el tope de menor cuantía 2027",IF(OR(ISERROR(SEARCH("@itc.edu.co",AE497)),SUMPRODUCT(--ISNUMBER(SEARCH({"á","é","í","ó","ú","ñ"," "},AE497)))&gt;0),"El correo del responsable no es institucional válido",IF(AND(AF497="Sí",AG497=""),"Indique el N.° de registro 2026 que continúa","OK")))))))))))))))))</f>
        <v/>
      </c>
      <c r="AK497" s="114">
        <f>IF(AJ497="OK",COUNTIF($AJ$7:AJ497,"OK"),"")</f>
        <v/>
      </c>
    </row>
    <row r="498">
      <c r="A498" s="110">
        <f>"PN27-"&amp;TEXT(ROW()-6,"000")</f>
        <v/>
      </c>
      <c r="B498" s="111" t="n"/>
      <c r="C498" s="110">
        <f>IF(B498="","",IFERROR(INDEX('Catalogos_PDN'!$R$5:$R$51,MATCH(B498,PN_AREAS,0)),""))</f>
        <v/>
      </c>
      <c r="D498" s="110">
        <f>IF(B498="","",IFERROR(INDEX('Catalogos_PDN'!$O$5:$O$51,MATCH(B498,PN_AREAS,0)),""))</f>
        <v/>
      </c>
      <c r="E498" s="111" t="n"/>
      <c r="F498" s="110">
        <f>IF(E498="","",IFERROR(INDEX('Catalogos_PDN'!$C$5:$C$49,MATCH(E498,PN_METAS,0)),""))</f>
        <v/>
      </c>
      <c r="G498" s="110">
        <f>IF(E498="","",IFERROR(INDEX('Catalogos_PDN'!$E$5:$E$49,MATCH(E498,PN_METAS,0)),""))</f>
        <v/>
      </c>
      <c r="H498" s="111" t="n"/>
      <c r="I498" s="111" t="n"/>
      <c r="J498" s="111" t="n"/>
      <c r="K498" s="111" t="n"/>
      <c r="L498" s="111" t="n"/>
      <c r="M498" s="112" t="n"/>
      <c r="N498" s="111" t="n"/>
      <c r="O498" s="111" t="n"/>
      <c r="P498" s="111" t="n"/>
      <c r="Q498" s="111" t="n"/>
      <c r="R498" s="111" t="n"/>
      <c r="S498" s="111" t="n"/>
      <c r="T498" s="111" t="n"/>
      <c r="U498" s="111" t="n"/>
      <c r="V498" s="111" t="n"/>
      <c r="W498" s="113" t="n"/>
      <c r="X498" s="113" t="n"/>
      <c r="Y498" s="111" t="n"/>
      <c r="Z498" s="111" t="n"/>
      <c r="AA498" s="111" t="n"/>
      <c r="AB498" s="111" t="n"/>
      <c r="AC498" s="111" t="n"/>
      <c r="AD498" s="111" t="n"/>
      <c r="AE498" s="111" t="n"/>
      <c r="AF498" s="111" t="n"/>
      <c r="AG498" s="111" t="n"/>
      <c r="AH498" s="111" t="n"/>
      <c r="AI498" s="111" t="n"/>
      <c r="AJ498" s="114">
        <f>IF(COUNTA(B498,E498,H498,I498,J498,K498,L498,M498,N498,O498,P498,Q498,R498,S498,T498,U498,V498,W498,X498,Y498,Z498,AA498,AB498,AC498,AD498,AE498,AF498,AG498,AH498,AI498)=0,"",IF(OR(B498="",E498="",H498="",J498="",K498="",L498="",M498="",O498="",P498="",Q498="",R498="",S498="",T498="",U498="",W498="",X498="",Y498="",AB498="",AC498="",AE498="",AF498=""),"Incompleta: faltan campos obligatorios",IF(AND(LEFT(H498,6)="PROPIA",I498=""),"Falta el nombre de la acción propia del área",IF(AND(LEFT(H498,4)="AC27",IFERROR(INDEX('Catalogos_PDN'!$T$5:$T$207,MATCH(H498,'Catalogos_PDN'!$U$5:$U$207,0)),"x")&lt;&gt;LEFT(E498,7)),"La acción no corresponde a la meta seleccionada",IF(OR(NOT(ISNUMBER(M498)),M498&lt;10000000,M498&gt;99999999),"Código UNSPSC inválido: registre 8 dígitos",IF(MOD(M498,10000)=0,"UNSPSC a nivel de segmento o familia: use clase o producto",IF(IFERROR(MATCH(P498,PN_MESES,0)&lt;MATCH(O498,PN_MESES,0),TRUE()),"El mes de ofertas es anterior al de inicio del proceso",IF(OR(NOT(ISNUMBER(Q498)),Q498&lt;=0),"Duración inválida",IF(OR(NOT(ISNUMBER(W498)),NOT(ISNUMBER(X498))),"Valor inválido: registre solo números",IF(OR(W498&lt;=0,X498&lt;=0),"Valor inválido: debe ser mayor que cero",IF(X498&gt;W498,"El valor de la vigencia 2027 supera el valor total",IF(AND(X498&lt;W498,Y498="No"),"El valor total supera el de 2027: requiere vigencias futuras",IF(AND(Y498="Sí",OR(Z498="",Z498="No aplica")),"Indique el estado de la solicitud de vigencias futuras",IF(IF(AND(S498="Mínima cuantía",ISNUMBER(PN_TOPE_MINIMA)),W498&gt;PN_TOPE_MINIMA,FALSE()),"El valor supera el tope de mínima cuantía 2027",IF(IF(AND(S498="Selección abreviada de menor cuantía",ISNUMBER(PN_TOPE_MENOR)),W498&gt;PN_TOPE_MENOR,FALSE()),"El valor supera el tope de menor cuantía 2027",IF(OR(ISERROR(SEARCH("@itc.edu.co",AE498)),SUMPRODUCT(--ISNUMBER(SEARCH({"á","é","í","ó","ú","ñ"," "},AE498)))&gt;0),"El correo del responsable no es institucional válido",IF(AND(AF498="Sí",AG498=""),"Indique el N.° de registro 2026 que continúa","OK")))))))))))))))))</f>
        <v/>
      </c>
      <c r="AK498" s="114">
        <f>IF(AJ498="OK",COUNTIF($AJ$7:AJ498,"OK"),"")</f>
        <v/>
      </c>
    </row>
    <row r="499">
      <c r="A499" s="110">
        <f>"PN27-"&amp;TEXT(ROW()-6,"000")</f>
        <v/>
      </c>
      <c r="B499" s="111" t="n"/>
      <c r="C499" s="110">
        <f>IF(B499="","",IFERROR(INDEX('Catalogos_PDN'!$R$5:$R$51,MATCH(B499,PN_AREAS,0)),""))</f>
        <v/>
      </c>
      <c r="D499" s="110">
        <f>IF(B499="","",IFERROR(INDEX('Catalogos_PDN'!$O$5:$O$51,MATCH(B499,PN_AREAS,0)),""))</f>
        <v/>
      </c>
      <c r="E499" s="111" t="n"/>
      <c r="F499" s="110">
        <f>IF(E499="","",IFERROR(INDEX('Catalogos_PDN'!$C$5:$C$49,MATCH(E499,PN_METAS,0)),""))</f>
        <v/>
      </c>
      <c r="G499" s="110">
        <f>IF(E499="","",IFERROR(INDEX('Catalogos_PDN'!$E$5:$E$49,MATCH(E499,PN_METAS,0)),""))</f>
        <v/>
      </c>
      <c r="H499" s="111" t="n"/>
      <c r="I499" s="111" t="n"/>
      <c r="J499" s="111" t="n"/>
      <c r="K499" s="111" t="n"/>
      <c r="L499" s="111" t="n"/>
      <c r="M499" s="112" t="n"/>
      <c r="N499" s="111" t="n"/>
      <c r="O499" s="111" t="n"/>
      <c r="P499" s="111" t="n"/>
      <c r="Q499" s="111" t="n"/>
      <c r="R499" s="111" t="n"/>
      <c r="S499" s="111" t="n"/>
      <c r="T499" s="111" t="n"/>
      <c r="U499" s="111" t="n"/>
      <c r="V499" s="111" t="n"/>
      <c r="W499" s="113" t="n"/>
      <c r="X499" s="113" t="n"/>
      <c r="Y499" s="111" t="n"/>
      <c r="Z499" s="111" t="n"/>
      <c r="AA499" s="111" t="n"/>
      <c r="AB499" s="111" t="n"/>
      <c r="AC499" s="111" t="n"/>
      <c r="AD499" s="111" t="n"/>
      <c r="AE499" s="111" t="n"/>
      <c r="AF499" s="111" t="n"/>
      <c r="AG499" s="111" t="n"/>
      <c r="AH499" s="111" t="n"/>
      <c r="AI499" s="111" t="n"/>
      <c r="AJ499" s="114">
        <f>IF(COUNTA(B499,E499,H499,I499,J499,K499,L499,M499,N499,O499,P499,Q499,R499,S499,T499,U499,V499,W499,X499,Y499,Z499,AA499,AB499,AC499,AD499,AE499,AF499,AG499,AH499,AI499)=0,"",IF(OR(B499="",E499="",H499="",J499="",K499="",L499="",M499="",O499="",P499="",Q499="",R499="",S499="",T499="",U499="",W499="",X499="",Y499="",AB499="",AC499="",AE499="",AF499=""),"Incompleta: faltan campos obligatorios",IF(AND(LEFT(H499,6)="PROPIA",I499=""),"Falta el nombre de la acción propia del área",IF(AND(LEFT(H499,4)="AC27",IFERROR(INDEX('Catalogos_PDN'!$T$5:$T$207,MATCH(H499,'Catalogos_PDN'!$U$5:$U$207,0)),"x")&lt;&gt;LEFT(E499,7)),"La acción no corresponde a la meta seleccionada",IF(OR(NOT(ISNUMBER(M499)),M499&lt;10000000,M499&gt;99999999),"Código UNSPSC inválido: registre 8 dígitos",IF(MOD(M499,10000)=0,"UNSPSC a nivel de segmento o familia: use clase o producto",IF(IFERROR(MATCH(P499,PN_MESES,0)&lt;MATCH(O499,PN_MESES,0),TRUE()),"El mes de ofertas es anterior al de inicio del proceso",IF(OR(NOT(ISNUMBER(Q499)),Q499&lt;=0),"Duración inválida",IF(OR(NOT(ISNUMBER(W499)),NOT(ISNUMBER(X499))),"Valor inválido: registre solo números",IF(OR(W499&lt;=0,X499&lt;=0),"Valor inválido: debe ser mayor que cero",IF(X499&gt;W499,"El valor de la vigencia 2027 supera el valor total",IF(AND(X499&lt;W499,Y499="No"),"El valor total supera el de 2027: requiere vigencias futuras",IF(AND(Y499="Sí",OR(Z499="",Z499="No aplica")),"Indique el estado de la solicitud de vigencias futuras",IF(IF(AND(S499="Mínima cuantía",ISNUMBER(PN_TOPE_MINIMA)),W499&gt;PN_TOPE_MINIMA,FALSE()),"El valor supera el tope de mínima cuantía 2027",IF(IF(AND(S499="Selección abreviada de menor cuantía",ISNUMBER(PN_TOPE_MENOR)),W499&gt;PN_TOPE_MENOR,FALSE()),"El valor supera el tope de menor cuantía 2027",IF(OR(ISERROR(SEARCH("@itc.edu.co",AE499)),SUMPRODUCT(--ISNUMBER(SEARCH({"á","é","í","ó","ú","ñ"," "},AE499)))&gt;0),"El correo del responsable no es institucional válido",IF(AND(AF499="Sí",AG499=""),"Indique el N.° de registro 2026 que continúa","OK")))))))))))))))))</f>
        <v/>
      </c>
      <c r="AK499" s="114">
        <f>IF(AJ499="OK",COUNTIF($AJ$7:AJ499,"OK"),"")</f>
        <v/>
      </c>
    </row>
    <row r="500">
      <c r="A500" s="110">
        <f>"PN27-"&amp;TEXT(ROW()-6,"000")</f>
        <v/>
      </c>
      <c r="B500" s="111" t="n"/>
      <c r="C500" s="110">
        <f>IF(B500="","",IFERROR(INDEX('Catalogos_PDN'!$R$5:$R$51,MATCH(B500,PN_AREAS,0)),""))</f>
        <v/>
      </c>
      <c r="D500" s="110">
        <f>IF(B500="","",IFERROR(INDEX('Catalogos_PDN'!$O$5:$O$51,MATCH(B500,PN_AREAS,0)),""))</f>
        <v/>
      </c>
      <c r="E500" s="111" t="n"/>
      <c r="F500" s="110">
        <f>IF(E500="","",IFERROR(INDEX('Catalogos_PDN'!$C$5:$C$49,MATCH(E500,PN_METAS,0)),""))</f>
        <v/>
      </c>
      <c r="G500" s="110">
        <f>IF(E500="","",IFERROR(INDEX('Catalogos_PDN'!$E$5:$E$49,MATCH(E500,PN_METAS,0)),""))</f>
        <v/>
      </c>
      <c r="H500" s="111" t="n"/>
      <c r="I500" s="111" t="n"/>
      <c r="J500" s="111" t="n"/>
      <c r="K500" s="111" t="n"/>
      <c r="L500" s="111" t="n"/>
      <c r="M500" s="112" t="n"/>
      <c r="N500" s="111" t="n"/>
      <c r="O500" s="111" t="n"/>
      <c r="P500" s="111" t="n"/>
      <c r="Q500" s="111" t="n"/>
      <c r="R500" s="111" t="n"/>
      <c r="S500" s="111" t="n"/>
      <c r="T500" s="111" t="n"/>
      <c r="U500" s="111" t="n"/>
      <c r="V500" s="111" t="n"/>
      <c r="W500" s="113" t="n"/>
      <c r="X500" s="113" t="n"/>
      <c r="Y500" s="111" t="n"/>
      <c r="Z500" s="111" t="n"/>
      <c r="AA500" s="111" t="n"/>
      <c r="AB500" s="111" t="n"/>
      <c r="AC500" s="111" t="n"/>
      <c r="AD500" s="111" t="n"/>
      <c r="AE500" s="111" t="n"/>
      <c r="AF500" s="111" t="n"/>
      <c r="AG500" s="111" t="n"/>
      <c r="AH500" s="111" t="n"/>
      <c r="AI500" s="111" t="n"/>
      <c r="AJ500" s="114">
        <f>IF(COUNTA(B500,E500,H500,I500,J500,K500,L500,M500,N500,O500,P500,Q500,R500,S500,T500,U500,V500,W500,X500,Y500,Z500,AA500,AB500,AC500,AD500,AE500,AF500,AG500,AH500,AI500)=0,"",IF(OR(B500="",E500="",H500="",J500="",K500="",L500="",M500="",O500="",P500="",Q500="",R500="",S500="",T500="",U500="",W500="",X500="",Y500="",AB500="",AC500="",AE500="",AF500=""),"Incompleta: faltan campos obligatorios",IF(AND(LEFT(H500,6)="PROPIA",I500=""),"Falta el nombre de la acción propia del área",IF(AND(LEFT(H500,4)="AC27",IFERROR(INDEX('Catalogos_PDN'!$T$5:$T$207,MATCH(H500,'Catalogos_PDN'!$U$5:$U$207,0)),"x")&lt;&gt;LEFT(E500,7)),"La acción no corresponde a la meta seleccionada",IF(OR(NOT(ISNUMBER(M500)),M500&lt;10000000,M500&gt;99999999),"Código UNSPSC inválido: registre 8 dígitos",IF(MOD(M500,10000)=0,"UNSPSC a nivel de segmento o familia: use clase o producto",IF(IFERROR(MATCH(P500,PN_MESES,0)&lt;MATCH(O500,PN_MESES,0),TRUE()),"El mes de ofertas es anterior al de inicio del proceso",IF(OR(NOT(ISNUMBER(Q500)),Q500&lt;=0),"Duración inválida",IF(OR(NOT(ISNUMBER(W500)),NOT(ISNUMBER(X500))),"Valor inválido: registre solo números",IF(OR(W500&lt;=0,X500&lt;=0),"Valor inválido: debe ser mayor que cero",IF(X500&gt;W500,"El valor de la vigencia 2027 supera el valor total",IF(AND(X500&lt;W500,Y500="No"),"El valor total supera el de 2027: requiere vigencias futuras",IF(AND(Y500="Sí",OR(Z500="",Z500="No aplica")),"Indique el estado de la solicitud de vigencias futuras",IF(IF(AND(S500="Mínima cuantía",ISNUMBER(PN_TOPE_MINIMA)),W500&gt;PN_TOPE_MINIMA,FALSE()),"El valor supera el tope de mínima cuantía 2027",IF(IF(AND(S500="Selección abreviada de menor cuantía",ISNUMBER(PN_TOPE_MENOR)),W500&gt;PN_TOPE_MENOR,FALSE()),"El valor supera el tope de menor cuantía 2027",IF(OR(ISERROR(SEARCH("@itc.edu.co",AE500)),SUMPRODUCT(--ISNUMBER(SEARCH({"á","é","í","ó","ú","ñ"," "},AE500)))&gt;0),"El correo del responsable no es institucional válido",IF(AND(AF500="Sí",AG500=""),"Indique el N.° de registro 2026 que continúa","OK")))))))))))))))))</f>
        <v/>
      </c>
      <c r="AK500" s="114">
        <f>IF(AJ500="OK",COUNTIF($AJ$7:AJ500,"OK"),"")</f>
        <v/>
      </c>
    </row>
    <row r="501">
      <c r="A501" s="110">
        <f>"PN27-"&amp;TEXT(ROW()-6,"000")</f>
        <v/>
      </c>
      <c r="B501" s="111" t="n"/>
      <c r="C501" s="110">
        <f>IF(B501="","",IFERROR(INDEX('Catalogos_PDN'!$R$5:$R$51,MATCH(B501,PN_AREAS,0)),""))</f>
        <v/>
      </c>
      <c r="D501" s="110">
        <f>IF(B501="","",IFERROR(INDEX('Catalogos_PDN'!$O$5:$O$51,MATCH(B501,PN_AREAS,0)),""))</f>
        <v/>
      </c>
      <c r="E501" s="111" t="n"/>
      <c r="F501" s="110">
        <f>IF(E501="","",IFERROR(INDEX('Catalogos_PDN'!$C$5:$C$49,MATCH(E501,PN_METAS,0)),""))</f>
        <v/>
      </c>
      <c r="G501" s="110">
        <f>IF(E501="","",IFERROR(INDEX('Catalogos_PDN'!$E$5:$E$49,MATCH(E501,PN_METAS,0)),""))</f>
        <v/>
      </c>
      <c r="H501" s="111" t="n"/>
      <c r="I501" s="111" t="n"/>
      <c r="J501" s="111" t="n"/>
      <c r="K501" s="111" t="n"/>
      <c r="L501" s="111" t="n"/>
      <c r="M501" s="112" t="n"/>
      <c r="N501" s="111" t="n"/>
      <c r="O501" s="111" t="n"/>
      <c r="P501" s="111" t="n"/>
      <c r="Q501" s="111" t="n"/>
      <c r="R501" s="111" t="n"/>
      <c r="S501" s="111" t="n"/>
      <c r="T501" s="111" t="n"/>
      <c r="U501" s="111" t="n"/>
      <c r="V501" s="111" t="n"/>
      <c r="W501" s="113" t="n"/>
      <c r="X501" s="113" t="n"/>
      <c r="Y501" s="111" t="n"/>
      <c r="Z501" s="111" t="n"/>
      <c r="AA501" s="111" t="n"/>
      <c r="AB501" s="111" t="n"/>
      <c r="AC501" s="111" t="n"/>
      <c r="AD501" s="111" t="n"/>
      <c r="AE501" s="111" t="n"/>
      <c r="AF501" s="111" t="n"/>
      <c r="AG501" s="111" t="n"/>
      <c r="AH501" s="111" t="n"/>
      <c r="AI501" s="111" t="n"/>
      <c r="AJ501" s="114">
        <f>IF(COUNTA(B501,E501,H501,I501,J501,K501,L501,M501,N501,O501,P501,Q501,R501,S501,T501,U501,V501,W501,X501,Y501,Z501,AA501,AB501,AC501,AD501,AE501,AF501,AG501,AH501,AI501)=0,"",IF(OR(B501="",E501="",H501="",J501="",K501="",L501="",M501="",O501="",P501="",Q501="",R501="",S501="",T501="",U501="",W501="",X501="",Y501="",AB501="",AC501="",AE501="",AF501=""),"Incompleta: faltan campos obligatorios",IF(AND(LEFT(H501,6)="PROPIA",I501=""),"Falta el nombre de la acción propia del área",IF(AND(LEFT(H501,4)="AC27",IFERROR(INDEX('Catalogos_PDN'!$T$5:$T$207,MATCH(H501,'Catalogos_PDN'!$U$5:$U$207,0)),"x")&lt;&gt;LEFT(E501,7)),"La acción no corresponde a la meta seleccionada",IF(OR(NOT(ISNUMBER(M501)),M501&lt;10000000,M501&gt;99999999),"Código UNSPSC inválido: registre 8 dígitos",IF(MOD(M501,10000)=0,"UNSPSC a nivel de segmento o familia: use clase o producto",IF(IFERROR(MATCH(P501,PN_MESES,0)&lt;MATCH(O501,PN_MESES,0),TRUE()),"El mes de ofertas es anterior al de inicio del proceso",IF(OR(NOT(ISNUMBER(Q501)),Q501&lt;=0),"Duración inválida",IF(OR(NOT(ISNUMBER(W501)),NOT(ISNUMBER(X501))),"Valor inválido: registre solo números",IF(OR(W501&lt;=0,X501&lt;=0),"Valor inválido: debe ser mayor que cero",IF(X501&gt;W501,"El valor de la vigencia 2027 supera el valor total",IF(AND(X501&lt;W501,Y501="No"),"El valor total supera el de 2027: requiere vigencias futuras",IF(AND(Y501="Sí",OR(Z501="",Z501="No aplica")),"Indique el estado de la solicitud de vigencias futuras",IF(IF(AND(S501="Mínima cuantía",ISNUMBER(PN_TOPE_MINIMA)),W501&gt;PN_TOPE_MINIMA,FALSE()),"El valor supera el tope de mínima cuantía 2027",IF(IF(AND(S501="Selección abreviada de menor cuantía",ISNUMBER(PN_TOPE_MENOR)),W501&gt;PN_TOPE_MENOR,FALSE()),"El valor supera el tope de menor cuantía 2027",IF(OR(ISERROR(SEARCH("@itc.edu.co",AE501)),SUMPRODUCT(--ISNUMBER(SEARCH({"á","é","í","ó","ú","ñ"," "},AE501)))&gt;0),"El correo del responsable no es institucional válido",IF(AND(AF501="Sí",AG501=""),"Indique el N.° de registro 2026 que continúa","OK")))))))))))))))))</f>
        <v/>
      </c>
      <c r="AK501" s="114">
        <f>IF(AJ501="OK",COUNTIF($AJ$7:AJ501,"OK"),"")</f>
        <v/>
      </c>
    </row>
    <row r="502">
      <c r="A502" s="110">
        <f>"PN27-"&amp;TEXT(ROW()-6,"000")</f>
        <v/>
      </c>
      <c r="B502" s="111" t="n"/>
      <c r="C502" s="110">
        <f>IF(B502="","",IFERROR(INDEX('Catalogos_PDN'!$R$5:$R$51,MATCH(B502,PN_AREAS,0)),""))</f>
        <v/>
      </c>
      <c r="D502" s="110">
        <f>IF(B502="","",IFERROR(INDEX('Catalogos_PDN'!$O$5:$O$51,MATCH(B502,PN_AREAS,0)),""))</f>
        <v/>
      </c>
      <c r="E502" s="111" t="n"/>
      <c r="F502" s="110">
        <f>IF(E502="","",IFERROR(INDEX('Catalogos_PDN'!$C$5:$C$49,MATCH(E502,PN_METAS,0)),""))</f>
        <v/>
      </c>
      <c r="G502" s="110">
        <f>IF(E502="","",IFERROR(INDEX('Catalogos_PDN'!$E$5:$E$49,MATCH(E502,PN_METAS,0)),""))</f>
        <v/>
      </c>
      <c r="H502" s="111" t="n"/>
      <c r="I502" s="111" t="n"/>
      <c r="J502" s="111" t="n"/>
      <c r="K502" s="111" t="n"/>
      <c r="L502" s="111" t="n"/>
      <c r="M502" s="112" t="n"/>
      <c r="N502" s="111" t="n"/>
      <c r="O502" s="111" t="n"/>
      <c r="P502" s="111" t="n"/>
      <c r="Q502" s="111" t="n"/>
      <c r="R502" s="111" t="n"/>
      <c r="S502" s="111" t="n"/>
      <c r="T502" s="111" t="n"/>
      <c r="U502" s="111" t="n"/>
      <c r="V502" s="111" t="n"/>
      <c r="W502" s="113" t="n"/>
      <c r="X502" s="113" t="n"/>
      <c r="Y502" s="111" t="n"/>
      <c r="Z502" s="111" t="n"/>
      <c r="AA502" s="111" t="n"/>
      <c r="AB502" s="111" t="n"/>
      <c r="AC502" s="111" t="n"/>
      <c r="AD502" s="111" t="n"/>
      <c r="AE502" s="111" t="n"/>
      <c r="AF502" s="111" t="n"/>
      <c r="AG502" s="111" t="n"/>
      <c r="AH502" s="111" t="n"/>
      <c r="AI502" s="111" t="n"/>
      <c r="AJ502" s="114">
        <f>IF(COUNTA(B502,E502,H502,I502,J502,K502,L502,M502,N502,O502,P502,Q502,R502,S502,T502,U502,V502,W502,X502,Y502,Z502,AA502,AB502,AC502,AD502,AE502,AF502,AG502,AH502,AI502)=0,"",IF(OR(B502="",E502="",H502="",J502="",K502="",L502="",M502="",O502="",P502="",Q502="",R502="",S502="",T502="",U502="",W502="",X502="",Y502="",AB502="",AC502="",AE502="",AF502=""),"Incompleta: faltan campos obligatorios",IF(AND(LEFT(H502,6)="PROPIA",I502=""),"Falta el nombre de la acción propia del área",IF(AND(LEFT(H502,4)="AC27",IFERROR(INDEX('Catalogos_PDN'!$T$5:$T$207,MATCH(H502,'Catalogos_PDN'!$U$5:$U$207,0)),"x")&lt;&gt;LEFT(E502,7)),"La acción no corresponde a la meta seleccionada",IF(OR(NOT(ISNUMBER(M502)),M502&lt;10000000,M502&gt;99999999),"Código UNSPSC inválido: registre 8 dígitos",IF(MOD(M502,10000)=0,"UNSPSC a nivel de segmento o familia: use clase o producto",IF(IFERROR(MATCH(P502,PN_MESES,0)&lt;MATCH(O502,PN_MESES,0),TRUE()),"El mes de ofertas es anterior al de inicio del proceso",IF(OR(NOT(ISNUMBER(Q502)),Q502&lt;=0),"Duración inválida",IF(OR(NOT(ISNUMBER(W502)),NOT(ISNUMBER(X502))),"Valor inválido: registre solo números",IF(OR(W502&lt;=0,X502&lt;=0),"Valor inválido: debe ser mayor que cero",IF(X502&gt;W502,"El valor de la vigencia 2027 supera el valor total",IF(AND(X502&lt;W502,Y502="No"),"El valor total supera el de 2027: requiere vigencias futuras",IF(AND(Y502="Sí",OR(Z502="",Z502="No aplica")),"Indique el estado de la solicitud de vigencias futuras",IF(IF(AND(S502="Mínima cuantía",ISNUMBER(PN_TOPE_MINIMA)),W502&gt;PN_TOPE_MINIMA,FALSE()),"El valor supera el tope de mínima cuantía 2027",IF(IF(AND(S502="Selección abreviada de menor cuantía",ISNUMBER(PN_TOPE_MENOR)),W502&gt;PN_TOPE_MENOR,FALSE()),"El valor supera el tope de menor cuantía 2027",IF(OR(ISERROR(SEARCH("@itc.edu.co",AE502)),SUMPRODUCT(--ISNUMBER(SEARCH({"á","é","í","ó","ú","ñ"," "},AE502)))&gt;0),"El correo del responsable no es institucional válido",IF(AND(AF502="Sí",AG502=""),"Indique el N.° de registro 2026 que continúa","OK")))))))))))))))))</f>
        <v/>
      </c>
      <c r="AK502" s="114">
        <f>IF(AJ502="OK",COUNTIF($AJ$7:AJ502,"OK"),"")</f>
        <v/>
      </c>
    </row>
    <row r="503">
      <c r="A503" s="110">
        <f>"PN27-"&amp;TEXT(ROW()-6,"000")</f>
        <v/>
      </c>
      <c r="B503" s="111" t="n"/>
      <c r="C503" s="110">
        <f>IF(B503="","",IFERROR(INDEX('Catalogos_PDN'!$R$5:$R$51,MATCH(B503,PN_AREAS,0)),""))</f>
        <v/>
      </c>
      <c r="D503" s="110">
        <f>IF(B503="","",IFERROR(INDEX('Catalogos_PDN'!$O$5:$O$51,MATCH(B503,PN_AREAS,0)),""))</f>
        <v/>
      </c>
      <c r="E503" s="111" t="n"/>
      <c r="F503" s="110">
        <f>IF(E503="","",IFERROR(INDEX('Catalogos_PDN'!$C$5:$C$49,MATCH(E503,PN_METAS,0)),""))</f>
        <v/>
      </c>
      <c r="G503" s="110">
        <f>IF(E503="","",IFERROR(INDEX('Catalogos_PDN'!$E$5:$E$49,MATCH(E503,PN_METAS,0)),""))</f>
        <v/>
      </c>
      <c r="H503" s="111" t="n"/>
      <c r="I503" s="111" t="n"/>
      <c r="J503" s="111" t="n"/>
      <c r="K503" s="111" t="n"/>
      <c r="L503" s="111" t="n"/>
      <c r="M503" s="112" t="n"/>
      <c r="N503" s="111" t="n"/>
      <c r="O503" s="111" t="n"/>
      <c r="P503" s="111" t="n"/>
      <c r="Q503" s="111" t="n"/>
      <c r="R503" s="111" t="n"/>
      <c r="S503" s="111" t="n"/>
      <c r="T503" s="111" t="n"/>
      <c r="U503" s="111" t="n"/>
      <c r="V503" s="111" t="n"/>
      <c r="W503" s="113" t="n"/>
      <c r="X503" s="113" t="n"/>
      <c r="Y503" s="111" t="n"/>
      <c r="Z503" s="111" t="n"/>
      <c r="AA503" s="111" t="n"/>
      <c r="AB503" s="111" t="n"/>
      <c r="AC503" s="111" t="n"/>
      <c r="AD503" s="111" t="n"/>
      <c r="AE503" s="111" t="n"/>
      <c r="AF503" s="111" t="n"/>
      <c r="AG503" s="111" t="n"/>
      <c r="AH503" s="111" t="n"/>
      <c r="AI503" s="111" t="n"/>
      <c r="AJ503" s="114">
        <f>IF(COUNTA(B503,E503,H503,I503,J503,K503,L503,M503,N503,O503,P503,Q503,R503,S503,T503,U503,V503,W503,X503,Y503,Z503,AA503,AB503,AC503,AD503,AE503,AF503,AG503,AH503,AI503)=0,"",IF(OR(B503="",E503="",H503="",J503="",K503="",L503="",M503="",O503="",P503="",Q503="",R503="",S503="",T503="",U503="",W503="",X503="",Y503="",AB503="",AC503="",AE503="",AF503=""),"Incompleta: faltan campos obligatorios",IF(AND(LEFT(H503,6)="PROPIA",I503=""),"Falta el nombre de la acción propia del área",IF(AND(LEFT(H503,4)="AC27",IFERROR(INDEX('Catalogos_PDN'!$T$5:$T$207,MATCH(H503,'Catalogos_PDN'!$U$5:$U$207,0)),"x")&lt;&gt;LEFT(E503,7)),"La acción no corresponde a la meta seleccionada",IF(OR(NOT(ISNUMBER(M503)),M503&lt;10000000,M503&gt;99999999),"Código UNSPSC inválido: registre 8 dígitos",IF(MOD(M503,10000)=0,"UNSPSC a nivel de segmento o familia: use clase o producto",IF(IFERROR(MATCH(P503,PN_MESES,0)&lt;MATCH(O503,PN_MESES,0),TRUE()),"El mes de ofertas es anterior al de inicio del proceso",IF(OR(NOT(ISNUMBER(Q503)),Q503&lt;=0),"Duración inválida",IF(OR(NOT(ISNUMBER(W503)),NOT(ISNUMBER(X503))),"Valor inválido: registre solo números",IF(OR(W503&lt;=0,X503&lt;=0),"Valor inválido: debe ser mayor que cero",IF(X503&gt;W503,"El valor de la vigencia 2027 supera el valor total",IF(AND(X503&lt;W503,Y503="No"),"El valor total supera el de 2027: requiere vigencias futuras",IF(AND(Y503="Sí",OR(Z503="",Z503="No aplica")),"Indique el estado de la solicitud de vigencias futuras",IF(IF(AND(S503="Mínima cuantía",ISNUMBER(PN_TOPE_MINIMA)),W503&gt;PN_TOPE_MINIMA,FALSE()),"El valor supera el tope de mínima cuantía 2027",IF(IF(AND(S503="Selección abreviada de menor cuantía",ISNUMBER(PN_TOPE_MENOR)),W503&gt;PN_TOPE_MENOR,FALSE()),"El valor supera el tope de menor cuantía 2027",IF(OR(ISERROR(SEARCH("@itc.edu.co",AE503)),SUMPRODUCT(--ISNUMBER(SEARCH({"á","é","í","ó","ú","ñ"," "},AE503)))&gt;0),"El correo del responsable no es institucional válido",IF(AND(AF503="Sí",AG503=""),"Indique el N.° de registro 2026 que continúa","OK")))))))))))))))))</f>
        <v/>
      </c>
      <c r="AK503" s="114">
        <f>IF(AJ503="OK",COUNTIF($AJ$7:AJ503,"OK"),"")</f>
        <v/>
      </c>
    </row>
    <row r="504">
      <c r="A504" s="110">
        <f>"PN27-"&amp;TEXT(ROW()-6,"000")</f>
        <v/>
      </c>
      <c r="B504" s="111" t="n"/>
      <c r="C504" s="110">
        <f>IF(B504="","",IFERROR(INDEX('Catalogos_PDN'!$R$5:$R$51,MATCH(B504,PN_AREAS,0)),""))</f>
        <v/>
      </c>
      <c r="D504" s="110">
        <f>IF(B504="","",IFERROR(INDEX('Catalogos_PDN'!$O$5:$O$51,MATCH(B504,PN_AREAS,0)),""))</f>
        <v/>
      </c>
      <c r="E504" s="111" t="n"/>
      <c r="F504" s="110">
        <f>IF(E504="","",IFERROR(INDEX('Catalogos_PDN'!$C$5:$C$49,MATCH(E504,PN_METAS,0)),""))</f>
        <v/>
      </c>
      <c r="G504" s="110">
        <f>IF(E504="","",IFERROR(INDEX('Catalogos_PDN'!$E$5:$E$49,MATCH(E504,PN_METAS,0)),""))</f>
        <v/>
      </c>
      <c r="H504" s="111" t="n"/>
      <c r="I504" s="111" t="n"/>
      <c r="J504" s="111" t="n"/>
      <c r="K504" s="111" t="n"/>
      <c r="L504" s="111" t="n"/>
      <c r="M504" s="112" t="n"/>
      <c r="N504" s="111" t="n"/>
      <c r="O504" s="111" t="n"/>
      <c r="P504" s="111" t="n"/>
      <c r="Q504" s="111" t="n"/>
      <c r="R504" s="111" t="n"/>
      <c r="S504" s="111" t="n"/>
      <c r="T504" s="111" t="n"/>
      <c r="U504" s="111" t="n"/>
      <c r="V504" s="111" t="n"/>
      <c r="W504" s="113" t="n"/>
      <c r="X504" s="113" t="n"/>
      <c r="Y504" s="111" t="n"/>
      <c r="Z504" s="111" t="n"/>
      <c r="AA504" s="111" t="n"/>
      <c r="AB504" s="111" t="n"/>
      <c r="AC504" s="111" t="n"/>
      <c r="AD504" s="111" t="n"/>
      <c r="AE504" s="111" t="n"/>
      <c r="AF504" s="111" t="n"/>
      <c r="AG504" s="111" t="n"/>
      <c r="AH504" s="111" t="n"/>
      <c r="AI504" s="111" t="n"/>
      <c r="AJ504" s="114">
        <f>IF(COUNTA(B504,E504,H504,I504,J504,K504,L504,M504,N504,O504,P504,Q504,R504,S504,T504,U504,V504,W504,X504,Y504,Z504,AA504,AB504,AC504,AD504,AE504,AF504,AG504,AH504,AI504)=0,"",IF(OR(B504="",E504="",H504="",J504="",K504="",L504="",M504="",O504="",P504="",Q504="",R504="",S504="",T504="",U504="",W504="",X504="",Y504="",AB504="",AC504="",AE504="",AF504=""),"Incompleta: faltan campos obligatorios",IF(AND(LEFT(H504,6)="PROPIA",I504=""),"Falta el nombre de la acción propia del área",IF(AND(LEFT(H504,4)="AC27",IFERROR(INDEX('Catalogos_PDN'!$T$5:$T$207,MATCH(H504,'Catalogos_PDN'!$U$5:$U$207,0)),"x")&lt;&gt;LEFT(E504,7)),"La acción no corresponde a la meta seleccionada",IF(OR(NOT(ISNUMBER(M504)),M504&lt;10000000,M504&gt;99999999),"Código UNSPSC inválido: registre 8 dígitos",IF(MOD(M504,10000)=0,"UNSPSC a nivel de segmento o familia: use clase o producto",IF(IFERROR(MATCH(P504,PN_MESES,0)&lt;MATCH(O504,PN_MESES,0),TRUE()),"El mes de ofertas es anterior al de inicio del proceso",IF(OR(NOT(ISNUMBER(Q504)),Q504&lt;=0),"Duración inválida",IF(OR(NOT(ISNUMBER(W504)),NOT(ISNUMBER(X504))),"Valor inválido: registre solo números",IF(OR(W504&lt;=0,X504&lt;=0),"Valor inválido: debe ser mayor que cero",IF(X504&gt;W504,"El valor de la vigencia 2027 supera el valor total",IF(AND(X504&lt;W504,Y504="No"),"El valor total supera el de 2027: requiere vigencias futuras",IF(AND(Y504="Sí",OR(Z504="",Z504="No aplica")),"Indique el estado de la solicitud de vigencias futuras",IF(IF(AND(S504="Mínima cuantía",ISNUMBER(PN_TOPE_MINIMA)),W504&gt;PN_TOPE_MINIMA,FALSE()),"El valor supera el tope de mínima cuantía 2027",IF(IF(AND(S504="Selección abreviada de menor cuantía",ISNUMBER(PN_TOPE_MENOR)),W504&gt;PN_TOPE_MENOR,FALSE()),"El valor supera el tope de menor cuantía 2027",IF(OR(ISERROR(SEARCH("@itc.edu.co",AE504)),SUMPRODUCT(--ISNUMBER(SEARCH({"á","é","í","ó","ú","ñ"," "},AE504)))&gt;0),"El correo del responsable no es institucional válido",IF(AND(AF504="Sí",AG504=""),"Indique el N.° de registro 2026 que continúa","OK")))))))))))))))))</f>
        <v/>
      </c>
      <c r="AK504" s="114">
        <f>IF(AJ504="OK",COUNTIF($AJ$7:AJ504,"OK"),"")</f>
        <v/>
      </c>
    </row>
    <row r="505">
      <c r="A505" s="110">
        <f>"PN27-"&amp;TEXT(ROW()-6,"000")</f>
        <v/>
      </c>
      <c r="B505" s="111" t="n"/>
      <c r="C505" s="110">
        <f>IF(B505="","",IFERROR(INDEX('Catalogos_PDN'!$R$5:$R$51,MATCH(B505,PN_AREAS,0)),""))</f>
        <v/>
      </c>
      <c r="D505" s="110">
        <f>IF(B505="","",IFERROR(INDEX('Catalogos_PDN'!$O$5:$O$51,MATCH(B505,PN_AREAS,0)),""))</f>
        <v/>
      </c>
      <c r="E505" s="111" t="n"/>
      <c r="F505" s="110">
        <f>IF(E505="","",IFERROR(INDEX('Catalogos_PDN'!$C$5:$C$49,MATCH(E505,PN_METAS,0)),""))</f>
        <v/>
      </c>
      <c r="G505" s="110">
        <f>IF(E505="","",IFERROR(INDEX('Catalogos_PDN'!$E$5:$E$49,MATCH(E505,PN_METAS,0)),""))</f>
        <v/>
      </c>
      <c r="H505" s="111" t="n"/>
      <c r="I505" s="111" t="n"/>
      <c r="J505" s="111" t="n"/>
      <c r="K505" s="111" t="n"/>
      <c r="L505" s="111" t="n"/>
      <c r="M505" s="112" t="n"/>
      <c r="N505" s="111" t="n"/>
      <c r="O505" s="111" t="n"/>
      <c r="P505" s="111" t="n"/>
      <c r="Q505" s="111" t="n"/>
      <c r="R505" s="111" t="n"/>
      <c r="S505" s="111" t="n"/>
      <c r="T505" s="111" t="n"/>
      <c r="U505" s="111" t="n"/>
      <c r="V505" s="111" t="n"/>
      <c r="W505" s="113" t="n"/>
      <c r="X505" s="113" t="n"/>
      <c r="Y505" s="111" t="n"/>
      <c r="Z505" s="111" t="n"/>
      <c r="AA505" s="111" t="n"/>
      <c r="AB505" s="111" t="n"/>
      <c r="AC505" s="111" t="n"/>
      <c r="AD505" s="111" t="n"/>
      <c r="AE505" s="111" t="n"/>
      <c r="AF505" s="111" t="n"/>
      <c r="AG505" s="111" t="n"/>
      <c r="AH505" s="111" t="n"/>
      <c r="AI505" s="111" t="n"/>
      <c r="AJ505" s="114">
        <f>IF(COUNTA(B505,E505,H505,I505,J505,K505,L505,M505,N505,O505,P505,Q505,R505,S505,T505,U505,V505,W505,X505,Y505,Z505,AA505,AB505,AC505,AD505,AE505,AF505,AG505,AH505,AI505)=0,"",IF(OR(B505="",E505="",H505="",J505="",K505="",L505="",M505="",O505="",P505="",Q505="",R505="",S505="",T505="",U505="",W505="",X505="",Y505="",AB505="",AC505="",AE505="",AF505=""),"Incompleta: faltan campos obligatorios",IF(AND(LEFT(H505,6)="PROPIA",I505=""),"Falta el nombre de la acción propia del área",IF(AND(LEFT(H505,4)="AC27",IFERROR(INDEX('Catalogos_PDN'!$T$5:$T$207,MATCH(H505,'Catalogos_PDN'!$U$5:$U$207,0)),"x")&lt;&gt;LEFT(E505,7)),"La acción no corresponde a la meta seleccionada",IF(OR(NOT(ISNUMBER(M505)),M505&lt;10000000,M505&gt;99999999),"Código UNSPSC inválido: registre 8 dígitos",IF(MOD(M505,10000)=0,"UNSPSC a nivel de segmento o familia: use clase o producto",IF(IFERROR(MATCH(P505,PN_MESES,0)&lt;MATCH(O505,PN_MESES,0),TRUE()),"El mes de ofertas es anterior al de inicio del proceso",IF(OR(NOT(ISNUMBER(Q505)),Q505&lt;=0),"Duración inválida",IF(OR(NOT(ISNUMBER(W505)),NOT(ISNUMBER(X505))),"Valor inválido: registre solo números",IF(OR(W505&lt;=0,X505&lt;=0),"Valor inválido: debe ser mayor que cero",IF(X505&gt;W505,"El valor de la vigencia 2027 supera el valor total",IF(AND(X505&lt;W505,Y505="No"),"El valor total supera el de 2027: requiere vigencias futuras",IF(AND(Y505="Sí",OR(Z505="",Z505="No aplica")),"Indique el estado de la solicitud de vigencias futuras",IF(IF(AND(S505="Mínima cuantía",ISNUMBER(PN_TOPE_MINIMA)),W505&gt;PN_TOPE_MINIMA,FALSE()),"El valor supera el tope de mínima cuantía 2027",IF(IF(AND(S505="Selección abreviada de menor cuantía",ISNUMBER(PN_TOPE_MENOR)),W505&gt;PN_TOPE_MENOR,FALSE()),"El valor supera el tope de menor cuantía 2027",IF(OR(ISERROR(SEARCH("@itc.edu.co",AE505)),SUMPRODUCT(--ISNUMBER(SEARCH({"á","é","í","ó","ú","ñ"," "},AE505)))&gt;0),"El correo del responsable no es institucional válido",IF(AND(AF505="Sí",AG505=""),"Indique el N.° de registro 2026 que continúa","OK")))))))))))))))))</f>
        <v/>
      </c>
      <c r="AK505" s="114">
        <f>IF(AJ505="OK",COUNTIF($AJ$7:AJ505,"OK"),"")</f>
        <v/>
      </c>
    </row>
    <row r="506">
      <c r="A506" s="110">
        <f>"PN27-"&amp;TEXT(ROW()-6,"000")</f>
        <v/>
      </c>
      <c r="B506" s="111" t="n"/>
      <c r="C506" s="110">
        <f>IF(B506="","",IFERROR(INDEX('Catalogos_PDN'!$R$5:$R$51,MATCH(B506,PN_AREAS,0)),""))</f>
        <v/>
      </c>
      <c r="D506" s="110">
        <f>IF(B506="","",IFERROR(INDEX('Catalogos_PDN'!$O$5:$O$51,MATCH(B506,PN_AREAS,0)),""))</f>
        <v/>
      </c>
      <c r="E506" s="111" t="n"/>
      <c r="F506" s="110">
        <f>IF(E506="","",IFERROR(INDEX('Catalogos_PDN'!$C$5:$C$49,MATCH(E506,PN_METAS,0)),""))</f>
        <v/>
      </c>
      <c r="G506" s="110">
        <f>IF(E506="","",IFERROR(INDEX('Catalogos_PDN'!$E$5:$E$49,MATCH(E506,PN_METAS,0)),""))</f>
        <v/>
      </c>
      <c r="H506" s="111" t="n"/>
      <c r="I506" s="111" t="n"/>
      <c r="J506" s="111" t="n"/>
      <c r="K506" s="111" t="n"/>
      <c r="L506" s="111" t="n"/>
      <c r="M506" s="112" t="n"/>
      <c r="N506" s="111" t="n"/>
      <c r="O506" s="111" t="n"/>
      <c r="P506" s="111" t="n"/>
      <c r="Q506" s="111" t="n"/>
      <c r="R506" s="111" t="n"/>
      <c r="S506" s="111" t="n"/>
      <c r="T506" s="111" t="n"/>
      <c r="U506" s="111" t="n"/>
      <c r="V506" s="111" t="n"/>
      <c r="W506" s="113" t="n"/>
      <c r="X506" s="113" t="n"/>
      <c r="Y506" s="111" t="n"/>
      <c r="Z506" s="111" t="n"/>
      <c r="AA506" s="111" t="n"/>
      <c r="AB506" s="111" t="n"/>
      <c r="AC506" s="111" t="n"/>
      <c r="AD506" s="111" t="n"/>
      <c r="AE506" s="111" t="n"/>
      <c r="AF506" s="111" t="n"/>
      <c r="AG506" s="111" t="n"/>
      <c r="AH506" s="111" t="n"/>
      <c r="AI506" s="111" t="n"/>
      <c r="AJ506" s="114">
        <f>IF(COUNTA(B506,E506,H506,I506,J506,K506,L506,M506,N506,O506,P506,Q506,R506,S506,T506,U506,V506,W506,X506,Y506,Z506,AA506,AB506,AC506,AD506,AE506,AF506,AG506,AH506,AI506)=0,"",IF(OR(B506="",E506="",H506="",J506="",K506="",L506="",M506="",O506="",P506="",Q506="",R506="",S506="",T506="",U506="",W506="",X506="",Y506="",AB506="",AC506="",AE506="",AF506=""),"Incompleta: faltan campos obligatorios",IF(AND(LEFT(H506,6)="PROPIA",I506=""),"Falta el nombre de la acción propia del área",IF(AND(LEFT(H506,4)="AC27",IFERROR(INDEX('Catalogos_PDN'!$T$5:$T$207,MATCH(H506,'Catalogos_PDN'!$U$5:$U$207,0)),"x")&lt;&gt;LEFT(E506,7)),"La acción no corresponde a la meta seleccionada",IF(OR(NOT(ISNUMBER(M506)),M506&lt;10000000,M506&gt;99999999),"Código UNSPSC inválido: registre 8 dígitos",IF(MOD(M506,10000)=0,"UNSPSC a nivel de segmento o familia: use clase o producto",IF(IFERROR(MATCH(P506,PN_MESES,0)&lt;MATCH(O506,PN_MESES,0),TRUE()),"El mes de ofertas es anterior al de inicio del proceso",IF(OR(NOT(ISNUMBER(Q506)),Q506&lt;=0),"Duración inválida",IF(OR(NOT(ISNUMBER(W506)),NOT(ISNUMBER(X506))),"Valor inválido: registre solo números",IF(OR(W506&lt;=0,X506&lt;=0),"Valor inválido: debe ser mayor que cero",IF(X506&gt;W506,"El valor de la vigencia 2027 supera el valor total",IF(AND(X506&lt;W506,Y506="No"),"El valor total supera el de 2027: requiere vigencias futuras",IF(AND(Y506="Sí",OR(Z506="",Z506="No aplica")),"Indique el estado de la solicitud de vigencias futuras",IF(IF(AND(S506="Mínima cuantía",ISNUMBER(PN_TOPE_MINIMA)),W506&gt;PN_TOPE_MINIMA,FALSE()),"El valor supera el tope de mínima cuantía 2027",IF(IF(AND(S506="Selección abreviada de menor cuantía",ISNUMBER(PN_TOPE_MENOR)),W506&gt;PN_TOPE_MENOR,FALSE()),"El valor supera el tope de menor cuantía 2027",IF(OR(ISERROR(SEARCH("@itc.edu.co",AE506)),SUMPRODUCT(--ISNUMBER(SEARCH({"á","é","í","ó","ú","ñ"," "},AE506)))&gt;0),"El correo del responsable no es institucional válido",IF(AND(AF506="Sí",AG506=""),"Indique el N.° de registro 2026 que continúa","OK")))))))))))))))))</f>
        <v/>
      </c>
      <c r="AK506" s="114">
        <f>IF(AJ506="OK",COUNTIF($AJ$7:AJ506,"OK"),"")</f>
        <v/>
      </c>
    </row>
  </sheetData>
  <sheetProtection selectLockedCells="0" selectUnlockedCells="0" sheet="1" objects="0" insertRows="1" insertHyperlinks="1" autoFilter="0" scenarios="0" formatColumns="0" deleteColumns="1" insertColumns="1" pivotTables="1" deleteRows="1" formatCells="1" formatRows="0" sort="1" password="CC6D"/>
  <autoFilter ref="A6:AJ506"/>
  <mergeCells count="7">
    <mergeCell ref="J5:L5"/>
    <mergeCell ref="A5:D5"/>
    <mergeCell ref="M5:AA5"/>
    <mergeCell ref="E5:I5"/>
    <mergeCell ref="AJ5:AK5"/>
    <mergeCell ref="AB5:AE5"/>
    <mergeCell ref="AF5:AI5"/>
  </mergeCells>
  <conditionalFormatting sqref="AJ7:AJ506">
    <cfRule type="expression" priority="2" dxfId="12">
      <formula>AJ7="OK"</formula>
    </cfRule>
    <cfRule type="expression" priority="3" dxfId="13">
      <formula>AND(AJ7&lt;&gt;"",AJ7&lt;&gt;"OK")</formula>
    </cfRule>
  </conditionalFormatting>
  <dataValidations count="18">
    <dataValidation sqref="B7:B506" showDropDown="0" showInputMessage="1" showErrorMessage="1" allowBlank="1" errorTitle="Valor no válido" error="Seleccione un valor de la lista desplegable." promptTitle="Área" prompt="Seleccione su área funcional. La dependencia y el proceso se completan solos." type="list">
      <formula1>PN_AREAS</formula1>
      <formula2>0</formula2>
    </dataValidation>
    <dataValidation sqref="E7:E506" showDropDown="0" showInputMessage="1" showErrorMessage="1" allowBlank="1" errorTitle="Valor no válido" error="Seleccione un valor de la lista desplegable." promptTitle="Meta PDI" prompt="Seleccione la meta PDI a la que aporta la acción que requiere esta necesidad." type="list">
      <formula1>PN_METAS</formula1>
      <formula2>0</formula2>
    </dataValidation>
    <dataValidation sqref="J7:J506" showDropDown="0" showInputMessage="0" showErrorMessage="1" allowBlank="1" errorTitle="Valor no válido" error="Seleccione un valor de la lista desplegable." type="list">
      <formula1>PN_TIPO</formula1>
      <formula2>0</formula2>
    </dataValidation>
    <dataValidation sqref="O7:P506" showDropDown="0" showInputMessage="0" showErrorMessage="1" allowBlank="1" errorTitle="Valor no válido" error="Seleccione un valor de la lista desplegable." type="list">
      <formula1>PN_MESES</formula1>
      <formula2>0</formula2>
    </dataValidation>
    <dataValidation sqref="R7:R506" showDropDown="0" showInputMessage="0" showErrorMessage="1" allowBlank="1" errorTitle="Valor no válido" error="Seleccione un valor de la lista desplegable." type="list">
      <formula1>PN_UNIDAD</formula1>
      <formula2>0</formula2>
    </dataValidation>
    <dataValidation sqref="S7:S506" showDropDown="0" showInputMessage="1" showErrorMessage="1" allowBlank="1" errorTitle="Valor no válido" error="Seleccione un valor de la lista desplegable." promptTitle="Modalidad" prompt="Modalidad estimada. El GIT de Contratación la confirma al consolidar el Plan Anual de Adquisiciones." type="list">
      <formula1>PN_MOD</formula1>
      <formula2>0</formula2>
    </dataValidation>
    <dataValidation sqref="T7:T506" showDropDown="0" showInputMessage="0" showErrorMessage="1" allowBlank="1" errorTitle="Valor no válido" error="Seleccione un valor de la lista desplegable." type="list">
      <formula1>PN_FUENTE</formula1>
      <formula2>0</formula2>
    </dataValidation>
    <dataValidation sqref="U7:U506" showDropDown="0" showInputMessage="0" showErrorMessage="1" allowBlank="1" errorTitle="Valor no válido" error="Seleccione un valor de la lista desplegable." type="list">
      <formula1>PN_GASTO</formula1>
      <formula2>0</formula2>
    </dataValidation>
    <dataValidation sqref="Y7:Y506 AF7:AF506" showDropDown="0" showInputMessage="0" showErrorMessage="1" allowBlank="1" errorTitle="Valor no válido" error="Seleccione un valor de la lista desplegable." type="list">
      <formula1>PN_SINO</formula1>
      <formula2>0</formula2>
    </dataValidation>
    <dataValidation sqref="Z7:Z506" showDropDown="0" showInputMessage="0" showErrorMessage="1" allowBlank="1" errorTitle="Valor no válido" error="Seleccione un valor de la lista desplegable." type="list">
      <formula1>PN_ESTVF</formula1>
      <formula2>0</formula2>
    </dataValidation>
    <dataValidation sqref="AG7:AG506" showDropDown="0" showInputMessage="1" showErrorMessage="1" allowBlank="1" errorTitle="Valor no válido" error="Seleccione un valor de la lista desplegable." promptTitle="Registro 2026" prompt="Seleccione el N.° PN26-### de la hoja 2026 que esta necesidad continúa." type="list">
      <formula1>PN_REG2026</formula1>
      <formula2>0</formula2>
    </dataValidation>
    <dataValidation sqref="AH7:AH506" showDropDown="0" showInputMessage="0" showErrorMessage="1" allowBlank="1" errorTitle="Valor no válido" error="Seleccione un valor de la lista desplegable." type="list">
      <formula1>PN_PRIOR</formula1>
      <formula2>0</formula2>
    </dataValidation>
    <dataValidation sqref="M7:M506" showDropDown="0" showInputMessage="1" showErrorMessage="1" allowBlank="1" errorTitle="Código UNSPSC" error="Registre un solo código de 8 dígitos, sin espacios ni texto. Los códigos adicionales van en la columna N." promptTitle="UNSPSC" prompt="8 dígitos a nivel de clase (termina en 00) o de producto. Consulte la hoja Guía UNSPSC." type="whole">
      <formula1>10000000</formula1>
      <formula2>99999999</formula2>
    </dataValidation>
    <dataValidation sqref="Q7:Q506" showDropDown="0" showInputMessage="1" showErrorMessage="1" allowBlank="1" errorTitle="Valor no válido" error="Registre un número mayor que cero, sin puntos ni signos." prompt="Número mayor que cero. La unidad (días, meses, años) va en la columna R." type="decimal" operator="greaterThan">
      <formula1>0</formula1>
      <formula2>0</formula2>
    </dataValidation>
    <dataValidation sqref="W7:W506" showDropDown="0" showInputMessage="1" showErrorMessage="1" allowBlank="1" errorTitle="Valor no válido" error="Registre un número mayor que cero, sin puntos ni signos." prompt="Valor en pesos, solo números, sin puntos ni signo $." type="decimal" operator="greaterThan">
      <formula1>0</formula1>
      <formula2>0</formula2>
    </dataValidation>
    <dataValidation sqref="X7:X506" showDropDown="0" showInputMessage="1" showErrorMessage="1" allowBlank="1" errorTitle="Valor no válido" error="Registre un número mayor que cero, sin puntos ni signos." prompt="Valor en pesos que se ejecutará en 2027. No puede superar el valor total." type="decimal" operator="greaterThan">
      <formula1>0</formula1>
      <formula2>0</formula2>
    </dataValidation>
    <dataValidation sqref="AE7:AE506" showDropDown="0" showInputMessage="0" showErrorMessage="1" allowBlank="1" errorTitle="Correo" error="Use el correo institucional @itc.edu.co (sin tildes ni espacios)." type="custom">
      <formula1>ISNUMBER(SEARCH("@itc.edu.co",AE7))</formula1>
      <formula2>0</formula2>
    </dataValidation>
    <dataValidation sqref="H7:H506" showDropDown="0" showInputMessage="1" showErrorMessage="1" allowBlank="1" errorTitle="Valor no válido" error="Seleccione un valor de la lista desplegable." promptTitle="Acción 2027" prompt="La lista muestra solo las acciones de la meta elegida en la columna E. Si su acción no está, elija PROPIA y escriba su nombre en la columna I." type="list">
      <formula1>OFFSET('Catalogos_PDN'!$U$4,MATCH(LEFT($E7,7),'Catalogos_PDN'!$T$5:$T$207,0),0,COUNTIF('Catalogos_PDN'!$T$5:$T$207,LEFT($E7,7)),1)</formula1>
    </dataValidation>
  </dataValidations>
  <hyperlinks>
    <hyperlink xmlns:r="http://schemas.openxmlformats.org/officeDocument/2006/relationships" ref="H4" r:id="rId1"/>
    <hyperlink xmlns:r="http://schemas.openxmlformats.org/officeDocument/2006/relationships" ref="M4" r:id="rId2"/>
  </hyperlinks>
  <pageMargins left="0.75" right="0.75" top="1" bottom="1" header="0.5" footer="0.5"/>
  <pageSetup orientation="landscape" fitToHeight="0"/>
</worksheet>
</file>

<file path=xl/worksheets/sheet9.xml><?xml version="1.0" encoding="utf-8"?>
<worksheet xmlns="http://schemas.openxmlformats.org/spreadsheetml/2006/main">
  <sheetPr filterMode="0">
    <outlinePr summaryBelow="1" summaryRight="1"/>
    <pageSetUpPr fitToPage="0"/>
  </sheetPr>
  <dimension ref="A1:U77"/>
  <sheetViews>
    <sheetView showFormulas="0" showGridLines="0" showRowColHeaders="1" showZeros="1" rightToLeft="0" tabSelected="0" showOutlineSymbols="1" defaultGridColor="1" view="normal" topLeftCell="A1" colorId="64" zoomScale="100" zoomScaleNormal="100" zoomScalePageLayoutView="100" workbookViewId="0">
      <pane xSplit="4" ySplit="3" topLeftCell="E16" activePane="bottomRight" state="frozen"/>
      <selection pane="topLeft" activeCell="A1" activeCellId="0" sqref="A1"/>
      <selection pane="topRight" activeCell="E1" activeCellId="0" sqref="E1"/>
      <selection pane="bottomLeft" activeCell="A16" activeCellId="0" sqref="A16"/>
      <selection pane="bottomRight" activeCell="E6" activeCellId="0" sqref="E6"/>
    </sheetView>
  </sheetViews>
  <sheetFormatPr baseColWidth="8" defaultColWidth="8.66796875" defaultRowHeight="14.25" zeroHeight="0" outlineLevelRow="0"/>
  <cols>
    <col width="8" customWidth="1" style="84" min="1" max="1"/>
    <col width="22" customWidth="1" style="84" min="2" max="2"/>
    <col width="16" customWidth="1" style="84" min="3" max="3"/>
    <col width="52" customWidth="1" style="84" min="4" max="4"/>
    <col width="28" customWidth="1" style="84" min="5" max="5"/>
    <col width="8" customWidth="1" style="84" min="6" max="6"/>
    <col width="28" customWidth="1" style="84" min="7" max="8"/>
    <col width="10" customWidth="1" style="84" min="9" max="9"/>
    <col width="5" customWidth="1" style="84" min="10" max="10"/>
    <col width="30" customWidth="1" style="84" min="11" max="11"/>
    <col width="16" customWidth="1" style="84" min="12" max="12"/>
    <col width="26" customWidth="1" style="84" min="13" max="14"/>
    <col width="24" customWidth="1" style="84" min="15" max="15"/>
    <col width="18" customWidth="1" style="84" min="16" max="16"/>
    <col width="16" customWidth="1" style="84" min="17" max="17"/>
    <col width="26" customWidth="1" style="84" min="18" max="18"/>
    <col hidden="1" width="6" customWidth="1" style="84" min="19" max="19"/>
    <col hidden="1" width="13" customWidth="1" style="84" min="21" max="21"/>
  </cols>
  <sheetData>
    <row r="1" ht="17.25" customHeight="1" s="23">
      <c r="A1" s="85" t="inlineStr">
        <is>
          <t>Compromisos pendientes 2026 de los proyectos estructurantes para retomar o cerrar en el PAA 2027</t>
        </is>
      </c>
    </row>
    <row r="2"/>
    <row r="3" ht="42" customHeight="1" s="23">
      <c r="A3" s="90" t="inlineStr">
        <is>
          <t>Id</t>
        </is>
      </c>
      <c r="B3" s="90" t="inlineStr">
        <is>
          <t>Proyecto estructurante</t>
        </is>
      </c>
      <c r="C3" s="90" t="inlineStr">
        <is>
          <t>Tipo</t>
        </is>
      </c>
      <c r="D3" s="90" t="inlineStr">
        <is>
          <t>Compromiso o tarea</t>
        </is>
      </c>
      <c r="E3" s="90" t="inlineStr">
        <is>
          <t>Responsable según la fuente</t>
        </is>
      </c>
      <c r="F3" s="90" t="inlineStr">
        <is>
          <t>Id área (propuesta)</t>
        </is>
      </c>
      <c r="G3" s="90" t="inlineStr">
        <is>
          <t>Área funcional</t>
        </is>
      </c>
      <c r="H3" s="90" t="inlineStr">
        <is>
          <t>Dependencia</t>
        </is>
      </c>
      <c r="I3" s="90" t="inlineStr">
        <is>
          <t>Meta PDI vinculada (propuesta)</t>
        </is>
      </c>
      <c r="J3" s="90" t="inlineStr">
        <is>
          <t>Eje</t>
        </is>
      </c>
      <c r="K3" s="90" t="inlineStr">
        <is>
          <t>Estado según la fuente</t>
        </is>
      </c>
      <c r="L3" s="90" t="inlineStr">
        <is>
          <t>Periodo 2027</t>
        </is>
      </c>
      <c r="M3" s="90" t="inlineStr">
        <is>
          <t>Evidencia esperada</t>
        </is>
      </c>
      <c r="N3" s="90" t="inlineStr">
        <is>
          <t>Soporte normativo o documental</t>
        </is>
      </c>
      <c r="O3" s="90" t="inlineStr">
        <is>
          <t>Archivo fuente</t>
        </is>
      </c>
      <c r="P3" s="90" t="inlineStr">
        <is>
          <t>Decisión del área</t>
        </is>
      </c>
      <c r="Q3" s="90" t="inlineStr">
        <is>
          <t>Id asignación o fila donde se formula</t>
        </is>
      </c>
      <c r="R3" s="90" t="inlineStr">
        <is>
          <t>Observaciones</t>
        </is>
      </c>
      <c r="S3" s="90" t="inlineStr">
        <is>
          <t>Aux.</t>
        </is>
      </c>
      <c r="U3" s="87" t="inlineStr">
        <is>
          <t>Decisiones</t>
        </is>
      </c>
    </row>
    <row r="4" ht="39" customHeight="1" s="23">
      <c r="A4" s="91" t="inlineStr">
        <is>
          <t>CP-001</t>
        </is>
      </c>
      <c r="B4" s="91" t="inlineStr">
        <is>
          <t>Convenio ETITC-MinTIC / CIA Zipazgo</t>
        </is>
      </c>
      <c r="C4" s="91" t="inlineStr">
        <is>
          <t>Hito pendiente</t>
        </is>
      </c>
      <c r="D4" s="91" t="inlineStr">
        <is>
          <t>Suscribir el convenio interadministrativo ETITC-MinTIC (eventualmente tripartito con el municipio de Zipaquirá).</t>
        </is>
      </c>
      <c r="E4" s="91" t="inlineStr">
        <is>
          <t>Rectoría; MinTIC</t>
        </is>
      </c>
      <c r="F4" s="91" t="inlineStr">
        <is>
          <t>A01</t>
        </is>
      </c>
      <c r="G4" s="91">
        <f>IFERROR(INDEX(Dependencias!$H$5:$H$51,MATCH(F4,Dependencias!$E$5:$E$51,0)),"")</f>
        <v/>
      </c>
      <c r="H4" s="91">
        <f>IFERROR(INDEX(Dependencias!$F$5:$F$51,MATCH(F4,Dependencias!$E$5:$E$51,0))&amp;" · "&amp;INDEX(Dependencias!$G$5:$G$51,MATCH(F4,Dependencias!$E$5:$E$51,0)),"")</f>
        <v/>
      </c>
      <c r="I4" s="91" t="inlineStr">
        <is>
          <t>5.3.1.1</t>
        </is>
      </c>
      <c r="J4" s="91">
        <f>LEFT(I4,1)</f>
        <v/>
      </c>
      <c r="K4" s="91" t="inlineStr">
        <is>
          <t>En trámite; sin respuesta de MinTIC documentada</t>
        </is>
      </c>
      <c r="L4" s="91" t="inlineStr">
        <is>
          <t>Sugerida por la OAP: I semestre de 2027</t>
        </is>
      </c>
      <c r="M4" s="91" t="inlineStr">
        <is>
          <t>Convenio suscrito</t>
        </is>
      </c>
      <c r="N4" s="91" t="inlineStr">
        <is>
          <t>Oficio 21/07/2026</t>
        </is>
      </c>
      <c r="O4" s="91" t="inlineStr">
        <is>
          <t>Insumo Hoja de Ruta ETITC 2027 Convenio ETITC-MinTIC CIA Zipazgo.docx</t>
        </is>
      </c>
      <c r="P4" s="96" t="n"/>
      <c r="Q4" s="96" t="n"/>
      <c r="R4" s="96" t="n"/>
      <c r="S4" s="92">
        <f>IF(F4=LEFT('Buscador_Formulación PAA 2027'!$C$4,3),COUNTIF($F$4:F4,LEFT('Buscador_Formulación PAA 2027'!$C$4,3)),"")</f>
        <v/>
      </c>
      <c r="U4" s="84" t="inlineStr">
        <is>
          <t>Se retoma en 2027</t>
        </is>
      </c>
    </row>
    <row r="5" ht="35.05" customHeight="1" s="23">
      <c r="A5" s="91" t="inlineStr">
        <is>
          <t>CP-002</t>
        </is>
      </c>
      <c r="B5" s="91" t="inlineStr">
        <is>
          <t>Convenio ETITC-MinTIC / CIA Zipazgo</t>
        </is>
      </c>
      <c r="C5" s="91" t="inlineStr">
        <is>
          <t>Hito pendiente</t>
        </is>
      </c>
      <c r="D5" s="91" t="inlineStr">
        <is>
          <t>Legalizar el convenio (perfeccionamiento, aprobaciones y designación de supervisión).</t>
        </is>
      </c>
      <c r="E5" s="91" t="inlineStr">
        <is>
          <t>Secretaría General; Rectoría</t>
        </is>
      </c>
      <c r="F5" s="91" t="inlineStr">
        <is>
          <t>A11</t>
        </is>
      </c>
      <c r="G5" s="91">
        <f>IFERROR(INDEX(Dependencias!$H$5:$H$51,MATCH(F5,Dependencias!$E$5:$E$51,0)),"")</f>
        <v/>
      </c>
      <c r="H5" s="91">
        <f>IFERROR(INDEX(Dependencias!$F$5:$F$51,MATCH(F5,Dependencias!$E$5:$E$51,0))&amp;" · "&amp;INDEX(Dependencias!$G$5:$G$51,MATCH(F5,Dependencias!$E$5:$E$51,0)),"")</f>
        <v/>
      </c>
      <c r="I5" s="91" t="inlineStr">
        <is>
          <t>5.3.1.1</t>
        </is>
      </c>
      <c r="J5" s="91">
        <f>LEFT(I5,1)</f>
        <v/>
      </c>
      <c r="K5" s="91" t="inlineStr">
        <is>
          <t>Sin iniciar: depende de la suscripción del convenio</t>
        </is>
      </c>
      <c r="L5" s="91" t="inlineStr">
        <is>
          <t>Posterior a la suscripción</t>
        </is>
      </c>
      <c r="M5" s="91" t="inlineStr">
        <is>
          <t>Actas de perfeccionamiento y designación de supervisor</t>
        </is>
      </c>
      <c r="N5" s="91" t="inlineStr">
        <is>
          <t>n.d.</t>
        </is>
      </c>
      <c r="O5" s="91" t="inlineStr">
        <is>
          <t>Insumo Hoja de Ruta ETITC 2027 Convenio ETITC-MinTIC CIA Zipazgo.docx</t>
        </is>
      </c>
      <c r="P5" s="96" t="n"/>
      <c r="Q5" s="96" t="n"/>
      <c r="R5" s="96" t="n"/>
      <c r="S5" s="92">
        <f>IF(F5=LEFT('Buscador_Formulación PAA 2027'!$C$4,3),COUNTIF($F$4:F5,LEFT('Buscador_Formulación PAA 2027'!$C$4,3)),"")</f>
        <v/>
      </c>
      <c r="U5" s="84" t="inlineStr">
        <is>
          <t>Se cierra en 2026</t>
        </is>
      </c>
    </row>
    <row r="6" ht="52.5" customHeight="1" s="23">
      <c r="A6" s="91" t="inlineStr">
        <is>
          <t>CP-003</t>
        </is>
      </c>
      <c r="B6" s="91" t="inlineStr">
        <is>
          <t>Convenio ETITC-MinTIC / CIA Zipazgo</t>
        </is>
      </c>
      <c r="C6" s="91" t="inlineStr">
        <is>
          <t>Hito pendiente</t>
        </is>
      </c>
      <c r="D6" s="91" t="inlineStr">
        <is>
          <t>Iniciar la operación académica del Centro de IA Zipazgo una vez MinTIC entregue la obra y la dotación.</t>
        </is>
      </c>
      <c r="E6" s="91" t="inlineStr">
        <is>
          <t>MinTIC (obra y dotación); ETITC (operación)</t>
        </is>
      </c>
      <c r="F6" s="91" t="inlineStr">
        <is>
          <t>A15</t>
        </is>
      </c>
      <c r="G6" s="91">
        <f>IFERROR(INDEX(Dependencias!$H$5:$H$51,MATCH(F6,Dependencias!$E$5:$E$51,0)),"")</f>
        <v/>
      </c>
      <c r="H6" s="91">
        <f>IFERROR(INDEX(Dependencias!$F$5:$F$51,MATCH(F6,Dependencias!$E$5:$E$51,0))&amp;" · "&amp;INDEX(Dependencias!$G$5:$G$51,MATCH(F6,Dependencias!$E$5:$E$51,0)),"")</f>
        <v/>
      </c>
      <c r="I6" s="91" t="inlineStr">
        <is>
          <t>5.3.1.1</t>
        </is>
      </c>
      <c r="J6" s="91">
        <f>LEFT(I6,1)</f>
        <v/>
      </c>
      <c r="K6" s="91" t="inlineStr">
        <is>
          <t>Pendiente; infraestructura en construcción al 31/03/2026</t>
        </is>
      </c>
      <c r="L6" s="91" t="inlineStr">
        <is>
          <t>Sugerida por la OAP: segundo semestre de 2027, sujeto a la entrega de la obra por MinTIC</t>
        </is>
      </c>
      <c r="M6" s="91" t="inlineStr">
        <is>
          <t>Acta de inicio de operación</t>
        </is>
      </c>
      <c r="N6" s="91" t="inlineStr">
        <is>
          <t>MEN 2026-EE-116789; Acuerdo 010/2025</t>
        </is>
      </c>
      <c r="O6" s="91" t="inlineStr">
        <is>
          <t>Insumo Hoja de Ruta ETITC 2027 Convenio ETITC-MinTIC CIA Zipazgo.docx</t>
        </is>
      </c>
      <c r="P6" s="96" t="n"/>
      <c r="Q6" s="96" t="n"/>
      <c r="R6" s="96" t="n"/>
      <c r="S6" s="92">
        <f>IF(F6=LEFT('Buscador_Formulación PAA 2027'!$C$4,3),COUNTIF($F$4:F6,LEFT('Buscador_Formulación PAA 2027'!$C$4,3)),"")</f>
        <v/>
      </c>
      <c r="U6" s="84" t="inlineStr">
        <is>
          <t>Se reasigna a otra área</t>
        </is>
      </c>
    </row>
    <row r="7" ht="39" customHeight="1" s="23">
      <c r="A7" s="91" t="inlineStr">
        <is>
          <t>CP-004</t>
        </is>
      </c>
      <c r="B7" s="91" t="inlineStr">
        <is>
          <t>Convenio ETITC-MinTIC / CIA Zipazgo</t>
        </is>
      </c>
      <c r="C7" s="91" t="inlineStr">
        <is>
          <t>Hito pendiente</t>
        </is>
      </c>
      <c r="D7" s="91" t="inlineStr">
        <is>
          <t>Definir la ruta de permanencia de la oferta en Zipaquirá antes del cierre de la ventana de lugares transitorios (admite nuevas cohortes por 2 años consecutivos).</t>
        </is>
      </c>
      <c r="E7" s="91" t="inlineStr">
        <is>
          <t>Vicerrectoría Académica</t>
        </is>
      </c>
      <c r="F7" s="91" t="inlineStr">
        <is>
          <t>A15</t>
        </is>
      </c>
      <c r="G7" s="91">
        <f>IFERROR(INDEX(Dependencias!$H$5:$H$51,MATCH(F7,Dependencias!$E$5:$E$51,0)),"")</f>
        <v/>
      </c>
      <c r="H7" s="91">
        <f>IFERROR(INDEX(Dependencias!$F$5:$F$51,MATCH(F7,Dependencias!$E$5:$E$51,0))&amp;" · "&amp;INDEX(Dependencias!$G$5:$G$51,MATCH(F7,Dependencias!$E$5:$E$51,0)),"")</f>
        <v/>
      </c>
      <c r="I7" s="91" t="inlineStr">
        <is>
          <t>1.1.1.1</t>
        </is>
      </c>
      <c r="J7" s="91">
        <f>LEFT(I7,1)</f>
        <v/>
      </c>
      <c r="K7" s="91" t="inlineStr">
        <is>
          <t>Vigente desde las resoluciones del 16/04/2026; inicio del conteo por verificar</t>
        </is>
      </c>
      <c r="L7" s="91" t="inlineStr">
        <is>
          <t>2027</t>
        </is>
      </c>
      <c r="M7" s="91" t="inlineStr">
        <is>
          <t>Decisión documentada y trámite ante el MEN</t>
        </is>
      </c>
      <c r="N7" s="91" t="inlineStr">
        <is>
          <t>Res. 010369, 010371, 010377, 010378, 010379 y 010417 de 2026</t>
        </is>
      </c>
      <c r="O7" s="91" t="inlineStr">
        <is>
          <t>Insumo Hoja de Ruta ETITC 2027 Convenio ETITC-MinTIC CIA Zipazgo.docx</t>
        </is>
      </c>
      <c r="P7" s="96" t="n"/>
      <c r="Q7" s="96" t="n"/>
      <c r="R7" s="96" t="n"/>
      <c r="S7" s="92">
        <f>IF(F7=LEFT('Buscador_Formulación PAA 2027'!$C$4,3),COUNTIF($F$4:F7,LEFT('Buscador_Formulación PAA 2027'!$C$4,3)),"")</f>
        <v/>
      </c>
      <c r="U7" s="84" t="inlineStr">
        <is>
          <t>No aplica (justificar)</t>
        </is>
      </c>
    </row>
    <row r="8" ht="39" customHeight="1" s="23">
      <c r="A8" s="91" t="inlineStr">
        <is>
          <t>CP-005</t>
        </is>
      </c>
      <c r="B8" s="91" t="inlineStr">
        <is>
          <t>Convenio ETITC-MinTIC / CIA Zipazgo</t>
        </is>
      </c>
      <c r="C8" s="91" t="inlineStr">
        <is>
          <t>Compromiso vinculante</t>
        </is>
      </c>
      <c r="D8" s="91" t="inlineStr">
        <is>
          <t>Mantener designado un Coordinador del Convenio Marco de nivel directivo.</t>
        </is>
      </c>
      <c r="E8" s="91" t="inlineStr">
        <is>
          <t>Vicerrectoría Académica</t>
        </is>
      </c>
      <c r="F8" s="91" t="inlineStr">
        <is>
          <t>A15</t>
        </is>
      </c>
      <c r="G8" s="91">
        <f>IFERROR(INDEX(Dependencias!$H$5:$H$51,MATCH(F8,Dependencias!$E$5:$E$51,0)),"")</f>
        <v/>
      </c>
      <c r="H8" s="91">
        <f>IFERROR(INDEX(Dependencias!$F$5:$F$51,MATCH(F8,Dependencias!$E$5:$E$51,0))&amp;" · "&amp;INDEX(Dependencias!$G$5:$G$51,MATCH(F8,Dependencias!$E$5:$E$51,0)),"")</f>
        <v/>
      </c>
      <c r="I8" s="91" t="inlineStr">
        <is>
          <t>5.3.1.1</t>
        </is>
      </c>
      <c r="J8" s="91">
        <f>LEFT(I8,1)</f>
        <v/>
      </c>
      <c r="K8" s="91" t="inlineStr">
        <is>
          <t>Vigente</t>
        </is>
      </c>
      <c r="L8" s="91" t="inlineStr">
        <is>
          <t>2027</t>
        </is>
      </c>
      <c r="M8" s="91" t="inlineStr">
        <is>
          <t>Acto de designación</t>
        </is>
      </c>
      <c r="N8" s="91" t="inlineStr">
        <is>
          <t>Convenio Marco 27/03/2025, cláusula 6, num. 7</t>
        </is>
      </c>
      <c r="O8" s="91" t="inlineStr">
        <is>
          <t>Insumo Hoja de Ruta ETITC 2027 Convenio ETITC-MinTIC CIA Zipazgo.docx</t>
        </is>
      </c>
      <c r="P8" s="96" t="n"/>
      <c r="Q8" s="96" t="n"/>
      <c r="R8" s="96" t="n"/>
      <c r="S8" s="92">
        <f>IF(F8=LEFT('Buscador_Formulación PAA 2027'!$C$4,3),COUNTIF($F$4:F8,LEFT('Buscador_Formulación PAA 2027'!$C$4,3)),"")</f>
        <v/>
      </c>
    </row>
    <row r="9" ht="39" customHeight="1" s="23">
      <c r="A9" s="91" t="inlineStr">
        <is>
          <t>CP-006</t>
        </is>
      </c>
      <c r="B9" s="91" t="inlineStr">
        <is>
          <t>Convenio ETITC-MinTIC / CIA Zipazgo</t>
        </is>
      </c>
      <c r="C9" s="91" t="inlineStr">
        <is>
          <t>Compromiso vinculante</t>
        </is>
      </c>
      <c r="D9" s="91" t="inlineStr">
        <is>
          <t>Presentar la programación académica semestral o anual del convenio.</t>
        </is>
      </c>
      <c r="E9" s="91" t="inlineStr">
        <is>
          <t>Vicerrectoría Académica; Decanaturas</t>
        </is>
      </c>
      <c r="F9" s="91" t="inlineStr">
        <is>
          <t>A15</t>
        </is>
      </c>
      <c r="G9" s="91">
        <f>IFERROR(INDEX(Dependencias!$H$5:$H$51,MATCH(F9,Dependencias!$E$5:$E$51,0)),"")</f>
        <v/>
      </c>
      <c r="H9" s="91">
        <f>IFERROR(INDEX(Dependencias!$F$5:$F$51,MATCH(F9,Dependencias!$E$5:$E$51,0))&amp;" · "&amp;INDEX(Dependencias!$G$5:$G$51,MATCH(F9,Dependencias!$E$5:$E$51,0)),"")</f>
        <v/>
      </c>
      <c r="I9" s="91" t="inlineStr">
        <is>
          <t>1.1.1.1</t>
        </is>
      </c>
      <c r="J9" s="91">
        <f>LEFT(I9,1)</f>
        <v/>
      </c>
      <c r="K9" s="91" t="inlineStr">
        <is>
          <t>Vigente</t>
        </is>
      </c>
      <c r="L9" s="91" t="inlineStr">
        <is>
          <t>Cada periodo 2027</t>
        </is>
      </c>
      <c r="M9" s="91" t="inlineStr">
        <is>
          <t>Documento de programación</t>
        </is>
      </c>
      <c r="N9" s="91" t="inlineStr">
        <is>
          <t>Convenio Marco, cláusula 6, num. 8</t>
        </is>
      </c>
      <c r="O9" s="91" t="inlineStr">
        <is>
          <t>Insumo Hoja de Ruta ETITC 2027 Convenio ETITC-MinTIC CIA Zipazgo.docx</t>
        </is>
      </c>
      <c r="P9" s="96" t="n"/>
      <c r="Q9" s="96" t="n"/>
      <c r="R9" s="96" t="n"/>
      <c r="S9" s="92">
        <f>IF(F9=LEFT('Buscador_Formulación PAA 2027'!$C$4,3),COUNTIF($F$4:F9,LEFT('Buscador_Formulación PAA 2027'!$C$4,3)),"")</f>
        <v/>
      </c>
    </row>
    <row r="10" ht="39" customHeight="1" s="23">
      <c r="A10" s="91" t="inlineStr">
        <is>
          <t>CP-007</t>
        </is>
      </c>
      <c r="B10" s="91" t="inlineStr">
        <is>
          <t>Convenio ETITC-MinTIC / CIA Zipazgo</t>
        </is>
      </c>
      <c r="C10" s="91" t="inlineStr">
        <is>
          <t>Compromiso vinculante</t>
        </is>
      </c>
      <c r="D10" s="91" t="inlineStr">
        <is>
          <t>Presentar el plan anual de trabajo 2027 del convenio.</t>
        </is>
      </c>
      <c r="E10" s="91" t="inlineStr">
        <is>
          <t>Vicerrectoría Académica</t>
        </is>
      </c>
      <c r="F10" s="91" t="inlineStr">
        <is>
          <t>A15</t>
        </is>
      </c>
      <c r="G10" s="91">
        <f>IFERROR(INDEX(Dependencias!$H$5:$H$51,MATCH(F10,Dependencias!$E$5:$E$51,0)),"")</f>
        <v/>
      </c>
      <c r="H10" s="91">
        <f>IFERROR(INDEX(Dependencias!$F$5:$F$51,MATCH(F10,Dependencias!$E$5:$E$51,0))&amp;" · "&amp;INDEX(Dependencias!$G$5:$G$51,MATCH(F10,Dependencias!$E$5:$E$51,0)),"")</f>
        <v/>
      </c>
      <c r="I10" s="91" t="inlineStr">
        <is>
          <t>5.3.1.1</t>
        </is>
      </c>
      <c r="J10" s="91">
        <f>LEFT(I10,1)</f>
        <v/>
      </c>
      <c r="K10" s="91" t="inlineStr">
        <is>
          <t>Vigente</t>
        </is>
      </c>
      <c r="L10" s="91" t="inlineStr">
        <is>
          <t>Anual</t>
        </is>
      </c>
      <c r="M10" s="91" t="inlineStr">
        <is>
          <t>Plan de trabajo 2027</t>
        </is>
      </c>
      <c r="N10" s="91" t="inlineStr">
        <is>
          <t>Convenio Marco, cláusula 6, num. 9</t>
        </is>
      </c>
      <c r="O10" s="91" t="inlineStr">
        <is>
          <t>Insumo Hoja de Ruta ETITC 2027 Convenio ETITC-MinTIC CIA Zipazgo.docx</t>
        </is>
      </c>
      <c r="P10" s="96" t="n"/>
      <c r="Q10" s="96" t="n"/>
      <c r="R10" s="96" t="n"/>
      <c r="S10" s="92">
        <f>IF(F10=LEFT('Buscador_Formulación PAA 2027'!$C$4,3),COUNTIF($F$4:F10,LEFT('Buscador_Formulación PAA 2027'!$C$4,3)),"")</f>
        <v/>
      </c>
    </row>
    <row r="11" ht="39" customHeight="1" s="23">
      <c r="A11" s="91" t="inlineStr">
        <is>
          <t>CP-008</t>
        </is>
      </c>
      <c r="B11" s="91" t="inlineStr">
        <is>
          <t>Convenio ETITC-MinTIC / CIA Zipazgo</t>
        </is>
      </c>
      <c r="C11" s="91" t="inlineStr">
        <is>
          <t>Compromiso vinculante</t>
        </is>
      </c>
      <c r="D11" s="91" t="inlineStr">
        <is>
          <t>Ejercer la Secretaría Técnica del Comité de Operación y Articulación.</t>
        </is>
      </c>
      <c r="E11" s="91" t="inlineStr">
        <is>
          <t>Vicerrectoría Académica</t>
        </is>
      </c>
      <c r="F11" s="91" t="inlineStr">
        <is>
          <t>A15</t>
        </is>
      </c>
      <c r="G11" s="91">
        <f>IFERROR(INDEX(Dependencias!$H$5:$H$51,MATCH(F11,Dependencias!$E$5:$E$51,0)),"")</f>
        <v/>
      </c>
      <c r="H11" s="91">
        <f>IFERROR(INDEX(Dependencias!$F$5:$F$51,MATCH(F11,Dependencias!$E$5:$E$51,0))&amp;" · "&amp;INDEX(Dependencias!$G$5:$G$51,MATCH(F11,Dependencias!$E$5:$E$51,0)),"")</f>
        <v/>
      </c>
      <c r="I11" s="91" t="inlineStr">
        <is>
          <t>5.3.1.1</t>
        </is>
      </c>
      <c r="J11" s="91">
        <f>LEFT(I11,1)</f>
        <v/>
      </c>
      <c r="K11" s="91" t="inlineStr">
        <is>
          <t>Vigente; frecuencia por verificar</t>
        </is>
      </c>
      <c r="L11" s="91" t="inlineStr">
        <is>
          <t>Periódico</t>
        </is>
      </c>
      <c r="M11" s="91" t="inlineStr">
        <is>
          <t>Actas del comité</t>
        </is>
      </c>
      <c r="N11" s="91" t="inlineStr">
        <is>
          <t>Convenio Marco, cláusulas 9 y 10</t>
        </is>
      </c>
      <c r="O11" s="91" t="inlineStr">
        <is>
          <t>Insumo Hoja de Ruta ETITC 2027 Convenio ETITC-MinTIC CIA Zipazgo.docx</t>
        </is>
      </c>
      <c r="P11" s="96" t="n"/>
      <c r="Q11" s="96" t="n"/>
      <c r="R11" s="96" t="n"/>
      <c r="S11" s="92">
        <f>IF(F11=LEFT('Buscador_Formulación PAA 2027'!$C$4,3),COUNTIF($F$4:F11,LEFT('Buscador_Formulación PAA 2027'!$C$4,3)),"")</f>
        <v/>
      </c>
    </row>
    <row r="12" ht="39" customHeight="1" s="23">
      <c r="A12" s="91" t="inlineStr">
        <is>
          <t>CP-009</t>
        </is>
      </c>
      <c r="B12" s="91" t="inlineStr">
        <is>
          <t>Convenio ETITC-MinTIC / CIA Zipazgo</t>
        </is>
      </c>
      <c r="C12" s="91" t="inlineStr">
        <is>
          <t>Compromiso vinculante</t>
        </is>
      </c>
      <c r="D12" s="91" t="inlineStr">
        <is>
          <t>Aplicar la admisión especial y las rutas con homologación de créditos para estudiantes del convenio.</t>
        </is>
      </c>
      <c r="E12" s="91" t="inlineStr">
        <is>
          <t>Admisiones; Registro</t>
        </is>
      </c>
      <c r="F12" s="91" t="inlineStr">
        <is>
          <t>A29</t>
        </is>
      </c>
      <c r="G12" s="91">
        <f>IFERROR(INDEX(Dependencias!$H$5:$H$51,MATCH(F12,Dependencias!$E$5:$E$51,0)),"")</f>
        <v/>
      </c>
      <c r="H12" s="91">
        <f>IFERROR(INDEX(Dependencias!$F$5:$F$51,MATCH(F12,Dependencias!$E$5:$E$51,0))&amp;" · "&amp;INDEX(Dependencias!$G$5:$G$51,MATCH(F12,Dependencias!$E$5:$E$51,0)),"")</f>
        <v/>
      </c>
      <c r="I12" s="91" t="inlineStr">
        <is>
          <t>1.1.1.1</t>
        </is>
      </c>
      <c r="J12" s="91">
        <f>LEFT(I12,1)</f>
        <v/>
      </c>
      <c r="K12" s="91" t="inlineStr">
        <is>
          <t>Vigente</t>
        </is>
      </c>
      <c r="L12" s="91" t="inlineStr">
        <is>
          <t>primer semestre de 2027 y segundo semestre de 2027</t>
        </is>
      </c>
      <c r="M12" s="91" t="inlineStr">
        <is>
          <t>Estudiantes admitidos y homologaciones</t>
        </is>
      </c>
      <c r="N12" s="91" t="inlineStr">
        <is>
          <t>Convenio Marco, cláusula 6, nums. 10 y 11</t>
        </is>
      </c>
      <c r="O12" s="91" t="inlineStr">
        <is>
          <t>Insumo Hoja de Ruta ETITC 2027 Convenio ETITC-MinTIC CIA Zipazgo.docx</t>
        </is>
      </c>
      <c r="P12" s="96" t="n"/>
      <c r="Q12" s="96" t="n"/>
      <c r="R12" s="96" t="n"/>
      <c r="S12" s="92">
        <f>IF(F12=LEFT('Buscador_Formulación PAA 2027'!$C$4,3),COUNTIF($F$4:F12,LEFT('Buscador_Formulación PAA 2027'!$C$4,3)),"")</f>
        <v/>
      </c>
    </row>
    <row r="13" ht="39" customHeight="1" s="23">
      <c r="A13" s="91" t="inlineStr">
        <is>
          <t>CP-010</t>
        </is>
      </c>
      <c r="B13" s="91" t="inlineStr">
        <is>
          <t>Convenio ETITC-MinTIC / CIA Zipazgo</t>
        </is>
      </c>
      <c r="C13" s="91" t="inlineStr">
        <is>
          <t>Compromiso vinculante</t>
        </is>
      </c>
      <c r="D13" s="91" t="inlineStr">
        <is>
          <t>Reportar en SNIES a los estudiantes del convenio.</t>
        </is>
      </c>
      <c r="E13" s="91" t="inlineStr">
        <is>
          <t>Registro y Control Académico; OAPDI</t>
        </is>
      </c>
      <c r="F13" s="91" t="inlineStr">
        <is>
          <t>A29</t>
        </is>
      </c>
      <c r="G13" s="91">
        <f>IFERROR(INDEX(Dependencias!$H$5:$H$51,MATCH(F13,Dependencias!$E$5:$E$51,0)),"")</f>
        <v/>
      </c>
      <c r="H13" s="91">
        <f>IFERROR(INDEX(Dependencias!$F$5:$F$51,MATCH(F13,Dependencias!$E$5:$E$51,0))&amp;" · "&amp;INDEX(Dependencias!$G$5:$G$51,MATCH(F13,Dependencias!$E$5:$E$51,0)),"")</f>
        <v/>
      </c>
      <c r="I13" s="91" t="inlineStr">
        <is>
          <t>1.1.1.1</t>
        </is>
      </c>
      <c r="J13" s="91">
        <f>LEFT(I13,1)</f>
        <v/>
      </c>
      <c r="K13" s="91" t="inlineStr">
        <is>
          <t>Vigente</t>
        </is>
      </c>
      <c r="L13" s="91" t="inlineStr">
        <is>
          <t>Según calendario SNIES</t>
        </is>
      </c>
      <c r="M13" s="91" t="inlineStr">
        <is>
          <t>Reporte SNIES</t>
        </is>
      </c>
      <c r="N13" s="91" t="inlineStr">
        <is>
          <t>Convenio Marco, cláusula 6, num. 12</t>
        </is>
      </c>
      <c r="O13" s="91" t="inlineStr">
        <is>
          <t>Insumo Hoja de Ruta ETITC 2027 Convenio ETITC-MinTIC CIA Zipazgo.docx</t>
        </is>
      </c>
      <c r="P13" s="96" t="n"/>
      <c r="Q13" s="96" t="n"/>
      <c r="R13" s="96" t="n"/>
      <c r="S13" s="92">
        <f>IF(F13=LEFT('Buscador_Formulación PAA 2027'!$C$4,3),COUNTIF($F$4:F13,LEFT('Buscador_Formulación PAA 2027'!$C$4,3)),"")</f>
        <v/>
      </c>
    </row>
    <row r="14" ht="52.5" customHeight="1" s="23">
      <c r="A14" s="91" t="inlineStr">
        <is>
          <t>CP-011</t>
        </is>
      </c>
      <c r="B14" s="91" t="inlineStr">
        <is>
          <t>Convenio ETITC-MinTIC / CIA Zipazgo</t>
        </is>
      </c>
      <c r="C14" s="91" t="inlineStr">
        <is>
          <t>Compromiso institucional</t>
        </is>
      </c>
      <c r="D14" s="91" t="inlineStr">
        <is>
          <t>Obtener y cargar el Plan de Acción de la Facultad de IA y Zipazgo aprobado (debió presentarse en 3 meses desde el 16/05/2025; es anexo del oficio del 10/03/2026 y no está en la carpeta).</t>
        </is>
      </c>
      <c r="E14" s="91" t="inlineStr">
        <is>
          <t>Rectoría; OAPDI</t>
        </is>
      </c>
      <c r="F14" s="91" t="inlineStr">
        <is>
          <t>A05</t>
        </is>
      </c>
      <c r="G14" s="91">
        <f>IFERROR(INDEX(Dependencias!$H$5:$H$51,MATCH(F14,Dependencias!$E$5:$E$51,0)),"")</f>
        <v/>
      </c>
      <c r="H14" s="91">
        <f>IFERROR(INDEX(Dependencias!$F$5:$F$51,MATCH(F14,Dependencias!$E$5:$E$51,0))&amp;" · "&amp;INDEX(Dependencias!$G$5:$G$51,MATCH(F14,Dependencias!$E$5:$E$51,0)),"")</f>
        <v/>
      </c>
      <c r="I14" s="91" t="inlineStr">
        <is>
          <t>1.2.1.1</t>
        </is>
      </c>
      <c r="J14" s="91">
        <f>LEFT(I14,1)</f>
        <v/>
      </c>
      <c r="K14" s="91" t="inlineStr">
        <is>
          <t>Aprobado por el Consejo Directivo según el oficio del 10/03/2026; el documento no está en la carpeta de trabajo</t>
        </is>
      </c>
      <c r="L14" s="91" t="inlineStr">
        <is>
          <t>Antes de cerrar la formulación 2027</t>
        </is>
      </c>
      <c r="M14" s="91" t="inlineStr">
        <is>
          <t>Plan aprobado</t>
        </is>
      </c>
      <c r="N14" s="91" t="inlineStr">
        <is>
          <t>Acuerdo 010/2025, art. 2</t>
        </is>
      </c>
      <c r="O14" s="91" t="inlineStr">
        <is>
          <t>Insumo Hoja de Ruta ETITC 2027 Convenio ETITC-MinTIC CIA Zipazgo.docx</t>
        </is>
      </c>
      <c r="P14" s="96" t="n"/>
      <c r="Q14" s="96" t="n"/>
      <c r="R14" s="96" t="n"/>
      <c r="S14" s="92">
        <f>IF(F14=LEFT('Buscador_Formulación PAA 2027'!$C$4,3),COUNTIF($F$4:F14,LEFT('Buscador_Formulación PAA 2027'!$C$4,3)),"")</f>
        <v/>
      </c>
    </row>
    <row r="15" ht="39" customHeight="1" s="23">
      <c r="A15" s="91" t="inlineStr">
        <is>
          <t>CP-012</t>
        </is>
      </c>
      <c r="B15" s="91" t="inlineStr">
        <is>
          <t>Convenio ETITC-MinTIC / CIA Zipazgo</t>
        </is>
      </c>
      <c r="C15" s="91" t="inlineStr">
        <is>
          <t>Compromiso institucional</t>
        </is>
      </c>
      <c r="D15" s="91" t="inlineStr">
        <is>
          <t>Priorizar la sostenibilidad del Centro con recursos propios y gestionar convenios de financiación.</t>
        </is>
      </c>
      <c r="E15" s="91" t="inlineStr">
        <is>
          <t>Rectoría; Vicerrectoría Administrativa y Financiera</t>
        </is>
      </c>
      <c r="F15" s="91" t="inlineStr">
        <is>
          <t>A30</t>
        </is>
      </c>
      <c r="G15" s="91">
        <f>IFERROR(INDEX(Dependencias!$H$5:$H$51,MATCH(F15,Dependencias!$E$5:$E$51,0)),"")</f>
        <v/>
      </c>
      <c r="H15" s="91">
        <f>IFERROR(INDEX(Dependencias!$F$5:$F$51,MATCH(F15,Dependencias!$E$5:$E$51,0))&amp;" · "&amp;INDEX(Dependencias!$G$5:$G$51,MATCH(F15,Dependencias!$E$5:$E$51,0)),"")</f>
        <v/>
      </c>
      <c r="I15" s="91" t="inlineStr">
        <is>
          <t>5.3.1.1</t>
        </is>
      </c>
      <c r="J15" s="91">
        <f>LEFT(I15,1)</f>
        <v/>
      </c>
      <c r="K15" s="91" t="inlineStr">
        <is>
          <t>Sin montos documentados</t>
        </is>
      </c>
      <c r="L15" s="91" t="inlineStr">
        <is>
          <t>2027</t>
        </is>
      </c>
      <c r="M15" s="91" t="inlineStr">
        <is>
          <t>Certificación presupuestal</t>
        </is>
      </c>
      <c r="N15" s="91" t="inlineStr">
        <is>
          <t>Acuerdo 010/2025, art. 3</t>
        </is>
      </c>
      <c r="O15" s="91" t="inlineStr">
        <is>
          <t>Insumo Hoja de Ruta ETITC 2027 Convenio ETITC-MinTIC CIA Zipazgo.docx</t>
        </is>
      </c>
      <c r="P15" s="96" t="n"/>
      <c r="Q15" s="96" t="n"/>
      <c r="R15" s="96" t="n"/>
      <c r="S15" s="92">
        <f>IF(F15=LEFT('Buscador_Formulación PAA 2027'!$C$4,3),COUNTIF($F$4:F15,LEFT('Buscador_Formulación PAA 2027'!$C$4,3)),"")</f>
        <v/>
      </c>
    </row>
    <row r="16" ht="52.5" customHeight="1" s="23">
      <c r="A16" s="91" t="inlineStr">
        <is>
          <t>CP-013</t>
        </is>
      </c>
      <c r="B16" s="91" t="inlineStr">
        <is>
          <t>Convenio ETITC-MinTIC / CIA Zipazgo</t>
        </is>
      </c>
      <c r="C16" s="91" t="inlineStr">
        <is>
          <t>Compromiso institucional</t>
        </is>
      </c>
      <c r="D16" s="91" t="inlineStr">
        <is>
          <t>Diseñar en 2027 cuatro programas: Tecnología en Análisis y Modelado de Datos con IA, Técnico Profesional en Ciencia de Datos Aplicada a la IA, Especialización en Gestión de Proyectos de IA y Maestría en Ciencia de Datos.</t>
        </is>
      </c>
      <c r="E16" s="91" t="inlineStr">
        <is>
          <t>Facultad de IA; Autoevaluación</t>
        </is>
      </c>
      <c r="F16" s="91" t="inlineStr">
        <is>
          <t>A46</t>
        </is>
      </c>
      <c r="G16" s="91">
        <f>IFERROR(INDEX(Dependencias!$H$5:$H$51,MATCH(F16,Dependencias!$E$5:$E$51,0)),"")</f>
        <v/>
      </c>
      <c r="H16" s="91">
        <f>IFERROR(INDEX(Dependencias!$F$5:$F$51,MATCH(F16,Dependencias!$E$5:$E$51,0))&amp;" · "&amp;INDEX(Dependencias!$G$5:$G$51,MATCH(F16,Dependencias!$E$5:$E$51,0)),"")</f>
        <v/>
      </c>
      <c r="I16" s="91" t="inlineStr">
        <is>
          <t>1.2.1.1</t>
        </is>
      </c>
      <c r="J16" s="91">
        <f>LEFT(I16,1)</f>
        <v/>
      </c>
      <c r="K16" s="91" t="inlineStr">
        <is>
          <t>Proyectado</t>
        </is>
      </c>
      <c r="L16" s="91" t="inlineStr">
        <is>
          <t>2027</t>
        </is>
      </c>
      <c r="M16" s="91" t="inlineStr">
        <is>
          <t>Planes de estudio y acuerdos</t>
        </is>
      </c>
      <c r="N16" s="91" t="inlineStr">
        <is>
          <t>Oficio 10/03/2026, sección III</t>
        </is>
      </c>
      <c r="O16" s="91" t="inlineStr">
        <is>
          <t>Insumo Hoja de Ruta ETITC 2027 Convenio ETITC-MinTIC CIA Zipazgo.docx</t>
        </is>
      </c>
      <c r="P16" s="96" t="n"/>
      <c r="Q16" s="96" t="n"/>
      <c r="R16" s="96" t="n"/>
      <c r="S16" s="92">
        <f>IF(F16=LEFT('Buscador_Formulación PAA 2027'!$C$4,3),COUNTIF($F$4:F16,LEFT('Buscador_Formulación PAA 2027'!$C$4,3)),"")</f>
        <v/>
      </c>
    </row>
    <row r="17" ht="39" customHeight="1" s="23">
      <c r="A17" s="91" t="inlineStr">
        <is>
          <t>CP-014</t>
        </is>
      </c>
      <c r="B17" s="91" t="inlineStr">
        <is>
          <t>Convenio ETITC-MinTIC / CIA Zipazgo</t>
        </is>
      </c>
      <c r="C17" s="91" t="inlineStr">
        <is>
          <t>Compromiso institucional</t>
        </is>
      </c>
      <c r="D17" s="91" t="inlineStr">
        <is>
          <t>Obtener registro calificado de Ingeniería en IA, Ingeniería Robótica con IA y Especialización en Soluciones de IA.</t>
        </is>
      </c>
      <c r="E17" s="91" t="inlineStr">
        <is>
          <t>Vicerrectoría Académica; Autoevaluación</t>
        </is>
      </c>
      <c r="F17" s="91" t="inlineStr">
        <is>
          <t>A15</t>
        </is>
      </c>
      <c r="G17" s="91">
        <f>IFERROR(INDEX(Dependencias!$H$5:$H$51,MATCH(F17,Dependencias!$E$5:$E$51,0)),"")</f>
        <v/>
      </c>
      <c r="H17" s="91">
        <f>IFERROR(INDEX(Dependencias!$F$5:$F$51,MATCH(F17,Dependencias!$E$5:$E$51,0))&amp;" · "&amp;INDEX(Dependencias!$G$5:$G$51,MATCH(F17,Dependencias!$E$5:$E$51,0)),"")</f>
        <v/>
      </c>
      <c r="I17" s="91" t="inlineStr">
        <is>
          <t>1.2.1.1</t>
        </is>
      </c>
      <c r="J17" s="91">
        <f>LEFT(I17,1)</f>
        <v/>
      </c>
      <c r="K17" s="91" t="inlineStr">
        <is>
          <t>Ing. en IA radicada el 09/03/2026; las otras dos sin radicación documentada</t>
        </is>
      </c>
      <c r="L17" s="91" t="inlineStr">
        <is>
          <t>2027</t>
        </is>
      </c>
      <c r="M17" s="91" t="inlineStr">
        <is>
          <t>Radicados y resoluciones del MEN</t>
        </is>
      </c>
      <c r="N17" s="91" t="inlineStr">
        <is>
          <t>Acuerdos 04, 07 y 08 de 2026</t>
        </is>
      </c>
      <c r="O17" s="91" t="inlineStr">
        <is>
          <t>Insumo Hoja de Ruta ETITC 2027 Convenio ETITC-MinTIC CIA Zipazgo.docx</t>
        </is>
      </c>
      <c r="P17" s="96" t="n"/>
      <c r="Q17" s="96" t="n"/>
      <c r="R17" s="96" t="n"/>
      <c r="S17" s="92">
        <f>IF(F17=LEFT('Buscador_Formulación PAA 2027'!$C$4,3),COUNTIF($F$4:F17,LEFT('Buscador_Formulación PAA 2027'!$C$4,3)),"")</f>
        <v/>
      </c>
    </row>
    <row r="18" ht="39" customHeight="1" s="23">
      <c r="A18" s="91" t="inlineStr">
        <is>
          <t>CP-015</t>
        </is>
      </c>
      <c r="B18" s="91" t="inlineStr">
        <is>
          <t>Convenio ETITC-MinTIC / CIA Zipazgo</t>
        </is>
      </c>
      <c r="C18" s="91" t="inlineStr">
        <is>
          <t>Compromiso institucional</t>
        </is>
      </c>
      <c r="D18" s="91" t="inlineStr">
        <is>
          <t>Ofertar y matricular en Zipaquirá bajo lugares transitorios (por ejemplo, 60 estudiantes por periodo en Ingeniería de Sistemas).</t>
        </is>
      </c>
      <c r="E18" s="91" t="inlineStr">
        <is>
          <t>Vicerrectoría Académica</t>
        </is>
      </c>
      <c r="F18" s="91" t="inlineStr">
        <is>
          <t>A15</t>
        </is>
      </c>
      <c r="G18" s="91">
        <f>IFERROR(INDEX(Dependencias!$H$5:$H$51,MATCH(F18,Dependencias!$E$5:$E$51,0)),"")</f>
        <v/>
      </c>
      <c r="H18" s="91">
        <f>IFERROR(INDEX(Dependencias!$F$5:$F$51,MATCH(F18,Dependencias!$E$5:$E$51,0))&amp;" · "&amp;INDEX(Dependencias!$G$5:$G$51,MATCH(F18,Dependencias!$E$5:$E$51,0)),"")</f>
        <v/>
      </c>
      <c r="I18" s="91" t="inlineStr">
        <is>
          <t>1.1.1.1</t>
        </is>
      </c>
      <c r="J18" s="91">
        <f>LEFT(I18,1)</f>
        <v/>
      </c>
      <c r="K18" s="91" t="inlineStr">
        <is>
          <t>Vigente</t>
        </is>
      </c>
      <c r="L18" s="91" t="inlineStr">
        <is>
          <t>Dentro de la ventana de 2 años</t>
        </is>
      </c>
      <c r="M18" s="91" t="inlineStr">
        <is>
          <t>Matrícula por lugar de desarrollo en SNIES</t>
        </is>
      </c>
      <c r="N18" s="91" t="inlineStr">
        <is>
          <t>Res. 010417 de 2026</t>
        </is>
      </c>
      <c r="O18" s="91" t="inlineStr">
        <is>
          <t>Insumo Hoja de Ruta ETITC 2027 Convenio ETITC-MinTIC CIA Zipazgo.docx</t>
        </is>
      </c>
      <c r="P18" s="96" t="n"/>
      <c r="Q18" s="96" t="n"/>
      <c r="R18" s="96" t="n"/>
      <c r="S18" s="92">
        <f>IF(F18=LEFT('Buscador_Formulación PAA 2027'!$C$4,3),COUNTIF($F$4:F18,LEFT('Buscador_Formulación PAA 2027'!$C$4,3)),"")</f>
        <v/>
      </c>
    </row>
    <row r="19" ht="39" customHeight="1" s="23">
      <c r="A19" s="91" t="inlineStr">
        <is>
          <t>CP-016</t>
        </is>
      </c>
      <c r="B19" s="91" t="inlineStr">
        <is>
          <t>Convenio ETITC-MinTIC / CIA Zipazgo</t>
        </is>
      </c>
      <c r="C19" s="91" t="inlineStr">
        <is>
          <t>Alerta a resolver</t>
        </is>
      </c>
      <c r="D19" s="91" t="inlineStr">
        <is>
          <t>Tramitar la modificación del lugar de desarrollo de los programas de IA si el Centro será su sede (los Acuerdos 04, 07 y 08 fijan Bogotá).</t>
        </is>
      </c>
      <c r="E19" s="91" t="inlineStr">
        <is>
          <t>Vicerrectoría Académica; Autoevaluación</t>
        </is>
      </c>
      <c r="F19" s="91" t="inlineStr">
        <is>
          <t>A08</t>
        </is>
      </c>
      <c r="G19" s="91">
        <f>IFERROR(INDEX(Dependencias!$H$5:$H$51,MATCH(F19,Dependencias!$E$5:$E$51,0)),"")</f>
        <v/>
      </c>
      <c r="H19" s="91">
        <f>IFERROR(INDEX(Dependencias!$F$5:$F$51,MATCH(F19,Dependencias!$E$5:$E$51,0))&amp;" · "&amp;INDEX(Dependencias!$G$5:$G$51,MATCH(F19,Dependencias!$E$5:$E$51,0)),"")</f>
        <v/>
      </c>
      <c r="I19" s="91" t="inlineStr">
        <is>
          <t>1.2.1.1</t>
        </is>
      </c>
      <c r="J19" s="91">
        <f>LEFT(I19,1)</f>
        <v/>
      </c>
      <c r="K19" s="91" t="inlineStr">
        <is>
          <t>Sin trámite</t>
        </is>
      </c>
      <c r="L19" s="91" t="inlineStr">
        <is>
          <t>2027</t>
        </is>
      </c>
      <c r="M19" s="91" t="inlineStr">
        <is>
          <t>Solicitud de modificación ante el MEN</t>
        </is>
      </c>
      <c r="N19" s="91" t="inlineStr">
        <is>
          <t>Alerta 2 del insumo</t>
        </is>
      </c>
      <c r="O19" s="91" t="inlineStr">
        <is>
          <t>Insumo Hoja de Ruta ETITC 2027 Convenio ETITC-MinTIC CIA Zipazgo.docx</t>
        </is>
      </c>
      <c r="P19" s="96" t="n"/>
      <c r="Q19" s="96" t="n"/>
      <c r="R19" s="96" t="n"/>
      <c r="S19" s="92">
        <f>IF(F19=LEFT('Buscador_Formulación PAA 2027'!$C$4,3),COUNTIF($F$4:F19,LEFT('Buscador_Formulación PAA 2027'!$C$4,3)),"")</f>
        <v/>
      </c>
    </row>
    <row r="20" ht="39" customHeight="1" s="23">
      <c r="A20" s="91" t="inlineStr">
        <is>
          <t>CP-017</t>
        </is>
      </c>
      <c r="B20" s="91" t="inlineStr">
        <is>
          <t>Informe de Gestión al Congreso 2025 (CLC)</t>
        </is>
      </c>
      <c r="C20" s="91" t="inlineStr">
        <is>
          <t>Hito pendiente</t>
        </is>
      </c>
      <c r="D20" s="91" t="inlineStr">
        <is>
          <t>Fijar calendario de cierre con corte único y constituir el rezago a más tardar el 20 de enero.</t>
        </is>
      </c>
      <c r="E20" s="91" t="inlineStr">
        <is>
          <t>Presupuesto, con Tesorería para el PAC</t>
        </is>
      </c>
      <c r="F20" s="91" t="inlineStr">
        <is>
          <t>A47</t>
        </is>
      </c>
      <c r="G20" s="91">
        <f>IFERROR(INDEX(Dependencias!$H$5:$H$51,MATCH(F20,Dependencias!$E$5:$E$51,0)),"")</f>
        <v/>
      </c>
      <c r="H20" s="91">
        <f>IFERROR(INDEX(Dependencias!$F$5:$F$51,MATCH(F20,Dependencias!$E$5:$E$51,0))&amp;" · "&amp;INDEX(Dependencias!$G$5:$G$51,MATCH(F20,Dependencias!$E$5:$E$51,0)),"")</f>
        <v/>
      </c>
      <c r="I20" s="91" t="inlineStr">
        <is>
          <t>4.1.1.2</t>
        </is>
      </c>
      <c r="J20" s="91">
        <f>LEFT(I20,1)</f>
        <v/>
      </c>
      <c r="K20" s="91" t="inlineStr">
        <is>
          <t>Pendiente ratificar cifras de cierre 2025</t>
        </is>
      </c>
      <c r="L20" s="91" t="inlineStr">
        <is>
          <t>Enero 2027 (cierre vigencia 2026)</t>
        </is>
      </c>
      <c r="M20" s="91" t="inlineStr">
        <is>
          <t>Calendario y resolución de rezago</t>
        </is>
      </c>
      <c r="N20" s="91" t="inlineStr">
        <is>
          <t>Decreto 1068 de 2015</t>
        </is>
      </c>
      <c r="O20" s="91" t="inlineStr">
        <is>
          <t>Insumo Hoja de Ruta ETITC 2027 Informe de Gestión al Congreso 2025.docx</t>
        </is>
      </c>
      <c r="P20" s="96" t="n"/>
      <c r="Q20" s="96" t="n"/>
      <c r="R20" s="96" t="n"/>
      <c r="S20" s="92">
        <f>IF(F20=LEFT('Buscador_Formulación PAA 2027'!$C$4,3),COUNTIF($F$4:F20,LEFT('Buscador_Formulación PAA 2027'!$C$4,3)),"")</f>
        <v/>
      </c>
    </row>
    <row r="21" ht="39" customHeight="1" s="23">
      <c r="A21" s="91" t="inlineStr">
        <is>
          <t>CP-018</t>
        </is>
      </c>
      <c r="B21" s="91" t="inlineStr">
        <is>
          <t>Informe de Gestión al Congreso 2025 (CLC)</t>
        </is>
      </c>
      <c r="C21" s="91" t="inlineStr">
        <is>
          <t>Hito pendiente</t>
        </is>
      </c>
      <c r="D21" s="91" t="inlineStr">
        <is>
          <t>Adoptar un solo calendario de remisión de insumos para el informe a la CLC, con fechas y responsables por dependencia.</t>
        </is>
      </c>
      <c r="E21" s="91" t="inlineStr">
        <is>
          <t>Cada dependencia; la OAPDI articula</t>
        </is>
      </c>
      <c r="F21" s="91" t="inlineStr">
        <is>
          <t>A05</t>
        </is>
      </c>
      <c r="G21" s="91">
        <f>IFERROR(INDEX(Dependencias!$H$5:$H$51,MATCH(F21,Dependencias!$E$5:$E$51,0)),"")</f>
        <v/>
      </c>
      <c r="H21" s="91">
        <f>IFERROR(INDEX(Dependencias!$F$5:$F$51,MATCH(F21,Dependencias!$E$5:$E$51,0))&amp;" · "&amp;INDEX(Dependencias!$G$5:$G$51,MATCH(F21,Dependencias!$E$5:$E$51,0)),"")</f>
        <v/>
      </c>
      <c r="I21" s="91" t="inlineStr">
        <is>
          <t>4.1.1.2</t>
        </is>
      </c>
      <c r="J21" s="91">
        <f>LEFT(I21,1)</f>
        <v/>
      </c>
      <c r="K21" s="91" t="inlineStr">
        <is>
          <t>Tesorería y Secretaría General figuraban pendientes en el último memorando</t>
        </is>
      </c>
      <c r="L21" s="91" t="inlineStr">
        <is>
          <t>Ciclo 2027</t>
        </is>
      </c>
      <c r="M21" s="91" t="inlineStr">
        <is>
          <t>Calendario aprobado</t>
        </is>
      </c>
      <c r="N21" s="91" t="inlineStr">
        <is>
          <t>Art. 258 Ley 5 de 1992 (plazo de 5 días)</t>
        </is>
      </c>
      <c r="O21" s="91" t="inlineStr">
        <is>
          <t>Insumo Hoja de Ruta ETITC 2027 Informe de Gestión al Congreso 2025.docx</t>
        </is>
      </c>
      <c r="P21" s="96" t="n"/>
      <c r="Q21" s="96" t="n"/>
      <c r="R21" s="96" t="n"/>
      <c r="S21" s="92">
        <f>IF(F21=LEFT('Buscador_Formulación PAA 2027'!$C$4,3),COUNTIF($F$4:F21,LEFT('Buscador_Formulación PAA 2027'!$C$4,3)),"")</f>
        <v/>
      </c>
    </row>
    <row r="22" ht="39" customHeight="1" s="23">
      <c r="A22" s="91" t="inlineStr">
        <is>
          <t>CP-019</t>
        </is>
      </c>
      <c r="B22" s="91" t="inlineStr">
        <is>
          <t>Informe de Gestión al Congreso 2025 (CLC)</t>
        </is>
      </c>
      <c r="C22" s="91" t="inlineStr">
        <is>
          <t>Hito pendiente</t>
        </is>
      </c>
      <c r="D22" s="91" t="inlineStr">
        <is>
          <t>Definir el alcance y los tiempos del visto bueno de la Vicerrectoría Administrativa y Financiera.</t>
        </is>
      </c>
      <c r="E22" s="91" t="inlineStr">
        <is>
          <t>Vicerrectoría Administrativa y Financiera</t>
        </is>
      </c>
      <c r="F22" s="91" t="inlineStr">
        <is>
          <t>A30</t>
        </is>
      </c>
      <c r="G22" s="91">
        <f>IFERROR(INDEX(Dependencias!$H$5:$H$51,MATCH(F22,Dependencias!$E$5:$E$51,0)),"")</f>
        <v/>
      </c>
      <c r="H22" s="91">
        <f>IFERROR(INDEX(Dependencias!$F$5:$F$51,MATCH(F22,Dependencias!$E$5:$E$51,0))&amp;" · "&amp;INDEX(Dependencias!$G$5:$G$51,MATCH(F22,Dependencias!$E$5:$E$51,0)),"")</f>
        <v/>
      </c>
      <c r="I22" s="91" t="inlineStr">
        <is>
          <t>4.1.1.2</t>
        </is>
      </c>
      <c r="J22" s="91">
        <f>LEFT(I22,1)</f>
        <v/>
      </c>
      <c r="K22" s="91" t="inlineStr">
        <is>
          <t>Sin evidencia de visto bueno</t>
        </is>
      </c>
      <c r="L22" s="91" t="inlineStr">
        <is>
          <t>Ciclo 2027</t>
        </is>
      </c>
      <c r="M22" s="91" t="inlineStr">
        <is>
          <t>Procedimiento o lista de chequeo</t>
        </is>
      </c>
      <c r="N22" s="91" t="inlineStr">
        <is>
          <t>Matriz de cumplimiento (D02)</t>
        </is>
      </c>
      <c r="O22" s="91" t="inlineStr">
        <is>
          <t>Insumo Hoja de Ruta ETITC 2027 Informe de Gestión al Congreso 2025.docx</t>
        </is>
      </c>
      <c r="P22" s="96" t="n"/>
      <c r="Q22" s="96" t="n"/>
      <c r="R22" s="96" t="n"/>
      <c r="S22" s="92">
        <f>IF(F22=LEFT('Buscador_Formulación PAA 2027'!$C$4,3),COUNTIF($F$4:F22,LEFT('Buscador_Formulación PAA 2027'!$C$4,3)),"")</f>
        <v/>
      </c>
    </row>
    <row r="23" ht="39" customHeight="1" s="23">
      <c r="A23" s="91" t="inlineStr">
        <is>
          <t>CP-020</t>
        </is>
      </c>
      <c r="B23" s="91" t="inlineStr">
        <is>
          <t>Informe de Gestión al Congreso 2025 (CLC)</t>
        </is>
      </c>
      <c r="C23" s="91" t="inlineStr">
        <is>
          <t>Hito pendiente</t>
        </is>
      </c>
      <c r="D23" s="91" t="inlineStr">
        <is>
          <t>Resolver quién ejerce la función de Jefe de Control Interno para suscribir el ECIC.</t>
        </is>
      </c>
      <c r="E23" s="91" t="inlineStr">
        <is>
          <t>Rectoría; Control Interno</t>
        </is>
      </c>
      <c r="F23" s="91" t="inlineStr">
        <is>
          <t>A01</t>
        </is>
      </c>
      <c r="G23" s="91">
        <f>IFERROR(INDEX(Dependencias!$H$5:$H$51,MATCH(F23,Dependencias!$E$5:$E$51,0)),"")</f>
        <v/>
      </c>
      <c r="H23" s="91">
        <f>IFERROR(INDEX(Dependencias!$F$5:$F$51,MATCH(F23,Dependencias!$E$5:$E$51,0))&amp;" · "&amp;INDEX(Dependencias!$G$5:$G$51,MATCH(F23,Dependencias!$E$5:$E$51,0)),"")</f>
        <v/>
      </c>
      <c r="I23" s="91" t="inlineStr">
        <is>
          <t>4.2.1.1</t>
        </is>
      </c>
      <c r="J23" s="91">
        <f>LEFT(I23,1)</f>
        <v/>
      </c>
      <c r="K23" s="91" t="inlineStr">
        <is>
          <t>Pendiente</t>
        </is>
      </c>
      <c r="L23" s="91" t="inlineStr">
        <is>
          <t>Antes del ciclo 2027</t>
        </is>
      </c>
      <c r="M23" s="91" t="inlineStr">
        <is>
          <t>Acto administrativo</t>
        </is>
      </c>
      <c r="N23" s="91" t="inlineStr">
        <is>
          <t>Insumo Congreso, hito firma</t>
        </is>
      </c>
      <c r="O23" s="91" t="inlineStr">
        <is>
          <t>Insumo Hoja de Ruta ETITC 2027 Informe de Gestión al Congreso 2025.docx</t>
        </is>
      </c>
      <c r="P23" s="96" t="n"/>
      <c r="Q23" s="96" t="n"/>
      <c r="R23" s="96" t="n"/>
      <c r="S23" s="92">
        <f>IF(F23=LEFT('Buscador_Formulación PAA 2027'!$C$4,3),COUNTIF($F$4:F23,LEFT('Buscador_Formulación PAA 2027'!$C$4,3)),"")</f>
        <v/>
      </c>
    </row>
    <row r="24" ht="39" customHeight="1" s="23">
      <c r="A24" s="91" t="inlineStr">
        <is>
          <t>CP-021</t>
        </is>
      </c>
      <c r="B24" s="91" t="inlineStr">
        <is>
          <t>Informe de Gestión al Congreso 2025 (CLC)</t>
        </is>
      </c>
      <c r="C24" s="91" t="inlineStr">
        <is>
          <t>Hito pendiente</t>
        </is>
      </c>
      <c r="D24" s="91" t="inlineStr">
        <is>
          <t>Reservar con anticipación el consecutivo de radicación ante la CLC y tener lista la certificación de publicación.</t>
        </is>
      </c>
      <c r="E24" s="91" t="inlineStr">
        <is>
          <t>Secretaría General; Jurídica</t>
        </is>
      </c>
      <c r="F24" s="91" t="inlineStr">
        <is>
          <t>A11</t>
        </is>
      </c>
      <c r="G24" s="91">
        <f>IFERROR(INDEX(Dependencias!$H$5:$H$51,MATCH(F24,Dependencias!$E$5:$E$51,0)),"")</f>
        <v/>
      </c>
      <c r="H24" s="91">
        <f>IFERROR(INDEX(Dependencias!$F$5:$F$51,MATCH(F24,Dependencias!$E$5:$E$51,0))&amp;" · "&amp;INDEX(Dependencias!$G$5:$G$51,MATCH(F24,Dependencias!$E$5:$E$51,0)),"")</f>
        <v/>
      </c>
      <c r="I24" s="91" t="inlineStr">
        <is>
          <t>4.1.1.2</t>
        </is>
      </c>
      <c r="J24" s="91">
        <f>LEFT(I24,1)</f>
        <v/>
      </c>
      <c r="K24" s="91" t="inlineStr">
        <is>
          <t>Sin evidencia de radicación del ciclo 2025</t>
        </is>
      </c>
      <c r="L24" s="91" t="inlineStr">
        <is>
          <t>Ciclo 2027</t>
        </is>
      </c>
      <c r="M24" s="91" t="inlineStr">
        <is>
          <t>Radicado</t>
        </is>
      </c>
      <c r="N24" s="91" t="inlineStr">
        <is>
          <t>Insumo Congreso, hito radicación</t>
        </is>
      </c>
      <c r="O24" s="91" t="inlineStr">
        <is>
          <t>Insumo Hoja de Ruta ETITC 2027 Informe de Gestión al Congreso 2025.docx</t>
        </is>
      </c>
      <c r="P24" s="96" t="n"/>
      <c r="Q24" s="96" t="n"/>
      <c r="R24" s="96" t="n"/>
      <c r="S24" s="92">
        <f>IF(F24=LEFT('Buscador_Formulación PAA 2027'!$C$4,3),COUNTIF($F$4:F24,LEFT('Buscador_Formulación PAA 2027'!$C$4,3)),"")</f>
        <v/>
      </c>
    </row>
    <row r="25" ht="39" customHeight="1" s="23">
      <c r="A25" s="91" t="inlineStr">
        <is>
          <t>CP-022</t>
        </is>
      </c>
      <c r="B25" s="91" t="inlineStr">
        <is>
          <t>Informe de Gestión al Congreso 2025 (CLC)</t>
        </is>
      </c>
      <c r="C25" s="91" t="inlineStr">
        <is>
          <t>Hallazgo CGR</t>
        </is>
      </c>
      <c r="D25" s="91" t="inlineStr">
        <is>
          <t>COH_10733_2025: partidas conciliatorias por $58.207.092. Depurar mensualmente con tope de 60 días y reportar al Comité de Sostenibilidad Contable.</t>
        </is>
      </c>
      <c r="E25" s="91" t="inlineStr">
        <is>
          <t>Tesorería y Contabilidad</t>
        </is>
      </c>
      <c r="F25" s="91" t="inlineStr">
        <is>
          <t>A47</t>
        </is>
      </c>
      <c r="G25" s="91">
        <f>IFERROR(INDEX(Dependencias!$H$5:$H$51,MATCH(F25,Dependencias!$E$5:$E$51,0)),"")</f>
        <v/>
      </c>
      <c r="H25" s="91">
        <f>IFERROR(INDEX(Dependencias!$F$5:$F$51,MATCH(F25,Dependencias!$E$5:$E$51,0))&amp;" · "&amp;INDEX(Dependencias!$G$5:$G$51,MATCH(F25,Dependencias!$E$5:$E$51,0)),"")</f>
        <v/>
      </c>
      <c r="I25" s="91" t="inlineStr">
        <is>
          <t>4.1.1.2</t>
        </is>
      </c>
      <c r="J25" s="91">
        <f>LEFT(I25,1)</f>
        <v/>
      </c>
      <c r="K25" s="91" t="inlineStr">
        <is>
          <t>Plan de mejoramiento suscrito el 19/12/2025</t>
        </is>
      </c>
      <c r="L25" s="91" t="inlineStr">
        <is>
          <t>2027</t>
        </is>
      </c>
      <c r="M25" s="91" t="inlineStr">
        <is>
          <t>Conciliaciones mensuales</t>
        </is>
      </c>
      <c r="N25" s="91" t="inlineStr">
        <is>
          <t>Plan de Mejoramiento CGR</t>
        </is>
      </c>
      <c r="O25" s="91" t="inlineStr">
        <is>
          <t>Insumo Hoja de Ruta ETITC 2027 Informe de Gestión al Congreso 2025.docx</t>
        </is>
      </c>
      <c r="P25" s="96" t="n"/>
      <c r="Q25" s="96" t="n"/>
      <c r="R25" s="96" t="n"/>
      <c r="S25" s="92">
        <f>IF(F25=LEFT('Buscador_Formulación PAA 2027'!$C$4,3),COUNTIF($F$4:F25,LEFT('Buscador_Formulación PAA 2027'!$C$4,3)),"")</f>
        <v/>
      </c>
    </row>
    <row r="26" ht="39" customHeight="1" s="23">
      <c r="A26" s="91" t="inlineStr">
        <is>
          <t>CP-023</t>
        </is>
      </c>
      <c r="B26" s="91" t="inlineStr">
        <is>
          <t>Informe de Gestión al Congreso 2025 (CLC)</t>
        </is>
      </c>
      <c r="C26" s="91" t="inlineStr">
        <is>
          <t>Hallazgo CGR</t>
        </is>
      </c>
      <c r="D26" s="91" t="inlineStr">
        <is>
          <t>COH_10784_2025: sobrestimación de Propiedad, Planta y Equipo por $26.422.262.386. Conciliar Mántum y SIIF y cerrar el saneamiento de bienes.</t>
        </is>
      </c>
      <c r="E26" s="91" t="inlineStr">
        <is>
          <t>Almacén, Contabilidad y Comité de Sostenibilidad</t>
        </is>
      </c>
      <c r="F26" s="91" t="inlineStr">
        <is>
          <t>A47</t>
        </is>
      </c>
      <c r="G26" s="91">
        <f>IFERROR(INDEX(Dependencias!$H$5:$H$51,MATCH(F26,Dependencias!$E$5:$E$51,0)),"")</f>
        <v/>
      </c>
      <c r="H26" s="91">
        <f>IFERROR(INDEX(Dependencias!$F$5:$F$51,MATCH(F26,Dependencias!$E$5:$E$51,0))&amp;" · "&amp;INDEX(Dependencias!$G$5:$G$51,MATCH(F26,Dependencias!$E$5:$E$51,0)),"")</f>
        <v/>
      </c>
      <c r="I26" s="91" t="inlineStr">
        <is>
          <t>4.1.1.2</t>
        </is>
      </c>
      <c r="J26" s="91">
        <f>LEFT(I26,1)</f>
        <v/>
      </c>
      <c r="K26" s="91" t="inlineStr">
        <is>
          <t>En término</t>
        </is>
      </c>
      <c r="L26" s="91" t="inlineStr">
        <is>
          <t>2027</t>
        </is>
      </c>
      <c r="M26" s="91" t="inlineStr">
        <is>
          <t>Conciliaciones y actas de baja</t>
        </is>
      </c>
      <c r="N26" s="91" t="inlineStr">
        <is>
          <t>Plan de Mejoramiento CGR</t>
        </is>
      </c>
      <c r="O26" s="91" t="inlineStr">
        <is>
          <t>Insumo Hoja de Ruta ETITC 2027 Informe de Gestión al Congreso 2025.docx</t>
        </is>
      </c>
      <c r="P26" s="96" t="n"/>
      <c r="Q26" s="96" t="n"/>
      <c r="R26" s="96" t="n"/>
      <c r="S26" s="92">
        <f>IF(F26=LEFT('Buscador_Formulación PAA 2027'!$C$4,3),COUNTIF($F$4:F26,LEFT('Buscador_Formulación PAA 2027'!$C$4,3)),"")</f>
        <v/>
      </c>
    </row>
    <row r="27" ht="39" customHeight="1" s="23">
      <c r="A27" s="91" t="inlineStr">
        <is>
          <t>CP-024</t>
        </is>
      </c>
      <c r="B27" s="91" t="inlineStr">
        <is>
          <t>Informe de Gestión al Congreso 2025 (CLC)</t>
        </is>
      </c>
      <c r="C27" s="91" t="inlineStr">
        <is>
          <t>Hallazgo CGR</t>
        </is>
      </c>
      <c r="D27" s="91" t="inlineStr">
        <is>
          <t>COH_11388_2025: reserva de $5.496.842 de un contrato ya pagado. Validar cada reserva contra pagos antes de la resolución de constitución.</t>
        </is>
      </c>
      <c r="E27" s="91" t="inlineStr">
        <is>
          <t>Presupuesto, con Tesorería y supervisión</t>
        </is>
      </c>
      <c r="F27" s="91" t="inlineStr">
        <is>
          <t>A47</t>
        </is>
      </c>
      <c r="G27" s="91">
        <f>IFERROR(INDEX(Dependencias!$H$5:$H$51,MATCH(F27,Dependencias!$E$5:$E$51,0)),"")</f>
        <v/>
      </c>
      <c r="H27" s="91">
        <f>IFERROR(INDEX(Dependencias!$F$5:$F$51,MATCH(F27,Dependencias!$E$5:$E$51,0))&amp;" · "&amp;INDEX(Dependencias!$G$5:$G$51,MATCH(F27,Dependencias!$E$5:$E$51,0)),"")</f>
        <v/>
      </c>
      <c r="I27" s="91" t="inlineStr">
        <is>
          <t>4.1.1.2</t>
        </is>
      </c>
      <c r="J27" s="91">
        <f>LEFT(I27,1)</f>
        <v/>
      </c>
      <c r="K27" s="91" t="inlineStr">
        <is>
          <t>En término</t>
        </is>
      </c>
      <c r="L27" s="91" t="inlineStr">
        <is>
          <t>Enero 2027</t>
        </is>
      </c>
      <c r="M27" s="91" t="inlineStr">
        <is>
          <t>Lista de validación de reservas</t>
        </is>
      </c>
      <c r="N27" s="91" t="inlineStr">
        <is>
          <t>Plan de Mejoramiento CGR</t>
        </is>
      </c>
      <c r="O27" s="91" t="inlineStr">
        <is>
          <t>Insumo Hoja de Ruta ETITC 2027 Informe de Gestión al Congreso 2025.docx</t>
        </is>
      </c>
      <c r="P27" s="96" t="n"/>
      <c r="Q27" s="96" t="n"/>
      <c r="R27" s="96" t="n"/>
      <c r="S27" s="92">
        <f>IF(F27=LEFT('Buscador_Formulación PAA 2027'!$C$4,3),COUNTIF($F$4:F27,LEFT('Buscador_Formulación PAA 2027'!$C$4,3)),"")</f>
        <v/>
      </c>
    </row>
    <row r="28" ht="52.5" customHeight="1" s="23">
      <c r="A28" s="91" t="inlineStr">
        <is>
          <t>CP-025</t>
        </is>
      </c>
      <c r="B28" s="91" t="inlineStr">
        <is>
          <t>Informe de Gestión al Congreso 2025 (CLC)</t>
        </is>
      </c>
      <c r="C28" s="91" t="inlineStr">
        <is>
          <t>Hallazgo CGR</t>
        </is>
      </c>
      <c r="D28" s="91" t="inlineStr">
        <is>
          <t>COH_10730_2025 y COH_10753_2025: recobro de incapacidades ($14.834.401) y pago de salarios sin reporte oportuno. Protocolo de reporte y recobro con alertas de prescripción.</t>
        </is>
      </c>
      <c r="E28" s="91" t="inlineStr">
        <is>
          <t>Talento Humano (nómina)</t>
        </is>
      </c>
      <c r="F28" s="91" t="inlineStr">
        <is>
          <t>A35</t>
        </is>
      </c>
      <c r="G28" s="91">
        <f>IFERROR(INDEX(Dependencias!$H$5:$H$51,MATCH(F28,Dependencias!$E$5:$E$51,0)),"")</f>
        <v/>
      </c>
      <c r="H28" s="91">
        <f>IFERROR(INDEX(Dependencias!$F$5:$F$51,MATCH(F28,Dependencias!$E$5:$E$51,0))&amp;" · "&amp;INDEX(Dependencias!$G$5:$G$51,MATCH(F28,Dependencias!$E$5:$E$51,0)),"")</f>
        <v/>
      </c>
      <c r="I28" s="91" t="inlineStr">
        <is>
          <t>4.1.1.2</t>
        </is>
      </c>
      <c r="J28" s="91">
        <f>LEFT(I28,1)</f>
        <v/>
      </c>
      <c r="K28" s="91" t="inlineStr">
        <is>
          <t>En término</t>
        </is>
      </c>
      <c r="L28" s="91" t="inlineStr">
        <is>
          <t>2027</t>
        </is>
      </c>
      <c r="M28" s="91" t="inlineStr">
        <is>
          <t>Protocolo adoptado y conciliación nómina-contabilidad</t>
        </is>
      </c>
      <c r="N28" s="91" t="inlineStr">
        <is>
          <t>Plan de Mejoramiento CGR</t>
        </is>
      </c>
      <c r="O28" s="91" t="inlineStr">
        <is>
          <t>Insumo Hoja de Ruta ETITC 2027 Informe de Gestión al Congreso 2025.docx</t>
        </is>
      </c>
      <c r="P28" s="96" t="n"/>
      <c r="Q28" s="96" t="n"/>
      <c r="R28" s="96" t="n"/>
      <c r="S28" s="92">
        <f>IF(F28=LEFT('Buscador_Formulación PAA 2027'!$C$4,3),COUNTIF($F$4:F28,LEFT('Buscador_Formulación PAA 2027'!$C$4,3)),"")</f>
        <v/>
      </c>
    </row>
    <row r="29" ht="39" customHeight="1" s="23">
      <c r="A29" s="91" t="inlineStr">
        <is>
          <t>CP-026</t>
        </is>
      </c>
      <c r="B29" s="91" t="inlineStr">
        <is>
          <t>Informe de Gestión al Congreso 2025 (CLC)</t>
        </is>
      </c>
      <c r="C29" s="91" t="inlineStr">
        <is>
          <t>Hallazgo CGR</t>
        </is>
      </c>
      <c r="D29" s="91" t="inlineStr">
        <is>
          <t>COH_10748_2025: ítem dotacional de $711.011.393 no ejecutado. Lista de verificación de entregables antes de certificar cumplimiento.</t>
        </is>
      </c>
      <c r="E29" s="91" t="inlineStr">
        <is>
          <t>Supervisor del contrato y Contratación [por confirmar]</t>
        </is>
      </c>
      <c r="F29" s="91" t="inlineStr">
        <is>
          <t>A14</t>
        </is>
      </c>
      <c r="G29" s="91">
        <f>IFERROR(INDEX(Dependencias!$H$5:$H$51,MATCH(F29,Dependencias!$E$5:$E$51,0)),"")</f>
        <v/>
      </c>
      <c r="H29" s="91">
        <f>IFERROR(INDEX(Dependencias!$F$5:$F$51,MATCH(F29,Dependencias!$E$5:$E$51,0))&amp;" · "&amp;INDEX(Dependencias!$G$5:$G$51,MATCH(F29,Dependencias!$E$5:$E$51,0)),"")</f>
        <v/>
      </c>
      <c r="I29" s="91" t="inlineStr">
        <is>
          <t>4.1.1.2</t>
        </is>
      </c>
      <c r="J29" s="91">
        <f>LEFT(I29,1)</f>
        <v/>
      </c>
      <c r="K29" s="91" t="inlineStr">
        <is>
          <t>En término</t>
        </is>
      </c>
      <c r="L29" s="91" t="inlineStr">
        <is>
          <t>2027</t>
        </is>
      </c>
      <c r="M29" s="91" t="inlineStr">
        <is>
          <t>Lista de verificación en uso</t>
        </is>
      </c>
      <c r="N29" s="91" t="inlineStr">
        <is>
          <t>Plan de Mejoramiento CGR</t>
        </is>
      </c>
      <c r="O29" s="91" t="inlineStr">
        <is>
          <t>Insumo Hoja de Ruta ETITC 2027 Informe de Gestión al Congreso 2025.docx</t>
        </is>
      </c>
      <c r="P29" s="96" t="n"/>
      <c r="Q29" s="96" t="n"/>
      <c r="R29" s="96" t="n"/>
      <c r="S29" s="92">
        <f>IF(F29=LEFT('Buscador_Formulación PAA 2027'!$C$4,3),COUNTIF($F$4:F29,LEFT('Buscador_Formulación PAA 2027'!$C$4,3)),"")</f>
        <v/>
      </c>
    </row>
    <row r="30" ht="39" customHeight="1" s="23">
      <c r="A30" s="91" t="inlineStr">
        <is>
          <t>CP-027</t>
        </is>
      </c>
      <c r="B30" s="91" t="inlineStr">
        <is>
          <t>Informe de Gestión al Congreso 2025 (CLC)</t>
        </is>
      </c>
      <c r="C30" s="91" t="inlineStr">
        <is>
          <t>Hallazgo CGR</t>
        </is>
      </c>
      <c r="D30" s="91" t="inlineStr">
        <is>
          <t>COH_10772_2025: provisión de procesos judiciales sin actualizar en eKOGUI. Actualización periódica y conciliación trimestral con Contabilidad.</t>
        </is>
      </c>
      <c r="E30" s="91" t="inlineStr">
        <is>
          <t>Asuntos Jurídicos, con Contabilidad</t>
        </is>
      </c>
      <c r="F30" s="91" t="inlineStr">
        <is>
          <t>A12</t>
        </is>
      </c>
      <c r="G30" s="91">
        <f>IFERROR(INDEX(Dependencias!$H$5:$H$51,MATCH(F30,Dependencias!$E$5:$E$51,0)),"")</f>
        <v/>
      </c>
      <c r="H30" s="91">
        <f>IFERROR(INDEX(Dependencias!$F$5:$F$51,MATCH(F30,Dependencias!$E$5:$E$51,0))&amp;" · "&amp;INDEX(Dependencias!$G$5:$G$51,MATCH(F30,Dependencias!$E$5:$E$51,0)),"")</f>
        <v/>
      </c>
      <c r="I30" s="91" t="inlineStr">
        <is>
          <t>4.1.1.2</t>
        </is>
      </c>
      <c r="J30" s="91">
        <f>LEFT(I30,1)</f>
        <v/>
      </c>
      <c r="K30" s="91" t="inlineStr">
        <is>
          <t>En término</t>
        </is>
      </c>
      <c r="L30" s="91" t="inlineStr">
        <is>
          <t>Trimestral 2027</t>
        </is>
      </c>
      <c r="M30" s="91" t="inlineStr">
        <is>
          <t>Reportes eKOGUI conciliados</t>
        </is>
      </c>
      <c r="N30" s="91" t="inlineStr">
        <is>
          <t>Plan de Mejoramiento CGR</t>
        </is>
      </c>
      <c r="O30" s="91" t="inlineStr">
        <is>
          <t>Insumo Hoja de Ruta ETITC 2027 Informe de Gestión al Congreso 2025.docx</t>
        </is>
      </c>
      <c r="P30" s="96" t="n"/>
      <c r="Q30" s="96" t="n"/>
      <c r="R30" s="96" t="n"/>
      <c r="S30" s="92">
        <f>IF(F30=LEFT('Buscador_Formulación PAA 2027'!$C$4,3),COUNTIF($F$4:F30,LEFT('Buscador_Formulación PAA 2027'!$C$4,3)),"")</f>
        <v/>
      </c>
    </row>
    <row r="31" ht="39" customHeight="1" s="23">
      <c r="A31" s="91" t="inlineStr">
        <is>
          <t>CP-028</t>
        </is>
      </c>
      <c r="B31" s="91" t="inlineStr">
        <is>
          <t>Informe de Gestión al Congreso 2025 (CLC)</t>
        </is>
      </c>
      <c r="C31" s="91" t="inlineStr">
        <is>
          <t>Debilidad ECIC</t>
        </is>
      </c>
      <c r="D31" s="91" t="inlineStr">
        <is>
          <t>Formular indicadores financieros (razón corriente, margen, rotación de cartera) e incluirlos en el plan de acción.</t>
        </is>
      </c>
      <c r="E31" s="91" t="inlineStr">
        <is>
          <t>Contabilidad, VAF y OAPDI</t>
        </is>
      </c>
      <c r="F31" s="91" t="inlineStr">
        <is>
          <t>A47</t>
        </is>
      </c>
      <c r="G31" s="91">
        <f>IFERROR(INDEX(Dependencias!$H$5:$H$51,MATCH(F31,Dependencias!$E$5:$E$51,0)),"")</f>
        <v/>
      </c>
      <c r="H31" s="91">
        <f>IFERROR(INDEX(Dependencias!$F$5:$F$51,MATCH(F31,Dependencias!$E$5:$E$51,0))&amp;" · "&amp;INDEX(Dependencias!$G$5:$G$51,MATCH(F31,Dependencias!$E$5:$E$51,0)),"")</f>
        <v/>
      </c>
      <c r="I31" s="91" t="inlineStr">
        <is>
          <t>4.1.1.2</t>
        </is>
      </c>
      <c r="J31" s="91">
        <f>LEFT(I31,1)</f>
        <v/>
      </c>
      <c r="K31" s="91" t="inlineStr">
        <is>
          <t>Criterios 26, 26.1 y 26.2 en NO</t>
        </is>
      </c>
      <c r="L31" s="91" t="inlineStr">
        <is>
          <t>2027</t>
        </is>
      </c>
      <c r="M31" s="91" t="inlineStr">
        <is>
          <t>Indicadores en el PAA 2027</t>
        </is>
      </c>
      <c r="N31" s="91" t="inlineStr">
        <is>
          <t>ECIC 2025</t>
        </is>
      </c>
      <c r="O31" s="91" t="inlineStr">
        <is>
          <t>Insumo Hoja de Ruta ETITC 2027 Informe de Gestión al Congreso 2025.docx</t>
        </is>
      </c>
      <c r="P31" s="96" t="n"/>
      <c r="Q31" s="96" t="n"/>
      <c r="R31" s="96" t="n"/>
      <c r="S31" s="92">
        <f>IF(F31=LEFT('Buscador_Formulación PAA 2027'!$C$4,3),COUNTIF($F$4:F31,LEFT('Buscador_Formulación PAA 2027'!$C$4,3)),"")</f>
        <v/>
      </c>
    </row>
    <row r="32" ht="39" customHeight="1" s="23">
      <c r="A32" s="91" t="inlineStr">
        <is>
          <t>CP-029</t>
        </is>
      </c>
      <c r="B32" s="91" t="inlineStr">
        <is>
          <t>Informe de Gestión al Congreso 2025 (CLC)</t>
        </is>
      </c>
      <c r="C32" s="91" t="inlineStr">
        <is>
          <t>Debilidad ECIC</t>
        </is>
      </c>
      <c r="D32" s="91" t="inlineStr">
        <is>
          <t>Incluir capacitación financiera y contable en el Plan Institucional de Capacitación 2027.</t>
        </is>
      </c>
      <c r="E32" s="91" t="inlineStr">
        <is>
          <t>Talento Humano y Contabilidad</t>
        </is>
      </c>
      <c r="F32" s="91" t="inlineStr">
        <is>
          <t>A35</t>
        </is>
      </c>
      <c r="G32" s="91">
        <f>IFERROR(INDEX(Dependencias!$H$5:$H$51,MATCH(F32,Dependencias!$E$5:$E$51,0)),"")</f>
        <v/>
      </c>
      <c r="H32" s="91">
        <f>IFERROR(INDEX(Dependencias!$F$5:$F$51,MATCH(F32,Dependencias!$E$5:$E$51,0))&amp;" · "&amp;INDEX(Dependencias!$G$5:$G$51,MATCH(F32,Dependencias!$E$5:$E$51,0)),"")</f>
        <v/>
      </c>
      <c r="I32" s="91" t="inlineStr">
        <is>
          <t>4.1.1.2</t>
        </is>
      </c>
      <c r="J32" s="91">
        <f>LEFT(I32,1)</f>
        <v/>
      </c>
      <c r="K32" s="91" t="inlineStr">
        <is>
          <t>Criterios 32.1 y 32.2 en NO</t>
        </is>
      </c>
      <c r="L32" s="91" t="inlineStr">
        <is>
          <t>2027</t>
        </is>
      </c>
      <c r="M32" s="91" t="inlineStr">
        <is>
          <t>PIC 2027 con temas contables</t>
        </is>
      </c>
      <c r="N32" s="91" t="inlineStr">
        <is>
          <t>ECIC 2025</t>
        </is>
      </c>
      <c r="O32" s="91" t="inlineStr">
        <is>
          <t>Insumo Hoja de Ruta ETITC 2027 Informe de Gestión al Congreso 2025.docx</t>
        </is>
      </c>
      <c r="P32" s="96" t="n"/>
      <c r="Q32" s="96" t="n"/>
      <c r="R32" s="96" t="n"/>
      <c r="S32" s="92">
        <f>IF(F32=LEFT('Buscador_Formulación PAA 2027'!$C$4,3),COUNTIF($F$4:F32,LEFT('Buscador_Formulación PAA 2027'!$C$4,3)),"")</f>
        <v/>
      </c>
    </row>
    <row r="33" ht="39" customHeight="1" s="23">
      <c r="A33" s="91" t="inlineStr">
        <is>
          <t>CP-030</t>
        </is>
      </c>
      <c r="B33" s="91" t="inlineStr">
        <is>
          <t>Informe de Gestión al Congreso 2025 (CLC)</t>
        </is>
      </c>
      <c r="C33" s="91" t="inlineStr">
        <is>
          <t>Debilidad ECIC</t>
        </is>
      </c>
      <c r="D33" s="91" t="inlineStr">
        <is>
          <t>Ampliar el mapa de riesgos a todo el ciclo contable con controles documentados.</t>
        </is>
      </c>
      <c r="E33" s="91" t="inlineStr">
        <is>
          <t>Contabilidad, Control Interno y OAPDI</t>
        </is>
      </c>
      <c r="F33" s="91" t="inlineStr">
        <is>
          <t>A47</t>
        </is>
      </c>
      <c r="G33" s="91">
        <f>IFERROR(INDEX(Dependencias!$H$5:$H$51,MATCH(F33,Dependencias!$E$5:$E$51,0)),"")</f>
        <v/>
      </c>
      <c r="H33" s="91">
        <f>IFERROR(INDEX(Dependencias!$F$5:$F$51,MATCH(F33,Dependencias!$E$5:$E$51,0))&amp;" · "&amp;INDEX(Dependencias!$G$5:$G$51,MATCH(F33,Dependencias!$E$5:$E$51,0)),"")</f>
        <v/>
      </c>
      <c r="I33" s="91" t="inlineStr">
        <is>
          <t>4.1.1.2</t>
        </is>
      </c>
      <c r="J33" s="91">
        <f>LEFT(I33,1)</f>
        <v/>
      </c>
      <c r="K33" s="91" t="inlineStr">
        <is>
          <t>Criterios 29, 29.1 y 30 parciales</t>
        </is>
      </c>
      <c r="L33" s="91" t="inlineStr">
        <is>
          <t>2027</t>
        </is>
      </c>
      <c r="M33" s="91" t="inlineStr">
        <is>
          <t>Mapa de riesgos actualizado</t>
        </is>
      </c>
      <c r="N33" s="91" t="inlineStr">
        <is>
          <t>ECIC 2025</t>
        </is>
      </c>
      <c r="O33" s="91" t="inlineStr">
        <is>
          <t>Insumo Hoja de Ruta ETITC 2027 Informe de Gestión al Congreso 2025.docx</t>
        </is>
      </c>
      <c r="P33" s="96" t="n"/>
      <c r="Q33" s="96" t="n"/>
      <c r="R33" s="96" t="n"/>
      <c r="S33" s="92">
        <f>IF(F33=LEFT('Buscador_Formulación PAA 2027'!$C$4,3),COUNTIF($F$4:F33,LEFT('Buscador_Formulación PAA 2027'!$C$4,3)),"")</f>
        <v/>
      </c>
    </row>
    <row r="34" ht="39" customHeight="1" s="23">
      <c r="A34" s="91" t="inlineStr">
        <is>
          <t>CP-031</t>
        </is>
      </c>
      <c r="B34" s="91" t="inlineStr">
        <is>
          <t>Informe de Gestión al Congreso 2025 (CLC)</t>
        </is>
      </c>
      <c r="C34" s="91" t="inlineStr">
        <is>
          <t>Debilidad ECIC</t>
        </is>
      </c>
      <c r="D34" s="91" t="inlineStr">
        <is>
          <t>Socializar las políticas contables al personal del proceso y dejar evidencia.</t>
        </is>
      </c>
      <c r="E34" s="91" t="inlineStr">
        <is>
          <t>Contabilidad</t>
        </is>
      </c>
      <c r="F34" s="91" t="inlineStr">
        <is>
          <t>A47</t>
        </is>
      </c>
      <c r="G34" s="91">
        <f>IFERROR(INDEX(Dependencias!$H$5:$H$51,MATCH(F34,Dependencias!$E$5:$E$51,0)),"")</f>
        <v/>
      </c>
      <c r="H34" s="91">
        <f>IFERROR(INDEX(Dependencias!$F$5:$F$51,MATCH(F34,Dependencias!$E$5:$E$51,0))&amp;" · "&amp;INDEX(Dependencias!$G$5:$G$51,MATCH(F34,Dependencias!$E$5:$E$51,0)),"")</f>
        <v/>
      </c>
      <c r="I34" s="91" t="inlineStr">
        <is>
          <t>4.1.1.2</t>
        </is>
      </c>
      <c r="J34" s="91">
        <f>LEFT(I34,1)</f>
        <v/>
      </c>
      <c r="K34" s="91" t="inlineStr">
        <is>
          <t>Criterios 1.1, 3.1 y 5.1 parciales</t>
        </is>
      </c>
      <c r="L34" s="91" t="inlineStr">
        <is>
          <t>2027</t>
        </is>
      </c>
      <c r="M34" s="91" t="inlineStr">
        <is>
          <t>Listas de asistencia</t>
        </is>
      </c>
      <c r="N34" s="91" t="inlineStr">
        <is>
          <t>ECIC 2025</t>
        </is>
      </c>
      <c r="O34" s="91" t="inlineStr">
        <is>
          <t>Insumo Hoja de Ruta ETITC 2027 Informe de Gestión al Congreso 2025.docx</t>
        </is>
      </c>
      <c r="P34" s="96" t="n"/>
      <c r="Q34" s="96" t="n"/>
      <c r="R34" s="96" t="n"/>
      <c r="S34" s="92">
        <f>IF(F34=LEFT('Buscador_Formulación PAA 2027'!$C$4,3),COUNTIF($F$4:F34,LEFT('Buscador_Formulación PAA 2027'!$C$4,3)),"")</f>
        <v/>
      </c>
    </row>
    <row r="35" ht="52.5" customHeight="1" s="23">
      <c r="A35" s="91" t="inlineStr">
        <is>
          <t>CP-032</t>
        </is>
      </c>
      <c r="B35" s="91" t="inlineStr">
        <is>
          <t>Informe de Gestión al Congreso 2025 (CLC)</t>
        </is>
      </c>
      <c r="C35" s="91" t="inlineStr">
        <is>
          <t>Debilidad ECIC</t>
        </is>
      </c>
      <c r="D35" s="91" t="inlineStr">
        <is>
          <t>Certificar el rezago real y planear compromisos y PAC desde el segundo semestre (límites del art. 78).</t>
        </is>
      </c>
      <c r="E35" s="91" t="inlineStr">
        <is>
          <t>Presupuesto y Tesorería</t>
        </is>
      </c>
      <c r="F35" s="91" t="inlineStr">
        <is>
          <t>A47</t>
        </is>
      </c>
      <c r="G35" s="91">
        <f>IFERROR(INDEX(Dependencias!$H$5:$H$51,MATCH(F35,Dependencias!$E$5:$E$51,0)),"")</f>
        <v/>
      </c>
      <c r="H35" s="91">
        <f>IFERROR(INDEX(Dependencias!$F$5:$F$51,MATCH(F35,Dependencias!$E$5:$E$51,0))&amp;" · "&amp;INDEX(Dependencias!$G$5:$G$51,MATCH(F35,Dependencias!$E$5:$E$51,0)),"")</f>
        <v/>
      </c>
      <c r="I35" s="91" t="inlineStr">
        <is>
          <t>4.1.1.2</t>
        </is>
      </c>
      <c r="J35" s="91">
        <f>LEFT(I35,1)</f>
        <v/>
      </c>
      <c r="K35" s="91" t="inlineStr">
        <is>
          <t>Diferencias de 11,82% (funcionamiento) y 20,72% (inversión) frente a topes de 2% y 15%</t>
        </is>
      </c>
      <c r="L35" s="91" t="inlineStr">
        <is>
          <t>2027</t>
        </is>
      </c>
      <c r="M35" s="91" t="inlineStr">
        <is>
          <t>Certificación y plan de PAC</t>
        </is>
      </c>
      <c r="N35" s="91" t="inlineStr">
        <is>
          <t>Cálculo OAPDI, carta CLC</t>
        </is>
      </c>
      <c r="O35" s="91" t="inlineStr">
        <is>
          <t>Insumo Hoja de Ruta ETITC 2027 Informe de Gestión al Congreso 2025.docx</t>
        </is>
      </c>
      <c r="P35" s="96" t="n"/>
      <c r="Q35" s="96" t="n"/>
      <c r="R35" s="96" t="n"/>
      <c r="S35" s="92">
        <f>IF(F35=LEFT('Buscador_Formulación PAA 2027'!$C$4,3),COUNTIF($F$4:F35,LEFT('Buscador_Formulación PAA 2027'!$C$4,3)),"")</f>
        <v/>
      </c>
    </row>
    <row r="36" ht="39" customHeight="1" s="23">
      <c r="A36" s="91" t="inlineStr">
        <is>
          <t>CP-033</t>
        </is>
      </c>
      <c r="B36" s="91" t="inlineStr">
        <is>
          <t>Informe de Gestión al Congreso 2025 (CLC)</t>
        </is>
      </c>
      <c r="C36" s="91" t="inlineStr">
        <is>
          <t>Debilidad ECIC</t>
        </is>
      </c>
      <c r="D36" s="91" t="inlineStr">
        <is>
          <t>Designar un responsable único de la certificación de publicación.</t>
        </is>
      </c>
      <c r="E36" s="91" t="inlineStr">
        <is>
          <t>Secretaría General y Control Interno</t>
        </is>
      </c>
      <c r="F36" s="91" t="inlineStr">
        <is>
          <t>A11</t>
        </is>
      </c>
      <c r="G36" s="91">
        <f>IFERROR(INDEX(Dependencias!$H$5:$H$51,MATCH(F36,Dependencias!$E$5:$E$51,0)),"")</f>
        <v/>
      </c>
      <c r="H36" s="91">
        <f>IFERROR(INDEX(Dependencias!$F$5:$F$51,MATCH(F36,Dependencias!$E$5:$E$51,0))&amp;" · "&amp;INDEX(Dependencias!$G$5:$G$51,MATCH(F36,Dependencias!$E$5:$E$51,0)),"")</f>
        <v/>
      </c>
      <c r="I36" s="91" t="inlineStr">
        <is>
          <t>4.1.1.2</t>
        </is>
      </c>
      <c r="J36" s="91">
        <f>LEFT(I36,1)</f>
        <v/>
      </c>
      <c r="K36" s="91" t="inlineStr">
        <is>
          <t>El memorando y la matriz asignan responsables distintos</t>
        </is>
      </c>
      <c r="L36" s="91" t="inlineStr">
        <is>
          <t>2027</t>
        </is>
      </c>
      <c r="M36" s="91" t="inlineStr">
        <is>
          <t>Designación</t>
        </is>
      </c>
      <c r="N36" s="91" t="inlineStr">
        <is>
          <t>Memorando y matriz de cumplimiento</t>
        </is>
      </c>
      <c r="O36" s="91" t="inlineStr">
        <is>
          <t>Insumo Hoja de Ruta ETITC 2027 Informe de Gestión al Congreso 2025.docx</t>
        </is>
      </c>
      <c r="P36" s="96" t="n"/>
      <c r="Q36" s="96" t="n"/>
      <c r="R36" s="96" t="n"/>
      <c r="S36" s="92">
        <f>IF(F36=LEFT('Buscador_Formulación PAA 2027'!$C$4,3),COUNTIF($F$4:F36,LEFT('Buscador_Formulación PAA 2027'!$C$4,3)),"")</f>
        <v/>
      </c>
    </row>
    <row r="37" ht="52.5" customHeight="1" s="23">
      <c r="A37" s="91" t="inlineStr">
        <is>
          <t>CP-034</t>
        </is>
      </c>
      <c r="B37" s="91" t="inlineStr">
        <is>
          <t>Requerimiento MEN 2026-EE-355684 (PIC, PG, PFB)</t>
        </is>
      </c>
      <c r="C37" s="91" t="inlineStr">
        <is>
          <t>Hito pendiente</t>
        </is>
      </c>
      <c r="D37" s="91" t="inlineStr">
        <is>
          <t>Cerrar los 18 numerales con soportes (2.1 a 2.5, 3.1, 3.2, 3.5 y plantilla HECAA 1.7-1.8).</t>
        </is>
      </c>
      <c r="E37" s="91" t="inlineStr">
        <is>
          <t>OAPDI consolida; cada dependencia sustenta</t>
        </is>
      </c>
      <c r="F37" s="91" t="inlineStr">
        <is>
          <t>A05</t>
        </is>
      </c>
      <c r="G37" s="91">
        <f>IFERROR(INDEX(Dependencias!$H$5:$H$51,MATCH(F37,Dependencias!$E$5:$E$51,0)),"")</f>
        <v/>
      </c>
      <c r="H37" s="91">
        <f>IFERROR(INDEX(Dependencias!$F$5:$F$51,MATCH(F37,Dependencias!$E$5:$E$51,0))&amp;" · "&amp;INDEX(Dependencias!$G$5:$G$51,MATCH(F37,Dependencias!$E$5:$E$51,0)),"")</f>
        <v/>
      </c>
      <c r="I37" s="91" t="inlineStr">
        <is>
          <t>4.2.1.2</t>
        </is>
      </c>
      <c r="J37" s="91">
        <f>LEFT(I37,1)</f>
        <v/>
      </c>
      <c r="K37" s="91" t="inlineStr">
        <is>
          <t>Al 28-sep-2026 faltaban soportes</t>
        </is>
      </c>
      <c r="L37" s="91" t="inlineStr">
        <is>
          <t>Inicio de 2027</t>
        </is>
      </c>
      <c r="M37" s="91" t="inlineStr">
        <is>
          <t>Matriz permanente de evidencias por dependencia</t>
        </is>
      </c>
      <c r="N37" s="91" t="inlineStr">
        <is>
          <t>Comunicación interna</t>
        </is>
      </c>
      <c r="O37" s="91" t="inlineStr">
        <is>
          <t>Insumo Hoja de Ruta ETITC 2027 requerimiento MEN 2026-EE-355684 (PIC, PG, PFB).docx</t>
        </is>
      </c>
      <c r="P37" s="96" t="n"/>
      <c r="Q37" s="96" t="n"/>
      <c r="R37" s="96" t="n"/>
      <c r="S37" s="92">
        <f>IF(F37=LEFT('Buscador_Formulación PAA 2027'!$C$4,3),COUNTIF($F$4:F37,LEFT('Buscador_Formulación PAA 2027'!$C$4,3)),"")</f>
        <v/>
      </c>
    </row>
    <row r="38" ht="52.5" customHeight="1" s="23">
      <c r="A38" s="91" t="inlineStr">
        <is>
          <t>CP-035</t>
        </is>
      </c>
      <c r="B38" s="91" t="inlineStr">
        <is>
          <t>Requerimiento MEN 2026-EE-355684 (PIC, PG, PFB)</t>
        </is>
      </c>
      <c r="C38" s="91" t="inlineStr">
        <is>
          <t>Hito pendiente</t>
        </is>
      </c>
      <c r="D38" s="91" t="inlineStr">
        <is>
          <t>Radicar la respuesta ante el MEN (número, fecha y término concedido).</t>
        </is>
      </c>
      <c r="E38" s="91" t="inlineStr">
        <is>
          <t>Jurídica proyecta y radica; Secretaría General en copia</t>
        </is>
      </c>
      <c r="F38" s="91" t="inlineStr">
        <is>
          <t>A12</t>
        </is>
      </c>
      <c r="G38" s="91">
        <f>IFERROR(INDEX(Dependencias!$H$5:$H$51,MATCH(F38,Dependencias!$E$5:$E$51,0)),"")</f>
        <v/>
      </c>
      <c r="H38" s="91">
        <f>IFERROR(INDEX(Dependencias!$F$5:$F$51,MATCH(F38,Dependencias!$E$5:$E$51,0))&amp;" · "&amp;INDEX(Dependencias!$G$5:$G$51,MATCH(F38,Dependencias!$E$5:$E$51,0)),"")</f>
        <v/>
      </c>
      <c r="I38" s="91" t="inlineStr">
        <is>
          <t>4.1.1.2</t>
        </is>
      </c>
      <c r="J38" s="91">
        <f>LEFT(I38,1)</f>
        <v/>
      </c>
      <c r="K38" s="91" t="inlineStr">
        <is>
          <t>Sin evidencia de radicación</t>
        </is>
      </c>
      <c r="L38" s="91" t="inlineStr">
        <is>
          <t>Sugerida por la OAP: antes del cierre de 2026</t>
        </is>
      </c>
      <c r="M38" s="91" t="inlineStr">
        <is>
          <t>Radicado</t>
        </is>
      </c>
      <c r="N38" s="91" t="inlineStr">
        <is>
          <t>Insumo MEN</t>
        </is>
      </c>
      <c r="O38" s="91" t="inlineStr">
        <is>
          <t>Insumo Hoja de Ruta ETITC 2027 requerimiento MEN 2026-EE-355684 (PIC, PG, PFB).docx</t>
        </is>
      </c>
      <c r="P38" s="96" t="n"/>
      <c r="Q38" s="96" t="n"/>
      <c r="R38" s="96" t="n"/>
      <c r="S38" s="92">
        <f>IF(F38=LEFT('Buscador_Formulación PAA 2027'!$C$4,3),COUNTIF($F$4:F38,LEFT('Buscador_Formulación PAA 2027'!$C$4,3)),"")</f>
        <v/>
      </c>
    </row>
    <row r="39" ht="52.5" customHeight="1" s="23">
      <c r="A39" s="91" t="inlineStr">
        <is>
          <t>CP-036</t>
        </is>
      </c>
      <c r="B39" s="91" t="inlineStr">
        <is>
          <t>Requerimiento MEN 2026-EE-355684 (PIC, PG, PFB)</t>
        </is>
      </c>
      <c r="C39" s="91" t="inlineStr">
        <is>
          <t>Compromiso derivado</t>
        </is>
      </c>
      <c r="D39" s="91" t="inlineStr">
        <is>
          <t>Adoptar el crecimiento neto de primer curso (método MEN) como indicador de meta, junto con nuevos atendidos.</t>
        </is>
      </c>
      <c r="E39" s="91" t="inlineStr">
        <is>
          <t>OAPDI; Registro y Control aporta la serie SNIES</t>
        </is>
      </c>
      <c r="F39" s="91" t="inlineStr">
        <is>
          <t>A05</t>
        </is>
      </c>
      <c r="G39" s="91">
        <f>IFERROR(INDEX(Dependencias!$H$5:$H$51,MATCH(F39,Dependencias!$E$5:$E$51,0)),"")</f>
        <v/>
      </c>
      <c r="H39" s="91">
        <f>IFERROR(INDEX(Dependencias!$F$5:$F$51,MATCH(F39,Dependencias!$E$5:$E$51,0))&amp;" · "&amp;INDEX(Dependencias!$G$5:$G$51,MATCH(F39,Dependencias!$E$5:$E$51,0)),"")</f>
        <v/>
      </c>
      <c r="I39" s="91" t="inlineStr">
        <is>
          <t>1.1.1.1</t>
        </is>
      </c>
      <c r="J39" s="91">
        <f>LEFT(I39,1)</f>
        <v/>
      </c>
      <c r="K39" s="91" t="inlineStr">
        <is>
          <t>Brecha de 467 y 45 (num. 1.6)</t>
        </is>
      </c>
      <c r="L39" s="91" t="inlineStr">
        <is>
          <t>2027</t>
        </is>
      </c>
      <c r="M39" s="91" t="inlineStr">
        <is>
          <t>Indicador en el PAA 2027</t>
        </is>
      </c>
      <c r="N39" s="91" t="inlineStr">
        <is>
          <t>Num. 1.6</t>
        </is>
      </c>
      <c r="O39" s="91" t="inlineStr">
        <is>
          <t>Insumo Hoja de Ruta ETITC 2027 requerimiento MEN 2026-EE-355684 (PIC, PG, PFB).docx</t>
        </is>
      </c>
      <c r="P39" s="96" t="n"/>
      <c r="Q39" s="96" t="n"/>
      <c r="R39" s="96" t="n"/>
      <c r="S39" s="92">
        <f>IF(F39=LEFT('Buscador_Formulación PAA 2027'!$C$4,3),COUNTIF($F$4:F39,LEFT('Buscador_Formulación PAA 2027'!$C$4,3)),"")</f>
        <v/>
      </c>
    </row>
    <row r="40" ht="52.5" customHeight="1" s="23">
      <c r="A40" s="91" t="inlineStr">
        <is>
          <t>CP-037</t>
        </is>
      </c>
      <c r="B40" s="91" t="inlineStr">
        <is>
          <t>Requerimiento MEN 2026-EE-355684 (PIC, PG, PFB)</t>
        </is>
      </c>
      <c r="C40" s="91" t="inlineStr">
        <is>
          <t>Compromiso derivado</t>
        </is>
      </c>
      <c r="D40" s="91" t="inlineStr">
        <is>
          <t>Armonizar el calendario de admisiones con la asignación de recursos del MEN.</t>
        </is>
      </c>
      <c r="E40" s="91" t="inlineStr">
        <is>
          <t>Vicerrectoría Académica y Registro y Control</t>
        </is>
      </c>
      <c r="F40" s="91" t="inlineStr">
        <is>
          <t>A29</t>
        </is>
      </c>
      <c r="G40" s="91">
        <f>IFERROR(INDEX(Dependencias!$H$5:$H$51,MATCH(F40,Dependencias!$E$5:$E$51,0)),"")</f>
        <v/>
      </c>
      <c r="H40" s="91">
        <f>IFERROR(INDEX(Dependencias!$F$5:$F$51,MATCH(F40,Dependencias!$E$5:$E$51,0))&amp;" · "&amp;INDEX(Dependencias!$G$5:$G$51,MATCH(F40,Dependencias!$E$5:$E$51,0)),"")</f>
        <v/>
      </c>
      <c r="I40" s="91" t="inlineStr">
        <is>
          <t>1.1.1.1</t>
        </is>
      </c>
      <c r="J40" s="91">
        <f>LEFT(I40,1)</f>
        <v/>
      </c>
      <c r="K40" s="91" t="inlineStr">
        <is>
          <t>Inconsistencia 4: ejecución del 100% con cero atendidos</t>
        </is>
      </c>
      <c r="L40" s="91" t="inlineStr">
        <is>
          <t>2027</t>
        </is>
      </c>
      <c r="M40" s="91" t="inlineStr">
        <is>
          <t>Calendario armonizado</t>
        </is>
      </c>
      <c r="N40" s="91" t="inlineStr">
        <is>
          <t>Res. 018970 de 2025</t>
        </is>
      </c>
      <c r="O40" s="91" t="inlineStr">
        <is>
          <t>Insumo Hoja de Ruta ETITC 2027 requerimiento MEN 2026-EE-355684 (PIC, PG, PFB).docx</t>
        </is>
      </c>
      <c r="P40" s="96" t="n"/>
      <c r="Q40" s="96" t="n"/>
      <c r="R40" s="96" t="n"/>
      <c r="S40" s="92">
        <f>IF(F40=LEFT('Buscador_Formulación PAA 2027'!$C$4,3),COUNTIF($F$4:F40,LEFT('Buscador_Formulación PAA 2027'!$C$4,3)),"")</f>
        <v/>
      </c>
    </row>
    <row r="41" ht="52.5" customHeight="1" s="23">
      <c r="A41" s="91" t="inlineStr">
        <is>
          <t>CP-038</t>
        </is>
      </c>
      <c r="B41" s="91" t="inlineStr">
        <is>
          <t>Requerimiento MEN 2026-EE-355684 (PIC, PG, PFB)</t>
        </is>
      </c>
      <c r="C41" s="91" t="inlineStr">
        <is>
          <t>Compromiso derivado</t>
        </is>
      </c>
      <c r="D41" s="91" t="inlineStr">
        <is>
          <t>Ejecutar la cohorte 2027-1 en La Primavera (Vichada) con 80 cupos adicionales; falta desagregar cupos por programa y el acto del Consejo Directivo.</t>
        </is>
      </c>
      <c r="E41" s="91" t="inlineStr">
        <is>
          <t>Vicerrectoría Académica; Presupuesto; Secretaría General</t>
        </is>
      </c>
      <c r="F41" s="91" t="inlineStr">
        <is>
          <t>A15</t>
        </is>
      </c>
      <c r="G41" s="91">
        <f>IFERROR(INDEX(Dependencias!$H$5:$H$51,MATCH(F41,Dependencias!$E$5:$E$51,0)),"")</f>
        <v/>
      </c>
      <c r="H41" s="91">
        <f>IFERROR(INDEX(Dependencias!$F$5:$F$51,MATCH(F41,Dependencias!$E$5:$E$51,0))&amp;" · "&amp;INDEX(Dependencias!$G$5:$G$51,MATCH(F41,Dependencias!$E$5:$E$51,0)),"")</f>
        <v/>
      </c>
      <c r="I41" s="91" t="inlineStr">
        <is>
          <t>1.1.1.1</t>
        </is>
      </c>
      <c r="J41" s="91">
        <f>LEFT(I41,1)</f>
        <v/>
      </c>
      <c r="K41" s="91" t="inlineStr">
        <is>
          <t>Recursos $295.810.788 (Res. 019862)</t>
        </is>
      </c>
      <c r="L41" s="91" t="inlineStr">
        <is>
          <t>primer semestre de 2027</t>
        </is>
      </c>
      <c r="M41" s="91" t="inlineStr">
        <is>
          <t>Matrícula de la cohorte y acto del Consejo Directivo</t>
        </is>
      </c>
      <c r="N41" s="91" t="inlineStr">
        <is>
          <t>Num. 1.4</t>
        </is>
      </c>
      <c r="O41" s="91" t="inlineStr">
        <is>
          <t>Insumo Hoja de Ruta ETITC 2027 requerimiento MEN 2026-EE-355684 (PIC, PG, PFB).docx</t>
        </is>
      </c>
      <c r="P41" s="96" t="n"/>
      <c r="Q41" s="96" t="n"/>
      <c r="R41" s="96" t="n"/>
      <c r="S41" s="92">
        <f>IF(F41=LEFT('Buscador_Formulación PAA 2027'!$C$4,3),COUNTIF($F$4:F41,LEFT('Buscador_Formulación PAA 2027'!$C$4,3)),"")</f>
        <v/>
      </c>
    </row>
    <row r="42" ht="52.5" customHeight="1" s="23">
      <c r="A42" s="91" t="inlineStr">
        <is>
          <t>CP-039</t>
        </is>
      </c>
      <c r="B42" s="91" t="inlineStr">
        <is>
          <t>Requerimiento MEN 2026-EE-355684 (PIC, PG, PFB)</t>
        </is>
      </c>
      <c r="C42" s="91" t="inlineStr">
        <is>
          <t>Compromiso derivado</t>
        </is>
      </c>
      <c r="D42" s="91" t="inlineStr">
        <is>
          <t>Unificar la meta PIC-ET 2025 (240 frente a 320) y decidir el corte del balance.</t>
        </is>
      </c>
      <c r="E42" s="91" t="inlineStr">
        <is>
          <t>Jefatura OAPDI con Vicerrectoría Académica</t>
        </is>
      </c>
      <c r="F42" s="91" t="inlineStr">
        <is>
          <t>A05</t>
        </is>
      </c>
      <c r="G42" s="91">
        <f>IFERROR(INDEX(Dependencias!$H$5:$H$51,MATCH(F42,Dependencias!$E$5:$E$51,0)),"")</f>
        <v/>
      </c>
      <c r="H42" s="91">
        <f>IFERROR(INDEX(Dependencias!$F$5:$F$51,MATCH(F42,Dependencias!$E$5:$E$51,0))&amp;" · "&amp;INDEX(Dependencias!$G$5:$G$51,MATCH(F42,Dependencias!$E$5:$E$51,0)),"")</f>
        <v/>
      </c>
      <c r="I42" s="91" t="inlineStr">
        <is>
          <t>1.1.1.1</t>
        </is>
      </c>
      <c r="J42" s="91">
        <f>LEFT(I42,1)</f>
        <v/>
      </c>
      <c r="K42" s="91" t="inlineStr">
        <is>
          <t>Abierto</t>
        </is>
      </c>
      <c r="L42" s="91" t="inlineStr">
        <is>
          <t>Inicio de 2027</t>
        </is>
      </c>
      <c r="M42" s="91" t="inlineStr">
        <is>
          <t>Meta unificada</t>
        </is>
      </c>
      <c r="N42" s="91" t="inlineStr">
        <is>
          <t>Memorando, advertencias 1 a 3</t>
        </is>
      </c>
      <c r="O42" s="91" t="inlineStr">
        <is>
          <t>Insumo Hoja de Ruta ETITC 2027 requerimiento MEN 2026-EE-355684 (PIC, PG, PFB).docx</t>
        </is>
      </c>
      <c r="P42" s="96" t="n"/>
      <c r="Q42" s="96" t="n"/>
      <c r="R42" s="96" t="n"/>
      <c r="S42" s="92">
        <f>IF(F42=LEFT('Buscador_Formulación PAA 2027'!$C$4,3),COUNTIF($F$4:F42,LEFT('Buscador_Formulación PAA 2027'!$C$4,3)),"")</f>
        <v/>
      </c>
    </row>
    <row r="43" ht="52.5" customHeight="1" s="23">
      <c r="A43" s="91" t="inlineStr">
        <is>
          <t>CP-040</t>
        </is>
      </c>
      <c r="B43" s="91" t="inlineStr">
        <is>
          <t>Requerimiento MEN 2026-EE-355684 (PIC, PG, PFB)</t>
        </is>
      </c>
      <c r="C43" s="91" t="inlineStr">
        <is>
          <t>Compromiso derivado</t>
        </is>
      </c>
      <c r="D43" s="91" t="inlineStr">
        <is>
          <t>Fijar una cifra oficial única de recursos PIC.</t>
        </is>
      </c>
      <c r="E43" s="91" t="inlineStr">
        <is>
          <t>VAF (Presupuesto, Contratación, Tesorería)</t>
        </is>
      </c>
      <c r="F43" s="91" t="inlineStr">
        <is>
          <t>A47</t>
        </is>
      </c>
      <c r="G43" s="91">
        <f>IFERROR(INDEX(Dependencias!$H$5:$H$51,MATCH(F43,Dependencias!$E$5:$E$51,0)),"")</f>
        <v/>
      </c>
      <c r="H43" s="91">
        <f>IFERROR(INDEX(Dependencias!$F$5:$F$51,MATCH(F43,Dependencias!$E$5:$E$51,0))&amp;" · "&amp;INDEX(Dependencias!$G$5:$G$51,MATCH(F43,Dependencias!$E$5:$E$51,0)),"")</f>
        <v/>
      </c>
      <c r="I43" s="91" t="inlineStr">
        <is>
          <t>1.1.1.1</t>
        </is>
      </c>
      <c r="J43" s="91">
        <f>LEFT(I43,1)</f>
        <v/>
      </c>
      <c r="K43" s="91" t="inlineStr">
        <is>
          <t>Inconsistencias 1 a 3 abiertas</t>
        </is>
      </c>
      <c r="L43" s="91" t="inlineStr">
        <is>
          <t>Inicio de 2027</t>
        </is>
      </c>
      <c r="M43" s="91" t="inlineStr">
        <is>
          <t>Certificación de cifra única</t>
        </is>
      </c>
      <c r="N43" s="91" t="inlineStr">
        <is>
          <t>Inconsistencias 1 a 3</t>
        </is>
      </c>
      <c r="O43" s="91" t="inlineStr">
        <is>
          <t>Insumo Hoja de Ruta ETITC 2027 requerimiento MEN 2026-EE-355684 (PIC, PG, PFB).docx</t>
        </is>
      </c>
      <c r="P43" s="96" t="n"/>
      <c r="Q43" s="96" t="n"/>
      <c r="R43" s="96" t="n"/>
      <c r="S43" s="92">
        <f>IF(F43=LEFT('Buscador_Formulación PAA 2027'!$C$4,3),COUNTIF($F$4:F43,LEFT('Buscador_Formulación PAA 2027'!$C$4,3)),"")</f>
        <v/>
      </c>
    </row>
    <row r="44" ht="52.5" customHeight="1" s="23">
      <c r="A44" s="91" t="inlineStr">
        <is>
          <t>CP-041</t>
        </is>
      </c>
      <c r="B44" s="91" t="inlineStr">
        <is>
          <t>Requerimiento MEN 2026-EE-355684 (PIC, PG, PFB)</t>
        </is>
      </c>
      <c r="C44" s="91" t="inlineStr">
        <is>
          <t>Compromiso derivado</t>
        </is>
      </c>
      <c r="D44" s="91" t="inlineStr">
        <is>
          <t>Cerrar el ciclo PFB 2025: licencias de pruebas psicológicas ($30.000.000), transporte ($115.200.000) y soportes de los proyectos 1 y 4.</t>
        </is>
      </c>
      <c r="E44" s="91" t="inlineStr">
        <is>
          <t>Bienestar, Contratación y VAF</t>
        </is>
      </c>
      <c r="F44" s="91" t="inlineStr">
        <is>
          <t>A21</t>
        </is>
      </c>
      <c r="G44" s="91">
        <f>IFERROR(INDEX(Dependencias!$H$5:$H$51,MATCH(F44,Dependencias!$E$5:$E$51,0)),"")</f>
        <v/>
      </c>
      <c r="H44" s="91">
        <f>IFERROR(INDEX(Dependencias!$F$5:$F$51,MATCH(F44,Dependencias!$E$5:$E$51,0))&amp;" · "&amp;INDEX(Dependencias!$G$5:$G$51,MATCH(F44,Dependencias!$E$5:$E$51,0)),"")</f>
        <v/>
      </c>
      <c r="I44" s="91" t="inlineStr">
        <is>
          <t>6.1.1.1</t>
        </is>
      </c>
      <c r="J44" s="91">
        <f>LEFT(I44,1)</f>
        <v/>
      </c>
      <c r="K44" s="91" t="inlineStr">
        <is>
          <t>Pruebas en fase precontractual; contrato de transporte no suscrito</t>
        </is>
      </c>
      <c r="L44" s="91" t="inlineStr">
        <is>
          <t>Inicio de 2027</t>
        </is>
      </c>
      <c r="M44" s="91" t="inlineStr">
        <is>
          <t>Contratos y soportes</t>
        </is>
      </c>
      <c r="N44" s="91" t="inlineStr">
        <is>
          <t>Num. 3.4 y 3.5; Anexo PFB (línea 6.1)</t>
        </is>
      </c>
      <c r="O44" s="91" t="inlineStr">
        <is>
          <t>Insumo Hoja de Ruta ETITC 2027 requerimiento MEN 2026-EE-355684 (PIC, PG, PFB).docx</t>
        </is>
      </c>
      <c r="P44" s="96" t="n"/>
      <c r="Q44" s="96" t="n"/>
      <c r="R44" s="96" t="n"/>
      <c r="S44" s="92">
        <f>IF(F44=LEFT('Buscador_Formulación PAA 2027'!$C$4,3),COUNTIF($F$4:F44,LEFT('Buscador_Formulación PAA 2027'!$C$4,3)),"")</f>
        <v/>
      </c>
    </row>
    <row r="45" ht="52.5" customHeight="1" s="23">
      <c r="A45" s="91" t="inlineStr">
        <is>
          <t>CP-042</t>
        </is>
      </c>
      <c r="B45" s="91" t="inlineStr">
        <is>
          <t>Requerimiento MEN 2026-EE-355684 (PIC, PG, PFB)</t>
        </is>
      </c>
      <c r="C45" s="91" t="inlineStr">
        <is>
          <t>Compromiso derivado</t>
        </is>
      </c>
      <c r="D45" s="91" t="inlineStr">
        <is>
          <t>Operar un tablero de seguimiento mensual del PFB (avance técnico por Bienestar y financiero por Planeación).</t>
        </is>
      </c>
      <c r="E45" s="91" t="inlineStr">
        <is>
          <t>Bienestar y OAPDI con Presupuesto</t>
        </is>
      </c>
      <c r="F45" s="91" t="inlineStr">
        <is>
          <t>A21</t>
        </is>
      </c>
      <c r="G45" s="91">
        <f>IFERROR(INDEX(Dependencias!$H$5:$H$51,MATCH(F45,Dependencias!$E$5:$E$51,0)),"")</f>
        <v/>
      </c>
      <c r="H45" s="91">
        <f>IFERROR(INDEX(Dependencias!$F$5:$F$51,MATCH(F45,Dependencias!$E$5:$E$51,0))&amp;" · "&amp;INDEX(Dependencias!$G$5:$G$51,MATCH(F45,Dependencias!$E$5:$E$51,0)),"")</f>
        <v/>
      </c>
      <c r="I45" s="91" t="inlineStr">
        <is>
          <t>6.1.1.1</t>
        </is>
      </c>
      <c r="J45" s="91">
        <f>LEFT(I45,1)</f>
        <v/>
      </c>
      <c r="K45" s="91" t="inlineStr">
        <is>
          <t>Compromiso expresado al MEN</t>
        </is>
      </c>
      <c r="L45" s="91" t="inlineStr">
        <is>
          <t>Mensual 2027</t>
        </is>
      </c>
      <c r="M45" s="91" t="inlineStr">
        <is>
          <t>Tablero publicado</t>
        </is>
      </c>
      <c r="N45" s="91" t="inlineStr">
        <is>
          <t>Concepto MEN 2025-EE-237188</t>
        </is>
      </c>
      <c r="O45" s="91" t="inlineStr">
        <is>
          <t>Insumo Hoja de Ruta ETITC 2027 requerimiento MEN 2026-EE-355684 (PIC, PG, PFB).docx</t>
        </is>
      </c>
      <c r="P45" s="96" t="n"/>
      <c r="Q45" s="96" t="n"/>
      <c r="R45" s="96" t="n"/>
      <c r="S45" s="92">
        <f>IF(F45=LEFT('Buscador_Formulación PAA 2027'!$C$4,3),COUNTIF($F$4:F45,LEFT('Buscador_Formulación PAA 2027'!$C$4,3)),"")</f>
        <v/>
      </c>
    </row>
    <row r="46" ht="52.5" customHeight="1" s="23">
      <c r="A46" s="91" t="inlineStr">
        <is>
          <t>CP-043</t>
        </is>
      </c>
      <c r="B46" s="91" t="inlineStr">
        <is>
          <t>Requerimiento MEN 2026-EE-355684 (PIC, PG, PFB)</t>
        </is>
      </c>
      <c r="C46" s="91" t="inlineStr">
        <is>
          <t>Compromiso derivado</t>
        </is>
      </c>
      <c r="D46" s="91" t="inlineStr">
        <is>
          <t>Implementar un programa de permanencia basado en las causas de cancelación.</t>
        </is>
      </c>
      <c r="E46" s="91" t="inlineStr">
        <is>
          <t>Bienestar y Vicerrectoría Académica; Registro aporta datos</t>
        </is>
      </c>
      <c r="F46" s="91" t="inlineStr">
        <is>
          <t>A21</t>
        </is>
      </c>
      <c r="G46" s="91">
        <f>IFERROR(INDEX(Dependencias!$H$5:$H$51,MATCH(F46,Dependencias!$E$5:$E$51,0)),"")</f>
        <v/>
      </c>
      <c r="H46" s="91">
        <f>IFERROR(INDEX(Dependencias!$F$5:$F$51,MATCH(F46,Dependencias!$E$5:$E$51,0))&amp;" · "&amp;INDEX(Dependencias!$G$5:$G$51,MATCH(F46,Dependencias!$E$5:$E$51,0)),"")</f>
        <v/>
      </c>
      <c r="I46" s="91" t="inlineStr">
        <is>
          <t>6.2.1.1</t>
        </is>
      </c>
      <c r="J46" s="91">
        <f>LEFT(I46,1)</f>
        <v/>
      </c>
      <c r="K46" s="91" t="inlineStr">
        <is>
          <t>Cancelaciones 2025-2: 114</t>
        </is>
      </c>
      <c r="L46" s="91" t="inlineStr">
        <is>
          <t>2027</t>
        </is>
      </c>
      <c r="M46" s="91" t="inlineStr">
        <is>
          <t>Programa adoptado e indicadores</t>
        </is>
      </c>
      <c r="N46" s="91" t="inlineStr">
        <is>
          <t>Memorando §5</t>
        </is>
      </c>
      <c r="O46" s="91" t="inlineStr">
        <is>
          <t>Insumo Hoja de Ruta ETITC 2027 requerimiento MEN 2026-EE-355684 (PIC, PG, PFB).docx</t>
        </is>
      </c>
      <c r="P46" s="96" t="n"/>
      <c r="Q46" s="96" t="n"/>
      <c r="R46" s="96" t="n"/>
      <c r="S46" s="92">
        <f>IF(F46=LEFT('Buscador_Formulación PAA 2027'!$C$4,3),COUNTIF($F$4:F46,LEFT('Buscador_Formulación PAA 2027'!$C$4,3)),"")</f>
        <v/>
      </c>
    </row>
    <row r="47" ht="52.5" customHeight="1" s="23">
      <c r="A47" s="91" t="inlineStr">
        <is>
          <t>CP-044</t>
        </is>
      </c>
      <c r="B47" s="91" t="inlineStr">
        <is>
          <t>Requerimiento MEN 2026-EE-355684 (PIC, PG, PFB)</t>
        </is>
      </c>
      <c r="C47" s="91" t="inlineStr">
        <is>
          <t>Compromiso derivado</t>
        </is>
      </c>
      <c r="D47" s="91" t="inlineStr">
        <is>
          <t>Documentar y codificar los procedimientos de gratuidad (2.1, 2.2, 2.3, 2.5) y la relación de inversiones (2.4).</t>
        </is>
      </c>
      <c r="E47" s="91" t="inlineStr">
        <is>
          <t>VAF, Registro, Bienestar, Infraestructura, Contratación y Secretaría General</t>
        </is>
      </c>
      <c r="F47" s="91" t="inlineStr">
        <is>
          <t>A30</t>
        </is>
      </c>
      <c r="G47" s="91">
        <f>IFERROR(INDEX(Dependencias!$H$5:$H$51,MATCH(F47,Dependencias!$E$5:$E$51,0)),"")</f>
        <v/>
      </c>
      <c r="H47" s="91">
        <f>IFERROR(INDEX(Dependencias!$F$5:$F$51,MATCH(F47,Dependencias!$E$5:$E$51,0))&amp;" · "&amp;INDEX(Dependencias!$G$5:$G$51,MATCH(F47,Dependencias!$E$5:$E$51,0)),"")</f>
        <v/>
      </c>
      <c r="I47" s="91" t="inlineStr">
        <is>
          <t>4.1.1.2</t>
        </is>
      </c>
      <c r="J47" s="91">
        <f>LEFT(I47,1)</f>
        <v/>
      </c>
      <c r="K47" s="91" t="inlineStr">
        <is>
          <t>0 de 5 soportes aportados al 28-sep</t>
        </is>
      </c>
      <c r="L47" s="91" t="inlineStr">
        <is>
          <t>2027</t>
        </is>
      </c>
      <c r="M47" s="91" t="inlineStr">
        <is>
          <t>Procedimientos codificados en el SGC</t>
        </is>
      </c>
      <c r="N47" s="91" t="inlineStr">
        <is>
          <t>Num. 2.1 a 2.5</t>
        </is>
      </c>
      <c r="O47" s="91" t="inlineStr">
        <is>
          <t>Insumo Hoja de Ruta ETITC 2027 requerimiento MEN 2026-EE-355684 (PIC, PG, PFB).docx</t>
        </is>
      </c>
      <c r="P47" s="96" t="n"/>
      <c r="Q47" s="96" t="n"/>
      <c r="R47" s="96" t="n"/>
      <c r="S47" s="92">
        <f>IF(F47=LEFT('Buscador_Formulación PAA 2027'!$C$4,3),COUNTIF($F$4:F47,LEFT('Buscador_Formulación PAA 2027'!$C$4,3)),"")</f>
        <v/>
      </c>
    </row>
    <row r="48" ht="52.5" customHeight="1" s="23">
      <c r="A48" s="91" t="inlineStr">
        <is>
          <t>CP-045</t>
        </is>
      </c>
      <c r="B48" s="91" t="inlineStr">
        <is>
          <t>Requerimiento MEN 2026-EE-355684 (PIC, PG, PFB)</t>
        </is>
      </c>
      <c r="C48" s="91" t="inlineStr">
        <is>
          <t>Compromiso derivado</t>
        </is>
      </c>
      <c r="D48" s="91" t="inlineStr">
        <is>
          <t>Completar el reporte SNIES en plantilla HECAA (incluidos 2022-1 y 2022-2) con certificación de veracidad.</t>
        </is>
      </c>
      <c r="E48" s="91" t="inlineStr">
        <is>
          <t>Registro y Control</t>
        </is>
      </c>
      <c r="F48" s="91" t="inlineStr">
        <is>
          <t>A29</t>
        </is>
      </c>
      <c r="G48" s="91">
        <f>IFERROR(INDEX(Dependencias!$H$5:$H$51,MATCH(F48,Dependencias!$E$5:$E$51,0)),"")</f>
        <v/>
      </c>
      <c r="H48" s="91">
        <f>IFERROR(INDEX(Dependencias!$F$5:$F$51,MATCH(F48,Dependencias!$E$5:$E$51,0))&amp;" · "&amp;INDEX(Dependencias!$G$5:$G$51,MATCH(F48,Dependencias!$E$5:$E$51,0)),"")</f>
        <v/>
      </c>
      <c r="I48" s="91" t="inlineStr">
        <is>
          <t>4.2.1.2</t>
        </is>
      </c>
      <c r="J48" s="91">
        <f>LEFT(I48,1)</f>
        <v/>
      </c>
      <c r="K48" s="91" t="inlineStr">
        <is>
          <t>El dato 2022-2 (886) no tiene soporte</t>
        </is>
      </c>
      <c r="L48" s="91" t="inlineStr">
        <is>
          <t>2027</t>
        </is>
      </c>
      <c r="M48" s="91" t="inlineStr">
        <is>
          <t>Reporte y certificación</t>
        </is>
      </c>
      <c r="N48" s="91" t="inlineStr">
        <is>
          <t>Num. 1.7 y 1.8</t>
        </is>
      </c>
      <c r="O48" s="91" t="inlineStr">
        <is>
          <t>Insumo Hoja de Ruta ETITC 2027 requerimiento MEN 2026-EE-355684 (PIC, PG, PFB).docx</t>
        </is>
      </c>
      <c r="P48" s="96" t="n"/>
      <c r="Q48" s="96" t="n"/>
      <c r="R48" s="96" t="n"/>
      <c r="S48" s="92">
        <f>IF(F48=LEFT('Buscador_Formulación PAA 2027'!$C$4,3),COUNTIF($F$4:F48,LEFT('Buscador_Formulación PAA 2027'!$C$4,3)),"")</f>
        <v/>
      </c>
    </row>
    <row r="49" ht="52.5" customHeight="1" s="23">
      <c r="A49" s="91" t="inlineStr">
        <is>
          <t>CP-046</t>
        </is>
      </c>
      <c r="B49" s="91" t="inlineStr">
        <is>
          <t>Requerimiento MEN 2026-EE-355684 (PIC, PG, PFB)</t>
        </is>
      </c>
      <c r="C49" s="91" t="inlineStr">
        <is>
          <t>Compromiso derivado</t>
        </is>
      </c>
      <c r="D49" s="91" t="inlineStr">
        <is>
          <t>Verificar la consistencia de cifras entre MEN, SNIES, CGN y Congreso.</t>
        </is>
      </c>
      <c r="E49" s="91" t="inlineStr">
        <is>
          <t>OAPDI con Contabilidad y Registro</t>
        </is>
      </c>
      <c r="F49" s="91" t="inlineStr">
        <is>
          <t>A05</t>
        </is>
      </c>
      <c r="G49" s="91">
        <f>IFERROR(INDEX(Dependencias!$H$5:$H$51,MATCH(F49,Dependencias!$E$5:$E$51,0)),"")</f>
        <v/>
      </c>
      <c r="H49" s="91">
        <f>IFERROR(INDEX(Dependencias!$F$5:$F$51,MATCH(F49,Dependencias!$E$5:$E$51,0))&amp;" · "&amp;INDEX(Dependencias!$G$5:$G$51,MATCH(F49,Dependencias!$E$5:$E$51,0)),"")</f>
        <v/>
      </c>
      <c r="I49" s="91" t="inlineStr">
        <is>
          <t>4.2.1.2</t>
        </is>
      </c>
      <c r="J49" s="91">
        <f>LEFT(I49,1)</f>
        <v/>
      </c>
      <c r="K49" s="91" t="inlineStr">
        <is>
          <t>No contrastado</t>
        </is>
      </c>
      <c r="L49" s="91" t="inlineStr">
        <is>
          <t>2027</t>
        </is>
      </c>
      <c r="M49" s="91" t="inlineStr">
        <is>
          <t>Acta de verificación</t>
        </is>
      </c>
      <c r="N49" s="91" t="inlineStr">
        <is>
          <t>Regla de verificación</t>
        </is>
      </c>
      <c r="O49" s="91" t="inlineStr">
        <is>
          <t>Insumo Hoja de Ruta ETITC 2027 requerimiento MEN 2026-EE-355684 (PIC, PG, PFB).docx</t>
        </is>
      </c>
      <c r="P49" s="96" t="n"/>
      <c r="Q49" s="96" t="n"/>
      <c r="R49" s="96" t="n"/>
      <c r="S49" s="92">
        <f>IF(F49=LEFT('Buscador_Formulación PAA 2027'!$C$4,3),COUNTIF($F$4:F49,LEFT('Buscador_Formulación PAA 2027'!$C$4,3)),"")</f>
        <v/>
      </c>
    </row>
    <row r="50" ht="52.5" customHeight="1" s="23">
      <c r="A50" s="91" t="inlineStr">
        <is>
          <t>CP-047</t>
        </is>
      </c>
      <c r="B50" s="91" t="inlineStr">
        <is>
          <t>Requerimiento MEN 2026-EE-355684 (PIC, PG, PFB)</t>
        </is>
      </c>
      <c r="C50" s="91" t="inlineStr">
        <is>
          <t>Compromiso derivado</t>
        </is>
      </c>
      <c r="D50" s="91" t="inlineStr">
        <is>
          <t>Habilitar un repositorio de solo lectura, accesible a cuentas externas, para soportes voluminosos.</t>
        </is>
      </c>
      <c r="E50" s="91" t="inlineStr">
        <is>
          <t>Oficina de Tecnologías de la Información</t>
        </is>
      </c>
      <c r="F50" s="91" t="inlineStr">
        <is>
          <t>A34</t>
        </is>
      </c>
      <c r="G50" s="91">
        <f>IFERROR(INDEX(Dependencias!$H$5:$H$51,MATCH(F50,Dependencias!$E$5:$E$51,0)),"")</f>
        <v/>
      </c>
      <c r="H50" s="91">
        <f>IFERROR(INDEX(Dependencias!$F$5:$F$51,MATCH(F50,Dependencias!$E$5:$E$51,0))&amp;" · "&amp;INDEX(Dependencias!$G$5:$G$51,MATCH(F50,Dependencias!$E$5:$E$51,0)),"")</f>
        <v/>
      </c>
      <c r="I50" s="91" t="inlineStr">
        <is>
          <t>4.2.1.2</t>
        </is>
      </c>
      <c r="J50" s="91">
        <f>LEFT(I50,1)</f>
        <v/>
      </c>
      <c r="K50" s="91" t="inlineStr">
        <is>
          <t>Pendiente</t>
        </is>
      </c>
      <c r="L50" s="91" t="inlineStr">
        <is>
          <t>2027</t>
        </is>
      </c>
      <c r="M50" s="91" t="inlineStr">
        <is>
          <t>Repositorio habilitado</t>
        </is>
      </c>
      <c r="N50" s="91" t="inlineStr">
        <is>
          <t>Comunicación interna §5</t>
        </is>
      </c>
      <c r="O50" s="91" t="inlineStr">
        <is>
          <t>Insumo Hoja de Ruta ETITC 2027 requerimiento MEN 2026-EE-355684 (PIC, PG, PFB).docx</t>
        </is>
      </c>
      <c r="P50" s="96" t="n"/>
      <c r="Q50" s="96" t="n"/>
      <c r="R50" s="96" t="n"/>
      <c r="S50" s="92">
        <f>IF(F50=LEFT('Buscador_Formulación PAA 2027'!$C$4,3),COUNTIF($F$4:F50,LEFT('Buscador_Formulación PAA 2027'!$C$4,3)),"")</f>
        <v/>
      </c>
    </row>
    <row r="51" ht="39" customHeight="1" s="23">
      <c r="A51" s="91" t="inlineStr">
        <is>
          <t>CP-048</t>
        </is>
      </c>
      <c r="B51" s="91" t="inlineStr">
        <is>
          <t>Plan de Acción 2026 / Hoja de Ruta Power Apps</t>
        </is>
      </c>
      <c r="C51" s="91" t="inlineStr">
        <is>
          <t>Tarea candidata a prórroga</t>
        </is>
      </c>
      <c r="D51" s="91" t="inlineStr">
        <is>
          <t>Meta 1.4.1.1 (2 programas con cualificación internacional): sin ningún producto cerrado.</t>
        </is>
      </c>
      <c r="E51" s="91" t="inlineStr">
        <is>
          <t>Líder de Acreditación, Internacionalización, Vic. Académica</t>
        </is>
      </c>
      <c r="F51" s="91" t="inlineStr">
        <is>
          <t>A07</t>
        </is>
      </c>
      <c r="G51" s="91">
        <f>IFERROR(INDEX(Dependencias!$H$5:$H$51,MATCH(F51,Dependencias!$E$5:$E$51,0)),"")</f>
        <v/>
      </c>
      <c r="H51" s="91">
        <f>IFERROR(INDEX(Dependencias!$F$5:$F$51,MATCH(F51,Dependencias!$E$5:$E$51,0))&amp;" · "&amp;INDEX(Dependencias!$G$5:$G$51,MATCH(F51,Dependencias!$E$5:$E$51,0)),"")</f>
        <v/>
      </c>
      <c r="I51" s="91" t="inlineStr">
        <is>
          <t>1.4.1.1</t>
        </is>
      </c>
      <c r="J51" s="91">
        <f>LEFT(I51,1)</f>
        <v/>
      </c>
      <c r="K51" s="91" t="inlineStr">
        <is>
          <t>0/7 (0,00%)</t>
        </is>
      </c>
      <c r="L51" s="91" t="inlineStr">
        <is>
          <t>2027</t>
        </is>
      </c>
      <c r="M51" s="91" t="inlineStr">
        <is>
          <t>Productos reprogramados</t>
        </is>
      </c>
      <c r="N51" s="91" t="inlineStr">
        <is>
          <t>Informe Trimestral III, Tabla 7</t>
        </is>
      </c>
      <c r="O51" s="91" t="inlineStr">
        <is>
          <t>Insumo_Hoja_de_Ruta_ETITC_2027.docx (corte 02-09-2026)</t>
        </is>
      </c>
      <c r="P51" s="96" t="n"/>
      <c r="Q51" s="96" t="n"/>
      <c r="R51" s="96" t="n"/>
      <c r="S51" s="92">
        <f>IF(F51=LEFT('Buscador_Formulación PAA 2027'!$C$4,3),COUNTIF($F$4:F51,LEFT('Buscador_Formulación PAA 2027'!$C$4,3)),"")</f>
        <v/>
      </c>
    </row>
    <row r="52" ht="39" customHeight="1" s="23">
      <c r="A52" s="91" t="inlineStr">
        <is>
          <t>CP-049</t>
        </is>
      </c>
      <c r="B52" s="91" t="inlineStr">
        <is>
          <t>Plan de Acción 2026 / Hoja de Ruta Power Apps</t>
        </is>
      </c>
      <c r="C52" s="91" t="inlineStr">
        <is>
          <t>Tarea candidata a prórroga</t>
        </is>
      </c>
      <c r="D52" s="91" t="inlineStr">
        <is>
          <t>Metas 1.1.1.1 y 1.2.1.1 (cobertura y programas nuevos): procesos multianuales con 38 productos vencidos en la 1.2.</t>
        </is>
      </c>
      <c r="E52" s="91" t="inlineStr">
        <is>
          <t>Secretaría General, Vic. Académica, B-Learning</t>
        </is>
      </c>
      <c r="F52" s="91" t="inlineStr">
        <is>
          <t>A15</t>
        </is>
      </c>
      <c r="G52" s="91">
        <f>IFERROR(INDEX(Dependencias!$H$5:$H$51,MATCH(F52,Dependencias!$E$5:$E$51,0)),"")</f>
        <v/>
      </c>
      <c r="H52" s="91">
        <f>IFERROR(INDEX(Dependencias!$F$5:$F$51,MATCH(F52,Dependencias!$E$5:$E$51,0))&amp;" · "&amp;INDEX(Dependencias!$G$5:$G$51,MATCH(F52,Dependencias!$E$5:$E$51,0)),"")</f>
        <v/>
      </c>
      <c r="I52" s="91" t="inlineStr">
        <is>
          <t>1.2.1.1</t>
        </is>
      </c>
      <c r="J52" s="91">
        <f>LEFT(I52,1)</f>
        <v/>
      </c>
      <c r="K52" s="91" t="inlineStr">
        <is>
          <t>1.1: 14,29%; 1.2: 16,44%</t>
        </is>
      </c>
      <c r="L52" s="91" t="inlineStr">
        <is>
          <t>2027</t>
        </is>
      </c>
      <c r="M52" s="91" t="inlineStr">
        <is>
          <t>Productos reprogramados</t>
        </is>
      </c>
      <c r="N52" s="91" t="inlineStr">
        <is>
          <t>Informe Trimestral III, Tabla 7</t>
        </is>
      </c>
      <c r="O52" s="91" t="inlineStr">
        <is>
          <t>Insumo_Hoja_de_Ruta_ETITC_2027.docx (corte 02-09-2026)</t>
        </is>
      </c>
      <c r="P52" s="96" t="n"/>
      <c r="Q52" s="96" t="n"/>
      <c r="R52" s="96" t="n"/>
      <c r="S52" s="92">
        <f>IF(F52=LEFT('Buscador_Formulación PAA 2027'!$C$4,3),COUNTIF($F$4:F52,LEFT('Buscador_Formulación PAA 2027'!$C$4,3)),"")</f>
        <v/>
      </c>
    </row>
    <row r="53" ht="39" customHeight="1" s="23">
      <c r="A53" s="91" t="inlineStr">
        <is>
          <t>CP-050</t>
        </is>
      </c>
      <c r="B53" s="91" t="inlineStr">
        <is>
          <t>Plan de Acción 2026 / Hoja de Ruta Power Apps</t>
        </is>
      </c>
      <c r="C53" s="91" t="inlineStr">
        <is>
          <t>Tarea candidata a prórroga</t>
        </is>
      </c>
      <c r="D53" s="91" t="inlineStr">
        <is>
          <t>Meta 1.3.1.1 (acreditación de programas): compromisos externos con fecha vinculante.</t>
        </is>
      </c>
      <c r="E53" s="91" t="inlineStr">
        <is>
          <t>Acreditación, Autoevaluación</t>
        </is>
      </c>
      <c r="F53" s="91" t="inlineStr">
        <is>
          <t>A07</t>
        </is>
      </c>
      <c r="G53" s="91">
        <f>IFERROR(INDEX(Dependencias!$H$5:$H$51,MATCH(F53,Dependencias!$E$5:$E$51,0)),"")</f>
        <v/>
      </c>
      <c r="H53" s="91">
        <f>IFERROR(INDEX(Dependencias!$F$5:$F$51,MATCH(F53,Dependencias!$E$5:$E$51,0))&amp;" · "&amp;INDEX(Dependencias!$G$5:$G$51,MATCH(F53,Dependencias!$E$5:$E$51,0)),"")</f>
        <v/>
      </c>
      <c r="I53" s="91" t="inlineStr">
        <is>
          <t>1.3.1.1</t>
        </is>
      </c>
      <c r="J53" s="91">
        <f>LEFT(I53,1)</f>
        <v/>
      </c>
      <c r="K53" s="91" t="inlineStr">
        <is>
          <t>3/18; 11 vencidos</t>
        </is>
      </c>
      <c r="L53" s="91" t="inlineStr">
        <is>
          <t>2027</t>
        </is>
      </c>
      <c r="M53" s="91" t="inlineStr">
        <is>
          <t>Productos reprogramados</t>
        </is>
      </c>
      <c r="N53" s="91" t="inlineStr">
        <is>
          <t>Informe Trimestral III, Tabla 7</t>
        </is>
      </c>
      <c r="O53" s="91" t="inlineStr">
        <is>
          <t>Insumo_Hoja_de_Ruta_ETITC_2027.docx (corte 02-09-2026)</t>
        </is>
      </c>
      <c r="P53" s="96" t="n"/>
      <c r="Q53" s="96" t="n"/>
      <c r="R53" s="96" t="n"/>
      <c r="S53" s="92">
        <f>IF(F53=LEFT('Buscador_Formulación PAA 2027'!$C$4,3),COUNTIF($F$4:F53,LEFT('Buscador_Formulación PAA 2027'!$C$4,3)),"")</f>
        <v/>
      </c>
    </row>
    <row r="54" ht="39" customHeight="1" s="23">
      <c r="A54" s="91" t="inlineStr">
        <is>
          <t>CP-051</t>
        </is>
      </c>
      <c r="B54" s="91" t="inlineStr">
        <is>
          <t>Plan de Acción 2026 / Hoja de Ruta Power Apps</t>
        </is>
      </c>
      <c r="C54" s="91" t="inlineStr">
        <is>
          <t>Tarea candidata a prórroga</t>
        </is>
      </c>
      <c r="D54" s="91" t="inlineStr">
        <is>
          <t>Línea 1.5 (formación docente: 24 doctorados, 48 maestrías, 276 en formación continuada): devolverla al concepto de formación del PDI.</t>
        </is>
      </c>
      <c r="E54" s="91" t="inlineStr">
        <is>
          <t>Vicerrectoría Académica</t>
        </is>
      </c>
      <c r="F54" s="91" t="inlineStr">
        <is>
          <t>A15</t>
        </is>
      </c>
      <c r="G54" s="91">
        <f>IFERROR(INDEX(Dependencias!$H$5:$H$51,MATCH(F54,Dependencias!$E$5:$E$51,0)),"")</f>
        <v/>
      </c>
      <c r="H54" s="91">
        <f>IFERROR(INDEX(Dependencias!$F$5:$F$51,MATCH(F54,Dependencias!$E$5:$E$51,0))&amp;" · "&amp;INDEX(Dependencias!$G$5:$G$51,MATCH(F54,Dependencias!$E$5:$E$51,0)),"")</f>
        <v/>
      </c>
      <c r="I54" s="91" t="inlineStr">
        <is>
          <t>1.5.1.1</t>
        </is>
      </c>
      <c r="J54" s="91">
        <f>LEFT(I54,1)</f>
        <v/>
      </c>
      <c r="K54" s="91" t="inlineStr">
        <is>
          <t>0 de 3 productos, todos vencidos</t>
        </is>
      </c>
      <c r="L54" s="91" t="inlineStr">
        <is>
          <t>2027</t>
        </is>
      </c>
      <c r="M54" s="91" t="inlineStr">
        <is>
          <t>Plan de formación docente 2027</t>
        </is>
      </c>
      <c r="N54" s="91" t="inlineStr">
        <is>
          <t>Informe Trimestral III, Tabla 7</t>
        </is>
      </c>
      <c r="O54" s="91" t="inlineStr">
        <is>
          <t>Insumo_Hoja_de_Ruta_ETITC_2027.docx (corte 02-09-2026)</t>
        </is>
      </c>
      <c r="P54" s="96" t="n"/>
      <c r="Q54" s="96" t="n"/>
      <c r="R54" s="96" t="n"/>
      <c r="S54" s="92">
        <f>IF(F54=LEFT('Buscador_Formulación PAA 2027'!$C$4,3),COUNTIF($F$4:F54,LEFT('Buscador_Formulación PAA 2027'!$C$4,3)),"")</f>
        <v/>
      </c>
    </row>
    <row r="55" ht="39" customHeight="1" s="23">
      <c r="A55" s="91" t="inlineStr">
        <is>
          <t>CP-052</t>
        </is>
      </c>
      <c r="B55" s="91" t="inlineStr">
        <is>
          <t>Plan de Acción 2026 / Hoja de Ruta Power Apps</t>
        </is>
      </c>
      <c r="C55" s="91" t="inlineStr">
        <is>
          <t>Tarea candidata a prórroga</t>
        </is>
      </c>
      <c r="D55" s="91" t="inlineStr">
        <is>
          <t>Línea 2.3 (alianzas y meta de 4 patentes): restablecer de forma explícita la meta de patentes.</t>
        </is>
      </c>
      <c r="E55" s="91" t="inlineStr">
        <is>
          <t>Asesor de Innovación, VIET</t>
        </is>
      </c>
      <c r="F55" s="91" t="inlineStr">
        <is>
          <t>A40</t>
        </is>
      </c>
      <c r="G55" s="91">
        <f>IFERROR(INDEX(Dependencias!$H$5:$H$51,MATCH(F55,Dependencias!$E$5:$E$51,0)),"")</f>
        <v/>
      </c>
      <c r="H55" s="91">
        <f>IFERROR(INDEX(Dependencias!$F$5:$F$51,MATCH(F55,Dependencias!$E$5:$E$51,0))&amp;" · "&amp;INDEX(Dependencias!$G$5:$G$51,MATCH(F55,Dependencias!$E$5:$E$51,0)),"")</f>
        <v/>
      </c>
      <c r="I55" s="91" t="inlineStr">
        <is>
          <t>2.3.1.1</t>
        </is>
      </c>
      <c r="J55" s="91">
        <f>LEFT(I55,1)</f>
        <v/>
      </c>
      <c r="K55" s="91" t="inlineStr">
        <is>
          <t>2/20 (10,00%)</t>
        </is>
      </c>
      <c r="L55" s="91" t="inlineStr">
        <is>
          <t>2027</t>
        </is>
      </c>
      <c r="M55" s="91" t="inlineStr">
        <is>
          <t>Meta recodificada y productos</t>
        </is>
      </c>
      <c r="N55" s="91" t="inlineStr">
        <is>
          <t>Informe Trimestral III, Tabla 7</t>
        </is>
      </c>
      <c r="O55" s="91" t="inlineStr">
        <is>
          <t>Insumo_Hoja_de_Ruta_ETITC_2027.docx (corte 02-09-2026)</t>
        </is>
      </c>
      <c r="P55" s="96" t="n"/>
      <c r="Q55" s="96" t="n"/>
      <c r="R55" s="96" t="n"/>
      <c r="S55" s="92">
        <f>IF(F55=LEFT('Buscador_Formulación PAA 2027'!$C$4,3),COUNTIF($F$4:F55,LEFT('Buscador_Formulación PAA 2027'!$C$4,3)),"")</f>
        <v/>
      </c>
    </row>
    <row r="56" ht="39" customHeight="1" s="23">
      <c r="A56" s="91" t="inlineStr">
        <is>
          <t>CP-053</t>
        </is>
      </c>
      <c r="B56" s="91" t="inlineStr">
        <is>
          <t>Plan de Acción 2026 / Hoja de Ruta Power Apps</t>
        </is>
      </c>
      <c r="C56" s="91" t="inlineStr">
        <is>
          <t>Tarea candidata a prórroga</t>
        </is>
      </c>
      <c r="D56" s="91" t="inlineStr">
        <is>
          <t>Meta 2.4.1.1 (Centro de Pensamiento certificado): Semilleros en 0/23 y 11 productos vencidos.</t>
        </is>
      </c>
      <c r="E56" s="91" t="inlineStr">
        <is>
          <t>Semilleros, Centro de Pensamiento</t>
        </is>
      </c>
      <c r="F56" s="91" t="inlineStr">
        <is>
          <t>A39</t>
        </is>
      </c>
      <c r="G56" s="91">
        <f>IFERROR(INDEX(Dependencias!$H$5:$H$51,MATCH(F56,Dependencias!$E$5:$E$51,0)),"")</f>
        <v/>
      </c>
      <c r="H56" s="91">
        <f>IFERROR(INDEX(Dependencias!$F$5:$F$51,MATCH(F56,Dependencias!$E$5:$E$51,0))&amp;" · "&amp;INDEX(Dependencias!$G$5:$G$51,MATCH(F56,Dependencias!$E$5:$E$51,0)),"")</f>
        <v/>
      </c>
      <c r="I56" s="91" t="inlineStr">
        <is>
          <t>2.4.1.1</t>
        </is>
      </c>
      <c r="J56" s="91">
        <f>LEFT(I56,1)</f>
        <v/>
      </c>
      <c r="K56" s="91" t="inlineStr">
        <is>
          <t>13/42 (30,95%)</t>
        </is>
      </c>
      <c r="L56" s="91" t="inlineStr">
        <is>
          <t>2027</t>
        </is>
      </c>
      <c r="M56" s="91" t="inlineStr">
        <is>
          <t>Productos reprogramados</t>
        </is>
      </c>
      <c r="N56" s="91" t="inlineStr">
        <is>
          <t>Informe Trimestral III, Tabla 7</t>
        </is>
      </c>
      <c r="O56" s="91" t="inlineStr">
        <is>
          <t>Insumo_Hoja_de_Ruta_ETITC_2027.docx (corte 02-09-2026)</t>
        </is>
      </c>
      <c r="P56" s="96" t="n"/>
      <c r="Q56" s="96" t="n"/>
      <c r="R56" s="96" t="n"/>
      <c r="S56" s="92">
        <f>IF(F56=LEFT('Buscador_Formulación PAA 2027'!$C$4,3),COUNTIF($F$4:F56,LEFT('Buscador_Formulación PAA 2027'!$C$4,3)),"")</f>
        <v/>
      </c>
    </row>
    <row r="57" ht="39" customHeight="1" s="23">
      <c r="A57" s="91" t="inlineStr">
        <is>
          <t>CP-054</t>
        </is>
      </c>
      <c r="B57" s="91" t="inlineStr">
        <is>
          <t>Plan de Acción 2026 / Hoja de Ruta Power Apps</t>
        </is>
      </c>
      <c r="C57" s="91" t="inlineStr">
        <is>
          <t>Tarea candidata a prórroga</t>
        </is>
      </c>
      <c r="D57" s="91" t="inlineStr">
        <is>
          <t>Metas 4.1.1.1 y 4.1.1.3 (90% del PDI; acreditación institucional): Autoevaluación con 32 vencidos.</t>
        </is>
      </c>
      <c r="E57" s="91" t="inlineStr">
        <is>
          <t>Autoevaluación, Planeación</t>
        </is>
      </c>
      <c r="F57" s="91" t="inlineStr">
        <is>
          <t>A07</t>
        </is>
      </c>
      <c r="G57" s="91">
        <f>IFERROR(INDEX(Dependencias!$H$5:$H$51,MATCH(F57,Dependencias!$E$5:$E$51,0)),"")</f>
        <v/>
      </c>
      <c r="H57" s="91">
        <f>IFERROR(INDEX(Dependencias!$F$5:$F$51,MATCH(F57,Dependencias!$E$5:$E$51,0))&amp;" · "&amp;INDEX(Dependencias!$G$5:$G$51,MATCH(F57,Dependencias!$E$5:$E$51,0)),"")</f>
        <v/>
      </c>
      <c r="I57" s="91" t="inlineStr">
        <is>
          <t>4.1.1.3</t>
        </is>
      </c>
      <c r="J57" s="91">
        <f>LEFT(I57,1)</f>
        <v/>
      </c>
      <c r="K57" s="91" t="inlineStr">
        <is>
          <t>0/4 y 1/8</t>
        </is>
      </c>
      <c r="L57" s="91" t="inlineStr">
        <is>
          <t>2027</t>
        </is>
      </c>
      <c r="M57" s="91" t="inlineStr">
        <is>
          <t>Productos reprogramados</t>
        </is>
      </c>
      <c r="N57" s="91" t="inlineStr">
        <is>
          <t>Informe Trimestral III, Tabla 7</t>
        </is>
      </c>
      <c r="O57" s="91" t="inlineStr">
        <is>
          <t>Insumo_Hoja_de_Ruta_ETITC_2027.docx (corte 02-09-2026)</t>
        </is>
      </c>
      <c r="P57" s="96" t="n"/>
      <c r="Q57" s="96" t="n"/>
      <c r="R57" s="96" t="n"/>
      <c r="S57" s="92">
        <f>IF(F57=LEFT('Buscador_Formulación PAA 2027'!$C$4,3),COUNTIF($F$4:F57,LEFT('Buscador_Formulación PAA 2027'!$C$4,3)),"")</f>
        <v/>
      </c>
    </row>
    <row r="58" ht="39" customHeight="1" s="23">
      <c r="A58" s="91" t="inlineStr">
        <is>
          <t>CP-055</t>
        </is>
      </c>
      <c r="B58" s="91" t="inlineStr">
        <is>
          <t>Plan de Acción 2026 / Hoja de Ruta Power Apps</t>
        </is>
      </c>
      <c r="C58" s="91" t="inlineStr">
        <is>
          <t>Tarea candidata a prórroga</t>
        </is>
      </c>
      <c r="D58" s="91" t="inlineStr">
        <is>
          <t>Línea 4.2 (sistema de información estratégico; estructura 100% operando): frente más débil del eje 4.</t>
        </is>
      </c>
      <c r="E58" s="91" t="inlineStr">
        <is>
          <t>Gestión de Proyectos, Arquitectura Institucional</t>
        </is>
      </c>
      <c r="F58" s="91" t="inlineStr">
        <is>
          <t>A06</t>
        </is>
      </c>
      <c r="G58" s="91">
        <f>IFERROR(INDEX(Dependencias!$H$5:$H$51,MATCH(F58,Dependencias!$E$5:$E$51,0)),"")</f>
        <v/>
      </c>
      <c r="H58" s="91">
        <f>IFERROR(INDEX(Dependencias!$F$5:$F$51,MATCH(F58,Dependencias!$E$5:$E$51,0))&amp;" · "&amp;INDEX(Dependencias!$G$5:$G$51,MATCH(F58,Dependencias!$E$5:$E$51,0)),"")</f>
        <v/>
      </c>
      <c r="I58" s="91" t="inlineStr">
        <is>
          <t>4.2.1.2</t>
        </is>
      </c>
      <c r="J58" s="91">
        <f>LEFT(I58,1)</f>
        <v/>
      </c>
      <c r="K58" s="91" t="inlineStr">
        <is>
          <t>1/16 (6,25%)</t>
        </is>
      </c>
      <c r="L58" s="91" t="inlineStr">
        <is>
          <t>2027</t>
        </is>
      </c>
      <c r="M58" s="91" t="inlineStr">
        <is>
          <t>Productos reprogramados</t>
        </is>
      </c>
      <c r="N58" s="91" t="inlineStr">
        <is>
          <t>Informe Trimestral III, Tabla 7</t>
        </is>
      </c>
      <c r="O58" s="91" t="inlineStr">
        <is>
          <t>Insumo_Hoja_de_Ruta_ETITC_2027.docx (corte 02-09-2026)</t>
        </is>
      </c>
      <c r="P58" s="96" t="n"/>
      <c r="Q58" s="96" t="n"/>
      <c r="R58" s="96" t="n"/>
      <c r="S58" s="92">
        <f>IF(F58=LEFT('Buscador_Formulación PAA 2027'!$C$4,3),COUNTIF($F$4:F58,LEFT('Buscador_Formulación PAA 2027'!$C$4,3)),"")</f>
        <v/>
      </c>
    </row>
    <row r="59" ht="39" customHeight="1" s="23">
      <c r="A59" s="91" t="inlineStr">
        <is>
          <t>CP-056</t>
        </is>
      </c>
      <c r="B59" s="91" t="inlineStr">
        <is>
          <t>Plan de Acción 2026 / Hoja de Ruta Power Apps</t>
        </is>
      </c>
      <c r="C59" s="91" t="inlineStr">
        <is>
          <t>Tarea candidata a prórroga</t>
        </is>
      </c>
      <c r="D59" s="91" t="inlineStr">
        <is>
          <t>Metas 4.3.1.1 y 4.4.1.1 (comunidad educativa; Top of Mind): volumen alto y rezago acumulado.</t>
        </is>
      </c>
      <c r="E59" s="91" t="inlineStr">
        <is>
          <t>Autoevaluación, Comunicaciones</t>
        </is>
      </c>
      <c r="F59" s="91" t="inlineStr">
        <is>
          <t>A02</t>
        </is>
      </c>
      <c r="G59" s="91">
        <f>IFERROR(INDEX(Dependencias!$H$5:$H$51,MATCH(F59,Dependencias!$E$5:$E$51,0)),"")</f>
        <v/>
      </c>
      <c r="H59" s="91">
        <f>IFERROR(INDEX(Dependencias!$F$5:$F$51,MATCH(F59,Dependencias!$E$5:$E$51,0))&amp;" · "&amp;INDEX(Dependencias!$G$5:$G$51,MATCH(F59,Dependencias!$E$5:$E$51,0)),"")</f>
        <v/>
      </c>
      <c r="I59" s="91" t="inlineStr">
        <is>
          <t>4.4.1.1</t>
        </is>
      </c>
      <c r="J59" s="91">
        <f>LEFT(I59,1)</f>
        <v/>
      </c>
      <c r="K59" s="91" t="inlineStr">
        <is>
          <t>4.3: 27,78%; 4.4: 19,05%</t>
        </is>
      </c>
      <c r="L59" s="91" t="inlineStr">
        <is>
          <t>2027</t>
        </is>
      </c>
      <c r="M59" s="91" t="inlineStr">
        <is>
          <t>Productos reprogramados</t>
        </is>
      </c>
      <c r="N59" s="91" t="inlineStr">
        <is>
          <t>Informe Trimestral III, Tabla 7</t>
        </is>
      </c>
      <c r="O59" s="91" t="inlineStr">
        <is>
          <t>Insumo_Hoja_de_Ruta_ETITC_2027.docx (corte 02-09-2026)</t>
        </is>
      </c>
      <c r="P59" s="96" t="n"/>
      <c r="Q59" s="96" t="n"/>
      <c r="R59" s="96" t="n"/>
      <c r="S59" s="92">
        <f>IF(F59=LEFT('Buscador_Formulación PAA 2027'!$C$4,3),COUNTIF($F$4:F59,LEFT('Buscador_Formulación PAA 2027'!$C$4,3)),"")</f>
        <v/>
      </c>
    </row>
    <row r="60" ht="39" customHeight="1" s="23">
      <c r="A60" s="91" t="inlineStr">
        <is>
          <t>CP-057</t>
        </is>
      </c>
      <c r="B60" s="91" t="inlineStr">
        <is>
          <t>Plan de Acción 2026 / Hoja de Ruta Power Apps</t>
        </is>
      </c>
      <c r="C60" s="91" t="inlineStr">
        <is>
          <t>Tarea candidata a prórroga</t>
        </is>
      </c>
      <c r="D60" s="91" t="inlineStr">
        <is>
          <t>Línea 5.1 (Calle 18, Ecoparque, Guaymaral): depende de decisiones de proyecto y presupuesto.</t>
        </is>
      </c>
      <c r="E60" s="91" t="inlineStr">
        <is>
          <t>Planeación, Arquitectura</t>
        </is>
      </c>
      <c r="F60" s="91" t="inlineStr">
        <is>
          <t>A31</t>
        </is>
      </c>
      <c r="G60" s="91">
        <f>IFERROR(INDEX(Dependencias!$H$5:$H$51,MATCH(F60,Dependencias!$E$5:$E$51,0)),"")</f>
        <v/>
      </c>
      <c r="H60" s="91">
        <f>IFERROR(INDEX(Dependencias!$F$5:$F$51,MATCH(F60,Dependencias!$E$5:$E$51,0))&amp;" · "&amp;INDEX(Dependencias!$G$5:$G$51,MATCH(F60,Dependencias!$E$5:$E$51,0)),"")</f>
        <v/>
      </c>
      <c r="I60" s="91" t="inlineStr">
        <is>
          <t>5.1.1.1</t>
        </is>
      </c>
      <c r="J60" s="91">
        <f>LEFT(I60,1)</f>
        <v/>
      </c>
      <c r="K60" s="91" t="inlineStr">
        <is>
          <t>0/13 (0,00%)</t>
        </is>
      </c>
      <c r="L60" s="91" t="inlineStr">
        <is>
          <t>2027</t>
        </is>
      </c>
      <c r="M60" s="91" t="inlineStr">
        <is>
          <t>Productos reprogramados</t>
        </is>
      </c>
      <c r="N60" s="91" t="inlineStr">
        <is>
          <t>Informe Trimestral III, Tabla 7</t>
        </is>
      </c>
      <c r="O60" s="91" t="inlineStr">
        <is>
          <t>Insumo_Hoja_de_Ruta_ETITC_2027.docx (corte 02-09-2026)</t>
        </is>
      </c>
      <c r="P60" s="96" t="n"/>
      <c r="Q60" s="96" t="n"/>
      <c r="R60" s="96" t="n"/>
      <c r="S60" s="92">
        <f>IF(F60=LEFT('Buscador_Formulación PAA 2027'!$C$4,3),COUNTIF($F$4:F60,LEFT('Buscador_Formulación PAA 2027'!$C$4,3)),"")</f>
        <v/>
      </c>
    </row>
    <row r="61" ht="39" customHeight="1" s="23">
      <c r="A61" s="91" t="inlineStr">
        <is>
          <t>CP-058</t>
        </is>
      </c>
      <c r="B61" s="91" t="inlineStr">
        <is>
          <t>Plan de Acción 2026 / Hoja de Ruta Power Apps</t>
        </is>
      </c>
      <c r="C61" s="91" t="inlineStr">
        <is>
          <t>Tarea candidata a prórroga</t>
        </is>
      </c>
      <c r="D61" s="91" t="inlineStr">
        <is>
          <t>Meta 5.4.1.1 (talleres y laboratorios vía convenios): productos nuevos con plazos en el IV trimestre.</t>
        </is>
      </c>
      <c r="E61" s="91" t="inlineStr">
        <is>
          <t>Apoyo a la Contratación, Mesa de Ayuda, GTI</t>
        </is>
      </c>
      <c r="F61" s="91" t="inlineStr">
        <is>
          <t>A34</t>
        </is>
      </c>
      <c r="G61" s="91">
        <f>IFERROR(INDEX(Dependencias!$H$5:$H$51,MATCH(F61,Dependencias!$E$5:$E$51,0)),"")</f>
        <v/>
      </c>
      <c r="H61" s="91">
        <f>IFERROR(INDEX(Dependencias!$F$5:$F$51,MATCH(F61,Dependencias!$E$5:$E$51,0))&amp;" · "&amp;INDEX(Dependencias!$G$5:$G$51,MATCH(F61,Dependencias!$E$5:$E$51,0)),"")</f>
        <v/>
      </c>
      <c r="I61" s="91" t="inlineStr">
        <is>
          <t>5.4.1.1</t>
        </is>
      </c>
      <c r="J61" s="91">
        <f>LEFT(I61,1)</f>
        <v/>
      </c>
      <c r="K61" s="91" t="inlineStr">
        <is>
          <t>0/34 (0,00%)</t>
        </is>
      </c>
      <c r="L61" s="91" t="inlineStr">
        <is>
          <t>2027</t>
        </is>
      </c>
      <c r="M61" s="91" t="inlineStr">
        <is>
          <t>Productos reprogramados</t>
        </is>
      </c>
      <c r="N61" s="91" t="inlineStr">
        <is>
          <t>Informe Trimestral III, Tabla 7</t>
        </is>
      </c>
      <c r="O61" s="91" t="inlineStr">
        <is>
          <t>Insumo_Hoja_de_Ruta_ETITC_2027.docx (corte 02-09-2026)</t>
        </is>
      </c>
      <c r="P61" s="96" t="n"/>
      <c r="Q61" s="96" t="n"/>
      <c r="R61" s="96" t="n"/>
      <c r="S61" s="92">
        <f>IF(F61=LEFT('Buscador_Formulación PAA 2027'!$C$4,3),COUNTIF($F$4:F61,LEFT('Buscador_Formulación PAA 2027'!$C$4,3)),"")</f>
        <v/>
      </c>
    </row>
    <row r="62" ht="39" customHeight="1" s="23">
      <c r="A62" s="91" t="inlineStr">
        <is>
          <t>CP-059</t>
        </is>
      </c>
      <c r="B62" s="91" t="inlineStr">
        <is>
          <t>Plan de Acción 2026 / Hoja de Ruta Power Apps</t>
        </is>
      </c>
      <c r="C62" s="91" t="inlineStr">
        <is>
          <t>Tarea candidata a prórroga</t>
        </is>
      </c>
      <c r="D62" s="91" t="inlineStr">
        <is>
          <t>Metas 5.2.1.2 y 5.2.1.3 (talleres actualizados; reposición de computadores): cartera heredada.</t>
        </is>
      </c>
      <c r="E62" s="91" t="inlineStr">
        <is>
          <t>Infraestructura, Talleres y Laboratorios, GTI</t>
        </is>
      </c>
      <c r="F62" s="91" t="inlineStr">
        <is>
          <t>A31</t>
        </is>
      </c>
      <c r="G62" s="91">
        <f>IFERROR(INDEX(Dependencias!$H$5:$H$51,MATCH(F62,Dependencias!$E$5:$E$51,0)),"")</f>
        <v/>
      </c>
      <c r="H62" s="91">
        <f>IFERROR(INDEX(Dependencias!$F$5:$F$51,MATCH(F62,Dependencias!$E$5:$E$51,0))&amp;" · "&amp;INDEX(Dependencias!$G$5:$G$51,MATCH(F62,Dependencias!$E$5:$E$51,0)),"")</f>
        <v/>
      </c>
      <c r="I62" s="91" t="inlineStr">
        <is>
          <t>5.2.1.2</t>
        </is>
      </c>
      <c r="J62" s="91">
        <f>LEFT(I62,1)</f>
        <v/>
      </c>
      <c r="K62" s="91" t="inlineStr">
        <is>
          <t>Línea 5.2: 20,00%</t>
        </is>
      </c>
      <c r="L62" s="91" t="inlineStr">
        <is>
          <t>2027</t>
        </is>
      </c>
      <c r="M62" s="91" t="inlineStr">
        <is>
          <t>Productos reprogramados</t>
        </is>
      </c>
      <c r="N62" s="91" t="inlineStr">
        <is>
          <t>Informe Trimestral III, Tabla 7</t>
        </is>
      </c>
      <c r="O62" s="91" t="inlineStr">
        <is>
          <t>Insumo_Hoja_de_Ruta_ETITC_2027.docx (corte 02-09-2026)</t>
        </is>
      </c>
      <c r="P62" s="96" t="n"/>
      <c r="Q62" s="96" t="n"/>
      <c r="R62" s="96" t="n"/>
      <c r="S62" s="92">
        <f>IF(F62=LEFT('Buscador_Formulación PAA 2027'!$C$4,3),COUNTIF($F$4:F62,LEFT('Buscador_Formulación PAA 2027'!$C$4,3)),"")</f>
        <v/>
      </c>
    </row>
    <row r="63" ht="39" customHeight="1" s="23">
      <c r="A63" s="91" t="inlineStr">
        <is>
          <t>CP-060</t>
        </is>
      </c>
      <c r="B63" s="91" t="inlineStr">
        <is>
          <t>Plan de Acción 2026 / Hoja de Ruta Power Apps</t>
        </is>
      </c>
      <c r="C63" s="91" t="inlineStr">
        <is>
          <t>Decisión de Alta Dirección</t>
        </is>
      </c>
      <c r="D63" s="91" t="inlineStr">
        <is>
          <t>Decidir en el CIGD la formulación de las líneas 3.1, 5.3 y 6.1, que siguen sin productos (la 5.3 acumula dos vigencias).</t>
        </is>
      </c>
      <c r="E63" s="91" t="inlineStr">
        <is>
          <t>Alta Dirección / CIGD; VAF para la 5.3</t>
        </is>
      </c>
      <c r="F63" s="91" t="inlineStr">
        <is>
          <t>A01</t>
        </is>
      </c>
      <c r="G63" s="91">
        <f>IFERROR(INDEX(Dependencias!$H$5:$H$51,MATCH(F63,Dependencias!$E$5:$E$51,0)),"")</f>
        <v/>
      </c>
      <c r="H63" s="91">
        <f>IFERROR(INDEX(Dependencias!$F$5:$F$51,MATCH(F63,Dependencias!$E$5:$E$51,0))&amp;" · "&amp;INDEX(Dependencias!$G$5:$G$51,MATCH(F63,Dependencias!$E$5:$E$51,0)),"")</f>
        <v/>
      </c>
      <c r="I63" s="91" t="inlineStr">
        <is>
          <t>5.3.1.1</t>
        </is>
      </c>
      <c r="J63" s="91">
        <f>LEFT(I63,1)</f>
        <v/>
      </c>
      <c r="K63" s="91" t="inlineStr">
        <is>
          <t>Pendiente</t>
        </is>
      </c>
      <c r="L63" s="91" t="inlineStr">
        <is>
          <t>Antes de cerrar la formulación 2027</t>
        </is>
      </c>
      <c r="M63" s="91" t="inlineStr">
        <is>
          <t>Acta del CIGD</t>
        </is>
      </c>
      <c r="N63" s="91" t="inlineStr">
        <is>
          <t>Informe Trimestral III</t>
        </is>
      </c>
      <c r="O63" s="91" t="inlineStr">
        <is>
          <t>Insumo_Hoja_de_Ruta_ETITC_2027.docx (corte 02-09-2026)</t>
        </is>
      </c>
      <c r="P63" s="96" t="n"/>
      <c r="Q63" s="96" t="n"/>
      <c r="R63" s="96" t="n"/>
      <c r="S63" s="92">
        <f>IF(F63=LEFT('Buscador_Formulación PAA 2027'!$C$4,3),COUNTIF($F$4:F63,LEFT('Buscador_Formulación PAA 2027'!$C$4,3)),"")</f>
        <v/>
      </c>
    </row>
    <row r="64" ht="39" customHeight="1" s="23">
      <c r="A64" s="91" t="inlineStr">
        <is>
          <t>CP-061</t>
        </is>
      </c>
      <c r="B64" s="91" t="inlineStr">
        <is>
          <t>Plan de Acción 2026 / Hoja de Ruta Power Apps</t>
        </is>
      </c>
      <c r="C64" s="91" t="inlineStr">
        <is>
          <t>Tarea candidata a prórroga</t>
        </is>
      </c>
      <c r="D64" s="91" t="inlineStr">
        <is>
          <t>Metas 6.2.1.1 y 6.3.1.1 (Plan de Bienestar; rankings THE/QS).</t>
        </is>
      </c>
      <c r="E64" s="91" t="inlineStr">
        <is>
          <t>Bienestar Universitario</t>
        </is>
      </c>
      <c r="F64" s="91" t="inlineStr">
        <is>
          <t>A21</t>
        </is>
      </c>
      <c r="G64" s="91">
        <f>IFERROR(INDEX(Dependencias!$H$5:$H$51,MATCH(F64,Dependencias!$E$5:$E$51,0)),"")</f>
        <v/>
      </c>
      <c r="H64" s="91">
        <f>IFERROR(INDEX(Dependencias!$F$5:$F$51,MATCH(F64,Dependencias!$E$5:$E$51,0))&amp;" · "&amp;INDEX(Dependencias!$G$5:$G$51,MATCH(F64,Dependencias!$E$5:$E$51,0)),"")</f>
        <v/>
      </c>
      <c r="I64" s="91" t="inlineStr">
        <is>
          <t>6.2.1.1</t>
        </is>
      </c>
      <c r="J64" s="91">
        <f>LEFT(I64,1)</f>
        <v/>
      </c>
      <c r="K64" s="91" t="inlineStr">
        <is>
          <t>6.2: 6,90%; 6.3: 0/2</t>
        </is>
      </c>
      <c r="L64" s="91" t="inlineStr">
        <is>
          <t>2027</t>
        </is>
      </c>
      <c r="M64" s="91" t="inlineStr">
        <is>
          <t>Productos reprogramados</t>
        </is>
      </c>
      <c r="N64" s="91" t="inlineStr">
        <is>
          <t>Informe Trimestral III, Tabla 7</t>
        </is>
      </c>
      <c r="O64" s="91" t="inlineStr">
        <is>
          <t>Insumo_Hoja_de_Ruta_ETITC_2027.docx (corte 02-09-2026)</t>
        </is>
      </c>
      <c r="P64" s="96" t="n"/>
      <c r="Q64" s="96" t="n"/>
      <c r="R64" s="96" t="n"/>
      <c r="S64" s="92">
        <f>IF(F64=LEFT('Buscador_Formulación PAA 2027'!$C$4,3),COUNTIF($F$4:F64,LEFT('Buscador_Formulación PAA 2027'!$C$4,3)),"")</f>
        <v/>
      </c>
    </row>
    <row r="65" ht="39" customHeight="1" s="23">
      <c r="A65" s="91" t="inlineStr">
        <is>
          <t>CP-062</t>
        </is>
      </c>
      <c r="B65" s="91" t="inlineStr">
        <is>
          <t>Plan de Acción 2026 / Hoja de Ruta Power Apps</t>
        </is>
      </c>
      <c r="C65" s="91" t="inlineStr">
        <is>
          <t>Hito pendiente</t>
        </is>
      </c>
      <c r="D65" s="91" t="inlineStr">
        <is>
          <t>Adoptar el protocolo de mesas de trabajo en el SGC para no repetir la caída del II trimestre.</t>
        </is>
      </c>
      <c r="E65" s="91" t="inlineStr">
        <is>
          <t>OAPDI</t>
        </is>
      </c>
      <c r="F65" s="91" t="inlineStr">
        <is>
          <t>A05</t>
        </is>
      </c>
      <c r="G65" s="91">
        <f>IFERROR(INDEX(Dependencias!$H$5:$H$51,MATCH(F65,Dependencias!$E$5:$E$51,0)),"")</f>
        <v/>
      </c>
      <c r="H65" s="91">
        <f>IFERROR(INDEX(Dependencias!$F$5:$F$51,MATCH(F65,Dependencias!$E$5:$E$51,0))&amp;" · "&amp;INDEX(Dependencias!$G$5:$G$51,MATCH(F65,Dependencias!$E$5:$E$51,0)),"")</f>
        <v/>
      </c>
      <c r="I65" s="91" t="inlineStr">
        <is>
          <t>4.1.1.1</t>
        </is>
      </c>
      <c r="J65" s="91">
        <f>LEFT(I65,1)</f>
        <v/>
      </c>
      <c r="K65" s="91" t="inlineStr">
        <is>
          <t>Pendiente (plazo 31 de octubre de 2026)</t>
        </is>
      </c>
      <c r="L65" s="91" t="inlineStr">
        <is>
          <t>Inicio de 2027</t>
        </is>
      </c>
      <c r="M65" s="91" t="inlineStr">
        <is>
          <t>Procedimiento adoptado</t>
        </is>
      </c>
      <c r="N65" s="91" t="inlineStr">
        <is>
          <t>Informe Trimestral III</t>
        </is>
      </c>
      <c r="O65" s="91" t="inlineStr">
        <is>
          <t>Insumo_Hoja_de_Ruta_ETITC_2027.docx (corte 02-09-2026)</t>
        </is>
      </c>
      <c r="P65" s="96" t="n"/>
      <c r="Q65" s="96" t="n"/>
      <c r="R65" s="96" t="n"/>
      <c r="S65" s="92">
        <f>IF(F65=LEFT('Buscador_Formulación PAA 2027'!$C$4,3),COUNTIF($F$4:F65,LEFT('Buscador_Formulación PAA 2027'!$C$4,3)),"")</f>
        <v/>
      </c>
    </row>
    <row r="66" ht="39" customHeight="1" s="23">
      <c r="A66" s="91" t="inlineStr">
        <is>
          <t>CP-063</t>
        </is>
      </c>
      <c r="B66" s="91" t="inlineStr">
        <is>
          <t>Plan de Acción 2026 / Hoja de Ruta Power Apps</t>
        </is>
      </c>
      <c r="C66" s="91" t="inlineStr">
        <is>
          <t>Hito pendiente</t>
        </is>
      </c>
      <c r="D66" s="91" t="inlineStr">
        <is>
          <t>Extender la revisión de pertinencia a todos los productos ejecutados de 2026.</t>
        </is>
      </c>
      <c r="E66" s="91" t="inlineStr">
        <is>
          <t>OAPDI</t>
        </is>
      </c>
      <c r="F66" s="91" t="inlineStr">
        <is>
          <t>A05</t>
        </is>
      </c>
      <c r="G66" s="91">
        <f>IFERROR(INDEX(Dependencias!$H$5:$H$51,MATCH(F66,Dependencias!$E$5:$E$51,0)),"")</f>
        <v/>
      </c>
      <c r="H66" s="91">
        <f>IFERROR(INDEX(Dependencias!$F$5:$F$51,MATCH(F66,Dependencias!$E$5:$E$51,0))&amp;" · "&amp;INDEX(Dependencias!$G$5:$G$51,MATCH(F66,Dependencias!$E$5:$E$51,0)),"")</f>
        <v/>
      </c>
      <c r="I66" s="91" t="inlineStr">
        <is>
          <t>4.1.1.1</t>
        </is>
      </c>
      <c r="J66" s="91">
        <f>LEFT(I66,1)</f>
        <v/>
      </c>
      <c r="K66" s="91" t="inlineStr">
        <is>
          <t>102 revisados (83 aprobados, 19 con ajuste)</t>
        </is>
      </c>
      <c r="L66" s="91" t="inlineStr">
        <is>
          <t>Cierre 2026 / inicio 2027</t>
        </is>
      </c>
      <c r="M66" s="91" t="inlineStr">
        <is>
          <t>Matriz de aprobación</t>
        </is>
      </c>
      <c r="N66" s="91" t="inlineStr">
        <is>
          <t>Informe Trimestral III</t>
        </is>
      </c>
      <c r="O66" s="91" t="inlineStr">
        <is>
          <t>Insumo_Hoja_de_Ruta_ETITC_2027.docx (corte 02-09-2026)</t>
        </is>
      </c>
      <c r="P66" s="96" t="n"/>
      <c r="Q66" s="96" t="n"/>
      <c r="R66" s="96" t="n"/>
      <c r="S66" s="92">
        <f>IF(F66=LEFT('Buscador_Formulación PAA 2027'!$C$4,3),COUNTIF($F$4:F66,LEFT('Buscador_Formulación PAA 2027'!$C$4,3)),"")</f>
        <v/>
      </c>
    </row>
    <row r="67" ht="39" customHeight="1" s="23">
      <c r="A67" s="91" t="inlineStr">
        <is>
          <t>CP-064</t>
        </is>
      </c>
      <c r="B67" s="91" t="inlineStr">
        <is>
          <t>Plan de Acción 2026 / Hoja de Ruta Power Apps</t>
        </is>
      </c>
      <c r="C67" s="91" t="inlineStr">
        <is>
          <t>Estudio de impacto 2027</t>
        </is>
      </c>
      <c r="D67" s="91" t="inlineStr">
        <is>
          <t>Iniciar el estudio de impacto de Egresados (primero de la ruta de 8 estudios).</t>
        </is>
      </c>
      <c r="E67" s="91" t="inlineStr">
        <is>
          <t>Proceso de Egresados; OAPDI con analítica de datos</t>
        </is>
      </c>
      <c r="F67" s="91" t="inlineStr">
        <is>
          <t>A43</t>
        </is>
      </c>
      <c r="G67" s="91">
        <f>IFERROR(INDEX(Dependencias!$H$5:$H$51,MATCH(F67,Dependencias!$E$5:$E$51,0)),"")</f>
        <v/>
      </c>
      <c r="H67" s="91">
        <f>IFERROR(INDEX(Dependencias!$F$5:$F$51,MATCH(F67,Dependencias!$E$5:$E$51,0))&amp;" · "&amp;INDEX(Dependencias!$G$5:$G$51,MATCH(F67,Dependencias!$E$5:$E$51,0)),"")</f>
        <v/>
      </c>
      <c r="I67" s="91" t="inlineStr">
        <is>
          <t>1.1.1.1</t>
        </is>
      </c>
      <c r="J67" s="91">
        <f>LEFT(I67,1)</f>
        <v/>
      </c>
      <c r="K67" s="91" t="inlineStr">
        <is>
          <t>Formulado; ratificación en CIGD por verificar</t>
        </is>
      </c>
      <c r="L67" s="91" t="inlineStr">
        <is>
          <t>2027</t>
        </is>
      </c>
      <c r="M67" s="91" t="inlineStr">
        <is>
          <t>Diseño del estudio aprobado</t>
        </is>
      </c>
      <c r="N67" s="91" t="inlineStr">
        <is>
          <t>Informe Trimestral III, Tabla 27</t>
        </is>
      </c>
      <c r="O67" s="91" t="inlineStr">
        <is>
          <t>Insumo_Hoja_de_Ruta_ETITC_2027.docx (corte 02-09-2026)</t>
        </is>
      </c>
      <c r="P67" s="96" t="n"/>
      <c r="Q67" s="96" t="n"/>
      <c r="R67" s="96" t="n"/>
      <c r="S67" s="92">
        <f>IF(F67=LEFT('Buscador_Formulación PAA 2027'!$C$4,3),COUNTIF($F$4:F67,LEFT('Buscador_Formulación PAA 2027'!$C$4,3)),"")</f>
        <v/>
      </c>
    </row>
    <row r="68" ht="39" customHeight="1" s="23">
      <c r="A68" s="91" t="inlineStr">
        <is>
          <t>CP-065</t>
        </is>
      </c>
      <c r="B68" s="91" t="inlineStr">
        <is>
          <t>Plan de Acción 2026 / Hoja de Ruta Power Apps</t>
        </is>
      </c>
      <c r="C68" s="91" t="inlineStr">
        <is>
          <t>Estudio de impacto 2027</t>
        </is>
      </c>
      <c r="D68" s="91" t="inlineStr">
        <is>
          <t>Iniciar el estudio de impacto de Internacionalización y cooperación.</t>
        </is>
      </c>
      <c r="E68" s="91" t="inlineStr">
        <is>
          <t>Internacionalización; OAPDI</t>
        </is>
      </c>
      <c r="F68" s="91" t="inlineStr">
        <is>
          <t>A03</t>
        </is>
      </c>
      <c r="G68" s="91">
        <f>IFERROR(INDEX(Dependencias!$H$5:$H$51,MATCH(F68,Dependencias!$E$5:$E$51,0)),"")</f>
        <v/>
      </c>
      <c r="H68" s="91">
        <f>IFERROR(INDEX(Dependencias!$F$5:$F$51,MATCH(F68,Dependencias!$E$5:$E$51,0))&amp;" · "&amp;INDEX(Dependencias!$G$5:$G$51,MATCH(F68,Dependencias!$E$5:$E$51,0)),"")</f>
        <v/>
      </c>
      <c r="I68" s="91" t="inlineStr">
        <is>
          <t>4.4.1.2</t>
        </is>
      </c>
      <c r="J68" s="91">
        <f>LEFT(I68,1)</f>
        <v/>
      </c>
      <c r="K68" s="91" t="inlineStr">
        <is>
          <t>Formulado</t>
        </is>
      </c>
      <c r="L68" s="91" t="inlineStr">
        <is>
          <t>2027</t>
        </is>
      </c>
      <c r="M68" s="91" t="inlineStr">
        <is>
          <t>Diseño del estudio aprobado</t>
        </is>
      </c>
      <c r="N68" s="91" t="inlineStr">
        <is>
          <t>Informe Trimestral III, Tabla 27</t>
        </is>
      </c>
      <c r="O68" s="91" t="inlineStr">
        <is>
          <t>Insumo_Hoja_de_Ruta_ETITC_2027.docx (corte 02-09-2026)</t>
        </is>
      </c>
      <c r="P68" s="96" t="n"/>
      <c r="Q68" s="96" t="n"/>
      <c r="R68" s="96" t="n"/>
      <c r="S68" s="92">
        <f>IF(F68=LEFT('Buscador_Formulación PAA 2027'!$C$4,3),COUNTIF($F$4:F68,LEFT('Buscador_Formulación PAA 2027'!$C$4,3)),"")</f>
        <v/>
      </c>
    </row>
    <row r="69" ht="39" customHeight="1" s="23">
      <c r="A69" s="91" t="inlineStr">
        <is>
          <t>CP-066</t>
        </is>
      </c>
      <c r="B69" s="91" t="inlineStr">
        <is>
          <t>Plan de Acción 2026 / Hoja de Ruta Power Apps</t>
        </is>
      </c>
      <c r="C69" s="91" t="inlineStr">
        <is>
          <t>Estudio de impacto 2027</t>
        </is>
      </c>
      <c r="D69" s="91" t="inlineStr">
        <is>
          <t>Iniciar el estudio de impacto de Investigación (convocatoria de proyectos de interés institucional).</t>
        </is>
      </c>
      <c r="E69" s="91" t="inlineStr">
        <is>
          <t>Vicerrectoría de Investigación</t>
        </is>
      </c>
      <c r="F69" s="91" t="inlineStr">
        <is>
          <t>A39</t>
        </is>
      </c>
      <c r="G69" s="91">
        <f>IFERROR(INDEX(Dependencias!$H$5:$H$51,MATCH(F69,Dependencias!$E$5:$E$51,0)),"")</f>
        <v/>
      </c>
      <c r="H69" s="91">
        <f>IFERROR(INDEX(Dependencias!$F$5:$F$51,MATCH(F69,Dependencias!$E$5:$E$51,0))&amp;" · "&amp;INDEX(Dependencias!$G$5:$G$51,MATCH(F69,Dependencias!$E$5:$E$51,0)),"")</f>
        <v/>
      </c>
      <c r="I69" s="91" t="inlineStr">
        <is>
          <t>2.1.1.1</t>
        </is>
      </c>
      <c r="J69" s="91">
        <f>LEFT(I69,1)</f>
        <v/>
      </c>
      <c r="K69" s="91" t="inlineStr">
        <is>
          <t>Formulado</t>
        </is>
      </c>
      <c r="L69" s="91" t="inlineStr">
        <is>
          <t>2027</t>
        </is>
      </c>
      <c r="M69" s="91" t="inlineStr">
        <is>
          <t>Convocatoria y diseño del estudio</t>
        </is>
      </c>
      <c r="N69" s="91" t="inlineStr">
        <is>
          <t>Informe Trimestral III, Tabla 27</t>
        </is>
      </c>
      <c r="O69" s="91" t="inlineStr">
        <is>
          <t>Insumo_Hoja_de_Ruta_ETITC_2027.docx (corte 02-09-2026)</t>
        </is>
      </c>
      <c r="P69" s="96" t="n"/>
      <c r="Q69" s="96" t="n"/>
      <c r="R69" s="96" t="n"/>
      <c r="S69" s="92">
        <f>IF(F69=LEFT('Buscador_Formulación PAA 2027'!$C$4,3),COUNTIF($F$4:F69,LEFT('Buscador_Formulación PAA 2027'!$C$4,3)),"")</f>
        <v/>
      </c>
    </row>
    <row r="70" ht="39" customHeight="1" s="23">
      <c r="A70" s="91" t="inlineStr">
        <is>
          <t>CP-067</t>
        </is>
      </c>
      <c r="B70" s="91" t="inlineStr">
        <is>
          <t>Plan de Acción 2026 / Hoja de Ruta Power Apps</t>
        </is>
      </c>
      <c r="C70" s="91" t="inlineStr">
        <is>
          <t>Estudio de impacto 2027</t>
        </is>
      </c>
      <c r="D70" s="91" t="inlineStr">
        <is>
          <t>Iniciar el estudio de impacto de servicios de bienestar y políticas académicas.</t>
        </is>
      </c>
      <c r="E70" s="91" t="inlineStr">
        <is>
          <t>Vicerrectoría Académica y Bienestar; OAPDI</t>
        </is>
      </c>
      <c r="F70" s="91" t="inlineStr">
        <is>
          <t>A21</t>
        </is>
      </c>
      <c r="G70" s="91">
        <f>IFERROR(INDEX(Dependencias!$H$5:$H$51,MATCH(F70,Dependencias!$E$5:$E$51,0)),"")</f>
        <v/>
      </c>
      <c r="H70" s="91">
        <f>IFERROR(INDEX(Dependencias!$F$5:$F$51,MATCH(F70,Dependencias!$E$5:$E$51,0))&amp;" · "&amp;INDEX(Dependencias!$G$5:$G$51,MATCH(F70,Dependencias!$E$5:$E$51,0)),"")</f>
        <v/>
      </c>
      <c r="I70" s="91" t="inlineStr">
        <is>
          <t>6.2.1.1</t>
        </is>
      </c>
      <c r="J70" s="91">
        <f>LEFT(I70,1)</f>
        <v/>
      </c>
      <c r="K70" s="91" t="inlineStr">
        <is>
          <t>Formulado</t>
        </is>
      </c>
      <c r="L70" s="91" t="inlineStr">
        <is>
          <t>2027</t>
        </is>
      </c>
      <c r="M70" s="91" t="inlineStr">
        <is>
          <t>Diseño del estudio aprobado</t>
        </is>
      </c>
      <c r="N70" s="91" t="inlineStr">
        <is>
          <t>Informe Trimestral III, Tabla 27</t>
        </is>
      </c>
      <c r="O70" s="91" t="inlineStr">
        <is>
          <t>Insumo_Hoja_de_Ruta_ETITC_2027.docx (corte 02-09-2026)</t>
        </is>
      </c>
      <c r="P70" s="96" t="n"/>
      <c r="Q70" s="96" t="n"/>
      <c r="R70" s="96" t="n"/>
      <c r="S70" s="92">
        <f>IF(F70=LEFT('Buscador_Formulación PAA 2027'!$C$4,3),COUNTIF($F$4:F70,LEFT('Buscador_Formulación PAA 2027'!$C$4,3)),"")</f>
        <v/>
      </c>
    </row>
    <row r="71" ht="66" customHeight="1" s="23">
      <c r="A71" s="91" t="inlineStr">
        <is>
          <t>CP-068</t>
        </is>
      </c>
      <c r="B71" s="91" t="inlineStr">
        <is>
          <t>Acta CIGD 6-2026 (07-10-2026) — Gestión energética</t>
        </is>
      </c>
      <c r="C71" s="91" t="inlineStr">
        <is>
          <t>Compromiso de comité</t>
        </is>
      </c>
      <c r="D71" s="91" t="inlineStr">
        <is>
          <t>Tramitar la modificación al contrato vigente para elaborar el avance parcial del PGEE (bloques F, G y H de la sede Centro) y apoyar el cargue de la información en el Sistema Único de Usuarios de la UPME.</t>
        </is>
      </c>
      <c r="E71" s="91" t="inlineStr">
        <is>
          <t>Gestión Ambiental; Oficina de Contratación</t>
        </is>
      </c>
      <c r="F71" s="91" t="inlineStr">
        <is>
          <t>A10</t>
        </is>
      </c>
      <c r="G71" s="91">
        <f>IFERROR(INDEX(Dependencias!$H$5:$H$51,MATCH(F71,Dependencias!$E$5:$E$51,0)),"")</f>
        <v/>
      </c>
      <c r="H71" s="91">
        <f>IFERROR(INDEX(Dependencias!$F$5:$F$51,MATCH(F71,Dependencias!$E$5:$E$51,0))&amp;" · "&amp;INDEX(Dependencias!$G$5:$G$51,MATCH(F71,Dependencias!$E$5:$E$51,0)),"")</f>
        <v/>
      </c>
      <c r="I71" s="91" t="inlineStr">
        <is>
          <t>6.1.1.2</t>
        </is>
      </c>
      <c r="J71" s="91">
        <f>LEFT(I71,1)</f>
        <v/>
      </c>
      <c r="K71" s="91" t="inlineStr">
        <is>
          <t>Aprobado por el CIGD; en trámite en la vigencia 2026</t>
        </is>
      </c>
      <c r="L71" s="91" t="inlineStr">
        <is>
          <t>Sugerida por la OAP: recibo a satisfacción de los 5 productos a más tardar en el I trimestre de 2027</t>
        </is>
      </c>
      <c r="M71" s="91" t="inlineStr">
        <is>
          <t>5 productos del avance parcial</t>
        </is>
      </c>
      <c r="N71" s="91" t="inlineStr">
        <is>
          <t>Res. MinEnergía 40412 de 2024</t>
        </is>
      </c>
      <c r="O71" s="91" t="inlineStr">
        <is>
          <t>Acta_de_Reunion_CIGD_6_2026_-_Borrador2_1.docx (punto 5 y numeral 4.2)</t>
        </is>
      </c>
      <c r="P71" s="96" t="n"/>
      <c r="Q71" s="96" t="n"/>
      <c r="R71" s="96" t="n"/>
      <c r="S71" s="92">
        <f>IF(F71=LEFT('Buscador_Formulación PAA 2027'!$C$4,3),COUNTIF($F$4:F71,LEFT('Buscador_Formulación PAA 2027'!$C$4,3)),"")</f>
        <v/>
      </c>
    </row>
    <row r="72" ht="66" customHeight="1" s="23">
      <c r="A72" s="91" t="inlineStr">
        <is>
          <t>CP-069</t>
        </is>
      </c>
      <c r="B72" s="91" t="inlineStr">
        <is>
          <t>Acta CIGD 6-2026 (07-10-2026) — Gestión energética</t>
        </is>
      </c>
      <c r="C72" s="91" t="inlineStr">
        <is>
          <t>Compromiso de comité</t>
        </is>
      </c>
      <c r="D72" s="91" t="inlineStr">
        <is>
          <t>Formalizar la designación de Juan David Fonseca, Profesional de Gestión de Infraestructura Eléctrica, como Gestor Energético Institucional (revisable para 2027).</t>
        </is>
      </c>
      <c r="E72" s="91" t="inlineStr">
        <is>
          <t>OAPDI; Gestión Ambiental</t>
        </is>
      </c>
      <c r="F72" s="91" t="inlineStr">
        <is>
          <t>A05</t>
        </is>
      </c>
      <c r="G72" s="91">
        <f>IFERROR(INDEX(Dependencias!$H$5:$H$51,MATCH(F72,Dependencias!$E$5:$E$51,0)),"")</f>
        <v/>
      </c>
      <c r="H72" s="91">
        <f>IFERROR(INDEX(Dependencias!$F$5:$F$51,MATCH(F72,Dependencias!$E$5:$E$51,0))&amp;" · "&amp;INDEX(Dependencias!$G$5:$G$51,MATCH(F72,Dependencias!$E$5:$E$51,0)),"")</f>
        <v/>
      </c>
      <c r="I72" s="91" t="inlineStr">
        <is>
          <t>6.1.1.2</t>
        </is>
      </c>
      <c r="J72" s="91">
        <f>LEFT(I72,1)</f>
        <v/>
      </c>
      <c r="K72" s="91" t="inlineStr">
        <is>
          <t>Aprobada por el CIGD el 07-10-2026; acto formal en la vigencia 2026</t>
        </is>
      </c>
      <c r="L72" s="91" t="inlineStr">
        <is>
          <t>Sugerida por la OAP: ratificación o nueva designación en enero de 2027</t>
        </is>
      </c>
      <c r="M72" s="91" t="inlineStr">
        <is>
          <t>Acta, circular o acto de designación</t>
        </is>
      </c>
      <c r="N72" s="91" t="inlineStr">
        <is>
          <t>Res. 40412 de 2024, art. 4, parágrafo 3</t>
        </is>
      </c>
      <c r="O72" s="91" t="inlineStr">
        <is>
          <t>Acta_de_Reunion_CIGD_6_2026_-_Borrador2_1.docx (punto 5 y numeral 4.2)</t>
        </is>
      </c>
      <c r="P72" s="96" t="n"/>
      <c r="Q72" s="96" t="n"/>
      <c r="R72" s="96" t="n"/>
      <c r="S72" s="92">
        <f>IF(F72=LEFT('Buscador_Formulación PAA 2027'!$C$4,3),COUNTIF($F$4:F72,LEFT('Buscador_Formulación PAA 2027'!$C$4,3)),"")</f>
        <v/>
      </c>
    </row>
    <row r="73" ht="92.25" customHeight="1" s="23">
      <c r="A73" s="91" t="inlineStr">
        <is>
          <t>CP-070</t>
        </is>
      </c>
      <c r="B73" s="91" t="inlineStr">
        <is>
          <t>Acta CIGD 6-2026 (07-10-2026) — Gestión energética</t>
        </is>
      </c>
      <c r="C73" s="91" t="inlineStr">
        <is>
          <t>Compromiso de comité</t>
        </is>
      </c>
      <c r="D73" s="91" t="inlineStr">
        <is>
          <t>Programar la auditoría energética integral, el PGEE y la Política de Gestión Energética para toda la sede Centro, como consultoría con interventoría.</t>
        </is>
      </c>
      <c r="E73" s="91" t="inlineStr">
        <is>
          <t>Gestión Ambiental; Oficina de Contratación; OAPDI</t>
        </is>
      </c>
      <c r="F73" s="91" t="inlineStr">
        <is>
          <t>A10</t>
        </is>
      </c>
      <c r="G73" s="91">
        <f>IFERROR(INDEX(Dependencias!$H$5:$H$51,MATCH(F73,Dependencias!$E$5:$E$51,0)),"")</f>
        <v/>
      </c>
      <c r="H73" s="91">
        <f>IFERROR(INDEX(Dependencias!$F$5:$F$51,MATCH(F73,Dependencias!$E$5:$E$51,0))&amp;" · "&amp;INDEX(Dependencias!$G$5:$G$51,MATCH(F73,Dependencias!$E$5:$E$51,0)),"")</f>
        <v/>
      </c>
      <c r="I73" s="91" t="inlineStr">
        <is>
          <t>6.1.1.2</t>
        </is>
      </c>
      <c r="J73" s="91">
        <f>LEFT(I73,1)</f>
        <v/>
      </c>
      <c r="K73" s="91" t="inlineStr">
        <is>
          <t>Programado para la vigencia 2027</t>
        </is>
      </c>
      <c r="L73" s="91" t="inlineStr">
        <is>
          <t>Sugerida por la OAP: contratación en el I semestre; PGEE y política adoptados en el II semestre de 2027</t>
        </is>
      </c>
      <c r="M73" s="91" t="inlineStr">
        <is>
          <t>Contratos, informe de auditoría, PGEE y política adoptados</t>
        </is>
      </c>
      <c r="N73" s="91" t="inlineStr">
        <is>
          <t>Ley 697 de 2001; Ley 2294 de 2023, art. 237; Res. 40412 de 2024</t>
        </is>
      </c>
      <c r="O73" s="91" t="inlineStr">
        <is>
          <t>Acta_de_Reunion_CIGD_6_2026_-_Borrador2_1.docx (punto 5 y numeral 4.2)</t>
        </is>
      </c>
      <c r="P73" s="96" t="n"/>
      <c r="Q73" s="96" t="n"/>
      <c r="R73" s="96" t="n"/>
      <c r="S73" s="92">
        <f>IF(F73=LEFT('Buscador_Formulación PAA 2027'!$C$4,3),COUNTIF($F$4:F73,LEFT('Buscador_Formulación PAA 2027'!$C$4,3)),"")</f>
        <v/>
      </c>
    </row>
    <row r="74" ht="52.5" customHeight="1" s="23">
      <c r="A74" s="91" t="inlineStr">
        <is>
          <t>CP-071</t>
        </is>
      </c>
      <c r="B74" s="91" t="inlineStr">
        <is>
          <t>Acta CIGD 6-2026 (07-10-2026) — Gestión energética</t>
        </is>
      </c>
      <c r="C74" s="91" t="inlineStr">
        <is>
          <t>Compromiso de comité</t>
        </is>
      </c>
      <c r="D74" s="91" t="inlineStr">
        <is>
          <t>Construir la línea base de consumo energético con la carga previa a la obra de infraestructura y comparar en consumo (kWh), no en costo.</t>
        </is>
      </c>
      <c r="E74" s="91" t="inlineStr">
        <is>
          <t>Gestión Ambiental; Gestión de Infraestructura Eléctrica</t>
        </is>
      </c>
      <c r="F74" s="91" t="inlineStr">
        <is>
          <t>A31</t>
        </is>
      </c>
      <c r="G74" s="91">
        <f>IFERROR(INDEX(Dependencias!$H$5:$H$51,MATCH(F74,Dependencias!$E$5:$E$51,0)),"")</f>
        <v/>
      </c>
      <c r="H74" s="91">
        <f>IFERROR(INDEX(Dependencias!$F$5:$F$51,MATCH(F74,Dependencias!$E$5:$E$51,0))&amp;" · "&amp;INDEX(Dependencias!$G$5:$G$51,MATCH(F74,Dependencias!$E$5:$E$51,0)),"")</f>
        <v/>
      </c>
      <c r="I74" s="91" t="inlineStr">
        <is>
          <t>6.1.1.2</t>
        </is>
      </c>
      <c r="J74" s="91">
        <f>LEFT(I74,1)</f>
        <v/>
      </c>
      <c r="K74" s="91" t="inlineStr">
        <is>
          <t>Vigencia 2026</t>
        </is>
      </c>
      <c r="L74" s="91" t="inlineStr">
        <is>
          <t>Sugerida por la OAP: validada dentro del PGEE en 2027</t>
        </is>
      </c>
      <c r="M74" s="91" t="inlineStr">
        <is>
          <t>Documento de línea base e indicadores</t>
        </is>
      </c>
      <c r="N74" s="91" t="inlineStr">
        <is>
          <t>Res. UPME 000016 de 2024</t>
        </is>
      </c>
      <c r="O74" s="91" t="inlineStr">
        <is>
          <t>Acta_de_Reunion_CIGD_6_2026_-_Borrador2_1.docx (punto 5 y numeral 4.2)</t>
        </is>
      </c>
      <c r="P74" s="96" t="n"/>
      <c r="Q74" s="96" t="n"/>
      <c r="R74" s="96" t="n"/>
      <c r="S74" s="92">
        <f>IF(F74=LEFT('Buscador_Formulación PAA 2027'!$C$4,3),COUNTIF($F$4:F74,LEFT('Buscador_Formulación PAA 2027'!$C$4,3)),"")</f>
        <v/>
      </c>
    </row>
    <row r="75" ht="66" customHeight="1" s="23">
      <c r="A75" s="91" t="inlineStr">
        <is>
          <t>CP-072</t>
        </is>
      </c>
      <c r="B75" s="91" t="inlineStr">
        <is>
          <t>Acta CIGD 6-2026 (07-10-2026) — Gestión energética</t>
        </is>
      </c>
      <c r="C75" s="91" t="inlineStr">
        <is>
          <t>Compromiso de comité</t>
        </is>
      </c>
      <c r="D75" s="91" t="inlineStr">
        <is>
          <t>Revisar la política ambiental, reactivar los comités previstos y diseñar la campaña institucional de uso racional de la energía y del agua.</t>
        </is>
      </c>
      <c r="E75" s="91" t="inlineStr">
        <is>
          <t>Gestión Ambiental; Gestión de Comunicaciones</t>
        </is>
      </c>
      <c r="F75" s="91" t="inlineStr">
        <is>
          <t>A10</t>
        </is>
      </c>
      <c r="G75" s="91">
        <f>IFERROR(INDEX(Dependencias!$H$5:$H$51,MATCH(F75,Dependencias!$E$5:$E$51,0)),"")</f>
        <v/>
      </c>
      <c r="H75" s="91">
        <f>IFERROR(INDEX(Dependencias!$F$5:$F$51,MATCH(F75,Dependencias!$E$5:$E$51,0))&amp;" · "&amp;INDEX(Dependencias!$G$5:$G$51,MATCH(F75,Dependencias!$E$5:$E$51,0)),"")</f>
        <v/>
      </c>
      <c r="I75" s="91" t="inlineStr">
        <is>
          <t>6.1.1.1</t>
        </is>
      </c>
      <c r="J75" s="91">
        <f>LEFT(I75,1)</f>
        <v/>
      </c>
      <c r="K75" s="91" t="inlineStr">
        <is>
          <t>Fecha por definir en el acta</t>
        </is>
      </c>
      <c r="L75" s="91" t="inlineStr">
        <is>
          <t>Sugerida por la OAP: política y comité en el I trimestre; campaña desde primer semestre de 2027</t>
        </is>
      </c>
      <c r="M75" s="91" t="inlineStr">
        <is>
          <t>Política revisada, actas de comité y piezas de campaña</t>
        </is>
      </c>
      <c r="N75" s="91" t="inlineStr">
        <is>
          <t>Política ambiental institucional</t>
        </is>
      </c>
      <c r="O75" s="91" t="inlineStr">
        <is>
          <t>Acta_de_Reunion_CIGD_6_2026_-_Borrador2_1.docx (punto 5 y numeral 4.2)</t>
        </is>
      </c>
      <c r="P75" s="96" t="n"/>
      <c r="Q75" s="96" t="n"/>
      <c r="R75" s="96" t="n"/>
      <c r="S75" s="92">
        <f>IF(F75=LEFT('Buscador_Formulación PAA 2027'!$C$4,3),COUNTIF($F$4:F75,LEFT('Buscador_Formulación PAA 2027'!$C$4,3)),"")</f>
        <v/>
      </c>
    </row>
    <row r="76" ht="39" customHeight="1" s="23">
      <c r="A76" s="91" t="inlineStr">
        <is>
          <t>CP-073</t>
        </is>
      </c>
      <c r="B76" s="91" t="inlineStr">
        <is>
          <t>Acta CIGD 6-2026 (07-10-2026) — Gestión energética</t>
        </is>
      </c>
      <c r="C76" s="91" t="inlineStr">
        <is>
          <t>Compromiso de comité</t>
        </is>
      </c>
      <c r="D76" s="91" t="inlineStr">
        <is>
          <t>Incorporar criterios de eficiencia energética en la planeación 2027, incluidas las nuevas sedes (Fusagasugá) y las modificaciones estructurales previstas.</t>
        </is>
      </c>
      <c r="E76" s="91" t="inlineStr">
        <is>
          <t>OAPDI; Planta Física</t>
        </is>
      </c>
      <c r="F76" s="91" t="inlineStr">
        <is>
          <t>A31</t>
        </is>
      </c>
      <c r="G76" s="91">
        <f>IFERROR(INDEX(Dependencias!$H$5:$H$51,MATCH(F76,Dependencias!$E$5:$E$51,0)),"")</f>
        <v/>
      </c>
      <c r="H76" s="91">
        <f>IFERROR(INDEX(Dependencias!$F$5:$F$51,MATCH(F76,Dependencias!$E$5:$E$51,0))&amp;" · "&amp;INDEX(Dependencias!$G$5:$G$51,MATCH(F76,Dependencias!$E$5:$E$51,0)),"")</f>
        <v/>
      </c>
      <c r="I76" s="91" t="inlineStr">
        <is>
          <t>5.1.1.1</t>
        </is>
      </c>
      <c r="J76" s="91">
        <f>LEFT(I76,1)</f>
        <v/>
      </c>
      <c r="K76" s="91" t="inlineStr">
        <is>
          <t>Para la jornada de planeación de noviembre de 2026</t>
        </is>
      </c>
      <c r="L76" s="91" t="inlineStr">
        <is>
          <t>2027 (estudios y diseños de sedes y reforzamiento)</t>
        </is>
      </c>
      <c r="M76" s="91" t="inlineStr">
        <is>
          <t>Criterios en términos de referencia y diseños</t>
        </is>
      </c>
      <c r="N76" s="91" t="inlineStr">
        <is>
          <t>Acta CIGD 6-2026, punto 5</t>
        </is>
      </c>
      <c r="O76" s="91" t="inlineStr">
        <is>
          <t>Acta_de_Reunion_CIGD_6_2026_-_Borrador2_1.docx (punto 5 y numeral 4.2)</t>
        </is>
      </c>
      <c r="P76" s="96" t="n"/>
      <c r="Q76" s="96" t="n"/>
      <c r="R76" s="96" t="n"/>
      <c r="S76" s="92">
        <f>IF(F76=LEFT('Buscador_Formulación PAA 2027'!$C$4,3),COUNTIF($F$4:F76,LEFT('Buscador_Formulación PAA 2027'!$C$4,3)),"")</f>
        <v/>
      </c>
    </row>
    <row r="77" ht="39" customHeight="1" s="23">
      <c r="A77" s="91" t="inlineStr">
        <is>
          <t>CP-074</t>
        </is>
      </c>
      <c r="B77" s="91" t="inlineStr">
        <is>
          <t>Acta CIGD 6-2026 (07-10-2026) — Gestión energética</t>
        </is>
      </c>
      <c r="C77" s="91" t="inlineStr">
        <is>
          <t>Compromiso vinculante</t>
        </is>
      </c>
      <c r="D77" s="91" t="inlineStr">
        <is>
          <t>Reportar cada año a la UPME los resultados de la gestión energética (línea base, medidas y ahorro) en el Sistema Único de Usuarios.</t>
        </is>
      </c>
      <c r="E77" s="91" t="inlineStr">
        <is>
          <t>Gestión Ambiental; Gestor Energético</t>
        </is>
      </c>
      <c r="F77" s="91" t="inlineStr">
        <is>
          <t>A10</t>
        </is>
      </c>
      <c r="G77" s="91">
        <f>IFERROR(INDEX(Dependencias!$H$5:$H$51,MATCH(F77,Dependencias!$E$5:$E$51,0)),"")</f>
        <v/>
      </c>
      <c r="H77" s="91">
        <f>IFERROR(INDEX(Dependencias!$F$5:$F$51,MATCH(F77,Dependencias!$E$5:$E$51,0))&amp;" · "&amp;INDEX(Dependencias!$G$5:$G$51,MATCH(F77,Dependencias!$E$5:$E$51,0)),"")</f>
        <v/>
      </c>
      <c r="I77" s="91" t="inlineStr">
        <is>
          <t>6.1.1.2</t>
        </is>
      </c>
      <c r="J77" s="91">
        <f>LEFT(I77,1)</f>
        <v/>
      </c>
      <c r="K77" s="91" t="inlineStr">
        <is>
          <t>Incumplido a la fecha según el acta</t>
        </is>
      </c>
      <c r="L77" s="91" t="inlineStr">
        <is>
          <t>Sugerida por la OAP: primer reporte completo en 2027</t>
        </is>
      </c>
      <c r="M77" s="91" t="inlineStr">
        <is>
          <t>Reporte radicado en el SUU</t>
        </is>
      </c>
      <c r="N77" s="91" t="inlineStr">
        <is>
          <t>Ley 2294 de 2023, art. 237; Circular UPME 000089 de 2025</t>
        </is>
      </c>
      <c r="O77" s="91" t="inlineStr">
        <is>
          <t>Acta_de_Reunion_CIGD_6_2026_-_Borrador2_1.docx (punto 5 y numeral 4.2)</t>
        </is>
      </c>
      <c r="P77" s="96" t="n"/>
      <c r="Q77" s="96" t="n"/>
      <c r="R77" s="96" t="n"/>
      <c r="S77" s="92">
        <f>IF(F77=LEFT('Buscador_Formulación PAA 2027'!$C$4,3),COUNTIF($F$4:F77,LEFT('Buscador_Formulación PAA 2027'!$C$4,3)),"")</f>
        <v/>
      </c>
    </row>
  </sheetData>
  <sheetProtection selectLockedCells="0" selectUnlockedCells="0" sheet="1" objects="0" insertRows="1" insertHyperlinks="1" autoFilter="0" scenarios="0" formatColumns="0" deleteColumns="1" insertColumns="1" pivotTables="1" deleteRows="1" formatCells="1" formatRows="0" sort="1" password="cc6d"/>
  <autoFilter ref="A3:R77"/>
  <dataValidations count="1">
    <dataValidation sqref="P4:P77" showDropDown="0" showInputMessage="0" showErrorMessage="0" allowBlank="1" type="list" errorStyle="stop" operator="between">
      <formula1>L_DECISION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U2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23">
      <c r="A1" s="84" t="inlineStr">
        <is>
          <t>Base de metas por área funcional — PAA 2027 (la imparte la OAPDI)</t>
        </is>
      </c>
    </row>
    <row r="2" ht="15" customHeight="1" s="23">
      <c r="A2" s="84" t="inlineStr">
        <is>
          <t>Cada fila asigna una meta del PDI a un área responsable. Las áreas con productos 2026 en la meta quedan asignadas automáticamente; las metas sin productos llevan una asignación propuesta que la OAPDI debe validar. La OAPDI diligencia la columna Q (aporte esperado del área en 2027); la meta institucional 2027 se diligencia en Catalogos!I.</t>
        </is>
      </c>
    </row>
    <row r="3"/>
    <row r="4" ht="15" customHeight="1" s="23">
      <c r="A4" s="84" t="inlineStr">
        <is>
          <t>Id asignación</t>
        </is>
      </c>
      <c r="B4" s="84" t="inlineStr">
        <is>
          <t>Código meta</t>
        </is>
      </c>
      <c r="C4" s="84" t="inlineStr">
        <is>
          <t>Eje</t>
        </is>
      </c>
      <c r="D4" s="84" t="inlineStr">
        <is>
          <t>Línea</t>
        </is>
      </c>
      <c r="E4" s="84" t="inlineStr">
        <is>
          <t>Meta estratégica (PDI)</t>
        </is>
      </c>
      <c r="F4" s="84" t="inlineStr">
        <is>
          <t>Indicador de la meta</t>
        </is>
      </c>
      <c r="G4" s="84" t="inlineStr">
        <is>
          <t>Meta 2032</t>
        </is>
      </c>
      <c r="H4" s="84" t="inlineStr">
        <is>
          <t>Meta institucional 2027</t>
        </is>
      </c>
      <c r="I4" s="84" t="inlineStr">
        <is>
          <t>Id área</t>
        </is>
      </c>
      <c r="J4" s="84" t="inlineStr">
        <is>
          <t>Dependencia</t>
        </is>
      </c>
      <c r="K4" s="84" t="inlineStr">
        <is>
          <t>Área funcional</t>
        </is>
      </c>
      <c r="L4" s="84" t="inlineStr">
        <is>
          <t>Proceso</t>
        </is>
      </c>
      <c r="M4" s="84" t="inlineStr">
        <is>
          <t>Origen de la asignación</t>
        </is>
      </c>
      <c r="N4" s="84" t="inlineStr">
        <is>
          <t>Productos 2026 (sábana vigente)</t>
        </is>
      </c>
      <c r="O4" s="84" t="inlineStr">
        <is>
          <t>Ejecutados 2026</t>
        </is>
      </c>
      <c r="P4" s="84" t="inlineStr">
        <is>
          <t>Pendientes 2026 (vencidos + planeados)</t>
        </is>
      </c>
      <c r="Q4" s="84" t="inlineStr">
        <is>
          <t>Compromisos de proyectos estructurantes</t>
        </is>
      </c>
      <c r="R4" s="84" t="inlineStr">
        <is>
          <t>Aporte esperado del área en 2027 (sugerencia automática; la OAPDI puede reemplazarla)</t>
        </is>
      </c>
      <c r="S4" s="84" t="inlineStr">
        <is>
          <t>Indicadores de impacto sugeridos</t>
        </is>
      </c>
      <c r="T4" s="84" t="inlineStr">
        <is>
          <t>Hoja donde se formula</t>
        </is>
      </c>
      <c r="U4" s="84" t="inlineStr">
        <is>
          <t>Aux. buscador</t>
        </is>
      </c>
    </row>
    <row r="5" ht="15" customHeight="1" s="23">
      <c r="A5" s="84" t="inlineStr">
        <is>
          <t>E1-001</t>
        </is>
      </c>
      <c r="B5" s="84" t="inlineStr">
        <is>
          <t>1.1.1.1</t>
        </is>
      </c>
      <c r="C5" s="84" t="inlineStr">
        <is>
          <t>Formación y pedagogía de calidad</t>
        </is>
      </c>
      <c r="D5" s="84" t="inlineStr">
        <is>
          <t>1.1 Ampliación de cobertura</t>
        </is>
      </c>
      <c r="E5" s="84" t="inlineStr">
        <is>
          <t>Contar con 11.000 estudiantes vinculados a programas de educación superior al 2032.</t>
        </is>
      </c>
      <c r="F5" s="84" t="inlineStr">
        <is>
          <t>N.° de estudiantes matriculados en programas de educación superior (SNIES)</t>
        </is>
      </c>
      <c r="G5" s="84" t="inlineStr">
        <is>
          <t>11.000 estudiantes</t>
        </is>
      </c>
      <c r="H5" s="84" t="inlineStr">
        <is>
          <t>5.400 estudiantes</t>
        </is>
      </c>
      <c r="I5" s="84" t="inlineStr">
        <is>
          <t>A02</t>
        </is>
      </c>
      <c r="J5" s="84" t="inlineStr">
        <is>
          <t>100 · Rectoría</t>
        </is>
      </c>
      <c r="K5" s="84" t="inlineStr">
        <is>
          <t>Comunicaciones y Mercadeo</t>
        </is>
      </c>
      <c r="L5" s="84" t="inlineStr">
        <is>
          <t>Gestión de Comunicaciones</t>
        </is>
      </c>
      <c r="M5" s="84" t="inlineStr">
        <is>
          <t>Responsable en el PAA 2026</t>
        </is>
      </c>
      <c r="N5" s="84" t="n">
        <v>1</v>
      </c>
      <c r="O5" s="84" t="n">
        <v>1</v>
      </c>
      <c r="P5" s="84" t="n">
        <v>0</v>
      </c>
      <c r="Q5" s="84" t="n">
        <v>0</v>
      </c>
      <c r="R5" s="84" t="inlineStr">
        <is>
          <t>Diseñar y ejecutar las campañas de promoción de la oferta académica para los periodos de inscripción de 2027, medidas en inscritos por campaña.</t>
        </is>
      </c>
      <c r="S5" s="84" t="inlineStr">
        <is>
          <t>IMP-12; IMP-13</t>
        </is>
      </c>
      <c r="T5" s="84" t="inlineStr">
        <is>
          <t>Formulación_Ejes_2027</t>
        </is>
      </c>
      <c r="U5" s="84">
        <f>IF(I5=LEFT('Buscador_Formulación PAA 2027'!$C$4,3),COUNTIF($I$5:I5,LEFT('Buscador_Formulación PAA 2027'!$C$4,3)),"")</f>
        <v/>
      </c>
    </row>
    <row r="6" ht="15" customHeight="1" s="23">
      <c r="A6" s="115" t="inlineStr">
        <is>
          <t>E1-002</t>
        </is>
      </c>
      <c r="B6" s="115" t="inlineStr">
        <is>
          <t>1.1.1.1</t>
        </is>
      </c>
      <c r="C6" s="115" t="inlineStr">
        <is>
          <t>Formación y pedagogía de calidad</t>
        </is>
      </c>
      <c r="D6" s="115" t="inlineStr">
        <is>
          <t>1.1 Ampliación de cobertura</t>
        </is>
      </c>
      <c r="E6" s="115" t="inlineStr">
        <is>
          <t>Contar con 11.000 estudiantes vinculados a programas de educación superior al 2032.</t>
        </is>
      </c>
      <c r="F6" s="115" t="inlineStr">
        <is>
          <t>N.° de estudiantes matriculados en programas de educación superior (SNIES)</t>
        </is>
      </c>
      <c r="G6" s="115" t="inlineStr">
        <is>
          <t>11.000 estudiantes</t>
        </is>
      </c>
      <c r="H6" s="115" t="inlineStr">
        <is>
          <t>5.400 estudiantes</t>
        </is>
      </c>
      <c r="I6" s="115" t="inlineStr">
        <is>
          <t>A05</t>
        </is>
      </c>
      <c r="J6" s="115" t="inlineStr">
        <is>
          <t>101 · Oficina Asesora de Planeación y Desarrollo Institucional</t>
        </is>
      </c>
      <c r="K6" s="115" t="inlineStr">
        <is>
          <t>Planeación y Plan de Acción</t>
        </is>
      </c>
      <c r="L6" s="115" t="inlineStr">
        <is>
          <t>Direccionamiento Institucional</t>
        </is>
      </c>
      <c r="M6" s="115" t="inlineStr">
        <is>
          <t>Responsable en el PAA 2026</t>
        </is>
      </c>
      <c r="N6" s="115" t="n">
        <v>2</v>
      </c>
      <c r="O6" s="115" t="n">
        <v>0</v>
      </c>
      <c r="P6" s="115" t="n">
        <v>2</v>
      </c>
      <c r="Q6" s="115" t="n">
        <v>2</v>
      </c>
      <c r="R6" s="115" t="inlineStr">
        <is>
          <t>Acción propuesta AC27.01: Fortalecer la medición de la cobertura y de sus efectos, de modo que la Escuela sepa cuántos estudiantes nuevos gana cada año y qué pasa con ellos al egresar. Actividades a su cargo: A27-001 Adoptar el crecimiento neto de primer curso como indicador de meta, junto con nuevos atendidos. Con esta acción se atienden compromisos pendientes de 2026 de los proyectos estructurantes. Cerrar o reprogramar en el SUIE los 2 productos 2026 pendientes de esta meta.</t>
        </is>
      </c>
      <c r="S6" s="115" t="inlineStr">
        <is>
          <t>IMP-12; IMP-13</t>
        </is>
      </c>
      <c r="T6" s="115" t="inlineStr">
        <is>
          <t>Formulación_Ejes_2027</t>
        </is>
      </c>
      <c r="U6" s="115">
        <f>IF(I6=LEFT('Buscador_Formulación PAA 2027'!$C$4,3),COUNTIF($I$5:I6,LEFT('Buscador_Formulación PAA 2027'!$C$4,3)),"")</f>
        <v/>
      </c>
    </row>
    <row r="7" ht="15" customHeight="1" s="23">
      <c r="A7" s="115" t="inlineStr">
        <is>
          <t>E1-003</t>
        </is>
      </c>
      <c r="B7" s="115" t="inlineStr">
        <is>
          <t>1.1.1.1</t>
        </is>
      </c>
      <c r="C7" s="115" t="inlineStr">
        <is>
          <t>Formación y pedagogía de calidad</t>
        </is>
      </c>
      <c r="D7" s="115" t="inlineStr">
        <is>
          <t>1.1 Ampliación de cobertura</t>
        </is>
      </c>
      <c r="E7" s="115" t="inlineStr">
        <is>
          <t>Contar con 11.000 estudiantes vinculados a programas de educación superior al 2032.</t>
        </is>
      </c>
      <c r="F7" s="115" t="inlineStr">
        <is>
          <t>N.° de estudiantes matriculados en programas de educación superior (SNIES)</t>
        </is>
      </c>
      <c r="G7" s="115" t="inlineStr">
        <is>
          <t>11.000 estudiantes</t>
        </is>
      </c>
      <c r="H7" s="115" t="inlineStr">
        <is>
          <t>5.400 estudiantes</t>
        </is>
      </c>
      <c r="I7" s="115" t="inlineStr">
        <is>
          <t>A06</t>
        </is>
      </c>
      <c r="J7" s="115" t="inlineStr">
        <is>
          <t>101 · Oficina Asesora de Planeación y Desarrollo Institucional</t>
        </is>
      </c>
      <c r="K7" s="115" t="inlineStr">
        <is>
          <t>Gestión de Proyectos</t>
        </is>
      </c>
      <c r="L7" s="115" t="inlineStr">
        <is>
          <t>Direccionamiento Institucional</t>
        </is>
      </c>
      <c r="M7" s="115" t="inlineStr">
        <is>
          <t>Responsable en el PAA 2026</t>
        </is>
      </c>
      <c r="N7" s="115" t="n">
        <v>1</v>
      </c>
      <c r="O7" s="115" t="n">
        <v>0</v>
      </c>
      <c r="P7" s="115" t="n">
        <v>1</v>
      </c>
      <c r="Q7" s="115" t="n">
        <v>0</v>
      </c>
      <c r="R7" s="115" t="inlineStr">
        <is>
          <t>Formular y hacer seguimiento al proyecto de inversión que financia la ampliación de cobertura, para que los recursos lleguen a tiempo a cada periodo académico. Cerrar o reprogramar en el SUIE el producto 2026 pendiente de esta meta.</t>
        </is>
      </c>
      <c r="S7" s="115" t="inlineStr">
        <is>
          <t>IMP-12; IMP-13</t>
        </is>
      </c>
      <c r="T7" s="115" t="inlineStr">
        <is>
          <t>Formulación_Ejes_2027</t>
        </is>
      </c>
      <c r="U7" s="115">
        <f>IF(I7=LEFT('Buscador_Formulación PAA 2027'!$C$4,3),COUNTIF($I$5:I7,LEFT('Buscador_Formulación PAA 2027'!$C$4,3)),"")</f>
        <v/>
      </c>
    </row>
    <row r="8" ht="15" customHeight="1" s="23">
      <c r="A8" s="115" t="inlineStr">
        <is>
          <t>E1-004</t>
        </is>
      </c>
      <c r="B8" s="115" t="inlineStr">
        <is>
          <t>1.1.1.1</t>
        </is>
      </c>
      <c r="C8" s="115" t="inlineStr">
        <is>
          <t>Formación y pedagogía de calidad</t>
        </is>
      </c>
      <c r="D8" s="115" t="inlineStr">
        <is>
          <t>1.1 Ampliación de cobertura</t>
        </is>
      </c>
      <c r="E8" s="115" t="inlineStr">
        <is>
          <t>Contar con 11.000 estudiantes vinculados a programas de educación superior al 2032.</t>
        </is>
      </c>
      <c r="F8" s="115" t="inlineStr">
        <is>
          <t>N.° de estudiantes matriculados en programas de educación superior (SNIES)</t>
        </is>
      </c>
      <c r="G8" s="115" t="inlineStr">
        <is>
          <t>11.000 estudiantes</t>
        </is>
      </c>
      <c r="H8" s="115" t="inlineStr">
        <is>
          <t>5.400 estudiantes</t>
        </is>
      </c>
      <c r="I8" s="115" t="inlineStr">
        <is>
          <t>A14</t>
        </is>
      </c>
      <c r="J8" s="115" t="inlineStr">
        <is>
          <t>130 · Vicerrectoría Administrativa y Financiera</t>
        </is>
      </c>
      <c r="K8" s="115" t="inlineStr">
        <is>
          <t>Contratación y Adquisiciones</t>
        </is>
      </c>
      <c r="L8" s="115" t="inlineStr">
        <is>
          <t>Gestión de Adquisiciones</t>
        </is>
      </c>
      <c r="M8" s="115" t="inlineStr">
        <is>
          <t>Responsable en el PAA 2026</t>
        </is>
      </c>
      <c r="N8" s="115" t="n">
        <v>1</v>
      </c>
      <c r="O8" s="115" t="n">
        <v>0</v>
      </c>
      <c r="P8" s="115" t="n">
        <v>1</v>
      </c>
      <c r="Q8" s="115" t="n">
        <v>0</v>
      </c>
      <c r="R8" s="115" t="inlineStr">
        <is>
          <t>Esta meta queda en su lista solo porque tiene productos del PAA 2026 abiertos. En 2027 no se le asigna una acción nueva en ella. Cerrar o reprogramar en el SUIE el producto 2026 pendiente de esta meta.</t>
        </is>
      </c>
      <c r="S8" s="115" t="inlineStr">
        <is>
          <t>IMP-12; IMP-13</t>
        </is>
      </c>
      <c r="T8" s="115" t="inlineStr">
        <is>
          <t>Formulación_Ejes_2027</t>
        </is>
      </c>
      <c r="U8" s="115">
        <f>IF(I8=LEFT('Buscador_Formulación PAA 2027'!$C$4,3),COUNTIF($I$5:I8,LEFT('Buscador_Formulación PAA 2027'!$C$4,3)),"")</f>
        <v/>
      </c>
    </row>
    <row r="9" ht="15" customHeight="1" s="23">
      <c r="A9" s="115" t="inlineStr">
        <is>
          <t>E1-005</t>
        </is>
      </c>
      <c r="B9" s="115" t="inlineStr">
        <is>
          <t>1.1.1.1</t>
        </is>
      </c>
      <c r="C9" s="115" t="inlineStr">
        <is>
          <t>Formación y pedagogía de calidad</t>
        </is>
      </c>
      <c r="D9" s="115" t="inlineStr">
        <is>
          <t>1.1 Ampliación de cobertura</t>
        </is>
      </c>
      <c r="E9" s="115" t="inlineStr">
        <is>
          <t>Contar con 11.000 estudiantes vinculados a programas de educación superior al 2032.</t>
        </is>
      </c>
      <c r="F9" s="115" t="inlineStr">
        <is>
          <t>N.° de estudiantes matriculados en programas de educación superior (SNIES)</t>
        </is>
      </c>
      <c r="G9" s="115" t="inlineStr">
        <is>
          <t>11.000 estudiantes</t>
        </is>
      </c>
      <c r="H9" s="115" t="inlineStr">
        <is>
          <t>5.400 estudiantes</t>
        </is>
      </c>
      <c r="I9" s="115" t="inlineStr">
        <is>
          <t>A15</t>
        </is>
      </c>
      <c r="J9" s="115" t="inlineStr">
        <is>
          <t>120 · Vicerrectoría Académica</t>
        </is>
      </c>
      <c r="K9" s="115" t="inlineStr">
        <is>
          <t>Despacho de la Vicerrectoría Académica</t>
        </is>
      </c>
      <c r="L9" s="115" t="inlineStr">
        <is>
          <t>Docencia PES</t>
        </is>
      </c>
      <c r="M9" s="115" t="inlineStr">
        <is>
          <t>Responsable en el PAA 2026</t>
        </is>
      </c>
      <c r="N9" s="115" t="n">
        <v>5</v>
      </c>
      <c r="O9" s="115" t="n">
        <v>0</v>
      </c>
      <c r="P9" s="115" t="n">
        <v>5</v>
      </c>
      <c r="Q9" s="115" t="n">
        <v>4</v>
      </c>
      <c r="R9" s="115" t="inlineStr">
        <is>
          <t>Acción propuesta AC27.02: Orientar la admisión 2027 hacia los programas con mayor demanda, con un calendario de admisiones armonizado con los recursos que asigna el Ministerio de Educación. Actividades a su cargo: A27-003 Concentrar cupos en programas con demanda creciente y revisar la oferta de programas en descenso. Acción propuesta AC27.03: Ampliar la cobertura en los territorios con cohortes nuevas en La Primavera (Vichada) y en Zipaquirá. Actividades a su cargo: A27-004 Ejecutar la cohorte primer semestre de 2027 en La Primavera (Vichada) con 80 cupos adicionales. Con esta acción se atienden compromisos pendientes de 2026 de los proyectos estructurantes. Cerrar o reprogramar en el SUIE los 5 productos 2026 pendientes de esta meta.</t>
        </is>
      </c>
      <c r="S9" s="115" t="inlineStr">
        <is>
          <t>IMP-12; IMP-13</t>
        </is>
      </c>
      <c r="T9" s="115" t="inlineStr">
        <is>
          <t>Formulación_Ejes_2027</t>
        </is>
      </c>
      <c r="U9" s="115">
        <f>IF(I9=LEFT('Buscador_Formulación PAA 2027'!$C$4,3),COUNTIF($I$5:I9,LEFT('Buscador_Formulación PAA 2027'!$C$4,3)),"")</f>
        <v/>
      </c>
    </row>
    <row r="10" ht="15" customHeight="1" s="23">
      <c r="A10" s="115" t="inlineStr">
        <is>
          <t>E1-006</t>
        </is>
      </c>
      <c r="B10" s="115" t="inlineStr">
        <is>
          <t>1.1.1.1</t>
        </is>
      </c>
      <c r="C10" s="115" t="inlineStr">
        <is>
          <t>Formación y pedagogía de calidad</t>
        </is>
      </c>
      <c r="D10" s="115" t="inlineStr">
        <is>
          <t>1.1 Ampliación de cobertura</t>
        </is>
      </c>
      <c r="E10" s="115" t="inlineStr">
        <is>
          <t>Contar con 11.000 estudiantes vinculados a programas de educación superior al 2032.</t>
        </is>
      </c>
      <c r="F10" s="115" t="inlineStr">
        <is>
          <t>N.° de estudiantes matriculados en programas de educación superior (SNIES)</t>
        </is>
      </c>
      <c r="G10" s="115" t="inlineStr">
        <is>
          <t>11.000 estudiantes</t>
        </is>
      </c>
      <c r="H10" s="115" t="inlineStr">
        <is>
          <t>5.400 estudiantes</t>
        </is>
      </c>
      <c r="I10" s="115" t="inlineStr">
        <is>
          <t>A22</t>
        </is>
      </c>
      <c r="J10" s="115" t="inlineStr">
        <is>
          <t>123 · Facultades</t>
        </is>
      </c>
      <c r="K10" s="115" t="inlineStr">
        <is>
          <t>Facultad de Electromecánica</t>
        </is>
      </c>
      <c r="L10" s="115" t="inlineStr">
        <is>
          <t>Docencia PES</t>
        </is>
      </c>
      <c r="M10" s="115" t="inlineStr">
        <is>
          <t>Asignación por funciones del área</t>
        </is>
      </c>
      <c r="N10" s="115" t="n">
        <v>0</v>
      </c>
      <c r="O10" s="115" t="n">
        <v>0</v>
      </c>
      <c r="P10" s="115" t="n">
        <v>0</v>
      </c>
      <c r="Q10" s="115" t="n">
        <v>0</v>
      </c>
      <c r="R10" s="115" t="inlineStr">
        <is>
          <t>Planear con la Vicerrectoría Académica los cupos de sus programas para 2027 y aplicar estrategias de retención en el primer año, porque la matrícula de la Escuela crece programa por programa.</t>
        </is>
      </c>
      <c r="S10" s="115" t="inlineStr">
        <is>
          <t>IMP-12; IMP-13</t>
        </is>
      </c>
      <c r="T10" s="115" t="inlineStr">
        <is>
          <t>Formulación_Ejes_2027</t>
        </is>
      </c>
      <c r="U10" s="115">
        <f>IF(I10=LEFT('Buscador_Formulación PAA 2027'!$C$4,3),COUNTIF($I$5:I10,LEFT('Buscador_Formulación PAA 2027'!$C$4,3)),"")</f>
        <v/>
      </c>
    </row>
    <row r="11" ht="15" customHeight="1" s="23">
      <c r="A11" s="115" t="inlineStr">
        <is>
          <t>E1-007</t>
        </is>
      </c>
      <c r="B11" s="115" t="inlineStr">
        <is>
          <t>1.1.1.1</t>
        </is>
      </c>
      <c r="C11" s="115" t="inlineStr">
        <is>
          <t>Formación y pedagogía de calidad</t>
        </is>
      </c>
      <c r="D11" s="115" t="inlineStr">
        <is>
          <t>1.1 Ampliación de cobertura</t>
        </is>
      </c>
      <c r="E11" s="115" t="inlineStr">
        <is>
          <t>Contar con 11.000 estudiantes vinculados a programas de educación superior al 2032.</t>
        </is>
      </c>
      <c r="F11" s="115" t="inlineStr">
        <is>
          <t>N.° de estudiantes matriculados en programas de educación superior (SNIES)</t>
        </is>
      </c>
      <c r="G11" s="115" t="inlineStr">
        <is>
          <t>11.000 estudiantes</t>
        </is>
      </c>
      <c r="H11" s="115" t="inlineStr">
        <is>
          <t>5.400 estudiantes</t>
        </is>
      </c>
      <c r="I11" s="115" t="inlineStr">
        <is>
          <t>A23</t>
        </is>
      </c>
      <c r="J11" s="115" t="inlineStr">
        <is>
          <t>123 · Facultades</t>
        </is>
      </c>
      <c r="K11" s="115" t="inlineStr">
        <is>
          <t>Facultad de Mecánica</t>
        </is>
      </c>
      <c r="L11" s="115" t="inlineStr">
        <is>
          <t>Docencia PES</t>
        </is>
      </c>
      <c r="M11" s="115" t="inlineStr">
        <is>
          <t>Responsable en el PAA 2026</t>
        </is>
      </c>
      <c r="N11" s="115" t="n">
        <v>0</v>
      </c>
      <c r="O11" s="115" t="n">
        <v>0</v>
      </c>
      <c r="P11" s="115" t="n">
        <v>0</v>
      </c>
      <c r="Q11" s="115" t="n">
        <v>0</v>
      </c>
      <c r="R11" s="115" t="inlineStr">
        <is>
          <t>Planear con la Vicerrectoría Académica los cupos de sus programas para 2027 y aplicar estrategias de retención en el primer año, porque la matrícula de la Escuela crece programa por programa.</t>
        </is>
      </c>
      <c r="S11" s="115" t="inlineStr">
        <is>
          <t>IMP-12; IMP-13</t>
        </is>
      </c>
      <c r="T11" s="115" t="inlineStr">
        <is>
          <t>Formulación_Ejes_2027</t>
        </is>
      </c>
      <c r="U11" s="115">
        <f>IF(I11=LEFT('Buscador_Formulación PAA 2027'!$C$4,3),COUNTIF($I$5:I11,LEFT('Buscador_Formulación PAA 2027'!$C$4,3)),"")</f>
        <v/>
      </c>
    </row>
    <row r="12" ht="15" customHeight="1" s="23">
      <c r="A12" s="115" t="inlineStr">
        <is>
          <t>E1-008</t>
        </is>
      </c>
      <c r="B12" s="115" t="inlineStr">
        <is>
          <t>1.1.1.1</t>
        </is>
      </c>
      <c r="C12" s="115" t="inlineStr">
        <is>
          <t>Formación y pedagogía de calidad</t>
        </is>
      </c>
      <c r="D12" s="115" t="inlineStr">
        <is>
          <t>1.1 Ampliación de cobertura</t>
        </is>
      </c>
      <c r="E12" s="115" t="inlineStr">
        <is>
          <t>Contar con 11.000 estudiantes vinculados a programas de educación superior al 2032.</t>
        </is>
      </c>
      <c r="F12" s="115" t="inlineStr">
        <is>
          <t>N.° de estudiantes matriculados en programas de educación superior (SNIES)</t>
        </is>
      </c>
      <c r="G12" s="115" t="inlineStr">
        <is>
          <t>11.000 estudiantes</t>
        </is>
      </c>
      <c r="H12" s="115" t="inlineStr">
        <is>
          <t>5.400 estudiantes</t>
        </is>
      </c>
      <c r="I12" s="115" t="inlineStr">
        <is>
          <t>A24</t>
        </is>
      </c>
      <c r="J12" s="115" t="inlineStr">
        <is>
          <t>123 · Facultades</t>
        </is>
      </c>
      <c r="K12" s="115" t="inlineStr">
        <is>
          <t>Facultad de Mecatrónica</t>
        </is>
      </c>
      <c r="L12" s="115" t="inlineStr">
        <is>
          <t>Docencia PES</t>
        </is>
      </c>
      <c r="M12" s="115" t="inlineStr">
        <is>
          <t>Asignación por funciones del área</t>
        </is>
      </c>
      <c r="N12" s="115" t="n">
        <v>0</v>
      </c>
      <c r="O12" s="115" t="n">
        <v>0</v>
      </c>
      <c r="P12" s="115" t="n">
        <v>0</v>
      </c>
      <c r="Q12" s="115" t="n">
        <v>0</v>
      </c>
      <c r="R12" s="115" t="inlineStr">
        <is>
          <t>Planear con la Vicerrectoría Académica los cupos de sus programas para 2027 y aplicar estrategias de retención en el primer año, porque la matrícula de la Escuela crece programa por programa.</t>
        </is>
      </c>
      <c r="S12" s="115" t="inlineStr">
        <is>
          <t>IMP-12; IMP-13</t>
        </is>
      </c>
      <c r="T12" s="115" t="inlineStr">
        <is>
          <t>Formulación_Ejes_2027</t>
        </is>
      </c>
      <c r="U12" s="115">
        <f>IF(I12=LEFT('Buscador_Formulación PAA 2027'!$C$4,3),COUNTIF($I$5:I12,LEFT('Buscador_Formulación PAA 2027'!$C$4,3)),"")</f>
        <v/>
      </c>
    </row>
    <row r="13" ht="15" customHeight="1" s="23">
      <c r="A13" s="115" t="inlineStr">
        <is>
          <t>E1-009</t>
        </is>
      </c>
      <c r="B13" s="115" t="inlineStr">
        <is>
          <t>1.1.1.1</t>
        </is>
      </c>
      <c r="C13" s="115" t="inlineStr">
        <is>
          <t>Formación y pedagogía de calidad</t>
        </is>
      </c>
      <c r="D13" s="115" t="inlineStr">
        <is>
          <t>1.1 Ampliación de cobertura</t>
        </is>
      </c>
      <c r="E13" s="115" t="inlineStr">
        <is>
          <t>Contar con 11.000 estudiantes vinculados a programas de educación superior al 2032.</t>
        </is>
      </c>
      <c r="F13" s="115" t="inlineStr">
        <is>
          <t>N.° de estudiantes matriculados en programas de educación superior (SNIES)</t>
        </is>
      </c>
      <c r="G13" s="115" t="inlineStr">
        <is>
          <t>11.000 estudiantes</t>
        </is>
      </c>
      <c r="H13" s="115" t="inlineStr">
        <is>
          <t>5.400 estudiantes</t>
        </is>
      </c>
      <c r="I13" s="115" t="inlineStr">
        <is>
          <t>A25</t>
        </is>
      </c>
      <c r="J13" s="115" t="inlineStr">
        <is>
          <t>123 · Facultades</t>
        </is>
      </c>
      <c r="K13" s="115" t="inlineStr">
        <is>
          <t>Facultad de Procesos Industriales</t>
        </is>
      </c>
      <c r="L13" s="115" t="inlineStr">
        <is>
          <t>Docencia PES</t>
        </is>
      </c>
      <c r="M13" s="115" t="inlineStr">
        <is>
          <t>Asignación por funciones del área</t>
        </is>
      </c>
      <c r="N13" s="115" t="n">
        <v>0</v>
      </c>
      <c r="O13" s="115" t="n">
        <v>0</v>
      </c>
      <c r="P13" s="115" t="n">
        <v>0</v>
      </c>
      <c r="Q13" s="115" t="n">
        <v>0</v>
      </c>
      <c r="R13" s="115" t="inlineStr">
        <is>
          <t>Planear con la Vicerrectoría Académica los cupos de sus programas para 2027 y aplicar estrategias de retención en el primer año, porque la matrícula de la Escuela crece programa por programa.</t>
        </is>
      </c>
      <c r="S13" s="115" t="inlineStr">
        <is>
          <t>IMP-12; IMP-13</t>
        </is>
      </c>
      <c r="T13" s="115" t="inlineStr">
        <is>
          <t>Formulación_Ejes_2027</t>
        </is>
      </c>
      <c r="U13" s="115">
        <f>IF(I13=LEFT('Buscador_Formulación PAA 2027'!$C$4,3),COUNTIF($I$5:I13,LEFT('Buscador_Formulación PAA 2027'!$C$4,3)),"")</f>
        <v/>
      </c>
    </row>
    <row r="14" ht="15" customHeight="1" s="23">
      <c r="A14" s="115" t="inlineStr">
        <is>
          <t>E1-010</t>
        </is>
      </c>
      <c r="B14" s="115" t="inlineStr">
        <is>
          <t>1.1.1.1</t>
        </is>
      </c>
      <c r="C14" s="115" t="inlineStr">
        <is>
          <t>Formación y pedagogía de calidad</t>
        </is>
      </c>
      <c r="D14" s="115" t="inlineStr">
        <is>
          <t>1.1 Ampliación de cobertura</t>
        </is>
      </c>
      <c r="E14" s="115" t="inlineStr">
        <is>
          <t>Contar con 11.000 estudiantes vinculados a programas de educación superior al 2032.</t>
        </is>
      </c>
      <c r="F14" s="115" t="inlineStr">
        <is>
          <t>N.° de estudiantes matriculados en programas de educación superior (SNIES)</t>
        </is>
      </c>
      <c r="G14" s="115" t="inlineStr">
        <is>
          <t>11.000 estudiantes</t>
        </is>
      </c>
      <c r="H14" s="115" t="inlineStr">
        <is>
          <t>5.400 estudiantes</t>
        </is>
      </c>
      <c r="I14" s="115" t="inlineStr">
        <is>
          <t>A26</t>
        </is>
      </c>
      <c r="J14" s="115" t="inlineStr">
        <is>
          <t>123 · Facultades</t>
        </is>
      </c>
      <c r="K14" s="115" t="inlineStr">
        <is>
          <t>Facultad de Sistemas</t>
        </is>
      </c>
      <c r="L14" s="115" t="inlineStr">
        <is>
          <t>Docencia PES</t>
        </is>
      </c>
      <c r="M14" s="115" t="inlineStr">
        <is>
          <t>Asignación por funciones del área</t>
        </is>
      </c>
      <c r="N14" s="115" t="n">
        <v>0</v>
      </c>
      <c r="O14" s="115" t="n">
        <v>0</v>
      </c>
      <c r="P14" s="115" t="n">
        <v>0</v>
      </c>
      <c r="Q14" s="115" t="n">
        <v>0</v>
      </c>
      <c r="R14" s="115" t="inlineStr">
        <is>
          <t>Planear con la Vicerrectoría Académica los cupos de sus programas para 2027 y aplicar estrategias de retención en el primer año, porque la matrícula de la Escuela crece programa por programa.</t>
        </is>
      </c>
      <c r="S14" s="115" t="inlineStr">
        <is>
          <t>IMP-12; IMP-13</t>
        </is>
      </c>
      <c r="T14" s="115" t="inlineStr">
        <is>
          <t>Formulación_Ejes_2027</t>
        </is>
      </c>
      <c r="U14" s="115">
        <f>IF(I14=LEFT('Buscador_Formulación PAA 2027'!$C$4,3),COUNTIF($I$5:I14,LEFT('Buscador_Formulación PAA 2027'!$C$4,3)),"")</f>
        <v/>
      </c>
    </row>
    <row r="15" ht="15" customHeight="1" s="23">
      <c r="A15" s="115" t="inlineStr">
        <is>
          <t>E1-011</t>
        </is>
      </c>
      <c r="B15" s="115" t="inlineStr">
        <is>
          <t>1.1.1.1</t>
        </is>
      </c>
      <c r="C15" s="115" t="inlineStr">
        <is>
          <t>Formación y pedagogía de calidad</t>
        </is>
      </c>
      <c r="D15" s="115" t="inlineStr">
        <is>
          <t>1.1 Ampliación de cobertura</t>
        </is>
      </c>
      <c r="E15" s="115" t="inlineStr">
        <is>
          <t>Contar con 11.000 estudiantes vinculados a programas de educación superior al 2032.</t>
        </is>
      </c>
      <c r="F15" s="115" t="inlineStr">
        <is>
          <t>N.° de estudiantes matriculados en programas de educación superior (SNIES)</t>
        </is>
      </c>
      <c r="G15" s="115" t="inlineStr">
        <is>
          <t>11.000 estudiantes</t>
        </is>
      </c>
      <c r="H15" s="115" t="inlineStr">
        <is>
          <t>5.400 estudiantes</t>
        </is>
      </c>
      <c r="I15" s="115" t="inlineStr">
        <is>
          <t>A29</t>
        </is>
      </c>
      <c r="J15" s="115" t="inlineStr">
        <is>
          <t>126 · GIT Registro y Control</t>
        </is>
      </c>
      <c r="K15" s="115" t="inlineStr">
        <is>
          <t>GIT Registro, Control y Admisiones</t>
        </is>
      </c>
      <c r="L15" s="115" t="inlineStr">
        <is>
          <t>Docencia PES</t>
        </is>
      </c>
      <c r="M15" s="115" t="inlineStr">
        <is>
          <t>Compromiso de proyecto estructurante</t>
        </is>
      </c>
      <c r="N15" s="115" t="n">
        <v>0</v>
      </c>
      <c r="O15" s="115" t="n">
        <v>0</v>
      </c>
      <c r="P15" s="115" t="n">
        <v>0</v>
      </c>
      <c r="Q15" s="115" t="n">
        <v>3</v>
      </c>
      <c r="R15" s="115" t="inlineStr">
        <is>
          <t>Acción propuesta AC27.02: Orientar la admisión 2027 hacia los programas con mayor demanda, con un calendario de admisiones armonizado con los recursos que asigna el Ministerio de Educación. Actividades a su cargo: A27-002 Armonizar el calendario de admisiones con la asignación de recursos del MEN. Con esta acción se atienden compromisos pendientes de 2026 de los proyectos estructurantes.</t>
        </is>
      </c>
      <c r="S15" s="115" t="inlineStr">
        <is>
          <t>IMP-12; IMP-13</t>
        </is>
      </c>
      <c r="T15" s="115" t="inlineStr">
        <is>
          <t>Formulación_Ejes_2027</t>
        </is>
      </c>
      <c r="U15" s="115">
        <f>IF(I15=LEFT('Buscador_Formulación PAA 2027'!$C$4,3),COUNTIF($I$5:I15,LEFT('Buscador_Formulación PAA 2027'!$C$4,3)),"")</f>
        <v/>
      </c>
    </row>
    <row r="16" ht="15" customHeight="1" s="23">
      <c r="A16" s="115" t="inlineStr">
        <is>
          <t>E1-012</t>
        </is>
      </c>
      <c r="B16" s="115" t="inlineStr">
        <is>
          <t>1.1.1.1</t>
        </is>
      </c>
      <c r="C16" s="115" t="inlineStr">
        <is>
          <t>Formación y pedagogía de calidad</t>
        </is>
      </c>
      <c r="D16" s="115" t="inlineStr">
        <is>
          <t>1.1 Ampliación de cobertura</t>
        </is>
      </c>
      <c r="E16" s="115" t="inlineStr">
        <is>
          <t>Contar con 11.000 estudiantes vinculados a programas de educación superior al 2032.</t>
        </is>
      </c>
      <c r="F16" s="115" t="inlineStr">
        <is>
          <t>N.° de estudiantes matriculados en programas de educación superior (SNIES)</t>
        </is>
      </c>
      <c r="G16" s="115" t="inlineStr">
        <is>
          <t>11.000 estudiantes</t>
        </is>
      </c>
      <c r="H16" s="115" t="inlineStr">
        <is>
          <t>5.400 estudiantes</t>
        </is>
      </c>
      <c r="I16" s="115" t="inlineStr">
        <is>
          <t>A43</t>
        </is>
      </c>
      <c r="J16" s="115" t="inlineStr">
        <is>
          <t>141 · GIT Extensión y Proyección Social</t>
        </is>
      </c>
      <c r="K16" s="115" t="inlineStr">
        <is>
          <t>Egresados y Bolsa de Empleo</t>
        </is>
      </c>
      <c r="L16" s="115" t="inlineStr">
        <is>
          <t>Egresados</t>
        </is>
      </c>
      <c r="M16" s="115" t="inlineStr">
        <is>
          <t>Compromiso de proyecto estructurante</t>
        </is>
      </c>
      <c r="N16" s="115" t="n">
        <v>0</v>
      </c>
      <c r="O16" s="115" t="n">
        <v>0</v>
      </c>
      <c r="P16" s="115" t="n">
        <v>0</v>
      </c>
      <c r="Q16" s="115" t="n">
        <v>1</v>
      </c>
      <c r="R16" s="115" t="inlineStr">
        <is>
          <t>Acción propuesta AC27.01: Fortalecer la medición de la cobertura y de sus efectos, de modo que la Escuela sepa cuántos estudiantes nuevos gana cada año y qué pasa con ellos al egresar. Actividades a su cargo: A27-006 Iniciar el estudio de impacto de Egresados. Con esta acción se atienden compromisos pendientes de 2026 de los proyectos estructurantes.</t>
        </is>
      </c>
      <c r="S16" s="115" t="inlineStr">
        <is>
          <t>IMP-12; IMP-13</t>
        </is>
      </c>
      <c r="T16" s="115" t="inlineStr">
        <is>
          <t>Formulación_Ejes_2027</t>
        </is>
      </c>
      <c r="U16" s="115">
        <f>IF(I16=LEFT('Buscador_Formulación PAA 2027'!$C$4,3),COUNTIF($I$5:I16,LEFT('Buscador_Formulación PAA 2027'!$C$4,3)),"")</f>
        <v/>
      </c>
    </row>
    <row r="17" ht="15" customHeight="1" s="23">
      <c r="A17" s="115" t="inlineStr">
        <is>
          <t>E1-013</t>
        </is>
      </c>
      <c r="B17" s="115" t="inlineStr">
        <is>
          <t>1.1.1.1</t>
        </is>
      </c>
      <c r="C17" s="115" t="inlineStr">
        <is>
          <t>Formación y pedagogía de calidad</t>
        </is>
      </c>
      <c r="D17" s="115" t="inlineStr">
        <is>
          <t>1.1 Ampliación de cobertura</t>
        </is>
      </c>
      <c r="E17" s="115" t="inlineStr">
        <is>
          <t>Contar con 11.000 estudiantes vinculados a programas de educación superior al 2032.</t>
        </is>
      </c>
      <c r="F17" s="115" t="inlineStr">
        <is>
          <t>N.° de estudiantes matriculados en programas de educación superior (SNIES)</t>
        </is>
      </c>
      <c r="G17" s="115" t="inlineStr">
        <is>
          <t>11.000 estudiantes</t>
        </is>
      </c>
      <c r="H17" s="115" t="inlineStr">
        <is>
          <t>5.400 estudiantes</t>
        </is>
      </c>
      <c r="I17" s="115" t="inlineStr">
        <is>
          <t>A45</t>
        </is>
      </c>
      <c r="J17" s="115" t="inlineStr">
        <is>
          <t>120 · Vicerrectoría Académica</t>
        </is>
      </c>
      <c r="K17" s="115" t="inlineStr">
        <is>
          <t>Sedes Tintal / Soacha-UPK / Viotá</t>
        </is>
      </c>
      <c r="L17" s="115" t="inlineStr">
        <is>
          <t>Docencia PES</t>
        </is>
      </c>
      <c r="M17" s="115" t="inlineStr">
        <is>
          <t>Acción propuesta PAA 2027</t>
        </is>
      </c>
      <c r="N17" s="115" t="n">
        <v>0</v>
      </c>
      <c r="O17" s="115" t="n">
        <v>0</v>
      </c>
      <c r="P17" s="115" t="n">
        <v>0</v>
      </c>
      <c r="Q17" s="115" t="n">
        <v>0</v>
      </c>
      <c r="R17" s="115" t="inlineStr">
        <is>
          <t>Acción propuesta AC27.03: Ampliar la cobertura en los territorios con cohortes nuevas en La Primavera (Vichada) y en Zipaquirá. Actividades a su cargo: A27-005 Ofertar y matricular en Zipaquirá bajo lugares de desarrollo transitorios.</t>
        </is>
      </c>
      <c r="S17" s="115" t="inlineStr">
        <is>
          <t>IMP-12; IMP-13</t>
        </is>
      </c>
      <c r="T17" s="115" t="inlineStr">
        <is>
          <t>Formulación_Ejes_2027</t>
        </is>
      </c>
      <c r="U17" s="115">
        <f>IF(I17=LEFT('Buscador_Formulación PAA 2027'!$C$4,3),COUNTIF($I$5:I17,LEFT('Buscador_Formulación PAA 2027'!$C$4,3)),"")</f>
        <v/>
      </c>
    </row>
    <row r="18" ht="15" customHeight="1" s="23">
      <c r="A18" s="115" t="inlineStr">
        <is>
          <t>E1-014</t>
        </is>
      </c>
      <c r="B18" s="115" t="inlineStr">
        <is>
          <t>1.1.1.1</t>
        </is>
      </c>
      <c r="C18" s="115" t="inlineStr">
        <is>
          <t>Formación y pedagogía de calidad</t>
        </is>
      </c>
      <c r="D18" s="115" t="inlineStr">
        <is>
          <t>1.1 Ampliación de cobertura</t>
        </is>
      </c>
      <c r="E18" s="115" t="inlineStr">
        <is>
          <t>Contar con 11.000 estudiantes vinculados a programas de educación superior al 2032.</t>
        </is>
      </c>
      <c r="F18" s="115" t="inlineStr">
        <is>
          <t>N.° de estudiantes matriculados en programas de educación superior (SNIES)</t>
        </is>
      </c>
      <c r="G18" s="115" t="inlineStr">
        <is>
          <t>11.000 estudiantes</t>
        </is>
      </c>
      <c r="H18" s="115" t="inlineStr">
        <is>
          <t>5.400 estudiantes</t>
        </is>
      </c>
      <c r="I18" s="115" t="inlineStr">
        <is>
          <t>A47</t>
        </is>
      </c>
      <c r="J18" s="115" t="inlineStr">
        <is>
          <t>130 · Vicerrectoría Administrativa y Financiera</t>
        </is>
      </c>
      <c r="K18" s="115" t="inlineStr">
        <is>
          <t>Gestión Financiera (Presupuesto, Contabilidad, Tesorería)</t>
        </is>
      </c>
      <c r="L18" s="115" t="inlineStr">
        <is>
          <t>Gestión Financiera</t>
        </is>
      </c>
      <c r="M18" s="115" t="inlineStr">
        <is>
          <t>Compromiso de proyecto estructurante</t>
        </is>
      </c>
      <c r="N18" s="115" t="n">
        <v>0</v>
      </c>
      <c r="O18" s="115" t="n">
        <v>0</v>
      </c>
      <c r="P18" s="115" t="n">
        <v>0</v>
      </c>
      <c r="Q18" s="115" t="n">
        <v>1</v>
      </c>
      <c r="R18" s="115" t="inlineStr">
        <is>
          <t>Fijar la cifra oficial única de recursos del programa de ingreso con el que se financia la cobertura y reportar su ejecución.</t>
        </is>
      </c>
      <c r="S18" s="115" t="inlineStr">
        <is>
          <t>IMP-12; IMP-13</t>
        </is>
      </c>
      <c r="T18" s="115" t="inlineStr">
        <is>
          <t>Formulación_Ejes_2027</t>
        </is>
      </c>
      <c r="U18" s="115">
        <f>IF(I18=LEFT('Buscador_Formulación PAA 2027'!$C$4,3),COUNTIF($I$5:I18,LEFT('Buscador_Formulación PAA 2027'!$C$4,3)),"")</f>
        <v/>
      </c>
    </row>
    <row r="19" ht="15" customHeight="1" s="23">
      <c r="A19" s="115" t="inlineStr">
        <is>
          <t>E1-015</t>
        </is>
      </c>
      <c r="B19" s="115" t="inlineStr">
        <is>
          <t>1.1.1.2</t>
        </is>
      </c>
      <c r="C19" s="115" t="inlineStr">
        <is>
          <t>Formación y pedagogía de calidad</t>
        </is>
      </c>
      <c r="D19" s="115" t="inlineStr">
        <is>
          <t>1.1 Ampliación de cobertura</t>
        </is>
      </c>
      <c r="E19" s="115" t="inlineStr">
        <is>
          <t>Lograr que el 30% de los estudiantes del IBTI pasen a la educación superior de la ETITC.</t>
        </is>
      </c>
      <c r="F19" s="115" t="inlineStr">
        <is>
          <t>N.° y % de egresados del IBTI matriculados en programas de la ETITC</t>
        </is>
      </c>
      <c r="G19" s="115" t="inlineStr">
        <is>
          <t>30% (MPI: 250 estudiantes en 2032)</t>
        </is>
      </c>
      <c r="H19" s="115" t="inlineStr">
        <is>
          <t>40 estudiantes</t>
        </is>
      </c>
      <c r="I19" s="115" t="inlineStr">
        <is>
          <t>A06</t>
        </is>
      </c>
      <c r="J19" s="115" t="inlineStr">
        <is>
          <t>101 · Oficina Asesora de Planeación y Desarrollo Institucional</t>
        </is>
      </c>
      <c r="K19" s="115" t="inlineStr">
        <is>
          <t>Gestión de Proyectos</t>
        </is>
      </c>
      <c r="L19" s="115" t="inlineStr">
        <is>
          <t>Direccionamiento Institucional</t>
        </is>
      </c>
      <c r="M19" s="115" t="inlineStr">
        <is>
          <t>Responsable en el PAA 2026</t>
        </is>
      </c>
      <c r="N19" s="115" t="n">
        <v>3</v>
      </c>
      <c r="O19" s="115" t="n">
        <v>1</v>
      </c>
      <c r="P19" s="115" t="n">
        <v>2</v>
      </c>
      <c r="Q19" s="115" t="n">
        <v>0</v>
      </c>
      <c r="R19" s="115" t="inlineStr">
        <is>
          <t>Esta meta queda en su lista solo porque tiene productos del PAA 2026 abiertos. En 2027 no se le asigna una acción nueva en ella. Cerrar o reprogramar en el SUIE los 2 productos 2026 pendientes de esta meta.</t>
        </is>
      </c>
      <c r="S19" s="115" t="inlineStr">
        <is>
          <t>IMP-12; IMP-06</t>
        </is>
      </c>
      <c r="T19" s="115" t="inlineStr">
        <is>
          <t>Formulación_Ejes_2027</t>
        </is>
      </c>
      <c r="U19" s="115">
        <f>IF(I19=LEFT('Buscador_Formulación PAA 2027'!$C$4,3),COUNTIF($I$5:I19,LEFT('Buscador_Formulación PAA 2027'!$C$4,3)),"")</f>
        <v/>
      </c>
    </row>
    <row r="20" ht="15" customHeight="1" s="23">
      <c r="A20" s="115" t="inlineStr">
        <is>
          <t>E1-016</t>
        </is>
      </c>
      <c r="B20" s="115" t="inlineStr">
        <is>
          <t>1.1.1.2</t>
        </is>
      </c>
      <c r="C20" s="115" t="inlineStr">
        <is>
          <t>Formación y pedagogía de calidad</t>
        </is>
      </c>
      <c r="D20" s="115" t="inlineStr">
        <is>
          <t>1.1 Ampliación de cobertura</t>
        </is>
      </c>
      <c r="E20" s="115" t="inlineStr">
        <is>
          <t>Lograr que el 30% de los estudiantes del IBTI pasen a la educación superior de la ETITC.</t>
        </is>
      </c>
      <c r="F20" s="115" t="inlineStr">
        <is>
          <t>N.° y % de egresados del IBTI matriculados en programas de la ETITC</t>
        </is>
      </c>
      <c r="G20" s="115" t="inlineStr">
        <is>
          <t>30% (MPI: 250 estudiantes en 2032)</t>
        </is>
      </c>
      <c r="H20" s="115" t="inlineStr">
        <is>
          <t>40 estudiantes</t>
        </is>
      </c>
      <c r="I20" s="115" t="inlineStr">
        <is>
          <t>A14</t>
        </is>
      </c>
      <c r="J20" s="115" t="inlineStr">
        <is>
          <t>130 · Vicerrectoría Administrativa y Financiera</t>
        </is>
      </c>
      <c r="K20" s="115" t="inlineStr">
        <is>
          <t>Contratación y Adquisiciones</t>
        </is>
      </c>
      <c r="L20" s="115" t="inlineStr">
        <is>
          <t>Gestión de Adquisiciones</t>
        </is>
      </c>
      <c r="M20" s="115" t="inlineStr">
        <is>
          <t>Responsable en el PAA 2026</t>
        </is>
      </c>
      <c r="N20" s="115" t="n">
        <v>2</v>
      </c>
      <c r="O20" s="115" t="n">
        <v>0</v>
      </c>
      <c r="P20" s="115" t="n">
        <v>2</v>
      </c>
      <c r="Q20" s="115" t="n">
        <v>0</v>
      </c>
      <c r="R20" s="115" t="inlineStr">
        <is>
          <t>Esta meta queda en su lista solo porque tiene productos del PAA 2026 abiertos. En 2027 no se le asigna una acción nueva en ella. Cerrar o reprogramar en el SUIE los 2 productos 2026 pendientes de esta meta.</t>
        </is>
      </c>
      <c r="S20" s="115" t="inlineStr">
        <is>
          <t>IMP-12; IMP-06</t>
        </is>
      </c>
      <c r="T20" s="115" t="inlineStr">
        <is>
          <t>Formulación_Ejes_2027</t>
        </is>
      </c>
      <c r="U20" s="115">
        <f>IF(I20=LEFT('Buscador_Formulación PAA 2027'!$C$4,3),COUNTIF($I$5:I20,LEFT('Buscador_Formulación PAA 2027'!$C$4,3)),"")</f>
        <v/>
      </c>
    </row>
    <row r="21" ht="15" customHeight="1" s="23">
      <c r="A21" s="115" t="inlineStr">
        <is>
          <t>E1-017</t>
        </is>
      </c>
      <c r="B21" s="115" t="inlineStr">
        <is>
          <t>1.1.1.2</t>
        </is>
      </c>
      <c r="C21" s="115" t="inlineStr">
        <is>
          <t>Formación y pedagogía de calidad</t>
        </is>
      </c>
      <c r="D21" s="115" t="inlineStr">
        <is>
          <t>1.1 Ampliación de cobertura</t>
        </is>
      </c>
      <c r="E21" s="115" t="inlineStr">
        <is>
          <t>Lograr que el 30% de los estudiantes del IBTI pasen a la educación superior de la ETITC.</t>
        </is>
      </c>
      <c r="F21" s="115" t="inlineStr">
        <is>
          <t>N.° y % de egresados del IBTI matriculados en programas de la ETITC</t>
        </is>
      </c>
      <c r="G21" s="115" t="inlineStr">
        <is>
          <t>30% (MPI: 250 estudiantes en 2032)</t>
        </is>
      </c>
      <c r="H21" s="115" t="inlineStr">
        <is>
          <t>40 estudiantes</t>
        </is>
      </c>
      <c r="I21" s="115" t="inlineStr">
        <is>
          <t>A15</t>
        </is>
      </c>
      <c r="J21" s="115" t="inlineStr">
        <is>
          <t>120 · Vicerrectoría Académica</t>
        </is>
      </c>
      <c r="K21" s="115" t="inlineStr">
        <is>
          <t>Despacho de la Vicerrectoría Académica</t>
        </is>
      </c>
      <c r="L21" s="115" t="inlineStr">
        <is>
          <t>Docencia PES</t>
        </is>
      </c>
      <c r="M21" s="115" t="inlineStr">
        <is>
          <t>Responsable en el PAA 2026</t>
        </is>
      </c>
      <c r="N21" s="115" t="n">
        <v>1</v>
      </c>
      <c r="O21" s="115" t="n">
        <v>0</v>
      </c>
      <c r="P21" s="115" t="n">
        <v>1</v>
      </c>
      <c r="Q21" s="115" t="n">
        <v>0</v>
      </c>
      <c r="R21" s="115" t="inlineStr">
        <is>
          <t>Acción propuesta AC27.04: Consolidar la ruta de tránsito del IBTI a la educación superior de la ETITC, desde la alineación curricular hasta el acompañamiento de la cohorte que ingresa. Actividades a su cargo: A27-007 Alinear los currículos del IBTI con los programas técnicos profesionales por ciclos propedéuticos. Cerrar o reprogramar en el SUIE el producto 2026 pendiente de esta meta.</t>
        </is>
      </c>
      <c r="S21" s="115" t="inlineStr">
        <is>
          <t>IMP-12; IMP-06</t>
        </is>
      </c>
      <c r="T21" s="115" t="inlineStr">
        <is>
          <t>Formulación_Ejes_2027</t>
        </is>
      </c>
      <c r="U21" s="115">
        <f>IF(I21=LEFT('Buscador_Formulación PAA 2027'!$C$4,3),COUNTIF($I$5:I21,LEFT('Buscador_Formulación PAA 2027'!$C$4,3)),"")</f>
        <v/>
      </c>
    </row>
    <row r="22" ht="15" customHeight="1" s="23">
      <c r="A22" s="115" t="inlineStr">
        <is>
          <t>E1-018</t>
        </is>
      </c>
      <c r="B22" s="115" t="inlineStr">
        <is>
          <t>1.1.1.2</t>
        </is>
      </c>
      <c r="C22" s="115" t="inlineStr">
        <is>
          <t>Formación y pedagogía de calidad</t>
        </is>
      </c>
      <c r="D22" s="115" t="inlineStr">
        <is>
          <t>1.1 Ampliación de cobertura</t>
        </is>
      </c>
      <c r="E22" s="115" t="inlineStr">
        <is>
          <t>Lograr que el 30% de los estudiantes del IBTI pasen a la educación superior de la ETITC.</t>
        </is>
      </c>
      <c r="F22" s="115" t="inlineStr">
        <is>
          <t>N.° y % de egresados del IBTI matriculados en programas de la ETITC</t>
        </is>
      </c>
      <c r="G22" s="115" t="inlineStr">
        <is>
          <t>30% (MPI: 250 estudiantes en 2032)</t>
        </is>
      </c>
      <c r="H22" s="115" t="inlineStr">
        <is>
          <t>40 estudiantes</t>
        </is>
      </c>
      <c r="I22" s="115" t="inlineStr">
        <is>
          <t>A21</t>
        </is>
      </c>
      <c r="J22" s="115" t="inlineStr">
        <is>
          <t>122 · GIT Bienestar Universitario</t>
        </is>
      </c>
      <c r="K22" s="115" t="inlineStr">
        <is>
          <t>GIT Bienestar Universitario</t>
        </is>
      </c>
      <c r="L22" s="115" t="inlineStr">
        <is>
          <t>Gestión de Bienestar Universitario</t>
        </is>
      </c>
      <c r="M22" s="115" t="inlineStr">
        <is>
          <t>Responsable en el PAA 2026</t>
        </is>
      </c>
      <c r="N22" s="115" t="n">
        <v>2</v>
      </c>
      <c r="O22" s="115" t="n">
        <v>1</v>
      </c>
      <c r="P22" s="115" t="n">
        <v>1</v>
      </c>
      <c r="Q22" s="115" t="n">
        <v>0</v>
      </c>
      <c r="R22" s="115" t="inlineStr">
        <is>
          <t>Acompañar a los estudiantes que llegan del IBTI con los programas de permanencia y adaptación a la vida universitaria. Cerrar o reprogramar en el SUIE el producto 2026 pendiente de esta meta.</t>
        </is>
      </c>
      <c r="S22" s="115" t="inlineStr">
        <is>
          <t>IMP-12; IMP-06</t>
        </is>
      </c>
      <c r="T22" s="115" t="inlineStr">
        <is>
          <t>Formulación_Ejes_2027</t>
        </is>
      </c>
      <c r="U22" s="115">
        <f>IF(I22=LEFT('Buscador_Formulación PAA 2027'!$C$4,3),COUNTIF($I$5:I22,LEFT('Buscador_Formulación PAA 2027'!$C$4,3)),"")</f>
        <v/>
      </c>
    </row>
    <row r="23" ht="15" customHeight="1" s="23">
      <c r="A23" s="115" t="inlineStr">
        <is>
          <t>E1-019</t>
        </is>
      </c>
      <c r="B23" s="115" t="inlineStr">
        <is>
          <t>1.1.1.2</t>
        </is>
      </c>
      <c r="C23" s="115" t="inlineStr">
        <is>
          <t>Formación y pedagogía de calidad</t>
        </is>
      </c>
      <c r="D23" s="115" t="inlineStr">
        <is>
          <t>1.1 Ampliación de cobertura</t>
        </is>
      </c>
      <c r="E23" s="115" t="inlineStr">
        <is>
          <t>Lograr que el 30% de los estudiantes del IBTI pasen a la educación superior de la ETITC.</t>
        </is>
      </c>
      <c r="F23" s="115" t="inlineStr">
        <is>
          <t>N.° y % de egresados del IBTI matriculados en programas de la ETITC</t>
        </is>
      </c>
      <c r="G23" s="115" t="inlineStr">
        <is>
          <t>30% (MPI: 250 estudiantes en 2032)</t>
        </is>
      </c>
      <c r="H23" s="115" t="inlineStr">
        <is>
          <t>40 estudiantes</t>
        </is>
      </c>
      <c r="I23" s="115" t="inlineStr">
        <is>
          <t>A22</t>
        </is>
      </c>
      <c r="J23" s="115" t="inlineStr">
        <is>
          <t>123 · Facultades</t>
        </is>
      </c>
      <c r="K23" s="115" t="inlineStr">
        <is>
          <t>Facultad de Electromecánica</t>
        </is>
      </c>
      <c r="L23" s="115" t="inlineStr">
        <is>
          <t>Docencia PES</t>
        </is>
      </c>
      <c r="M23" s="115" t="inlineStr">
        <is>
          <t>Responsable en el PAA 2026</t>
        </is>
      </c>
      <c r="N23" s="115" t="n">
        <v>1</v>
      </c>
      <c r="O23" s="115" t="n">
        <v>0</v>
      </c>
      <c r="P23" s="115" t="n">
        <v>1</v>
      </c>
      <c r="Q23" s="115" t="n">
        <v>0</v>
      </c>
      <c r="R23" s="115" t="inlineStr">
        <is>
          <t>Recibir a los estudiantes del IBTI que transitan a sus programas por ciclos propedéuticos: homologación de lo cursado, inducción y acompañamiento en el primer semestre. Cerrar o reprogramar en el SUIE el producto 2026 pendiente de esta meta.</t>
        </is>
      </c>
      <c r="S23" s="115" t="inlineStr">
        <is>
          <t>IMP-12; IMP-06</t>
        </is>
      </c>
      <c r="T23" s="115" t="inlineStr">
        <is>
          <t>Formulación_Ejes_2027</t>
        </is>
      </c>
      <c r="U23" s="115">
        <f>IF(I23=LEFT('Buscador_Formulación PAA 2027'!$C$4,3),COUNTIF($I$5:I23,LEFT('Buscador_Formulación PAA 2027'!$C$4,3)),"")</f>
        <v/>
      </c>
    </row>
    <row r="24" ht="15" customHeight="1" s="23">
      <c r="A24" s="115" t="inlineStr">
        <is>
          <t>E1-020</t>
        </is>
      </c>
      <c r="B24" s="115" t="inlineStr">
        <is>
          <t>1.1.1.2</t>
        </is>
      </c>
      <c r="C24" s="115" t="inlineStr">
        <is>
          <t>Formación y pedagogía de calidad</t>
        </is>
      </c>
      <c r="D24" s="115" t="inlineStr">
        <is>
          <t>1.1 Ampliación de cobertura</t>
        </is>
      </c>
      <c r="E24" s="115" t="inlineStr">
        <is>
          <t>Lograr que el 30% de los estudiantes del IBTI pasen a la educación superior de la ETITC.</t>
        </is>
      </c>
      <c r="F24" s="115" t="inlineStr">
        <is>
          <t>N.° y % de egresados del IBTI matriculados en programas de la ETITC</t>
        </is>
      </c>
      <c r="G24" s="115" t="inlineStr">
        <is>
          <t>30% (MPI: 250 estudiantes en 2032)</t>
        </is>
      </c>
      <c r="H24" s="115" t="inlineStr">
        <is>
          <t>40 estudiantes</t>
        </is>
      </c>
      <c r="I24" s="115" t="inlineStr">
        <is>
          <t>A23</t>
        </is>
      </c>
      <c r="J24" s="115" t="inlineStr">
        <is>
          <t>123 · Facultades</t>
        </is>
      </c>
      <c r="K24" s="115" t="inlineStr">
        <is>
          <t>Facultad de Mecánica</t>
        </is>
      </c>
      <c r="L24" s="115" t="inlineStr">
        <is>
          <t>Docencia PES</t>
        </is>
      </c>
      <c r="M24" s="115" t="inlineStr">
        <is>
          <t>Responsable en el PAA 2026</t>
        </is>
      </c>
      <c r="N24" s="115" t="n">
        <v>1</v>
      </c>
      <c r="O24" s="115" t="n">
        <v>0</v>
      </c>
      <c r="P24" s="115" t="n">
        <v>1</v>
      </c>
      <c r="Q24" s="115" t="n">
        <v>0</v>
      </c>
      <c r="R24" s="115" t="inlineStr">
        <is>
          <t>Recibir a los estudiantes del IBTI que transitan a sus programas por ciclos propedéuticos: homologación de lo cursado, inducción y acompañamiento en el primer semestre. Cerrar o reprogramar en el SUIE el producto 2026 pendiente de esta meta.</t>
        </is>
      </c>
      <c r="S24" s="115" t="inlineStr">
        <is>
          <t>IMP-12; IMP-06</t>
        </is>
      </c>
      <c r="T24" s="115" t="inlineStr">
        <is>
          <t>Formulación_Ejes_2027</t>
        </is>
      </c>
      <c r="U24" s="115">
        <f>IF(I24=LEFT('Buscador_Formulación PAA 2027'!$C$4,3),COUNTIF($I$5:I24,LEFT('Buscador_Formulación PAA 2027'!$C$4,3)),"")</f>
        <v/>
      </c>
    </row>
    <row r="25" ht="15" customHeight="1" s="23">
      <c r="A25" s="115" t="inlineStr">
        <is>
          <t>E1-021</t>
        </is>
      </c>
      <c r="B25" s="115" t="inlineStr">
        <is>
          <t>1.1.1.2</t>
        </is>
      </c>
      <c r="C25" s="115" t="inlineStr">
        <is>
          <t>Formación y pedagogía de calidad</t>
        </is>
      </c>
      <c r="D25" s="115" t="inlineStr">
        <is>
          <t>1.1 Ampliación de cobertura</t>
        </is>
      </c>
      <c r="E25" s="115" t="inlineStr">
        <is>
          <t>Lograr que el 30% de los estudiantes del IBTI pasen a la educación superior de la ETITC.</t>
        </is>
      </c>
      <c r="F25" s="115" t="inlineStr">
        <is>
          <t>N.° y % de egresados del IBTI matriculados en programas de la ETITC</t>
        </is>
      </c>
      <c r="G25" s="115" t="inlineStr">
        <is>
          <t>30% (MPI: 250 estudiantes en 2032)</t>
        </is>
      </c>
      <c r="H25" s="115" t="inlineStr">
        <is>
          <t>40 estudiantes</t>
        </is>
      </c>
      <c r="I25" s="115" t="inlineStr">
        <is>
          <t>A24</t>
        </is>
      </c>
      <c r="J25" s="115" t="inlineStr">
        <is>
          <t>123 · Facultades</t>
        </is>
      </c>
      <c r="K25" s="115" t="inlineStr">
        <is>
          <t>Facultad de Mecatrónica</t>
        </is>
      </c>
      <c r="L25" s="115" t="inlineStr">
        <is>
          <t>Docencia PES</t>
        </is>
      </c>
      <c r="M25" s="115" t="inlineStr">
        <is>
          <t>Responsable en el PAA 2026</t>
        </is>
      </c>
      <c r="N25" s="115" t="n">
        <v>1</v>
      </c>
      <c r="O25" s="115" t="n">
        <v>0</v>
      </c>
      <c r="P25" s="115" t="n">
        <v>1</v>
      </c>
      <c r="Q25" s="115" t="n">
        <v>0</v>
      </c>
      <c r="R25" s="115" t="inlineStr">
        <is>
          <t>Recibir a los estudiantes del IBTI que transitan a sus programas por ciclos propedéuticos: homologación de lo cursado, inducción y acompañamiento en el primer semestre. Cerrar o reprogramar en el SUIE el producto 2026 pendiente de esta meta.</t>
        </is>
      </c>
      <c r="S25" s="115" t="inlineStr">
        <is>
          <t>IMP-12; IMP-06</t>
        </is>
      </c>
      <c r="T25" s="115" t="inlineStr">
        <is>
          <t>Formulación_Ejes_2027</t>
        </is>
      </c>
      <c r="U25" s="115">
        <f>IF(I25=LEFT('Buscador_Formulación PAA 2027'!$C$4,3),COUNTIF($I$5:I25,LEFT('Buscador_Formulación PAA 2027'!$C$4,3)),"")</f>
        <v/>
      </c>
    </row>
    <row r="26" ht="15" customHeight="1" s="23">
      <c r="A26" s="115" t="inlineStr">
        <is>
          <t>E1-022</t>
        </is>
      </c>
      <c r="B26" s="115" t="inlineStr">
        <is>
          <t>1.1.1.2</t>
        </is>
      </c>
      <c r="C26" s="115" t="inlineStr">
        <is>
          <t>Formación y pedagogía de calidad</t>
        </is>
      </c>
      <c r="D26" s="115" t="inlineStr">
        <is>
          <t>1.1 Ampliación de cobertura</t>
        </is>
      </c>
      <c r="E26" s="115" t="inlineStr">
        <is>
          <t>Lograr que el 30% de los estudiantes del IBTI pasen a la educación superior de la ETITC.</t>
        </is>
      </c>
      <c r="F26" s="115" t="inlineStr">
        <is>
          <t>N.° y % de egresados del IBTI matriculados en programas de la ETITC</t>
        </is>
      </c>
      <c r="G26" s="115" t="inlineStr">
        <is>
          <t>30% (MPI: 250 estudiantes en 2032)</t>
        </is>
      </c>
      <c r="H26" s="115" t="inlineStr">
        <is>
          <t>40 estudiantes</t>
        </is>
      </c>
      <c r="I26" s="115" t="inlineStr">
        <is>
          <t>A25</t>
        </is>
      </c>
      <c r="J26" s="115" t="inlineStr">
        <is>
          <t>123 · Facultades</t>
        </is>
      </c>
      <c r="K26" s="115" t="inlineStr">
        <is>
          <t>Facultad de Procesos Industriales</t>
        </is>
      </c>
      <c r="L26" s="115" t="inlineStr">
        <is>
          <t>Docencia PES</t>
        </is>
      </c>
      <c r="M26" s="115" t="inlineStr">
        <is>
          <t>Responsable en el PAA 2026</t>
        </is>
      </c>
      <c r="N26" s="115" t="n">
        <v>1</v>
      </c>
      <c r="O26" s="115" t="n">
        <v>0</v>
      </c>
      <c r="P26" s="115" t="n">
        <v>1</v>
      </c>
      <c r="Q26" s="115" t="n">
        <v>0</v>
      </c>
      <c r="R26" s="115" t="inlineStr">
        <is>
          <t>Recibir a los estudiantes del IBTI que transitan a sus programas por ciclos propedéuticos: homologación de lo cursado, inducción y acompañamiento en el primer semestre. Cerrar o reprogramar en el SUIE el producto 2026 pendiente de esta meta.</t>
        </is>
      </c>
      <c r="S26" s="115" t="inlineStr">
        <is>
          <t>IMP-12; IMP-06</t>
        </is>
      </c>
      <c r="T26" s="115" t="inlineStr">
        <is>
          <t>Formulación_Ejes_2027</t>
        </is>
      </c>
      <c r="U26" s="115">
        <f>IF(I26=LEFT('Buscador_Formulación PAA 2027'!$C$4,3),COUNTIF($I$5:I26,LEFT('Buscador_Formulación PAA 2027'!$C$4,3)),"")</f>
        <v/>
      </c>
    </row>
    <row r="27" ht="15" customHeight="1" s="23">
      <c r="A27" s="115" t="inlineStr">
        <is>
          <t>E1-023</t>
        </is>
      </c>
      <c r="B27" s="115" t="inlineStr">
        <is>
          <t>1.1.1.2</t>
        </is>
      </c>
      <c r="C27" s="115" t="inlineStr">
        <is>
          <t>Formación y pedagogía de calidad</t>
        </is>
      </c>
      <c r="D27" s="115" t="inlineStr">
        <is>
          <t>1.1 Ampliación de cobertura</t>
        </is>
      </c>
      <c r="E27" s="115" t="inlineStr">
        <is>
          <t>Lograr que el 30% de los estudiantes del IBTI pasen a la educación superior de la ETITC.</t>
        </is>
      </c>
      <c r="F27" s="115" t="inlineStr">
        <is>
          <t>N.° y % de egresados del IBTI matriculados en programas de la ETITC</t>
        </is>
      </c>
      <c r="G27" s="115" t="inlineStr">
        <is>
          <t>30% (MPI: 250 estudiantes en 2032)</t>
        </is>
      </c>
      <c r="H27" s="115" t="inlineStr">
        <is>
          <t>40 estudiantes</t>
        </is>
      </c>
      <c r="I27" s="115" t="inlineStr">
        <is>
          <t>A26</t>
        </is>
      </c>
      <c r="J27" s="115" t="inlineStr">
        <is>
          <t>123 · Facultades</t>
        </is>
      </c>
      <c r="K27" s="115" t="inlineStr">
        <is>
          <t>Facultad de Sistemas</t>
        </is>
      </c>
      <c r="L27" s="115" t="inlineStr">
        <is>
          <t>Docencia PES</t>
        </is>
      </c>
      <c r="M27" s="115" t="inlineStr">
        <is>
          <t>Responsable en el PAA 2026</t>
        </is>
      </c>
      <c r="N27" s="115" t="n">
        <v>1</v>
      </c>
      <c r="O27" s="115" t="n">
        <v>0</v>
      </c>
      <c r="P27" s="115" t="n">
        <v>1</v>
      </c>
      <c r="Q27" s="115" t="n">
        <v>0</v>
      </c>
      <c r="R27" s="115" t="inlineStr">
        <is>
          <t>Recibir a los estudiantes del IBTI que transitan a sus programas por ciclos propedéuticos: homologación de lo cursado, inducción y acompañamiento en el primer semestre. Cerrar o reprogramar en el SUIE el producto 2026 pendiente de esta meta.</t>
        </is>
      </c>
      <c r="S27" s="115" t="inlineStr">
        <is>
          <t>IMP-12; IMP-06</t>
        </is>
      </c>
      <c r="T27" s="115" t="inlineStr">
        <is>
          <t>Formulación_Ejes_2027</t>
        </is>
      </c>
      <c r="U27" s="115">
        <f>IF(I27=LEFT('Buscador_Formulación PAA 2027'!$C$4,3),COUNTIF($I$5:I27,LEFT('Buscador_Formulación PAA 2027'!$C$4,3)),"")</f>
        <v/>
      </c>
    </row>
    <row r="28" ht="15" customHeight="1" s="23">
      <c r="A28" s="115" t="inlineStr">
        <is>
          <t>E1-024</t>
        </is>
      </c>
      <c r="B28" s="115" t="inlineStr">
        <is>
          <t>1.1.1.2</t>
        </is>
      </c>
      <c r="C28" s="115" t="inlineStr">
        <is>
          <t>Formación y pedagogía de calidad</t>
        </is>
      </c>
      <c r="D28" s="115" t="inlineStr">
        <is>
          <t>1.1 Ampliación de cobertura</t>
        </is>
      </c>
      <c r="E28" s="115" t="inlineStr">
        <is>
          <t>Lograr que el 30% de los estudiantes del IBTI pasen a la educación superior de la ETITC.</t>
        </is>
      </c>
      <c r="F28" s="115" t="inlineStr">
        <is>
          <t>N.° y % de egresados del IBTI matriculados en programas de la ETITC</t>
        </is>
      </c>
      <c r="G28" s="115" t="inlineStr">
        <is>
          <t>30% (MPI: 250 estudiantes en 2032)</t>
        </is>
      </c>
      <c r="H28" s="115" t="inlineStr">
        <is>
          <t>40 estudiantes</t>
        </is>
      </c>
      <c r="I28" s="115" t="inlineStr">
        <is>
          <t>A27</t>
        </is>
      </c>
      <c r="J28" s="115" t="inlineStr">
        <is>
          <t>124 · Instituto de Bachillerato Técnico Industrial (IBTI)</t>
        </is>
      </c>
      <c r="K28" s="115" t="inlineStr">
        <is>
          <t>IBTI</t>
        </is>
      </c>
      <c r="L28" s="115" t="inlineStr">
        <is>
          <t>Docencia IBTI</t>
        </is>
      </c>
      <c r="M28" s="115" t="inlineStr">
        <is>
          <t>Responsable en el PAA 2026</t>
        </is>
      </c>
      <c r="N28" s="115" t="n">
        <v>3</v>
      </c>
      <c r="O28" s="115" t="n">
        <v>2</v>
      </c>
      <c r="P28" s="115" t="n">
        <v>1</v>
      </c>
      <c r="Q28" s="115" t="n">
        <v>0</v>
      </c>
      <c r="R28" s="115" t="inlineStr">
        <is>
          <t>Acción propuesta AC27.04: Consolidar la ruta de tránsito del IBTI a la educación superior de la ETITC, desde la alineación curricular hasta el acompañamiento de la cohorte que ingresa. Actividades a su cargo: A27-008 Implementar la ruta de admisión y tránsito del IBTI a la educación superior. Cerrar o reprogramar en el SUIE el producto 2026 pendiente de esta meta.</t>
        </is>
      </c>
      <c r="S28" s="115" t="inlineStr">
        <is>
          <t>IMP-12; IMP-06</t>
        </is>
      </c>
      <c r="T28" s="115" t="inlineStr">
        <is>
          <t>Formulación_Ejes_2027</t>
        </is>
      </c>
      <c r="U28" s="115">
        <f>IF(I28=LEFT('Buscador_Formulación PAA 2027'!$C$4,3),COUNTIF($I$5:I28,LEFT('Buscador_Formulación PAA 2027'!$C$4,3)),"")</f>
        <v/>
      </c>
    </row>
    <row r="29" ht="15" customHeight="1" s="23">
      <c r="A29" s="115" t="inlineStr">
        <is>
          <t>E1-025</t>
        </is>
      </c>
      <c r="B29" s="115" t="inlineStr">
        <is>
          <t>1.1.1.2</t>
        </is>
      </c>
      <c r="C29" s="115" t="inlineStr">
        <is>
          <t>Formación y pedagogía de calidad</t>
        </is>
      </c>
      <c r="D29" s="115" t="inlineStr">
        <is>
          <t>1.1 Ampliación de cobertura</t>
        </is>
      </c>
      <c r="E29" s="115" t="inlineStr">
        <is>
          <t>Lograr que el 30% de los estudiantes del IBTI pasen a la educación superior de la ETITC.</t>
        </is>
      </c>
      <c r="F29" s="115" t="inlineStr">
        <is>
          <t>N.° y % de egresados del IBTI matriculados en programas de la ETITC</t>
        </is>
      </c>
      <c r="G29" s="115" t="inlineStr">
        <is>
          <t>30% (MPI: 250 estudiantes en 2032)</t>
        </is>
      </c>
      <c r="H29" s="115" t="inlineStr">
        <is>
          <t>40 estudiantes</t>
        </is>
      </c>
      <c r="I29" s="115" t="inlineStr">
        <is>
          <t>A29</t>
        </is>
      </c>
      <c r="J29" s="115" t="inlineStr">
        <is>
          <t>126 · GIT Registro y Control</t>
        </is>
      </c>
      <c r="K29" s="115" t="inlineStr">
        <is>
          <t>GIT Registro, Control y Admisiones</t>
        </is>
      </c>
      <c r="L29" s="115" t="inlineStr">
        <is>
          <t>Docencia PES</t>
        </is>
      </c>
      <c r="M29" s="115" t="inlineStr">
        <is>
          <t>Responsable en el PAA 2026</t>
        </is>
      </c>
      <c r="N29" s="115" t="n">
        <v>1</v>
      </c>
      <c r="O29" s="115" t="n">
        <v>0</v>
      </c>
      <c r="P29" s="115" t="n">
        <v>1</v>
      </c>
      <c r="Q29" s="115" t="n">
        <v>0</v>
      </c>
      <c r="R29" s="115" t="inlineStr">
        <is>
          <t>Acción propuesta AC27.04: Consolidar la ruta de tránsito del IBTI a la educación superior de la ETITC, desde la alineación curricular hasta el acompañamiento de la cohorte que ingresa. Actividades a su cargo: A27-009 Hacer seguimiento a la cohorte que transita y a su permanencia en el primer año. Cerrar o reprogramar en el SUIE el producto 2026 pendiente de esta meta.</t>
        </is>
      </c>
      <c r="S29" s="115" t="inlineStr">
        <is>
          <t>IMP-12; IMP-06</t>
        </is>
      </c>
      <c r="T29" s="115" t="inlineStr">
        <is>
          <t>Formulación_Ejes_2027</t>
        </is>
      </c>
      <c r="U29" s="115">
        <f>IF(I29=LEFT('Buscador_Formulación PAA 2027'!$C$4,3),COUNTIF($I$5:I29,LEFT('Buscador_Formulación PAA 2027'!$C$4,3)),"")</f>
        <v/>
      </c>
    </row>
    <row r="30" ht="15" customHeight="1" s="23">
      <c r="A30" s="115" t="inlineStr">
        <is>
          <t>E1-026</t>
        </is>
      </c>
      <c r="B30" s="115" t="inlineStr">
        <is>
          <t>1.2.1.1</t>
        </is>
      </c>
      <c r="C30" s="115" t="inlineStr">
        <is>
          <t>Formación y pedagogía de calidad</t>
        </is>
      </c>
      <c r="D30" s="115" t="inlineStr">
        <is>
          <t>1.2 Oferta educativa</t>
        </is>
      </c>
      <c r="E30" s="115" t="inlineStr">
        <is>
          <t>Ofrecer programas de educación superior: 5 pregrados nuevos, 3 especializaciones y 3 maestrías.</t>
        </is>
      </c>
      <c r="F30" s="115" t="inlineStr">
        <is>
          <t>N.° de programas nuevos con registro calificado y ofertados, por nivel</t>
        </is>
      </c>
      <c r="G30" s="115" t="inlineStr">
        <is>
          <t>5 pregrados, 3 especializaciones, 3 maestrías</t>
        </is>
      </c>
      <c r="H30" s="115" t="inlineStr">
        <is>
          <t>Pregrado: 3 documentos maestros, 2 programas con registro calificado y 2 ofertados desde el II semestre. Posgrado: 2 especializaciones y 2 maestrías ofertadas en el II semestre.</t>
        </is>
      </c>
      <c r="I30" s="115" t="inlineStr">
        <is>
          <t>A05</t>
        </is>
      </c>
      <c r="J30" s="115" t="inlineStr">
        <is>
          <t>101 · Oficina Asesora de Planeación y Desarrollo Institucional</t>
        </is>
      </c>
      <c r="K30" s="115" t="inlineStr">
        <is>
          <t>Planeación y Plan de Acción</t>
        </is>
      </c>
      <c r="L30" s="115" t="inlineStr">
        <is>
          <t>Direccionamiento Institucional</t>
        </is>
      </c>
      <c r="M30" s="115" t="inlineStr">
        <is>
          <t>Compromiso de proyecto estructurante</t>
        </is>
      </c>
      <c r="N30" s="115" t="n">
        <v>0</v>
      </c>
      <c r="O30" s="115" t="n">
        <v>0</v>
      </c>
      <c r="P30" s="115" t="n">
        <v>0</v>
      </c>
      <c r="Q30" s="115" t="n">
        <v>1</v>
      </c>
      <c r="R30" s="115" t="inlineStr">
        <is>
          <t>Obtener y cargar en el SUIE el plan de acción aprobado de la Facultad de Inteligencia Artificial y de la oferta en Zipaquirá.</t>
        </is>
      </c>
      <c r="S30" s="115" t="inlineStr">
        <is>
          <t>IMP-13; IMP-11</t>
        </is>
      </c>
      <c r="T30" s="115" t="inlineStr">
        <is>
          <t>Formulación_Ejes_2027</t>
        </is>
      </c>
      <c r="U30" s="115">
        <f>IF(I30=LEFT('Buscador_Formulación PAA 2027'!$C$4,3),COUNTIF($I$5:I30,LEFT('Buscador_Formulación PAA 2027'!$C$4,3)),"")</f>
        <v/>
      </c>
    </row>
    <row r="31" ht="15" customHeight="1" s="23">
      <c r="A31" s="115" t="inlineStr">
        <is>
          <t>E1-027</t>
        </is>
      </c>
      <c r="B31" s="115" t="inlineStr">
        <is>
          <t>1.2.1.1</t>
        </is>
      </c>
      <c r="C31" s="115" t="inlineStr">
        <is>
          <t>Formación y pedagogía de calidad</t>
        </is>
      </c>
      <c r="D31" s="115" t="inlineStr">
        <is>
          <t>1.2 Oferta educativa</t>
        </is>
      </c>
      <c r="E31" s="115" t="inlineStr">
        <is>
          <t>Ofrecer programas de educación superior: 5 pregrados nuevos, 3 especializaciones y 3 maestrías.</t>
        </is>
      </c>
      <c r="F31" s="115" t="inlineStr">
        <is>
          <t>N.° de programas nuevos con registro calificado y ofertados, por nivel</t>
        </is>
      </c>
      <c r="G31" s="115" t="inlineStr">
        <is>
          <t>5 pregrados, 3 especializaciones, 3 maestrías</t>
        </is>
      </c>
      <c r="H31" s="115" t="inlineStr">
        <is>
          <t>Pregrado: 3 documentos maestros, 2 programas con registro calificado y 2 ofertados desde el II semestre. Posgrado: 2 especializaciones y 2 maestrías ofertadas en el II semestre.</t>
        </is>
      </c>
      <c r="I31" s="115" t="inlineStr">
        <is>
          <t>A07</t>
        </is>
      </c>
      <c r="J31" s="115" t="inlineStr">
        <is>
          <t>101 · Oficina Asesora de Planeación y Desarrollo Institucional</t>
        </is>
      </c>
      <c r="K31" s="115" t="inlineStr">
        <is>
          <t>Autoevaluación y Acreditación</t>
        </is>
      </c>
      <c r="L31" s="115" t="inlineStr">
        <is>
          <t>Gestión del Sistema Integrado de Aseguramiento</t>
        </is>
      </c>
      <c r="M31" s="115" t="inlineStr">
        <is>
          <t>Responsable en el PAA 2026</t>
        </is>
      </c>
      <c r="N31" s="115" t="n">
        <v>19</v>
      </c>
      <c r="O31" s="115" t="n">
        <v>10</v>
      </c>
      <c r="P31" s="115" t="n">
        <v>9</v>
      </c>
      <c r="Q31" s="115" t="n">
        <v>0</v>
      </c>
      <c r="R31" s="115" t="inlineStr">
        <is>
          <t>Acompañar técnicamente la elaboración de los documentos maestros y verificar las condiciones de calidad antes de radicar ante el Ministerio de Educación. Cerrar o reprogramar en el SUIE los 9 productos 2026 pendientes de esta meta.</t>
        </is>
      </c>
      <c r="S31" s="115" t="inlineStr">
        <is>
          <t>IMP-13; IMP-11</t>
        </is>
      </c>
      <c r="T31" s="115" t="inlineStr">
        <is>
          <t>Formulación_Ejes_2027</t>
        </is>
      </c>
      <c r="U31" s="115">
        <f>IF(I31=LEFT('Buscador_Formulación PAA 2027'!$C$4,3),COUNTIF($I$5:I31,LEFT('Buscador_Formulación PAA 2027'!$C$4,3)),"")</f>
        <v/>
      </c>
    </row>
    <row r="32" ht="15" customHeight="1" s="23">
      <c r="A32" s="115" t="inlineStr">
        <is>
          <t>E1-028</t>
        </is>
      </c>
      <c r="B32" s="115" t="inlineStr">
        <is>
          <t>1.2.1.1</t>
        </is>
      </c>
      <c r="C32" s="115" t="inlineStr">
        <is>
          <t>Formación y pedagogía de calidad</t>
        </is>
      </c>
      <c r="D32" s="115" t="inlineStr">
        <is>
          <t>1.2 Oferta educativa</t>
        </is>
      </c>
      <c r="E32" s="115" t="inlineStr">
        <is>
          <t>Ofrecer programas de educación superior: 5 pregrados nuevos, 3 especializaciones y 3 maestrías.</t>
        </is>
      </c>
      <c r="F32" s="115" t="inlineStr">
        <is>
          <t>N.° de programas nuevos con registro calificado y ofertados, por nivel</t>
        </is>
      </c>
      <c r="G32" s="115" t="inlineStr">
        <is>
          <t>5 pregrados, 3 especializaciones, 3 maestrías</t>
        </is>
      </c>
      <c r="H32" s="115" t="inlineStr">
        <is>
          <t>Pregrado: 3 documentos maestros, 2 programas con registro calificado y 2 ofertados desde el II semestre. Posgrado: 2 especializaciones y 2 maestrías ofertadas en el II semestre.</t>
        </is>
      </c>
      <c r="I32" s="115" t="inlineStr">
        <is>
          <t>A08</t>
        </is>
      </c>
      <c r="J32" s="115" t="inlineStr">
        <is>
          <t>101 · Oficina Asesora de Planeación y Desarrollo Institucional</t>
        </is>
      </c>
      <c r="K32" s="115" t="inlineStr">
        <is>
          <t>Aseguramiento de la Calidad, MIPG y Registros Calificados</t>
        </is>
      </c>
      <c r="L32" s="115" t="inlineStr">
        <is>
          <t>Gestión del Sistema Integrado de Aseguramiento</t>
        </is>
      </c>
      <c r="M32" s="115" t="inlineStr">
        <is>
          <t>Responsable en el PAA 2026</t>
        </is>
      </c>
      <c r="N32" s="115" t="n">
        <v>14</v>
      </c>
      <c r="O32" s="115" t="n">
        <v>6</v>
      </c>
      <c r="P32" s="115" t="n">
        <v>8</v>
      </c>
      <c r="Q32" s="115" t="n">
        <v>1</v>
      </c>
      <c r="R32" s="115" t="inlineStr">
        <is>
          <t>Acción propuesta AC27.06: Poner en marcha la nueva oferta en el segundo semestre de 2027, incluidos los posgrados y los programas que se desarrollarán en Zipaquirá. Actividades a su cargo: A27-014 Tramitar la modificación del lugar de desarrollo de los programas de IA si se ofrecerán en Zipaquirá. Con esta acción se atienden compromisos pendientes de 2026 de los proyectos estructurantes. Cerrar o reprogramar en el SUIE los 8 productos 2026 pendientes de esta meta.</t>
        </is>
      </c>
      <c r="S32" s="115" t="inlineStr">
        <is>
          <t>IMP-13; IMP-11</t>
        </is>
      </c>
      <c r="T32" s="115" t="inlineStr">
        <is>
          <t>Formulación_Ejes_2027</t>
        </is>
      </c>
      <c r="U32" s="115">
        <f>IF(I32=LEFT('Buscador_Formulación PAA 2027'!$C$4,3),COUNTIF($I$5:I32,LEFT('Buscador_Formulación PAA 2027'!$C$4,3)),"")</f>
        <v/>
      </c>
    </row>
    <row r="33" ht="15" customHeight="1" s="23">
      <c r="A33" s="115" t="inlineStr">
        <is>
          <t>E1-029</t>
        </is>
      </c>
      <c r="B33" s="115" t="inlineStr">
        <is>
          <t>1.2.1.1</t>
        </is>
      </c>
      <c r="C33" s="115" t="inlineStr">
        <is>
          <t>Formación y pedagogía de calidad</t>
        </is>
      </c>
      <c r="D33" s="115" t="inlineStr">
        <is>
          <t>1.2 Oferta educativa</t>
        </is>
      </c>
      <c r="E33" s="115" t="inlineStr">
        <is>
          <t>Ofrecer programas de educación superior: 5 pregrados nuevos, 3 especializaciones y 3 maestrías.</t>
        </is>
      </c>
      <c r="F33" s="115" t="inlineStr">
        <is>
          <t>N.° de programas nuevos con registro calificado y ofertados, por nivel</t>
        </is>
      </c>
      <c r="G33" s="115" t="inlineStr">
        <is>
          <t>5 pregrados, 3 especializaciones, 3 maestrías</t>
        </is>
      </c>
      <c r="H33" s="115" t="inlineStr">
        <is>
          <t>Pregrado: 3 documentos maestros, 2 programas con registro calificado y 2 ofertados desde el II semestre. Posgrado: 2 especializaciones y 2 maestrías ofertadas en el II semestre.</t>
        </is>
      </c>
      <c r="I33" s="115" t="inlineStr">
        <is>
          <t>A11</t>
        </is>
      </c>
      <c r="J33" s="115" t="inlineStr">
        <is>
          <t>110 · Secretaría General</t>
        </is>
      </c>
      <c r="K33" s="115" t="inlineStr">
        <is>
          <t>Despacho de Secretaría General</t>
        </is>
      </c>
      <c r="L33" s="115" t="inlineStr">
        <is>
          <t>Direccionamiento Institucional</t>
        </is>
      </c>
      <c r="M33" s="115" t="inlineStr">
        <is>
          <t>Responsable en el PAA 2026</t>
        </is>
      </c>
      <c r="N33" s="115" t="n">
        <v>10</v>
      </c>
      <c r="O33" s="115" t="n">
        <v>0</v>
      </c>
      <c r="P33" s="115" t="n">
        <v>10</v>
      </c>
      <c r="Q33" s="115" t="n">
        <v>0</v>
      </c>
      <c r="R33" s="115" t="inlineStr">
        <is>
          <t>Tramitar ante el Consejo Directivo y el Consejo Académico los acuerdos de creación de los programas nuevos y custodiar los actos administrativos. Cerrar o reprogramar en el SUIE los 10 productos 2026 pendientes de esta meta.</t>
        </is>
      </c>
      <c r="S33" s="115" t="inlineStr">
        <is>
          <t>IMP-13; IMP-11</t>
        </is>
      </c>
      <c r="T33" s="115" t="inlineStr">
        <is>
          <t>Formulación_Ejes_2027</t>
        </is>
      </c>
      <c r="U33" s="115">
        <f>IF(I33=LEFT('Buscador_Formulación PAA 2027'!$C$4,3),COUNTIF($I$5:I33,LEFT('Buscador_Formulación PAA 2027'!$C$4,3)),"")</f>
        <v/>
      </c>
    </row>
    <row r="34" ht="15" customHeight="1" s="23">
      <c r="A34" s="115" t="inlineStr">
        <is>
          <t>E1-030</t>
        </is>
      </c>
      <c r="B34" s="115" t="inlineStr">
        <is>
          <t>1.2.1.1</t>
        </is>
      </c>
      <c r="C34" s="115" t="inlineStr">
        <is>
          <t>Formación y pedagogía de calidad</t>
        </is>
      </c>
      <c r="D34" s="115" t="inlineStr">
        <is>
          <t>1.2 Oferta educativa</t>
        </is>
      </c>
      <c r="E34" s="115" t="inlineStr">
        <is>
          <t>Ofrecer programas de educación superior: 5 pregrados nuevos, 3 especializaciones y 3 maestrías.</t>
        </is>
      </c>
      <c r="F34" s="115" t="inlineStr">
        <is>
          <t>N.° de programas nuevos con registro calificado y ofertados, por nivel</t>
        </is>
      </c>
      <c r="G34" s="115" t="inlineStr">
        <is>
          <t>5 pregrados, 3 especializaciones, 3 maestrías</t>
        </is>
      </c>
      <c r="H34" s="115" t="inlineStr">
        <is>
          <t>Pregrado: 3 documentos maestros, 2 programas con registro calificado y 2 ofertados desde el II semestre. Posgrado: 2 especializaciones y 2 maestrías ofertadas en el II semestre.</t>
        </is>
      </c>
      <c r="I34" s="115" t="inlineStr">
        <is>
          <t>A15</t>
        </is>
      </c>
      <c r="J34" s="115" t="inlineStr">
        <is>
          <t>120 · Vicerrectoría Académica</t>
        </is>
      </c>
      <c r="K34" s="115" t="inlineStr">
        <is>
          <t>Despacho de la Vicerrectoría Académica</t>
        </is>
      </c>
      <c r="L34" s="115" t="inlineStr">
        <is>
          <t>Docencia PES</t>
        </is>
      </c>
      <c r="M34" s="115" t="inlineStr">
        <is>
          <t>Responsable en el PAA 2026</t>
        </is>
      </c>
      <c r="N34" s="115" t="n">
        <v>2</v>
      </c>
      <c r="O34" s="115" t="n">
        <v>0</v>
      </c>
      <c r="P34" s="115" t="n">
        <v>2</v>
      </c>
      <c r="Q34" s="115" t="n">
        <v>2</v>
      </c>
      <c r="R34" s="115" t="inlineStr">
        <is>
          <t>Acción propuesta AC27.05: Completar el diseño y la aprobación de la nueva oferta de pregrado, con énfasis en inteligencia artificial y ciencia de datos. Actividades a su cargo: A27-010 Reprogramar los productos 2026 vencidos de la meta (38 al 2 de septiembre de 2026); A27-011 Elaborar los documentos maestros de 3 programas de pregrado; A27-013 Obtener registro calificado de Ingeniería en IA, Ingeniería Robótica con IA y Especialización en Soluciones de IA. Con esta acción se atienden compromisos pendientes de 2026 de los proyectos estructurantes. Cerrar o reprogramar en el SUIE los 2 productos 2026 pendientes de esta meta.</t>
        </is>
      </c>
      <c r="S34" s="115" t="inlineStr">
        <is>
          <t>IMP-13; IMP-11</t>
        </is>
      </c>
      <c r="T34" s="115" t="inlineStr">
        <is>
          <t>Formulación_Ejes_2027</t>
        </is>
      </c>
      <c r="U34" s="115">
        <f>IF(I34=LEFT('Buscador_Formulación PAA 2027'!$C$4,3),COUNTIF($I$5:I34,LEFT('Buscador_Formulación PAA 2027'!$C$4,3)),"")</f>
        <v/>
      </c>
    </row>
    <row r="35" ht="15" customHeight="1" s="23">
      <c r="A35" s="115" t="inlineStr">
        <is>
          <t>E1-031</t>
        </is>
      </c>
      <c r="B35" s="115" t="inlineStr">
        <is>
          <t>1.2.1.1</t>
        </is>
      </c>
      <c r="C35" s="115" t="inlineStr">
        <is>
          <t>Formación y pedagogía de calidad</t>
        </is>
      </c>
      <c r="D35" s="115" t="inlineStr">
        <is>
          <t>1.2 Oferta educativa</t>
        </is>
      </c>
      <c r="E35" s="115" t="inlineStr">
        <is>
          <t>Ofrecer programas de educación superior: 5 pregrados nuevos, 3 especializaciones y 3 maestrías.</t>
        </is>
      </c>
      <c r="F35" s="115" t="inlineStr">
        <is>
          <t>N.° de programas nuevos con registro calificado y ofertados, por nivel</t>
        </is>
      </c>
      <c r="G35" s="115" t="inlineStr">
        <is>
          <t>5 pregrados, 3 especializaciones, 3 maestrías</t>
        </is>
      </c>
      <c r="H35" s="115" t="inlineStr">
        <is>
          <t>Pregrado: 3 documentos maestros, 2 programas con registro calificado y 2 ofertados desde el II semestre. Posgrado: 2 especializaciones y 2 maestrías ofertadas en el II semestre.</t>
        </is>
      </c>
      <c r="I35" s="115" t="inlineStr">
        <is>
          <t>A16</t>
        </is>
      </c>
      <c r="J35" s="115" t="inlineStr">
        <is>
          <t>123 · Facultades</t>
        </is>
      </c>
      <c r="K35" s="115" t="inlineStr">
        <is>
          <t>Coordinación de Especializaciones</t>
        </is>
      </c>
      <c r="L35" s="115" t="inlineStr">
        <is>
          <t>Docencia PES</t>
        </is>
      </c>
      <c r="M35" s="115" t="inlineStr">
        <is>
          <t>Responsable en el PAA 2026</t>
        </is>
      </c>
      <c r="N35" s="115" t="n">
        <v>5</v>
      </c>
      <c r="O35" s="115" t="n">
        <v>0</v>
      </c>
      <c r="P35" s="115" t="n">
        <v>5</v>
      </c>
      <c r="Q35" s="115" t="n">
        <v>0</v>
      </c>
      <c r="R35" s="115" t="inlineStr">
        <is>
          <t>Acción propuesta AC27.06: Poner en marcha la nueva oferta en el segundo semestre de 2027, incluidos los posgrados y los programas que se desarrollarán en Zipaquirá. Actividades a su cargo: A27-015 Ofertar 2 especializaciones y 2 maestrías en el II semestre. Cerrar o reprogramar en el SUIE los 5 productos 2026 pendientes de esta meta.</t>
        </is>
      </c>
      <c r="S35" s="115" t="inlineStr">
        <is>
          <t>IMP-13; IMP-11</t>
        </is>
      </c>
      <c r="T35" s="115" t="inlineStr">
        <is>
          <t>Formulación_Ejes_2027</t>
        </is>
      </c>
      <c r="U35" s="115">
        <f>IF(I35=LEFT('Buscador_Formulación PAA 2027'!$C$4,3),COUNTIF($I$5:I35,LEFT('Buscador_Formulación PAA 2027'!$C$4,3)),"")</f>
        <v/>
      </c>
    </row>
    <row r="36" ht="15" customHeight="1" s="23">
      <c r="A36" s="115" t="inlineStr">
        <is>
          <t>E1-032</t>
        </is>
      </c>
      <c r="B36" s="115" t="inlineStr">
        <is>
          <t>1.2.1.1</t>
        </is>
      </c>
      <c r="C36" s="115" t="inlineStr">
        <is>
          <t>Formación y pedagogía de calidad</t>
        </is>
      </c>
      <c r="D36" s="115" t="inlineStr">
        <is>
          <t>1.2 Oferta educativa</t>
        </is>
      </c>
      <c r="E36" s="115" t="inlineStr">
        <is>
          <t>Ofrecer programas de educación superior: 5 pregrados nuevos, 3 especializaciones y 3 maestrías.</t>
        </is>
      </c>
      <c r="F36" s="115" t="inlineStr">
        <is>
          <t>N.° de programas nuevos con registro calificado y ofertados, por nivel</t>
        </is>
      </c>
      <c r="G36" s="115" t="inlineStr">
        <is>
          <t>5 pregrados, 3 especializaciones, 3 maestrías</t>
        </is>
      </c>
      <c r="H36" s="115" t="inlineStr">
        <is>
          <t>Pregrado: 3 documentos maestros, 2 programas con registro calificado y 2 ofertados desde el II semestre. Posgrado: 2 especializaciones y 2 maestrías ofertadas en el II semestre.</t>
        </is>
      </c>
      <c r="I36" s="115" t="inlineStr">
        <is>
          <t>A17</t>
        </is>
      </c>
      <c r="J36" s="115" t="inlineStr">
        <is>
          <t>120 · Vicerrectoría Académica</t>
        </is>
      </c>
      <c r="K36" s="115" t="inlineStr">
        <is>
          <t>Unidad B-Learning</t>
        </is>
      </c>
      <c r="L36" s="115" t="inlineStr">
        <is>
          <t>Docencia PES</t>
        </is>
      </c>
      <c r="M36" s="115" t="inlineStr">
        <is>
          <t>Responsable en el PAA 2026</t>
        </is>
      </c>
      <c r="N36" s="115" t="n">
        <v>8</v>
      </c>
      <c r="O36" s="115" t="n">
        <v>0</v>
      </c>
      <c r="P36" s="115" t="n">
        <v>8</v>
      </c>
      <c r="Q36" s="115" t="n">
        <v>0</v>
      </c>
      <c r="R36" s="115" t="inlineStr">
        <is>
          <t>Diseñar los ambientes virtuales y los cursos de los programas nuevos que se ofrecerán en modalidad virtual o híbrida. Cerrar o reprogramar en el SUIE los 8 productos 2026 pendientes de esta meta.</t>
        </is>
      </c>
      <c r="S36" s="115" t="inlineStr">
        <is>
          <t>IMP-13; IMP-11</t>
        </is>
      </c>
      <c r="T36" s="115" t="inlineStr">
        <is>
          <t>Formulación_Ejes_2027</t>
        </is>
      </c>
      <c r="U36" s="115">
        <f>IF(I36=LEFT('Buscador_Formulación PAA 2027'!$C$4,3),COUNTIF($I$5:I36,LEFT('Buscador_Formulación PAA 2027'!$C$4,3)),"")</f>
        <v/>
      </c>
    </row>
    <row r="37" ht="15" customHeight="1" s="23">
      <c r="A37" s="115" t="inlineStr">
        <is>
          <t>E1-033</t>
        </is>
      </c>
      <c r="B37" s="115" t="inlineStr">
        <is>
          <t>1.2.1.1</t>
        </is>
      </c>
      <c r="C37" s="115" t="inlineStr">
        <is>
          <t>Formación y pedagogía de calidad</t>
        </is>
      </c>
      <c r="D37" s="115" t="inlineStr">
        <is>
          <t>1.2 Oferta educativa</t>
        </is>
      </c>
      <c r="E37" s="115" t="inlineStr">
        <is>
          <t>Ofrecer programas de educación superior: 5 pregrados nuevos, 3 especializaciones y 3 maestrías.</t>
        </is>
      </c>
      <c r="F37" s="115" t="inlineStr">
        <is>
          <t>N.° de programas nuevos con registro calificado y ofertados, por nivel</t>
        </is>
      </c>
      <c r="G37" s="115" t="inlineStr">
        <is>
          <t>5 pregrados, 3 especializaciones, 3 maestrías</t>
        </is>
      </c>
      <c r="H37" s="115" t="inlineStr">
        <is>
          <t>Pregrado: 3 documentos maestros, 2 programas con registro calificado y 2 ofertados desde el II semestre. Posgrado: 2 especializaciones y 2 maestrías ofertadas en el II semestre.</t>
        </is>
      </c>
      <c r="I37" s="115" t="inlineStr">
        <is>
          <t>A18</t>
        </is>
      </c>
      <c r="J37" s="115" t="inlineStr">
        <is>
          <t>101 · Oficina Asesora de Planeación y Desarrollo Institucional</t>
        </is>
      </c>
      <c r="K37" s="115" t="inlineStr">
        <is>
          <t>Articulación de programas (IA)</t>
        </is>
      </c>
      <c r="L37" s="115" t="inlineStr">
        <is>
          <t>Direccionamiento Institucional</t>
        </is>
      </c>
      <c r="M37" s="115" t="inlineStr">
        <is>
          <t>Responsable en el PAA 2026</t>
        </is>
      </c>
      <c r="N37" s="115" t="n">
        <v>7</v>
      </c>
      <c r="O37" s="115" t="n">
        <v>0</v>
      </c>
      <c r="P37" s="115" t="n">
        <v>7</v>
      </c>
      <c r="Q37" s="115" t="n">
        <v>0</v>
      </c>
      <c r="R37" s="115" t="inlineStr">
        <is>
          <t>Articular el diseño de los programas de inteligencia artificial con la Facultad de Inteligencia Artificial y el Centro de IA de Zipaquirá. Cerrar o reprogramar en el SUIE los 7 productos 2026 pendientes de esta meta.</t>
        </is>
      </c>
      <c r="S37" s="115" t="inlineStr">
        <is>
          <t>IMP-13; IMP-11</t>
        </is>
      </c>
      <c r="T37" s="115" t="inlineStr">
        <is>
          <t>Formulación_Ejes_2027</t>
        </is>
      </c>
      <c r="U37" s="115">
        <f>IF(I37=LEFT('Buscador_Formulación PAA 2027'!$C$4,3),COUNTIF($I$5:I37,LEFT('Buscador_Formulación PAA 2027'!$C$4,3)),"")</f>
        <v/>
      </c>
    </row>
    <row r="38" ht="15" customHeight="1" s="23">
      <c r="A38" s="115" t="inlineStr">
        <is>
          <t>E1-034</t>
        </is>
      </c>
      <c r="B38" s="115" t="inlineStr">
        <is>
          <t>1.2.1.1</t>
        </is>
      </c>
      <c r="C38" s="115" t="inlineStr">
        <is>
          <t>Formación y pedagogía de calidad</t>
        </is>
      </c>
      <c r="D38" s="115" t="inlineStr">
        <is>
          <t>1.2 Oferta educativa</t>
        </is>
      </c>
      <c r="E38" s="115" t="inlineStr">
        <is>
          <t>Ofrecer programas de educación superior: 5 pregrados nuevos, 3 especializaciones y 3 maestrías.</t>
        </is>
      </c>
      <c r="F38" s="115" t="inlineStr">
        <is>
          <t>N.° de programas nuevos con registro calificado y ofertados, por nivel</t>
        </is>
      </c>
      <c r="G38" s="115" t="inlineStr">
        <is>
          <t>5 pregrados, 3 especializaciones, 3 maestrías</t>
        </is>
      </c>
      <c r="H38" s="115" t="inlineStr">
        <is>
          <t>Pregrado: 3 documentos maestros, 2 programas con registro calificado y 2 ofertados desde el II semestre. Posgrado: 2 especializaciones y 2 maestrías ofertadas en el II semestre.</t>
        </is>
      </c>
      <c r="I38" s="115" t="inlineStr">
        <is>
          <t>A20</t>
        </is>
      </c>
      <c r="J38" s="115" t="inlineStr">
        <is>
          <t>121 · GIT Biblioteca y Recursos Educativos</t>
        </is>
      </c>
      <c r="K38" s="115" t="inlineStr">
        <is>
          <t>GIT Biblioteca y Recursos Académicos</t>
        </is>
      </c>
      <c r="L38" s="115" t="inlineStr">
        <is>
          <t>Docencia PES</t>
        </is>
      </c>
      <c r="M38" s="115" t="inlineStr">
        <is>
          <t>Asignación por funciones del área</t>
        </is>
      </c>
      <c r="N38" s="115" t="n">
        <v>0</v>
      </c>
      <c r="O38" s="115" t="n">
        <v>0</v>
      </c>
      <c r="P38" s="115" t="n">
        <v>0</v>
      </c>
      <c r="Q38" s="115" t="n">
        <v>0</v>
      </c>
      <c r="R38" s="115" t="inlineStr">
        <is>
          <t>Garantizar los recursos bibliográficos y las bases de datos que exige el registro calificado de cada programa nuevo, con su soporte para el documento maestro.</t>
        </is>
      </c>
      <c r="S38" s="115" t="inlineStr">
        <is>
          <t>IMP-13; IMP-11</t>
        </is>
      </c>
      <c r="T38" s="115" t="inlineStr">
        <is>
          <t>Formulación_Ejes_2027</t>
        </is>
      </c>
      <c r="U38" s="115">
        <f>IF(I38=LEFT('Buscador_Formulación PAA 2027'!$C$4,3),COUNTIF($I$5:I38,LEFT('Buscador_Formulación PAA 2027'!$C$4,3)),"")</f>
        <v/>
      </c>
    </row>
    <row r="39" ht="15" customHeight="1" s="23">
      <c r="A39" s="115" t="inlineStr">
        <is>
          <t>E1-035</t>
        </is>
      </c>
      <c r="B39" s="115" t="inlineStr">
        <is>
          <t>1.2.1.1</t>
        </is>
      </c>
      <c r="C39" s="115" t="inlineStr">
        <is>
          <t>Formación y pedagogía de calidad</t>
        </is>
      </c>
      <c r="D39" s="115" t="inlineStr">
        <is>
          <t>1.2 Oferta educativa</t>
        </is>
      </c>
      <c r="E39" s="115" t="inlineStr">
        <is>
          <t>Ofrecer programas de educación superior: 5 pregrados nuevos, 3 especializaciones y 3 maestrías.</t>
        </is>
      </c>
      <c r="F39" s="115" t="inlineStr">
        <is>
          <t>N.° de programas nuevos con registro calificado y ofertados, por nivel</t>
        </is>
      </c>
      <c r="G39" s="115" t="inlineStr">
        <is>
          <t>5 pregrados, 3 especializaciones, 3 maestrías</t>
        </is>
      </c>
      <c r="H39" s="115" t="inlineStr">
        <is>
          <t>Pregrado: 3 documentos maestros, 2 programas con registro calificado y 2 ofertados desde el II semestre. Posgrado: 2 especializaciones y 2 maestrías ofertadas en el II semestre.</t>
        </is>
      </c>
      <c r="I39" s="115" t="inlineStr">
        <is>
          <t>A22</t>
        </is>
      </c>
      <c r="J39" s="115" t="inlineStr">
        <is>
          <t>123 · Facultades</t>
        </is>
      </c>
      <c r="K39" s="115" t="inlineStr">
        <is>
          <t>Facultad de Electromecánica</t>
        </is>
      </c>
      <c r="L39" s="115" t="inlineStr">
        <is>
          <t>Docencia PES</t>
        </is>
      </c>
      <c r="M39" s="115" t="inlineStr">
        <is>
          <t>Asignación por funciones del área</t>
        </is>
      </c>
      <c r="N39" s="115" t="n">
        <v>0</v>
      </c>
      <c r="O39" s="115" t="n">
        <v>0</v>
      </c>
      <c r="P39" s="115" t="n">
        <v>0</v>
      </c>
      <c r="Q39" s="115" t="n">
        <v>0</v>
      </c>
      <c r="R39" s="115" t="inlineStr">
        <is>
          <t>Proponer y construir con la Vicerrectoría Académica los documentos maestros de los programas nuevos de su campo, con estudio de pertinencia y condiciones de calidad.</t>
        </is>
      </c>
      <c r="S39" s="115" t="inlineStr">
        <is>
          <t>IMP-13; IMP-11</t>
        </is>
      </c>
      <c r="T39" s="115" t="inlineStr">
        <is>
          <t>Formulación_Ejes_2027</t>
        </is>
      </c>
      <c r="U39" s="115">
        <f>IF(I39=LEFT('Buscador_Formulación PAA 2027'!$C$4,3),COUNTIF($I$5:I39,LEFT('Buscador_Formulación PAA 2027'!$C$4,3)),"")</f>
        <v/>
      </c>
    </row>
    <row r="40" ht="15" customHeight="1" s="23">
      <c r="A40" s="115" t="inlineStr">
        <is>
          <t>E1-036</t>
        </is>
      </c>
      <c r="B40" s="115" t="inlineStr">
        <is>
          <t>1.2.1.1</t>
        </is>
      </c>
      <c r="C40" s="115" t="inlineStr">
        <is>
          <t>Formación y pedagogía de calidad</t>
        </is>
      </c>
      <c r="D40" s="115" t="inlineStr">
        <is>
          <t>1.2 Oferta educativa</t>
        </is>
      </c>
      <c r="E40" s="115" t="inlineStr">
        <is>
          <t>Ofrecer programas de educación superior: 5 pregrados nuevos, 3 especializaciones y 3 maestrías.</t>
        </is>
      </c>
      <c r="F40" s="115" t="inlineStr">
        <is>
          <t>N.° de programas nuevos con registro calificado y ofertados, por nivel</t>
        </is>
      </c>
      <c r="G40" s="115" t="inlineStr">
        <is>
          <t>5 pregrados, 3 especializaciones, 3 maestrías</t>
        </is>
      </c>
      <c r="H40" s="115" t="inlineStr">
        <is>
          <t>Pregrado: 3 documentos maestros, 2 programas con registro calificado y 2 ofertados desde el II semestre. Posgrado: 2 especializaciones y 2 maestrías ofertadas en el II semestre.</t>
        </is>
      </c>
      <c r="I40" s="115" t="inlineStr">
        <is>
          <t>A23</t>
        </is>
      </c>
      <c r="J40" s="115" t="inlineStr">
        <is>
          <t>123 · Facultades</t>
        </is>
      </c>
      <c r="K40" s="115" t="inlineStr">
        <is>
          <t>Facultad de Mecánica</t>
        </is>
      </c>
      <c r="L40" s="115" t="inlineStr">
        <is>
          <t>Docencia PES</t>
        </is>
      </c>
      <c r="M40" s="115" t="inlineStr">
        <is>
          <t>Asignación por funciones del área</t>
        </is>
      </c>
      <c r="N40" s="115" t="n">
        <v>0</v>
      </c>
      <c r="O40" s="115" t="n">
        <v>0</v>
      </c>
      <c r="P40" s="115" t="n">
        <v>0</v>
      </c>
      <c r="Q40" s="115" t="n">
        <v>0</v>
      </c>
      <c r="R40" s="115" t="inlineStr">
        <is>
          <t>Proponer y construir con la Vicerrectoría Académica los documentos maestros de los programas nuevos de su campo, con estudio de pertinencia y condiciones de calidad.</t>
        </is>
      </c>
      <c r="S40" s="115" t="inlineStr">
        <is>
          <t>IMP-13; IMP-11</t>
        </is>
      </c>
      <c r="T40" s="115" t="inlineStr">
        <is>
          <t>Formulación_Ejes_2027</t>
        </is>
      </c>
      <c r="U40" s="115">
        <f>IF(I40=LEFT('Buscador_Formulación PAA 2027'!$C$4,3),COUNTIF($I$5:I40,LEFT('Buscador_Formulación PAA 2027'!$C$4,3)),"")</f>
        <v/>
      </c>
    </row>
    <row r="41" ht="15" customHeight="1" s="23">
      <c r="A41" s="115" t="inlineStr">
        <is>
          <t>E1-037</t>
        </is>
      </c>
      <c r="B41" s="115" t="inlineStr">
        <is>
          <t>1.2.1.1</t>
        </is>
      </c>
      <c r="C41" s="115" t="inlineStr">
        <is>
          <t>Formación y pedagogía de calidad</t>
        </is>
      </c>
      <c r="D41" s="115" t="inlineStr">
        <is>
          <t>1.2 Oferta educativa</t>
        </is>
      </c>
      <c r="E41" s="115" t="inlineStr">
        <is>
          <t>Ofrecer programas de educación superior: 5 pregrados nuevos, 3 especializaciones y 3 maestrías.</t>
        </is>
      </c>
      <c r="F41" s="115" t="inlineStr">
        <is>
          <t>N.° de programas nuevos con registro calificado y ofertados, por nivel</t>
        </is>
      </c>
      <c r="G41" s="115" t="inlineStr">
        <is>
          <t>5 pregrados, 3 especializaciones, 3 maestrías</t>
        </is>
      </c>
      <c r="H41" s="115" t="inlineStr">
        <is>
          <t>Pregrado: 3 documentos maestros, 2 programas con registro calificado y 2 ofertados desde el II semestre. Posgrado: 2 especializaciones y 2 maestrías ofertadas en el II semestre.</t>
        </is>
      </c>
      <c r="I41" s="115" t="inlineStr">
        <is>
          <t>A24</t>
        </is>
      </c>
      <c r="J41" s="115" t="inlineStr">
        <is>
          <t>123 · Facultades</t>
        </is>
      </c>
      <c r="K41" s="115" t="inlineStr">
        <is>
          <t>Facultad de Mecatrónica</t>
        </is>
      </c>
      <c r="L41" s="115" t="inlineStr">
        <is>
          <t>Docencia PES</t>
        </is>
      </c>
      <c r="M41" s="115" t="inlineStr">
        <is>
          <t>Responsable en el PAA 2026</t>
        </is>
      </c>
      <c r="N41" s="115" t="n">
        <v>1</v>
      </c>
      <c r="O41" s="115" t="n">
        <v>0</v>
      </c>
      <c r="P41" s="115" t="n">
        <v>1</v>
      </c>
      <c r="Q41" s="115" t="n">
        <v>0</v>
      </c>
      <c r="R41" s="115" t="inlineStr">
        <is>
          <t>Proponer y construir con la Vicerrectoría Académica los documentos maestros de los programas nuevos de su campo, con estudio de pertinencia y condiciones de calidad. Cerrar o reprogramar en el SUIE el producto 2026 pendiente de esta meta.</t>
        </is>
      </c>
      <c r="S41" s="115" t="inlineStr">
        <is>
          <t>IMP-13; IMP-11</t>
        </is>
      </c>
      <c r="T41" s="115" t="inlineStr">
        <is>
          <t>Formulación_Ejes_2027</t>
        </is>
      </c>
      <c r="U41" s="115">
        <f>IF(I41=LEFT('Buscador_Formulación PAA 2027'!$C$4,3),COUNTIF($I$5:I41,LEFT('Buscador_Formulación PAA 2027'!$C$4,3)),"")</f>
        <v/>
      </c>
    </row>
    <row r="42" ht="15" customHeight="1" s="23">
      <c r="A42" s="115" t="inlineStr">
        <is>
          <t>E1-038</t>
        </is>
      </c>
      <c r="B42" s="115" t="inlineStr">
        <is>
          <t>1.2.1.1</t>
        </is>
      </c>
      <c r="C42" s="115" t="inlineStr">
        <is>
          <t>Formación y pedagogía de calidad</t>
        </is>
      </c>
      <c r="D42" s="115" t="inlineStr">
        <is>
          <t>1.2 Oferta educativa</t>
        </is>
      </c>
      <c r="E42" s="115" t="inlineStr">
        <is>
          <t>Ofrecer programas de educación superior: 5 pregrados nuevos, 3 especializaciones y 3 maestrías.</t>
        </is>
      </c>
      <c r="F42" s="115" t="inlineStr">
        <is>
          <t>N.° de programas nuevos con registro calificado y ofertados, por nivel</t>
        </is>
      </c>
      <c r="G42" s="115" t="inlineStr">
        <is>
          <t>5 pregrados, 3 especializaciones, 3 maestrías</t>
        </is>
      </c>
      <c r="H42" s="115" t="inlineStr">
        <is>
          <t>Pregrado: 3 documentos maestros, 2 programas con registro calificado y 2 ofertados desde el II semestre. Posgrado: 2 especializaciones y 2 maestrías ofertadas en el II semestre.</t>
        </is>
      </c>
      <c r="I42" s="115" t="inlineStr">
        <is>
          <t>A25</t>
        </is>
      </c>
      <c r="J42" s="115" t="inlineStr">
        <is>
          <t>123 · Facultades</t>
        </is>
      </c>
      <c r="K42" s="115" t="inlineStr">
        <is>
          <t>Facultad de Procesos Industriales</t>
        </is>
      </c>
      <c r="L42" s="115" t="inlineStr">
        <is>
          <t>Docencia PES</t>
        </is>
      </c>
      <c r="M42" s="115" t="inlineStr">
        <is>
          <t>Responsable en el PAA 2026</t>
        </is>
      </c>
      <c r="N42" s="115" t="n">
        <v>1</v>
      </c>
      <c r="O42" s="115" t="n">
        <v>0</v>
      </c>
      <c r="P42" s="115" t="n">
        <v>1</v>
      </c>
      <c r="Q42" s="115" t="n">
        <v>0</v>
      </c>
      <c r="R42" s="115" t="inlineStr">
        <is>
          <t>Proponer y construir con la Vicerrectoría Académica los documentos maestros de los programas nuevos de su campo, con estudio de pertinencia y condiciones de calidad. Cerrar o reprogramar en el SUIE el producto 2026 pendiente de esta meta.</t>
        </is>
      </c>
      <c r="S42" s="115" t="inlineStr">
        <is>
          <t>IMP-13; IMP-11</t>
        </is>
      </c>
      <c r="T42" s="115" t="inlineStr">
        <is>
          <t>Formulación_Ejes_2027</t>
        </is>
      </c>
      <c r="U42" s="115">
        <f>IF(I42=LEFT('Buscador_Formulación PAA 2027'!$C$4,3),COUNTIF($I$5:I42,LEFT('Buscador_Formulación PAA 2027'!$C$4,3)),"")</f>
        <v/>
      </c>
    </row>
    <row r="43" ht="15" customHeight="1" s="23">
      <c r="A43" s="115" t="inlineStr">
        <is>
          <t>E1-039</t>
        </is>
      </c>
      <c r="B43" s="115" t="inlineStr">
        <is>
          <t>1.2.1.1</t>
        </is>
      </c>
      <c r="C43" s="115" t="inlineStr">
        <is>
          <t>Formación y pedagogía de calidad</t>
        </is>
      </c>
      <c r="D43" s="115" t="inlineStr">
        <is>
          <t>1.2 Oferta educativa</t>
        </is>
      </c>
      <c r="E43" s="115" t="inlineStr">
        <is>
          <t>Ofrecer programas de educación superior: 5 pregrados nuevos, 3 especializaciones y 3 maestrías.</t>
        </is>
      </c>
      <c r="F43" s="115" t="inlineStr">
        <is>
          <t>N.° de programas nuevos con registro calificado y ofertados, por nivel</t>
        </is>
      </c>
      <c r="G43" s="115" t="inlineStr">
        <is>
          <t>5 pregrados, 3 especializaciones, 3 maestrías</t>
        </is>
      </c>
      <c r="H43" s="115" t="inlineStr">
        <is>
          <t>Pregrado: 3 documentos maestros, 2 programas con registro calificado y 2 ofertados desde el II semestre. Posgrado: 2 especializaciones y 2 maestrías ofertadas en el II semestre.</t>
        </is>
      </c>
      <c r="I43" s="115" t="inlineStr">
        <is>
          <t>A26</t>
        </is>
      </c>
      <c r="J43" s="115" t="inlineStr">
        <is>
          <t>123 · Facultades</t>
        </is>
      </c>
      <c r="K43" s="115" t="inlineStr">
        <is>
          <t>Facultad de Sistemas</t>
        </is>
      </c>
      <c r="L43" s="115" t="inlineStr">
        <is>
          <t>Docencia PES</t>
        </is>
      </c>
      <c r="M43" s="115" t="inlineStr">
        <is>
          <t>Responsable en el PAA 2026</t>
        </is>
      </c>
      <c r="N43" s="115" t="n">
        <v>8</v>
      </c>
      <c r="O43" s="115" t="n">
        <v>0</v>
      </c>
      <c r="P43" s="115" t="n">
        <v>8</v>
      </c>
      <c r="Q43" s="115" t="n">
        <v>0</v>
      </c>
      <c r="R43" s="115" t="inlineStr">
        <is>
          <t>Proponer y construir con la Vicerrectoría Académica los documentos maestros de los programas nuevos de su campo, con estudio de pertinencia y condiciones de calidad. Cerrar o reprogramar en el SUIE los 8 productos 2026 pendientes de esta meta.</t>
        </is>
      </c>
      <c r="S43" s="115" t="inlineStr">
        <is>
          <t>IMP-13; IMP-11</t>
        </is>
      </c>
      <c r="T43" s="115" t="inlineStr">
        <is>
          <t>Formulación_Ejes_2027</t>
        </is>
      </c>
      <c r="U43" s="115">
        <f>IF(I43=LEFT('Buscador_Formulación PAA 2027'!$C$4,3),COUNTIF($I$5:I43,LEFT('Buscador_Formulación PAA 2027'!$C$4,3)),"")</f>
        <v/>
      </c>
    </row>
    <row r="44" ht="15" customHeight="1" s="23">
      <c r="A44" s="115" t="inlineStr">
        <is>
          <t>E1-040</t>
        </is>
      </c>
      <c r="B44" s="115" t="inlineStr">
        <is>
          <t>1.2.1.1</t>
        </is>
      </c>
      <c r="C44" s="115" t="inlineStr">
        <is>
          <t>Formación y pedagogía de calidad</t>
        </is>
      </c>
      <c r="D44" s="115" t="inlineStr">
        <is>
          <t>1.2 Oferta educativa</t>
        </is>
      </c>
      <c r="E44" s="115" t="inlineStr">
        <is>
          <t>Ofrecer programas de educación superior: 5 pregrados nuevos, 3 especializaciones y 3 maestrías.</t>
        </is>
      </c>
      <c r="F44" s="115" t="inlineStr">
        <is>
          <t>N.° de programas nuevos con registro calificado y ofertados, por nivel</t>
        </is>
      </c>
      <c r="G44" s="115" t="inlineStr">
        <is>
          <t>5 pregrados, 3 especializaciones, 3 maestrías</t>
        </is>
      </c>
      <c r="H44" s="115" t="inlineStr">
        <is>
          <t>Pregrado: 3 documentos maestros, 2 programas con registro calificado y 2 ofertados desde el II semestre. Posgrado: 2 especializaciones y 2 maestrías ofertadas en el II semestre.</t>
        </is>
      </c>
      <c r="I44" s="115" t="inlineStr">
        <is>
          <t>A46</t>
        </is>
      </c>
      <c r="J44" s="115" t="inlineStr">
        <is>
          <t>123 · Facultades</t>
        </is>
      </c>
      <c r="K44" s="115" t="inlineStr">
        <is>
          <t>Facultad de Inteligencia Artificial (Acuerdo 010 de 2025)</t>
        </is>
      </c>
      <c r="L44" s="115" t="inlineStr">
        <is>
          <t>Docencia PES</t>
        </is>
      </c>
      <c r="M44" s="115" t="inlineStr">
        <is>
          <t>Asignación propuesta por la OAP</t>
        </is>
      </c>
      <c r="N44" s="115" t="n">
        <v>0</v>
      </c>
      <c r="O44" s="115" t="n">
        <v>0</v>
      </c>
      <c r="P44" s="115" t="n">
        <v>0</v>
      </c>
      <c r="Q44" s="115" t="n">
        <v>1</v>
      </c>
      <c r="R44" s="115" t="inlineStr">
        <is>
          <t>Acción propuesta AC27.05: Completar el diseño y la aprobación de la nueva oferta de pregrado, con énfasis en inteligencia artificial y ciencia de datos. Actividades a su cargo: A27-012 Diseñar 4 programas nuevos de IA: Tecnología en Análisis y Modelado de Datos con IA, TP en Ciencia de Datos Aplicada a la IA, Especialización en Gestión de Proyectos de IA y Maestría en Ciencia de Datos. Con esta acción se atienden compromisos pendientes de 2026 de los proyectos estructurantes.</t>
        </is>
      </c>
      <c r="S44" s="115" t="inlineStr">
        <is>
          <t>IMP-13; IMP-11</t>
        </is>
      </c>
      <c r="T44" s="115" t="inlineStr">
        <is>
          <t>Formulación_Ejes_2027</t>
        </is>
      </c>
      <c r="U44" s="115">
        <f>IF(I44=LEFT('Buscador_Formulación PAA 2027'!$C$4,3),COUNTIF($I$5:I44,LEFT('Buscador_Formulación PAA 2027'!$C$4,3)),"")</f>
        <v/>
      </c>
    </row>
    <row r="45" ht="15" customHeight="1" s="23">
      <c r="A45" s="115" t="inlineStr">
        <is>
          <t>E1-041</t>
        </is>
      </c>
      <c r="B45" s="115" t="inlineStr">
        <is>
          <t>1.3.1.1</t>
        </is>
      </c>
      <c r="C45" s="115" t="inlineStr">
        <is>
          <t>Formación y pedagogía de calidad</t>
        </is>
      </c>
      <c r="D45" s="115" t="inlineStr">
        <is>
          <t>1.3 Calidad de los programas académicos</t>
        </is>
      </c>
      <c r="E45" s="115" t="inlineStr">
        <is>
          <t>Contar con la acreditación del 100% de los programas de la ETITC que sean acreditables.</t>
        </is>
      </c>
      <c r="F45" s="115" t="inlineStr">
        <is>
          <t>% de programas acreditables con acreditación vigente y N.° de programas acreditados</t>
        </is>
      </c>
      <c r="G45" s="115" t="inlineStr">
        <is>
          <t>100% de los acreditables (MPI: 24 programas)</t>
        </is>
      </c>
      <c r="H45" s="115" t="inlineStr">
        <is>
          <t>Sugerida por la OAP: mantener el 100% de los programas acreditables acreditados, 18 programas con acreditación vigente, según la MPI, y radicar a tiempo las renovaciones que vencen en 2027</t>
        </is>
      </c>
      <c r="I45" s="115" t="inlineStr">
        <is>
          <t>A07</t>
        </is>
      </c>
      <c r="J45" s="115" t="inlineStr">
        <is>
          <t>101 · Oficina Asesora de Planeación y Desarrollo Institucional</t>
        </is>
      </c>
      <c r="K45" s="115" t="inlineStr">
        <is>
          <t>Autoevaluación y Acreditación</t>
        </is>
      </c>
      <c r="L45" s="115" t="inlineStr">
        <is>
          <t>Gestión del Sistema Integrado de Aseguramiento</t>
        </is>
      </c>
      <c r="M45" s="115" t="inlineStr">
        <is>
          <t>Responsable en el PAA 2026</t>
        </is>
      </c>
      <c r="N45" s="115" t="n">
        <v>11</v>
      </c>
      <c r="O45" s="115" t="n">
        <v>4</v>
      </c>
      <c r="P45" s="115" t="n">
        <v>7</v>
      </c>
      <c r="Q45" s="115" t="n">
        <v>1</v>
      </c>
      <c r="R45" s="115" t="inlineStr">
        <is>
          <t>Acción propuesta AC27.07: Asegurar la continuidad de las acreditaciones de programa, con un calendario de vencimientos y la radicación oportuna de las renovaciones de 2027. Actividades a su cargo: A27-016 Construir el calendario de vencimientos de las acreditaciones de programa 2027 a 2029; A27-017 Radicar las renovaciones de acreditación que vencen en 2027 y atender las visitas de pares. Acción propuesta AC27.08: Cerrar el ciclo de mejoramiento de los programas acreditados, al día con los planes de mejoramiento y sin productos pendientes de 2026. Actividades a su cargo: A27-019 Cerrar los 11 productos vencidos de acreditación de programas de 2026. Con esta acción se atienden compromisos pendientes de 2026 de los proyectos estructurantes. Cerrar o reprogramar en el SUIE los 7 productos 2026 pendientes de esta meta.</t>
        </is>
      </c>
      <c r="S45" s="115" t="inlineStr">
        <is>
          <t>IMP-07; IMP-18</t>
        </is>
      </c>
      <c r="T45" s="115" t="inlineStr">
        <is>
          <t>Formulación_Ejes_2027</t>
        </is>
      </c>
      <c r="U45" s="115">
        <f>IF(I45=LEFT('Buscador_Formulación PAA 2027'!$C$4,3),COUNTIF($I$5:I45,LEFT('Buscador_Formulación PAA 2027'!$C$4,3)),"")</f>
        <v/>
      </c>
    </row>
    <row r="46" ht="15" customHeight="1" s="23">
      <c r="A46" s="115" t="inlineStr">
        <is>
          <t>E1-042</t>
        </is>
      </c>
      <c r="B46" s="115" t="inlineStr">
        <is>
          <t>1.3.1.1</t>
        </is>
      </c>
      <c r="C46" s="115" t="inlineStr">
        <is>
          <t>Formación y pedagogía de calidad</t>
        </is>
      </c>
      <c r="D46" s="115" t="inlineStr">
        <is>
          <t>1.3 Calidad de los programas académicos</t>
        </is>
      </c>
      <c r="E46" s="115" t="inlineStr">
        <is>
          <t>Contar con la acreditación del 100% de los programas de la ETITC que sean acreditables.</t>
        </is>
      </c>
      <c r="F46" s="115" t="inlineStr">
        <is>
          <t>% de programas acreditables con acreditación vigente y N.° de programas acreditados</t>
        </is>
      </c>
      <c r="G46" s="115" t="inlineStr">
        <is>
          <t>100% de los acreditables (MPI: 24 programas)</t>
        </is>
      </c>
      <c r="H46" s="115" t="inlineStr">
        <is>
          <t>Sugerida por la OAP: mantener el 100% de los programas acreditables acreditados, 18 programas con acreditación vigente, según la MPI, y radicar a tiempo las renovaciones que vencen en 2027</t>
        </is>
      </c>
      <c r="I46" s="115" t="inlineStr">
        <is>
          <t>A08</t>
        </is>
      </c>
      <c r="J46" s="115" t="inlineStr">
        <is>
          <t>101 · Oficina Asesora de Planeación y Desarrollo Institucional</t>
        </is>
      </c>
      <c r="K46" s="115" t="inlineStr">
        <is>
          <t>Aseguramiento de la Calidad, MIPG y Registros Calificados</t>
        </is>
      </c>
      <c r="L46" s="115" t="inlineStr">
        <is>
          <t>Gestión del Sistema Integrado de Aseguramiento</t>
        </is>
      </c>
      <c r="M46" s="115" t="inlineStr">
        <is>
          <t>Acción propuesta PAA 2027</t>
        </is>
      </c>
      <c r="N46" s="115" t="n">
        <v>0</v>
      </c>
      <c r="O46" s="115" t="n">
        <v>0</v>
      </c>
      <c r="P46" s="115" t="n">
        <v>0</v>
      </c>
      <c r="Q46" s="115" t="n">
        <v>0</v>
      </c>
      <c r="R46" s="115" t="inlineStr">
        <is>
          <t>Acción propuesta AC27.08: Cerrar el ciclo de mejoramiento de los programas acreditados, al día con los planes de mejoramiento y sin productos pendientes de 2026. Actividades a su cargo: A27-018 Hacer seguimiento a los planes de mejoramiento de los programas acreditados.</t>
        </is>
      </c>
      <c r="S46" s="115" t="inlineStr">
        <is>
          <t>IMP-07; IMP-18</t>
        </is>
      </c>
      <c r="T46" s="115" t="inlineStr">
        <is>
          <t>Formulación_Ejes_2027</t>
        </is>
      </c>
      <c r="U46" s="115">
        <f>IF(I46=LEFT('Buscador_Formulación PAA 2027'!$C$4,3),COUNTIF($I$5:I46,LEFT('Buscador_Formulación PAA 2027'!$C$4,3)),"")</f>
        <v/>
      </c>
    </row>
    <row r="47" ht="15" customHeight="1" s="23">
      <c r="A47" s="115" t="inlineStr">
        <is>
          <t>E1-043</t>
        </is>
      </c>
      <c r="B47" s="115" t="inlineStr">
        <is>
          <t>1.3.1.1</t>
        </is>
      </c>
      <c r="C47" s="115" t="inlineStr">
        <is>
          <t>Formación y pedagogía de calidad</t>
        </is>
      </c>
      <c r="D47" s="115" t="inlineStr">
        <is>
          <t>1.3 Calidad de los programas académicos</t>
        </is>
      </c>
      <c r="E47" s="115" t="inlineStr">
        <is>
          <t>Contar con la acreditación del 100% de los programas de la ETITC que sean acreditables.</t>
        </is>
      </c>
      <c r="F47" s="115" t="inlineStr">
        <is>
          <t>% de programas acreditables con acreditación vigente y N.° de programas acreditados</t>
        </is>
      </c>
      <c r="G47" s="115" t="inlineStr">
        <is>
          <t>100% de los acreditables (MPI: 24 programas)</t>
        </is>
      </c>
      <c r="H47" s="115" t="inlineStr">
        <is>
          <t>Sugerida por la OAP: mantener el 100% de los programas acreditables acreditados, 18 programas con acreditación vigente, según la MPI, y radicar a tiempo las renovaciones que vencen en 2027</t>
        </is>
      </c>
      <c r="I47" s="115" t="inlineStr">
        <is>
          <t>A18</t>
        </is>
      </c>
      <c r="J47" s="115" t="inlineStr">
        <is>
          <t>101 · Oficina Asesora de Planeación y Desarrollo Institucional</t>
        </is>
      </c>
      <c r="K47" s="115" t="inlineStr">
        <is>
          <t>Articulación de programas (IA)</t>
        </is>
      </c>
      <c r="L47" s="115" t="inlineStr">
        <is>
          <t>Direccionamiento Institucional</t>
        </is>
      </c>
      <c r="M47" s="115" t="inlineStr">
        <is>
          <t>Responsable en el PAA 2026</t>
        </is>
      </c>
      <c r="N47" s="115" t="n">
        <v>3</v>
      </c>
      <c r="O47" s="115" t="n">
        <v>0</v>
      </c>
      <c r="P47" s="115" t="n">
        <v>3</v>
      </c>
      <c r="Q47" s="115" t="n">
        <v>0</v>
      </c>
      <c r="R47" s="115" t="inlineStr">
        <is>
          <t>Apoyar la autoevaluación de los programas articulados de inteligencia artificial. Cerrar o reprogramar en el SUIE los 3 productos 2026 pendientes de esta meta.</t>
        </is>
      </c>
      <c r="S47" s="115" t="inlineStr">
        <is>
          <t>IMP-07; IMP-18</t>
        </is>
      </c>
      <c r="T47" s="115" t="inlineStr">
        <is>
          <t>Formulación_Ejes_2027</t>
        </is>
      </c>
      <c r="U47" s="115">
        <f>IF(I47=LEFT('Buscador_Formulación PAA 2027'!$C$4,3),COUNTIF($I$5:I47,LEFT('Buscador_Formulación PAA 2027'!$C$4,3)),"")</f>
        <v/>
      </c>
    </row>
    <row r="48" ht="15" customHeight="1" s="23">
      <c r="A48" s="115" t="inlineStr">
        <is>
          <t>E1-044</t>
        </is>
      </c>
      <c r="B48" s="115" t="inlineStr">
        <is>
          <t>1.3.1.1</t>
        </is>
      </c>
      <c r="C48" s="115" t="inlineStr">
        <is>
          <t>Formación y pedagogía de calidad</t>
        </is>
      </c>
      <c r="D48" s="115" t="inlineStr">
        <is>
          <t>1.3 Calidad de los programas académicos</t>
        </is>
      </c>
      <c r="E48" s="115" t="inlineStr">
        <is>
          <t>Contar con la acreditación del 100% de los programas de la ETITC que sean acreditables.</t>
        </is>
      </c>
      <c r="F48" s="115" t="inlineStr">
        <is>
          <t>% de programas acreditables con acreditación vigente y N.° de programas acreditados</t>
        </is>
      </c>
      <c r="G48" s="115" t="inlineStr">
        <is>
          <t>100% de los acreditables (MPI: 24 programas)</t>
        </is>
      </c>
      <c r="H48" s="115" t="inlineStr">
        <is>
          <t>Sugerida por la OAP: mantener el 100% de los programas acreditables acreditados, 18 programas con acreditación vigente, según la MPI, y radicar a tiempo las renovaciones que vencen en 2027</t>
        </is>
      </c>
      <c r="I48" s="115" t="inlineStr">
        <is>
          <t>A20</t>
        </is>
      </c>
      <c r="J48" s="115" t="inlineStr">
        <is>
          <t>121 · GIT Biblioteca y Recursos Educativos</t>
        </is>
      </c>
      <c r="K48" s="115" t="inlineStr">
        <is>
          <t>GIT Biblioteca y Recursos Académicos</t>
        </is>
      </c>
      <c r="L48" s="115" t="inlineStr">
        <is>
          <t>Docencia PES</t>
        </is>
      </c>
      <c r="M48" s="115" t="inlineStr">
        <is>
          <t>Asignación por funciones del área</t>
        </is>
      </c>
      <c r="N48" s="115" t="n">
        <v>0</v>
      </c>
      <c r="O48" s="115" t="n">
        <v>0</v>
      </c>
      <c r="P48" s="115" t="n">
        <v>0</v>
      </c>
      <c r="Q48" s="115" t="n">
        <v>0</v>
      </c>
      <c r="R48" s="115" t="inlineStr">
        <is>
          <t>Aportar los indicadores de uso y suficiencia de los recursos bibliográficos que evalúan los pares en la acreditación de programas.</t>
        </is>
      </c>
      <c r="S48" s="115" t="inlineStr">
        <is>
          <t>IMP-07; IMP-18</t>
        </is>
      </c>
      <c r="T48" s="115" t="inlineStr">
        <is>
          <t>Formulación_Ejes_2027</t>
        </is>
      </c>
      <c r="U48" s="115">
        <f>IF(I48=LEFT('Buscador_Formulación PAA 2027'!$C$4,3),COUNTIF($I$5:I48,LEFT('Buscador_Formulación PAA 2027'!$C$4,3)),"")</f>
        <v/>
      </c>
    </row>
    <row r="49" ht="15" customHeight="1" s="23">
      <c r="A49" s="115" t="inlineStr">
        <is>
          <t>E1-045</t>
        </is>
      </c>
      <c r="B49" s="115" t="inlineStr">
        <is>
          <t>1.3.1.1</t>
        </is>
      </c>
      <c r="C49" s="115" t="inlineStr">
        <is>
          <t>Formación y pedagogía de calidad</t>
        </is>
      </c>
      <c r="D49" s="115" t="inlineStr">
        <is>
          <t>1.3 Calidad de los programas académicos</t>
        </is>
      </c>
      <c r="E49" s="115" t="inlineStr">
        <is>
          <t>Contar con la acreditación del 100% de los programas de la ETITC que sean acreditables.</t>
        </is>
      </c>
      <c r="F49" s="115" t="inlineStr">
        <is>
          <t>% de programas acreditables con acreditación vigente y N.° de programas acreditados</t>
        </is>
      </c>
      <c r="G49" s="115" t="inlineStr">
        <is>
          <t>100% de los acreditables (MPI: 24 programas)</t>
        </is>
      </c>
      <c r="H49" s="115" t="inlineStr">
        <is>
          <t>Sugerida por la OAP: mantener el 100% de los programas acreditables acreditados, 18 programas con acreditación vigente, según la MPI, y radicar a tiempo las renovaciones que vencen en 2027</t>
        </is>
      </c>
      <c r="I49" s="115" t="inlineStr">
        <is>
          <t>A22</t>
        </is>
      </c>
      <c r="J49" s="115" t="inlineStr">
        <is>
          <t>123 · Facultades</t>
        </is>
      </c>
      <c r="K49" s="115" t="inlineStr">
        <is>
          <t>Facultad de Electromecánica</t>
        </is>
      </c>
      <c r="L49" s="115" t="inlineStr">
        <is>
          <t>Docencia PES</t>
        </is>
      </c>
      <c r="M49" s="115" t="inlineStr">
        <is>
          <t>Asignación por funciones del área</t>
        </is>
      </c>
      <c r="N49" s="115" t="n">
        <v>0</v>
      </c>
      <c r="O49" s="115" t="n">
        <v>0</v>
      </c>
      <c r="P49" s="115" t="n">
        <v>0</v>
      </c>
      <c r="Q49" s="115" t="n">
        <v>0</v>
      </c>
      <c r="R49" s="115" t="inlineStr">
        <is>
          <t>Liderar la autoevaluación de sus programas y ejecutar los planes de mejoramiento que exige la acreditación, con apoyo de Autoevaluación y Acreditación.</t>
        </is>
      </c>
      <c r="S49" s="115" t="inlineStr">
        <is>
          <t>IMP-07; IMP-18</t>
        </is>
      </c>
      <c r="T49" s="115" t="inlineStr">
        <is>
          <t>Formulación_Ejes_2027</t>
        </is>
      </c>
      <c r="U49" s="115">
        <f>IF(I49=LEFT('Buscador_Formulación PAA 2027'!$C$4,3),COUNTIF($I$5:I49,LEFT('Buscador_Formulación PAA 2027'!$C$4,3)),"")</f>
        <v/>
      </c>
    </row>
    <row r="50" ht="15" customHeight="1" s="23">
      <c r="A50" s="115" t="inlineStr">
        <is>
          <t>E1-046</t>
        </is>
      </c>
      <c r="B50" s="115" t="inlineStr">
        <is>
          <t>1.3.1.1</t>
        </is>
      </c>
      <c r="C50" s="115" t="inlineStr">
        <is>
          <t>Formación y pedagogía de calidad</t>
        </is>
      </c>
      <c r="D50" s="115" t="inlineStr">
        <is>
          <t>1.3 Calidad de los programas académicos</t>
        </is>
      </c>
      <c r="E50" s="115" t="inlineStr">
        <is>
          <t>Contar con la acreditación del 100% de los programas de la ETITC que sean acreditables.</t>
        </is>
      </c>
      <c r="F50" s="115" t="inlineStr">
        <is>
          <t>% de programas acreditables con acreditación vigente y N.° de programas acreditados</t>
        </is>
      </c>
      <c r="G50" s="115" t="inlineStr">
        <is>
          <t>100% de los acreditables (MPI: 24 programas)</t>
        </is>
      </c>
      <c r="H50" s="115" t="inlineStr">
        <is>
          <t>Sugerida por la OAP: mantener el 100% de los programas acreditables acreditados, 18 programas con acreditación vigente, según la MPI, y radicar a tiempo las renovaciones que vencen en 2027</t>
        </is>
      </c>
      <c r="I50" s="115" t="inlineStr">
        <is>
          <t>A23</t>
        </is>
      </c>
      <c r="J50" s="115" t="inlineStr">
        <is>
          <t>123 · Facultades</t>
        </is>
      </c>
      <c r="K50" s="115" t="inlineStr">
        <is>
          <t>Facultad de Mecánica</t>
        </is>
      </c>
      <c r="L50" s="115" t="inlineStr">
        <is>
          <t>Docencia PES</t>
        </is>
      </c>
      <c r="M50" s="115" t="inlineStr">
        <is>
          <t>Responsable en el PAA 2026</t>
        </is>
      </c>
      <c r="N50" s="115" t="n">
        <v>1</v>
      </c>
      <c r="O50" s="115" t="n">
        <v>0</v>
      </c>
      <c r="P50" s="115" t="n">
        <v>1</v>
      </c>
      <c r="Q50" s="115" t="n">
        <v>0</v>
      </c>
      <c r="R50" s="115" t="inlineStr">
        <is>
          <t>Liderar la autoevaluación de sus programas y ejecutar los planes de mejoramiento que exige la acreditación, con apoyo de Autoevaluación y Acreditación. Cerrar o reprogramar en el SUIE el producto 2026 pendiente de esta meta.</t>
        </is>
      </c>
      <c r="S50" s="115" t="inlineStr">
        <is>
          <t>IMP-07; IMP-18</t>
        </is>
      </c>
      <c r="T50" s="115" t="inlineStr">
        <is>
          <t>Formulación_Ejes_2027</t>
        </is>
      </c>
      <c r="U50" s="115">
        <f>IF(I50=LEFT('Buscador_Formulación PAA 2027'!$C$4,3),COUNTIF($I$5:I500,LEFT('Buscador_Formulación PAA 2027'!$C$4,3)),"")</f>
        <v/>
      </c>
    </row>
    <row r="51" ht="15" customHeight="1" s="23">
      <c r="A51" s="115" t="inlineStr">
        <is>
          <t>E1-047</t>
        </is>
      </c>
      <c r="B51" s="115" t="inlineStr">
        <is>
          <t>1.3.1.1</t>
        </is>
      </c>
      <c r="C51" s="115" t="inlineStr">
        <is>
          <t>Formación y pedagogía de calidad</t>
        </is>
      </c>
      <c r="D51" s="115" t="inlineStr">
        <is>
          <t>1.3 Calidad de los programas académicos</t>
        </is>
      </c>
      <c r="E51" s="115" t="inlineStr">
        <is>
          <t>Contar con la acreditación del 100% de los programas de la ETITC que sean acreditables.</t>
        </is>
      </c>
      <c r="F51" s="115" t="inlineStr">
        <is>
          <t>% de programas acreditables con acreditación vigente y N.° de programas acreditados</t>
        </is>
      </c>
      <c r="G51" s="115" t="inlineStr">
        <is>
          <t>100% de los acreditables (MPI: 24 programas)</t>
        </is>
      </c>
      <c r="H51" s="115" t="inlineStr">
        <is>
          <t>Sugerida por la OAP: mantener el 100% de los programas acreditables acreditados, 18 programas con acreditación vigente, según la MPI, y radicar a tiempo las renovaciones que vencen en 2027</t>
        </is>
      </c>
      <c r="I51" s="115" t="inlineStr">
        <is>
          <t>A24</t>
        </is>
      </c>
      <c r="J51" s="115" t="inlineStr">
        <is>
          <t>123 · Facultades</t>
        </is>
      </c>
      <c r="K51" s="115" t="inlineStr">
        <is>
          <t>Facultad de Mecatrónica</t>
        </is>
      </c>
      <c r="L51" s="115" t="inlineStr">
        <is>
          <t>Docencia PES</t>
        </is>
      </c>
      <c r="M51" s="115" t="inlineStr">
        <is>
          <t>Asignación por funciones del área</t>
        </is>
      </c>
      <c r="N51" s="115" t="n">
        <v>0</v>
      </c>
      <c r="O51" s="115" t="n">
        <v>0</v>
      </c>
      <c r="P51" s="115" t="n">
        <v>0</v>
      </c>
      <c r="Q51" s="115" t="n">
        <v>0</v>
      </c>
      <c r="R51" s="115" t="inlineStr">
        <is>
          <t>Liderar la autoevaluación de sus programas y ejecutar los planes de mejoramiento que exige la acreditación, con apoyo de Autoevaluación y Acreditación.</t>
        </is>
      </c>
      <c r="S51" s="115" t="inlineStr">
        <is>
          <t>IMP-07; IMP-18</t>
        </is>
      </c>
      <c r="T51" s="115" t="inlineStr">
        <is>
          <t>Formulación_Ejes_2027</t>
        </is>
      </c>
      <c r="U51" s="115">
        <f>IF(I51=LEFT('Buscador_Formulación PAA 2027'!$C$4,3),COUNTIF($I$5:I511,LEFT('Buscador_Formulación PAA 2027'!$C$4,3)),"")</f>
        <v/>
      </c>
    </row>
    <row r="52" ht="15" customHeight="1" s="23">
      <c r="A52" s="115" t="inlineStr">
        <is>
          <t>E1-048</t>
        </is>
      </c>
      <c r="B52" s="115" t="inlineStr">
        <is>
          <t>1.3.1.1</t>
        </is>
      </c>
      <c r="C52" s="115" t="inlineStr">
        <is>
          <t>Formación y pedagogía de calidad</t>
        </is>
      </c>
      <c r="D52" s="115" t="inlineStr">
        <is>
          <t>1.3 Calidad de los programas académicos</t>
        </is>
      </c>
      <c r="E52" s="115" t="inlineStr">
        <is>
          <t>Contar con la acreditación del 100% de los programas de la ETITC que sean acreditables.</t>
        </is>
      </c>
      <c r="F52" s="115" t="inlineStr">
        <is>
          <t>% de programas acreditables con acreditación vigente y N.° de programas acreditados</t>
        </is>
      </c>
      <c r="G52" s="115" t="inlineStr">
        <is>
          <t>100% de los acreditables (MPI: 24 programas)</t>
        </is>
      </c>
      <c r="H52" s="115" t="inlineStr">
        <is>
          <t>Sugerida por la OAP: mantener el 100% de los programas acreditables acreditados, 18 programas con acreditación vigente, según la MPI, y radicar a tiempo las renovaciones que vencen en 2027</t>
        </is>
      </c>
      <c r="I52" s="115" t="inlineStr">
        <is>
          <t>A25</t>
        </is>
      </c>
      <c r="J52" s="115" t="inlineStr">
        <is>
          <t>123 · Facultades</t>
        </is>
      </c>
      <c r="K52" s="115" t="inlineStr">
        <is>
          <t>Facultad de Procesos Industriales</t>
        </is>
      </c>
      <c r="L52" s="115" t="inlineStr">
        <is>
          <t>Docencia PES</t>
        </is>
      </c>
      <c r="M52" s="115" t="inlineStr">
        <is>
          <t>Asignación por funciones del área</t>
        </is>
      </c>
      <c r="N52" s="115" t="n">
        <v>0</v>
      </c>
      <c r="O52" s="115" t="n">
        <v>0</v>
      </c>
      <c r="P52" s="115" t="n">
        <v>0</v>
      </c>
      <c r="Q52" s="115" t="n">
        <v>0</v>
      </c>
      <c r="R52" s="115" t="inlineStr">
        <is>
          <t>Liderar la autoevaluación de sus programas y ejecutar los planes de mejoramiento que exige la acreditación, con apoyo de Autoevaluación y Acreditación.</t>
        </is>
      </c>
      <c r="S52" s="115" t="inlineStr">
        <is>
          <t>IMP-07; IMP-18</t>
        </is>
      </c>
      <c r="T52" s="115" t="inlineStr">
        <is>
          <t>Formulación_Ejes_2027</t>
        </is>
      </c>
      <c r="U52" s="115">
        <f>IF(I52=LEFT('Buscador_Formulación PAA 2027'!$C$4,3),COUNTIF($I$5:I522,LEFT('Buscador_Formulación PAA 2027'!$C$4,3)),"")</f>
        <v/>
      </c>
    </row>
    <row r="53" ht="15" customHeight="1" s="23">
      <c r="A53" s="115" t="inlineStr">
        <is>
          <t>E1-049</t>
        </is>
      </c>
      <c r="B53" s="115" t="inlineStr">
        <is>
          <t>1.3.1.1</t>
        </is>
      </c>
      <c r="C53" s="115" t="inlineStr">
        <is>
          <t>Formación y pedagogía de calidad</t>
        </is>
      </c>
      <c r="D53" s="115" t="inlineStr">
        <is>
          <t>1.3 Calidad de los programas académicos</t>
        </is>
      </c>
      <c r="E53" s="115" t="inlineStr">
        <is>
          <t>Contar con la acreditación del 100% de los programas de la ETITC que sean acreditables.</t>
        </is>
      </c>
      <c r="F53" s="115" t="inlineStr">
        <is>
          <t>% de programas acreditables con acreditación vigente y N.° de programas acreditados</t>
        </is>
      </c>
      <c r="G53" s="115" t="inlineStr">
        <is>
          <t>100% de los acreditables (MPI: 24 programas)</t>
        </is>
      </c>
      <c r="H53" s="115" t="inlineStr">
        <is>
          <t>Sugerida por la OAP: mantener el 100% de los programas acreditables acreditados, 18 programas con acreditación vigente, según la MPI, y radicar a tiempo las renovaciones que vencen en 2027</t>
        </is>
      </c>
      <c r="I53" s="115" t="inlineStr">
        <is>
          <t>A26</t>
        </is>
      </c>
      <c r="J53" s="115" t="inlineStr">
        <is>
          <t>123 · Facultades</t>
        </is>
      </c>
      <c r="K53" s="115" t="inlineStr">
        <is>
          <t>Facultad de Sistemas</t>
        </is>
      </c>
      <c r="L53" s="115" t="inlineStr">
        <is>
          <t>Docencia PES</t>
        </is>
      </c>
      <c r="M53" s="115" t="inlineStr">
        <is>
          <t>Asignación por funciones del área</t>
        </is>
      </c>
      <c r="N53" s="115" t="n">
        <v>0</v>
      </c>
      <c r="O53" s="115" t="n">
        <v>0</v>
      </c>
      <c r="P53" s="115" t="n">
        <v>0</v>
      </c>
      <c r="Q53" s="115" t="n">
        <v>0</v>
      </c>
      <c r="R53" s="115" t="inlineStr">
        <is>
          <t>Liderar la autoevaluación de sus programas y ejecutar los planes de mejoramiento que exige la acreditación, con apoyo de Autoevaluación y Acreditación.</t>
        </is>
      </c>
      <c r="S53" s="115" t="inlineStr">
        <is>
          <t>IMP-07; IMP-18</t>
        </is>
      </c>
      <c r="T53" s="115" t="inlineStr">
        <is>
          <t>Formulación_Ejes_2027</t>
        </is>
      </c>
      <c r="U53" s="115">
        <f>IF(I53=LEFT('Buscador_Formulación PAA 2027'!$C$4,3),COUNTIF($I$5:I533,LEFT('Buscador_Formulación PAA 2027'!$C$4,3)),"")</f>
        <v/>
      </c>
    </row>
    <row r="54" ht="15" customHeight="1" s="23">
      <c r="A54" s="115" t="inlineStr">
        <is>
          <t>E1-050</t>
        </is>
      </c>
      <c r="B54" s="115" t="inlineStr">
        <is>
          <t>1.3.1.1</t>
        </is>
      </c>
      <c r="C54" s="115" t="inlineStr">
        <is>
          <t>Formación y pedagogía de calidad</t>
        </is>
      </c>
      <c r="D54" s="115" t="inlineStr">
        <is>
          <t>1.3 Calidad de los programas académicos</t>
        </is>
      </c>
      <c r="E54" s="115" t="inlineStr">
        <is>
          <t>Contar con la acreditación del 100% de los programas de la ETITC que sean acreditables.</t>
        </is>
      </c>
      <c r="F54" s="115" t="inlineStr">
        <is>
          <t>% de programas acreditables con acreditación vigente y N.° de programas acreditados</t>
        </is>
      </c>
      <c r="G54" s="115" t="inlineStr">
        <is>
          <t>100% de los acreditables (MPI: 24 programas)</t>
        </is>
      </c>
      <c r="H54" s="115" t="inlineStr">
        <is>
          <t>Sugerida por la OAP: mantener el 100% de los programas acreditables acreditados, 18 programas con acreditación vigente, según la MPI, y radicar a tiempo las renovaciones que vencen en 2027</t>
        </is>
      </c>
      <c r="I54" s="115" t="inlineStr">
        <is>
          <t>A43</t>
        </is>
      </c>
      <c r="J54" s="115" t="inlineStr">
        <is>
          <t>141 · GIT Extensión y Proyección Social</t>
        </is>
      </c>
      <c r="K54" s="115" t="inlineStr">
        <is>
          <t>Egresados y Bolsa de Empleo</t>
        </is>
      </c>
      <c r="L54" s="115" t="inlineStr">
        <is>
          <t>Egresados</t>
        </is>
      </c>
      <c r="M54" s="115" t="inlineStr">
        <is>
          <t>Responsable en el PAA 2026</t>
        </is>
      </c>
      <c r="N54" s="115" t="n">
        <v>17</v>
      </c>
      <c r="O54" s="115" t="n">
        <v>16</v>
      </c>
      <c r="P54" s="115" t="n">
        <v>1</v>
      </c>
      <c r="Q54" s="115" t="n">
        <v>0</v>
      </c>
      <c r="R54" s="115" t="inlineStr">
        <is>
          <t>Actualizar la información de egresados y aplicar las encuestas de seguimiento que piden los procesos de acreditación de programas. Cerrar o reprogramar en el SUIE el producto 2026 pendiente de esta meta.</t>
        </is>
      </c>
      <c r="S54" s="115" t="inlineStr">
        <is>
          <t>IMP-07; IMP-18</t>
        </is>
      </c>
      <c r="T54" s="115" t="inlineStr">
        <is>
          <t>Formulación_Ejes_2027</t>
        </is>
      </c>
      <c r="U54" s="115">
        <f>IF(I54=LEFT('Buscador_Formulación PAA 2027'!$C$4,3),COUNTIF($I$5:I544,LEFT('Buscador_Formulación PAA 2027'!$C$4,3)),"")</f>
        <v/>
      </c>
    </row>
    <row r="55" ht="15" customHeight="1" s="23">
      <c r="A55" s="115" t="inlineStr">
        <is>
          <t>E1-051</t>
        </is>
      </c>
      <c r="B55" s="115" t="inlineStr">
        <is>
          <t>1.3.1.2</t>
        </is>
      </c>
      <c r="C55" s="115" t="inlineStr">
        <is>
          <t>Formación y pedagogía de calidad</t>
        </is>
      </c>
      <c r="D55" s="115" t="inlineStr">
        <is>
          <t>1.3 Calidad de los programas académicos</t>
        </is>
      </c>
      <c r="E55" s="115" t="inlineStr">
        <is>
          <t>Resultados de las Pruebas SABER por encima de la valoración de la media.</t>
        </is>
      </c>
      <c r="F55" s="115" t="inlineStr">
        <is>
          <t>Puntaje promedio institucional Saber PRO/TyT frente a la media nacional</t>
        </is>
      </c>
      <c r="G55" s="115" t="inlineStr">
        <is>
          <t>Por encima de la media nacional</t>
        </is>
      </c>
      <c r="H55" s="115" t="inlineStr">
        <is>
          <t>Sugerida por la OAP: promedio institucional de 254 puntos, mejora de 1 punto por año desde 252 en 2024, y por encima de la media nacional del grupo de referencia</t>
        </is>
      </c>
      <c r="I55" s="115" t="inlineStr">
        <is>
          <t>A06</t>
        </is>
      </c>
      <c r="J55" s="115" t="inlineStr">
        <is>
          <t>101 · Oficina Asesora de Planeación y Desarrollo Institucional</t>
        </is>
      </c>
      <c r="K55" s="115" t="inlineStr">
        <is>
          <t>Gestión de Proyectos</t>
        </is>
      </c>
      <c r="L55" s="115" t="inlineStr">
        <is>
          <t>Direccionamiento Institucional</t>
        </is>
      </c>
      <c r="M55" s="115" t="inlineStr">
        <is>
          <t>Responsable en el PAA 2026</t>
        </is>
      </c>
      <c r="N55" s="115" t="n">
        <v>1</v>
      </c>
      <c r="O55" s="115" t="n">
        <v>0</v>
      </c>
      <c r="P55" s="115" t="n">
        <v>1</v>
      </c>
      <c r="Q55" s="115" t="n">
        <v>0</v>
      </c>
      <c r="R55" s="115" t="inlineStr">
        <is>
          <t>Esta meta queda en su lista solo porque tiene productos del PAA 2026 abiertos. En 2027 no se le asigna una acción nueva en ella. Cerrar o reprogramar en el SUIE el producto 2026 pendiente de esta meta.</t>
        </is>
      </c>
      <c r="S55" s="115" t="inlineStr">
        <is>
          <t>IMP-07; IMP-19</t>
        </is>
      </c>
      <c r="T55" s="115" t="inlineStr">
        <is>
          <t>Formulación_Ejes_2027</t>
        </is>
      </c>
      <c r="U55" s="115">
        <f>IF(I55=LEFT('Buscador_Formulación PAA 2027'!$C$4,3),COUNTIF($I$5:I555,LEFT('Buscador_Formulación PAA 2027'!$C$4,3)),"")</f>
        <v/>
      </c>
    </row>
    <row r="56" ht="15" customHeight="1" s="23">
      <c r="A56" s="115" t="inlineStr">
        <is>
          <t>E1-052</t>
        </is>
      </c>
      <c r="B56" s="115" t="inlineStr">
        <is>
          <t>1.3.1.2</t>
        </is>
      </c>
      <c r="C56" s="115" t="inlineStr">
        <is>
          <t>Formación y pedagogía de calidad</t>
        </is>
      </c>
      <c r="D56" s="115" t="inlineStr">
        <is>
          <t>1.3 Calidad de los programas académicos</t>
        </is>
      </c>
      <c r="E56" s="115" t="inlineStr">
        <is>
          <t>Resultados de las Pruebas SABER por encima de la valoración de la media.</t>
        </is>
      </c>
      <c r="F56" s="115" t="inlineStr">
        <is>
          <t>Puntaje promedio institucional Saber PRO/TyT frente a la media nacional</t>
        </is>
      </c>
      <c r="G56" s="115" t="inlineStr">
        <is>
          <t>Por encima de la media nacional</t>
        </is>
      </c>
      <c r="H56" s="115" t="inlineStr">
        <is>
          <t>Sugerida por la OAP: promedio institucional de 254 puntos, mejora de 1 punto por año desde 252 en 2024, y por encima de la media nacional del grupo de referencia</t>
        </is>
      </c>
      <c r="I56" s="115" t="inlineStr">
        <is>
          <t>A07</t>
        </is>
      </c>
      <c r="J56" s="115" t="inlineStr">
        <is>
          <t>101 · Oficina Asesora de Planeación y Desarrollo Institucional</t>
        </is>
      </c>
      <c r="K56" s="115" t="inlineStr">
        <is>
          <t>Autoevaluación y Acreditación</t>
        </is>
      </c>
      <c r="L56" s="115" t="inlineStr">
        <is>
          <t>Gestión del Sistema Integrado de Aseguramiento</t>
        </is>
      </c>
      <c r="M56" s="115" t="inlineStr">
        <is>
          <t>Acción propuesta PAA 2027</t>
        </is>
      </c>
      <c r="N56" s="115" t="n">
        <v>0</v>
      </c>
      <c r="O56" s="115" t="n">
        <v>0</v>
      </c>
      <c r="P56" s="115" t="n">
        <v>0</v>
      </c>
      <c r="Q56" s="115" t="n">
        <v>0</v>
      </c>
      <c r="R56" s="115" t="inlineStr">
        <is>
          <t>Acción propuesta AC27.09: Mejorar los resultados de las pruebas Saber PRO y TyT a partir del análisis por programa y competencia, con estrategias de preparación cuyo efecto se evalúa. Actividades a su cargo: A27-020 Analizar los resultados 2025 a 2026 por programa y competencia; A27-022 Evaluar el efecto de las estrategias en los resultados 2027.</t>
        </is>
      </c>
      <c r="S56" s="115" t="inlineStr">
        <is>
          <t>IMP-07; IMP-19</t>
        </is>
      </c>
      <c r="T56" s="115" t="inlineStr">
        <is>
          <t>Formulación_Ejes_2027</t>
        </is>
      </c>
      <c r="U56" s="115">
        <f>IF(I56=LEFT('Buscador_Formulación PAA 2027'!$C$4,3),COUNTIF($I$5:I566,LEFT('Buscador_Formulación PAA 2027'!$C$4,3)),"")</f>
        <v/>
      </c>
    </row>
    <row r="57" ht="15" customHeight="1" s="23">
      <c r="A57" s="115" t="inlineStr">
        <is>
          <t>E1-053</t>
        </is>
      </c>
      <c r="B57" s="115" t="inlineStr">
        <is>
          <t>1.3.1.2</t>
        </is>
      </c>
      <c r="C57" s="115" t="inlineStr">
        <is>
          <t>Formación y pedagogía de calidad</t>
        </is>
      </c>
      <c r="D57" s="115" t="inlineStr">
        <is>
          <t>1.3 Calidad de los programas académicos</t>
        </is>
      </c>
      <c r="E57" s="115" t="inlineStr">
        <is>
          <t>Resultados de las Pruebas SABER por encima de la valoración de la media.</t>
        </is>
      </c>
      <c r="F57" s="115" t="inlineStr">
        <is>
          <t>Puntaje promedio institucional Saber PRO/TyT frente a la media nacional</t>
        </is>
      </c>
      <c r="G57" s="115" t="inlineStr">
        <is>
          <t>Por encima de la media nacional</t>
        </is>
      </c>
      <c r="H57" s="115" t="inlineStr">
        <is>
          <t>Sugerida por la OAP: promedio institucional de 254 puntos, mejora de 1 punto por año desde 252 en 2024, y por encima de la media nacional del grupo de referencia</t>
        </is>
      </c>
      <c r="I57" s="115" t="inlineStr">
        <is>
          <t>A15</t>
        </is>
      </c>
      <c r="J57" s="115" t="inlineStr">
        <is>
          <t>120 · Vicerrectoría Académica</t>
        </is>
      </c>
      <c r="K57" s="115" t="inlineStr">
        <is>
          <t>Despacho de la Vicerrectoría Académica</t>
        </is>
      </c>
      <c r="L57" s="115" t="inlineStr">
        <is>
          <t>Docencia PES</t>
        </is>
      </c>
      <c r="M57" s="115" t="inlineStr">
        <is>
          <t>Responsable en el PAA 2026</t>
        </is>
      </c>
      <c r="N57" s="115" t="n">
        <v>8</v>
      </c>
      <c r="O57" s="115" t="n">
        <v>6</v>
      </c>
      <c r="P57" s="115" t="n">
        <v>2</v>
      </c>
      <c r="Q57" s="115" t="n">
        <v>0</v>
      </c>
      <c r="R57" s="115" t="inlineStr">
        <is>
          <t>Acción propuesta AC27.09: Mejorar los resultados de las pruebas Saber PRO y TyT a partir del análisis por programa y competencia, con estrategias de preparación cuyo efecto se evalúa. Actividades a su cargo: A27-021 Implementar estrategias de preparación para Saber PRO y TyT (talleres de ítems, simulacros). Cerrar o reprogramar en el SUIE los 2 productos 2026 pendientes de esta meta.</t>
        </is>
      </c>
      <c r="S57" s="115" t="inlineStr">
        <is>
          <t>IMP-07; IMP-19</t>
        </is>
      </c>
      <c r="T57" s="115" t="inlineStr">
        <is>
          <t>Formulación_Ejes_2027</t>
        </is>
      </c>
      <c r="U57" s="115">
        <f>IF(I57=LEFT('Buscador_Formulación PAA 2027'!$C$4,3),COUNTIF($I$5:I577,LEFT('Buscador_Formulación PAA 2027'!$C$4,3)),"")</f>
        <v/>
      </c>
    </row>
    <row r="58" ht="15" customHeight="1" s="23">
      <c r="A58" s="115" t="inlineStr">
        <is>
          <t>E1-054</t>
        </is>
      </c>
      <c r="B58" s="115" t="inlineStr">
        <is>
          <t>1.3.1.2</t>
        </is>
      </c>
      <c r="C58" s="115" t="inlineStr">
        <is>
          <t>Formación y pedagogía de calidad</t>
        </is>
      </c>
      <c r="D58" s="115" t="inlineStr">
        <is>
          <t>1.3 Calidad de los programas académicos</t>
        </is>
      </c>
      <c r="E58" s="115" t="inlineStr">
        <is>
          <t>Resultados de las Pruebas SABER por encima de la valoración de la media.</t>
        </is>
      </c>
      <c r="F58" s="115" t="inlineStr">
        <is>
          <t>Puntaje promedio institucional Saber PRO/TyT frente a la media nacional</t>
        </is>
      </c>
      <c r="G58" s="115" t="inlineStr">
        <is>
          <t>Por encima de la media nacional</t>
        </is>
      </c>
      <c r="H58" s="115" t="inlineStr">
        <is>
          <t>Sugerida por la OAP: promedio institucional de 254 puntos, mejora de 1 punto por año desde 252 en 2024, y por encima de la media nacional del grupo de referencia</t>
        </is>
      </c>
      <c r="I58" s="115" t="inlineStr">
        <is>
          <t>A16</t>
        </is>
      </c>
      <c r="J58" s="115" t="inlineStr">
        <is>
          <t>123 · Facultades</t>
        </is>
      </c>
      <c r="K58" s="115" t="inlineStr">
        <is>
          <t>Coordinación de Especializaciones</t>
        </is>
      </c>
      <c r="L58" s="115" t="inlineStr">
        <is>
          <t>Docencia PES</t>
        </is>
      </c>
      <c r="M58" s="115" t="inlineStr">
        <is>
          <t>Responsable en el PAA 2026</t>
        </is>
      </c>
      <c r="N58" s="115" t="n">
        <v>2</v>
      </c>
      <c r="O58" s="115" t="n">
        <v>0</v>
      </c>
      <c r="P58" s="115" t="n">
        <v>2</v>
      </c>
      <c r="Q58" s="115" t="n">
        <v>0</v>
      </c>
      <c r="R58" s="115" t="inlineStr">
        <is>
          <t>Esta meta queda en su lista solo porque tiene productos del PAA 2026 abiertos. En 2027 no se le asigna una acción nueva en ella. Cerrar o reprogramar en el SUIE los 2 productos 2026 pendientes de esta meta.</t>
        </is>
      </c>
      <c r="S58" s="115" t="inlineStr">
        <is>
          <t>IMP-07; IMP-19</t>
        </is>
      </c>
      <c r="T58" s="115" t="inlineStr">
        <is>
          <t>Formulación_Ejes_2027</t>
        </is>
      </c>
      <c r="U58" s="115">
        <f>IF(I58=LEFT('Buscador_Formulación PAA 2027'!$C$4,3),COUNTIF($I$5:I588,LEFT('Buscador_Formulación PAA 2027'!$C$4,3)),"")</f>
        <v/>
      </c>
    </row>
    <row r="59" ht="15" customHeight="1" s="23">
      <c r="A59" s="115" t="inlineStr">
        <is>
          <t>E1-055</t>
        </is>
      </c>
      <c r="B59" s="115" t="inlineStr">
        <is>
          <t>1.3.1.2</t>
        </is>
      </c>
      <c r="C59" s="115" t="inlineStr">
        <is>
          <t>Formación y pedagogía de calidad</t>
        </is>
      </c>
      <c r="D59" s="115" t="inlineStr">
        <is>
          <t>1.3 Calidad de los programas académicos</t>
        </is>
      </c>
      <c r="E59" s="115" t="inlineStr">
        <is>
          <t>Resultados de las Pruebas SABER por encima de la valoración de la media.</t>
        </is>
      </c>
      <c r="F59" s="115" t="inlineStr">
        <is>
          <t>Puntaje promedio institucional Saber PRO/TyT frente a la media nacional</t>
        </is>
      </c>
      <c r="G59" s="115" t="inlineStr">
        <is>
          <t>Por encima de la media nacional</t>
        </is>
      </c>
      <c r="H59" s="115" t="inlineStr">
        <is>
          <t>Sugerida por la OAP: promedio institucional de 254 puntos, mejora de 1 punto por año desde 252 en 2024, y por encima de la media nacional del grupo de referencia</t>
        </is>
      </c>
      <c r="I59" s="115" t="inlineStr">
        <is>
          <t>A22</t>
        </is>
      </c>
      <c r="J59" s="115" t="inlineStr">
        <is>
          <t>123 · Facultades</t>
        </is>
      </c>
      <c r="K59" s="115" t="inlineStr">
        <is>
          <t>Facultad de Electromecánica</t>
        </is>
      </c>
      <c r="L59" s="115" t="inlineStr">
        <is>
          <t>Docencia PES</t>
        </is>
      </c>
      <c r="M59" s="115" t="inlineStr">
        <is>
          <t>Responsable en el PAA 2026</t>
        </is>
      </c>
      <c r="N59" s="115" t="n">
        <v>2</v>
      </c>
      <c r="O59" s="115" t="n">
        <v>0</v>
      </c>
      <c r="P59" s="115" t="n">
        <v>2</v>
      </c>
      <c r="Q59" s="115" t="n">
        <v>0</v>
      </c>
      <c r="R59" s="115" t="inlineStr">
        <is>
          <t>Aplicar en sus programas las estrategias de preparación para Saber PRO y TyT y analizar los resultados por competencia con sus docentes. Cerrar o reprogramar en el SUIE los 2 productos 2026 pendientes de esta meta.</t>
        </is>
      </c>
      <c r="S59" s="115" t="inlineStr">
        <is>
          <t>IMP-07; IMP-19</t>
        </is>
      </c>
      <c r="T59" s="115" t="inlineStr">
        <is>
          <t>Formulación_Ejes_2027</t>
        </is>
      </c>
      <c r="U59" s="115">
        <f>IF(I59=LEFT('Buscador_Formulación PAA 2027'!$C$4,3),COUNTIF($I$5:I599,LEFT('Buscador_Formulación PAA 2027'!$C$4,3)),"")</f>
        <v/>
      </c>
    </row>
    <row r="60" ht="15" customHeight="1" s="23">
      <c r="A60" s="115" t="inlineStr">
        <is>
          <t>E1-056</t>
        </is>
      </c>
      <c r="B60" s="115" t="inlineStr">
        <is>
          <t>1.3.1.2</t>
        </is>
      </c>
      <c r="C60" s="115" t="inlineStr">
        <is>
          <t>Formación y pedagogía de calidad</t>
        </is>
      </c>
      <c r="D60" s="115" t="inlineStr">
        <is>
          <t>1.3 Calidad de los programas académicos</t>
        </is>
      </c>
      <c r="E60" s="115" t="inlineStr">
        <is>
          <t>Resultados de las Pruebas SABER por encima de la valoración de la media.</t>
        </is>
      </c>
      <c r="F60" s="115" t="inlineStr">
        <is>
          <t>Puntaje promedio institucional Saber PRO/TyT frente a la media nacional</t>
        </is>
      </c>
      <c r="G60" s="115" t="inlineStr">
        <is>
          <t>Por encima de la media nacional</t>
        </is>
      </c>
      <c r="H60" s="115" t="inlineStr">
        <is>
          <t>Sugerida por la OAP: promedio institucional de 254 puntos, mejora de 1 punto por año desde 252 en 2024, y por encima de la media nacional del grupo de referencia</t>
        </is>
      </c>
      <c r="I60" s="115" t="inlineStr">
        <is>
          <t>A23</t>
        </is>
      </c>
      <c r="J60" s="115" t="inlineStr">
        <is>
          <t>123 · Facultades</t>
        </is>
      </c>
      <c r="K60" s="115" t="inlineStr">
        <is>
          <t>Facultad de Mecánica</t>
        </is>
      </c>
      <c r="L60" s="115" t="inlineStr">
        <is>
          <t>Docencia PES</t>
        </is>
      </c>
      <c r="M60" s="115" t="inlineStr">
        <is>
          <t>Responsable en el PAA 2026</t>
        </is>
      </c>
      <c r="N60" s="115" t="n">
        <v>2</v>
      </c>
      <c r="O60" s="115" t="n">
        <v>0</v>
      </c>
      <c r="P60" s="115" t="n">
        <v>2</v>
      </c>
      <c r="Q60" s="115" t="n">
        <v>0</v>
      </c>
      <c r="R60" s="115" t="inlineStr">
        <is>
          <t>Aplicar en sus programas las estrategias de preparación para Saber PRO y TyT y analizar los resultados por competencia con sus docentes. Cerrar o reprogramar en el SUIE los 2 productos 2026 pendientes de esta meta.</t>
        </is>
      </c>
      <c r="S60" s="115" t="inlineStr">
        <is>
          <t>IMP-07; IMP-19</t>
        </is>
      </c>
      <c r="T60" s="115" t="inlineStr">
        <is>
          <t>Formulación_Ejes_2027</t>
        </is>
      </c>
      <c r="U60" s="115">
        <f>IF(I60=LEFT('Buscador_Formulación PAA 2027'!$C$4,3),COUNTIF($I$5:I60,LEFT('Buscador_Formulación PAA 2027'!$C$4,3)),"")</f>
        <v/>
      </c>
    </row>
    <row r="61" ht="15" customHeight="1" s="23">
      <c r="A61" s="115" t="inlineStr">
        <is>
          <t>E1-057</t>
        </is>
      </c>
      <c r="B61" s="115" t="inlineStr">
        <is>
          <t>1.3.1.2</t>
        </is>
      </c>
      <c r="C61" s="115" t="inlineStr">
        <is>
          <t>Formación y pedagogía de calidad</t>
        </is>
      </c>
      <c r="D61" s="115" t="inlineStr">
        <is>
          <t>1.3 Calidad de los programas académicos</t>
        </is>
      </c>
      <c r="E61" s="115" t="inlineStr">
        <is>
          <t>Resultados de las Pruebas SABER por encima de la valoración de la media.</t>
        </is>
      </c>
      <c r="F61" s="115" t="inlineStr">
        <is>
          <t>Puntaje promedio institucional Saber PRO/TyT frente a la media nacional</t>
        </is>
      </c>
      <c r="G61" s="115" t="inlineStr">
        <is>
          <t>Por encima de la media nacional</t>
        </is>
      </c>
      <c r="H61" s="115" t="inlineStr">
        <is>
          <t>Sugerida por la OAP: promedio institucional de 254 puntos, mejora de 1 punto por año desde 252 en 2024, y por encima de la media nacional del grupo de referencia</t>
        </is>
      </c>
      <c r="I61" s="115" t="inlineStr">
        <is>
          <t>A24</t>
        </is>
      </c>
      <c r="J61" s="115" t="inlineStr">
        <is>
          <t>123 · Facultades</t>
        </is>
      </c>
      <c r="K61" s="115" t="inlineStr">
        <is>
          <t>Facultad de Mecatrónica</t>
        </is>
      </c>
      <c r="L61" s="115" t="inlineStr">
        <is>
          <t>Docencia PES</t>
        </is>
      </c>
      <c r="M61" s="115" t="inlineStr">
        <is>
          <t>Responsable en el PAA 2026</t>
        </is>
      </c>
      <c r="N61" s="115" t="n">
        <v>2</v>
      </c>
      <c r="O61" s="115" t="n">
        <v>0</v>
      </c>
      <c r="P61" s="115" t="n">
        <v>2</v>
      </c>
      <c r="Q61" s="115" t="n">
        <v>0</v>
      </c>
      <c r="R61" s="115" t="inlineStr">
        <is>
          <t>Aplicar en sus programas las estrategias de preparación para Saber PRO y TyT y analizar los resultados por competencia con sus docentes. Cerrar o reprogramar en el SUIE los 2 productos 2026 pendientes de esta meta.</t>
        </is>
      </c>
      <c r="S61" s="115" t="inlineStr">
        <is>
          <t>IMP-07; IMP-19</t>
        </is>
      </c>
      <c r="T61" s="115" t="inlineStr">
        <is>
          <t>Formulación_Ejes_2027</t>
        </is>
      </c>
      <c r="U61" s="115">
        <f>IF(I61=LEFT('Buscador_Formulación PAA 2027'!$C$4,3),COUNTIF($I$5:I61,LEFT('Buscador_Formulación PAA 2027'!$C$4,3)),"")</f>
        <v/>
      </c>
    </row>
    <row r="62" ht="15" customHeight="1" s="23">
      <c r="A62" s="115" t="inlineStr">
        <is>
          <t>E1-058</t>
        </is>
      </c>
      <c r="B62" s="115" t="inlineStr">
        <is>
          <t>1.3.1.2</t>
        </is>
      </c>
      <c r="C62" s="115" t="inlineStr">
        <is>
          <t>Formación y pedagogía de calidad</t>
        </is>
      </c>
      <c r="D62" s="115" t="inlineStr">
        <is>
          <t>1.3 Calidad de los programas académicos</t>
        </is>
      </c>
      <c r="E62" s="115" t="inlineStr">
        <is>
          <t>Resultados de las Pruebas SABER por encima de la valoración de la media.</t>
        </is>
      </c>
      <c r="F62" s="115" t="inlineStr">
        <is>
          <t>Puntaje promedio institucional Saber PRO/TyT frente a la media nacional</t>
        </is>
      </c>
      <c r="G62" s="115" t="inlineStr">
        <is>
          <t>Por encima de la media nacional</t>
        </is>
      </c>
      <c r="H62" s="115" t="inlineStr">
        <is>
          <t>Sugerida por la OAP: promedio institucional de 254 puntos, mejora de 1 punto por año desde 252 en 2024, y por encima de la media nacional del grupo de referencia</t>
        </is>
      </c>
      <c r="I62" s="115" t="inlineStr">
        <is>
          <t>A25</t>
        </is>
      </c>
      <c r="J62" s="115" t="inlineStr">
        <is>
          <t>123 · Facultades</t>
        </is>
      </c>
      <c r="K62" s="115" t="inlineStr">
        <is>
          <t>Facultad de Procesos Industriales</t>
        </is>
      </c>
      <c r="L62" s="115" t="inlineStr">
        <is>
          <t>Docencia PES</t>
        </is>
      </c>
      <c r="M62" s="115" t="inlineStr">
        <is>
          <t>Responsable en el PAA 2026</t>
        </is>
      </c>
      <c r="N62" s="115" t="n">
        <v>2</v>
      </c>
      <c r="O62" s="115" t="n">
        <v>0</v>
      </c>
      <c r="P62" s="115" t="n">
        <v>2</v>
      </c>
      <c r="Q62" s="115" t="n">
        <v>0</v>
      </c>
      <c r="R62" s="115" t="inlineStr">
        <is>
          <t>Aplicar en sus programas las estrategias de preparación para Saber PRO y TyT y analizar los resultados por competencia con sus docentes. Cerrar o reprogramar en el SUIE los 2 productos 2026 pendientes de esta meta.</t>
        </is>
      </c>
      <c r="S62" s="115" t="inlineStr">
        <is>
          <t>IMP-07; IMP-19</t>
        </is>
      </c>
      <c r="T62" s="115" t="inlineStr">
        <is>
          <t>Formulación_Ejes_2027</t>
        </is>
      </c>
      <c r="U62" s="115">
        <f>IF(I62=LEFT('Buscador_Formulación PAA 2027'!$C$4,3),COUNTIF($I$5:I62,LEFT('Buscador_Formulación PAA 2027'!$C$4,3)),"")</f>
        <v/>
      </c>
    </row>
    <row r="63" ht="15" customHeight="1" s="23">
      <c r="A63" s="115" t="inlineStr">
        <is>
          <t>E1-059</t>
        </is>
      </c>
      <c r="B63" s="115" t="inlineStr">
        <is>
          <t>1.3.1.2</t>
        </is>
      </c>
      <c r="C63" s="115" t="inlineStr">
        <is>
          <t>Formación y pedagogía de calidad</t>
        </is>
      </c>
      <c r="D63" s="115" t="inlineStr">
        <is>
          <t>1.3 Calidad de los programas académicos</t>
        </is>
      </c>
      <c r="E63" s="115" t="inlineStr">
        <is>
          <t>Resultados de las Pruebas SABER por encima de la valoración de la media.</t>
        </is>
      </c>
      <c r="F63" s="115" t="inlineStr">
        <is>
          <t>Puntaje promedio institucional Saber PRO/TyT frente a la media nacional</t>
        </is>
      </c>
      <c r="G63" s="115" t="inlineStr">
        <is>
          <t>Por encima de la media nacional</t>
        </is>
      </c>
      <c r="H63" s="115" t="inlineStr">
        <is>
          <t>Sugerida por la OAP: promedio institucional de 254 puntos, mejora de 1 punto por año desde 252 en 2024, y por encima de la media nacional del grupo de referencia</t>
        </is>
      </c>
      <c r="I63" s="115" t="inlineStr">
        <is>
          <t>A26</t>
        </is>
      </c>
      <c r="J63" s="115" t="inlineStr">
        <is>
          <t>123 · Facultades</t>
        </is>
      </c>
      <c r="K63" s="115" t="inlineStr">
        <is>
          <t>Facultad de Sistemas</t>
        </is>
      </c>
      <c r="L63" s="115" t="inlineStr">
        <is>
          <t>Docencia PES</t>
        </is>
      </c>
      <c r="M63" s="115" t="inlineStr">
        <is>
          <t>Responsable en el PAA 2026</t>
        </is>
      </c>
      <c r="N63" s="115" t="n">
        <v>2</v>
      </c>
      <c r="O63" s="115" t="n">
        <v>0</v>
      </c>
      <c r="P63" s="115" t="n">
        <v>2</v>
      </c>
      <c r="Q63" s="115" t="n">
        <v>0</v>
      </c>
      <c r="R63" s="115" t="inlineStr">
        <is>
          <t>Aplicar en sus programas las estrategias de preparación para Saber PRO y TyT y analizar los resultados por competencia con sus docentes. Cerrar o reprogramar en el SUIE los 2 productos 2026 pendientes de esta meta.</t>
        </is>
      </c>
      <c r="S63" s="115" t="inlineStr">
        <is>
          <t>IMP-07; IMP-19</t>
        </is>
      </c>
      <c r="T63" s="115" t="inlineStr">
        <is>
          <t>Formulación_Ejes_2027</t>
        </is>
      </c>
      <c r="U63" s="115">
        <f>IF(I63=LEFT('Buscador_Formulación PAA 2027'!$C$4,3),COUNTIF($I$5:I63,LEFT('Buscador_Formulación PAA 2027'!$C$4,3)),"")</f>
        <v/>
      </c>
    </row>
    <row r="64" ht="15" customHeight="1" s="23">
      <c r="A64" s="115" t="inlineStr">
        <is>
          <t>E1-060</t>
        </is>
      </c>
      <c r="B64" s="115" t="inlineStr">
        <is>
          <t>1.4.1.1</t>
        </is>
      </c>
      <c r="C64" s="115" t="inlineStr">
        <is>
          <t>Formación y pedagogía de calidad</t>
        </is>
      </c>
      <c r="D64" s="115" t="inlineStr">
        <is>
          <t>1.4 Acreditación internacional</t>
        </is>
      </c>
      <c r="E64" s="115" t="inlineStr">
        <is>
          <t>Contar con 2 programas de acreditación internacional.</t>
        </is>
      </c>
      <c r="F64" s="115" t="inlineStr">
        <is>
          <t>N.° de programas con resultados de aprendizaje referenciados al MEC y con acreditación o reconocimiento internacional</t>
        </is>
      </c>
      <c r="G64" s="115" t="inlineStr">
        <is>
          <t>2 programas</t>
        </is>
      </c>
      <c r="H64" s="115" t="inlineStr">
        <is>
          <t>Sugerida por la OAP: 2 programas, priorizando los híbridos y virtuales de IA, con resultados de aprendizaje referenciados a los 8 niveles del MEC y plan de cualificación internacional aprobado; 1 alianza con una IES o agencia extranjera para su reconocimiento</t>
        </is>
      </c>
      <c r="I64" s="115" t="inlineStr">
        <is>
          <t>A03</t>
        </is>
      </c>
      <c r="J64" s="115" t="inlineStr">
        <is>
          <t>100 · Rectoría</t>
        </is>
      </c>
      <c r="K64" s="115" t="inlineStr">
        <is>
          <t>Internacionalización (ORII)</t>
        </is>
      </c>
      <c r="L64" s="115" t="inlineStr">
        <is>
          <t>Gestión de Internacionalización</t>
        </is>
      </c>
      <c r="M64" s="115" t="inlineStr">
        <is>
          <t>Responsable en el PAA 2026</t>
        </is>
      </c>
      <c r="N64" s="115" t="n">
        <v>1</v>
      </c>
      <c r="O64" s="115" t="n">
        <v>0</v>
      </c>
      <c r="P64" s="115" t="n">
        <v>1</v>
      </c>
      <c r="Q64" s="115" t="n">
        <v>0</v>
      </c>
      <c r="R64" s="115" t="inlineStr">
        <is>
          <t>Acción propuesta AC27.11: Proyectar internacionalmente los programas referenciados mediante oferta virtual y una alianza de reconocimiento mutuo. Actividades a su cargo: A27-026 Firmar una alianza con una IES o agencia extranjera para reconocimiento mutuo y movilidad virtual (COIL). Cerrar o reprogramar en el SUIE el producto 2026 pendiente de esta meta.</t>
        </is>
      </c>
      <c r="S64" s="115" t="inlineStr">
        <is>
          <t>IMP-18; IMP-07</t>
        </is>
      </c>
      <c r="T64" s="115" t="inlineStr">
        <is>
          <t>Formulación_Ejes_2027</t>
        </is>
      </c>
      <c r="U64" s="115">
        <f>IF(I64=LEFT('Buscador_Formulación PAA 2027'!$C$4,3),COUNTIF($I$5:I64,LEFT('Buscador_Formulación PAA 2027'!$C$4,3)),"")</f>
        <v/>
      </c>
    </row>
    <row r="65" ht="15" customHeight="1" s="23">
      <c r="A65" s="115" t="inlineStr">
        <is>
          <t>E1-061</t>
        </is>
      </c>
      <c r="B65" s="115" t="inlineStr">
        <is>
          <t>1.4.1.1</t>
        </is>
      </c>
      <c r="C65" s="115" t="inlineStr">
        <is>
          <t>Formación y pedagogía de calidad</t>
        </is>
      </c>
      <c r="D65" s="115" t="inlineStr">
        <is>
          <t>1.4 Acreditación internacional</t>
        </is>
      </c>
      <c r="E65" s="115" t="inlineStr">
        <is>
          <t>Contar con 2 programas de acreditación internacional.</t>
        </is>
      </c>
      <c r="F65" s="115" t="inlineStr">
        <is>
          <t>N.° de programas con resultados de aprendizaje referenciados al MEC y con acreditación o reconocimiento internacional</t>
        </is>
      </c>
      <c r="G65" s="115" t="inlineStr">
        <is>
          <t>2 programas</t>
        </is>
      </c>
      <c r="H65" s="115" t="inlineStr">
        <is>
          <t>Sugerida por la OAP: 2 programas, priorizando los híbridos y virtuales de IA, con resultados de aprendizaje referenciados a los 8 niveles del MEC y plan de cualificación internacional aprobado; 1 alianza con una IES o agencia extranjera para su reconocimiento</t>
        </is>
      </c>
      <c r="I65" s="115" t="inlineStr">
        <is>
          <t>A07</t>
        </is>
      </c>
      <c r="J65" s="115" t="inlineStr">
        <is>
          <t>101 · Oficina Asesora de Planeación y Desarrollo Institucional</t>
        </is>
      </c>
      <c r="K65" s="115" t="inlineStr">
        <is>
          <t>Autoevaluación y Acreditación</t>
        </is>
      </c>
      <c r="L65" s="115" t="inlineStr">
        <is>
          <t>Gestión del Sistema Integrado de Aseguramiento</t>
        </is>
      </c>
      <c r="M65" s="115" t="inlineStr">
        <is>
          <t>Responsable en el PAA 2026</t>
        </is>
      </c>
      <c r="N65" s="115" t="n">
        <v>5</v>
      </c>
      <c r="O65" s="115" t="n">
        <v>0</v>
      </c>
      <c r="P65" s="115" t="n">
        <v>5</v>
      </c>
      <c r="Q65" s="115" t="n">
        <v>1</v>
      </c>
      <c r="R65" s="115" t="inlineStr">
        <is>
          <t>Acción propuesta AC27.10: Referenciar dos programas al Marco Europeo de Cualificaciones para que sus títulos sean legibles en el exterior. Actividades a su cargo: A27-023 Elaborar el documento técnico de referenciación al MEC y al Marco Nacional de Cualificaciones (8 niveles) y seleccionar los 2 programas. Con esta acción se atienden compromisos pendientes de 2026 de los proyectos estructurantes. Cerrar o reprogramar en el SUIE los 5 productos 2026 pendientes de esta meta.</t>
        </is>
      </c>
      <c r="S65" s="115" t="inlineStr">
        <is>
          <t>IMP-18; IMP-07</t>
        </is>
      </c>
      <c r="T65" s="115" t="inlineStr">
        <is>
          <t>Formulación_Ejes_2027</t>
        </is>
      </c>
      <c r="U65" s="115">
        <f>IF(I65=LEFT('Buscador_Formulación PAA 2027'!$C$4,3),COUNTIF($I$5:I65,LEFT('Buscador_Formulación PAA 2027'!$C$4,3)),"")</f>
        <v/>
      </c>
    </row>
    <row r="66" ht="15" customHeight="1" s="23">
      <c r="A66" s="115" t="inlineStr">
        <is>
          <t>E1-062</t>
        </is>
      </c>
      <c r="B66" s="115" t="inlineStr">
        <is>
          <t>1.4.1.1</t>
        </is>
      </c>
      <c r="C66" s="115" t="inlineStr">
        <is>
          <t>Formación y pedagogía de calidad</t>
        </is>
      </c>
      <c r="D66" s="115" t="inlineStr">
        <is>
          <t>1.4 Acreditación internacional</t>
        </is>
      </c>
      <c r="E66" s="115" t="inlineStr">
        <is>
          <t>Contar con 2 programas de acreditación internacional.</t>
        </is>
      </c>
      <c r="F66" s="115" t="inlineStr">
        <is>
          <t>N.° de programas con resultados de aprendizaje referenciados al MEC y con acreditación o reconocimiento internacional</t>
        </is>
      </c>
      <c r="G66" s="115" t="inlineStr">
        <is>
          <t>2 programas</t>
        </is>
      </c>
      <c r="H66" s="115" t="inlineStr">
        <is>
          <t>Sugerida por la OAP: 2 programas, priorizando los híbridos y virtuales de IA, con resultados de aprendizaje referenciados a los 8 niveles del MEC y plan de cualificación internacional aprobado; 1 alianza con una IES o agencia extranjera para su reconocimiento</t>
        </is>
      </c>
      <c r="I66" s="115" t="inlineStr">
        <is>
          <t>A15</t>
        </is>
      </c>
      <c r="J66" s="115" t="inlineStr">
        <is>
          <t>120 · Vicerrectoría Académica</t>
        </is>
      </c>
      <c r="K66" s="115" t="inlineStr">
        <is>
          <t>Despacho de la Vicerrectoría Académica</t>
        </is>
      </c>
      <c r="L66" s="115" t="inlineStr">
        <is>
          <t>Docencia PES</t>
        </is>
      </c>
      <c r="M66" s="115" t="inlineStr">
        <is>
          <t>Responsable en el PAA 2026</t>
        </is>
      </c>
      <c r="N66" s="115" t="n">
        <v>1</v>
      </c>
      <c r="O66" s="115" t="n">
        <v>0</v>
      </c>
      <c r="P66" s="115" t="n">
        <v>1</v>
      </c>
      <c r="Q66" s="115" t="n">
        <v>0</v>
      </c>
      <c r="R66" s="115" t="inlineStr">
        <is>
          <t>Aprobar académicamente los dos programas que se referencian al marco de cualificaciones. Cerrar o reprogramar en el SUIE el producto 2026 pendiente de esta meta.</t>
        </is>
      </c>
      <c r="S66" s="115" t="inlineStr">
        <is>
          <t>IMP-18; IMP-07</t>
        </is>
      </c>
      <c r="T66" s="115" t="inlineStr">
        <is>
          <t>Formulación_Ejes_2027</t>
        </is>
      </c>
      <c r="U66" s="115">
        <f>IF(I66=LEFT('Buscador_Formulación PAA 2027'!$C$4,3),COUNTIF($I$5:I66,LEFT('Buscador_Formulación PAA 2027'!$C$4,3)),"")</f>
        <v/>
      </c>
    </row>
    <row r="67" ht="15" customHeight="1" s="23">
      <c r="A67" s="115" t="inlineStr">
        <is>
          <t>E1-063</t>
        </is>
      </c>
      <c r="B67" s="115" t="inlineStr">
        <is>
          <t>1.4.1.1</t>
        </is>
      </c>
      <c r="C67" s="115" t="inlineStr">
        <is>
          <t>Formación y pedagogía de calidad</t>
        </is>
      </c>
      <c r="D67" s="115" t="inlineStr">
        <is>
          <t>1.4 Acreditación internacional</t>
        </is>
      </c>
      <c r="E67" s="115" t="inlineStr">
        <is>
          <t>Contar con 2 programas de acreditación internacional.</t>
        </is>
      </c>
      <c r="F67" s="115" t="inlineStr">
        <is>
          <t>N.° de programas con resultados de aprendizaje referenciados al MEC y con acreditación o reconocimiento internacional</t>
        </is>
      </c>
      <c r="G67" s="115" t="inlineStr">
        <is>
          <t>2 programas</t>
        </is>
      </c>
      <c r="H67" s="115" t="inlineStr">
        <is>
          <t>Sugerida por la OAP: 2 programas, priorizando los híbridos y virtuales de IA, con resultados de aprendizaje referenciados a los 8 niveles del MEC y plan de cualificación internacional aprobado; 1 alianza con una IES o agencia extranjera para su reconocimiento</t>
        </is>
      </c>
      <c r="I67" s="115" t="inlineStr">
        <is>
          <t>A17</t>
        </is>
      </c>
      <c r="J67" s="115" t="inlineStr">
        <is>
          <t>120 · Vicerrectoría Académica</t>
        </is>
      </c>
      <c r="K67" s="115" t="inlineStr">
        <is>
          <t>Unidad B-Learning</t>
        </is>
      </c>
      <c r="L67" s="115" t="inlineStr">
        <is>
          <t>Docencia PES</t>
        </is>
      </c>
      <c r="M67" s="115" t="inlineStr">
        <is>
          <t>Acción propuesta PAA 2027</t>
        </is>
      </c>
      <c r="N67" s="115" t="n">
        <v>0</v>
      </c>
      <c r="O67" s="115" t="n">
        <v>0</v>
      </c>
      <c r="P67" s="115" t="n">
        <v>0</v>
      </c>
      <c r="Q67" s="115" t="n">
        <v>0</v>
      </c>
      <c r="R67" s="115" t="inlineStr">
        <is>
          <t>Acción propuesta AC27.10: Referenciar dos programas al Marco Europeo de Cualificaciones para que sus títulos sean legibles en el exterior. Actividades a su cargo: A27-024 Reescribir los resultados de aprendizaje de los 2 programas por nivel del MEC (conocimientos, destrezas, autonomía). Acción propuesta AC27.11: Proyectar internacionalmente los programas referenciados mediante oferta virtual y una alianza de reconocimiento mutuo. Actividades a su cargo: A27-025 Diseñar la oferta virtual de los programas referenciados para captar estudiantes de otras regiones.</t>
        </is>
      </c>
      <c r="S67" s="115" t="inlineStr">
        <is>
          <t>IMP-18; IMP-07</t>
        </is>
      </c>
      <c r="T67" s="115" t="inlineStr">
        <is>
          <t>Formulación_Ejes_2027</t>
        </is>
      </c>
      <c r="U67" s="115">
        <f>IF(I67=LEFT('Buscador_Formulación PAA 2027'!$C$4,3),COUNTIF($I$5:I67,LEFT('Buscador_Formulación PAA 2027'!$C$4,3)),"")</f>
        <v/>
      </c>
    </row>
    <row r="68" ht="15" customHeight="1" s="23">
      <c r="A68" s="115" t="inlineStr">
        <is>
          <t>E1-064</t>
        </is>
      </c>
      <c r="B68" s="115" t="inlineStr">
        <is>
          <t>1.5.1.1</t>
        </is>
      </c>
      <c r="C68" s="115" t="inlineStr">
        <is>
          <t>Formación y pedagogía de calidad</t>
        </is>
      </c>
      <c r="D68" s="115" t="inlineStr">
        <is>
          <t>1.5 Fortalecimiento del cuerpo docente</t>
        </is>
      </c>
      <c r="E68" s="115" t="inlineStr">
        <is>
          <t>Se mantienen 12 doctores en formación.</t>
        </is>
      </c>
      <c r="F68" s="115" t="inlineStr">
        <is>
          <t>N.° de docentes en formación doctoral</t>
        </is>
      </c>
      <c r="G68" s="115" t="inlineStr">
        <is>
          <t>12 doctores en formación (MPI: 10)</t>
        </is>
      </c>
      <c r="H68" s="115" t="inlineStr">
        <is>
          <t>2 docentes nuevos en formación doctoral (acumulado sugerido: 5)</t>
        </is>
      </c>
      <c r="I68" s="115" t="inlineStr">
        <is>
          <t>A15</t>
        </is>
      </c>
      <c r="J68" s="115" t="inlineStr">
        <is>
          <t>120 · Vicerrectoría Académica</t>
        </is>
      </c>
      <c r="K68" s="115" t="inlineStr">
        <is>
          <t>Despacho de la Vicerrectoría Académica</t>
        </is>
      </c>
      <c r="L68" s="115" t="inlineStr">
        <is>
          <t>Docencia PES</t>
        </is>
      </c>
      <c r="M68" s="115" t="inlineStr">
        <is>
          <t>Responsable en el PAA 2026</t>
        </is>
      </c>
      <c r="N68" s="115" t="n">
        <v>0</v>
      </c>
      <c r="O68" s="115" t="n">
        <v>0</v>
      </c>
      <c r="P68" s="115" t="n">
        <v>0</v>
      </c>
      <c r="Q68" s="115" t="n">
        <v>1</v>
      </c>
      <c r="R68" s="115" t="inlineStr">
        <is>
          <t>Acción propuesta AC27.12: Sostener la formación doctoral de los docentes mediante un plan profesoral actualizado, una convocatoria anual y los apoyos de estudio. Actividades a su cargo: A27-028 Abrir la convocatoria de formación posgradual 2027 (doctorado); A27-029 Otorgar los apoyos para formación doctoral disciplinar. Con esta acción se atienden compromisos pendientes de 2026 de los proyectos estructurantes.</t>
        </is>
      </c>
      <c r="S68" s="115" t="inlineStr">
        <is>
          <t>IMP-08; IMP-19</t>
        </is>
      </c>
      <c r="T68" s="115" t="inlineStr">
        <is>
          <t>Formulación_Ejes_2027</t>
        </is>
      </c>
      <c r="U68" s="115">
        <f>IF(I68=LEFT('Buscador_Formulación PAA 2027'!$C$4,3),COUNTIF($I$5:I68,LEFT('Buscador_Formulación PAA 2027'!$C$4,3)),"")</f>
        <v/>
      </c>
    </row>
    <row r="69" ht="15" customHeight="1" s="23">
      <c r="A69" s="115" t="inlineStr">
        <is>
          <t>E1-065</t>
        </is>
      </c>
      <c r="B69" s="115" t="inlineStr">
        <is>
          <t>1.5.1.1</t>
        </is>
      </c>
      <c r="C69" s="115" t="inlineStr">
        <is>
          <t>Formación y pedagogía de calidad</t>
        </is>
      </c>
      <c r="D69" s="115" t="inlineStr">
        <is>
          <t>1.5 Fortalecimiento del cuerpo docente</t>
        </is>
      </c>
      <c r="E69" s="115" t="inlineStr">
        <is>
          <t>Se mantienen 12 doctores en formación.</t>
        </is>
      </c>
      <c r="F69" s="115" t="inlineStr">
        <is>
          <t>N.° de docentes en formación doctoral</t>
        </is>
      </c>
      <c r="G69" s="115" t="inlineStr">
        <is>
          <t>12 doctores en formación (MPI: 10)</t>
        </is>
      </c>
      <c r="H69" s="115" t="inlineStr">
        <is>
          <t>2 docentes nuevos en formación doctoral (acumulado sugerido: 5)</t>
        </is>
      </c>
      <c r="I69" s="115" t="inlineStr">
        <is>
          <t>A35</t>
        </is>
      </c>
      <c r="J69" s="115" t="inlineStr">
        <is>
          <t>133 · GIT Gestión de Talento Humano</t>
        </is>
      </c>
      <c r="K69" s="115" t="inlineStr">
        <is>
          <t>GIT Talento Humano</t>
        </is>
      </c>
      <c r="L69" s="115" t="inlineStr">
        <is>
          <t>Gestión de Talento Humano</t>
        </is>
      </c>
      <c r="M69" s="115" t="inlineStr">
        <is>
          <t>Asignación propuesta por la OAP</t>
        </is>
      </c>
      <c r="N69" s="115" t="n">
        <v>0</v>
      </c>
      <c r="O69" s="115" t="n">
        <v>0</v>
      </c>
      <c r="P69" s="115" t="n">
        <v>0</v>
      </c>
      <c r="Q69" s="115" t="n">
        <v>0</v>
      </c>
      <c r="R69" s="115" t="inlineStr">
        <is>
          <t>Acción propuesta AC27.12: Sostener la formación doctoral de los docentes mediante un plan profesoral actualizado, una convocatoria anual y los apoyos de estudio. Actividades a su cargo: A27-027 Actualizar el plan integral de desarrollo profesoral.</t>
        </is>
      </c>
      <c r="S69" s="115" t="inlineStr">
        <is>
          <t>IMP-08; IMP-19</t>
        </is>
      </c>
      <c r="T69" s="115" t="inlineStr">
        <is>
          <t>Formulación_Ejes_2027</t>
        </is>
      </c>
      <c r="U69" s="115">
        <f>IF(I69=LEFT('Buscador_Formulación PAA 2027'!$C$4,3),COUNTIF($I$5:I69,LEFT('Buscador_Formulación PAA 2027'!$C$4,3)),"")</f>
        <v/>
      </c>
    </row>
    <row r="70" ht="15" customHeight="1" s="23">
      <c r="A70" s="115" t="inlineStr">
        <is>
          <t>E1-066</t>
        </is>
      </c>
      <c r="B70" s="115" t="inlineStr">
        <is>
          <t>1.5.1.2</t>
        </is>
      </c>
      <c r="C70" s="115" t="inlineStr">
        <is>
          <t>Formación y pedagogía de calidad</t>
        </is>
      </c>
      <c r="D70" s="115" t="inlineStr">
        <is>
          <t>1.5 Fortalecimiento del cuerpo docente</t>
        </is>
      </c>
      <c r="E70" s="115" t="inlineStr">
        <is>
          <t>80% en formación docentes de planta.</t>
        </is>
      </c>
      <c r="F70" s="115" t="inlineStr">
        <is>
          <t>% de docentes de planta en formación avanzada o continuada</t>
        </is>
      </c>
      <c r="G70" s="115" t="inlineStr">
        <is>
          <t>80%</t>
        </is>
      </c>
      <c r="H70" s="115" t="inlineStr">
        <is>
          <t>6 docentes de planta en maestría y 40 docentes en formación continuada</t>
        </is>
      </c>
      <c r="I70" s="115" t="inlineStr">
        <is>
          <t>A15</t>
        </is>
      </c>
      <c r="J70" s="115" t="inlineStr">
        <is>
          <t>120 · Vicerrectoría Académica</t>
        </is>
      </c>
      <c r="K70" s="115" t="inlineStr">
        <is>
          <t>Despacho de la Vicerrectoría Académica</t>
        </is>
      </c>
      <c r="L70" s="115" t="inlineStr">
        <is>
          <t>Docencia PES</t>
        </is>
      </c>
      <c r="M70" s="115" t="inlineStr">
        <is>
          <t>Responsable en el PAA 2026</t>
        </is>
      </c>
      <c r="N70" s="115" t="n">
        <v>0</v>
      </c>
      <c r="O70" s="115" t="n">
        <v>0</v>
      </c>
      <c r="P70" s="115" t="n">
        <v>0</v>
      </c>
      <c r="Q70" s="115" t="n">
        <v>0</v>
      </c>
      <c r="R70" s="115" t="inlineStr">
        <is>
          <t>Acción propuesta AC27.13: Elevar la formación avanzada y continuada de los docentes de planta con base en las necesidades reales de cada facultad. Actividades a su cargo: A27-030 Identificar las necesidades de formación por facultad; A27-031 Financiar la formación de docentes de planta en maestrías disciplinares.</t>
        </is>
      </c>
      <c r="S70" s="115" t="inlineStr">
        <is>
          <t>IMP-08; IMP-19</t>
        </is>
      </c>
      <c r="T70" s="115" t="inlineStr">
        <is>
          <t>Formulación_Ejes_2027</t>
        </is>
      </c>
      <c r="U70" s="115">
        <f>IF(I70=LEFT('Buscador_Formulación PAA 2027'!$C$4,3),COUNTIF($I$5:I70,LEFT('Buscador_Formulación PAA 2027'!$C$4,3)),"")</f>
        <v/>
      </c>
    </row>
    <row r="71" ht="15" customHeight="1" s="23">
      <c r="A71" s="115" t="inlineStr">
        <is>
          <t>E1-067</t>
        </is>
      </c>
      <c r="B71" s="115" t="inlineStr">
        <is>
          <t>1.5.1.2</t>
        </is>
      </c>
      <c r="C71" s="115" t="inlineStr">
        <is>
          <t>Formación y pedagogía de calidad</t>
        </is>
      </c>
      <c r="D71" s="115" t="inlineStr">
        <is>
          <t>1.5 Fortalecimiento del cuerpo docente</t>
        </is>
      </c>
      <c r="E71" s="115" t="inlineStr">
        <is>
          <t>80% en formación docentes de planta.</t>
        </is>
      </c>
      <c r="F71" s="115" t="inlineStr">
        <is>
          <t>% de docentes de planta en formación avanzada o continuada</t>
        </is>
      </c>
      <c r="G71" s="115" t="inlineStr">
        <is>
          <t>80%</t>
        </is>
      </c>
      <c r="H71" s="115" t="inlineStr">
        <is>
          <t>6 docentes de planta en maestría y 40 docentes en formación continuada</t>
        </is>
      </c>
      <c r="I71" s="115" t="inlineStr">
        <is>
          <t>A35</t>
        </is>
      </c>
      <c r="J71" s="115" t="inlineStr">
        <is>
          <t>133 · GIT Gestión de Talento Humano</t>
        </is>
      </c>
      <c r="K71" s="115" t="inlineStr">
        <is>
          <t>GIT Talento Humano</t>
        </is>
      </c>
      <c r="L71" s="115" t="inlineStr">
        <is>
          <t>Gestión de Talento Humano</t>
        </is>
      </c>
      <c r="M71" s="115" t="inlineStr">
        <is>
          <t>Asignación propuesta por la OAP</t>
        </is>
      </c>
      <c r="N71" s="115" t="n">
        <v>0</v>
      </c>
      <c r="O71" s="115" t="n">
        <v>0</v>
      </c>
      <c r="P71" s="115" t="n">
        <v>0</v>
      </c>
      <c r="Q71" s="115" t="n">
        <v>0</v>
      </c>
      <c r="R71" s="115" t="inlineStr">
        <is>
          <t>Acción propuesta AC27.13: Elevar la formación avanzada y continuada de los docentes de planta con base en las necesidades reales de cada facultad. Actividades a su cargo: A27-032 Ofrecer cursos de formación continuada a docentes.</t>
        </is>
      </c>
      <c r="S71" s="115" t="inlineStr">
        <is>
          <t>IMP-08; IMP-19</t>
        </is>
      </c>
      <c r="T71" s="115" t="inlineStr">
        <is>
          <t>Formulación_Ejes_2027</t>
        </is>
      </c>
      <c r="U71" s="115">
        <f>IF(I71=LEFT('Buscador_Formulación PAA 2027'!$C$4,3),COUNTIF($I$5:I71,LEFT('Buscador_Formulación PAA 2027'!$C$4,3)),"")</f>
        <v/>
      </c>
    </row>
    <row r="72" ht="15" customHeight="1" s="23">
      <c r="A72" s="115" t="inlineStr">
        <is>
          <t>E2-001</t>
        </is>
      </c>
      <c r="B72" s="115" t="inlineStr">
        <is>
          <t>2.1.1.1</t>
        </is>
      </c>
      <c r="C72" s="115" t="inlineStr">
        <is>
          <t>Investigación y producción técnico-científica</t>
        </is>
      </c>
      <c r="D72" s="115" t="inlineStr">
        <is>
          <t>2.1 Capacidades de investigación e innovación</t>
        </is>
      </c>
      <c r="E72" s="115" t="inlineStr">
        <is>
          <t>Contar como mínimo por vigencia con un (1) grupo de investigación en clasificación A (en MinCiencias).</t>
        </is>
      </c>
      <c r="F72" s="115" t="inlineStr">
        <is>
          <t>N.° de grupos categoría A/A1 en MinCiencias</t>
        </is>
      </c>
      <c r="G72" s="115" t="inlineStr">
        <is>
          <t>1 grupo A (MPI: 8 grupos A)</t>
        </is>
      </c>
      <c r="H72" s="115" t="inlineStr">
        <is>
          <t>Sugerida por la OAP: 1 grupo con ruta de ascenso a categoría A aprobada y con la producción de nuevo conocimiento requerida para la siguiente medición</t>
        </is>
      </c>
      <c r="I72" s="115" t="inlineStr">
        <is>
          <t>A06</t>
        </is>
      </c>
      <c r="J72" s="115" t="inlineStr">
        <is>
          <t>101 · Oficina Asesora de Planeación y Desarrollo Institucional</t>
        </is>
      </c>
      <c r="K72" s="115" t="inlineStr">
        <is>
          <t>Gestión de Proyectos</t>
        </is>
      </c>
      <c r="L72" s="115" t="inlineStr">
        <is>
          <t>Direccionamiento Institucional</t>
        </is>
      </c>
      <c r="M72" s="115" t="inlineStr">
        <is>
          <t>Responsable en el PAA 2026</t>
        </is>
      </c>
      <c r="N72" s="115" t="n">
        <v>1</v>
      </c>
      <c r="O72" s="115" t="n">
        <v>0</v>
      </c>
      <c r="P72" s="115" t="n">
        <v>1</v>
      </c>
      <c r="Q72" s="115" t="n">
        <v>0</v>
      </c>
      <c r="R72" s="115" t="inlineStr">
        <is>
          <t>Esta meta queda en su lista solo porque tiene productos del PAA 2026 abiertos. En 2027 no se le asigna una acción nueva en ella. Cerrar o reprogramar en el SUIE el producto 2026 pendiente de esta meta.</t>
        </is>
      </c>
      <c r="S72" s="115" t="inlineStr">
        <is>
          <t>IMP-20; IMP-21</t>
        </is>
      </c>
      <c r="T72" s="115" t="inlineStr">
        <is>
          <t>Formulación_Ejes_2027</t>
        </is>
      </c>
      <c r="U72" s="115">
        <f>IF(I72=LEFT('Buscador_Formulación PAA 2027'!$C$4,3),COUNTIF($I$5:I72,LEFT('Buscador_Formulación PAA 2027'!$C$4,3)),"")</f>
        <v/>
      </c>
    </row>
    <row r="73" ht="15" customHeight="1" s="23">
      <c r="A73" s="115" t="inlineStr">
        <is>
          <t>E2-002</t>
        </is>
      </c>
      <c r="B73" s="115" t="inlineStr">
        <is>
          <t>2.1.1.1</t>
        </is>
      </c>
      <c r="C73" s="115" t="inlineStr">
        <is>
          <t>Investigación y producción técnico-científica</t>
        </is>
      </c>
      <c r="D73" s="115" t="inlineStr">
        <is>
          <t>2.1 Capacidades de investigación e innovación</t>
        </is>
      </c>
      <c r="E73" s="115" t="inlineStr">
        <is>
          <t>Contar como mínimo por vigencia con un (1) grupo de investigación en clasificación A (en MinCiencias).</t>
        </is>
      </c>
      <c r="F73" s="115" t="inlineStr">
        <is>
          <t>N.° de grupos categoría A/A1 en MinCiencias</t>
        </is>
      </c>
      <c r="G73" s="115" t="inlineStr">
        <is>
          <t>1 grupo A (MPI: 8 grupos A)</t>
        </is>
      </c>
      <c r="H73" s="115" t="inlineStr">
        <is>
          <t>Sugerida por la OAP: 1 grupo con ruta de ascenso a categoría A aprobada y con la producción de nuevo conocimiento requerida para la siguiente medición</t>
        </is>
      </c>
      <c r="I73" s="115" t="inlineStr">
        <is>
          <t>A38</t>
        </is>
      </c>
      <c r="J73" s="115" t="inlineStr">
        <is>
          <t>140 · Vicerrectoría de Investigación, Extensión y Transferencia</t>
        </is>
      </c>
      <c r="K73" s="115" t="inlineStr">
        <is>
          <t>Despacho de la VIET</t>
        </is>
      </c>
      <c r="L73" s="115" t="inlineStr">
        <is>
          <t>Investigación</t>
        </is>
      </c>
      <c r="M73" s="115" t="inlineStr">
        <is>
          <t>Acción propuesta PAA 2027</t>
        </is>
      </c>
      <c r="N73" s="115" t="n">
        <v>0</v>
      </c>
      <c r="O73" s="115" t="n">
        <v>0</v>
      </c>
      <c r="P73" s="115" t="n">
        <v>0</v>
      </c>
      <c r="Q73" s="115" t="n">
        <v>0</v>
      </c>
      <c r="R73" s="115" t="inlineStr">
        <is>
          <t>Acción propuesta AC27.14: Preparar el primer grupo de investigación para la categoría A, con diagnóstico de su producción, ruta de ascenso y medición del impacto de la investigación. Actividades a su cargo: A27-034 Definir la ruta de ascenso del grupo con mayor producción (metas de nuevo conocimiento y formación).</t>
        </is>
      </c>
      <c r="S73" s="115" t="inlineStr">
        <is>
          <t>IMP-20; IMP-21</t>
        </is>
      </c>
      <c r="T73" s="115" t="inlineStr">
        <is>
          <t>Formulación_Ejes_2027</t>
        </is>
      </c>
      <c r="U73" s="115">
        <f>IF(I73=LEFT('Buscador_Formulación PAA 2027'!$C$4,3),COUNTIF($I$5:I73,LEFT('Buscador_Formulación PAA 2027'!$C$4,3)),"")</f>
        <v/>
      </c>
    </row>
    <row r="74" ht="15" customHeight="1" s="23">
      <c r="A74" s="115" t="inlineStr">
        <is>
          <t>E2-003</t>
        </is>
      </c>
      <c r="B74" s="115" t="inlineStr">
        <is>
          <t>2.1.1.1</t>
        </is>
      </c>
      <c r="C74" s="115" t="inlineStr">
        <is>
          <t>Investigación y producción técnico-científica</t>
        </is>
      </c>
      <c r="D74" s="115" t="inlineStr">
        <is>
          <t>2.1 Capacidades de investigación e innovación</t>
        </is>
      </c>
      <c r="E74" s="115" t="inlineStr">
        <is>
          <t>Contar como mínimo por vigencia con un (1) grupo de investigación en clasificación A (en MinCiencias).</t>
        </is>
      </c>
      <c r="F74" s="115" t="inlineStr">
        <is>
          <t>N.° de grupos categoría A/A1 en MinCiencias</t>
        </is>
      </c>
      <c r="G74" s="115" t="inlineStr">
        <is>
          <t>1 grupo A (MPI: 8 grupos A)</t>
        </is>
      </c>
      <c r="H74" s="115" t="inlineStr">
        <is>
          <t>Sugerida por la OAP: 1 grupo con ruta de ascenso a categoría A aprobada y con la producción de nuevo conocimiento requerida para la siguiente medición</t>
        </is>
      </c>
      <c r="I74" s="115" t="inlineStr">
        <is>
          <t>A39</t>
        </is>
      </c>
      <c r="J74" s="115" t="inlineStr">
        <is>
          <t>140 · Vicerrectoría de Investigación, Extensión y Transferencia</t>
        </is>
      </c>
      <c r="K74" s="115" t="inlineStr">
        <is>
          <t>Investigación (grupos, semilleros, revista, centro de pensamiento)</t>
        </is>
      </c>
      <c r="L74" s="115" t="inlineStr">
        <is>
          <t>Investigación</t>
        </is>
      </c>
      <c r="M74" s="115" t="inlineStr">
        <is>
          <t>Responsable en el PAA 2026</t>
        </is>
      </c>
      <c r="N74" s="115" t="n">
        <v>17</v>
      </c>
      <c r="O74" s="115" t="n">
        <v>14</v>
      </c>
      <c r="P74" s="115" t="n">
        <v>3</v>
      </c>
      <c r="Q74" s="115" t="n">
        <v>1</v>
      </c>
      <c r="R74" s="115" t="inlineStr">
        <is>
          <t>Acción propuesta AC27.14: Preparar el primer grupo de investigación para la categoría A, con diagnóstico de su producción, ruta de ascenso y medición del impacto de la investigación. Actividades a su cargo: A27-033 Diagnosticar la producción de cada grupo frente al modelo de medición de MinCiencias; A27-035 Iniciar el estudio de impacto de Investigación. Con esta acción se atienden compromisos pendientes de 2026 de los proyectos estructurantes. Cerrar o reprogramar en el SUIE los 3 productos 2026 pendientes de esta meta.</t>
        </is>
      </c>
      <c r="S74" s="115" t="inlineStr">
        <is>
          <t>IMP-20; IMP-21</t>
        </is>
      </c>
      <c r="T74" s="115" t="inlineStr">
        <is>
          <t>Formulación_Ejes_2027</t>
        </is>
      </c>
      <c r="U74" s="115">
        <f>IF(I74=LEFT('Buscador_Formulación PAA 2027'!$C$4,3),COUNTIF($I$5:I74,LEFT('Buscador_Formulación PAA 2027'!$C$4,3)),"")</f>
        <v/>
      </c>
    </row>
    <row r="75" ht="15" customHeight="1" s="23">
      <c r="A75" s="115" t="inlineStr">
        <is>
          <t>E2-004</t>
        </is>
      </c>
      <c r="B75" s="115" t="inlineStr">
        <is>
          <t>2.1.1.2</t>
        </is>
      </c>
      <c r="C75" s="115" t="inlineStr">
        <is>
          <t>Investigación y producción técnico-científica</t>
        </is>
      </c>
      <c r="D75" s="115" t="inlineStr">
        <is>
          <t>2.1 Capacidades de investigación e innovación</t>
        </is>
      </c>
      <c r="E75" s="115" t="inlineStr">
        <is>
          <t>Tres (3) grupos en B.</t>
        </is>
      </c>
      <c r="F75" s="115" t="inlineStr">
        <is>
          <t>N.° de grupos categoría B en MinCiencias</t>
        </is>
      </c>
      <c r="G75" s="115" t="inlineStr">
        <is>
          <t>3 grupos B (MPI: 16)</t>
        </is>
      </c>
      <c r="H75" s="115" t="inlineStr">
        <is>
          <t>Sugerida por la OAP: 1 grupo clasificado en B, ascenso de uno de los 2 grupos en C,</t>
        </is>
      </c>
      <c r="I75" s="115" t="inlineStr">
        <is>
          <t>A38</t>
        </is>
      </c>
      <c r="J75" s="115" t="inlineStr">
        <is>
          <t>140 · Vicerrectoría de Investigación, Extensión y Transferencia</t>
        </is>
      </c>
      <c r="K75" s="115" t="inlineStr">
        <is>
          <t>Despacho de la VIET</t>
        </is>
      </c>
      <c r="L75" s="115" t="inlineStr">
        <is>
          <t>Investigación</t>
        </is>
      </c>
      <c r="M75" s="115" t="inlineStr">
        <is>
          <t>Responsable en el PAA 2026</t>
        </is>
      </c>
      <c r="N75" s="115" t="n">
        <v>4</v>
      </c>
      <c r="O75" s="115" t="n">
        <v>2</v>
      </c>
      <c r="P75" s="115" t="n">
        <v>2</v>
      </c>
      <c r="Q75" s="115" t="n">
        <v>0</v>
      </c>
      <c r="R75" s="115" t="inlineStr">
        <is>
          <t>Orientar desde la Vicerrectoría la estrategia de ascenso de los grupos en C y asegurar los recursos de la convocatoria de proyectos. Cerrar o reprogramar en el SUIE los 2 productos 2026 pendientes de esta meta.</t>
        </is>
      </c>
      <c r="S75" s="115" t="inlineStr">
        <is>
          <t>IMP-20; IMP-21</t>
        </is>
      </c>
      <c r="T75" s="115" t="inlineStr">
        <is>
          <t>Formulación_Ejes_2027</t>
        </is>
      </c>
      <c r="U75" s="115">
        <f>IF(I75=LEFT('Buscador_Formulación PAA 2027'!$C$4,3),COUNTIF($I$5:I75,LEFT('Buscador_Formulación PAA 2027'!$C$4,3)),"")</f>
        <v/>
      </c>
    </row>
    <row r="76" ht="15" customHeight="1" s="23">
      <c r="A76" s="115" t="inlineStr">
        <is>
          <t>E2-005</t>
        </is>
      </c>
      <c r="B76" s="115" t="inlineStr">
        <is>
          <t>2.1.1.2</t>
        </is>
      </c>
      <c r="C76" s="115" t="inlineStr">
        <is>
          <t>Investigación y producción técnico-científica</t>
        </is>
      </c>
      <c r="D76" s="115" t="inlineStr">
        <is>
          <t>2.1 Capacidades de investigación e innovación</t>
        </is>
      </c>
      <c r="E76" s="115" t="inlineStr">
        <is>
          <t>Tres (3) grupos en B.</t>
        </is>
      </c>
      <c r="F76" s="115" t="inlineStr">
        <is>
          <t>N.° de grupos categoría B en MinCiencias</t>
        </is>
      </c>
      <c r="G76" s="115" t="inlineStr">
        <is>
          <t>3 grupos B (MPI: 16)</t>
        </is>
      </c>
      <c r="H76" s="115" t="inlineStr">
        <is>
          <t>Sugerida por la OAP: 1 grupo clasificado en B, ascenso de uno de los 2 grupos en C,</t>
        </is>
      </c>
      <c r="I76" s="115" t="inlineStr">
        <is>
          <t>A39</t>
        </is>
      </c>
      <c r="J76" s="115" t="inlineStr">
        <is>
          <t>140 · Vicerrectoría de Investigación, Extensión y Transferencia</t>
        </is>
      </c>
      <c r="K76" s="115" t="inlineStr">
        <is>
          <t>Investigación (grupos, semilleros, revista, centro de pensamiento)</t>
        </is>
      </c>
      <c r="L76" s="115" t="inlineStr">
        <is>
          <t>Investigación</t>
        </is>
      </c>
      <c r="M76" s="115" t="inlineStr">
        <is>
          <t>Responsable en el PAA 2026</t>
        </is>
      </c>
      <c r="N76" s="115" t="n">
        <v>36</v>
      </c>
      <c r="O76" s="115" t="n">
        <v>20</v>
      </c>
      <c r="P76" s="115" t="n">
        <v>16</v>
      </c>
      <c r="Q76" s="115" t="n">
        <v>0</v>
      </c>
      <c r="R76" s="115" t="inlineStr">
        <is>
          <t>Acción propuesta AC27.15: Llevar a categoría B los grupos que hoy están en C, mediante asesoría en productos de nuevo conocimiento y su postulación oportuna. Actividades a su cargo: A27-036 Asesorar a los grupos en C (Virtus y GEA) en productos de nuevo conocimiento y apropiación; A27-037 Postular los grupos en la convocatoria de medición vigente. Cerrar o reprogramar en el SUIE los 16 productos 2026 pendientes de esta meta.</t>
        </is>
      </c>
      <c r="S76" s="115" t="inlineStr">
        <is>
          <t>IMP-20; IMP-21</t>
        </is>
      </c>
      <c r="T76" s="115" t="inlineStr">
        <is>
          <t>Formulación_Ejes_2027</t>
        </is>
      </c>
      <c r="U76" s="115">
        <f>IF(I76=LEFT('Buscador_Formulación PAA 2027'!$C$4,3),COUNTIF($I$5:I76,LEFT('Buscador_Formulación PAA 2027'!$C$4,3)),"")</f>
        <v/>
      </c>
    </row>
    <row r="77" ht="15" customHeight="1" s="23">
      <c r="A77" s="115" t="inlineStr">
        <is>
          <t>E2-006</t>
        </is>
      </c>
      <c r="B77" s="115" t="inlineStr">
        <is>
          <t>2.1.1.2</t>
        </is>
      </c>
      <c r="C77" s="115" t="inlineStr">
        <is>
          <t>Investigación y producción técnico-científica</t>
        </is>
      </c>
      <c r="D77" s="115" t="inlineStr">
        <is>
          <t>2.1 Capacidades de investigación e innovación</t>
        </is>
      </c>
      <c r="E77" s="115" t="inlineStr">
        <is>
          <t>Tres (3) grupos en B.</t>
        </is>
      </c>
      <c r="F77" s="115" t="inlineStr">
        <is>
          <t>N.° de grupos categoría B en MinCiencias</t>
        </is>
      </c>
      <c r="G77" s="115" t="inlineStr">
        <is>
          <t>3 grupos B (MPI: 16)</t>
        </is>
      </c>
      <c r="H77" s="115" t="inlineStr">
        <is>
          <t>Sugerida por la OAP: 1 grupo clasificado en B, ascenso de uno de los 2 grupos en C,</t>
        </is>
      </c>
      <c r="I77" s="115" t="inlineStr">
        <is>
          <t>A40</t>
        </is>
      </c>
      <c r="J77" s="115" t="inlineStr">
        <is>
          <t>140 · Vicerrectoría de Investigación, Extensión y Transferencia</t>
        </is>
      </c>
      <c r="K77" s="115" t="inlineStr">
        <is>
          <t>Innovación y Laboratorio Inteligente</t>
        </is>
      </c>
      <c r="L77" s="115" t="inlineStr">
        <is>
          <t>Investigación</t>
        </is>
      </c>
      <c r="M77" s="115" t="inlineStr">
        <is>
          <t>Responsable en el PAA 2026</t>
        </is>
      </c>
      <c r="N77" s="115" t="n">
        <v>11</v>
      </c>
      <c r="O77" s="115" t="n">
        <v>4</v>
      </c>
      <c r="P77" s="115" t="n">
        <v>7</v>
      </c>
      <c r="Q77" s="115" t="n">
        <v>0</v>
      </c>
      <c r="R77" s="115" t="inlineStr">
        <is>
          <t>Vincular los desarrollos del Laboratorio Inteligente a la producción de los grupos, en particular productos de desarrollo tecnológico e innovación. Cerrar o reprogramar en el SUIE los 7 productos 2026 pendientes de esta meta.</t>
        </is>
      </c>
      <c r="S77" s="115" t="inlineStr">
        <is>
          <t>IMP-20; IMP-21</t>
        </is>
      </c>
      <c r="T77" s="115" t="inlineStr">
        <is>
          <t>Formulación_Ejes_2027</t>
        </is>
      </c>
      <c r="U77" s="115">
        <f>IF(I77=LEFT('Buscador_Formulación PAA 2027'!$C$4,3),COUNTIF($I$5:I77,LEFT('Buscador_Formulación PAA 2027'!$C$4,3)),"")</f>
        <v/>
      </c>
    </row>
    <row r="78" ht="15" customHeight="1" s="23">
      <c r="A78" s="115" t="inlineStr">
        <is>
          <t>E2-007</t>
        </is>
      </c>
      <c r="B78" s="115" t="inlineStr">
        <is>
          <t>2.1.1.3</t>
        </is>
      </c>
      <c r="C78" s="115" t="inlineStr">
        <is>
          <t>Investigación y producción técnico-científica</t>
        </is>
      </c>
      <c r="D78" s="115" t="inlineStr">
        <is>
          <t>2.1 Capacidades de investigación e innovación</t>
        </is>
      </c>
      <c r="E78" s="115" t="inlineStr">
        <is>
          <t>Cuatro (4) grupos en C.</t>
        </is>
      </c>
      <c r="F78" s="115" t="inlineStr">
        <is>
          <t>N.° de grupos categoría C en MinCiencias</t>
        </is>
      </c>
      <c r="G78" s="115" t="inlineStr">
        <is>
          <t>4 grupos C (MPI: 14)</t>
        </is>
      </c>
      <c r="H78" s="115" t="inlineStr">
        <is>
          <t>Sugerida por la OAP: 4 grupos en C: mantener Virtus y GEA y clasificar 2 de los 7 grupos registrados sin categoría</t>
        </is>
      </c>
      <c r="I78" s="115" t="inlineStr">
        <is>
          <t>A39</t>
        </is>
      </c>
      <c r="J78" s="115" t="inlineStr">
        <is>
          <t>140 · Vicerrectoría de Investigación, Extensión y Transferencia</t>
        </is>
      </c>
      <c r="K78" s="115" t="inlineStr">
        <is>
          <t>Investigación (grupos, semilleros, revista, centro de pensamiento)</t>
        </is>
      </c>
      <c r="L78" s="115" t="inlineStr">
        <is>
          <t>Investigación</t>
        </is>
      </c>
      <c r="M78" s="115" t="inlineStr">
        <is>
          <t>Responsable en el PAA 2026</t>
        </is>
      </c>
      <c r="N78" s="115" t="n">
        <v>22</v>
      </c>
      <c r="O78" s="115" t="n">
        <v>16</v>
      </c>
      <c r="P78" s="115" t="n">
        <v>6</v>
      </c>
      <c r="Q78" s="115" t="n">
        <v>0</v>
      </c>
      <c r="R78" s="115" t="inlineStr">
        <is>
          <t>Acción propuesta AC27.16: Ampliar la base de grupos clasificados, actualizando la información de los grupos sin categoría y acompañando a los de mayor producción. Actividades a su cargo: A27-038 Actualizar GrupLAC y CvLAC de los 7 grupos sin categoría; A27-039 Acompañar a los 2 grupos con más producción para su clasificación en C. Cerrar o reprogramar en el SUIE los 6 productos 2026 pendientes de esta meta.</t>
        </is>
      </c>
      <c r="S78" s="115" t="inlineStr">
        <is>
          <t>IMP-20; IMP-21</t>
        </is>
      </c>
      <c r="T78" s="115" t="inlineStr">
        <is>
          <t>Formulación_Ejes_2027</t>
        </is>
      </c>
      <c r="U78" s="115">
        <f>IF(I78=LEFT('Buscador_Formulación PAA 2027'!$C$4,3),COUNTIF($I$5:I78,LEFT('Buscador_Formulación PAA 2027'!$C$4,3)),"")</f>
        <v/>
      </c>
    </row>
    <row r="79" ht="15" customHeight="1" s="23">
      <c r="A79" s="115" t="inlineStr">
        <is>
          <t>E2-008</t>
        </is>
      </c>
      <c r="B79" s="115" t="inlineStr">
        <is>
          <t>2.1.1.3</t>
        </is>
      </c>
      <c r="C79" s="115" t="inlineStr">
        <is>
          <t>Investigación y producción técnico-científica</t>
        </is>
      </c>
      <c r="D79" s="115" t="inlineStr">
        <is>
          <t>2.1 Capacidades de investigación e innovación</t>
        </is>
      </c>
      <c r="E79" s="115" t="inlineStr">
        <is>
          <t>Cuatro (4) grupos en C.</t>
        </is>
      </c>
      <c r="F79" s="115" t="inlineStr">
        <is>
          <t>N.° de grupos categoría C en MinCiencias</t>
        </is>
      </c>
      <c r="G79" s="115" t="inlineStr">
        <is>
          <t>4 grupos C (MPI: 14)</t>
        </is>
      </c>
      <c r="H79" s="115" t="inlineStr">
        <is>
          <t>Sugerida por la OAP: 4 grupos en C: mantener Virtus y GEA y clasificar 2 de los 7 grupos registrados sin categoría</t>
        </is>
      </c>
      <c r="I79" s="115" t="inlineStr">
        <is>
          <t>A40</t>
        </is>
      </c>
      <c r="J79" s="115" t="inlineStr">
        <is>
          <t>140 · Vicerrectoría de Investigación, Extensión y Transferencia</t>
        </is>
      </c>
      <c r="K79" s="115" t="inlineStr">
        <is>
          <t>Innovación y Laboratorio Inteligente</t>
        </is>
      </c>
      <c r="L79" s="115" t="inlineStr">
        <is>
          <t>Investigación</t>
        </is>
      </c>
      <c r="M79" s="115" t="inlineStr">
        <is>
          <t>Responsable en el PAA 2026</t>
        </is>
      </c>
      <c r="N79" s="115" t="n">
        <v>3</v>
      </c>
      <c r="O79" s="115" t="n">
        <v>0</v>
      </c>
      <c r="P79" s="115" t="n">
        <v>3</v>
      </c>
      <c r="Q79" s="115" t="n">
        <v>0</v>
      </c>
      <c r="R79" s="115" t="inlineStr">
        <is>
          <t>Apoyar a los grupos sin categoría con productos de desarrollo tecnológico registrables en GrupLAC. Cerrar o reprogramar en el SUIE los 3 productos 2026 pendientes de esta meta.</t>
        </is>
      </c>
      <c r="S79" s="115" t="inlineStr">
        <is>
          <t>IMP-20; IMP-21</t>
        </is>
      </c>
      <c r="T79" s="115" t="inlineStr">
        <is>
          <t>Formulación_Ejes_2027</t>
        </is>
      </c>
      <c r="U79" s="115">
        <f>IF(I79=LEFT('Buscador_Formulación PAA 2027'!$C$4,3),COUNTIF($I$5:I79,LEFT('Buscador_Formulación PAA 2027'!$C$4,3)),"")</f>
        <v/>
      </c>
    </row>
    <row r="80" ht="15" customHeight="1" s="23">
      <c r="A80" s="115" t="inlineStr">
        <is>
          <t>E2-009</t>
        </is>
      </c>
      <c r="B80" s="115" t="inlineStr">
        <is>
          <t>2.2.1.1</t>
        </is>
      </c>
      <c r="C80" s="115" t="inlineStr">
        <is>
          <t>Investigación y producción técnico-científica</t>
        </is>
      </c>
      <c r="D80" s="115" t="inlineStr">
        <is>
          <t>2.2 Producción técnico-científica</t>
        </is>
      </c>
      <c r="E80" s="115" t="inlineStr">
        <is>
          <t>Lograr como mínimo por vigencia la publicación de dos (2) artículos en revistas internacionales indexadas.</t>
        </is>
      </c>
      <c r="F80" s="115" t="inlineStr">
        <is>
          <t>N.° de artículos publicados en revistas internacionales indexadas</t>
        </is>
      </c>
      <c r="G80" s="115" t="inlineStr">
        <is>
          <t>2 por vigencia (16 en el periodo, según MPI)</t>
        </is>
      </c>
      <c r="H80" s="115" t="inlineStr">
        <is>
          <t>2 artículos</t>
        </is>
      </c>
      <c r="I80" s="115" t="inlineStr">
        <is>
          <t>A39</t>
        </is>
      </c>
      <c r="J80" s="115" t="inlineStr">
        <is>
          <t>140 · Vicerrectoría de Investigación, Extensión y Transferencia</t>
        </is>
      </c>
      <c r="K80" s="115" t="inlineStr">
        <is>
          <t>Investigación (grupos, semilleros, revista, centro de pensamiento)</t>
        </is>
      </c>
      <c r="L80" s="115" t="inlineStr">
        <is>
          <t>Investigación</t>
        </is>
      </c>
      <c r="M80" s="115" t="inlineStr">
        <is>
          <t>Responsable en el PAA 2026</t>
        </is>
      </c>
      <c r="N80" s="115" t="n">
        <v>1</v>
      </c>
      <c r="O80" s="115" t="n">
        <v>0</v>
      </c>
      <c r="P80" s="115" t="n">
        <v>1</v>
      </c>
      <c r="Q80" s="115" t="n">
        <v>0</v>
      </c>
      <c r="R80" s="115" t="inlineStr">
        <is>
          <t>Acción propuesta AC27.17: Aumentar la publicación en revistas internacionales indexadas con estímulos, traducción y acompañamiento al sometimiento. Actividades a su cargo: A27-040 Abrir la convocatoria de estímulos a la publicación 2027; A27-041 Acompañar la traducción y el sometimiento a revistas internacionales indexadas. Cerrar o reprogramar en el SUIE el producto 2026 pendiente de esta meta.</t>
        </is>
      </c>
      <c r="S80" s="115" t="inlineStr">
        <is>
          <t>IMP-21; IMP-20</t>
        </is>
      </c>
      <c r="T80" s="115" t="inlineStr">
        <is>
          <t>Formulación_Ejes_2027</t>
        </is>
      </c>
      <c r="U80" s="115">
        <f>IF(I80=LEFT('Buscador_Formulación PAA 2027'!$C$4,3),COUNTIF($I$5:I80,LEFT('Buscador_Formulación PAA 2027'!$C$4,3)),"")</f>
        <v/>
      </c>
    </row>
    <row r="81" ht="15" customHeight="1" s="23">
      <c r="A81" s="115" t="inlineStr">
        <is>
          <t>E2-010</t>
        </is>
      </c>
      <c r="B81" s="115" t="inlineStr">
        <is>
          <t>2.2.1.2</t>
        </is>
      </c>
      <c r="C81" s="115" t="inlineStr">
        <is>
          <t>Investigación y producción técnico-científica</t>
        </is>
      </c>
      <c r="D81" s="115" t="inlineStr">
        <is>
          <t>2.2 Producción técnico-científica</t>
        </is>
      </c>
      <c r="E81" s="115" t="inlineStr">
        <is>
          <t>Lograr la publicación de ocho (8) artículos en revistas nacionales indexadas.</t>
        </is>
      </c>
      <c r="F81" s="115" t="inlineStr">
        <is>
          <t>N.° de artículos publicados en revistas nacionales indexadas</t>
        </is>
      </c>
      <c r="G81" s="115" t="inlineStr">
        <is>
          <t>8 (MPI: 8 por año, 48 en total)</t>
        </is>
      </c>
      <c r="H81" s="115" t="inlineStr">
        <is>
          <t>8 artículos; la VIET confirma si la meta del PDI es anual o acumulada</t>
        </is>
      </c>
      <c r="I81" s="115" t="inlineStr">
        <is>
          <t>A20</t>
        </is>
      </c>
      <c r="J81" s="115" t="inlineStr">
        <is>
          <t>121 · GIT Biblioteca y Recursos Educativos</t>
        </is>
      </c>
      <c r="K81" s="115" t="inlineStr">
        <is>
          <t>GIT Biblioteca y Recursos Académicos</t>
        </is>
      </c>
      <c r="L81" s="115" t="inlineStr">
        <is>
          <t>Docencia PES</t>
        </is>
      </c>
      <c r="M81" s="115" t="inlineStr">
        <is>
          <t>Asignación por funciones del área</t>
        </is>
      </c>
      <c r="N81" s="115" t="n">
        <v>0</v>
      </c>
      <c r="O81" s="115" t="n">
        <v>0</v>
      </c>
      <c r="P81" s="115" t="n">
        <v>0</v>
      </c>
      <c r="Q81" s="115" t="n">
        <v>0</v>
      </c>
      <c r="R81" s="115" t="inlineStr">
        <is>
          <t>Apoyar a los autores con bases de datos, normas de citación y el repositorio institucional, y gestionar la visibilidad de las revistas de la Escuela.</t>
        </is>
      </c>
      <c r="S81" s="115" t="inlineStr">
        <is>
          <t>IMP-21; IMP-20</t>
        </is>
      </c>
      <c r="T81" s="115" t="inlineStr">
        <is>
          <t>Formulación_Ejes_2027</t>
        </is>
      </c>
      <c r="U81" s="115">
        <f>IF(I81=LEFT('Buscador_Formulación PAA 2027'!$C$4,3),COUNTIF($I$5:I81,LEFT('Buscador_Formulación PAA 2027'!$C$4,3)),"")</f>
        <v/>
      </c>
    </row>
    <row r="82" ht="15" customHeight="1" s="23">
      <c r="A82" s="115" t="inlineStr">
        <is>
          <t>E2-011</t>
        </is>
      </c>
      <c r="B82" s="115" t="inlineStr">
        <is>
          <t>2.2.1.2</t>
        </is>
      </c>
      <c r="C82" s="115" t="inlineStr">
        <is>
          <t>Investigación y producción técnico-científica</t>
        </is>
      </c>
      <c r="D82" s="115" t="inlineStr">
        <is>
          <t>2.2 Producción técnico-científica</t>
        </is>
      </c>
      <c r="E82" s="115" t="inlineStr">
        <is>
          <t>Lograr la publicación de ocho (8) artículos en revistas nacionales indexadas.</t>
        </is>
      </c>
      <c r="F82" s="115" t="inlineStr">
        <is>
          <t>N.° de artículos publicados en revistas nacionales indexadas</t>
        </is>
      </c>
      <c r="G82" s="115" t="inlineStr">
        <is>
          <t>8 (MPI: 8 por año, 48 en total)</t>
        </is>
      </c>
      <c r="H82" s="115" t="inlineStr">
        <is>
          <t>8 artículos; la VIET confirma si la meta del PDI es anual o acumulada</t>
        </is>
      </c>
      <c r="I82" s="115" t="inlineStr">
        <is>
          <t>A39</t>
        </is>
      </c>
      <c r="J82" s="115" t="inlineStr">
        <is>
          <t>140 · Vicerrectoría de Investigación, Extensión y Transferencia</t>
        </is>
      </c>
      <c r="K82" s="115" t="inlineStr">
        <is>
          <t>Investigación (grupos, semilleros, revista, centro de pensamiento)</t>
        </is>
      </c>
      <c r="L82" s="115" t="inlineStr">
        <is>
          <t>Investigación</t>
        </is>
      </c>
      <c r="M82" s="115" t="inlineStr">
        <is>
          <t>Responsable en el PAA 2026</t>
        </is>
      </c>
      <c r="N82" s="115" t="n">
        <v>5</v>
      </c>
      <c r="O82" s="115" t="n">
        <v>2</v>
      </c>
      <c r="P82" s="115" t="n">
        <v>3</v>
      </c>
      <c r="Q82" s="115" t="n">
        <v>0</v>
      </c>
      <c r="R82" s="115" t="inlineStr">
        <is>
          <t>Acción propuesta AC27.18: Aumentar la publicación en revistas nacionales indexadas, fortaleciendo las revistas propias y convirtiendo trabajos de grado y semilleros en artículos. Actividades a su cargo: A27-042 Fortalecer la Revista Letras ETITC y Cuadernos ETITC (pares, convocatorias); A27-043 Vincular trabajos de grado y semilleros a artículos con docentes. Cerrar o reprogramar en el SUIE los 3 productos 2026 pendientes de esta meta.</t>
        </is>
      </c>
      <c r="S82" s="115" t="inlineStr">
        <is>
          <t>IMP-21; IMP-20</t>
        </is>
      </c>
      <c r="T82" s="115" t="inlineStr">
        <is>
          <t>Formulación_Ejes_2027</t>
        </is>
      </c>
      <c r="U82" s="115">
        <f>IF(I82=LEFT('Buscador_Formulación PAA 2027'!$C$4,3),COUNTIF($I$5:I82,LEFT('Buscador_Formulación PAA 2027'!$C$4,3)),"")</f>
        <v/>
      </c>
    </row>
    <row r="83" ht="15" customHeight="1" s="23">
      <c r="A83" s="115" t="inlineStr">
        <is>
          <t>E2-012</t>
        </is>
      </c>
      <c r="B83" s="115" t="inlineStr">
        <is>
          <t>2.3.1.1</t>
        </is>
      </c>
      <c r="C83" s="115" t="inlineStr">
        <is>
          <t>Investigación y producción técnico-científica</t>
        </is>
      </c>
      <c r="D83" s="115" t="inlineStr">
        <is>
          <t>2.3 Alianzas estratégicas para la investigación</t>
        </is>
      </c>
      <c r="E83" s="115" t="inlineStr">
        <is>
          <t>Contar con cuatro (4) patentes registradas sobre la base de los desarrollos logrados con las alianzas con el sector productivo o institucional.</t>
        </is>
      </c>
      <c r="F83" s="115" t="inlineStr">
        <is>
          <t>N.° de solicitudes y de patentes registradas</t>
        </is>
      </c>
      <c r="G83" s="115" t="inlineStr">
        <is>
          <t>4 patentes</t>
        </is>
      </c>
      <c r="H83" s="115" t="inlineStr">
        <is>
          <t>Sugerida por la OAP: 2 solicitudes de patente o modelo de utilidad radicadas ante la SIC, avance hacia 4 en 2032, y mantenimiento de la patente vigente</t>
        </is>
      </c>
      <c r="I83" s="115" t="inlineStr">
        <is>
          <t>A38</t>
        </is>
      </c>
      <c r="J83" s="115" t="inlineStr">
        <is>
          <t>140 · Vicerrectoría de Investigación, Extensión y Transferencia</t>
        </is>
      </c>
      <c r="K83" s="115" t="inlineStr">
        <is>
          <t>Despacho de la VIET</t>
        </is>
      </c>
      <c r="L83" s="115" t="inlineStr">
        <is>
          <t>Investigación</t>
        </is>
      </c>
      <c r="M83" s="115" t="inlineStr">
        <is>
          <t>Responsable en el PAA 2026</t>
        </is>
      </c>
      <c r="N83" s="115" t="n">
        <v>2</v>
      </c>
      <c r="O83" s="115" t="n">
        <v>1</v>
      </c>
      <c r="P83" s="115" t="n">
        <v>1</v>
      </c>
      <c r="Q83" s="115" t="n">
        <v>0</v>
      </c>
      <c r="R83" s="115" t="inlineStr">
        <is>
          <t>Acción propuesta AC27.19: Convertir los desarrollos de la Escuela en propiedad intelectual protegida, desde la identificación de lo patentable hasta la radicación ante la SIC. Actividades a su cargo: A27-045 Formalizar alianzas de codesarrollo con IES, empresas, centros y entidades públicas. Cerrar o reprogramar en el SUIE el producto 2026 pendiente de esta meta.</t>
        </is>
      </c>
      <c r="S83" s="115" t="inlineStr">
        <is>
          <t>IMP-17; IMP-20</t>
        </is>
      </c>
      <c r="T83" s="115" t="inlineStr">
        <is>
          <t>Formulación_Ejes_2027</t>
        </is>
      </c>
      <c r="U83" s="115">
        <f>IF(I83=LEFT('Buscador_Formulación PAA 2027'!$C$4,3),COUNTIF($I$5:I83,LEFT('Buscador_Formulación PAA 2027'!$C$4,3)),"")</f>
        <v/>
      </c>
    </row>
    <row r="84" ht="15" customHeight="1" s="23">
      <c r="A84" s="115" t="inlineStr">
        <is>
          <t>E2-013</t>
        </is>
      </c>
      <c r="B84" s="115" t="inlineStr">
        <is>
          <t>2.3.1.1</t>
        </is>
      </c>
      <c r="C84" s="115" t="inlineStr">
        <is>
          <t>Investigación y producción técnico-científica</t>
        </is>
      </c>
      <c r="D84" s="115" t="inlineStr">
        <is>
          <t>2.3 Alianzas estratégicas para la investigación</t>
        </is>
      </c>
      <c r="E84" s="115" t="inlineStr">
        <is>
          <t>Contar con cuatro (4) patentes registradas sobre la base de los desarrollos logrados con las alianzas con el sector productivo o institucional.</t>
        </is>
      </c>
      <c r="F84" s="115" t="inlineStr">
        <is>
          <t>N.° de solicitudes y de patentes registradas</t>
        </is>
      </c>
      <c r="G84" s="115" t="inlineStr">
        <is>
          <t>4 patentes</t>
        </is>
      </c>
      <c r="H84" s="115" t="inlineStr">
        <is>
          <t>Sugerida por la OAP: 2 solicitudes de patente o modelo de utilidad radicadas ante la SIC, avance hacia 4 en 2032, y mantenimiento de la patente vigente</t>
        </is>
      </c>
      <c r="I84" s="115" t="inlineStr">
        <is>
          <t>A39</t>
        </is>
      </c>
      <c r="J84" s="115" t="inlineStr">
        <is>
          <t>140 · Vicerrectoría de Investigación, Extensión y Transferencia</t>
        </is>
      </c>
      <c r="K84" s="115" t="inlineStr">
        <is>
          <t>Investigación (grupos, semilleros, revista, centro de pensamiento)</t>
        </is>
      </c>
      <c r="L84" s="115" t="inlineStr">
        <is>
          <t>Investigación</t>
        </is>
      </c>
      <c r="M84" s="115" t="inlineStr">
        <is>
          <t>Responsable en el PAA 2026</t>
        </is>
      </c>
      <c r="N84" s="115" t="n">
        <v>7</v>
      </c>
      <c r="O84" s="115" t="n">
        <v>1</v>
      </c>
      <c r="P84" s="115" t="n">
        <v>6</v>
      </c>
      <c r="Q84" s="115" t="n">
        <v>0</v>
      </c>
      <c r="R84" s="115" t="inlineStr">
        <is>
          <t>Identificar con los grupos los resultados de investigación que pueden protegerse y entregarlos a Innovación para su trámite ante la Superintendencia de Industria y Comercio. Cerrar o reprogramar en el SUIE los 6 productos 2026 pendientes de esta meta.</t>
        </is>
      </c>
      <c r="S84" s="115" t="inlineStr">
        <is>
          <t>IMP-17; IMP-20</t>
        </is>
      </c>
      <c r="T84" s="115" t="inlineStr">
        <is>
          <t>Formulación_Ejes_2027</t>
        </is>
      </c>
      <c r="U84" s="115">
        <f>IF(I84=LEFT('Buscador_Formulación PAA 2027'!$C$4,3),COUNTIF($I$5:I84,LEFT('Buscador_Formulación PAA 2027'!$C$4,3)),"")</f>
        <v/>
      </c>
    </row>
    <row r="85" ht="15" customHeight="1" s="23">
      <c r="A85" s="115" t="inlineStr">
        <is>
          <t>E2-014</t>
        </is>
      </c>
      <c r="B85" s="115" t="inlineStr">
        <is>
          <t>2.3.1.1</t>
        </is>
      </c>
      <c r="C85" s="115" t="inlineStr">
        <is>
          <t>Investigación y producción técnico-científica</t>
        </is>
      </c>
      <c r="D85" s="115" t="inlineStr">
        <is>
          <t>2.3 Alianzas estratégicas para la investigación</t>
        </is>
      </c>
      <c r="E85" s="115" t="inlineStr">
        <is>
          <t>Contar con cuatro (4) patentes registradas sobre la base de los desarrollos logrados con las alianzas con el sector productivo o institucional.</t>
        </is>
      </c>
      <c r="F85" s="115" t="inlineStr">
        <is>
          <t>N.° de solicitudes y de patentes registradas</t>
        </is>
      </c>
      <c r="G85" s="115" t="inlineStr">
        <is>
          <t>4 patentes</t>
        </is>
      </c>
      <c r="H85" s="115" t="inlineStr">
        <is>
          <t>Sugerida por la OAP: 2 solicitudes de patente o modelo de utilidad radicadas ante la SIC, avance hacia 4 en 2032, y mantenimiento de la patente vigente</t>
        </is>
      </c>
      <c r="I85" s="115" t="inlineStr">
        <is>
          <t>A40</t>
        </is>
      </c>
      <c r="J85" s="115" t="inlineStr">
        <is>
          <t>140 · Vicerrectoría de Investigación, Extensión y Transferencia</t>
        </is>
      </c>
      <c r="K85" s="115" t="inlineStr">
        <is>
          <t>Innovación y Laboratorio Inteligente</t>
        </is>
      </c>
      <c r="L85" s="115" t="inlineStr">
        <is>
          <t>Investigación</t>
        </is>
      </c>
      <c r="M85" s="115" t="inlineStr">
        <is>
          <t>Responsable en el PAA 2026</t>
        </is>
      </c>
      <c r="N85" s="115" t="n">
        <v>10</v>
      </c>
      <c r="O85" s="115" t="n">
        <v>1</v>
      </c>
      <c r="P85" s="115" t="n">
        <v>9</v>
      </c>
      <c r="Q85" s="115" t="n">
        <v>1</v>
      </c>
      <c r="R85" s="115" t="inlineStr">
        <is>
          <t>Acción propuesta AC27.19: Convertir los desarrollos de la Escuela en propiedad intelectual protegida, desde la identificación de lo patentable hasta la radicación ante la SIC. Actividades a su cargo: A27-044 Identificar desarrollos patentables aplicando el reglamento de propiedad intelectual; A27-046 Radicar las solicitudes de patente o modelo de utilidad ante la SIC. Acción propuesta AC27.20: Mantener vigente la patente concedida, al día con anualidades y requerimientos de la SIC. Actividades a su cargo: A27-047 Pagar la anualidad de la patente vigente y atender los requerimientos de la SIC. Con esta acción se atienden compromisos pendientes de 2026 de los proyectos estructurantes. Cerrar o reprogramar en el SUIE los 9 productos 2026 pendientes de esta meta.</t>
        </is>
      </c>
      <c r="S85" s="115" t="inlineStr">
        <is>
          <t>IMP-17; IMP-20</t>
        </is>
      </c>
      <c r="T85" s="115" t="inlineStr">
        <is>
          <t>Formulación_Ejes_2027</t>
        </is>
      </c>
      <c r="U85" s="115">
        <f>IF(I85=LEFT('Buscador_Formulación PAA 2027'!$C$4,3),COUNTIF($I$5:I85,LEFT('Buscador_Formulación PAA 2027'!$C$4,3)),"")</f>
        <v/>
      </c>
    </row>
    <row r="86" ht="15" customHeight="1" s="23">
      <c r="A86" s="115" t="inlineStr">
        <is>
          <t>E2-015</t>
        </is>
      </c>
      <c r="B86" s="115" t="inlineStr">
        <is>
          <t>2.4.1.1</t>
        </is>
      </c>
      <c r="C86" s="115" t="inlineStr">
        <is>
          <t>Investigación y producción técnico-científica</t>
        </is>
      </c>
      <c r="D86" s="115" t="inlineStr">
        <is>
          <t>2.4 Vinculación de lo investigativo con lo académico</t>
        </is>
      </c>
      <c r="E86" s="115" t="inlineStr">
        <is>
          <t>Contar con un (1) centro de pensamiento y desarrollo tecnológico registrado en Colciencias (MinCiencias) y articulado con el Parque Tecnológico de Funza.</t>
        </is>
      </c>
      <c r="F86" s="115" t="inlineStr">
        <is>
          <t>Centro de pensamiento reconocido por MinCiencias (fase de avance)</t>
        </is>
      </c>
      <c r="G86" s="115" t="inlineStr">
        <is>
          <t>1 centro reconocido</t>
        </is>
      </c>
      <c r="H86" s="115" t="inlineStr">
        <is>
          <t>Puesta en marcha del Centro de Pensamiento</t>
        </is>
      </c>
      <c r="I86" s="115" t="inlineStr">
        <is>
          <t>A39</t>
        </is>
      </c>
      <c r="J86" s="115" t="inlineStr">
        <is>
          <t>140 · Vicerrectoría de Investigación, Extensión y Transferencia</t>
        </is>
      </c>
      <c r="K86" s="115" t="inlineStr">
        <is>
          <t>Investigación (grupos, semilleros, revista, centro de pensamiento)</t>
        </is>
      </c>
      <c r="L86" s="115" t="inlineStr">
        <is>
          <t>Investigación</t>
        </is>
      </c>
      <c r="M86" s="115" t="inlineStr">
        <is>
          <t>Responsable en el PAA 2026</t>
        </is>
      </c>
      <c r="N86" s="115" t="n">
        <v>35</v>
      </c>
      <c r="O86" s="115" t="n">
        <v>14</v>
      </c>
      <c r="P86" s="115" t="n">
        <v>21</v>
      </c>
      <c r="Q86" s="115" t="n">
        <v>1</v>
      </c>
      <c r="R86" s="115" t="inlineStr">
        <is>
          <t>Acción propuesta AC27.21: Poner en marcha el Centro de Pensamiento y Desarrollo Tecnológico articulado con el Ecoparque de Funza, con reconocimiento de MinCiencias y semilleros activos. Actividades a su cargo: A27-048 Completar las etapas del proceso de reconocimiento ante MinCiencias; A27-049 Poner en marcha el Centro de Pensamiento articulado con el Ecoparque de Funza; A27-050 Reprogramar los productos de Semilleros. Con esta acción se atienden compromisos pendientes de 2026 de los proyectos estructurantes. Cerrar o reprogramar en el SUIE los 21 productos 2026 pendientes de esta meta.</t>
        </is>
      </c>
      <c r="S86" s="115" t="inlineStr">
        <is>
          <t>IMP-20; IMP-03</t>
        </is>
      </c>
      <c r="T86" s="115" t="inlineStr">
        <is>
          <t>Formulación_Ejes_2027</t>
        </is>
      </c>
      <c r="U86" s="115">
        <f>IF(I86=LEFT('Buscador_Formulación PAA 2027'!$C$4,3),COUNTIF($I$5:I86,LEFT('Buscador_Formulación PAA 2027'!$C$4,3)),"")</f>
        <v/>
      </c>
    </row>
    <row r="87" ht="15" customHeight="1" s="23">
      <c r="A87" s="115" t="inlineStr">
        <is>
          <t>E2-016</t>
        </is>
      </c>
      <c r="B87" s="115" t="inlineStr">
        <is>
          <t>2.4.1.1</t>
        </is>
      </c>
      <c r="C87" s="115" t="inlineStr">
        <is>
          <t>Investigación y producción técnico-científica</t>
        </is>
      </c>
      <c r="D87" s="115" t="inlineStr">
        <is>
          <t>2.4 Vinculación de lo investigativo con lo académico</t>
        </is>
      </c>
      <c r="E87" s="115" t="inlineStr">
        <is>
          <t>Contar con un (1) centro de pensamiento y desarrollo tecnológico registrado en Colciencias (MinCiencias) y articulado con el Parque Tecnológico de Funza.</t>
        </is>
      </c>
      <c r="F87" s="115" t="inlineStr">
        <is>
          <t>Centro de pensamiento reconocido por MinCiencias (fase de avance)</t>
        </is>
      </c>
      <c r="G87" s="115" t="inlineStr">
        <is>
          <t>1 centro reconocido</t>
        </is>
      </c>
      <c r="H87" s="115" t="inlineStr">
        <is>
          <t>Puesta en marcha del Centro de Pensamiento</t>
        </is>
      </c>
      <c r="I87" s="115" t="inlineStr">
        <is>
          <t>A40</t>
        </is>
      </c>
      <c r="J87" s="115" t="inlineStr">
        <is>
          <t>140 · Vicerrectoría de Investigación, Extensión y Transferencia</t>
        </is>
      </c>
      <c r="K87" s="115" t="inlineStr">
        <is>
          <t>Innovación y Laboratorio Inteligente</t>
        </is>
      </c>
      <c r="L87" s="115" t="inlineStr">
        <is>
          <t>Investigación</t>
        </is>
      </c>
      <c r="M87" s="115" t="inlineStr">
        <is>
          <t>Responsable en el PAA 2026</t>
        </is>
      </c>
      <c r="N87" s="115" t="n">
        <v>7</v>
      </c>
      <c r="O87" s="115" t="n">
        <v>5</v>
      </c>
      <c r="P87" s="115" t="n">
        <v>2</v>
      </c>
      <c r="Q87" s="115" t="n">
        <v>0</v>
      </c>
      <c r="R87" s="115" t="inlineStr">
        <is>
          <t>Aportar al Centro de Pensamiento la infraestructura y los proyectos del Laboratorio Inteligente. Cerrar o reprogramar en el SUIE los 2 productos 2026 pendientes de esta meta.</t>
        </is>
      </c>
      <c r="S87" s="115" t="inlineStr">
        <is>
          <t>IMP-20; IMP-03</t>
        </is>
      </c>
      <c r="T87" s="115" t="inlineStr">
        <is>
          <t>Formulación_Ejes_2027</t>
        </is>
      </c>
      <c r="U87" s="115">
        <f>IF(I87=LEFT('Buscador_Formulación PAA 2027'!$C$4,3),COUNTIF($I$5:I87,LEFT('Buscador_Formulación PAA 2027'!$C$4,3)),"")</f>
        <v/>
      </c>
    </row>
    <row r="88" ht="15" customHeight="1" s="23">
      <c r="A88" s="115" t="inlineStr">
        <is>
          <t>E3-001</t>
        </is>
      </c>
      <c r="B88" s="115" t="inlineStr">
        <is>
          <t>3.1.1.1</t>
        </is>
      </c>
      <c r="C88" s="115" t="inlineStr">
        <is>
          <t>Extensión y proyección institucional</t>
        </is>
      </c>
      <c r="D88" s="115" t="inlineStr">
        <is>
          <t>3.1 Autonomía y posicionamiento de la Extensión y Proyección Institucional</t>
        </is>
      </c>
      <c r="E88" s="115" t="inlineStr">
        <is>
          <t>Disponer a mediano plazo de una vicerrectoría de extensión y proyección social.</t>
        </is>
      </c>
      <c r="F88" s="115" t="inlineStr">
        <is>
          <t>Modelo de gestión autónoma de la extensión adoptado y operando (fase)</t>
        </is>
      </c>
      <c r="G88" s="115" t="inlineStr">
        <is>
          <t>Sugerida por la OAP: extensión con autonomía administrativa y financiera operando desde el GIT de Extensión y Proyección Social, sin crear una nueva vicerrectoría</t>
        </is>
      </c>
      <c r="H88" s="115" t="inlineStr">
        <is>
          <t>Sugerida por la OAP: modelo de gestión autónoma de la extensión adoptado por acto administrativo: estatuto de extensión actualizado, centro de costos propio del GIT y procedimientos de la extensión en el SGC</t>
        </is>
      </c>
      <c r="I88" s="115" t="inlineStr">
        <is>
          <t>A05</t>
        </is>
      </c>
      <c r="J88" s="115" t="inlineStr">
        <is>
          <t>101 · Oficina Asesora de Planeación y Desarrollo Institucional</t>
        </is>
      </c>
      <c r="K88" s="115" t="inlineStr">
        <is>
          <t>Planeación y Plan de Acción</t>
        </is>
      </c>
      <c r="L88" s="115" t="inlineStr">
        <is>
          <t>Direccionamiento Institucional</t>
        </is>
      </c>
      <c r="M88" s="115" t="inlineStr">
        <is>
          <t>Acción propuesta PAA 2027</t>
        </is>
      </c>
      <c r="N88" s="115" t="n">
        <v>0</v>
      </c>
      <c r="O88" s="115" t="n">
        <v>0</v>
      </c>
      <c r="P88" s="115" t="n">
        <v>0</v>
      </c>
      <c r="Q88" s="115" t="n">
        <v>0</v>
      </c>
      <c r="R88" s="115" t="inlineStr">
        <is>
          <t>Acción propuesta AC27.23: Ajustar el enunciado de la meta en la revisión del PDI para que refleje el modelo de autonomía adoptado. Actividades a su cargo: A27-054 Presentar al Consejo Directivo la propuesta de ajuste del enunciado de la meta 3.1.1.1 en la revisión del PDI.</t>
        </is>
      </c>
      <c r="S88" s="115" t="inlineStr">
        <is>
          <t>IMP-18; IMP-17</t>
        </is>
      </c>
      <c r="T88" s="115" t="inlineStr">
        <is>
          <t>Formulación_Ejes_2027</t>
        </is>
      </c>
      <c r="U88" s="115">
        <f>IF(I88=LEFT('Buscador_Formulación PAA 2027'!$C$4,3),COUNTIF($I$5:I88,LEFT('Buscador_Formulación PAA 2027'!$C$4,3)),"")</f>
        <v/>
      </c>
    </row>
    <row r="89" ht="15" customHeight="1" s="23">
      <c r="A89" s="115" t="inlineStr">
        <is>
          <t>E3-002</t>
        </is>
      </c>
      <c r="B89" s="115" t="inlineStr">
        <is>
          <t>3.1.1.1</t>
        </is>
      </c>
      <c r="C89" s="115" t="inlineStr">
        <is>
          <t>Extensión y proyección institucional</t>
        </is>
      </c>
      <c r="D89" s="115" t="inlineStr">
        <is>
          <t>3.1 Autonomía y posicionamiento de la Extensión y Proyección Institucional</t>
        </is>
      </c>
      <c r="E89" s="115" t="inlineStr">
        <is>
          <t>Disponer a mediano plazo de una vicerrectoría de extensión y proyección social.</t>
        </is>
      </c>
      <c r="F89" s="115" t="inlineStr">
        <is>
          <t>Modelo de gestión autónoma de la extensión adoptado y operando (fase)</t>
        </is>
      </c>
      <c r="G89" s="115" t="inlineStr">
        <is>
          <t>Sugerida por la OAP: extensión con autonomía administrativa y financiera operando desde el GIT de Extensión y Proyección Social, sin crear una nueva vicerrectoría</t>
        </is>
      </c>
      <c r="H89" s="115" t="inlineStr">
        <is>
          <t>Sugerida por la OAP: modelo de gestión autónoma de la extensión adoptado por acto administrativo: estatuto de extensión actualizado, centro de costos propio del GIT y procedimientos de la extensión en el SGC</t>
        </is>
      </c>
      <c r="I89" s="115" t="inlineStr">
        <is>
          <t>A38</t>
        </is>
      </c>
      <c r="J89" s="115" t="inlineStr">
        <is>
          <t>140 · Vicerrectoría de Investigación, Extensión y Transferencia</t>
        </is>
      </c>
      <c r="K89" s="115" t="inlineStr">
        <is>
          <t>Despacho de la VIET</t>
        </is>
      </c>
      <c r="L89" s="115" t="inlineStr">
        <is>
          <t>Investigación</t>
        </is>
      </c>
      <c r="M89" s="115" t="inlineStr">
        <is>
          <t>Asignación propuesta por la OAP</t>
        </is>
      </c>
      <c r="N89" s="115" t="n">
        <v>0</v>
      </c>
      <c r="O89" s="115" t="n">
        <v>0</v>
      </c>
      <c r="P89" s="115" t="n">
        <v>0</v>
      </c>
      <c r="Q89" s="115" t="n">
        <v>0</v>
      </c>
      <c r="R89" s="115" t="inlineStr">
        <is>
          <t>Liderar desde la Vicerrectoría la propuesta del modelo de gestión de la extensión y presentarla para su adopción.</t>
        </is>
      </c>
      <c r="S89" s="115" t="inlineStr">
        <is>
          <t>IMP-18; IMP-17</t>
        </is>
      </c>
      <c r="T89" s="115" t="inlineStr">
        <is>
          <t>Formulación_Ejes_2027</t>
        </is>
      </c>
      <c r="U89" s="115">
        <f>IF(I89=LEFT('Buscador_Formulación PAA 2027'!$C$4,3),COUNTIF($I$5:I89,LEFT('Buscador_Formulación PAA 2027'!$C$4,3)),"")</f>
        <v/>
      </c>
    </row>
    <row r="90" ht="15" customHeight="1" s="23">
      <c r="A90" s="115" t="inlineStr">
        <is>
          <t>E3-003</t>
        </is>
      </c>
      <c r="B90" s="115" t="inlineStr">
        <is>
          <t>3.1.1.1</t>
        </is>
      </c>
      <c r="C90" s="115" t="inlineStr">
        <is>
          <t>Extensión y proyección institucional</t>
        </is>
      </c>
      <c r="D90" s="115" t="inlineStr">
        <is>
          <t>3.1 Autonomía y posicionamiento de la Extensión y Proyección Institucional</t>
        </is>
      </c>
      <c r="E90" s="115" t="inlineStr">
        <is>
          <t>Disponer a mediano plazo de una vicerrectoría de extensión y proyección social.</t>
        </is>
      </c>
      <c r="F90" s="115" t="inlineStr">
        <is>
          <t>Modelo de gestión autónoma de la extensión adoptado y operando (fase)</t>
        </is>
      </c>
      <c r="G90" s="115" t="inlineStr">
        <is>
          <t>Sugerida por la OAP: extensión con autonomía administrativa y financiera operando desde el GIT de Extensión y Proyección Social, sin crear una nueva vicerrectoría</t>
        </is>
      </c>
      <c r="H90" s="115" t="inlineStr">
        <is>
          <t>Sugerida por la OAP: modelo de gestión autónoma de la extensión adoptado por acto administrativo: estatuto de extensión actualizado, centro de costos propio del GIT y procedimientos de la extensión en el SGC</t>
        </is>
      </c>
      <c r="I90" s="115" t="inlineStr">
        <is>
          <t>A41</t>
        </is>
      </c>
      <c r="J90" s="115" t="inlineStr">
        <is>
          <t>141 · GIT Extensión y Proyección Social</t>
        </is>
      </c>
      <c r="K90" s="115" t="inlineStr">
        <is>
          <t>GIT Extensión y Proyección Social (incluye ETDH)</t>
        </is>
      </c>
      <c r="L90" s="115" t="inlineStr">
        <is>
          <t>Extensión y Proyección Social</t>
        </is>
      </c>
      <c r="M90" s="115" t="inlineStr">
        <is>
          <t>Asignación propuesta por la OAP</t>
        </is>
      </c>
      <c r="N90" s="115" t="n">
        <v>0</v>
      </c>
      <c r="O90" s="115" t="n">
        <v>0</v>
      </c>
      <c r="P90" s="115" t="n">
        <v>0</v>
      </c>
      <c r="Q90" s="115" t="n">
        <v>0</v>
      </c>
      <c r="R90" s="115" t="inlineStr">
        <is>
          <t>Acción propuesta AC27.22: Dotar a la extensión de autonomía de gestión dentro de la estructura actual, con reglas, centro de costos y procedimientos propios. Actividades a su cargo: A27-051 Actualizar el estatuto o reglamento de extensión con las reglas de autonomía del GIT (contratación de servicios, precios, excedentes); A27-053 Documentar y codificar en el SGC los procedimientos de la extensión.</t>
        </is>
      </c>
      <c r="S90" s="115" t="inlineStr">
        <is>
          <t>IMP-18; IMP-17</t>
        </is>
      </c>
      <c r="T90" s="115" t="inlineStr">
        <is>
          <t>Formulación_Ejes_2027</t>
        </is>
      </c>
      <c r="U90" s="115">
        <f>IF(I90=LEFT('Buscador_Formulación PAA 2027'!$C$4,3),COUNTIF($I$5:I90,LEFT('Buscador_Formulación PAA 2027'!$C$4,3)),"")</f>
        <v/>
      </c>
    </row>
    <row r="91" ht="15" customHeight="1" s="23">
      <c r="A91" s="115" t="inlineStr">
        <is>
          <t>E3-004</t>
        </is>
      </c>
      <c r="B91" s="115" t="inlineStr">
        <is>
          <t>3.1.1.1</t>
        </is>
      </c>
      <c r="C91" s="115" t="inlineStr">
        <is>
          <t>Extensión y proyección institucional</t>
        </is>
      </c>
      <c r="D91" s="115" t="inlineStr">
        <is>
          <t>3.1 Autonomía y posicionamiento de la Extensión y Proyección Institucional</t>
        </is>
      </c>
      <c r="E91" s="115" t="inlineStr">
        <is>
          <t>Disponer a mediano plazo de una vicerrectoría de extensión y proyección social.</t>
        </is>
      </c>
      <c r="F91" s="115" t="inlineStr">
        <is>
          <t>Modelo de gestión autónoma de la extensión adoptado y operando (fase)</t>
        </is>
      </c>
      <c r="G91" s="115" t="inlineStr">
        <is>
          <t>Sugerida por la OAP: extensión con autonomía administrativa y financiera operando desde el GIT de Extensión y Proyección Social, sin crear una nueva vicerrectoría</t>
        </is>
      </c>
      <c r="H91" s="115" t="inlineStr">
        <is>
          <t>Sugerida por la OAP: modelo de gestión autónoma de la extensión adoptado por acto administrativo: estatuto de extensión actualizado, centro de costos propio del GIT y procedimientos de la extensión en el SGC</t>
        </is>
      </c>
      <c r="I91" s="115" t="inlineStr">
        <is>
          <t>A47</t>
        </is>
      </c>
      <c r="J91" s="115" t="inlineStr">
        <is>
          <t>130 · Vicerrectoría Administrativa y Financiera</t>
        </is>
      </c>
      <c r="K91" s="115" t="inlineStr">
        <is>
          <t>Gestión Financiera (Presupuesto, Contabilidad, Tesorería)</t>
        </is>
      </c>
      <c r="L91" s="115" t="inlineStr">
        <is>
          <t>Gestión Financiera</t>
        </is>
      </c>
      <c r="M91" s="115" t="inlineStr">
        <is>
          <t>Acción propuesta PAA 2027</t>
        </is>
      </c>
      <c r="N91" s="115" t="n">
        <v>0</v>
      </c>
      <c r="O91" s="115" t="n">
        <v>0</v>
      </c>
      <c r="P91" s="115" t="n">
        <v>0</v>
      </c>
      <c r="Q91" s="115" t="n">
        <v>0</v>
      </c>
      <c r="R91" s="115" t="inlineStr">
        <is>
          <t>Acción propuesta AC27.22: Dotar a la extensión de autonomía de gestión dentro de la estructura actual, con reglas, centro de costos y procedimientos propios. Actividades a su cargo: A27-052 Crear el centro de costos propio de la extensión con Gestión Financiera.</t>
        </is>
      </c>
      <c r="S91" s="115" t="inlineStr">
        <is>
          <t>IMP-18; IMP-17</t>
        </is>
      </c>
      <c r="T91" s="115" t="inlineStr">
        <is>
          <t>Formulación_Ejes_2027</t>
        </is>
      </c>
      <c r="U91" s="115">
        <f>IF(I91=LEFT('Buscador_Formulación PAA 2027'!$C$4,3),COUNTIF($I$5:I91,LEFT('Buscador_Formulación PAA 2027'!$C$4,3)),"")</f>
        <v/>
      </c>
    </row>
    <row r="92" ht="15" customHeight="1" s="23">
      <c r="A92" s="115" t="inlineStr">
        <is>
          <t>E3-005</t>
        </is>
      </c>
      <c r="B92" s="115" t="inlineStr">
        <is>
          <t>3.2.1.1</t>
        </is>
      </c>
      <c r="C92" s="115" t="inlineStr">
        <is>
          <t>Extensión y proyección institucional</t>
        </is>
      </c>
      <c r="D92" s="115" t="inlineStr">
        <is>
          <t>3.2 Fortalecimiento de la innovación para la Proyección Institucional</t>
        </is>
      </c>
      <c r="E92" s="115" t="inlineStr">
        <is>
          <t>Diseñar y diversificar la oferta de programas de educación continuada y Educación para el Trabajo y el Desarrollo Humano.</t>
        </is>
      </c>
      <c r="F92" s="115" t="inlineStr">
        <is>
          <t>N.° de ofertas de educación continuada y ETDH, participantes y % en modalidad virtual</t>
        </is>
      </c>
      <c r="G92" s="115" t="inlineStr">
        <is>
          <t>Sugerida por la OAP: 60 ofertas anuales, 30% en modalidad virtual o b learning</t>
        </is>
      </c>
      <c r="H92" s="115" t="inlineStr">
        <is>
          <t>Sugerida por la OAP: 34 ofertas, +20% sobre 2025, de las cuales al menos 8 en modalidad virtual o b learning, y 2 programas ETDH reactivados</t>
        </is>
      </c>
      <c r="I92" s="115" t="inlineStr">
        <is>
          <t>A17</t>
        </is>
      </c>
      <c r="J92" s="115" t="inlineStr">
        <is>
          <t>120 · Vicerrectoría Académica</t>
        </is>
      </c>
      <c r="K92" s="115" t="inlineStr">
        <is>
          <t>Unidad B-Learning</t>
        </is>
      </c>
      <c r="L92" s="115" t="inlineStr">
        <is>
          <t>Docencia PES</t>
        </is>
      </c>
      <c r="M92" s="115" t="inlineStr">
        <is>
          <t>Acción propuesta PAA 2027</t>
        </is>
      </c>
      <c r="N92" s="115" t="n">
        <v>0</v>
      </c>
      <c r="O92" s="115" t="n">
        <v>0</v>
      </c>
      <c r="P92" s="115" t="n">
        <v>0</v>
      </c>
      <c r="Q92" s="115" t="n">
        <v>0</v>
      </c>
      <c r="R92" s="115" t="inlineStr">
        <is>
          <t>Acción propuesta AC27.24: Diversificar y virtualizar el portafolio de educación continuada y de Educación para el Trabajo y el Desarrollo Humano a partir de las necesidades de egresados, empresas y regiones. Actividades a su cargo: A27-056 Virtualizar 8 ofertas con la Unidad B-Learning (certificaciones, diplomados, cursos de lenguas).</t>
        </is>
      </c>
      <c r="S92" s="115" t="inlineStr">
        <is>
          <t>IMP-10; IMP-11</t>
        </is>
      </c>
      <c r="T92" s="115" t="inlineStr">
        <is>
          <t>Formulación_Ejes_2027</t>
        </is>
      </c>
      <c r="U92" s="115">
        <f>IF(I92=LEFT('Buscador_Formulación PAA 2027'!$C$4,3),COUNTIF($I$5:I92,LEFT('Buscador_Formulación PAA 2027'!$C$4,3)),"")</f>
        <v/>
      </c>
    </row>
    <row r="93" ht="15" customHeight="1" s="23">
      <c r="A93" s="115" t="inlineStr">
        <is>
          <t>E3-006</t>
        </is>
      </c>
      <c r="B93" s="115" t="inlineStr">
        <is>
          <t>3.2.1.1</t>
        </is>
      </c>
      <c r="C93" s="115" t="inlineStr">
        <is>
          <t>Extensión y proyección institucional</t>
        </is>
      </c>
      <c r="D93" s="115" t="inlineStr">
        <is>
          <t>3.2 Fortalecimiento de la innovación para la Proyección Institucional</t>
        </is>
      </c>
      <c r="E93" s="115" t="inlineStr">
        <is>
          <t>Diseñar y diversificar la oferta de programas de educación continuada y Educación para el Trabajo y el Desarrollo Humano.</t>
        </is>
      </c>
      <c r="F93" s="115" t="inlineStr">
        <is>
          <t>N.° de ofertas de educación continuada y ETDH, participantes y % en modalidad virtual</t>
        </is>
      </c>
      <c r="G93" s="115" t="inlineStr">
        <is>
          <t>Sugerida por la OAP: 60 ofertas anuales, 30% en modalidad virtual o b learning</t>
        </is>
      </c>
      <c r="H93" s="115" t="inlineStr">
        <is>
          <t>Sugerida por la OAP: 34 ofertas, +20% sobre 2025, de las cuales al menos 8 en modalidad virtual o b learning, y 2 programas ETDH reactivados</t>
        </is>
      </c>
      <c r="I93" s="115" t="inlineStr">
        <is>
          <t>A41</t>
        </is>
      </c>
      <c r="J93" s="115" t="inlineStr">
        <is>
          <t>141 · GIT Extensión y Proyección Social</t>
        </is>
      </c>
      <c r="K93" s="115" t="inlineStr">
        <is>
          <t>GIT Extensión y Proyección Social (incluye ETDH)</t>
        </is>
      </c>
      <c r="L93" s="115" t="inlineStr">
        <is>
          <t>Extensión y Proyección Social</t>
        </is>
      </c>
      <c r="M93" s="115" t="inlineStr">
        <is>
          <t>Responsable en el PAA 2026</t>
        </is>
      </c>
      <c r="N93" s="115" t="n">
        <v>8</v>
      </c>
      <c r="O93" s="115" t="n">
        <v>4</v>
      </c>
      <c r="P93" s="115" t="n">
        <v>4</v>
      </c>
      <c r="Q93" s="115" t="n">
        <v>0</v>
      </c>
      <c r="R93" s="115" t="inlineStr">
        <is>
          <t>Acción propuesta AC27.24: Diversificar y virtualizar el portafolio de educación continuada y de Educación para el Trabajo y el Desarrollo Humano a partir de las necesidades de egresados, empresas y regiones. Actividades a su cargo: A27-055 Analizar necesidades y mercado (egresados, empresas, regiones) y actualizar el portafolio; A27-057 Reactivar 2 programas ETDH con reglamento de formadores; A27-058 Ejecutar y evaluar la oferta 2027. Cerrar o reprogramar en el SUIE los 4 productos 2026 pendientes de esta meta.</t>
        </is>
      </c>
      <c r="S93" s="115" t="inlineStr">
        <is>
          <t>IMP-10; IMP-11</t>
        </is>
      </c>
      <c r="T93" s="115" t="inlineStr">
        <is>
          <t>Formulación_Ejes_2027</t>
        </is>
      </c>
      <c r="U93" s="115">
        <f>IF(I93=LEFT('Buscador_Formulación PAA 2027'!$C$4,3),COUNTIF($I$5:I93,LEFT('Buscador_Formulación PAA 2027'!$C$4,3)),"")</f>
        <v/>
      </c>
    </row>
    <row r="94" ht="15" customHeight="1" s="23">
      <c r="A94" s="115" t="inlineStr">
        <is>
          <t>E3-007</t>
        </is>
      </c>
      <c r="B94" s="115" t="inlineStr">
        <is>
          <t>3.2.1.2</t>
        </is>
      </c>
      <c r="C94" s="115" t="inlineStr">
        <is>
          <t>Extensión y proyección institucional</t>
        </is>
      </c>
      <c r="D94" s="115" t="inlineStr">
        <is>
          <t>3.2 Fortalecimiento de la innovación para la Proyección Institucional</t>
        </is>
      </c>
      <c r="E94" s="115" t="inlineStr">
        <is>
          <t>Generar ingresos para la ETITC mediante la comercialización de su portafolio de servicios, fortaleciendo su sostenibilidad financiera por vigencia.</t>
        </is>
      </c>
      <c r="F94" s="115" t="inlineStr">
        <is>
          <t>Ingresos por venta de servicios de extensión (millones $)</t>
        </is>
      </c>
      <c r="G94" s="115" t="inlineStr">
        <is>
          <t>Sugerida por la OAP: crecimiento sostenido del 7% anual</t>
        </is>
      </c>
      <c r="H94" s="115" t="inlineStr">
        <is>
          <t>Sugerida por la OAP: $590 millones, 7% anual sobre el recaudo 2025,</t>
        </is>
      </c>
      <c r="I94" s="115" t="inlineStr">
        <is>
          <t>A41</t>
        </is>
      </c>
      <c r="J94" s="115" t="inlineStr">
        <is>
          <t>141 · GIT Extensión y Proyección Social</t>
        </is>
      </c>
      <c r="K94" s="115" t="inlineStr">
        <is>
          <t>GIT Extensión y Proyección Social (incluye ETDH)</t>
        </is>
      </c>
      <c r="L94" s="115" t="inlineStr">
        <is>
          <t>Extensión y Proyección Social</t>
        </is>
      </c>
      <c r="M94" s="115" t="inlineStr">
        <is>
          <t>Responsable en el PAA 2026</t>
        </is>
      </c>
      <c r="N94" s="115" t="n">
        <v>15</v>
      </c>
      <c r="O94" s="115" t="n">
        <v>7</v>
      </c>
      <c r="P94" s="115" t="n">
        <v>8</v>
      </c>
      <c r="Q94" s="115" t="n">
        <v>0</v>
      </c>
      <c r="R94" s="115" t="inlineStr">
        <is>
          <t>Acción propuesta AC27.25: Aumentar los ingresos propios por venta de servicios con un plan comercial, una oferta empresarial y seguimiento trimestral del recaudo. Actividades a su cargo: A27-059 Definir precios y metas de venta por servicio; A27-060 Ofertar certificaciones, diplomados, consultorías y cursos a la medida para empresas. Cerrar o reprogramar en el SUIE los 8 productos 2026 pendientes de esta meta.</t>
        </is>
      </c>
      <c r="S94" s="115" t="inlineStr">
        <is>
          <t>IMP-17</t>
        </is>
      </c>
      <c r="T94" s="115" t="inlineStr">
        <is>
          <t>Formulación_Ejes_2027</t>
        </is>
      </c>
      <c r="U94" s="115">
        <f>IF(I94=LEFT('Buscador_Formulación PAA 2027'!$C$4,3),COUNTIF($I$5:I94,LEFT('Buscador_Formulación PAA 2027'!$C$4,3)),"")</f>
        <v/>
      </c>
    </row>
    <row r="95" ht="15" customHeight="1" s="23">
      <c r="A95" s="115" t="inlineStr">
        <is>
          <t>E3-008</t>
        </is>
      </c>
      <c r="B95" s="115" t="inlineStr">
        <is>
          <t>3.2.1.2</t>
        </is>
      </c>
      <c r="C95" s="115" t="inlineStr">
        <is>
          <t>Extensión y proyección institucional</t>
        </is>
      </c>
      <c r="D95" s="115" t="inlineStr">
        <is>
          <t>3.2 Fortalecimiento de la innovación para la Proyección Institucional</t>
        </is>
      </c>
      <c r="E95" s="115" t="inlineStr">
        <is>
          <t>Generar ingresos para la ETITC mediante la comercialización de su portafolio de servicios, fortaleciendo su sostenibilidad financiera por vigencia.</t>
        </is>
      </c>
      <c r="F95" s="115" t="inlineStr">
        <is>
          <t>Ingresos por venta de servicios de extensión (millones $)</t>
        </is>
      </c>
      <c r="G95" s="115" t="inlineStr">
        <is>
          <t>Sugerida por la OAP: crecimiento sostenido del 7% anual</t>
        </is>
      </c>
      <c r="H95" s="115" t="inlineStr">
        <is>
          <t>Sugerida por la OAP: $590 millones, 7% anual sobre el recaudo 2025,</t>
        </is>
      </c>
      <c r="I95" s="115" t="inlineStr">
        <is>
          <t>A47</t>
        </is>
      </c>
      <c r="J95" s="115" t="inlineStr">
        <is>
          <t>130 · Vicerrectoría Administrativa y Financiera</t>
        </is>
      </c>
      <c r="K95" s="115" t="inlineStr">
        <is>
          <t>Gestión Financiera (Presupuesto, Contabilidad, Tesorería)</t>
        </is>
      </c>
      <c r="L95" s="115" t="inlineStr">
        <is>
          <t>Gestión Financiera</t>
        </is>
      </c>
      <c r="M95" s="115" t="inlineStr">
        <is>
          <t>Acción propuesta PAA 2027</t>
        </is>
      </c>
      <c r="N95" s="115" t="n">
        <v>0</v>
      </c>
      <c r="O95" s="115" t="n">
        <v>0</v>
      </c>
      <c r="P95" s="115" t="n">
        <v>0</v>
      </c>
      <c r="Q95" s="115" t="n">
        <v>0</v>
      </c>
      <c r="R95" s="115" t="inlineStr">
        <is>
          <t>Acción propuesta AC27.25: Aumentar los ingresos propios por venta de servicios con un plan comercial, una oferta empresarial y seguimiento trimestral del recaudo. Actividades a su cargo: A27-061 Hacer seguimiento trimestral al recaudo con Gestión Financiera.</t>
        </is>
      </c>
      <c r="S95" s="115" t="inlineStr">
        <is>
          <t>IMP-17</t>
        </is>
      </c>
      <c r="T95" s="115" t="inlineStr">
        <is>
          <t>Formulación_Ejes_2027</t>
        </is>
      </c>
      <c r="U95" s="115">
        <f>IF(I95=LEFT('Buscador_Formulación PAA 2027'!$C$4,3),COUNTIF($I$5:I95,LEFT('Buscador_Formulación PAA 2027'!$C$4,3)),"")</f>
        <v/>
      </c>
    </row>
    <row r="96" ht="15" customHeight="1" s="23">
      <c r="A96" s="115" t="inlineStr">
        <is>
          <t>E3-009</t>
        </is>
      </c>
      <c r="B96" s="115" t="inlineStr">
        <is>
          <t>3.2.1.3</t>
        </is>
      </c>
      <c r="C96" s="115" t="inlineStr">
        <is>
          <t>Extensión y proyección institucional</t>
        </is>
      </c>
      <c r="D96" s="115" t="inlineStr">
        <is>
          <t>3.2 Fortalecimiento de la innovación para la Proyección Institucional</t>
        </is>
      </c>
      <c r="E96" s="115" t="inlineStr">
        <is>
          <t>Implementar mecanismos de retroalimentación continua de la oferta de programas de extensión y proyección social.</t>
        </is>
      </c>
      <c r="F96" s="115" t="inlineStr">
        <is>
          <t>N.° de mecanismos aplicados y % de ofertas evaluadas</t>
        </is>
      </c>
      <c r="G96" s="115" t="inlineStr">
        <is>
          <t>Sugerida por la OAP: 100% de las ofertas evaluadas cada periodo</t>
        </is>
      </c>
      <c r="H96" s="115" t="inlineStr">
        <is>
          <t>Sugerida por la OAP: 1 mecanismo institucional de retroalimentación aplicado al 100% de las ofertas de extensión 2027, con informe semestral</t>
        </is>
      </c>
      <c r="I96" s="115" t="inlineStr">
        <is>
          <t>A41</t>
        </is>
      </c>
      <c r="J96" s="115" t="inlineStr">
        <is>
          <t>141 · GIT Extensión y Proyección Social</t>
        </is>
      </c>
      <c r="K96" s="115" t="inlineStr">
        <is>
          <t>GIT Extensión y Proyección Social (incluye ETDH)</t>
        </is>
      </c>
      <c r="L96" s="115" t="inlineStr">
        <is>
          <t>Extensión y Proyección Social</t>
        </is>
      </c>
      <c r="M96" s="115" t="inlineStr">
        <is>
          <t>Responsable en el PAA 2026</t>
        </is>
      </c>
      <c r="N96" s="115" t="n">
        <v>7</v>
      </c>
      <c r="O96" s="115" t="n">
        <v>4</v>
      </c>
      <c r="P96" s="115" t="n">
        <v>3</v>
      </c>
      <c r="Q96" s="115" t="n">
        <v>0</v>
      </c>
      <c r="R96" s="115" t="inlineStr">
        <is>
          <t>Acción propuesta AC27.26: Instalar un ciclo de mejora continua de la oferta de extensión basado en la opinión de los participantes. Actividades a su cargo: A27-062 Diseñar el instrumento único de retroalimentación (satisfacción, pertinencia, aplicación en el trabajo); A27-063 Aplicarlo al cierre de cada oferta y consolidar resultados; A27-064 Ajustar el portafolio con base en los resultados. Cerrar o reprogramar en el SUIE los 3 productos 2026 pendientes de esta meta.</t>
        </is>
      </c>
      <c r="S96" s="115" t="inlineStr">
        <is>
          <t>IMP-18</t>
        </is>
      </c>
      <c r="T96" s="115" t="inlineStr">
        <is>
          <t>Formulación_Ejes_2027</t>
        </is>
      </c>
      <c r="U96" s="115">
        <f>IF(I96=LEFT('Buscador_Formulación PAA 2027'!$C$4,3),COUNTIF($I$5:I96,LEFT('Buscador_Formulación PAA 2027'!$C$4,3)),"")</f>
        <v/>
      </c>
    </row>
    <row r="97" ht="15" customHeight="1" s="23">
      <c r="A97" s="115" t="inlineStr">
        <is>
          <t>E3-010</t>
        </is>
      </c>
      <c r="B97" s="115" t="inlineStr">
        <is>
          <t>3.2.1.3</t>
        </is>
      </c>
      <c r="C97" s="115" t="inlineStr">
        <is>
          <t>Extensión y proyección institucional</t>
        </is>
      </c>
      <c r="D97" s="115" t="inlineStr">
        <is>
          <t>3.2 Fortalecimiento de la innovación para la Proyección Institucional</t>
        </is>
      </c>
      <c r="E97" s="115" t="inlineStr">
        <is>
          <t>Implementar mecanismos de retroalimentación continua de la oferta de programas de extensión y proyección social.</t>
        </is>
      </c>
      <c r="F97" s="115" t="inlineStr">
        <is>
          <t>N.° de mecanismos aplicados y % de ofertas evaluadas</t>
        </is>
      </c>
      <c r="G97" s="115" t="inlineStr">
        <is>
          <t>Sugerida por la OAP: 100% de las ofertas evaluadas cada periodo</t>
        </is>
      </c>
      <c r="H97" s="115" t="inlineStr">
        <is>
          <t>Sugerida por la OAP: 1 mecanismo institucional de retroalimentación aplicado al 100% de las ofertas de extensión 2027, con informe semestral</t>
        </is>
      </c>
      <c r="I97" s="115" t="inlineStr">
        <is>
          <t>A42</t>
        </is>
      </c>
      <c r="J97" s="115" t="inlineStr">
        <is>
          <t>141 · GIT Extensión y Proyección Social</t>
        </is>
      </c>
      <c r="K97" s="115" t="inlineStr">
        <is>
          <t>Centro de Lenguas (CEL)</t>
        </is>
      </c>
      <c r="L97" s="115" t="inlineStr">
        <is>
          <t>Extensión y Proyección Social</t>
        </is>
      </c>
      <c r="M97" s="115" t="inlineStr">
        <is>
          <t>Responsable en el PAA 2026</t>
        </is>
      </c>
      <c r="N97" s="115" t="n">
        <v>2</v>
      </c>
      <c r="O97" s="115" t="n">
        <v>1</v>
      </c>
      <c r="P97" s="115" t="n">
        <v>1</v>
      </c>
      <c r="Q97" s="115" t="n">
        <v>0</v>
      </c>
      <c r="R97" s="115" t="inlineStr">
        <is>
          <t>Aplicar el instrumento institucional de retroalimentación en los cursos de lenguas y ajustar la oferta con sus resultados. Cerrar o reprogramar en el SUIE el producto 2026 pendiente de esta meta.</t>
        </is>
      </c>
      <c r="S97" s="115" t="inlineStr">
        <is>
          <t>IMP-18</t>
        </is>
      </c>
      <c r="T97" s="115" t="inlineStr">
        <is>
          <t>Formulación_Ejes_2027</t>
        </is>
      </c>
      <c r="U97" s="115">
        <f>IF(I97=LEFT('Buscador_Formulación PAA 2027'!$C$4,3),COUNTIF($I$5:I97,LEFT('Buscador_Formulación PAA 2027'!$C$4,3)),"")</f>
        <v/>
      </c>
    </row>
    <row r="98" ht="15" customHeight="1" s="23">
      <c r="A98" s="115" t="inlineStr">
        <is>
          <t>E3-011</t>
        </is>
      </c>
      <c r="B98" s="115" t="inlineStr">
        <is>
          <t>3.2.1.4</t>
        </is>
      </c>
      <c r="C98" s="115" t="inlineStr">
        <is>
          <t>Extensión y proyección institucional</t>
        </is>
      </c>
      <c r="D98" s="115" t="inlineStr">
        <is>
          <t>3.2 Fortalecimiento de la innovación para la Proyección Institucional</t>
        </is>
      </c>
      <c r="E98" s="115" t="inlineStr">
        <is>
          <t>Alinear la formación en una segunda lengua en la ETITC con los estándares del Marco Común Europeo de Referencia para las Lenguas.</t>
        </is>
      </c>
      <c r="F98" s="115" t="inlineStr">
        <is>
          <t>% de cursos de segunda lengua alineados al MCER</t>
        </is>
      </c>
      <c r="G98" s="115" t="inlineStr">
        <is>
          <t>Sugerida por la OAP: 100% de los cursos alineados y certificados por nivel MCER</t>
        </is>
      </c>
      <c r="H98" s="115" t="inlineStr">
        <is>
          <t>Sugerida por la OAP: 100% de los cursos con syllabus y evaluación alineados a niveles MCER A1-B2, prueba de clasificación institucional y 2 cursos virtuales</t>
        </is>
      </c>
      <c r="I98" s="115" t="inlineStr">
        <is>
          <t>A42</t>
        </is>
      </c>
      <c r="J98" s="115" t="inlineStr">
        <is>
          <t>141 · GIT Extensión y Proyección Social</t>
        </is>
      </c>
      <c r="K98" s="115" t="inlineStr">
        <is>
          <t>Centro de Lenguas (CEL)</t>
        </is>
      </c>
      <c r="L98" s="115" t="inlineStr">
        <is>
          <t>Extensión y Proyección Social</t>
        </is>
      </c>
      <c r="M98" s="115" t="inlineStr">
        <is>
          <t>Responsable en el PAA 2026</t>
        </is>
      </c>
      <c r="N98" s="115" t="n">
        <v>4</v>
      </c>
      <c r="O98" s="115" t="n">
        <v>3</v>
      </c>
      <c r="P98" s="115" t="n">
        <v>1</v>
      </c>
      <c r="Q98" s="115" t="n">
        <v>0</v>
      </c>
      <c r="R98" s="115" t="inlineStr">
        <is>
          <t>Acción propuesta AC27.27: Alinear la formación en segunda lengua con el Marco Común Europeo de Referencia y ampliarla con oferta virtual. Actividades a su cargo: A27-065 Diagnosticar los cursos frente a los descriptores del MCER; A27-066 Ajustar syllabus, evaluación y prueba de clasificación; A27-067 Ofrecer 2 cursos virtuales de segunda lengua. Cerrar o reprogramar en el SUIE el producto 2026 pendiente de esta meta.</t>
        </is>
      </c>
      <c r="S98" s="115" t="inlineStr">
        <is>
          <t>IMP-11; IMP-07</t>
        </is>
      </c>
      <c r="T98" s="115" t="inlineStr">
        <is>
          <t>Formulación_Ejes_2027</t>
        </is>
      </c>
      <c r="U98" s="115">
        <f>IF(I98=LEFT('Buscador_Formulación PAA 2027'!$C$4,3),COUNTIF($I$5:I98,LEFT('Buscador_Formulación PAA 2027'!$C$4,3)),"")</f>
        <v/>
      </c>
    </row>
    <row r="99" ht="15" customHeight="1" s="23">
      <c r="A99" s="115" t="inlineStr">
        <is>
          <t>E3-012</t>
        </is>
      </c>
      <c r="B99" s="115" t="inlineStr">
        <is>
          <t>3.3.1.1</t>
        </is>
      </c>
      <c r="C99" s="115" t="inlineStr">
        <is>
          <t>Extensión y proyección institucional</t>
        </is>
      </c>
      <c r="D99" s="115" t="inlineStr">
        <is>
          <t>3.3 Interacción con el sector productivo y social</t>
        </is>
      </c>
      <c r="E99" s="115" t="inlineStr">
        <is>
          <t>Garantizar la participación y representación del 100% de la programación de la ETITC en eventos académicos, empresariales y de proyección social, de acuerdo con disponibilidad de recursos.</t>
        </is>
      </c>
      <c r="F99" s="115" t="inlineStr">
        <is>
          <t>% de la programación de eventos con participación institucional</t>
        </is>
      </c>
      <c r="G99" s="115" t="inlineStr">
        <is>
          <t>100%</t>
        </is>
      </c>
      <c r="H99" s="115" t="inlineStr">
        <is>
          <t>100% de la programación 2027</t>
        </is>
      </c>
      <c r="I99" s="115" t="inlineStr">
        <is>
          <t>A41</t>
        </is>
      </c>
      <c r="J99" s="115" t="inlineStr">
        <is>
          <t>141 · GIT Extensión y Proyección Social</t>
        </is>
      </c>
      <c r="K99" s="115" t="inlineStr">
        <is>
          <t>GIT Extensión y Proyección Social (incluye ETDH)</t>
        </is>
      </c>
      <c r="L99" s="115" t="inlineStr">
        <is>
          <t>Extensión y Proyección Social</t>
        </is>
      </c>
      <c r="M99" s="115" t="inlineStr">
        <is>
          <t>Responsable en el PAA 2026</t>
        </is>
      </c>
      <c r="N99" s="115" t="n">
        <v>2</v>
      </c>
      <c r="O99" s="115" t="n">
        <v>1</v>
      </c>
      <c r="P99" s="115" t="n">
        <v>1</v>
      </c>
      <c r="Q99" s="115" t="n">
        <v>0</v>
      </c>
      <c r="R99" s="115" t="inlineStr">
        <is>
          <t>Acción propuesta AC27.28: Asegurar la presencia institucional en los eventos académicos, empresariales y sociales que aportan a la misión, con una agenda anual priorizada. Actividades a su cargo: A27-068 Construir la agenda anual de eventos 2027 con criterios de pertinencia; A27-069 Participar en los eventos programados y promocionar la oferta institucional. Cerrar o reprogramar en el SUIE el producto 2026 pendiente de esta meta.</t>
        </is>
      </c>
      <c r="S99" s="115" t="inlineStr">
        <is>
          <t>IMP-04; IMP-16</t>
        </is>
      </c>
      <c r="T99" s="115" t="inlineStr">
        <is>
          <t>Formulación_Ejes_2027</t>
        </is>
      </c>
      <c r="U99" s="115">
        <f>IF(I99=LEFT('Buscador_Formulación PAA 2027'!$C$4,3),COUNTIF($I$5:I99,LEFT('Buscador_Formulación PAA 2027'!$C$4,3)),"")</f>
        <v/>
      </c>
    </row>
    <row r="100" ht="15" customHeight="1" s="23">
      <c r="A100" s="115" t="inlineStr">
        <is>
          <t>E3-013</t>
        </is>
      </c>
      <c r="B100" s="115" t="inlineStr">
        <is>
          <t>3.3.1.2</t>
        </is>
      </c>
      <c r="C100" s="115" t="inlineStr">
        <is>
          <t>Extensión y proyección institucional</t>
        </is>
      </c>
      <c r="D100" s="115" t="inlineStr">
        <is>
          <t>3.3 Interacción con el sector productivo y social</t>
        </is>
      </c>
      <c r="E100" s="115" t="inlineStr">
        <is>
          <t>Ejecutar el 100% del Plan Estratégico de Comunicación de la Vicerrectoría de Extensión y Proyección Social, asegurando su efectividad y alcance.</t>
        </is>
      </c>
      <c r="F100" s="115" t="inlineStr">
        <is>
          <t>% de ejecución del componente de comunicación de la extensión dentro del plan institucional</t>
        </is>
      </c>
      <c r="G100" s="115" t="inlineStr">
        <is>
          <t>100%</t>
        </is>
      </c>
      <c r="H100" s="115" t="inlineStr">
        <is>
          <t>Sugerida por la OAP: componente de comunicación de la extensión incluido en el plan institucional 2025 a 2032 y 100% de lo programado para 2027 ejecutado</t>
        </is>
      </c>
      <c r="I100" s="115" t="inlineStr">
        <is>
          <t>A02</t>
        </is>
      </c>
      <c r="J100" s="115" t="inlineStr">
        <is>
          <t>100 · Rectoría</t>
        </is>
      </c>
      <c r="K100" s="115" t="inlineStr">
        <is>
          <t>Comunicaciones y Mercadeo</t>
        </is>
      </c>
      <c r="L100" s="115" t="inlineStr">
        <is>
          <t>Gestión de Comunicaciones</t>
        </is>
      </c>
      <c r="M100" s="115" t="inlineStr">
        <is>
          <t>Asignación propuesta por la OAP</t>
        </is>
      </c>
      <c r="N100" s="115" t="n">
        <v>0</v>
      </c>
      <c r="O100" s="115" t="n">
        <v>0</v>
      </c>
      <c r="P100" s="115" t="n">
        <v>0</v>
      </c>
      <c r="Q100" s="115" t="n">
        <v>0</v>
      </c>
      <c r="R100" s="115" t="inlineStr">
        <is>
          <t>Acción propuesta AC27.29: Posicionar la oferta de extensión con un componente propio dentro del Plan Estratégico de Comunicaciones y medición de su alcance. Actividades a su cargo: A27-070 Incluir el componente de comunicación de la extensión en el Plan Estratégico de Comunicaciones 2025 a 2032; A27-072 Medir alcance y conversión (inscritos por campaña).</t>
        </is>
      </c>
      <c r="S100" s="115" t="inlineStr">
        <is>
          <t>IMP-16</t>
        </is>
      </c>
      <c r="T100" s="115" t="inlineStr">
        <is>
          <t>Formulación_Ejes_2027</t>
        </is>
      </c>
      <c r="U100" s="115">
        <f>IF(I100=LEFT('Buscador_Formulación PAA 2027'!$C$4,3),COUNTIF($I$5:I100,LEFT('Buscador_Formulación PAA 2027'!$C$4,3)),"")</f>
        <v/>
      </c>
    </row>
    <row r="101" ht="15" customHeight="1" s="23">
      <c r="A101" s="115" t="inlineStr">
        <is>
          <t>E3-014</t>
        </is>
      </c>
      <c r="B101" s="115" t="inlineStr">
        <is>
          <t>3.3.1.2</t>
        </is>
      </c>
      <c r="C101" s="115" t="inlineStr">
        <is>
          <t>Extensión y proyección institucional</t>
        </is>
      </c>
      <c r="D101" s="115" t="inlineStr">
        <is>
          <t>3.3 Interacción con el sector productivo y social</t>
        </is>
      </c>
      <c r="E101" s="115" t="inlineStr">
        <is>
          <t>Ejecutar el 100% del Plan Estratégico de Comunicación de la Vicerrectoría de Extensión y Proyección Social, asegurando su efectividad y alcance.</t>
        </is>
      </c>
      <c r="F101" s="115" t="inlineStr">
        <is>
          <t>% de ejecución del componente de comunicación de la extensión dentro del plan institucional</t>
        </is>
      </c>
      <c r="G101" s="115" t="inlineStr">
        <is>
          <t>100%</t>
        </is>
      </c>
      <c r="H101" s="115" t="inlineStr">
        <is>
          <t>Sugerida por la OAP: componente de comunicación de la extensión incluido en el plan institucional 2025 a 2032 y 100% de lo programado para 2027 ejecutado</t>
        </is>
      </c>
      <c r="I101" s="115" t="inlineStr">
        <is>
          <t>A41</t>
        </is>
      </c>
      <c r="J101" s="115" t="inlineStr">
        <is>
          <t>141 · GIT Extensión y Proyección Social</t>
        </is>
      </c>
      <c r="K101" s="115" t="inlineStr">
        <is>
          <t>GIT Extensión y Proyección Social (incluye ETDH)</t>
        </is>
      </c>
      <c r="L101" s="115" t="inlineStr">
        <is>
          <t>Extensión y Proyección Social</t>
        </is>
      </c>
      <c r="M101" s="115" t="inlineStr">
        <is>
          <t>Asignación propuesta por la OAP</t>
        </is>
      </c>
      <c r="N101" s="115" t="n">
        <v>0</v>
      </c>
      <c r="O101" s="115" t="n">
        <v>0</v>
      </c>
      <c r="P101" s="115" t="n">
        <v>0</v>
      </c>
      <c r="Q101" s="115" t="n">
        <v>0</v>
      </c>
      <c r="R101" s="115" t="inlineStr">
        <is>
          <t>Acción propuesta AC27.29: Posicionar la oferta de extensión con un componente propio dentro del Plan Estratégico de Comunicaciones y medición de su alcance. Actividades a su cargo: A27-071 Ejecutar las piezas y campañas de la oferta de extensión.</t>
        </is>
      </c>
      <c r="S101" s="115" t="inlineStr">
        <is>
          <t>IMP-16</t>
        </is>
      </c>
      <c r="T101" s="115" t="inlineStr">
        <is>
          <t>Formulación_Ejes_2027</t>
        </is>
      </c>
      <c r="U101" s="115">
        <f>IF(I101=LEFT('Buscador_Formulación PAA 2027'!$C$4,3),COUNTIF($I$5:I101,LEFT('Buscador_Formulación PAA 2027'!$C$4,3)),"")</f>
        <v/>
      </c>
    </row>
    <row r="102" ht="15" customHeight="1" s="23">
      <c r="A102" s="115" t="inlineStr">
        <is>
          <t>E3-015</t>
        </is>
      </c>
      <c r="B102" s="115" t="inlineStr">
        <is>
          <t>3.3.1.3</t>
        </is>
      </c>
      <c r="C102" s="115" t="inlineStr">
        <is>
          <t>Extensión y proyección institucional</t>
        </is>
      </c>
      <c r="D102" s="115" t="inlineStr">
        <is>
          <t>3.3 Interacción con el sector productivo y social</t>
        </is>
      </c>
      <c r="E102" s="115" t="inlineStr">
        <is>
          <t>Establecer convenios y fortalecer redes de colaboración con sectores productivos, sociales y educativos, tanto públicos como privados.</t>
        </is>
      </c>
      <c r="F102" s="115" t="inlineStr">
        <is>
          <t>N.° de convenios y redes activos</t>
        </is>
      </c>
      <c r="G102" s="115" t="inlineStr">
        <is>
          <t>Sugerida por la OAP: 90 convenios activos</t>
        </is>
      </c>
      <c r="H102" s="115" t="inlineStr">
        <is>
          <t>Sugerida por la OAP: 75 convenios activos, renovación de los que vencen y 4 nuevos, y 2 redes nuevas</t>
        </is>
      </c>
      <c r="I102" s="115" t="inlineStr">
        <is>
          <t>A03</t>
        </is>
      </c>
      <c r="J102" s="115" t="inlineStr">
        <is>
          <t>100 · Rectoría</t>
        </is>
      </c>
      <c r="K102" s="115" t="inlineStr">
        <is>
          <t>Internacionalización (ORII)</t>
        </is>
      </c>
      <c r="L102" s="115" t="inlineStr">
        <is>
          <t>Gestión de Internacionalización</t>
        </is>
      </c>
      <c r="M102" s="115" t="inlineStr">
        <is>
          <t>Acción propuesta PAA 2027</t>
        </is>
      </c>
      <c r="N102" s="115" t="n">
        <v>0</v>
      </c>
      <c r="O102" s="115" t="n">
        <v>0</v>
      </c>
      <c r="P102" s="115" t="n">
        <v>0</v>
      </c>
      <c r="Q102" s="115" t="n">
        <v>0</v>
      </c>
      <c r="R102" s="115" t="inlineStr">
        <is>
          <t>Acción propuesta AC27.30: Depurar, renovar y ampliar los convenios y las redes de colaboración, de modo que cada convenio vigente tenga uso real. Actividades a su cargo: A27-075 Afiliarse a 2 redes nuevas (por ejemplo, RIUC y renovación RCI ASCUN).</t>
        </is>
      </c>
      <c r="S102" s="115" t="inlineStr">
        <is>
          <t>IMP-03; IMP-04</t>
        </is>
      </c>
      <c r="T102" s="115" t="inlineStr">
        <is>
          <t>Formulación_Ejes_2027</t>
        </is>
      </c>
      <c r="U102" s="115">
        <f>IF(I102=LEFT('Buscador_Formulación PAA 2027'!$C$4,3),COUNTIF($I$5:I102,LEFT('Buscador_Formulación PAA 2027'!$C$4,3)),"")</f>
        <v/>
      </c>
    </row>
    <row r="103" ht="15" customHeight="1" s="23">
      <c r="A103" s="115" t="inlineStr">
        <is>
          <t>E3-016</t>
        </is>
      </c>
      <c r="B103" s="115" t="inlineStr">
        <is>
          <t>3.3.1.3</t>
        </is>
      </c>
      <c r="C103" s="115" t="inlineStr">
        <is>
          <t>Extensión y proyección institucional</t>
        </is>
      </c>
      <c r="D103" s="115" t="inlineStr">
        <is>
          <t>3.3 Interacción con el sector productivo y social</t>
        </is>
      </c>
      <c r="E103" s="115" t="inlineStr">
        <is>
          <t>Establecer convenios y fortalecer redes de colaboración con sectores productivos, sociales y educativos, tanto públicos como privados.</t>
        </is>
      </c>
      <c r="F103" s="115" t="inlineStr">
        <is>
          <t>N.° de convenios y redes activos</t>
        </is>
      </c>
      <c r="G103" s="115" t="inlineStr">
        <is>
          <t>Sugerida por la OAP: 90 convenios activos</t>
        </is>
      </c>
      <c r="H103" s="115" t="inlineStr">
        <is>
          <t>Sugerida por la OAP: 75 convenios activos, renovación de los que vencen y 4 nuevos, y 2 redes nuevas</t>
        </is>
      </c>
      <c r="I103" s="115" t="inlineStr">
        <is>
          <t>A41</t>
        </is>
      </c>
      <c r="J103" s="115" t="inlineStr">
        <is>
          <t>141 · GIT Extensión y Proyección Social</t>
        </is>
      </c>
      <c r="K103" s="115" t="inlineStr">
        <is>
          <t>GIT Extensión y Proyección Social (incluye ETDH)</t>
        </is>
      </c>
      <c r="L103" s="115" t="inlineStr">
        <is>
          <t>Extensión y Proyección Social</t>
        </is>
      </c>
      <c r="M103" s="115" t="inlineStr">
        <is>
          <t>Responsable en el PAA 2026</t>
        </is>
      </c>
      <c r="N103" s="115" t="n">
        <v>4</v>
      </c>
      <c r="O103" s="115" t="n">
        <v>2</v>
      </c>
      <c r="P103" s="115" t="n">
        <v>2</v>
      </c>
      <c r="Q103" s="115" t="n">
        <v>0</v>
      </c>
      <c r="R103" s="115" t="inlineStr">
        <is>
          <t>Acción propuesta AC27.30: Depurar, renovar y ampliar los convenios y las redes de colaboración, de modo que cada convenio vigente tenga uso real. Actividades a su cargo: A27-073 Revisar el vencimiento y el uso de los 71 convenios activos; A27-074 Renovar los convenios útiles que vencen y gestionar 4 nuevos. Cerrar o reprogramar en el SUIE los 2 productos 2026 pendientes de esta meta.</t>
        </is>
      </c>
      <c r="S103" s="115" t="inlineStr">
        <is>
          <t>IMP-03; IMP-04</t>
        </is>
      </c>
      <c r="T103" s="115" t="inlineStr">
        <is>
          <t>Formulación_Ejes_2027</t>
        </is>
      </c>
      <c r="U103" s="115">
        <f>IF(I103=LEFT('Buscador_Formulación PAA 2027'!$C$4,3),COUNTIF($I$5:I103,LEFT('Buscador_Formulación PAA 2027'!$C$4,3)),"")</f>
        <v/>
      </c>
    </row>
    <row r="104" ht="15" customHeight="1" s="23">
      <c r="A104" s="115" t="inlineStr">
        <is>
          <t>E4-001</t>
        </is>
      </c>
      <c r="B104" s="115" t="inlineStr">
        <is>
          <t>4.1.1.1</t>
        </is>
      </c>
      <c r="C104" s="115" t="inlineStr">
        <is>
          <t>Transformación institucional</t>
        </is>
      </c>
      <c r="D104" s="115" t="inlineStr">
        <is>
          <t>4.1 Dimensión estratégica</t>
        </is>
      </c>
      <c r="E104" s="115" t="inlineStr">
        <is>
          <t>Cumplir al 2032 con el 90% en el Plan de Desarrollo Institucional 2025-2032 de la ETITC.</t>
        </is>
      </c>
      <c r="F104" s="115" t="inlineStr">
        <is>
          <t>% de avance acumulado del PDI</t>
        </is>
      </c>
      <c r="G104" s="115" t="inlineStr">
        <is>
          <t>90%</t>
        </is>
      </c>
      <c r="H104" s="115" t="inlineStr">
        <is>
          <t>33% de avance acumulado del PDI</t>
        </is>
      </c>
      <c r="I104" s="115" t="inlineStr">
        <is>
          <t>A01</t>
        </is>
      </c>
      <c r="J104" s="115" t="inlineStr">
        <is>
          <t>100 · Rectoría</t>
        </is>
      </c>
      <c r="K104" s="115" t="inlineStr">
        <is>
          <t>Despacho de Rectoría</t>
        </is>
      </c>
      <c r="L104" s="115" t="inlineStr">
        <is>
          <t>Direccionamiento Institucional</t>
        </is>
      </c>
      <c r="M104" s="115" t="inlineStr">
        <is>
          <t>Acción propuesta PAA 2027</t>
        </is>
      </c>
      <c r="N104" s="115" t="n">
        <v>0</v>
      </c>
      <c r="O104" s="115" t="n">
        <v>0</v>
      </c>
      <c r="P104" s="115" t="n">
        <v>0</v>
      </c>
      <c r="Q104" s="115" t="n">
        <v>0</v>
      </c>
      <c r="R104" s="115" t="inlineStr">
        <is>
          <t>Acción propuesta AC27.32: Adelantar los trámites de transformación de la ETITC en universidad. Actividades a su cargo: A27-079 Adelantar los trámites de transformación a universidad (Ley 30 de 1992, Ley 749 de 2002).</t>
        </is>
      </c>
      <c r="S104" s="115" t="inlineStr">
        <is>
          <t>IMP-14; IMP-18</t>
        </is>
      </c>
      <c r="T104" s="115" t="inlineStr">
        <is>
          <t>Formulación_Ejes_2027</t>
        </is>
      </c>
      <c r="U104" s="115">
        <f>IF(I104=LEFT('Buscador_Formulación PAA 2027'!$C$4,3),COUNTIF($I$5:I104,LEFT('Buscador_Formulación PAA 2027'!$C$4,3)),"")</f>
        <v/>
      </c>
    </row>
    <row r="105" ht="15" customHeight="1" s="23">
      <c r="A105" s="115" t="inlineStr">
        <is>
          <t>E4-002</t>
        </is>
      </c>
      <c r="B105" s="115" t="inlineStr">
        <is>
          <t>4.1.1.1</t>
        </is>
      </c>
      <c r="C105" s="115" t="inlineStr">
        <is>
          <t>Transformación institucional</t>
        </is>
      </c>
      <c r="D105" s="115" t="inlineStr">
        <is>
          <t>4.1 Dimensión estratégica</t>
        </is>
      </c>
      <c r="E105" s="115" t="inlineStr">
        <is>
          <t>Cumplir al 2032 con el 90% en el Plan de Desarrollo Institucional 2025-2032 de la ETITC.</t>
        </is>
      </c>
      <c r="F105" s="115" t="inlineStr">
        <is>
          <t>% de avance acumulado del PDI</t>
        </is>
      </c>
      <c r="G105" s="115" t="inlineStr">
        <is>
          <t>90%</t>
        </is>
      </c>
      <c r="H105" s="115" t="inlineStr">
        <is>
          <t>33% de avance acumulado del PDI</t>
        </is>
      </c>
      <c r="I105" s="115" t="inlineStr">
        <is>
          <t>A04</t>
        </is>
      </c>
      <c r="J105" s="115" t="inlineStr">
        <is>
          <t>102 · Control Interno</t>
        </is>
      </c>
      <c r="K105" s="115" t="inlineStr">
        <is>
          <t>Control Interno</t>
        </is>
      </c>
      <c r="L105" s="115" t="inlineStr">
        <is>
          <t>Gestión de Control Interno</t>
        </is>
      </c>
      <c r="M105" s="115" t="inlineStr">
        <is>
          <t>Asignación por funciones del área</t>
        </is>
      </c>
      <c r="N105" s="115" t="n">
        <v>0</v>
      </c>
      <c r="O105" s="115" t="n">
        <v>0</v>
      </c>
      <c r="P105" s="115" t="n">
        <v>0</v>
      </c>
      <c r="Q105" s="115" t="n">
        <v>0</v>
      </c>
      <c r="R105" s="115" t="inlineStr">
        <is>
          <t>Como tercera línea de defensa, realizar la evaluación de la gestión por dependencias con base en el Plan de Acción 2027 (artículo 39 de la Ley 909 de 2004) y los seguimientos independientes al avance del PDI que se presentan al Comité Institucional de Coordinación de Control Interno.</t>
        </is>
      </c>
      <c r="S105" s="115" t="inlineStr">
        <is>
          <t>IMP-14; IMP-18</t>
        </is>
      </c>
      <c r="T105" s="115" t="inlineStr">
        <is>
          <t>Formulación_Ejes_2027</t>
        </is>
      </c>
      <c r="U105" s="115">
        <f>IF(I105=LEFT('Buscador_Formulación PAA 2027'!$C$4,3),COUNTIF($I$5:I105,LEFT('Buscador_Formulación PAA 2027'!$C$4,3)),"")</f>
        <v/>
      </c>
    </row>
    <row r="106" ht="15" customHeight="1" s="23">
      <c r="A106" s="115" t="inlineStr">
        <is>
          <t>E4-003</t>
        </is>
      </c>
      <c r="B106" s="115" t="inlineStr">
        <is>
          <t>4.1.1.1</t>
        </is>
      </c>
      <c r="C106" s="115" t="inlineStr">
        <is>
          <t>Transformación institucional</t>
        </is>
      </c>
      <c r="D106" s="115" t="inlineStr">
        <is>
          <t>4.1 Dimensión estratégica</t>
        </is>
      </c>
      <c r="E106" s="115" t="inlineStr">
        <is>
          <t>Cumplir al 2032 con el 90% en el Plan de Desarrollo Institucional 2025-2032 de la ETITC.</t>
        </is>
      </c>
      <c r="F106" s="115" t="inlineStr">
        <is>
          <t>% de avance acumulado del PDI</t>
        </is>
      </c>
      <c r="G106" s="115" t="inlineStr">
        <is>
          <t>90%</t>
        </is>
      </c>
      <c r="H106" s="115" t="inlineStr">
        <is>
          <t>33% de avance acumulado del PDI</t>
        </is>
      </c>
      <c r="I106" s="115" t="inlineStr">
        <is>
          <t>A05</t>
        </is>
      </c>
      <c r="J106" s="115" t="inlineStr">
        <is>
          <t>101 · Oficina Asesora de Planeación y Desarrollo Institucional</t>
        </is>
      </c>
      <c r="K106" s="115" t="inlineStr">
        <is>
          <t>Planeación y Plan de Acción</t>
        </is>
      </c>
      <c r="L106" s="115" t="inlineStr">
        <is>
          <t>Direccionamiento Institucional</t>
        </is>
      </c>
      <c r="M106" s="115" t="inlineStr">
        <is>
          <t>Responsable en el PAA 2026</t>
        </is>
      </c>
      <c r="N106" s="115" t="n">
        <v>4</v>
      </c>
      <c r="O106" s="115" t="n">
        <v>0</v>
      </c>
      <c r="P106" s="115" t="n">
        <v>4</v>
      </c>
      <c r="Q106" s="115" t="n">
        <v>2</v>
      </c>
      <c r="R106" s="115" t="inlineStr">
        <is>
          <t>Acción propuesta AC27.31: Fortalecer el seguimiento del PDI para que el avance reportado corresponda a productos pertinentes y verificables. Actividades a su cargo: A27-076 Adoptar el protocolo de mesas de trabajo en el SGC; A27-077 Extender la revisión de pertinencia a todos los productos ejecutados; A27-078 Hacer seguimiento trimestral del PAA 2027 en el Navegador Estratégico. Con esta acción se atienden compromisos pendientes de 2026 de los proyectos estructurantes. Cerrar o reprogramar en el SUIE los 4 productos 2026 pendientes de esta meta.</t>
        </is>
      </c>
      <c r="S106" s="115" t="inlineStr">
        <is>
          <t>IMP-14; IMP-18</t>
        </is>
      </c>
      <c r="T106" s="115" t="inlineStr">
        <is>
          <t>Formulación_Ejes_2027</t>
        </is>
      </c>
      <c r="U106" s="115">
        <f>IF(I106=LEFT('Buscador_Formulación PAA 2027'!$C$4,3),COUNTIF($I$5:I106,LEFT('Buscador_Formulación PAA 2027'!$C$4,3)),"")</f>
        <v/>
      </c>
    </row>
    <row r="107" ht="15" customHeight="1" s="23">
      <c r="A107" s="115" t="inlineStr">
        <is>
          <t>E4-004</t>
        </is>
      </c>
      <c r="B107" s="115" t="inlineStr">
        <is>
          <t>4.1.1.2</t>
        </is>
      </c>
      <c r="C107" s="115" t="inlineStr">
        <is>
          <t>Transformación institucional</t>
        </is>
      </c>
      <c r="D107" s="115" t="inlineStr">
        <is>
          <t>4.1 Dimensión estratégica</t>
        </is>
      </c>
      <c r="E107" s="115" t="inlineStr">
        <is>
          <t>Alcanzar el 92% en el Índice de Desempeño Institucional del FURAG.</t>
        </is>
      </c>
      <c r="F107" s="115" t="inlineStr">
        <is>
          <t>Índice de Desempeño Institucional (FURAG)</t>
        </is>
      </c>
      <c r="G107" s="115" t="inlineStr">
        <is>
          <t>92%</t>
        </is>
      </c>
      <c r="H107" s="115" t="inlineStr">
        <is>
          <t>Sugerida por la OAP: 90%, la trayectoria lineal de 87,7% en 2024 a 92% en 2032 da 89,3% en 2027,</t>
        </is>
      </c>
      <c r="I107" s="115" t="inlineStr">
        <is>
          <t>A04</t>
        </is>
      </c>
      <c r="J107" s="115" t="inlineStr">
        <is>
          <t>102 · Control Interno</t>
        </is>
      </c>
      <c r="K107" s="115" t="inlineStr">
        <is>
          <t>Control Interno</t>
        </is>
      </c>
      <c r="L107" s="115" t="inlineStr">
        <is>
          <t>Gestión de Control Interno</t>
        </is>
      </c>
      <c r="M107" s="115" t="inlineStr">
        <is>
          <t>Asignación por funciones del área</t>
        </is>
      </c>
      <c r="N107" s="115" t="n">
        <v>0</v>
      </c>
      <c r="O107" s="115" t="n">
        <v>0</v>
      </c>
      <c r="P107" s="115" t="n">
        <v>0</v>
      </c>
      <c r="Q107" s="115" t="n">
        <v>0</v>
      </c>
      <c r="R107" s="115" t="inlineStr">
        <is>
          <t>Ejecutar el Programa Anual de Auditoría Interna aprobado por el Comité Institucional de Coordinación de Control Interno, realizar la evaluación independiente del Sistema de Control Interno y la evaluación del control interno contable ante la Contaduría General, y hacer seguimiento al Plan de Mejoramiento suscrito con la Contraloría General. Estos resultados alimentan la dimensión de control interno del FURAG.</t>
        </is>
      </c>
      <c r="S107" s="115" t="inlineStr">
        <is>
          <t>IMP-14; IMP-15</t>
        </is>
      </c>
      <c r="T107" s="115" t="inlineStr">
        <is>
          <t>Formulación_Ejes_2027</t>
        </is>
      </c>
      <c r="U107" s="115">
        <f>IF(I107=LEFT('Buscador_Formulación PAA 2027'!$C$4,3),COUNTIF($I$5:I107,LEFT('Buscador_Formulación PAA 2027'!$C$4,3)),"")</f>
        <v/>
      </c>
    </row>
    <row r="108" ht="15" customHeight="1" s="23">
      <c r="A108" s="115" t="inlineStr">
        <is>
          <t>E4-005</t>
        </is>
      </c>
      <c r="B108" s="115" t="inlineStr">
        <is>
          <t>4.1.1.2</t>
        </is>
      </c>
      <c r="C108" s="115" t="inlineStr">
        <is>
          <t>Transformación institucional</t>
        </is>
      </c>
      <c r="D108" s="115" t="inlineStr">
        <is>
          <t>4.1 Dimensión estratégica</t>
        </is>
      </c>
      <c r="E108" s="115" t="inlineStr">
        <is>
          <t>Alcanzar el 92% en el Índice de Desempeño Institucional del FURAG.</t>
        </is>
      </c>
      <c r="F108" s="115" t="inlineStr">
        <is>
          <t>Índice de Desempeño Institucional (FURAG)</t>
        </is>
      </c>
      <c r="G108" s="115" t="inlineStr">
        <is>
          <t>92%</t>
        </is>
      </c>
      <c r="H108" s="115" t="inlineStr">
        <is>
          <t>Sugerida por la OAP: 90%, la trayectoria lineal de 87,7% en 2024 a 92% en 2032 da 89,3% en 2027,</t>
        </is>
      </c>
      <c r="I108" s="115" t="inlineStr">
        <is>
          <t>A05</t>
        </is>
      </c>
      <c r="J108" s="115" t="inlineStr">
        <is>
          <t>101 · Oficina Asesora de Planeación y Desarrollo Institucional</t>
        </is>
      </c>
      <c r="K108" s="115" t="inlineStr">
        <is>
          <t>Planeación y Plan de Acción</t>
        </is>
      </c>
      <c r="L108" s="115" t="inlineStr">
        <is>
          <t>Direccionamiento Institucional</t>
        </is>
      </c>
      <c r="M108" s="115" t="inlineStr">
        <is>
          <t>Compromiso de proyecto estructurante</t>
        </is>
      </c>
      <c r="N108" s="115" t="n">
        <v>0</v>
      </c>
      <c r="O108" s="115" t="n">
        <v>0</v>
      </c>
      <c r="P108" s="115" t="n">
        <v>0</v>
      </c>
      <c r="Q108" s="115" t="n">
        <v>1</v>
      </c>
      <c r="R108" s="115" t="inlineStr">
        <is>
          <t>Adoptar un solo calendario de remisión de insumos para el informe a la Comisión Legal de Cuentas, con fechas y responsables por dependencia.</t>
        </is>
      </c>
      <c r="S108" s="115" t="inlineStr">
        <is>
          <t>IMP-14; IMP-15</t>
        </is>
      </c>
      <c r="T108" s="115" t="inlineStr">
        <is>
          <t>Formulación_Ejes_2027</t>
        </is>
      </c>
      <c r="U108" s="115">
        <f>IF(I108=LEFT('Buscador_Formulación PAA 2027'!$C$4,3),COUNTIF($I$5:I108,LEFT('Buscador_Formulación PAA 2027'!$C$4,3)),"")</f>
        <v/>
      </c>
    </row>
    <row r="109" ht="15" customHeight="1" s="23">
      <c r="A109" s="115" t="inlineStr">
        <is>
          <t>E4-006</t>
        </is>
      </c>
      <c r="B109" s="115" t="inlineStr">
        <is>
          <t>4.1.1.2</t>
        </is>
      </c>
      <c r="C109" s="115" t="inlineStr">
        <is>
          <t>Transformación institucional</t>
        </is>
      </c>
      <c r="D109" s="115" t="inlineStr">
        <is>
          <t>4.1 Dimensión estratégica</t>
        </is>
      </c>
      <c r="E109" s="115" t="inlineStr">
        <is>
          <t>Alcanzar el 92% en el Índice de Desempeño Institucional del FURAG.</t>
        </is>
      </c>
      <c r="F109" s="115" t="inlineStr">
        <is>
          <t>Índice de Desempeño Institucional (FURAG)</t>
        </is>
      </c>
      <c r="G109" s="115" t="inlineStr">
        <is>
          <t>92%</t>
        </is>
      </c>
      <c r="H109" s="115" t="inlineStr">
        <is>
          <t>Sugerida por la OAP: 90%, la trayectoria lineal de 87,7% en 2024 a 92% en 2032 da 89,3% en 2027,</t>
        </is>
      </c>
      <c r="I109" s="115" t="inlineStr">
        <is>
          <t>A08</t>
        </is>
      </c>
      <c r="J109" s="115" t="inlineStr">
        <is>
          <t>101 · Oficina Asesora de Planeación y Desarrollo Institucional</t>
        </is>
      </c>
      <c r="K109" s="115" t="inlineStr">
        <is>
          <t>Aseguramiento de la Calidad, MIPG y Registros Calificados</t>
        </is>
      </c>
      <c r="L109" s="115" t="inlineStr">
        <is>
          <t>Gestión del Sistema Integrado de Aseguramiento</t>
        </is>
      </c>
      <c r="M109" s="115" t="inlineStr">
        <is>
          <t>Responsable en el PAA 2026</t>
        </is>
      </c>
      <c r="N109" s="115" t="n">
        <v>2</v>
      </c>
      <c r="O109" s="115" t="n">
        <v>0</v>
      </c>
      <c r="P109" s="115" t="n">
        <v>2</v>
      </c>
      <c r="Q109" s="115" t="n">
        <v>0</v>
      </c>
      <c r="R109" s="115" t="inlineStr">
        <is>
          <t>Acción propuesta AC27.33: Mejorar el desempeño institucional en el FURAG con un plan de mejora por política del MIPG y el cumplimiento del plan suscrito con la Contraloría. Actividades a su cargo: A27-080 Formular el plan de mejora por política MIPG con base en el último FURAG. Cerrar o reprogramar en el SUIE los 2 productos 2026 pendientes de esta meta.</t>
        </is>
      </c>
      <c r="S109" s="115" t="inlineStr">
        <is>
          <t>IMP-14; IMP-15</t>
        </is>
      </c>
      <c r="T109" s="115" t="inlineStr">
        <is>
          <t>Formulación_Ejes_2027</t>
        </is>
      </c>
      <c r="U109" s="115">
        <f>IF(I109=LEFT('Buscador_Formulación PAA 2027'!$C$4,3),COUNTIF($I$5:I109,LEFT('Buscador_Formulación PAA 2027'!$C$4,3)),"")</f>
        <v/>
      </c>
    </row>
    <row r="110" ht="15" customHeight="1" s="23">
      <c r="A110" s="115" t="inlineStr">
        <is>
          <t>E4-007</t>
        </is>
      </c>
      <c r="B110" s="115" t="inlineStr">
        <is>
          <t>4.1.1.2</t>
        </is>
      </c>
      <c r="C110" s="115" t="inlineStr">
        <is>
          <t>Transformación institucional</t>
        </is>
      </c>
      <c r="D110" s="115" t="inlineStr">
        <is>
          <t>4.1 Dimensión estratégica</t>
        </is>
      </c>
      <c r="E110" s="115" t="inlineStr">
        <is>
          <t>Alcanzar el 92% en el Índice de Desempeño Institucional del FURAG.</t>
        </is>
      </c>
      <c r="F110" s="115" t="inlineStr">
        <is>
          <t>Índice de Desempeño Institucional (FURAG)</t>
        </is>
      </c>
      <c r="G110" s="115" t="inlineStr">
        <is>
          <t>92%</t>
        </is>
      </c>
      <c r="H110" s="115" t="inlineStr">
        <is>
          <t>Sugerida por la OAP: 90%, la trayectoria lineal de 87,7% en 2024 a 92% en 2032 da 89,3% en 2027,</t>
        </is>
      </c>
      <c r="I110" s="115" t="inlineStr">
        <is>
          <t>A09</t>
        </is>
      </c>
      <c r="J110" s="115" t="inlineStr">
        <is>
          <t>132 · GIT Gestión de Informática y Telecomunicaciones</t>
        </is>
      </c>
      <c r="K110" s="115" t="inlineStr">
        <is>
          <t>Seguridad Digital y Continuidad</t>
        </is>
      </c>
      <c r="L110" s="115" t="inlineStr">
        <is>
          <t>Gestión de Informática y Telecomunicaciones</t>
        </is>
      </c>
      <c r="M110" s="115" t="inlineStr">
        <is>
          <t>Responsable en el PAA 2026</t>
        </is>
      </c>
      <c r="N110" s="115" t="n">
        <v>30</v>
      </c>
      <c r="O110" s="115" t="n">
        <v>13</v>
      </c>
      <c r="P110" s="115" t="n">
        <v>17</v>
      </c>
      <c r="Q110" s="115" t="n">
        <v>0</v>
      </c>
      <c r="R110" s="115" t="inlineStr">
        <is>
          <t>Avanzar en la Política de Seguridad Digital del MIPG con el plan de seguridad y privacidad de la información y su plan de tratamiento de riesgos. Cerrar o reprogramar en el SUIE los 17 productos 2026 pendientes de esta meta.</t>
        </is>
      </c>
      <c r="S110" s="115" t="inlineStr">
        <is>
          <t>IMP-14; IMP-15</t>
        </is>
      </c>
      <c r="T110" s="115" t="inlineStr">
        <is>
          <t>Formulación_Ejes_2027</t>
        </is>
      </c>
      <c r="U110" s="115">
        <f>IF(I110=LEFT('Buscador_Formulación PAA 2027'!$C$4,3),COUNTIF($I$5:I110,LEFT('Buscador_Formulación PAA 2027'!$C$4,3)),"")</f>
        <v/>
      </c>
    </row>
    <row r="111" ht="15" customHeight="1" s="23">
      <c r="A111" s="115" t="inlineStr">
        <is>
          <t>E4-008</t>
        </is>
      </c>
      <c r="B111" s="115" t="inlineStr">
        <is>
          <t>4.1.1.2</t>
        </is>
      </c>
      <c r="C111" s="115" t="inlineStr">
        <is>
          <t>Transformación institucional</t>
        </is>
      </c>
      <c r="D111" s="115" t="inlineStr">
        <is>
          <t>4.1 Dimensión estratégica</t>
        </is>
      </c>
      <c r="E111" s="115" t="inlineStr">
        <is>
          <t>Alcanzar el 92% en el Índice de Desempeño Institucional del FURAG.</t>
        </is>
      </c>
      <c r="F111" s="115" t="inlineStr">
        <is>
          <t>Índice de Desempeño Institucional (FURAG)</t>
        </is>
      </c>
      <c r="G111" s="115" t="inlineStr">
        <is>
          <t>92%</t>
        </is>
      </c>
      <c r="H111" s="115" t="inlineStr">
        <is>
          <t>Sugerida por la OAP: 90%, la trayectoria lineal de 87,7% en 2024 a 92% en 2032 da 89,3% en 2027,</t>
        </is>
      </c>
      <c r="I111" s="115" t="inlineStr">
        <is>
          <t>A11</t>
        </is>
      </c>
      <c r="J111" s="115" t="inlineStr">
        <is>
          <t>110 · Secretaría General</t>
        </is>
      </c>
      <c r="K111" s="115" t="inlineStr">
        <is>
          <t>Despacho de Secretaría General</t>
        </is>
      </c>
      <c r="L111" s="115" t="inlineStr">
        <is>
          <t>Direccionamiento Institucional</t>
        </is>
      </c>
      <c r="M111" s="115" t="inlineStr">
        <is>
          <t>Compromiso de proyecto estructurante</t>
        </is>
      </c>
      <c r="N111" s="115" t="n">
        <v>0</v>
      </c>
      <c r="O111" s="115" t="n">
        <v>0</v>
      </c>
      <c r="P111" s="115" t="n">
        <v>0</v>
      </c>
      <c r="Q111" s="115" t="n">
        <v>2</v>
      </c>
      <c r="R111" s="115" t="inlineStr">
        <is>
          <t>Reservar con anticipación el consecutivo de radicación ante la Comisión Legal de Cuentas y designar un responsable único de la certificación de publicación.</t>
        </is>
      </c>
      <c r="S111" s="115" t="inlineStr">
        <is>
          <t>IMP-14; IMP-15</t>
        </is>
      </c>
      <c r="T111" s="115" t="inlineStr">
        <is>
          <t>Formulación_Ejes_2027</t>
        </is>
      </c>
      <c r="U111" s="115">
        <f>IF(I111=LEFT('Buscador_Formulación PAA 2027'!$C$4,3),COUNTIF($I$5:I111,LEFT('Buscador_Formulación PAA 2027'!$C$4,3)),"")</f>
        <v/>
      </c>
    </row>
    <row r="112" ht="15" customHeight="1" s="23">
      <c r="A112" s="115" t="inlineStr">
        <is>
          <t>E4-009</t>
        </is>
      </c>
      <c r="B112" s="115" t="inlineStr">
        <is>
          <t>4.1.1.2</t>
        </is>
      </c>
      <c r="C112" s="115" t="inlineStr">
        <is>
          <t>Transformación institucional</t>
        </is>
      </c>
      <c r="D112" s="115" t="inlineStr">
        <is>
          <t>4.1 Dimensión estratégica</t>
        </is>
      </c>
      <c r="E112" s="115" t="inlineStr">
        <is>
          <t>Alcanzar el 92% en el Índice de Desempeño Institucional del FURAG.</t>
        </is>
      </c>
      <c r="F112" s="115" t="inlineStr">
        <is>
          <t>Índice de Desempeño Institucional (FURAG)</t>
        </is>
      </c>
      <c r="G112" s="115" t="inlineStr">
        <is>
          <t>92%</t>
        </is>
      </c>
      <c r="H112" s="115" t="inlineStr">
        <is>
          <t>Sugerida por la OAP: 90%, la trayectoria lineal de 87,7% en 2024 a 92% en 2032 da 89,3% en 2027,</t>
        </is>
      </c>
      <c r="I112" s="115" t="inlineStr">
        <is>
          <t>A12</t>
        </is>
      </c>
      <c r="J112" s="115" t="inlineStr">
        <is>
          <t>110 · Secretaría General</t>
        </is>
      </c>
      <c r="K112" s="115" t="inlineStr">
        <is>
          <t>Gestión Jurídica</t>
        </is>
      </c>
      <c r="L112" s="115" t="inlineStr">
        <is>
          <t>Gestión Jurídica</t>
        </is>
      </c>
      <c r="M112" s="115" t="inlineStr">
        <is>
          <t>Compromiso de proyecto estructurante</t>
        </is>
      </c>
      <c r="N112" s="115" t="n">
        <v>0</v>
      </c>
      <c r="O112" s="115" t="n">
        <v>0</v>
      </c>
      <c r="P112" s="115" t="n">
        <v>0</v>
      </c>
      <c r="Q112" s="115" t="n">
        <v>2</v>
      </c>
      <c r="R112" s="115" t="inlineStr">
        <is>
          <t>Actualizar periódicamente en eKOGUI la provisión de los procesos judiciales, conciliarla cada trimestre con Contabilidad y radicar la respuesta pendiente ante el Ministerio de Educación.</t>
        </is>
      </c>
      <c r="S112" s="115" t="inlineStr">
        <is>
          <t>IMP-14; IMP-15</t>
        </is>
      </c>
      <c r="T112" s="115" t="inlineStr">
        <is>
          <t>Formulación_Ejes_2027</t>
        </is>
      </c>
      <c r="U112" s="115">
        <f>IF(I112=LEFT('Buscador_Formulación PAA 2027'!$C$4,3),COUNTIF($I$5:I112,LEFT('Buscador_Formulación PAA 2027'!$C$4,3)),"")</f>
        <v/>
      </c>
    </row>
    <row r="113" ht="15" customHeight="1" s="23">
      <c r="A113" s="115" t="inlineStr">
        <is>
          <t>E4-010</t>
        </is>
      </c>
      <c r="B113" s="115" t="inlineStr">
        <is>
          <t>4.1.1.2</t>
        </is>
      </c>
      <c r="C113" s="115" t="inlineStr">
        <is>
          <t>Transformación institucional</t>
        </is>
      </c>
      <c r="D113" s="115" t="inlineStr">
        <is>
          <t>4.1 Dimensión estratégica</t>
        </is>
      </c>
      <c r="E113" s="115" t="inlineStr">
        <is>
          <t>Alcanzar el 92% en el Índice de Desempeño Institucional del FURAG.</t>
        </is>
      </c>
      <c r="F113" s="115" t="inlineStr">
        <is>
          <t>Índice de Desempeño Institucional (FURAG)</t>
        </is>
      </c>
      <c r="G113" s="115" t="inlineStr">
        <is>
          <t>92%</t>
        </is>
      </c>
      <c r="H113" s="115" t="inlineStr">
        <is>
          <t>Sugerida por la OAP: 90%, la trayectoria lineal de 87,7% en 2024 a 92% en 2032 da 89,3% en 2027,</t>
        </is>
      </c>
      <c r="I113" s="115" t="inlineStr">
        <is>
          <t>A13</t>
        </is>
      </c>
      <c r="J113" s="115" t="inlineStr">
        <is>
          <t>110 · Secretaría General</t>
        </is>
      </c>
      <c r="K113" s="115" t="inlineStr">
        <is>
          <t>Control Disciplinario</t>
        </is>
      </c>
      <c r="L113" s="115" t="inlineStr">
        <is>
          <t>Gestión de Control Disciplinario</t>
        </is>
      </c>
      <c r="M113" s="115" t="inlineStr">
        <is>
          <t>Asignación por funciones del área</t>
        </is>
      </c>
      <c r="N113" s="115" t="n">
        <v>0</v>
      </c>
      <c r="O113" s="115" t="n">
        <v>0</v>
      </c>
      <c r="P113" s="115" t="n">
        <v>0</v>
      </c>
      <c r="Q113" s="115" t="n">
        <v>0</v>
      </c>
      <c r="R113" s="115" t="inlineStr">
        <is>
          <t>Aportar a la Política de Integridad del MIPG con la gestión oportuna de los procesos disciplinarios y el reporte de su estado en el FURAG.</t>
        </is>
      </c>
      <c r="S113" s="115" t="inlineStr">
        <is>
          <t>IMP-14; IMP-15</t>
        </is>
      </c>
      <c r="T113" s="115" t="inlineStr">
        <is>
          <t>Formulación_Ejes_2027</t>
        </is>
      </c>
      <c r="U113" s="115">
        <f>IF(I113=LEFT('Buscador_Formulación PAA 2027'!$C$4,3),COUNTIF($I$5:I113,LEFT('Buscador_Formulación PAA 2027'!$C$4,3)),"")</f>
        <v/>
      </c>
    </row>
    <row r="114" ht="15" customHeight="1" s="23">
      <c r="A114" s="115" t="inlineStr">
        <is>
          <t>E4-011</t>
        </is>
      </c>
      <c r="B114" s="115" t="inlineStr">
        <is>
          <t>4.1.1.2</t>
        </is>
      </c>
      <c r="C114" s="115" t="inlineStr">
        <is>
          <t>Transformación institucional</t>
        </is>
      </c>
      <c r="D114" s="115" t="inlineStr">
        <is>
          <t>4.1 Dimensión estratégica</t>
        </is>
      </c>
      <c r="E114" s="115" t="inlineStr">
        <is>
          <t>Alcanzar el 92% en el Índice de Desempeño Institucional del FURAG.</t>
        </is>
      </c>
      <c r="F114" s="115" t="inlineStr">
        <is>
          <t>Índice de Desempeño Institucional (FURAG)</t>
        </is>
      </c>
      <c r="G114" s="115" t="inlineStr">
        <is>
          <t>92%</t>
        </is>
      </c>
      <c r="H114" s="115" t="inlineStr">
        <is>
          <t>Sugerida por la OAP: 90%, la trayectoria lineal de 87,7% en 2024 a 92% en 2032 da 89,3% en 2027,</t>
        </is>
      </c>
      <c r="I114" s="115" t="inlineStr">
        <is>
          <t>A14</t>
        </is>
      </c>
      <c r="J114" s="115" t="inlineStr">
        <is>
          <t>130 · Vicerrectoría Administrativa y Financiera</t>
        </is>
      </c>
      <c r="K114" s="115" t="inlineStr">
        <is>
          <t>Contratación y Adquisiciones</t>
        </is>
      </c>
      <c r="L114" s="115" t="inlineStr">
        <is>
          <t>Gestión de Adquisiciones</t>
        </is>
      </c>
      <c r="M114" s="115" t="inlineStr">
        <is>
          <t>Compromiso de proyecto estructurante</t>
        </is>
      </c>
      <c r="N114" s="115" t="n">
        <v>0</v>
      </c>
      <c r="O114" s="115" t="n">
        <v>0</v>
      </c>
      <c r="P114" s="115" t="n">
        <v>0</v>
      </c>
      <c r="Q114" s="115" t="n">
        <v>1</v>
      </c>
      <c r="R114" s="115" t="inlineStr">
        <is>
          <t>Aplicar una lista de verificación de entregables antes de certificar el cumplimiento de los contratos, para atender el hallazgo de la Contraloría sobre el ítem dotacional no ejecutado.</t>
        </is>
      </c>
      <c r="S114" s="115" t="inlineStr">
        <is>
          <t>IMP-14; IMP-15</t>
        </is>
      </c>
      <c r="T114" s="115" t="inlineStr">
        <is>
          <t>Formulación_Ejes_2027</t>
        </is>
      </c>
      <c r="U114" s="115">
        <f>IF(I114=LEFT('Buscador_Formulación PAA 2027'!$C$4,3),COUNTIF($I$5:I114,LEFT('Buscador_Formulación PAA 2027'!$C$4,3)),"")</f>
        <v/>
      </c>
    </row>
    <row r="115" ht="15" customHeight="1" s="23">
      <c r="A115" s="115" t="inlineStr">
        <is>
          <t>E4-012</t>
        </is>
      </c>
      <c r="B115" s="115" t="inlineStr">
        <is>
          <t>4.1.1.2</t>
        </is>
      </c>
      <c r="C115" s="115" t="inlineStr">
        <is>
          <t>Transformación institucional</t>
        </is>
      </c>
      <c r="D115" s="115" t="inlineStr">
        <is>
          <t>4.1 Dimensión estratégica</t>
        </is>
      </c>
      <c r="E115" s="115" t="inlineStr">
        <is>
          <t>Alcanzar el 92% en el Índice de Desempeño Institucional del FURAG.</t>
        </is>
      </c>
      <c r="F115" s="115" t="inlineStr">
        <is>
          <t>Índice de Desempeño Institucional (FURAG)</t>
        </is>
      </c>
      <c r="G115" s="115" t="inlineStr">
        <is>
          <t>92%</t>
        </is>
      </c>
      <c r="H115" s="115" t="inlineStr">
        <is>
          <t>Sugerida por la OAP: 90%, la trayectoria lineal de 87,7% en 2024 a 92% en 2032 da 89,3% en 2027,</t>
        </is>
      </c>
      <c r="I115" s="115" t="inlineStr">
        <is>
          <t>A30</t>
        </is>
      </c>
      <c r="J115" s="115" t="inlineStr">
        <is>
          <t>130 · Vicerrectoría Administrativa y Financiera</t>
        </is>
      </c>
      <c r="K115" s="115" t="inlineStr">
        <is>
          <t>Despacho de la Vicerrectoría Administrativa y Financiera</t>
        </is>
      </c>
      <c r="L115" s="115" t="inlineStr">
        <is>
          <t>Gestión Financiera</t>
        </is>
      </c>
      <c r="M115" s="115" t="inlineStr">
        <is>
          <t>Compromiso de proyecto estructurante</t>
        </is>
      </c>
      <c r="N115" s="115" t="n">
        <v>0</v>
      </c>
      <c r="O115" s="115" t="n">
        <v>0</v>
      </c>
      <c r="P115" s="115" t="n">
        <v>0</v>
      </c>
      <c r="Q115" s="115" t="n">
        <v>2</v>
      </c>
      <c r="R115" s="115" t="inlineStr">
        <is>
          <t>Acción propuesta AC27.34: Ordenar la gestión financiera y contable con cierres oportunos, indicadores propios, procedimientos documentados y capacitación. Actividades a su cargo: A27-084 Documentar y codificar los procedimientos de gratuidad. Con esta acción se atienden compromisos pendientes de 2026 de los proyectos estructurantes.</t>
        </is>
      </c>
      <c r="S115" s="115" t="inlineStr">
        <is>
          <t>IMP-14; IMP-15</t>
        </is>
      </c>
      <c r="T115" s="115" t="inlineStr">
        <is>
          <t>Formulación_Ejes_2027</t>
        </is>
      </c>
      <c r="U115" s="115">
        <f>IF(I115=LEFT('Buscador_Formulación PAA 2027'!$C$4,3),COUNTIF($I$5:I115,LEFT('Buscador_Formulación PAA 2027'!$C$4,3)),"")</f>
        <v/>
      </c>
    </row>
    <row r="116" ht="15" customHeight="1" s="23">
      <c r="A116" s="115" t="inlineStr">
        <is>
          <t>E4-013</t>
        </is>
      </c>
      <c r="B116" s="115" t="inlineStr">
        <is>
          <t>4.1.1.2</t>
        </is>
      </c>
      <c r="C116" s="115" t="inlineStr">
        <is>
          <t>Transformación institucional</t>
        </is>
      </c>
      <c r="D116" s="115" t="inlineStr">
        <is>
          <t>4.1 Dimensión estratégica</t>
        </is>
      </c>
      <c r="E116" s="115" t="inlineStr">
        <is>
          <t>Alcanzar el 92% en el Índice de Desempeño Institucional del FURAG.</t>
        </is>
      </c>
      <c r="F116" s="115" t="inlineStr">
        <is>
          <t>Índice de Desempeño Institucional (FURAG)</t>
        </is>
      </c>
      <c r="G116" s="115" t="inlineStr">
        <is>
          <t>92%</t>
        </is>
      </c>
      <c r="H116" s="115" t="inlineStr">
        <is>
          <t>Sugerida por la OAP: 90%, la trayectoria lineal de 87,7% en 2024 a 92% en 2032 da 89,3% en 2027,</t>
        </is>
      </c>
      <c r="I116" s="115" t="inlineStr">
        <is>
          <t>A32</t>
        </is>
      </c>
      <c r="J116" s="115" t="inlineStr">
        <is>
          <t>131 · GIT Gestión Documental y Atención al Ciudadano</t>
        </is>
      </c>
      <c r="K116" s="115" t="inlineStr">
        <is>
          <t>Gestión Documental</t>
        </is>
      </c>
      <c r="L116" s="115" t="inlineStr">
        <is>
          <t>Gestión Documental</t>
        </is>
      </c>
      <c r="M116" s="115" t="inlineStr">
        <is>
          <t>Asignación por funciones del área</t>
        </is>
      </c>
      <c r="N116" s="115" t="n">
        <v>0</v>
      </c>
      <c r="O116" s="115" t="n">
        <v>0</v>
      </c>
      <c r="P116" s="115" t="n">
        <v>0</v>
      </c>
      <c r="Q116" s="115" t="n">
        <v>0</v>
      </c>
      <c r="R116" s="115" t="inlineStr">
        <is>
          <t>Avanzar en la Política de Gestión Documental del MIPG: actualizar e implementar las tablas de retención documental, el Programa de Gestión Documental y el Plan Institucional de Archivos, conforme a la Ley 594 de 2000.</t>
        </is>
      </c>
      <c r="S116" s="115" t="inlineStr">
        <is>
          <t>IMP-14; IMP-15</t>
        </is>
      </c>
      <c r="T116" s="115" t="inlineStr">
        <is>
          <t>Formulación_Ejes_2027</t>
        </is>
      </c>
      <c r="U116" s="115">
        <f>IF(I116=LEFT('Buscador_Formulación PAA 2027'!$C$4,3),COUNTIF($I$5:I116,LEFT('Buscador_Formulación PAA 2027'!$C$4,3)),"")</f>
        <v/>
      </c>
    </row>
    <row r="117" ht="15" customHeight="1" s="23">
      <c r="A117" s="115" t="inlineStr">
        <is>
          <t>E4-014</t>
        </is>
      </c>
      <c r="B117" s="115" t="inlineStr">
        <is>
          <t>4.1.1.2</t>
        </is>
      </c>
      <c r="C117" s="115" t="inlineStr">
        <is>
          <t>Transformación institucional</t>
        </is>
      </c>
      <c r="D117" s="115" t="inlineStr">
        <is>
          <t>4.1 Dimensión estratégica</t>
        </is>
      </c>
      <c r="E117" s="115" t="inlineStr">
        <is>
          <t>Alcanzar el 92% en el Índice de Desempeño Institucional del FURAG.</t>
        </is>
      </c>
      <c r="F117" s="115" t="inlineStr">
        <is>
          <t>Índice de Desempeño Institucional (FURAG)</t>
        </is>
      </c>
      <c r="G117" s="115" t="inlineStr">
        <is>
          <t>92%</t>
        </is>
      </c>
      <c r="H117" s="115" t="inlineStr">
        <is>
          <t>Sugerida por la OAP: 90%, la trayectoria lineal de 87,7% en 2024 a 92% en 2032 da 89,3% en 2027,</t>
        </is>
      </c>
      <c r="I117" s="115" t="inlineStr">
        <is>
          <t>A33</t>
        </is>
      </c>
      <c r="J117" s="115" t="inlineStr">
        <is>
          <t>131 · GIT Gestión Documental y Atención al Ciudadano</t>
        </is>
      </c>
      <c r="K117" s="115" t="inlineStr">
        <is>
          <t>Atención al Ciudadano</t>
        </is>
      </c>
      <c r="L117" s="115" t="inlineStr">
        <is>
          <t>Gestión de Servicio al Ciudadano</t>
        </is>
      </c>
      <c r="M117" s="115" t="inlineStr">
        <is>
          <t>Asignación por funciones del área</t>
        </is>
      </c>
      <c r="N117" s="115" t="n">
        <v>0</v>
      </c>
      <c r="O117" s="115" t="n">
        <v>0</v>
      </c>
      <c r="P117" s="115" t="n">
        <v>0</v>
      </c>
      <c r="Q117" s="115" t="n">
        <v>0</v>
      </c>
      <c r="R117" s="115" t="inlineStr">
        <is>
          <t>Mejorar las políticas de Servicio al Ciudadano, Transparencia y Participación Ciudadana del MIPG: oportunidad en la respuesta de PQRSD (Ley 1755 de 2015), informes trimestrales y caracterización de usuarios.</t>
        </is>
      </c>
      <c r="S117" s="115" t="inlineStr">
        <is>
          <t>IMP-14; IMP-15</t>
        </is>
      </c>
      <c r="T117" s="115" t="inlineStr">
        <is>
          <t>Formulación_Ejes_2027</t>
        </is>
      </c>
      <c r="U117" s="115">
        <f>IF(I117=LEFT('Buscador_Formulación PAA 2027'!$C$4,3),COUNTIF($I$5:I117,LEFT('Buscador_Formulación PAA 2027'!$C$4,3)),"")</f>
        <v/>
      </c>
    </row>
    <row r="118" ht="15" customHeight="1" s="23">
      <c r="A118" s="115" t="inlineStr">
        <is>
          <t>E4-015</t>
        </is>
      </c>
      <c r="B118" s="115" t="inlineStr">
        <is>
          <t>4.1.1.2</t>
        </is>
      </c>
      <c r="C118" s="115" t="inlineStr">
        <is>
          <t>Transformación institucional</t>
        </is>
      </c>
      <c r="D118" s="115" t="inlineStr">
        <is>
          <t>4.1 Dimensión estratégica</t>
        </is>
      </c>
      <c r="E118" s="115" t="inlineStr">
        <is>
          <t>Alcanzar el 92% en el Índice de Desempeño Institucional del FURAG.</t>
        </is>
      </c>
      <c r="F118" s="115" t="inlineStr">
        <is>
          <t>Índice de Desempeño Institucional (FURAG)</t>
        </is>
      </c>
      <c r="G118" s="115" t="inlineStr">
        <is>
          <t>92%</t>
        </is>
      </c>
      <c r="H118" s="115" t="inlineStr">
        <is>
          <t>Sugerida por la OAP: 90%, la trayectoria lineal de 87,7% en 2024 a 92% en 2032 da 89,3% en 2027,</t>
        </is>
      </c>
      <c r="I118" s="115" t="inlineStr">
        <is>
          <t>A34</t>
        </is>
      </c>
      <c r="J118" s="115" t="inlineStr">
        <is>
          <t>132 · GIT Gestión de Informática y Telecomunicaciones</t>
        </is>
      </c>
      <c r="K118" s="115" t="inlineStr">
        <is>
          <t>GIT Informática y Telecomunicaciones</t>
        </is>
      </c>
      <c r="L118" s="115" t="inlineStr">
        <is>
          <t>Gestión de Informática y Telecomunicaciones</t>
        </is>
      </c>
      <c r="M118" s="115" t="inlineStr">
        <is>
          <t>Responsable en el PAA 2026</t>
        </is>
      </c>
      <c r="N118" s="115" t="n">
        <v>0</v>
      </c>
      <c r="O118" s="115" t="n">
        <v>0</v>
      </c>
      <c r="P118" s="115" t="n">
        <v>0</v>
      </c>
      <c r="Q118" s="115" t="n">
        <v>0</v>
      </c>
      <c r="R118" s="115" t="inlineStr">
        <is>
          <t>Avanzar en la Política de Gobierno Digital del MIPG: plan estratégico de tecnologías de la información, datos abiertos y trámites en línea.</t>
        </is>
      </c>
      <c r="S118" s="115" t="inlineStr">
        <is>
          <t>IMP-14; IMP-15</t>
        </is>
      </c>
      <c r="T118" s="115" t="inlineStr">
        <is>
          <t>Formulación_Ejes_2027</t>
        </is>
      </c>
      <c r="U118" s="115">
        <f>IF(I118=LEFT('Buscador_Formulación PAA 2027'!$C$4,3),COUNTIF($I$5:I118,LEFT('Buscador_Formulación PAA 2027'!$C$4,3)),"")</f>
        <v/>
      </c>
    </row>
    <row r="119" ht="15" customHeight="1" s="23">
      <c r="A119" s="115" t="inlineStr">
        <is>
          <t>E4-016</t>
        </is>
      </c>
      <c r="B119" s="115" t="inlineStr">
        <is>
          <t>4.1.1.2</t>
        </is>
      </c>
      <c r="C119" s="115" t="inlineStr">
        <is>
          <t>Transformación institucional</t>
        </is>
      </c>
      <c r="D119" s="115" t="inlineStr">
        <is>
          <t>4.1 Dimensión estratégica</t>
        </is>
      </c>
      <c r="E119" s="115" t="inlineStr">
        <is>
          <t>Alcanzar el 92% en el Índice de Desempeño Institucional del FURAG.</t>
        </is>
      </c>
      <c r="F119" s="115" t="inlineStr">
        <is>
          <t>Índice de Desempeño Institucional (FURAG)</t>
        </is>
      </c>
      <c r="G119" s="115" t="inlineStr">
        <is>
          <t>92%</t>
        </is>
      </c>
      <c r="H119" s="115" t="inlineStr">
        <is>
          <t>Sugerida por la OAP: 90%, la trayectoria lineal de 87,7% en 2024 a 92% en 2032 da 89,3% en 2027,</t>
        </is>
      </c>
      <c r="I119" s="115" t="inlineStr">
        <is>
          <t>A35</t>
        </is>
      </c>
      <c r="J119" s="115" t="inlineStr">
        <is>
          <t>133 · GIT Gestión de Talento Humano</t>
        </is>
      </c>
      <c r="K119" s="115" t="inlineStr">
        <is>
          <t>GIT Talento Humano</t>
        </is>
      </c>
      <c r="L119" s="115" t="inlineStr">
        <is>
          <t>Gestión de Talento Humano</t>
        </is>
      </c>
      <c r="M119" s="115" t="inlineStr">
        <is>
          <t>Compromiso de proyecto estructurante</t>
        </is>
      </c>
      <c r="N119" s="115" t="n">
        <v>0</v>
      </c>
      <c r="O119" s="115" t="n">
        <v>0</v>
      </c>
      <c r="P119" s="115" t="n">
        <v>0</v>
      </c>
      <c r="Q119" s="115" t="n">
        <v>2</v>
      </c>
      <c r="R119" s="115" t="inlineStr">
        <is>
          <t>Acción propuesta AC27.34: Ordenar la gestión financiera y contable con cierres oportunos, indicadores propios, procedimientos documentados y capacitación. Actividades a su cargo: A27-085 Incluir capacitación contable en el Plan Institucional de Capacitación. Con esta acción se atienden compromisos pendientes de 2026 de los proyectos estructurantes.</t>
        </is>
      </c>
      <c r="S119" s="115" t="inlineStr">
        <is>
          <t>IMP-14; IMP-15</t>
        </is>
      </c>
      <c r="T119" s="115" t="inlineStr">
        <is>
          <t>Formulación_Ejes_2027</t>
        </is>
      </c>
      <c r="U119" s="115">
        <f>IF(I119=LEFT('Buscador_Formulación PAA 2027'!$C$4,3),COUNTIF($I$5:I119,LEFT('Buscador_Formulación PAA 2027'!$C$4,3)),"")</f>
        <v/>
      </c>
    </row>
    <row r="120" ht="15" customHeight="1" s="23">
      <c r="A120" s="115" t="inlineStr">
        <is>
          <t>E4-017</t>
        </is>
      </c>
      <c r="B120" s="115" t="inlineStr">
        <is>
          <t>4.1.1.2</t>
        </is>
      </c>
      <c r="C120" s="115" t="inlineStr">
        <is>
          <t>Transformación institucional</t>
        </is>
      </c>
      <c r="D120" s="115" t="inlineStr">
        <is>
          <t>4.1 Dimensión estratégica</t>
        </is>
      </c>
      <c r="E120" s="115" t="inlineStr">
        <is>
          <t>Alcanzar el 92% en el Índice de Desempeño Institucional del FURAG.</t>
        </is>
      </c>
      <c r="F120" s="115" t="inlineStr">
        <is>
          <t>Índice de Desempeño Institucional (FURAG)</t>
        </is>
      </c>
      <c r="G120" s="115" t="inlineStr">
        <is>
          <t>92%</t>
        </is>
      </c>
      <c r="H120" s="115" t="inlineStr">
        <is>
          <t>Sugerida por la OAP: 90%, la trayectoria lineal de 87,7% en 2024 a 92% en 2032 da 89,3% en 2027,</t>
        </is>
      </c>
      <c r="I120" s="115" t="inlineStr">
        <is>
          <t>A47</t>
        </is>
      </c>
      <c r="J120" s="115" t="inlineStr">
        <is>
          <t>130 · Vicerrectoría Administrativa y Financiera</t>
        </is>
      </c>
      <c r="K120" s="115" t="inlineStr">
        <is>
          <t>Gestión Financiera (Presupuesto, Contabilidad, Tesorería)</t>
        </is>
      </c>
      <c r="L120" s="115" t="inlineStr">
        <is>
          <t>Gestión Financiera</t>
        </is>
      </c>
      <c r="M120" s="115" t="inlineStr">
        <is>
          <t>Compromiso de proyecto estructurante</t>
        </is>
      </c>
      <c r="N120" s="115" t="n">
        <v>0</v>
      </c>
      <c r="O120" s="115" t="n">
        <v>0</v>
      </c>
      <c r="P120" s="115" t="n">
        <v>0</v>
      </c>
      <c r="Q120" s="115" t="n">
        <v>8</v>
      </c>
      <c r="R120" s="115" t="inlineStr">
        <is>
          <t>Acción propuesta AC27.33: Mejorar el desempeño institucional en el FURAG con un plan de mejora por política del MIPG y el cumplimiento del plan suscrito con la Contraloría. Actividades a su cargo: A27-082 Ejecutar el Plan de Mejoramiento con la CGR (7 hallazgos, 24 metas). Acción propuesta AC27.34: Ordenar la gestión financiera y contable con cierres oportunos, indicadores propios, procedimientos documentados y capacitación. Actividades a su cargo: A27-081 Fijar calendario de cierre con corte único y constituir el rezago a tiempo; A27-083 Formular indicadores financieros y contables (razón corriente, margen, rotación de cartera). Con esta acción se atienden compromisos pendientes de 2026 de los proyectos estructurantes.</t>
        </is>
      </c>
      <c r="S120" s="115" t="inlineStr">
        <is>
          <t>IMP-14; IMP-15</t>
        </is>
      </c>
      <c r="T120" s="115" t="inlineStr">
        <is>
          <t>Formulación_Ejes_2027</t>
        </is>
      </c>
      <c r="U120" s="115">
        <f>IF(I120=LEFT('Buscador_Formulación PAA 2027'!$C$4,3),COUNTIF($I$5:I120,LEFT('Buscador_Formulación PAA 2027'!$C$4,3)),"")</f>
        <v/>
      </c>
    </row>
    <row r="121" ht="15" customHeight="1" s="23">
      <c r="A121" s="115" t="inlineStr">
        <is>
          <t>E4-018</t>
        </is>
      </c>
      <c r="B121" s="115" t="inlineStr">
        <is>
          <t>4.1.1.3</t>
        </is>
      </c>
      <c r="C121" s="115" t="inlineStr">
        <is>
          <t>Transformación institucional</t>
        </is>
      </c>
      <c r="D121" s="115" t="inlineStr">
        <is>
          <t>4.1 Dimensión estratégica</t>
        </is>
      </c>
      <c r="E121" s="115" t="inlineStr">
        <is>
          <t>Lograr la renovación de la acreditación institucional a 8 años.</t>
        </is>
      </c>
      <c r="F121" s="115" t="inlineStr">
        <is>
          <t>Acreditación institucional vigente y % de ejecución del plan de mejoramiento institucional</t>
        </is>
      </c>
      <c r="G121" s="115" t="inlineStr">
        <is>
          <t>Renovación a 8 años</t>
        </is>
      </c>
      <c r="H121" s="115" t="inlineStr">
        <is>
          <t>Sugerida por la OAP: 100% de las acciones del plan de mejoramiento institucional programadas para 2027 ejecutadas y sistema de seguimiento a las condiciones de calidad operando</t>
        </is>
      </c>
      <c r="I121" s="115" t="inlineStr">
        <is>
          <t>A01</t>
        </is>
      </c>
      <c r="J121" s="115" t="inlineStr">
        <is>
          <t>100 · Rectoría</t>
        </is>
      </c>
      <c r="K121" s="115" t="inlineStr">
        <is>
          <t>Despacho de Rectoría</t>
        </is>
      </c>
      <c r="L121" s="115" t="inlineStr">
        <is>
          <t>Direccionamiento Institucional</t>
        </is>
      </c>
      <c r="M121" s="115" t="inlineStr">
        <is>
          <t>Responsable en el PAA 2026</t>
        </is>
      </c>
      <c r="N121" s="115" t="n">
        <v>1</v>
      </c>
      <c r="O121" s="115" t="n">
        <v>0</v>
      </c>
      <c r="P121" s="115" t="n">
        <v>1</v>
      </c>
      <c r="Q121" s="115" t="n">
        <v>0</v>
      </c>
      <c r="R121" s="115" t="inlineStr">
        <is>
          <t>Presidir el proceso de renovación de la acreditación institucional y el seguimiento al plan de mejoramiento ante el Consejo Directivo. Cerrar o reprogramar en el SUIE el producto 2026 pendiente de esta meta.</t>
        </is>
      </c>
      <c r="S121" s="115" t="inlineStr">
        <is>
          <t>IMP-14; IMP-07</t>
        </is>
      </c>
      <c r="T121" s="115" t="inlineStr">
        <is>
          <t>Formulación_Ejes_2027</t>
        </is>
      </c>
      <c r="U121" s="115">
        <f>IF(I121=LEFT('Buscador_Formulación PAA 2027'!$C$4,3),COUNTIF($I$5:I121,LEFT('Buscador_Formulación PAA 2027'!$C$4,3)),"")</f>
        <v/>
      </c>
    </row>
    <row r="122" ht="15" customHeight="1" s="23">
      <c r="A122" s="115" t="inlineStr">
        <is>
          <t>E4-019</t>
        </is>
      </c>
      <c r="B122" s="115" t="inlineStr">
        <is>
          <t>4.1.1.3</t>
        </is>
      </c>
      <c r="C122" s="115" t="inlineStr">
        <is>
          <t>Transformación institucional</t>
        </is>
      </c>
      <c r="D122" s="115" t="inlineStr">
        <is>
          <t>4.1 Dimensión estratégica</t>
        </is>
      </c>
      <c r="E122" s="115" t="inlineStr">
        <is>
          <t>Lograr la renovación de la acreditación institucional a 8 años.</t>
        </is>
      </c>
      <c r="F122" s="115" t="inlineStr">
        <is>
          <t>Acreditación institucional vigente y % de ejecución del plan de mejoramiento institucional</t>
        </is>
      </c>
      <c r="G122" s="115" t="inlineStr">
        <is>
          <t>Renovación a 8 años</t>
        </is>
      </c>
      <c r="H122" s="115" t="inlineStr">
        <is>
          <t>Sugerida por la OAP: 100% de las acciones del plan de mejoramiento institucional programadas para 2027 ejecutadas y sistema de seguimiento a las condiciones de calidad operando</t>
        </is>
      </c>
      <c r="I122" s="115" t="inlineStr">
        <is>
          <t>A02</t>
        </is>
      </c>
      <c r="J122" s="115" t="inlineStr">
        <is>
          <t>100 · Rectoría</t>
        </is>
      </c>
      <c r="K122" s="115" t="inlineStr">
        <is>
          <t>Comunicaciones y Mercadeo</t>
        </is>
      </c>
      <c r="L122" s="115" t="inlineStr">
        <is>
          <t>Gestión de Comunicaciones</t>
        </is>
      </c>
      <c r="M122" s="115" t="inlineStr">
        <is>
          <t>Acción propuesta PAA 2027</t>
        </is>
      </c>
      <c r="N122" s="115" t="n">
        <v>0</v>
      </c>
      <c r="O122" s="115" t="n">
        <v>0</v>
      </c>
      <c r="P122" s="115" t="n">
        <v>0</v>
      </c>
      <c r="Q122" s="115" t="n">
        <v>0</v>
      </c>
      <c r="R122" s="115" t="inlineStr">
        <is>
          <t>Acción propuesta AC27.36: Divulgar la acreditación institucional ante la comunidad y los públicos externos. Actividades a su cargo: A27-088 Divulgar la acreditación institucional (estrategia de divulgación).</t>
        </is>
      </c>
      <c r="S122" s="115" t="inlineStr">
        <is>
          <t>IMP-14; IMP-07</t>
        </is>
      </c>
      <c r="T122" s="115" t="inlineStr">
        <is>
          <t>Formulación_Ejes_2027</t>
        </is>
      </c>
      <c r="U122" s="115">
        <f>IF(I122=LEFT('Buscador_Formulación PAA 2027'!$C$4,3),COUNTIF($I$5:I122,LEFT('Buscador_Formulación PAA 2027'!$C$4,3)),"")</f>
        <v/>
      </c>
    </row>
    <row r="123" ht="15" customHeight="1" s="23">
      <c r="A123" s="115" t="inlineStr">
        <is>
          <t>E4-020</t>
        </is>
      </c>
      <c r="B123" s="115" t="inlineStr">
        <is>
          <t>4.1.1.3</t>
        </is>
      </c>
      <c r="C123" s="115" t="inlineStr">
        <is>
          <t>Transformación institucional</t>
        </is>
      </c>
      <c r="D123" s="115" t="inlineStr">
        <is>
          <t>4.1 Dimensión estratégica</t>
        </is>
      </c>
      <c r="E123" s="115" t="inlineStr">
        <is>
          <t>Lograr la renovación de la acreditación institucional a 8 años.</t>
        </is>
      </c>
      <c r="F123" s="115" t="inlineStr">
        <is>
          <t>Acreditación institucional vigente y % de ejecución del plan de mejoramiento institucional</t>
        </is>
      </c>
      <c r="G123" s="115" t="inlineStr">
        <is>
          <t>Renovación a 8 años</t>
        </is>
      </c>
      <c r="H123" s="115" t="inlineStr">
        <is>
          <t>Sugerida por la OAP: 100% de las acciones del plan de mejoramiento institucional programadas para 2027 ejecutadas y sistema de seguimiento a las condiciones de calidad operando</t>
        </is>
      </c>
      <c r="I123" s="115" t="inlineStr">
        <is>
          <t>A05</t>
        </is>
      </c>
      <c r="J123" s="115" t="inlineStr">
        <is>
          <t>101 · Oficina Asesora de Planeación y Desarrollo Institucional</t>
        </is>
      </c>
      <c r="K123" s="115" t="inlineStr">
        <is>
          <t>Planeación y Plan de Acción</t>
        </is>
      </c>
      <c r="L123" s="115" t="inlineStr">
        <is>
          <t>Direccionamiento Institucional</t>
        </is>
      </c>
      <c r="M123" s="115" t="inlineStr">
        <is>
          <t>Responsable en el PAA 2026</t>
        </is>
      </c>
      <c r="N123" s="115" t="n">
        <v>1</v>
      </c>
      <c r="O123" s="115" t="n">
        <v>0</v>
      </c>
      <c r="P123" s="115" t="n">
        <v>1</v>
      </c>
      <c r="Q123" s="115" t="n">
        <v>0</v>
      </c>
      <c r="R123" s="115" t="inlineStr">
        <is>
          <t>Esta meta queda en su lista solo porque tiene productos del PAA 2026 abiertos. En 2027 no se le asigna una acción nueva en ella. Cerrar o reprogramar en el SUIE el producto 2026 pendiente de esta meta.</t>
        </is>
      </c>
      <c r="S123" s="115" t="inlineStr">
        <is>
          <t>IMP-14; IMP-07</t>
        </is>
      </c>
      <c r="T123" s="115" t="inlineStr">
        <is>
          <t>Formulación_Ejes_2027</t>
        </is>
      </c>
      <c r="U123" s="115">
        <f>IF(I123=LEFT('Buscador_Formulación PAA 2027'!$C$4,3),COUNTIF($I$5:I123,LEFT('Buscador_Formulación PAA 2027'!$C$4,3)),"")</f>
        <v/>
      </c>
    </row>
    <row r="124" ht="15" customHeight="1" s="23">
      <c r="A124" s="115" t="inlineStr">
        <is>
          <t>E4-021</t>
        </is>
      </c>
      <c r="B124" s="115" t="inlineStr">
        <is>
          <t>4.1.1.3</t>
        </is>
      </c>
      <c r="C124" s="115" t="inlineStr">
        <is>
          <t>Transformación institucional</t>
        </is>
      </c>
      <c r="D124" s="115" t="inlineStr">
        <is>
          <t>4.1 Dimensión estratégica</t>
        </is>
      </c>
      <c r="E124" s="115" t="inlineStr">
        <is>
          <t>Lograr la renovación de la acreditación institucional a 8 años.</t>
        </is>
      </c>
      <c r="F124" s="115" t="inlineStr">
        <is>
          <t>Acreditación institucional vigente y % de ejecución del plan de mejoramiento institucional</t>
        </is>
      </c>
      <c r="G124" s="115" t="inlineStr">
        <is>
          <t>Renovación a 8 años</t>
        </is>
      </c>
      <c r="H124" s="115" t="inlineStr">
        <is>
          <t>Sugerida por la OAP: 100% de las acciones del plan de mejoramiento institucional programadas para 2027 ejecutadas y sistema de seguimiento a las condiciones de calidad operando</t>
        </is>
      </c>
      <c r="I124" s="115" t="inlineStr">
        <is>
          <t>A07</t>
        </is>
      </c>
      <c r="J124" s="115" t="inlineStr">
        <is>
          <t>101 · Oficina Asesora de Planeación y Desarrollo Institucional</t>
        </is>
      </c>
      <c r="K124" s="115" t="inlineStr">
        <is>
          <t>Autoevaluación y Acreditación</t>
        </is>
      </c>
      <c r="L124" s="115" t="inlineStr">
        <is>
          <t>Gestión del Sistema Integrado de Aseguramiento</t>
        </is>
      </c>
      <c r="M124" s="115" t="inlineStr">
        <is>
          <t>Responsable en el PAA 2026</t>
        </is>
      </c>
      <c r="N124" s="115" t="n">
        <v>2</v>
      </c>
      <c r="O124" s="115" t="n">
        <v>0</v>
      </c>
      <c r="P124" s="115" t="n">
        <v>2</v>
      </c>
      <c r="Q124" s="115" t="n">
        <v>1</v>
      </c>
      <c r="R124" s="115" t="inlineStr">
        <is>
          <t>Acción propuesta AC27.35: Sostener la acreditación institucional mediante el plan de mejoramiento derivado de las recomendaciones del CNA y su seguimiento semestral. Actividades a su cargo: A27-086 Formular el plan de mejoramiento institucional derivado de las recomendaciones del CNA; A27-087 Ejecutar y hacer seguimiento semestral al plan de mejoramiento; A27-089 Cerrar los productos vencidos de Autoevaluación (32 al 2 de septiembre de 2026). Con esta acción se atienden compromisos pendientes de 2026 de los proyectos estructurantes. Cerrar o reprogramar en el SUIE los 2 productos 2026 pendientes de esta meta.</t>
        </is>
      </c>
      <c r="S124" s="115" t="inlineStr">
        <is>
          <t>IMP-14; IMP-07</t>
        </is>
      </c>
      <c r="T124" s="115" t="inlineStr">
        <is>
          <t>Formulación_Ejes_2027</t>
        </is>
      </c>
      <c r="U124" s="115">
        <f>IF(I124=LEFT('Buscador_Formulación PAA 2027'!$C$4,3),COUNTIF($I$5:I124,LEFT('Buscador_Formulación PAA 2027'!$C$4,3)),"")</f>
        <v/>
      </c>
    </row>
    <row r="125" ht="15" customHeight="1" s="23">
      <c r="A125" s="115" t="inlineStr">
        <is>
          <t>E4-022</t>
        </is>
      </c>
      <c r="B125" s="115" t="inlineStr">
        <is>
          <t>4.1.1.3</t>
        </is>
      </c>
      <c r="C125" s="115" t="inlineStr">
        <is>
          <t>Transformación institucional</t>
        </is>
      </c>
      <c r="D125" s="115" t="inlineStr">
        <is>
          <t>4.1 Dimensión estratégica</t>
        </is>
      </c>
      <c r="E125" s="115" t="inlineStr">
        <is>
          <t>Lograr la renovación de la acreditación institucional a 8 años.</t>
        </is>
      </c>
      <c r="F125" s="115" t="inlineStr">
        <is>
          <t>Acreditación institucional vigente y % de ejecución del plan de mejoramiento institucional</t>
        </is>
      </c>
      <c r="G125" s="115" t="inlineStr">
        <is>
          <t>Renovación a 8 años</t>
        </is>
      </c>
      <c r="H125" s="115" t="inlineStr">
        <is>
          <t>Sugerida por la OAP: 100% de las acciones del plan de mejoramiento institucional programadas para 2027 ejecutadas y sistema de seguimiento a las condiciones de calidad operando</t>
        </is>
      </c>
      <c r="I125" s="115" t="inlineStr">
        <is>
          <t>A08</t>
        </is>
      </c>
      <c r="J125" s="115" t="inlineStr">
        <is>
          <t>101 · Oficina Asesora de Planeación y Desarrollo Institucional</t>
        </is>
      </c>
      <c r="K125" s="115" t="inlineStr">
        <is>
          <t>Aseguramiento de la Calidad, MIPG y Registros Calificados</t>
        </is>
      </c>
      <c r="L125" s="115" t="inlineStr">
        <is>
          <t>Gestión del Sistema Integrado de Aseguramiento</t>
        </is>
      </c>
      <c r="M125" s="115" t="inlineStr">
        <is>
          <t>Responsable en el PAA 2026</t>
        </is>
      </c>
      <c r="N125" s="115" t="n">
        <v>1</v>
      </c>
      <c r="O125" s="115" t="n">
        <v>1</v>
      </c>
      <c r="P125" s="115" t="n">
        <v>0</v>
      </c>
      <c r="Q125" s="115" t="n">
        <v>0</v>
      </c>
      <c r="R125" s="115" t="inlineStr">
        <is>
          <t>Mantener operando el sistema de seguimiento a las condiciones de calidad que soporta el plan de mejoramiento institucional.</t>
        </is>
      </c>
      <c r="S125" s="115" t="inlineStr">
        <is>
          <t>IMP-14; IMP-07</t>
        </is>
      </c>
      <c r="T125" s="115" t="inlineStr">
        <is>
          <t>Formulación_Ejes_2027</t>
        </is>
      </c>
      <c r="U125" s="115">
        <f>IF(I125=LEFT('Buscador_Formulación PAA 2027'!$C$4,3),COUNTIF($I$5:I125,LEFT('Buscador_Formulación PAA 2027'!$C$4,3)),"")</f>
        <v/>
      </c>
    </row>
    <row r="126" ht="15" customHeight="1" s="23">
      <c r="A126" s="115" t="inlineStr">
        <is>
          <t>E4-023</t>
        </is>
      </c>
      <c r="B126" s="115" t="inlineStr">
        <is>
          <t>4.2.1.1</t>
        </is>
      </c>
      <c r="C126" s="115" t="inlineStr">
        <is>
          <t>Transformación institucional</t>
        </is>
      </c>
      <c r="D126" s="115" t="inlineStr">
        <is>
          <t>4.2 Arquitectura institucional</t>
        </is>
      </c>
      <c r="E126" s="115" t="inlineStr">
        <is>
          <t>Contar con el 100% de la estructura organizacional académica y administrativa operando.</t>
        </is>
      </c>
      <c r="F126" s="115" t="inlineStr">
        <is>
          <t>% de la estructura organizacional aprobada y operando</t>
        </is>
      </c>
      <c r="G126" s="115" t="inlineStr">
        <is>
          <t>100%</t>
        </is>
      </c>
      <c r="H126" s="115" t="inlineStr">
        <is>
          <t>15 docentes de tiempo completo y 10 administrativos vinculados por formalización</t>
        </is>
      </c>
      <c r="I126" s="115" t="inlineStr">
        <is>
          <t>A01</t>
        </is>
      </c>
      <c r="J126" s="115" t="inlineStr">
        <is>
          <t>100 · Rectoría</t>
        </is>
      </c>
      <c r="K126" s="115" t="inlineStr">
        <is>
          <t>Despacho de Rectoría</t>
        </is>
      </c>
      <c r="L126" s="115" t="inlineStr">
        <is>
          <t>Direccionamiento Institucional</t>
        </is>
      </c>
      <c r="M126" s="115" t="inlineStr">
        <is>
          <t>Responsable en el PAA 2026</t>
        </is>
      </c>
      <c r="N126" s="115" t="n">
        <v>1</v>
      </c>
      <c r="O126" s="115" t="n">
        <v>0</v>
      </c>
      <c r="P126" s="115" t="n">
        <v>1</v>
      </c>
      <c r="Q126" s="115" t="n">
        <v>1</v>
      </c>
      <c r="R126" s="115" t="inlineStr">
        <is>
          <t>Acción propuesta AC27.37: Ajustar la estructura organizacional a la operación real de la Escuela y avanzar en la formalización laboral. Actividades a su cargo: A27-091 Definir quién ejerce la jefatura de Control Interno, para que la Escuela pueda suscribir la evaluación del control interno contable. Con esta acción se atienden compromisos pendientes de 2026 de los proyectos estructurantes. Cerrar o reprogramar en el SUIE el producto 2026 pendiente de esta meta.</t>
        </is>
      </c>
      <c r="S126" s="115" t="inlineStr">
        <is>
          <t>IMP-15; IMP-18</t>
        </is>
      </c>
      <c r="T126" s="115" t="inlineStr">
        <is>
          <t>Formulación_Ejes_2027</t>
        </is>
      </c>
      <c r="U126" s="115">
        <f>IF(I126=LEFT('Buscador_Formulación PAA 2027'!$C$4,3),COUNTIF($I$5:I126,LEFT('Buscador_Formulación PAA 2027'!$C$4,3)),"")</f>
        <v/>
      </c>
    </row>
    <row r="127" ht="15" customHeight="1" s="23">
      <c r="A127" s="115" t="inlineStr">
        <is>
          <t>E4-024</t>
        </is>
      </c>
      <c r="B127" s="115" t="inlineStr">
        <is>
          <t>4.2.1.1</t>
        </is>
      </c>
      <c r="C127" s="115" t="inlineStr">
        <is>
          <t>Transformación institucional</t>
        </is>
      </c>
      <c r="D127" s="115" t="inlineStr">
        <is>
          <t>4.2 Arquitectura institucional</t>
        </is>
      </c>
      <c r="E127" s="115" t="inlineStr">
        <is>
          <t>Contar con el 100% de la estructura organizacional académica y administrativa operando.</t>
        </is>
      </c>
      <c r="F127" s="115" t="inlineStr">
        <is>
          <t>% de la estructura organizacional aprobada y operando</t>
        </is>
      </c>
      <c r="G127" s="115" t="inlineStr">
        <is>
          <t>100%</t>
        </is>
      </c>
      <c r="H127" s="115" t="inlineStr">
        <is>
          <t>15 docentes de tiempo completo y 10 administrativos vinculados por formalización</t>
        </is>
      </c>
      <c r="I127" s="115" t="inlineStr">
        <is>
          <t>A05</t>
        </is>
      </c>
      <c r="J127" s="115" t="inlineStr">
        <is>
          <t>101 · Oficina Asesora de Planeación y Desarrollo Institucional</t>
        </is>
      </c>
      <c r="K127" s="115" t="inlineStr">
        <is>
          <t>Planeación y Plan de Acción</t>
        </is>
      </c>
      <c r="L127" s="115" t="inlineStr">
        <is>
          <t>Direccionamiento Institucional</t>
        </is>
      </c>
      <c r="M127" s="115" t="inlineStr">
        <is>
          <t>Acción propuesta PAA 2027</t>
        </is>
      </c>
      <c r="N127" s="115" t="n">
        <v>0</v>
      </c>
      <c r="O127" s="115" t="n">
        <v>0</v>
      </c>
      <c r="P127" s="115" t="n">
        <v>0</v>
      </c>
      <c r="Q127" s="115" t="n">
        <v>0</v>
      </c>
      <c r="R127" s="115" t="inlineStr">
        <is>
          <t>Acción propuesta AC27.37: Ajustar la estructura organizacional a la operación real de la Escuela y avanzar en la formalización laboral. Actividades a su cargo: A27-090 Elaborar el estudio técnico de rediseño institucional para el cambio de carácter.</t>
        </is>
      </c>
      <c r="S127" s="115" t="inlineStr">
        <is>
          <t>IMP-15; IMP-18</t>
        </is>
      </c>
      <c r="T127" s="115" t="inlineStr">
        <is>
          <t>Formulación_Ejes_2027</t>
        </is>
      </c>
      <c r="U127" s="115">
        <f>IF(I127=LEFT('Buscador_Formulación PAA 2027'!$C$4,3),COUNTIF($I$5:I127,LEFT('Buscador_Formulación PAA 2027'!$C$4,3)),"")</f>
        <v/>
      </c>
    </row>
    <row r="128" ht="15" customHeight="1" s="23">
      <c r="A128" s="115" t="inlineStr">
        <is>
          <t>E4-025</t>
        </is>
      </c>
      <c r="B128" s="115" t="inlineStr">
        <is>
          <t>4.2.1.1</t>
        </is>
      </c>
      <c r="C128" s="115" t="inlineStr">
        <is>
          <t>Transformación institucional</t>
        </is>
      </c>
      <c r="D128" s="115" t="inlineStr">
        <is>
          <t>4.2 Arquitectura institucional</t>
        </is>
      </c>
      <c r="E128" s="115" t="inlineStr">
        <is>
          <t>Contar con el 100% de la estructura organizacional académica y administrativa operando.</t>
        </is>
      </c>
      <c r="F128" s="115" t="inlineStr">
        <is>
          <t>% de la estructura organizacional aprobada y operando</t>
        </is>
      </c>
      <c r="G128" s="115" t="inlineStr">
        <is>
          <t>100%</t>
        </is>
      </c>
      <c r="H128" s="115" t="inlineStr">
        <is>
          <t>15 docentes de tiempo completo y 10 administrativos vinculados por formalización</t>
        </is>
      </c>
      <c r="I128" s="115" t="inlineStr">
        <is>
          <t>A35</t>
        </is>
      </c>
      <c r="J128" s="115" t="inlineStr">
        <is>
          <t>133 · GIT Gestión de Talento Humano</t>
        </is>
      </c>
      <c r="K128" s="115" t="inlineStr">
        <is>
          <t>GIT Talento Humano</t>
        </is>
      </c>
      <c r="L128" s="115" t="inlineStr">
        <is>
          <t>Gestión de Talento Humano</t>
        </is>
      </c>
      <c r="M128" s="115" t="inlineStr">
        <is>
          <t>Acción propuesta PAA 2027</t>
        </is>
      </c>
      <c r="N128" s="115" t="n">
        <v>0</v>
      </c>
      <c r="O128" s="115" t="n">
        <v>0</v>
      </c>
      <c r="P128" s="115" t="n">
        <v>0</v>
      </c>
      <c r="Q128" s="115" t="n">
        <v>0</v>
      </c>
      <c r="R128" s="115" t="inlineStr">
        <is>
          <t>Acción propuesta AC27.37: Ajustar la estructura organizacional a la operación real de la Escuela y avanzar en la formalización laboral. Actividades a su cargo: A27-092 Vincular 15 docentes de tiempo completo y 10 administrativos (formalización laboral).</t>
        </is>
      </c>
      <c r="S128" s="115" t="inlineStr">
        <is>
          <t>IMP-15; IMP-18</t>
        </is>
      </c>
      <c r="T128" s="115" t="inlineStr">
        <is>
          <t>Formulación_Ejes_2027</t>
        </is>
      </c>
      <c r="U128" s="115">
        <f>IF(I128=LEFT('Buscador_Formulación PAA 2027'!$C$4,3),COUNTIF($I$5:I128,LEFT('Buscador_Formulación PAA 2027'!$C$4,3)),"")</f>
        <v/>
      </c>
    </row>
    <row r="129" ht="15" customHeight="1" s="23">
      <c r="A129" s="115" t="inlineStr">
        <is>
          <t>E4-026</t>
        </is>
      </c>
      <c r="B129" s="115" t="inlineStr">
        <is>
          <t>4.2.1.2</t>
        </is>
      </c>
      <c r="C129" s="115" t="inlineStr">
        <is>
          <t>Transformación institucional</t>
        </is>
      </c>
      <c r="D129" s="115" t="inlineStr">
        <is>
          <t>4.2 Arquitectura institucional</t>
        </is>
      </c>
      <c r="E129" s="115" t="inlineStr">
        <is>
          <t>Contar con un (1) sistema de información estratégico.</t>
        </is>
      </c>
      <c r="F129" s="115" t="inlineStr">
        <is>
          <t>Sistema de información estratégico operando y % de dependencias que reportan en él</t>
        </is>
      </c>
      <c r="G129" s="115" t="inlineStr">
        <is>
          <t>1 sistema</t>
        </is>
      </c>
      <c r="H129" s="115" t="inlineStr">
        <is>
          <t>Sugerida por la OAP: SIUE en operación plena: 100% de las dependencias reportando en él y 3 módulos integrados, Hoja de Ruta y Power BI, SNIES-HECAA y repositorio de evidencias,</t>
        </is>
      </c>
      <c r="I129" s="115" t="inlineStr">
        <is>
          <t>A05</t>
        </is>
      </c>
      <c r="J129" s="115" t="inlineStr">
        <is>
          <t>101 · Oficina Asesora de Planeación y Desarrollo Institucional</t>
        </is>
      </c>
      <c r="K129" s="115" t="inlineStr">
        <is>
          <t>Planeación y Plan de Acción</t>
        </is>
      </c>
      <c r="L129" s="115" t="inlineStr">
        <is>
          <t>Direccionamiento Institucional</t>
        </is>
      </c>
      <c r="M129" s="115" t="inlineStr">
        <is>
          <t>Compromiso de proyecto estructurante</t>
        </is>
      </c>
      <c r="N129" s="115" t="n">
        <v>0</v>
      </c>
      <c r="O129" s="115" t="n">
        <v>0</v>
      </c>
      <c r="P129" s="115" t="n">
        <v>0</v>
      </c>
      <c r="Q129" s="115" t="n">
        <v>2</v>
      </c>
      <c r="R129" s="115" t="inlineStr">
        <is>
          <t>Acción propuesta AC27.39: Garantizar una sola cifra oficial en los reportes externos, con reporte SNIES certificado, repositorio de soportes y verificación de consistencia. Actividades a su cargo: A27-097 Verificar la consistencia de cifras entre MEN, SNIES, CGN y Congreso desde el SIUE. Con esta acción se atienden compromisos pendientes de 2026 de los proyectos estructurantes.</t>
        </is>
      </c>
      <c r="S129" s="115" t="inlineStr">
        <is>
          <t>IMP-14; IMP-18</t>
        </is>
      </c>
      <c r="T129" s="115" t="inlineStr">
        <is>
          <t>Formulación_Ejes_2027</t>
        </is>
      </c>
      <c r="U129" s="115">
        <f>IF(I129=LEFT('Buscador_Formulación PAA 2027'!$C$4,3),COUNTIF($I$5:I129,LEFT('Buscador_Formulación PAA 2027'!$C$4,3)),"")</f>
        <v/>
      </c>
    </row>
    <row r="130" ht="15" customHeight="1" s="23">
      <c r="A130" s="115" t="inlineStr">
        <is>
          <t>E4-027</t>
        </is>
      </c>
      <c r="B130" s="115" t="inlineStr">
        <is>
          <t>4.2.1.2</t>
        </is>
      </c>
      <c r="C130" s="115" t="inlineStr">
        <is>
          <t>Transformación institucional</t>
        </is>
      </c>
      <c r="D130" s="115" t="inlineStr">
        <is>
          <t>4.2 Arquitectura institucional</t>
        </is>
      </c>
      <c r="E130" s="115" t="inlineStr">
        <is>
          <t>Contar con un (1) sistema de información estratégico.</t>
        </is>
      </c>
      <c r="F130" s="115" t="inlineStr">
        <is>
          <t>Sistema de información estratégico operando y % de dependencias que reportan en él</t>
        </is>
      </c>
      <c r="G130" s="115" t="inlineStr">
        <is>
          <t>1 sistema</t>
        </is>
      </c>
      <c r="H130" s="115" t="inlineStr">
        <is>
          <t>Sugerida por la OAP: SIUE en operación plena: 100% de las dependencias reportando en él y 3 módulos integrados, Hoja de Ruta y Power BI, SNIES-HECAA y repositorio de evidencias,</t>
        </is>
      </c>
      <c r="I130" s="115" t="inlineStr">
        <is>
          <t>A06</t>
        </is>
      </c>
      <c r="J130" s="115" t="inlineStr">
        <is>
          <t>101 · Oficina Asesora de Planeación y Desarrollo Institucional</t>
        </is>
      </c>
      <c r="K130" s="115" t="inlineStr">
        <is>
          <t>Gestión de Proyectos</t>
        </is>
      </c>
      <c r="L130" s="115" t="inlineStr">
        <is>
          <t>Direccionamiento Institucional</t>
        </is>
      </c>
      <c r="M130" s="115" t="inlineStr">
        <is>
          <t>Responsable en el PAA 2026</t>
        </is>
      </c>
      <c r="N130" s="115" t="n">
        <v>14</v>
      </c>
      <c r="O130" s="115" t="n">
        <v>1</v>
      </c>
      <c r="P130" s="115" t="n">
        <v>13</v>
      </c>
      <c r="Q130" s="115" t="n">
        <v>1</v>
      </c>
      <c r="R130" s="115" t="inlineStr">
        <is>
          <t>Acción propuesta AC27.38: Consolidar el SIUE como fuente única de información institucional, con módulos integrados y uso por todas las dependencias. Actividades a su cargo: A27-093 Formalizar el cierre de la implementación del SIUE y su manual de uso; A27-094 Integrar la Hoja de Ruta Power Apps con el SIUE. Con esta acción se atienden compromisos pendientes de 2026 de los proyectos estructurantes. Cerrar o reprogramar en el SUIE los 13 productos 2026 pendientes de esta meta.</t>
        </is>
      </c>
      <c r="S130" s="115" t="inlineStr">
        <is>
          <t>IMP-14; IMP-18</t>
        </is>
      </c>
      <c r="T130" s="115" t="inlineStr">
        <is>
          <t>Formulación_Ejes_2027</t>
        </is>
      </c>
      <c r="U130" s="115">
        <f>IF(I130=LEFT('Buscador_Formulación PAA 2027'!$C$4,3),COUNTIF($I$5:I130,LEFT('Buscador_Formulación PAA 2027'!$C$4,3)),"")</f>
        <v/>
      </c>
    </row>
    <row r="131" ht="15" customHeight="1" s="23">
      <c r="A131" s="115" t="inlineStr">
        <is>
          <t>E4-028</t>
        </is>
      </c>
      <c r="B131" s="115" t="inlineStr">
        <is>
          <t>4.2.1.2</t>
        </is>
      </c>
      <c r="C131" s="115" t="inlineStr">
        <is>
          <t>Transformación institucional</t>
        </is>
      </c>
      <c r="D131" s="115" t="inlineStr">
        <is>
          <t>4.2 Arquitectura institucional</t>
        </is>
      </c>
      <c r="E131" s="115" t="inlineStr">
        <is>
          <t>Contar con un (1) sistema de información estratégico.</t>
        </is>
      </c>
      <c r="F131" s="115" t="inlineStr">
        <is>
          <t>Sistema de información estratégico operando y % de dependencias que reportan en él</t>
        </is>
      </c>
      <c r="G131" s="115" t="inlineStr">
        <is>
          <t>1 sistema</t>
        </is>
      </c>
      <c r="H131" s="115" t="inlineStr">
        <is>
          <t>Sugerida por la OAP: SIUE en operación plena: 100% de las dependencias reportando en él y 3 módulos integrados, Hoja de Ruta y Power BI, SNIES-HECAA y repositorio de evidencias,</t>
        </is>
      </c>
      <c r="I131" s="115" t="inlineStr">
        <is>
          <t>A09</t>
        </is>
      </c>
      <c r="J131" s="115" t="inlineStr">
        <is>
          <t>132 · GIT Gestión de Informática y Telecomunicaciones</t>
        </is>
      </c>
      <c r="K131" s="115" t="inlineStr">
        <is>
          <t>Seguridad Digital y Continuidad</t>
        </is>
      </c>
      <c r="L131" s="115" t="inlineStr">
        <is>
          <t>Gestión de Informática y Telecomunicaciones</t>
        </is>
      </c>
      <c r="M131" s="115" t="inlineStr">
        <is>
          <t>Asignación por funciones del área</t>
        </is>
      </c>
      <c r="N131" s="115" t="n">
        <v>0</v>
      </c>
      <c r="O131" s="115" t="n">
        <v>0</v>
      </c>
      <c r="P131" s="115" t="n">
        <v>0</v>
      </c>
      <c r="Q131" s="115" t="n">
        <v>0</v>
      </c>
      <c r="R131" s="115" t="inlineStr">
        <is>
          <t>Aplicar al SIUE los controles de seguridad de la información: perfiles de acceso, copias de respaldo y continuidad del servicio.</t>
        </is>
      </c>
      <c r="S131" s="115" t="inlineStr">
        <is>
          <t>IMP-14; IMP-18</t>
        </is>
      </c>
      <c r="T131" s="115" t="inlineStr">
        <is>
          <t>Formulación_Ejes_2027</t>
        </is>
      </c>
      <c r="U131" s="115">
        <f>IF(I131=LEFT('Buscador_Formulación PAA 2027'!$C$4,3),COUNTIF($I$5:I131,LEFT('Buscador_Formulación PAA 2027'!$C$4,3)),"")</f>
        <v/>
      </c>
    </row>
    <row r="132" ht="15" customHeight="1" s="23">
      <c r="A132" s="115" t="inlineStr">
        <is>
          <t>E4-029</t>
        </is>
      </c>
      <c r="B132" s="115" t="inlineStr">
        <is>
          <t>4.2.1.2</t>
        </is>
      </c>
      <c r="C132" s="115" t="inlineStr">
        <is>
          <t>Transformación institucional</t>
        </is>
      </c>
      <c r="D132" s="115" t="inlineStr">
        <is>
          <t>4.2 Arquitectura institucional</t>
        </is>
      </c>
      <c r="E132" s="115" t="inlineStr">
        <is>
          <t>Contar con un (1) sistema de información estratégico.</t>
        </is>
      </c>
      <c r="F132" s="115" t="inlineStr">
        <is>
          <t>Sistema de información estratégico operando y % de dependencias que reportan en él</t>
        </is>
      </c>
      <c r="G132" s="115" t="inlineStr">
        <is>
          <t>1 sistema</t>
        </is>
      </c>
      <c r="H132" s="115" t="inlineStr">
        <is>
          <t>Sugerida por la OAP: SIUE en operación plena: 100% de las dependencias reportando en él y 3 módulos integrados, Hoja de Ruta y Power BI, SNIES-HECAA y repositorio de evidencias,</t>
        </is>
      </c>
      <c r="I132" s="115" t="inlineStr">
        <is>
          <t>A29</t>
        </is>
      </c>
      <c r="J132" s="115" t="inlineStr">
        <is>
          <t>126 · GIT Registro y Control</t>
        </is>
      </c>
      <c r="K132" s="115" t="inlineStr">
        <is>
          <t>GIT Registro, Control y Admisiones</t>
        </is>
      </c>
      <c r="L132" s="115" t="inlineStr">
        <is>
          <t>Docencia PES</t>
        </is>
      </c>
      <c r="M132" s="115" t="inlineStr">
        <is>
          <t>Compromiso de proyecto estructurante</t>
        </is>
      </c>
      <c r="N132" s="115" t="n">
        <v>0</v>
      </c>
      <c r="O132" s="115" t="n">
        <v>0</v>
      </c>
      <c r="P132" s="115" t="n">
        <v>0</v>
      </c>
      <c r="Q132" s="115" t="n">
        <v>1</v>
      </c>
      <c r="R132" s="115" t="inlineStr">
        <is>
          <t>Acción propuesta AC27.39: Garantizar una sola cifra oficial en los reportes externos, con reporte SNIES certificado, repositorio de soportes y verificación de consistencia. Actividades a su cargo: A27-095 Completar el reporte SNIES en plantilla HECAA con certificación de veracidad. Con esta acción se atienden compromisos pendientes de 2026 de los proyectos estructurantes.</t>
        </is>
      </c>
      <c r="S132" s="115" t="inlineStr">
        <is>
          <t>IMP-14; IMP-18</t>
        </is>
      </c>
      <c r="T132" s="115" t="inlineStr">
        <is>
          <t>Formulación_Ejes_2027</t>
        </is>
      </c>
      <c r="U132" s="115">
        <f>IF(I132=LEFT('Buscador_Formulación PAA 2027'!$C$4,3),COUNTIF($I$5:I132,LEFT('Buscador_Formulación PAA 2027'!$C$4,3)),"")</f>
        <v/>
      </c>
    </row>
    <row r="133" ht="15" customHeight="1" s="23">
      <c r="A133" s="115" t="inlineStr">
        <is>
          <t>E4-030</t>
        </is>
      </c>
      <c r="B133" s="115" t="inlineStr">
        <is>
          <t>4.2.1.2</t>
        </is>
      </c>
      <c r="C133" s="115" t="inlineStr">
        <is>
          <t>Transformación institucional</t>
        </is>
      </c>
      <c r="D133" s="115" t="inlineStr">
        <is>
          <t>4.2 Arquitectura institucional</t>
        </is>
      </c>
      <c r="E133" s="115" t="inlineStr">
        <is>
          <t>Contar con un (1) sistema de información estratégico.</t>
        </is>
      </c>
      <c r="F133" s="115" t="inlineStr">
        <is>
          <t>Sistema de información estratégico operando y % de dependencias que reportan en él</t>
        </is>
      </c>
      <c r="G133" s="115" t="inlineStr">
        <is>
          <t>1 sistema</t>
        </is>
      </c>
      <c r="H133" s="115" t="inlineStr">
        <is>
          <t>Sugerida por la OAP: SIUE en operación plena: 100% de las dependencias reportando en él y 3 módulos integrados, Hoja de Ruta y Power BI, SNIES-HECAA y repositorio de evidencias,</t>
        </is>
      </c>
      <c r="I133" s="115" t="inlineStr">
        <is>
          <t>A32</t>
        </is>
      </c>
      <c r="J133" s="115" t="inlineStr">
        <is>
          <t>131 · GIT Gestión Documental y Atención al Ciudadano</t>
        </is>
      </c>
      <c r="K133" s="115" t="inlineStr">
        <is>
          <t>Gestión Documental</t>
        </is>
      </c>
      <c r="L133" s="115" t="inlineStr">
        <is>
          <t>Gestión Documental</t>
        </is>
      </c>
      <c r="M133" s="115" t="inlineStr">
        <is>
          <t>Asignación por funciones del área</t>
        </is>
      </c>
      <c r="N133" s="115" t="n">
        <v>0</v>
      </c>
      <c r="O133" s="115" t="n">
        <v>0</v>
      </c>
      <c r="P133" s="115" t="n">
        <v>0</v>
      </c>
      <c r="Q133" s="115" t="n">
        <v>0</v>
      </c>
      <c r="R133" s="115" t="inlineStr">
        <is>
          <t>Definir con Gestión de Proyectos e Informática las reglas de expediente electrónico para que los soportes del SIUE queden organizados y conservados según las tablas de retención.</t>
        </is>
      </c>
      <c r="S133" s="115" t="inlineStr">
        <is>
          <t>IMP-14; IMP-18</t>
        </is>
      </c>
      <c r="T133" s="115" t="inlineStr">
        <is>
          <t>Formulación_Ejes_2027</t>
        </is>
      </c>
      <c r="U133" s="115">
        <f>IF(I133=LEFT('Buscador_Formulación PAA 2027'!$C$4,3),COUNTIF($I$5:I133,LEFT('Buscador_Formulación PAA 2027'!$C$4,3)),"")</f>
        <v/>
      </c>
    </row>
    <row r="134" ht="15" customHeight="1" s="23">
      <c r="A134" s="115" t="inlineStr">
        <is>
          <t>E4-031</t>
        </is>
      </c>
      <c r="B134" s="115" t="inlineStr">
        <is>
          <t>4.2.1.2</t>
        </is>
      </c>
      <c r="C134" s="115" t="inlineStr">
        <is>
          <t>Transformación institucional</t>
        </is>
      </c>
      <c r="D134" s="115" t="inlineStr">
        <is>
          <t>4.2 Arquitectura institucional</t>
        </is>
      </c>
      <c r="E134" s="115" t="inlineStr">
        <is>
          <t>Contar con un (1) sistema de información estratégico.</t>
        </is>
      </c>
      <c r="F134" s="115" t="inlineStr">
        <is>
          <t>Sistema de información estratégico operando y % de dependencias que reportan en él</t>
        </is>
      </c>
      <c r="G134" s="115" t="inlineStr">
        <is>
          <t>1 sistema</t>
        </is>
      </c>
      <c r="H134" s="115" t="inlineStr">
        <is>
          <t>Sugerida por la OAP: SIUE en operación plena: 100% de las dependencias reportando en él y 3 módulos integrados, Hoja de Ruta y Power BI, SNIES-HECAA y repositorio de evidencias,</t>
        </is>
      </c>
      <c r="I134" s="115" t="inlineStr">
        <is>
          <t>A34</t>
        </is>
      </c>
      <c r="J134" s="115" t="inlineStr">
        <is>
          <t>132 · GIT Gestión de Informática y Telecomunicaciones</t>
        </is>
      </c>
      <c r="K134" s="115" t="inlineStr">
        <is>
          <t>GIT Informática y Telecomunicaciones</t>
        </is>
      </c>
      <c r="L134" s="115" t="inlineStr">
        <is>
          <t>Gestión de Informática y Telecomunicaciones</t>
        </is>
      </c>
      <c r="M134" s="115" t="inlineStr">
        <is>
          <t>Compromiso de proyecto estructurante</t>
        </is>
      </c>
      <c r="N134" s="115" t="n">
        <v>0</v>
      </c>
      <c r="O134" s="115" t="n">
        <v>0</v>
      </c>
      <c r="P134" s="115" t="n">
        <v>0</v>
      </c>
      <c r="Q134" s="115" t="n">
        <v>1</v>
      </c>
      <c r="R134" s="115" t="inlineStr">
        <is>
          <t>Acción propuesta AC27.39: Garantizar una sola cifra oficial en los reportes externos, con reporte SNIES certificado, repositorio de soportes y verificación de consistencia. Actividades a su cargo: A27-096 Habilitar un repositorio de soportes de solo lectura para entes externos. Con esta acción se atienden compromisos pendientes de 2026 de los proyectos estructurantes.</t>
        </is>
      </c>
      <c r="S134" s="115" t="inlineStr">
        <is>
          <t>IMP-14; IMP-18</t>
        </is>
      </c>
      <c r="T134" s="115" t="inlineStr">
        <is>
          <t>Formulación_Ejes_2027</t>
        </is>
      </c>
      <c r="U134" s="115">
        <f>IF(I134=LEFT('Buscador_Formulación PAA 2027'!$C$4,3),COUNTIF($I$5:I134,LEFT('Buscador_Formulación PAA 2027'!$C$4,3)),"")</f>
        <v/>
      </c>
    </row>
    <row r="135" ht="15" customHeight="1" s="23">
      <c r="A135" s="115" t="inlineStr">
        <is>
          <t>E4-032</t>
        </is>
      </c>
      <c r="B135" s="115" t="inlineStr">
        <is>
          <t>4.2.1.3</t>
        </is>
      </c>
      <c r="C135" s="115" t="inlineStr">
        <is>
          <t>Transformación institucional</t>
        </is>
      </c>
      <c r="D135" s="115" t="inlineStr">
        <is>
          <t>4.2 Arquitectura institucional</t>
        </is>
      </c>
      <c r="E135" s="115" t="inlineStr">
        <is>
          <t>Consolidar el IBTI como unidad autónoma y adscrita a la Institución con un programa de tránsito inmediato a la educación superior.</t>
        </is>
      </c>
      <c r="F135" s="115" t="inlineStr">
        <is>
          <t>IBTI consolidado como unidad adscrita (fase)</t>
        </is>
      </c>
      <c r="G135" s="115" t="inlineStr">
        <is>
          <t>IBTI consolidado</t>
        </is>
      </c>
      <c r="H135" s="115" t="inlineStr">
        <is>
          <t>Currículos del IBTI y de los programas técnicos profesionales alineados; solicitud de adscripción ante el MEN</t>
        </is>
      </c>
      <c r="I135" s="115" t="inlineStr">
        <is>
          <t>A15</t>
        </is>
      </c>
      <c r="J135" s="115" t="inlineStr">
        <is>
          <t>120 · Vicerrectoría Académica</t>
        </is>
      </c>
      <c r="K135" s="115" t="inlineStr">
        <is>
          <t>Despacho de la Vicerrectoría Académica</t>
        </is>
      </c>
      <c r="L135" s="115" t="inlineStr">
        <is>
          <t>Docencia PES</t>
        </is>
      </c>
      <c r="M135" s="115" t="inlineStr">
        <is>
          <t>Asignación propuesta por la OAP</t>
        </is>
      </c>
      <c r="N135" s="115" t="n">
        <v>0</v>
      </c>
      <c r="O135" s="115" t="n">
        <v>0</v>
      </c>
      <c r="P135" s="115" t="n">
        <v>0</v>
      </c>
      <c r="Q135" s="115" t="n">
        <v>0</v>
      </c>
      <c r="R135" s="115" t="inlineStr">
        <is>
          <t>Acción propuesta AC27.40: Consolidar el IBTI como unidad adscrita con tránsito inmediato a la educación superior, desde la alineación curricular hasta la aprobación ante el MEN. Actividades a su cargo: A27-099 Definir la propuesta de integración de estructuras; A27-100 Gestionar la aprobación de la adscripción ante el MEN.</t>
        </is>
      </c>
      <c r="S135" s="115" t="inlineStr">
        <is>
          <t>IMP-12; IMP-06</t>
        </is>
      </c>
      <c r="T135" s="115" t="inlineStr">
        <is>
          <t>Formulación_Ejes_2027</t>
        </is>
      </c>
      <c r="U135" s="115">
        <f>IF(I135=LEFT('Buscador_Formulación PAA 2027'!$C$4,3),COUNTIF($I$5:I135,LEFT('Buscador_Formulación PAA 2027'!$C$4,3)),"")</f>
        <v/>
      </c>
    </row>
    <row r="136" ht="15" customHeight="1" s="23">
      <c r="A136" s="115" t="inlineStr">
        <is>
          <t>E4-033</t>
        </is>
      </c>
      <c r="B136" s="115" t="inlineStr">
        <is>
          <t>4.2.1.3</t>
        </is>
      </c>
      <c r="C136" s="115" t="inlineStr">
        <is>
          <t>Transformación institucional</t>
        </is>
      </c>
      <c r="D136" s="115" t="inlineStr">
        <is>
          <t>4.2 Arquitectura institucional</t>
        </is>
      </c>
      <c r="E136" s="115" t="inlineStr">
        <is>
          <t>Consolidar el IBTI como unidad autónoma y adscrita a la Institución con un programa de tránsito inmediato a la educación superior.</t>
        </is>
      </c>
      <c r="F136" s="115" t="inlineStr">
        <is>
          <t>IBTI consolidado como unidad adscrita (fase)</t>
        </is>
      </c>
      <c r="G136" s="115" t="inlineStr">
        <is>
          <t>IBTI consolidado</t>
        </is>
      </c>
      <c r="H136" s="115" t="inlineStr">
        <is>
          <t>Currículos del IBTI y de los programas técnicos profesionales alineados; solicitud de adscripción ante el MEN</t>
        </is>
      </c>
      <c r="I136" s="115" t="inlineStr">
        <is>
          <t>A27</t>
        </is>
      </c>
      <c r="J136" s="115" t="inlineStr">
        <is>
          <t>124 · Instituto de Bachillerato Técnico Industrial (IBTI)</t>
        </is>
      </c>
      <c r="K136" s="115" t="inlineStr">
        <is>
          <t>IBTI</t>
        </is>
      </c>
      <c r="L136" s="115" t="inlineStr">
        <is>
          <t>Docencia IBTI</t>
        </is>
      </c>
      <c r="M136" s="115" t="inlineStr">
        <is>
          <t>Asignación propuesta por la OAP</t>
        </is>
      </c>
      <c r="N136" s="115" t="n">
        <v>0</v>
      </c>
      <c r="O136" s="115" t="n">
        <v>0</v>
      </c>
      <c r="P136" s="115" t="n">
        <v>0</v>
      </c>
      <c r="Q136" s="115" t="n">
        <v>0</v>
      </c>
      <c r="R136" s="115" t="inlineStr">
        <is>
          <t>Acción propuesta AC27.40: Consolidar el IBTI como unidad adscrita con tránsito inmediato a la educación superior, desde la alineación curricular hasta la aprobación ante el MEN. Actividades a su cargo: A27-098 Alinear los currículos del IBTI y de los programas técnicos profesionales.</t>
        </is>
      </c>
      <c r="S136" s="115" t="inlineStr">
        <is>
          <t>IMP-12; IMP-06</t>
        </is>
      </c>
      <c r="T136" s="115" t="inlineStr">
        <is>
          <t>Formulación_Ejes_2027</t>
        </is>
      </c>
      <c r="U136" s="115">
        <f>IF(I136=LEFT('Buscador_Formulación PAA 2027'!$C$4,3),COUNTIF($I$5:I136,LEFT('Buscador_Formulación PAA 2027'!$C$4,3)),"")</f>
        <v/>
      </c>
    </row>
    <row r="137" ht="15" customHeight="1" s="23">
      <c r="A137" s="115" t="inlineStr">
        <is>
          <t>E4-034</t>
        </is>
      </c>
      <c r="B137" s="115" t="inlineStr">
        <is>
          <t>4.3.1.1</t>
        </is>
      </c>
      <c r="C137" s="115" t="inlineStr">
        <is>
          <t>Transformación institucional</t>
        </is>
      </c>
      <c r="D137" s="115" t="inlineStr">
        <is>
          <t>4.3 Gestión de la comunidad educativa</t>
        </is>
      </c>
      <c r="E137" s="115" t="inlineStr">
        <is>
          <t>Contar con un (1) sistema estratégico de desarrollo de la comunidad educativa.</t>
        </is>
      </c>
      <c r="F137" s="115" t="inlineStr">
        <is>
          <t>Sistema estratégico de desarrollo de la comunidad educativa (fase)</t>
        </is>
      </c>
      <c r="G137" s="115" t="inlineStr">
        <is>
          <t>1 sistema</t>
        </is>
      </c>
      <c r="H137" s="115" t="inlineStr">
        <is>
          <t>Modelo de operación flexible en funcionamiento</t>
        </is>
      </c>
      <c r="I137" s="115" t="inlineStr">
        <is>
          <t>A07</t>
        </is>
      </c>
      <c r="J137" s="115" t="inlineStr">
        <is>
          <t>101 · Oficina Asesora de Planeación y Desarrollo Institucional</t>
        </is>
      </c>
      <c r="K137" s="115" t="inlineStr">
        <is>
          <t>Autoevaluación y Acreditación</t>
        </is>
      </c>
      <c r="L137" s="115" t="inlineStr">
        <is>
          <t>Gestión del Sistema Integrado de Aseguramiento</t>
        </is>
      </c>
      <c r="M137" s="115" t="inlineStr">
        <is>
          <t>Responsable en el PAA 2026</t>
        </is>
      </c>
      <c r="N137" s="115" t="n">
        <v>9</v>
      </c>
      <c r="O137" s="115" t="n">
        <v>2</v>
      </c>
      <c r="P137" s="115" t="n">
        <v>7</v>
      </c>
      <c r="Q137" s="115" t="n">
        <v>0</v>
      </c>
      <c r="R137" s="115" t="inlineStr">
        <is>
          <t>Acción propuesta AC27.41: Poner en operación el modelo de operación flexible validado con la comunidad educativa y medir su adopción. Actividades a su cargo: A27-101 Validar el modelo de operación flexible con la comunidad educativa; A27-102 Poner en operación el modelo y medir su adopción. Cerrar o reprogramar en el SUIE los 7 productos 2026 pendientes de esta meta.</t>
        </is>
      </c>
      <c r="S137" s="115" t="inlineStr">
        <is>
          <t>IMP-09; IMP-15</t>
        </is>
      </c>
      <c r="T137" s="115" t="inlineStr">
        <is>
          <t>Formulación_Ejes_2027</t>
        </is>
      </c>
      <c r="U137" s="115">
        <f>IF(I137=LEFT('Buscador_Formulación PAA 2027'!$C$4,3),COUNTIF($I$5:I137,LEFT('Buscador_Formulación PAA 2027'!$C$4,3)),"")</f>
        <v/>
      </c>
    </row>
    <row r="138" ht="15" customHeight="1" s="23">
      <c r="A138" s="115" t="inlineStr">
        <is>
          <t>E4-035</t>
        </is>
      </c>
      <c r="B138" s="115" t="inlineStr">
        <is>
          <t>4.3.1.1</t>
        </is>
      </c>
      <c r="C138" s="115" t="inlineStr">
        <is>
          <t>Transformación institucional</t>
        </is>
      </c>
      <c r="D138" s="115" t="inlineStr">
        <is>
          <t>4.3 Gestión de la comunidad educativa</t>
        </is>
      </c>
      <c r="E138" s="115" t="inlineStr">
        <is>
          <t>Contar con un (1) sistema estratégico de desarrollo de la comunidad educativa.</t>
        </is>
      </c>
      <c r="F138" s="115" t="inlineStr">
        <is>
          <t>Sistema estratégico de desarrollo de la comunidad educativa (fase)</t>
        </is>
      </c>
      <c r="G138" s="115" t="inlineStr">
        <is>
          <t>1 sistema</t>
        </is>
      </c>
      <c r="H138" s="115" t="inlineStr">
        <is>
          <t>Modelo de operación flexible en funcionamiento</t>
        </is>
      </c>
      <c r="I138" s="115" t="inlineStr">
        <is>
          <t>A15</t>
        </is>
      </c>
      <c r="J138" s="115" t="inlineStr">
        <is>
          <t>120 · Vicerrectoría Académica</t>
        </is>
      </c>
      <c r="K138" s="115" t="inlineStr">
        <is>
          <t>Despacho de la Vicerrectoría Académica</t>
        </is>
      </c>
      <c r="L138" s="115" t="inlineStr">
        <is>
          <t>Docencia PES</t>
        </is>
      </c>
      <c r="M138" s="115" t="inlineStr">
        <is>
          <t>Responsable en el PAA 2026</t>
        </is>
      </c>
      <c r="N138" s="115" t="n">
        <v>0</v>
      </c>
      <c r="O138" s="115" t="n">
        <v>0</v>
      </c>
      <c r="P138" s="115" t="n">
        <v>0</v>
      </c>
      <c r="Q138" s="115" t="n">
        <v>0</v>
      </c>
      <c r="R138" s="115" t="inlineStr">
        <is>
          <t>Definir las reglas académicas del modelo de operación flexible (horarios, modalidades y créditos) y velar por su aplicación en las facultades.</t>
        </is>
      </c>
      <c r="S138" s="115" t="inlineStr">
        <is>
          <t>IMP-09; IMP-15</t>
        </is>
      </c>
      <c r="T138" s="115" t="inlineStr">
        <is>
          <t>Formulación_Ejes_2027</t>
        </is>
      </c>
      <c r="U138" s="115">
        <f>IF(I138=LEFT('Buscador_Formulación PAA 2027'!$C$4,3),COUNTIF($I$5:I138,LEFT('Buscador_Formulación PAA 2027'!$C$4,3)),"")</f>
        <v/>
      </c>
    </row>
    <row r="139" ht="15" customHeight="1" s="23">
      <c r="A139" s="115" t="inlineStr">
        <is>
          <t>E4-036</t>
        </is>
      </c>
      <c r="B139" s="115" t="inlineStr">
        <is>
          <t>4.3.1.1</t>
        </is>
      </c>
      <c r="C139" s="115" t="inlineStr">
        <is>
          <t>Transformación institucional</t>
        </is>
      </c>
      <c r="D139" s="115" t="inlineStr">
        <is>
          <t>4.3 Gestión de la comunidad educativa</t>
        </is>
      </c>
      <c r="E139" s="115" t="inlineStr">
        <is>
          <t>Contar con un (1) sistema estratégico de desarrollo de la comunidad educativa.</t>
        </is>
      </c>
      <c r="F139" s="115" t="inlineStr">
        <is>
          <t>Sistema estratégico de desarrollo de la comunidad educativa (fase)</t>
        </is>
      </c>
      <c r="G139" s="115" t="inlineStr">
        <is>
          <t>1 sistema</t>
        </is>
      </c>
      <c r="H139" s="115" t="inlineStr">
        <is>
          <t>Modelo de operación flexible en funcionamiento</t>
        </is>
      </c>
      <c r="I139" s="115" t="inlineStr">
        <is>
          <t>A18</t>
        </is>
      </c>
      <c r="J139" s="115" t="inlineStr">
        <is>
          <t>101 · Oficina Asesora de Planeación y Desarrollo Institucional</t>
        </is>
      </c>
      <c r="K139" s="115" t="inlineStr">
        <is>
          <t>Articulación de programas (IA)</t>
        </is>
      </c>
      <c r="L139" s="115" t="inlineStr">
        <is>
          <t>Direccionamiento Institucional</t>
        </is>
      </c>
      <c r="M139" s="115" t="inlineStr">
        <is>
          <t>Responsable en el PAA 2026</t>
        </is>
      </c>
      <c r="N139" s="115" t="n">
        <v>2</v>
      </c>
      <c r="O139" s="115" t="n">
        <v>0</v>
      </c>
      <c r="P139" s="115" t="n">
        <v>2</v>
      </c>
      <c r="Q139" s="115" t="n">
        <v>0</v>
      </c>
      <c r="R139" s="115" t="inlineStr">
        <is>
          <t>Esta meta queda en su lista solo porque tiene productos del PAA 2026 abiertos. En 2027 no se le asigna una acción nueva en ella. Cerrar o reprogramar en el SUIE los 2 productos 2026 pendientes de esta meta.</t>
        </is>
      </c>
      <c r="S139" s="115" t="inlineStr">
        <is>
          <t>IMP-09; IMP-15</t>
        </is>
      </c>
      <c r="T139" s="115" t="inlineStr">
        <is>
          <t>Formulación_Ejes_2027</t>
        </is>
      </c>
      <c r="U139" s="115">
        <f>IF(I139=LEFT('Buscador_Formulación PAA 2027'!$C$4,3),COUNTIF($I$5:I139,LEFT('Buscador_Formulación PAA 2027'!$C$4,3)),"")</f>
        <v/>
      </c>
    </row>
    <row r="140" ht="15" customHeight="1" s="23">
      <c r="A140" s="115" t="inlineStr">
        <is>
          <t>E4-037</t>
        </is>
      </c>
      <c r="B140" s="115" t="inlineStr">
        <is>
          <t>4.3.1.1</t>
        </is>
      </c>
      <c r="C140" s="115" t="inlineStr">
        <is>
          <t>Transformación institucional</t>
        </is>
      </c>
      <c r="D140" s="115" t="inlineStr">
        <is>
          <t>4.3 Gestión de la comunidad educativa</t>
        </is>
      </c>
      <c r="E140" s="115" t="inlineStr">
        <is>
          <t>Contar con un (1) sistema estratégico de desarrollo de la comunidad educativa.</t>
        </is>
      </c>
      <c r="F140" s="115" t="inlineStr">
        <is>
          <t>Sistema estratégico de desarrollo de la comunidad educativa (fase)</t>
        </is>
      </c>
      <c r="G140" s="115" t="inlineStr">
        <is>
          <t>1 sistema</t>
        </is>
      </c>
      <c r="H140" s="115" t="inlineStr">
        <is>
          <t>Modelo de operación flexible en funcionamiento</t>
        </is>
      </c>
      <c r="I140" s="115" t="inlineStr">
        <is>
          <t>A19</t>
        </is>
      </c>
      <c r="J140" s="115" t="inlineStr">
        <is>
          <t>101 · Oficina Asesora de Planeación y Desarrollo Institucional</t>
        </is>
      </c>
      <c r="K140" s="115" t="inlineStr">
        <is>
          <t>Regionalización</t>
        </is>
      </c>
      <c r="L140" s="115" t="inlineStr">
        <is>
          <t>Direccionamiento Institucional</t>
        </is>
      </c>
      <c r="M140" s="115" t="inlineStr">
        <is>
          <t>Responsable en el PAA 2026</t>
        </is>
      </c>
      <c r="N140" s="115" t="n">
        <v>3</v>
      </c>
      <c r="O140" s="115" t="n">
        <v>2</v>
      </c>
      <c r="P140" s="115" t="n">
        <v>1</v>
      </c>
      <c r="Q140" s="115" t="n">
        <v>0</v>
      </c>
      <c r="R140" s="115" t="inlineStr">
        <is>
          <t>Esta meta queda en su lista solo porque tiene productos del PAA 2026 abiertos. En 2027 no se le asigna una acción nueva en ella. Cerrar o reprogramar en el SUIE el producto 2026 pendiente de esta meta.</t>
        </is>
      </c>
      <c r="S140" s="115" t="inlineStr">
        <is>
          <t>IMP-09; IMP-15</t>
        </is>
      </c>
      <c r="T140" s="115" t="inlineStr">
        <is>
          <t>Formulación_Ejes_2027</t>
        </is>
      </c>
      <c r="U140" s="115">
        <f>IF(I140=LEFT('Buscador_Formulación PAA 2027'!$C$4,3),COUNTIF($I$5:I140,LEFT('Buscador_Formulación PAA 2027'!$C$4,3)),"")</f>
        <v/>
      </c>
    </row>
    <row r="141" ht="15" customHeight="1" s="23">
      <c r="A141" s="115" t="inlineStr">
        <is>
          <t>E4-038</t>
        </is>
      </c>
      <c r="B141" s="115" t="inlineStr">
        <is>
          <t>4.4.1.1</t>
        </is>
      </c>
      <c r="C141" s="115" t="inlineStr">
        <is>
          <t>Transformación institucional</t>
        </is>
      </c>
      <c r="D141" s="115" t="inlineStr">
        <is>
          <t>4.4 Relacionamiento dialógico</t>
        </is>
      </c>
      <c r="E141" s="115" t="inlineStr">
        <is>
          <t>Posicionamiento en un indicador Top of Mind de universidades tecnológicas de carácter público en el país.</t>
        </is>
      </c>
      <c r="F141" s="115" t="inlineStr">
        <is>
          <t>Posición en el indicador Top of Mind</t>
        </is>
      </c>
      <c r="G141" s="115" t="inlineStr">
        <is>
          <t>1 indicador</t>
        </is>
      </c>
      <c r="H141" s="115" t="inlineStr">
        <is>
          <t>Sugerida por la OAP: medición de línea base Top of Mind aplicada y plan de posicionamiento ejecutado al 100% de lo programado para 2027</t>
        </is>
      </c>
      <c r="I141" s="115" t="inlineStr">
        <is>
          <t>A02</t>
        </is>
      </c>
      <c r="J141" s="115" t="inlineStr">
        <is>
          <t>100 · Rectoría</t>
        </is>
      </c>
      <c r="K141" s="115" t="inlineStr">
        <is>
          <t>Comunicaciones y Mercadeo</t>
        </is>
      </c>
      <c r="L141" s="115" t="inlineStr">
        <is>
          <t>Gestión de Comunicaciones</t>
        </is>
      </c>
      <c r="M141" s="115" t="inlineStr">
        <is>
          <t>Responsable en el PAA 2026</t>
        </is>
      </c>
      <c r="N141" s="115" t="n">
        <v>39</v>
      </c>
      <c r="O141" s="115" t="n">
        <v>7</v>
      </c>
      <c r="P141" s="115" t="n">
        <v>32</v>
      </c>
      <c r="Q141" s="115" t="n">
        <v>1</v>
      </c>
      <c r="R141" s="115" t="inlineStr">
        <is>
          <t>Acción propuesta AC27.42: Posicionar la marca ETITC con una medición de línea base y campañas de alcance nacional y regional. Actividades a su cargo: A27-103 Aplicar la medición de línea base de Top of Mind; A27-104 Desarrollar campañas de branding con alcance nacional y regional. Con esta acción se atienden compromisos pendientes de 2026 de los proyectos estructurantes. Cerrar o reprogramar en el SUIE los 32 productos 2026 pendientes de esta meta.</t>
        </is>
      </c>
      <c r="S141" s="115" t="inlineStr">
        <is>
          <t>IMP-16</t>
        </is>
      </c>
      <c r="T141" s="115" t="inlineStr">
        <is>
          <t>Formulación_Ejes_2027</t>
        </is>
      </c>
      <c r="U141" s="115">
        <f>IF(I141=LEFT('Buscador_Formulación PAA 2027'!$C$4,3),COUNTIF($I$5:I141,LEFT('Buscador_Formulación PAA 2027'!$C$4,3)),"")</f>
        <v/>
      </c>
    </row>
    <row r="142" ht="15" customHeight="1" s="23">
      <c r="A142" s="115" t="inlineStr">
        <is>
          <t>E4-039</t>
        </is>
      </c>
      <c r="B142" s="115" t="inlineStr">
        <is>
          <t>4.4.1.1</t>
        </is>
      </c>
      <c r="C142" s="115" t="inlineStr">
        <is>
          <t>Transformación institucional</t>
        </is>
      </c>
      <c r="D142" s="115" t="inlineStr">
        <is>
          <t>4.4 Relacionamiento dialógico</t>
        </is>
      </c>
      <c r="E142" s="115" t="inlineStr">
        <is>
          <t>Posicionamiento en un indicador Top of Mind de universidades tecnológicas de carácter público en el país.</t>
        </is>
      </c>
      <c r="F142" s="115" t="inlineStr">
        <is>
          <t>Posición en el indicador Top of Mind</t>
        </is>
      </c>
      <c r="G142" s="115" t="inlineStr">
        <is>
          <t>1 indicador</t>
        </is>
      </c>
      <c r="H142" s="115" t="inlineStr">
        <is>
          <t>Sugerida por la OAP: medición de línea base Top of Mind aplicada y plan de posicionamiento ejecutado al 100% de lo programado para 2027</t>
        </is>
      </c>
      <c r="I142" s="115" t="inlineStr">
        <is>
          <t>A03</t>
        </is>
      </c>
      <c r="J142" s="115" t="inlineStr">
        <is>
          <t>100 · Rectoría</t>
        </is>
      </c>
      <c r="K142" s="115" t="inlineStr">
        <is>
          <t>Internacionalización (ORII)</t>
        </is>
      </c>
      <c r="L142" s="115" t="inlineStr">
        <is>
          <t>Gestión de Internacionalización</t>
        </is>
      </c>
      <c r="M142" s="115" t="inlineStr">
        <is>
          <t>Responsable en el PAA 2026</t>
        </is>
      </c>
      <c r="N142" s="115" t="n">
        <v>8</v>
      </c>
      <c r="O142" s="115" t="n">
        <v>2</v>
      </c>
      <c r="P142" s="115" t="n">
        <v>6</v>
      </c>
      <c r="Q142" s="115" t="n">
        <v>0</v>
      </c>
      <c r="R142" s="115" t="inlineStr">
        <is>
          <t>Posicionar a la Escuela ante pares internacionales con la difusión de sus convenios y movilidades. Cerrar o reprogramar en el SUIE los 6 productos 2026 pendientes de esta meta.</t>
        </is>
      </c>
      <c r="S142" s="115" t="inlineStr">
        <is>
          <t>IMP-16</t>
        </is>
      </c>
      <c r="T142" s="115" t="inlineStr">
        <is>
          <t>Formulación_Ejes_2027</t>
        </is>
      </c>
      <c r="U142" s="115">
        <f>IF(I142=LEFT('Buscador_Formulación PAA 2027'!$C$4,3),COUNTIF($I$5:I142,LEFT('Buscador_Formulación PAA 2027'!$C$4,3)),"")</f>
        <v/>
      </c>
    </row>
    <row r="143" ht="15" customHeight="1" s="23">
      <c r="A143" s="115" t="inlineStr">
        <is>
          <t>E4-040</t>
        </is>
      </c>
      <c r="B143" s="115" t="inlineStr">
        <is>
          <t>4.4.1.1</t>
        </is>
      </c>
      <c r="C143" s="115" t="inlineStr">
        <is>
          <t>Transformación institucional</t>
        </is>
      </c>
      <c r="D143" s="115" t="inlineStr">
        <is>
          <t>4.4 Relacionamiento dialógico</t>
        </is>
      </c>
      <c r="E143" s="115" t="inlineStr">
        <is>
          <t>Posicionamiento en un indicador Top of Mind de universidades tecnológicas de carácter público en el país.</t>
        </is>
      </c>
      <c r="F143" s="115" t="inlineStr">
        <is>
          <t>Posición en el indicador Top of Mind</t>
        </is>
      </c>
      <c r="G143" s="115" t="inlineStr">
        <is>
          <t>1 indicador</t>
        </is>
      </c>
      <c r="H143" s="115" t="inlineStr">
        <is>
          <t>Sugerida por la OAP: medición de línea base Top of Mind aplicada y plan de posicionamiento ejecutado al 100% de lo programado para 2027</t>
        </is>
      </c>
      <c r="I143" s="115" t="inlineStr">
        <is>
          <t>A11</t>
        </is>
      </c>
      <c r="J143" s="115" t="inlineStr">
        <is>
          <t>110 · Secretaría General</t>
        </is>
      </c>
      <c r="K143" s="115" t="inlineStr">
        <is>
          <t>Despacho de Secretaría General</t>
        </is>
      </c>
      <c r="L143" s="115" t="inlineStr">
        <is>
          <t>Direccionamiento Institucional</t>
        </is>
      </c>
      <c r="M143" s="115" t="inlineStr">
        <is>
          <t>Responsable en el PAA 2026</t>
        </is>
      </c>
      <c r="N143" s="115" t="n">
        <v>1</v>
      </c>
      <c r="O143" s="115" t="n">
        <v>0</v>
      </c>
      <c r="P143" s="115" t="n">
        <v>1</v>
      </c>
      <c r="Q143" s="115" t="n">
        <v>0</v>
      </c>
      <c r="R143" s="115" t="inlineStr">
        <is>
          <t>Esta meta queda en su lista solo porque tiene productos del PAA 2026 abiertos. En 2027 no se le asigna una acción nueva en ella. Cerrar o reprogramar en el SUIE el producto 2026 pendiente de esta meta.</t>
        </is>
      </c>
      <c r="S143" s="115" t="inlineStr">
        <is>
          <t>IMP-16</t>
        </is>
      </c>
      <c r="T143" s="115" t="inlineStr">
        <is>
          <t>Formulación_Ejes_2027</t>
        </is>
      </c>
      <c r="U143" s="115">
        <f>IF(I143=LEFT('Buscador_Formulación PAA 2027'!$C$4,3),COUNTIF($I$5:I143,LEFT('Buscador_Formulación PAA 2027'!$C$4,3)),"")</f>
        <v/>
      </c>
    </row>
    <row r="144" ht="15" customHeight="1" s="23">
      <c r="A144" s="115" t="inlineStr">
        <is>
          <t>E4-041</t>
        </is>
      </c>
      <c r="B144" s="115" t="inlineStr">
        <is>
          <t>4.4.1.1</t>
        </is>
      </c>
      <c r="C144" s="115" t="inlineStr">
        <is>
          <t>Transformación institucional</t>
        </is>
      </c>
      <c r="D144" s="115" t="inlineStr">
        <is>
          <t>4.4 Relacionamiento dialógico</t>
        </is>
      </c>
      <c r="E144" s="115" t="inlineStr">
        <is>
          <t>Posicionamiento en un indicador Top of Mind de universidades tecnológicas de carácter público en el país.</t>
        </is>
      </c>
      <c r="F144" s="115" t="inlineStr">
        <is>
          <t>Posición en el indicador Top of Mind</t>
        </is>
      </c>
      <c r="G144" s="115" t="inlineStr">
        <is>
          <t>1 indicador</t>
        </is>
      </c>
      <c r="H144" s="115" t="inlineStr">
        <is>
          <t>Sugerida por la OAP: medición de línea base Top of Mind aplicada y plan de posicionamiento ejecutado al 100% de lo programado para 2027</t>
        </is>
      </c>
      <c r="I144" s="115" t="inlineStr">
        <is>
          <t>A12</t>
        </is>
      </c>
      <c r="J144" s="115" t="inlineStr">
        <is>
          <t>110 · Secretaría General</t>
        </is>
      </c>
      <c r="K144" s="115" t="inlineStr">
        <is>
          <t>Gestión Jurídica</t>
        </is>
      </c>
      <c r="L144" s="115" t="inlineStr">
        <is>
          <t>Gestión Jurídica</t>
        </is>
      </c>
      <c r="M144" s="115" t="inlineStr">
        <is>
          <t>Responsable en el PAA 2026</t>
        </is>
      </c>
      <c r="N144" s="115" t="n">
        <v>2</v>
      </c>
      <c r="O144" s="115" t="n">
        <v>0</v>
      </c>
      <c r="P144" s="115" t="n">
        <v>2</v>
      </c>
      <c r="Q144" s="115" t="n">
        <v>0</v>
      </c>
      <c r="R144" s="115" t="inlineStr">
        <is>
          <t>Esta meta queda en su lista solo porque tiene productos del PAA 2026 abiertos. En 2027 no se le asigna una acción nueva en ella. Cerrar o reprogramar en el SUIE los 2 productos 2026 pendientes de esta meta.</t>
        </is>
      </c>
      <c r="S144" s="115" t="inlineStr">
        <is>
          <t>IMP-16</t>
        </is>
      </c>
      <c r="T144" s="115" t="inlineStr">
        <is>
          <t>Formulación_Ejes_2027</t>
        </is>
      </c>
      <c r="U144" s="115">
        <f>IF(I144=LEFT('Buscador_Formulación PAA 2027'!$C$4,3),COUNTIF($I$5:I144,LEFT('Buscador_Formulación PAA 2027'!$C$4,3)),"")</f>
        <v/>
      </c>
    </row>
    <row r="145" ht="15" customHeight="1" s="23">
      <c r="A145" s="115" t="inlineStr">
        <is>
          <t>E4-042</t>
        </is>
      </c>
      <c r="B145" s="115" t="inlineStr">
        <is>
          <t>4.4.1.1</t>
        </is>
      </c>
      <c r="C145" s="115" t="inlineStr">
        <is>
          <t>Transformación institucional</t>
        </is>
      </c>
      <c r="D145" s="115" t="inlineStr">
        <is>
          <t>4.4 Relacionamiento dialógico</t>
        </is>
      </c>
      <c r="E145" s="115" t="inlineStr">
        <is>
          <t>Posicionamiento en un indicador Top of Mind de universidades tecnológicas de carácter público en el país.</t>
        </is>
      </c>
      <c r="F145" s="115" t="inlineStr">
        <is>
          <t>Posición en el indicador Top of Mind</t>
        </is>
      </c>
      <c r="G145" s="115" t="inlineStr">
        <is>
          <t>1 indicador</t>
        </is>
      </c>
      <c r="H145" s="115" t="inlineStr">
        <is>
          <t>Sugerida por la OAP: medición de línea base Top of Mind aplicada y plan de posicionamiento ejecutado al 100% de lo programado para 2027</t>
        </is>
      </c>
      <c r="I145" s="115" t="inlineStr">
        <is>
          <t>A33</t>
        </is>
      </c>
      <c r="J145" s="115" t="inlineStr">
        <is>
          <t>131 · GIT Gestión Documental y Atención al Ciudadano</t>
        </is>
      </c>
      <c r="K145" s="115" t="inlineStr">
        <is>
          <t>Atención al Ciudadano</t>
        </is>
      </c>
      <c r="L145" s="115" t="inlineStr">
        <is>
          <t>Gestión de Servicio al Ciudadano</t>
        </is>
      </c>
      <c r="M145" s="115" t="inlineStr">
        <is>
          <t>Asignación por funciones del área</t>
        </is>
      </c>
      <c r="N145" s="115" t="n">
        <v>0</v>
      </c>
      <c r="O145" s="115" t="n">
        <v>0</v>
      </c>
      <c r="P145" s="115" t="n">
        <v>0</v>
      </c>
      <c r="Q145" s="115" t="n">
        <v>0</v>
      </c>
      <c r="R145" s="115" t="inlineStr">
        <is>
          <t>Medir la satisfacción de los usuarios y entregar sus resultados a Comunicaciones para el plan de posicionamiento de la Escuela.</t>
        </is>
      </c>
      <c r="S145" s="115" t="inlineStr">
        <is>
          <t>IMP-16</t>
        </is>
      </c>
      <c r="T145" s="115" t="inlineStr">
        <is>
          <t>Formulación_Ejes_2027</t>
        </is>
      </c>
      <c r="U145" s="115">
        <f>IF(I145=LEFT('Buscador_Formulación PAA 2027'!$C$4,3),COUNTIF($I$5:I145,LEFT('Buscador_Formulación PAA 2027'!$C$4,3)),"")</f>
        <v/>
      </c>
    </row>
    <row r="146" ht="15" customHeight="1" s="23">
      <c r="A146" s="115" t="inlineStr">
        <is>
          <t>E4-043</t>
        </is>
      </c>
      <c r="B146" s="115" t="inlineStr">
        <is>
          <t>4.4.1.1</t>
        </is>
      </c>
      <c r="C146" s="115" t="inlineStr">
        <is>
          <t>Transformación institucional</t>
        </is>
      </c>
      <c r="D146" s="115" t="inlineStr">
        <is>
          <t>4.4 Relacionamiento dialógico</t>
        </is>
      </c>
      <c r="E146" s="115" t="inlineStr">
        <is>
          <t>Posicionamiento en un indicador Top of Mind de universidades tecnológicas de carácter público en el país.</t>
        </is>
      </c>
      <c r="F146" s="115" t="inlineStr">
        <is>
          <t>Posición en el indicador Top of Mind</t>
        </is>
      </c>
      <c r="G146" s="115" t="inlineStr">
        <is>
          <t>1 indicador</t>
        </is>
      </c>
      <c r="H146" s="115" t="inlineStr">
        <is>
          <t>Sugerida por la OAP: medición de línea base Top of Mind aplicada y plan de posicionamiento ejecutado al 100% de lo programado para 2027</t>
        </is>
      </c>
      <c r="I146" s="115" t="inlineStr">
        <is>
          <t>A34</t>
        </is>
      </c>
      <c r="J146" s="115" t="inlineStr">
        <is>
          <t>132 · GIT Gestión de Informática y Telecomunicaciones</t>
        </is>
      </c>
      <c r="K146" s="115" t="inlineStr">
        <is>
          <t>GIT Informática y Telecomunicaciones</t>
        </is>
      </c>
      <c r="L146" s="115" t="inlineStr">
        <is>
          <t>Gestión de Informática y Telecomunicaciones</t>
        </is>
      </c>
      <c r="M146" s="115" t="inlineStr">
        <is>
          <t>Responsable en el PAA 2026</t>
        </is>
      </c>
      <c r="N146" s="115" t="n">
        <v>8</v>
      </c>
      <c r="O146" s="115" t="n">
        <v>4</v>
      </c>
      <c r="P146" s="115" t="n">
        <v>4</v>
      </c>
      <c r="Q146" s="115" t="n">
        <v>0</v>
      </c>
      <c r="R146" s="115" t="inlineStr">
        <is>
          <t>Mantener el portal web institucional actualizado y accesible, que es la primera vitrina de la Escuela. Cerrar o reprogramar en el SUIE los 4 productos 2026 pendientes de esta meta.</t>
        </is>
      </c>
      <c r="S146" s="115" t="inlineStr">
        <is>
          <t>IMP-16</t>
        </is>
      </c>
      <c r="T146" s="115" t="inlineStr">
        <is>
          <t>Formulación_Ejes_2027</t>
        </is>
      </c>
      <c r="U146" s="115">
        <f>IF(I146=LEFT('Buscador_Formulación PAA 2027'!$C$4,3),COUNTIF($I$5:I146,LEFT('Buscador_Formulación PAA 2027'!$C$4,3)),"")</f>
        <v/>
      </c>
    </row>
    <row r="147" ht="15" customHeight="1" s="23">
      <c r="A147" s="115" t="inlineStr">
        <is>
          <t>E4-044</t>
        </is>
      </c>
      <c r="B147" s="115" t="inlineStr">
        <is>
          <t>4.4.1.2</t>
        </is>
      </c>
      <c r="C147" s="115" t="inlineStr">
        <is>
          <t>Transformación institucional</t>
        </is>
      </c>
      <c r="D147" s="115" t="inlineStr">
        <is>
          <t>4.4 Relacionamiento dialógico</t>
        </is>
      </c>
      <c r="E147" s="115" t="inlineStr">
        <is>
          <t>Cinco (5) alianzas estratégicas.</t>
        </is>
      </c>
      <c r="F147" s="115" t="inlineStr">
        <is>
          <t>N.° de alianzas estratégicas formalizadas</t>
        </is>
      </c>
      <c r="G147" s="115" t="inlineStr">
        <is>
          <t>5 alianzas</t>
        </is>
      </c>
      <c r="H147" s="115" t="inlineStr">
        <is>
          <t>5 proyectos o alianzas estratégicas suscritos</t>
        </is>
      </c>
      <c r="I147" s="115" t="inlineStr">
        <is>
          <t>A03</t>
        </is>
      </c>
      <c r="J147" s="115" t="inlineStr">
        <is>
          <t>100 · Rectoría</t>
        </is>
      </c>
      <c r="K147" s="115" t="inlineStr">
        <is>
          <t>Internacionalización (ORII)</t>
        </is>
      </c>
      <c r="L147" s="115" t="inlineStr">
        <is>
          <t>Gestión de Internacionalización</t>
        </is>
      </c>
      <c r="M147" s="115" t="inlineStr">
        <is>
          <t>Responsable en el PAA 2026</t>
        </is>
      </c>
      <c r="N147" s="115" t="n">
        <v>12</v>
      </c>
      <c r="O147" s="115" t="n">
        <v>4</v>
      </c>
      <c r="P147" s="115" t="n">
        <v>8</v>
      </c>
      <c r="Q147" s="115" t="n">
        <v>1</v>
      </c>
      <c r="R147" s="115" t="inlineStr">
        <is>
          <t>Acción propuesta AC27.43: Formalizar cinco alianzas estratégicas con criterios claros y medir su efecto en la internacionalización y la cooperación. Actividades a su cargo: A27-105 Definir los criterios de «alianza estratégica» y clasificar los convenios vigentes; A27-106 Suscribir como mínimo 5 proyectos con el sector empresarial, académico, ambiental y gubernamental; A27-107 Iniciar el estudio de impacto de Internacionalización y cooperación. Con esta acción se atienden compromisos pendientes de 2026 de los proyectos estructurantes. Cerrar o reprogramar en el SUIE los 8 productos 2026 pendientes de esta meta.</t>
        </is>
      </c>
      <c r="S147" s="115" t="inlineStr">
        <is>
          <t>IMP-03; IMP-04</t>
        </is>
      </c>
      <c r="T147" s="115" t="inlineStr">
        <is>
          <t>Formulación_Ejes_2027</t>
        </is>
      </c>
      <c r="U147" s="115">
        <f>IF(I147=LEFT('Buscador_Formulación PAA 2027'!$C$4,3),COUNTIF($I$5:I147,LEFT('Buscador_Formulación PAA 2027'!$C$4,3)),"")</f>
        <v/>
      </c>
    </row>
    <row r="148" ht="15" customHeight="1" s="23">
      <c r="A148" s="115" t="inlineStr">
        <is>
          <t>E4-045</t>
        </is>
      </c>
      <c r="B148" s="115" t="inlineStr">
        <is>
          <t>4.4.1.2</t>
        </is>
      </c>
      <c r="C148" s="115" t="inlineStr">
        <is>
          <t>Transformación institucional</t>
        </is>
      </c>
      <c r="D148" s="115" t="inlineStr">
        <is>
          <t>4.4 Relacionamiento dialógico</t>
        </is>
      </c>
      <c r="E148" s="115" t="inlineStr">
        <is>
          <t>Cinco (5) alianzas estratégicas.</t>
        </is>
      </c>
      <c r="F148" s="115" t="inlineStr">
        <is>
          <t>N.° de alianzas estratégicas formalizadas</t>
        </is>
      </c>
      <c r="G148" s="115" t="inlineStr">
        <is>
          <t>5 alianzas</t>
        </is>
      </c>
      <c r="H148" s="115" t="inlineStr">
        <is>
          <t>5 proyectos o alianzas estratégicas suscritos</t>
        </is>
      </c>
      <c r="I148" s="115" t="inlineStr">
        <is>
          <t>A38</t>
        </is>
      </c>
      <c r="J148" s="115" t="inlineStr">
        <is>
          <t>140 · Vicerrectoría de Investigación, Extensión y Transferencia</t>
        </is>
      </c>
      <c r="K148" s="115" t="inlineStr">
        <is>
          <t>Despacho de la VIET</t>
        </is>
      </c>
      <c r="L148" s="115" t="inlineStr">
        <is>
          <t>Investigación</t>
        </is>
      </c>
      <c r="M148" s="115" t="inlineStr">
        <is>
          <t>Responsable en el PAA 2026</t>
        </is>
      </c>
      <c r="N148" s="115" t="n">
        <v>1</v>
      </c>
      <c r="O148" s="115" t="n">
        <v>1</v>
      </c>
      <c r="P148" s="115" t="n">
        <v>0</v>
      </c>
      <c r="Q148" s="115" t="n">
        <v>0</v>
      </c>
      <c r="R148" s="115" t="inlineStr">
        <is>
          <t>Promover alianzas de investigación y transferencia con el sector productivo que cuenten como alianzas estratégicas.</t>
        </is>
      </c>
      <c r="S148" s="115" t="inlineStr">
        <is>
          <t>IMP-03; IMP-04</t>
        </is>
      </c>
      <c r="T148" s="115" t="inlineStr">
        <is>
          <t>Formulación_Ejes_2027</t>
        </is>
      </c>
      <c r="U148" s="115">
        <f>IF(I148=LEFT('Buscador_Formulación PAA 2027'!$C$4,3),COUNTIF($I$5:I148,LEFT('Buscador_Formulación PAA 2027'!$C$4,3)),"")</f>
        <v/>
      </c>
    </row>
    <row r="149" ht="15" customHeight="1" s="23">
      <c r="A149" s="115" t="inlineStr">
        <is>
          <t>E4-046</t>
        </is>
      </c>
      <c r="B149" s="115" t="inlineStr">
        <is>
          <t>4.4.1.3</t>
        </is>
      </c>
      <c r="C149" s="115" t="inlineStr">
        <is>
          <t>Transformación institucional</t>
        </is>
      </c>
      <c r="D149" s="115" t="inlineStr">
        <is>
          <t>4.4 Relacionamiento dialógico</t>
        </is>
      </c>
      <c r="E149" s="115" t="inlineStr">
        <is>
          <t>30 proyectos por cada una de las hélices: (1) sistema educativo; (2) sistema económico; (3) entorno natural; (4) el público (medios, cultura y sociedad civil) y (5) el sistema político.</t>
        </is>
      </c>
      <c r="F149" s="115" t="inlineStr">
        <is>
          <t>N.° de proyectos por hélice</t>
        </is>
      </c>
      <c r="G149" s="115" t="inlineStr">
        <is>
          <t>30 proyectos por hélice</t>
        </is>
      </c>
      <c r="H149" s="115" t="inlineStr">
        <is>
          <t>Sugerida por la OAP: inventario de proyectos por hélice y 5 proyectos por hélice, 25 en total, en 2027, trayectoria hacia 30 por hélice en 2032</t>
        </is>
      </c>
      <c r="I149" s="115" t="inlineStr">
        <is>
          <t>A38</t>
        </is>
      </c>
      <c r="J149" s="115" t="inlineStr">
        <is>
          <t>140 · Vicerrectoría de Investigación, Extensión y Transferencia</t>
        </is>
      </c>
      <c r="K149" s="115" t="inlineStr">
        <is>
          <t>Despacho de la VIET</t>
        </is>
      </c>
      <c r="L149" s="115" t="inlineStr">
        <is>
          <t>Investigación</t>
        </is>
      </c>
      <c r="M149" s="115" t="inlineStr">
        <is>
          <t>Asignación propuesta por la OAP</t>
        </is>
      </c>
      <c r="N149" s="115" t="n">
        <v>0</v>
      </c>
      <c r="O149" s="115" t="n">
        <v>0</v>
      </c>
      <c r="P149" s="115" t="n">
        <v>0</v>
      </c>
      <c r="Q149" s="115" t="n">
        <v>0</v>
      </c>
      <c r="R149" s="115" t="inlineStr">
        <is>
          <t>Acción propuesta AC27.44: Organizar el relacionamiento con las cinco hélices mediante un inventario de proyectos y la ejecución de proyectos nuevos en cada una. Actividades a su cargo: A27-108 Inventariar los proyectos vigentes y clasificarlos por hélice.</t>
        </is>
      </c>
      <c r="S149" s="115" t="inlineStr">
        <is>
          <t>IMP-03; IMP-04</t>
        </is>
      </c>
      <c r="T149" s="115" t="inlineStr">
        <is>
          <t>Formulación_Ejes_2027</t>
        </is>
      </c>
      <c r="U149" s="115">
        <f>IF(I149=LEFT('Buscador_Formulación PAA 2027'!$C$4,3),COUNTIF($I$5:I149,LEFT('Buscador_Formulación PAA 2027'!$C$4,3)),"")</f>
        <v/>
      </c>
    </row>
    <row r="150" ht="15" customHeight="1" s="23">
      <c r="A150" s="115" t="inlineStr">
        <is>
          <t>E4-047</t>
        </is>
      </c>
      <c r="B150" s="115" t="inlineStr">
        <is>
          <t>4.4.1.3</t>
        </is>
      </c>
      <c r="C150" s="115" t="inlineStr">
        <is>
          <t>Transformación institucional</t>
        </is>
      </c>
      <c r="D150" s="115" t="inlineStr">
        <is>
          <t>4.4 Relacionamiento dialógico</t>
        </is>
      </c>
      <c r="E150" s="115" t="inlineStr">
        <is>
          <t>30 proyectos por cada una de las hélices: (1) sistema educativo; (2) sistema económico; (3) entorno natural; (4) el público (medios, cultura y sociedad civil) y (5) el sistema político.</t>
        </is>
      </c>
      <c r="F150" s="115" t="inlineStr">
        <is>
          <t>N.° de proyectos por hélice</t>
        </is>
      </c>
      <c r="G150" s="115" t="inlineStr">
        <is>
          <t>30 proyectos por hélice</t>
        </is>
      </c>
      <c r="H150" s="115" t="inlineStr">
        <is>
          <t>Sugerida por la OAP: inventario de proyectos por hélice y 5 proyectos por hélice, 25 en total, en 2027, trayectoria hacia 30 por hélice en 2032</t>
        </is>
      </c>
      <c r="I150" s="115" t="inlineStr">
        <is>
          <t>A41</t>
        </is>
      </c>
      <c r="J150" s="115" t="inlineStr">
        <is>
          <t>141 · GIT Extensión y Proyección Social</t>
        </is>
      </c>
      <c r="K150" s="115" t="inlineStr">
        <is>
          <t>GIT Extensión y Proyección Social (incluye ETDH)</t>
        </is>
      </c>
      <c r="L150" s="115" t="inlineStr">
        <is>
          <t>Extensión y Proyección Social</t>
        </is>
      </c>
      <c r="M150" s="115" t="inlineStr">
        <is>
          <t>Asignación propuesta por la OAP</t>
        </is>
      </c>
      <c r="N150" s="115" t="n">
        <v>0</v>
      </c>
      <c r="O150" s="115" t="n">
        <v>0</v>
      </c>
      <c r="P150" s="115" t="n">
        <v>0</v>
      </c>
      <c r="Q150" s="115" t="n">
        <v>0</v>
      </c>
      <c r="R150" s="115" t="inlineStr">
        <is>
          <t>Acción propuesta AC27.44: Organizar el relacionamiento con las cinco hélices mediante un inventario de proyectos y la ejecución de proyectos nuevos en cada una. Actividades a su cargo: A27-109 Formular y ejecutar 5 proyectos por hélice.</t>
        </is>
      </c>
      <c r="S150" s="115" t="inlineStr">
        <is>
          <t>IMP-03; IMP-04</t>
        </is>
      </c>
      <c r="T150" s="115" t="inlineStr">
        <is>
          <t>Formulación_Ejes_2027</t>
        </is>
      </c>
      <c r="U150" s="115">
        <f>IF(I150=LEFT('Buscador_Formulación PAA 2027'!$C$4,3),COUNTIF($I$5:I150,LEFT('Buscador_Formulación PAA 2027'!$C$4,3)),"")</f>
        <v/>
      </c>
    </row>
    <row r="151" ht="15" customHeight="1" s="23">
      <c r="A151" s="115" t="inlineStr">
        <is>
          <t>E4-048</t>
        </is>
      </c>
      <c r="B151" s="115" t="inlineStr">
        <is>
          <t>4.5.1.1</t>
        </is>
      </c>
      <c r="C151" s="115" t="inlineStr">
        <is>
          <t>Transformación institucional</t>
        </is>
      </c>
      <c r="D151" s="115" t="inlineStr">
        <is>
          <t>4.5 Cultura organizacional</t>
        </is>
      </c>
      <c r="E151" s="115" t="inlineStr">
        <is>
          <t>Lograr un 90% de participación de los grupos de valor en las acciones de cultura organizacional.</t>
        </is>
      </c>
      <c r="F151" s="115" t="inlineStr">
        <is>
          <t>% de participación de los grupos de valor en acciones de cultura</t>
        </is>
      </c>
      <c r="G151" s="115" t="inlineStr">
        <is>
          <t>90%</t>
        </is>
      </c>
      <c r="H151" s="115" t="inlineStr">
        <is>
          <t>Sugerida por la OAP: 75% de participación de los grupos de valor, primera medición en 2027 y trayectoria hacia 90% en 2032,</t>
        </is>
      </c>
      <c r="I151" s="115" t="inlineStr">
        <is>
          <t>A13</t>
        </is>
      </c>
      <c r="J151" s="115" t="inlineStr">
        <is>
          <t>110 · Secretaría General</t>
        </is>
      </c>
      <c r="K151" s="115" t="inlineStr">
        <is>
          <t>Control Disciplinario</t>
        </is>
      </c>
      <c r="L151" s="115" t="inlineStr">
        <is>
          <t>Gestión de Control Disciplinario</t>
        </is>
      </c>
      <c r="M151" s="115" t="inlineStr">
        <is>
          <t>Asignación por funciones del área</t>
        </is>
      </c>
      <c r="N151" s="115" t="n">
        <v>0</v>
      </c>
      <c r="O151" s="115" t="n">
        <v>0</v>
      </c>
      <c r="P151" s="115" t="n">
        <v>0</v>
      </c>
      <c r="Q151" s="115" t="n">
        <v>0</v>
      </c>
      <c r="R151" s="115" t="inlineStr">
        <is>
          <t>Desarrollar acciones preventivas en materia disciplinaria con los servidores, como charlas sobre el Código General Disciplinario y casos frecuentes, y medir la participación.</t>
        </is>
      </c>
      <c r="S151" s="115" t="inlineStr">
        <is>
          <t>IMP-16; IMP-15</t>
        </is>
      </c>
      <c r="T151" s="115" t="inlineStr">
        <is>
          <t>Formulación_Ejes_2027</t>
        </is>
      </c>
      <c r="U151" s="115">
        <f>IF(I151=LEFT('Buscador_Formulación PAA 2027'!$C$4,3),COUNTIF($I$5:I151,LEFT('Buscador_Formulación PAA 2027'!$C$4,3)),"")</f>
        <v/>
      </c>
    </row>
    <row r="152" ht="15" customHeight="1" s="23">
      <c r="A152" s="115" t="inlineStr">
        <is>
          <t>E4-049</t>
        </is>
      </c>
      <c r="B152" s="115" t="inlineStr">
        <is>
          <t>4.5.1.1</t>
        </is>
      </c>
      <c r="C152" s="115" t="inlineStr">
        <is>
          <t>Transformación institucional</t>
        </is>
      </c>
      <c r="D152" s="115" t="inlineStr">
        <is>
          <t>4.5 Cultura organizacional</t>
        </is>
      </c>
      <c r="E152" s="115" t="inlineStr">
        <is>
          <t>Lograr un 90% de participación de los grupos de valor en las acciones de cultura organizacional.</t>
        </is>
      </c>
      <c r="F152" s="115" t="inlineStr">
        <is>
          <t>% de participación de los grupos de valor en acciones de cultura</t>
        </is>
      </c>
      <c r="G152" s="115" t="inlineStr">
        <is>
          <t>90%</t>
        </is>
      </c>
      <c r="H152" s="115" t="inlineStr">
        <is>
          <t>Sugerida por la OAP: 75% de participación de los grupos de valor, primera medición en 2027 y trayectoria hacia 90% en 2032,</t>
        </is>
      </c>
      <c r="I152" s="115" t="inlineStr">
        <is>
          <t>A35</t>
        </is>
      </c>
      <c r="J152" s="115" t="inlineStr">
        <is>
          <t>133 · GIT Gestión de Talento Humano</t>
        </is>
      </c>
      <c r="K152" s="115" t="inlineStr">
        <is>
          <t>GIT Talento Humano</t>
        </is>
      </c>
      <c r="L152" s="115" t="inlineStr">
        <is>
          <t>Gestión de Talento Humano</t>
        </is>
      </c>
      <c r="M152" s="115" t="inlineStr">
        <is>
          <t>Asignación propuesta por la OAP</t>
        </is>
      </c>
      <c r="N152" s="115" t="n">
        <v>0</v>
      </c>
      <c r="O152" s="115" t="n">
        <v>0</v>
      </c>
      <c r="P152" s="115" t="n">
        <v>0</v>
      </c>
      <c r="Q152" s="115" t="n">
        <v>0</v>
      </c>
      <c r="R152" s="115" t="inlineStr">
        <is>
          <t>Acción propuesta AC27.45: Aumentar la participación de los grupos de valor en las acciones de cultura organizacional, con una medición confiable de esa participación. Actividades a su cargo: A27-110 Definir la población por grupo de valor y el método de medición de participación.</t>
        </is>
      </c>
      <c r="S152" s="115" t="inlineStr">
        <is>
          <t>IMP-16; IMP-15</t>
        </is>
      </c>
      <c r="T152" s="115" t="inlineStr">
        <is>
          <t>Formulación_Ejes_2027</t>
        </is>
      </c>
      <c r="U152" s="115">
        <f>IF(I152=LEFT('Buscador_Formulación PAA 2027'!$C$4,3),COUNTIF($I$5:I152,LEFT('Buscador_Formulación PAA 2027'!$C$4,3)),"")</f>
        <v/>
      </c>
    </row>
    <row r="153" ht="15" customHeight="1" s="23">
      <c r="A153" s="115" t="inlineStr">
        <is>
          <t>E4-050</t>
        </is>
      </c>
      <c r="B153" s="115" t="inlineStr">
        <is>
          <t>4.5.1.1</t>
        </is>
      </c>
      <c r="C153" s="115" t="inlineStr">
        <is>
          <t>Transformación institucional</t>
        </is>
      </c>
      <c r="D153" s="115" t="inlineStr">
        <is>
          <t>4.5 Cultura organizacional</t>
        </is>
      </c>
      <c r="E153" s="115" t="inlineStr">
        <is>
          <t>Lograr un 90% de participación de los grupos de valor en las acciones de cultura organizacional.</t>
        </is>
      </c>
      <c r="F153" s="115" t="inlineStr">
        <is>
          <t>% de participación de los grupos de valor en acciones de cultura</t>
        </is>
      </c>
      <c r="G153" s="115" t="inlineStr">
        <is>
          <t>90%</t>
        </is>
      </c>
      <c r="H153" s="115" t="inlineStr">
        <is>
          <t>Sugerida por la OAP: 75% de participación de los grupos de valor, primera medición en 2027 y trayectoria hacia 90% en 2032,</t>
        </is>
      </c>
      <c r="I153" s="115" t="inlineStr">
        <is>
          <t>A37</t>
        </is>
      </c>
      <c r="J153" s="115" t="inlineStr">
        <is>
          <t>133 · GIT Gestión de Talento Humano</t>
        </is>
      </c>
      <c r="K153" s="115" t="inlineStr">
        <is>
          <t>Bienestar Laboral</t>
        </is>
      </c>
      <c r="L153" s="115" t="inlineStr">
        <is>
          <t>Gestión de Talento Humano</t>
        </is>
      </c>
      <c r="M153" s="115" t="inlineStr">
        <is>
          <t>Asignación propuesta por la OAP</t>
        </is>
      </c>
      <c r="N153" s="115" t="n">
        <v>0</v>
      </c>
      <c r="O153" s="115" t="n">
        <v>0</v>
      </c>
      <c r="P153" s="115" t="n">
        <v>0</v>
      </c>
      <c r="Q153" s="115" t="n">
        <v>0</v>
      </c>
      <c r="R153" s="115" t="inlineStr">
        <is>
          <t>Acción propuesta AC27.45: Aumentar la participación de los grupos de valor en las acciones de cultura organizacional, con una medición confiable de esa participación. Actividades a su cargo: A27-111 Ejecutar el plan de bienestar e incentivos con participación de todos los servidores.</t>
        </is>
      </c>
      <c r="S153" s="115" t="inlineStr">
        <is>
          <t>IMP-16; IMP-15</t>
        </is>
      </c>
      <c r="T153" s="115" t="inlineStr">
        <is>
          <t>Formulación_Ejes_2027</t>
        </is>
      </c>
      <c r="U153" s="115">
        <f>IF(I153=LEFT('Buscador_Formulación PAA 2027'!$C$4,3),COUNTIF($I$5:I153,LEFT('Buscador_Formulación PAA 2027'!$C$4,3)),"")</f>
        <v/>
      </c>
    </row>
    <row r="154" ht="15" customHeight="1" s="23">
      <c r="A154" s="115" t="inlineStr">
        <is>
          <t>E4-051</t>
        </is>
      </c>
      <c r="B154" s="115" t="inlineStr">
        <is>
          <t>4.5.1.2</t>
        </is>
      </c>
      <c r="C154" s="115" t="inlineStr">
        <is>
          <t>Transformación institucional</t>
        </is>
      </c>
      <c r="D154" s="115" t="inlineStr">
        <is>
          <t>4.5 Cultura organizacional</t>
        </is>
      </c>
      <c r="E154" s="115" t="inlineStr">
        <is>
          <t>Consolidar un (1) modelo de gestión de la cultura que contemple un (1) instrumento de evaluación permanente.</t>
        </is>
      </c>
      <c r="F154" s="115" t="inlineStr">
        <is>
          <t>Modelo de gestión de la cultura con instrumento de evaluación (fase)</t>
        </is>
      </c>
      <c r="G154" s="115" t="inlineStr">
        <is>
          <t>1 modelo + 1 instrumento</t>
        </is>
      </c>
      <c r="H154" s="115" t="inlineStr">
        <is>
          <t>Instrumento de evaluación diseñado y aplicado</t>
        </is>
      </c>
      <c r="I154" s="115" t="inlineStr">
        <is>
          <t>A07</t>
        </is>
      </c>
      <c r="J154" s="115" t="inlineStr">
        <is>
          <t>101 · Oficina Asesora de Planeación y Desarrollo Institucional</t>
        </is>
      </c>
      <c r="K154" s="115" t="inlineStr">
        <is>
          <t>Autoevaluación y Acreditación</t>
        </is>
      </c>
      <c r="L154" s="115" t="inlineStr">
        <is>
          <t>Gestión del Sistema Integrado de Aseguramiento</t>
        </is>
      </c>
      <c r="M154" s="115" t="inlineStr">
        <is>
          <t>Responsable en el PAA 2026</t>
        </is>
      </c>
      <c r="N154" s="115" t="n">
        <v>8</v>
      </c>
      <c r="O154" s="115" t="n">
        <v>4</v>
      </c>
      <c r="P154" s="115" t="n">
        <v>4</v>
      </c>
      <c r="Q154" s="115" t="n">
        <v>0</v>
      </c>
      <c r="R154" s="115" t="inlineStr">
        <is>
          <t>Esta meta queda en su lista solo porque tiene productos del PAA 2026 abiertos. En 2027 no se le asigna una acción nueva en ella. Cerrar o reprogramar en el SUIE los 4 productos 2026 pendientes de esta meta.</t>
        </is>
      </c>
      <c r="S154" s="115" t="inlineStr">
        <is>
          <t>IMP-15; IMP-14</t>
        </is>
      </c>
      <c r="T154" s="115" t="inlineStr">
        <is>
          <t>Formulación_Ejes_2027</t>
        </is>
      </c>
      <c r="U154" s="115">
        <f>IF(I154=LEFT('Buscador_Formulación PAA 2027'!$C$4,3),COUNTIF($I$5:I154,LEFT('Buscador_Formulación PAA 2027'!$C$4,3)),"")</f>
        <v/>
      </c>
    </row>
    <row r="155" ht="15" customHeight="1" s="23">
      <c r="A155" s="115" t="inlineStr">
        <is>
          <t>E4-052</t>
        </is>
      </c>
      <c r="B155" s="115" t="inlineStr">
        <is>
          <t>4.5.1.2</t>
        </is>
      </c>
      <c r="C155" s="115" t="inlineStr">
        <is>
          <t>Transformación institucional</t>
        </is>
      </c>
      <c r="D155" s="115" t="inlineStr">
        <is>
          <t>4.5 Cultura organizacional</t>
        </is>
      </c>
      <c r="E155" s="115" t="inlineStr">
        <is>
          <t>Consolidar un (1) modelo de gestión de la cultura que contemple un (1) instrumento de evaluación permanente.</t>
        </is>
      </c>
      <c r="F155" s="115" t="inlineStr">
        <is>
          <t>Modelo de gestión de la cultura con instrumento de evaluación (fase)</t>
        </is>
      </c>
      <c r="G155" s="115" t="inlineStr">
        <is>
          <t>1 modelo + 1 instrumento</t>
        </is>
      </c>
      <c r="H155" s="115" t="inlineStr">
        <is>
          <t>Instrumento de evaluación diseñado y aplicado</t>
        </is>
      </c>
      <c r="I155" s="115" t="inlineStr">
        <is>
          <t>A08</t>
        </is>
      </c>
      <c r="J155" s="115" t="inlineStr">
        <is>
          <t>101 · Oficina Asesora de Planeación y Desarrollo Institucional</t>
        </is>
      </c>
      <c r="K155" s="115" t="inlineStr">
        <is>
          <t>Aseguramiento de la Calidad, MIPG y Registros Calificados</t>
        </is>
      </c>
      <c r="L155" s="115" t="inlineStr">
        <is>
          <t>Gestión del Sistema Integrado de Aseguramiento</t>
        </is>
      </c>
      <c r="M155" s="115" t="inlineStr">
        <is>
          <t>Responsable en el PAA 2026</t>
        </is>
      </c>
      <c r="N155" s="115" t="n">
        <v>15</v>
      </c>
      <c r="O155" s="115" t="n">
        <v>11</v>
      </c>
      <c r="P155" s="115" t="n">
        <v>4</v>
      </c>
      <c r="Q155" s="115" t="n">
        <v>0</v>
      </c>
      <c r="R155" s="115" t="inlineStr">
        <is>
          <t>Esta meta queda en su lista solo porque tiene productos del PAA 2026 abiertos. En 2027 no se le asigna una acción nueva en ella. Cerrar o reprogramar en el SUIE los 4 productos 2026 pendientes de esta meta.</t>
        </is>
      </c>
      <c r="S155" s="115" t="inlineStr">
        <is>
          <t>IMP-15; IMP-14</t>
        </is>
      </c>
      <c r="T155" s="115" t="inlineStr">
        <is>
          <t>Formulación_Ejes_2027</t>
        </is>
      </c>
      <c r="U155" s="115">
        <f>IF(I155=LEFT('Buscador_Formulación PAA 2027'!$C$4,3),COUNTIF($I$5:I155,LEFT('Buscador_Formulación PAA 2027'!$C$4,3)),"")</f>
        <v/>
      </c>
    </row>
    <row r="156" ht="15" customHeight="1" s="23">
      <c r="A156" s="115" t="inlineStr">
        <is>
          <t>E4-053</t>
        </is>
      </c>
      <c r="B156" s="115" t="inlineStr">
        <is>
          <t>4.5.1.2</t>
        </is>
      </c>
      <c r="C156" s="115" t="inlineStr">
        <is>
          <t>Transformación institucional</t>
        </is>
      </c>
      <c r="D156" s="115" t="inlineStr">
        <is>
          <t>4.5 Cultura organizacional</t>
        </is>
      </c>
      <c r="E156" s="115" t="inlineStr">
        <is>
          <t>Consolidar un (1) modelo de gestión de la cultura que contemple un (1) instrumento de evaluación permanente.</t>
        </is>
      </c>
      <c r="F156" s="115" t="inlineStr">
        <is>
          <t>Modelo de gestión de la cultura con instrumento de evaluación (fase)</t>
        </is>
      </c>
      <c r="G156" s="115" t="inlineStr">
        <is>
          <t>1 modelo + 1 instrumento</t>
        </is>
      </c>
      <c r="H156" s="115" t="inlineStr">
        <is>
          <t>Instrumento de evaluación diseñado y aplicado</t>
        </is>
      </c>
      <c r="I156" s="115" t="inlineStr">
        <is>
          <t>A18</t>
        </is>
      </c>
      <c r="J156" s="115" t="inlineStr">
        <is>
          <t>101 · Oficina Asesora de Planeación y Desarrollo Institucional</t>
        </is>
      </c>
      <c r="K156" s="115" t="inlineStr">
        <is>
          <t>Articulación de programas (IA)</t>
        </is>
      </c>
      <c r="L156" s="115" t="inlineStr">
        <is>
          <t>Direccionamiento Institucional</t>
        </is>
      </c>
      <c r="M156" s="115" t="inlineStr">
        <is>
          <t>Responsable en el PAA 2026</t>
        </is>
      </c>
      <c r="N156" s="115" t="n">
        <v>1</v>
      </c>
      <c r="O156" s="115" t="n">
        <v>0</v>
      </c>
      <c r="P156" s="115" t="n">
        <v>1</v>
      </c>
      <c r="Q156" s="115" t="n">
        <v>0</v>
      </c>
      <c r="R156" s="115" t="inlineStr">
        <is>
          <t>Esta meta queda en su lista solo porque tiene productos del PAA 2026 abiertos. En 2027 no se le asigna una acción nueva en ella. Cerrar o reprogramar en el SUIE el producto 2026 pendiente de esta meta.</t>
        </is>
      </c>
      <c r="S156" s="115" t="inlineStr">
        <is>
          <t>IMP-15; IMP-14</t>
        </is>
      </c>
      <c r="T156" s="115" t="inlineStr">
        <is>
          <t>Formulación_Ejes_2027</t>
        </is>
      </c>
      <c r="U156" s="115">
        <f>IF(I156=LEFT('Buscador_Formulación PAA 2027'!$C$4,3),COUNTIF($I$5:I156,LEFT('Buscador_Formulación PAA 2027'!$C$4,3)),"")</f>
        <v/>
      </c>
    </row>
    <row r="157" ht="15" customHeight="1" s="23">
      <c r="A157" s="115" t="inlineStr">
        <is>
          <t>E4-054</t>
        </is>
      </c>
      <c r="B157" s="115" t="inlineStr">
        <is>
          <t>4.5.1.2</t>
        </is>
      </c>
      <c r="C157" s="115" t="inlineStr">
        <is>
          <t>Transformación institucional</t>
        </is>
      </c>
      <c r="D157" s="115" t="inlineStr">
        <is>
          <t>4.5 Cultura organizacional</t>
        </is>
      </c>
      <c r="E157" s="115" t="inlineStr">
        <is>
          <t>Consolidar un (1) modelo de gestión de la cultura que contemple un (1) instrumento de evaluación permanente.</t>
        </is>
      </c>
      <c r="F157" s="115" t="inlineStr">
        <is>
          <t>Modelo de gestión de la cultura con instrumento de evaluación (fase)</t>
        </is>
      </c>
      <c r="G157" s="115" t="inlineStr">
        <is>
          <t>1 modelo + 1 instrumento</t>
        </is>
      </c>
      <c r="H157" s="115" t="inlineStr">
        <is>
          <t>Instrumento de evaluación diseñado y aplicado</t>
        </is>
      </c>
      <c r="I157" s="115" t="inlineStr">
        <is>
          <t>A29</t>
        </is>
      </c>
      <c r="J157" s="115" t="inlineStr">
        <is>
          <t>126 · GIT Registro y Control</t>
        </is>
      </c>
      <c r="K157" s="115" t="inlineStr">
        <is>
          <t>GIT Registro, Control y Admisiones</t>
        </is>
      </c>
      <c r="L157" s="115" t="inlineStr">
        <is>
          <t>Docencia PES</t>
        </is>
      </c>
      <c r="M157" s="115" t="inlineStr">
        <is>
          <t>Responsable en el PAA 2026</t>
        </is>
      </c>
      <c r="N157" s="115" t="n">
        <v>1</v>
      </c>
      <c r="O157" s="115" t="n">
        <v>0</v>
      </c>
      <c r="P157" s="115" t="n">
        <v>1</v>
      </c>
      <c r="Q157" s="115" t="n">
        <v>0</v>
      </c>
      <c r="R157" s="115" t="inlineStr">
        <is>
          <t>Esta meta queda en su lista solo porque tiene productos del PAA 2026 abiertos. En 2027 no se le asigna una acción nueva en ella. Cerrar o reprogramar en el SUIE el producto 2026 pendiente de esta meta.</t>
        </is>
      </c>
      <c r="S157" s="115" t="inlineStr">
        <is>
          <t>IMP-15; IMP-14</t>
        </is>
      </c>
      <c r="T157" s="115" t="inlineStr">
        <is>
          <t>Formulación_Ejes_2027</t>
        </is>
      </c>
      <c r="U157" s="115">
        <f>IF(I157=LEFT('Buscador_Formulación PAA 2027'!$C$4,3),COUNTIF($I$5:I157,LEFT('Buscador_Formulación PAA 2027'!$C$4,3)),"")</f>
        <v/>
      </c>
    </row>
    <row r="158" ht="15" customHeight="1" s="23">
      <c r="A158" s="115" t="inlineStr">
        <is>
          <t>E4-055</t>
        </is>
      </c>
      <c r="B158" s="115" t="inlineStr">
        <is>
          <t>4.5.1.2</t>
        </is>
      </c>
      <c r="C158" s="115" t="inlineStr">
        <is>
          <t>Transformación institucional</t>
        </is>
      </c>
      <c r="D158" s="115" t="inlineStr">
        <is>
          <t>4.5 Cultura organizacional</t>
        </is>
      </c>
      <c r="E158" s="115" t="inlineStr">
        <is>
          <t>Consolidar un (1) modelo de gestión de la cultura que contemple un (1) instrumento de evaluación permanente.</t>
        </is>
      </c>
      <c r="F158" s="115" t="inlineStr">
        <is>
          <t>Modelo de gestión de la cultura con instrumento de evaluación (fase)</t>
        </is>
      </c>
      <c r="G158" s="115" t="inlineStr">
        <is>
          <t>1 modelo + 1 instrumento</t>
        </is>
      </c>
      <c r="H158" s="115" t="inlineStr">
        <is>
          <t>Instrumento de evaluación diseñado y aplicado</t>
        </is>
      </c>
      <c r="I158" s="115" t="inlineStr">
        <is>
          <t>A35</t>
        </is>
      </c>
      <c r="J158" s="115" t="inlineStr">
        <is>
          <t>133 · GIT Gestión de Talento Humano</t>
        </is>
      </c>
      <c r="K158" s="115" t="inlineStr">
        <is>
          <t>GIT Talento Humano</t>
        </is>
      </c>
      <c r="L158" s="115" t="inlineStr">
        <is>
          <t>Gestión de Talento Humano</t>
        </is>
      </c>
      <c r="M158" s="115" t="inlineStr">
        <is>
          <t>Responsable en el PAA 2026</t>
        </is>
      </c>
      <c r="N158" s="115" t="n">
        <v>10</v>
      </c>
      <c r="O158" s="115" t="n">
        <v>6</v>
      </c>
      <c r="P158" s="115" t="n">
        <v>4</v>
      </c>
      <c r="Q158" s="115" t="n">
        <v>0</v>
      </c>
      <c r="R158" s="115" t="inlineStr">
        <is>
          <t>Acción propuesta AC27.46: Gestionar la cultura organizacional con un instrumento de evaluación permanente cuyos resultados se presentan al CIGD. Actividades a su cargo: A27-112 Diseñar el instrumento de evaluación de la cultura organizacional; A27-113 Aplicarlo y presentar resultados al CIGD. Cerrar o reprogramar en el SUIE los 4 productos 2026 pendientes de esta meta.</t>
        </is>
      </c>
      <c r="S158" s="115" t="inlineStr">
        <is>
          <t>IMP-15; IMP-14</t>
        </is>
      </c>
      <c r="T158" s="115" t="inlineStr">
        <is>
          <t>Formulación_Ejes_2027</t>
        </is>
      </c>
      <c r="U158" s="115">
        <f>IF(I158=LEFT('Buscador_Formulación PAA 2027'!$C$4,3),COUNTIF($I$5:I158,LEFT('Buscador_Formulación PAA 2027'!$C$4,3)),"")</f>
        <v/>
      </c>
    </row>
    <row r="159" ht="15" customHeight="1" s="23">
      <c r="A159" s="115" t="inlineStr">
        <is>
          <t>E4-056</t>
        </is>
      </c>
      <c r="B159" s="115" t="inlineStr">
        <is>
          <t>4.5.1.2</t>
        </is>
      </c>
      <c r="C159" s="115" t="inlineStr">
        <is>
          <t>Transformación institucional</t>
        </is>
      </c>
      <c r="D159" s="115" t="inlineStr">
        <is>
          <t>4.5 Cultura organizacional</t>
        </is>
      </c>
      <c r="E159" s="115" t="inlineStr">
        <is>
          <t>Consolidar un (1) modelo de gestión de la cultura que contemple un (1) instrumento de evaluación permanente.</t>
        </is>
      </c>
      <c r="F159" s="115" t="inlineStr">
        <is>
          <t>Modelo de gestión de la cultura con instrumento de evaluación (fase)</t>
        </is>
      </c>
      <c r="G159" s="115" t="inlineStr">
        <is>
          <t>1 modelo + 1 instrumento</t>
        </is>
      </c>
      <c r="H159" s="115" t="inlineStr">
        <is>
          <t>Instrumento de evaluación diseñado y aplicado</t>
        </is>
      </c>
      <c r="I159" s="115" t="inlineStr">
        <is>
          <t>A36</t>
        </is>
      </c>
      <c r="J159" s="115" t="inlineStr">
        <is>
          <t>133 · GIT Gestión de Talento Humano</t>
        </is>
      </c>
      <c r="K159" s="115" t="inlineStr">
        <is>
          <t>Seguridad y Salud en el Trabajo</t>
        </is>
      </c>
      <c r="L159" s="115" t="inlineStr">
        <is>
          <t>Gestión de Talento Humano</t>
        </is>
      </c>
      <c r="M159" s="115" t="inlineStr">
        <is>
          <t>Responsable en el PAA 2026</t>
        </is>
      </c>
      <c r="N159" s="115" t="n">
        <v>5</v>
      </c>
      <c r="O159" s="115" t="n">
        <v>3</v>
      </c>
      <c r="P159" s="115" t="n">
        <v>2</v>
      </c>
      <c r="Q159" s="115" t="n">
        <v>0</v>
      </c>
      <c r="R159" s="115" t="inlineStr">
        <is>
          <t>Incluir en el instrumento de evaluación de la cultura las variables de autocuidado y seguridad en el trabajo. Cerrar o reprogramar en el SUIE los 2 productos 2026 pendientes de esta meta.</t>
        </is>
      </c>
      <c r="S159" s="115" t="inlineStr">
        <is>
          <t>IMP-15; IMP-14</t>
        </is>
      </c>
      <c r="T159" s="115" t="inlineStr">
        <is>
          <t>Formulación_Ejes_2027</t>
        </is>
      </c>
      <c r="U159" s="115">
        <f>IF(I159=LEFT('Buscador_Formulación PAA 2027'!$C$4,3),COUNTIF($I$5:I159,LEFT('Buscador_Formulación PAA 2027'!$C$4,3)),"")</f>
        <v/>
      </c>
    </row>
    <row r="160" ht="15" customHeight="1" s="23">
      <c r="A160" s="115" t="inlineStr">
        <is>
          <t>E4-057</t>
        </is>
      </c>
      <c r="B160" s="115" t="inlineStr">
        <is>
          <t>4.5.1.2</t>
        </is>
      </c>
      <c r="C160" s="115" t="inlineStr">
        <is>
          <t>Transformación institucional</t>
        </is>
      </c>
      <c r="D160" s="115" t="inlineStr">
        <is>
          <t>4.5 Cultura organizacional</t>
        </is>
      </c>
      <c r="E160" s="115" t="inlineStr">
        <is>
          <t>Consolidar un (1) modelo de gestión de la cultura que contemple un (1) instrumento de evaluación permanente.</t>
        </is>
      </c>
      <c r="F160" s="115" t="inlineStr">
        <is>
          <t>Modelo de gestión de la cultura con instrumento de evaluación (fase)</t>
        </is>
      </c>
      <c r="G160" s="115" t="inlineStr">
        <is>
          <t>1 modelo + 1 instrumento</t>
        </is>
      </c>
      <c r="H160" s="115" t="inlineStr">
        <is>
          <t>Instrumento de evaluación diseñado y aplicado</t>
        </is>
      </c>
      <c r="I160" s="115" t="inlineStr">
        <is>
          <t>A37</t>
        </is>
      </c>
      <c r="J160" s="115" t="inlineStr">
        <is>
          <t>133 · GIT Gestión de Talento Humano</t>
        </is>
      </c>
      <c r="K160" s="115" t="inlineStr">
        <is>
          <t>Bienestar Laboral</t>
        </is>
      </c>
      <c r="L160" s="115" t="inlineStr">
        <is>
          <t>Gestión de Talento Humano</t>
        </is>
      </c>
      <c r="M160" s="115" t="inlineStr">
        <is>
          <t>Responsable en el PAA 2026</t>
        </is>
      </c>
      <c r="N160" s="115" t="n">
        <v>12</v>
      </c>
      <c r="O160" s="115" t="n">
        <v>6</v>
      </c>
      <c r="P160" s="115" t="n">
        <v>6</v>
      </c>
      <c r="Q160" s="115" t="n">
        <v>0</v>
      </c>
      <c r="R160" s="115" t="inlineStr">
        <is>
          <t>Articular el plan de bienestar e incentivos con el modelo de gestión de la cultura y aportar sus resultados al instrumento de evaluación. Cerrar o reprogramar en el SUIE los 6 productos 2026 pendientes de esta meta.</t>
        </is>
      </c>
      <c r="S160" s="115" t="inlineStr">
        <is>
          <t>IMP-15; IMP-14</t>
        </is>
      </c>
      <c r="T160" s="115" t="inlineStr">
        <is>
          <t>Formulación_Ejes_2027</t>
        </is>
      </c>
      <c r="U160" s="115">
        <f>IF(I160=LEFT('Buscador_Formulación PAA 2027'!$C$4,3),COUNTIF($I$5:I160,LEFT('Buscador_Formulación PAA 2027'!$C$4,3)),"")</f>
        <v/>
      </c>
    </row>
    <row r="161" ht="15" customHeight="1" s="23">
      <c r="A161" s="115" t="inlineStr">
        <is>
          <t>E5-001</t>
        </is>
      </c>
      <c r="B161" s="115" t="inlineStr">
        <is>
          <t>5.1.1.1</t>
        </is>
      </c>
      <c r="C161" s="115" t="inlineStr">
        <is>
          <t>Ampliación y modernización de la infraestructura</t>
        </is>
      </c>
      <c r="D161" s="115" t="inlineStr">
        <is>
          <t>5.1 Sedes propias</t>
        </is>
      </c>
      <c r="E161" s="115" t="inlineStr">
        <is>
          <t>Contar con 4 sedes: 1. Calle 18, 2. Funza, 3. Guaymaral, 4. Central, con infraestructura y dotación para la prestación de servicios educativos.</t>
        </is>
      </c>
      <c r="F161" s="115" t="inlineStr">
        <is>
          <t>N.° de sedes propias habilitadas y operando</t>
        </is>
      </c>
      <c r="G161" s="115" t="inlineStr">
        <is>
          <t>4 sedes</t>
        </is>
      </c>
      <c r="H161" s="115" t="inlineStr">
        <is>
          <t>Calle 18: fase III (licencias, estudios y diseños, vigencias futuras MEN). Funza: puesta en marcha fase I. Guaymaral: puesta en marcha de la sede de Bienestar.</t>
        </is>
      </c>
      <c r="I161" s="115" t="inlineStr">
        <is>
          <t>A05</t>
        </is>
      </c>
      <c r="J161" s="115" t="inlineStr">
        <is>
          <t>101 · Oficina Asesora de Planeación y Desarrollo Institucional</t>
        </is>
      </c>
      <c r="K161" s="115" t="inlineStr">
        <is>
          <t>Planeación y Plan de Acción</t>
        </is>
      </c>
      <c r="L161" s="115" t="inlineStr">
        <is>
          <t>Direccionamiento Institucional</t>
        </is>
      </c>
      <c r="M161" s="115" t="inlineStr">
        <is>
          <t>Responsable en el PAA 2026</t>
        </is>
      </c>
      <c r="N161" s="115" t="n">
        <v>9</v>
      </c>
      <c r="O161" s="115" t="n">
        <v>0</v>
      </c>
      <c r="P161" s="115" t="n">
        <v>9</v>
      </c>
      <c r="Q161" s="115" t="n">
        <v>0</v>
      </c>
      <c r="R161" s="115" t="inlineStr">
        <is>
          <t>Formular y hacer seguimiento a los proyectos de inversión que financian las sedes propias. Cerrar o reprogramar en el SUIE los 9 productos 2026 pendientes de esta meta.</t>
        </is>
      </c>
      <c r="S161" s="115" t="inlineStr">
        <is>
          <t>IMP-12; IMP-13</t>
        </is>
      </c>
      <c r="T161" s="115" t="inlineStr">
        <is>
          <t>Formulación_Ejes_2027</t>
        </is>
      </c>
      <c r="U161" s="115">
        <f>IF(I161=LEFT('Buscador_Formulación PAA 2027'!$C$4,3),COUNTIF($I$5:I161,LEFT('Buscador_Formulación PAA 2027'!$C$4,3)),"")</f>
        <v/>
      </c>
    </row>
    <row r="162" ht="15" customHeight="1" s="23">
      <c r="A162" s="115" t="inlineStr">
        <is>
          <t>E5-002</t>
        </is>
      </c>
      <c r="B162" s="115" t="inlineStr">
        <is>
          <t>5.1.1.1</t>
        </is>
      </c>
      <c r="C162" s="115" t="inlineStr">
        <is>
          <t>Ampliación y modernización de la infraestructura</t>
        </is>
      </c>
      <c r="D162" s="115" t="inlineStr">
        <is>
          <t>5.1 Sedes propias</t>
        </is>
      </c>
      <c r="E162" s="115" t="inlineStr">
        <is>
          <t>Contar con 4 sedes: 1. Calle 18, 2. Funza, 3. Guaymaral, 4. Central, con infraestructura y dotación para la prestación de servicios educativos.</t>
        </is>
      </c>
      <c r="F162" s="115" t="inlineStr">
        <is>
          <t>N.° de sedes propias habilitadas y operando</t>
        </is>
      </c>
      <c r="G162" s="115" t="inlineStr">
        <is>
          <t>4 sedes</t>
        </is>
      </c>
      <c r="H162" s="115" t="inlineStr">
        <is>
          <t>Calle 18: fase III (licencias, estudios y diseños, vigencias futuras MEN). Funza: puesta en marcha fase I. Guaymaral: puesta en marcha de la sede de Bienestar.</t>
        </is>
      </c>
      <c r="I162" s="115" t="inlineStr">
        <is>
          <t>A12</t>
        </is>
      </c>
      <c r="J162" s="115" t="inlineStr">
        <is>
          <t>110 · Secretaría General</t>
        </is>
      </c>
      <c r="K162" s="115" t="inlineStr">
        <is>
          <t>Gestión Jurídica</t>
        </is>
      </c>
      <c r="L162" s="115" t="inlineStr">
        <is>
          <t>Gestión Jurídica</t>
        </is>
      </c>
      <c r="M162" s="115" t="inlineStr">
        <is>
          <t>Acción propuesta PAA 2027</t>
        </is>
      </c>
      <c r="N162" s="115" t="n">
        <v>0</v>
      </c>
      <c r="O162" s="115" t="n">
        <v>0</v>
      </c>
      <c r="P162" s="115" t="n">
        <v>0</v>
      </c>
      <c r="Q162" s="115" t="n">
        <v>0</v>
      </c>
      <c r="R162" s="115" t="inlineStr">
        <is>
          <t>Acción propuesta AC27.47: Habilitar las sedes propias de Calle 18, Funza y Guaymaral con los trámites, estudios, licencias y puesta en marcha que corresponden a cada una. Actividades a su cargo: A27-115 Funza: adelantar trámites de notariado, registro e impuestos de los predios.</t>
        </is>
      </c>
      <c r="S162" s="115" t="inlineStr">
        <is>
          <t>IMP-12; IMP-13</t>
        </is>
      </c>
      <c r="T162" s="115" t="inlineStr">
        <is>
          <t>Formulación_Ejes_2027</t>
        </is>
      </c>
      <c r="U162" s="115">
        <f>IF(I162=LEFT('Buscador_Formulación PAA 2027'!$C$4,3),COUNTIF($I$5:I162,LEFT('Buscador_Formulación PAA 2027'!$C$4,3)),"")</f>
        <v/>
      </c>
    </row>
    <row r="163" ht="15" customHeight="1" s="23">
      <c r="A163" s="115" t="inlineStr">
        <is>
          <t>E5-003</t>
        </is>
      </c>
      <c r="B163" s="115" t="inlineStr">
        <is>
          <t>5.1.1.1</t>
        </is>
      </c>
      <c r="C163" s="115" t="inlineStr">
        <is>
          <t>Ampliación y modernización de la infraestructura</t>
        </is>
      </c>
      <c r="D163" s="115" t="inlineStr">
        <is>
          <t>5.1 Sedes propias</t>
        </is>
      </c>
      <c r="E163" s="115" t="inlineStr">
        <is>
          <t>Contar con 4 sedes: 1. Calle 18, 2. Funza, 3. Guaymaral, 4. Central, con infraestructura y dotación para la prestación de servicios educativos.</t>
        </is>
      </c>
      <c r="F163" s="115" t="inlineStr">
        <is>
          <t>N.° de sedes propias habilitadas y operando</t>
        </is>
      </c>
      <c r="G163" s="115" t="inlineStr">
        <is>
          <t>4 sedes</t>
        </is>
      </c>
      <c r="H163" s="115" t="inlineStr">
        <is>
          <t>Calle 18: fase III (licencias, estudios y diseños, vigencias futuras MEN). Funza: puesta en marcha fase I. Guaymaral: puesta en marcha de la sede de Bienestar.</t>
        </is>
      </c>
      <c r="I163" s="115" t="inlineStr">
        <is>
          <t>A30</t>
        </is>
      </c>
      <c r="J163" s="115" t="inlineStr">
        <is>
          <t>130 · Vicerrectoría Administrativa y Financiera</t>
        </is>
      </c>
      <c r="K163" s="115" t="inlineStr">
        <is>
          <t>Despacho de la Vicerrectoría Administrativa y Financiera</t>
        </is>
      </c>
      <c r="L163" s="115" t="inlineStr">
        <is>
          <t>Gestión Financiera</t>
        </is>
      </c>
      <c r="M163" s="115" t="inlineStr">
        <is>
          <t>Asignación propuesta por la OAP</t>
        </is>
      </c>
      <c r="N163" s="115" t="n">
        <v>0</v>
      </c>
      <c r="O163" s="115" t="n">
        <v>0</v>
      </c>
      <c r="P163" s="115" t="n">
        <v>0</v>
      </c>
      <c r="Q163" s="115" t="n">
        <v>0</v>
      </c>
      <c r="R163" s="115" t="inlineStr">
        <is>
          <t>Gestionar la financiación de las sedes: vigencias futuras ante el Ministerio de Educación y apropiación presupuestal 2027.</t>
        </is>
      </c>
      <c r="S163" s="115" t="inlineStr">
        <is>
          <t>IMP-12; IMP-13</t>
        </is>
      </c>
      <c r="T163" s="115" t="inlineStr">
        <is>
          <t>Formulación_Ejes_2027</t>
        </is>
      </c>
      <c r="U163" s="115">
        <f>IF(I163=LEFT('Buscador_Formulación PAA 2027'!$C$4,3),COUNTIF($I$5:I163,LEFT('Buscador_Formulación PAA 2027'!$C$4,3)),"")</f>
        <v/>
      </c>
    </row>
    <row r="164" ht="15" customHeight="1" s="23">
      <c r="A164" s="115" t="inlineStr">
        <is>
          <t>E5-004</t>
        </is>
      </c>
      <c r="B164" s="115" t="inlineStr">
        <is>
          <t>5.1.1.1</t>
        </is>
      </c>
      <c r="C164" s="115" t="inlineStr">
        <is>
          <t>Ampliación y modernización de la infraestructura</t>
        </is>
      </c>
      <c r="D164" s="115" t="inlineStr">
        <is>
          <t>5.1 Sedes propias</t>
        </is>
      </c>
      <c r="E164" s="115" t="inlineStr">
        <is>
          <t>Contar con 4 sedes: 1. Calle 18, 2. Funza, 3. Guaymaral, 4. Central, con infraestructura y dotación para la prestación de servicios educativos.</t>
        </is>
      </c>
      <c r="F164" s="115" t="inlineStr">
        <is>
          <t>N.° de sedes propias habilitadas y operando</t>
        </is>
      </c>
      <c r="G164" s="115" t="inlineStr">
        <is>
          <t>4 sedes</t>
        </is>
      </c>
      <c r="H164" s="115" t="inlineStr">
        <is>
          <t>Calle 18: fase III (licencias, estudios y diseños, vigencias futuras MEN). Funza: puesta en marcha fase I. Guaymaral: puesta en marcha de la sede de Bienestar.</t>
        </is>
      </c>
      <c r="I164" s="115" t="inlineStr">
        <is>
          <t>A31</t>
        </is>
      </c>
      <c r="J164" s="115" t="inlineStr">
        <is>
          <t>130 · Vicerrectoría Administrativa y Financiera</t>
        </is>
      </c>
      <c r="K164" s="115" t="inlineStr">
        <is>
          <t>Recursos Físicos e Infraestructura</t>
        </is>
      </c>
      <c r="L164" s="115" t="inlineStr">
        <is>
          <t>Gestión de Recursos Físicos</t>
        </is>
      </c>
      <c r="M164" s="115" t="inlineStr">
        <is>
          <t>Responsable en el PAA 2026</t>
        </is>
      </c>
      <c r="N164" s="115" t="n">
        <v>3</v>
      </c>
      <c r="O164" s="115" t="n">
        <v>0</v>
      </c>
      <c r="P164" s="115" t="n">
        <v>3</v>
      </c>
      <c r="Q164" s="115" t="n">
        <v>2</v>
      </c>
      <c r="R164" s="115" t="inlineStr">
        <is>
          <t>Acción propuesta AC27.47: Habilitar las sedes propias de Calle 18, Funza y Guaymaral con los trámites, estudios, licencias y puesta en marcha que corresponden a cada una. Actividades a su cargo: A27-114 Calle 18: gestionar licencias de construcción y demolición, estudios y diseños y vigencias futuras; A27-116 Funza (Ecoparque): contratar estudios y diseños, licencias e infraestructura modular; A27-117 Guaymaral: poner en marcha la sede de Bienestar (espacios deportivos). Acción propuesta AC27.48: Adecuar los inmuebles nuevos con criterios de eficiencia energética y construcción sostenible desde su diseño. Actividades a su cargo: A27-118 Adecuar los nuevos inmuebles adquiridos (estudios y diseños); A27-119 Incluir criterios de eficiencia energética y construcción sostenible en los estudios y diseños de las nuevas sedes (incluida Fusagasugá), para no generar sobrecostos futuros. Con esta acción se atienden compromisos pendientes de 2026 de los proyectos estructurantes. Cerrar o reprogramar en el SUIE los 3 productos 2026 pendientes de esta meta.</t>
        </is>
      </c>
      <c r="S164" s="115" t="inlineStr">
        <is>
          <t>IMP-12; IMP-13</t>
        </is>
      </c>
      <c r="T164" s="115" t="inlineStr">
        <is>
          <t>Formulación_Ejes_2027</t>
        </is>
      </c>
      <c r="U164" s="115">
        <f>IF(I164=LEFT('Buscador_Formulación PAA 2027'!$C$4,3),COUNTIF($I$5:I164,LEFT('Buscador_Formulación PAA 2027'!$C$4,3)),"")</f>
        <v/>
      </c>
    </row>
    <row r="165" ht="15" customHeight="1" s="23">
      <c r="A165" s="115" t="inlineStr">
        <is>
          <t>E5-005</t>
        </is>
      </c>
      <c r="B165" s="115" t="inlineStr">
        <is>
          <t>5.2.1.1</t>
        </is>
      </c>
      <c r="C165" s="115" t="inlineStr">
        <is>
          <t>Ampliación y modernización de la infraestructura</t>
        </is>
      </c>
      <c r="D165" s="115" t="inlineStr">
        <is>
          <t>5.2 Modernización de la infraestructura</t>
        </is>
      </c>
      <c r="E165" s="115" t="inlineStr">
        <is>
          <t>3 bloques reforzados estructuralmente en la sede centro.</t>
        </is>
      </c>
      <c r="F165" s="115" t="inlineStr">
        <is>
          <t>N.° de bloques con reforzamiento estructural terminado</t>
        </is>
      </c>
      <c r="G165" s="115" t="inlineStr">
        <is>
          <t>3 bloques</t>
        </is>
      </c>
      <c r="H165" s="115" t="inlineStr">
        <is>
          <t>Viabilidad presupuestal y permisos para los bloques pendientes</t>
        </is>
      </c>
      <c r="I165" s="115" t="inlineStr">
        <is>
          <t>A30</t>
        </is>
      </c>
      <c r="J165" s="115" t="inlineStr">
        <is>
          <t>130 · Vicerrectoría Administrativa y Financiera</t>
        </is>
      </c>
      <c r="K165" s="115" t="inlineStr">
        <is>
          <t>Despacho de la Vicerrectoría Administrativa y Financiera</t>
        </is>
      </c>
      <c r="L165" s="115" t="inlineStr">
        <is>
          <t>Gestión Financiera</t>
        </is>
      </c>
      <c r="M165" s="115" t="inlineStr">
        <is>
          <t>Acción propuesta PAA 2027</t>
        </is>
      </c>
      <c r="N165" s="115" t="n">
        <v>0</v>
      </c>
      <c r="O165" s="115" t="n">
        <v>0</v>
      </c>
      <c r="P165" s="115" t="n">
        <v>0</v>
      </c>
      <c r="Q165" s="115" t="n">
        <v>0</v>
      </c>
      <c r="R165" s="115" t="inlineStr">
        <is>
          <t>Acción propuesta AC27.49: Viabilizar el reforzamiento estructural de los bloques pendientes de la sede centro con permisos, viabilidad presupuestal y medidas de eficiencia energética. Actividades a su cargo: A27-121 Obtener la viabilidad presupuestal del reforzamiento estructural.</t>
        </is>
      </c>
      <c r="S165" s="115" t="inlineStr">
        <is>
          <t>IMP-18</t>
        </is>
      </c>
      <c r="T165" s="115" t="inlineStr">
        <is>
          <t>Formulación_Ejes_2027</t>
        </is>
      </c>
      <c r="U165" s="115">
        <f>IF(I165=LEFT('Buscador_Formulación PAA 2027'!$C$4,3),COUNTIF($I$5:I165,LEFT('Buscador_Formulación PAA 2027'!$C$4,3)),"")</f>
        <v/>
      </c>
    </row>
    <row r="166" ht="15" customHeight="1" s="23">
      <c r="A166" s="115" t="inlineStr">
        <is>
          <t>E5-006</t>
        </is>
      </c>
      <c r="B166" s="115" t="inlineStr">
        <is>
          <t>5.2.1.1</t>
        </is>
      </c>
      <c r="C166" s="115" t="inlineStr">
        <is>
          <t>Ampliación y modernización de la infraestructura</t>
        </is>
      </c>
      <c r="D166" s="115" t="inlineStr">
        <is>
          <t>5.2 Modernización de la infraestructura</t>
        </is>
      </c>
      <c r="E166" s="115" t="inlineStr">
        <is>
          <t>3 bloques reforzados estructuralmente en la sede centro.</t>
        </is>
      </c>
      <c r="F166" s="115" t="inlineStr">
        <is>
          <t>N.° de bloques con reforzamiento estructural terminado</t>
        </is>
      </c>
      <c r="G166" s="115" t="inlineStr">
        <is>
          <t>3 bloques</t>
        </is>
      </c>
      <c r="H166" s="115" t="inlineStr">
        <is>
          <t>Viabilidad presupuestal y permisos para los bloques pendientes</t>
        </is>
      </c>
      <c r="I166" s="115" t="inlineStr">
        <is>
          <t>A31</t>
        </is>
      </c>
      <c r="J166" s="115" t="inlineStr">
        <is>
          <t>130 · Vicerrectoría Administrativa y Financiera</t>
        </is>
      </c>
      <c r="K166" s="115" t="inlineStr">
        <is>
          <t>Recursos Físicos e Infraestructura</t>
        </is>
      </c>
      <c r="L166" s="115" t="inlineStr">
        <is>
          <t>Gestión de Recursos Físicos</t>
        </is>
      </c>
      <c r="M166" s="115" t="inlineStr">
        <is>
          <t>Responsable en el PAA 2026</t>
        </is>
      </c>
      <c r="N166" s="115" t="n">
        <v>26</v>
      </c>
      <c r="O166" s="115" t="n">
        <v>7</v>
      </c>
      <c r="P166" s="115" t="n">
        <v>19</v>
      </c>
      <c r="Q166" s="115" t="n">
        <v>0</v>
      </c>
      <c r="R166" s="115" t="inlineStr">
        <is>
          <t>Acción propuesta AC27.49: Viabilizar el reforzamiento estructural de los bloques pendientes de la sede centro con permisos, viabilidad presupuestal y medidas de eficiencia energética. Actividades a su cargo: A27-120 Gestionar permisos y licencias ante el Ministerio de Cultura y la curaduría; A27-122 Integrar al reforzamiento de los bloques F, G y H las medidas de la matriz de oportunidades de eficiencia energética (avance parcial PGEE 2026). Cerrar o reprogramar en el SUIE los 19 productos 2026 pendientes de esta meta.</t>
        </is>
      </c>
      <c r="S166" s="115" t="inlineStr">
        <is>
          <t>IMP-18</t>
        </is>
      </c>
      <c r="T166" s="115" t="inlineStr">
        <is>
          <t>Formulación_Ejes_2027</t>
        </is>
      </c>
      <c r="U166" s="115">
        <f>IF(I166=LEFT('Buscador_Formulación PAA 2027'!$C$4,3),COUNTIF($I$5:I166,LEFT('Buscador_Formulación PAA 2027'!$C$4,3)),"")</f>
        <v/>
      </c>
    </row>
    <row r="167" ht="15" customHeight="1" s="23">
      <c r="A167" s="115" t="inlineStr">
        <is>
          <t>E5-007</t>
        </is>
      </c>
      <c r="B167" s="115" t="inlineStr">
        <is>
          <t>5.2.1.2</t>
        </is>
      </c>
      <c r="C167" s="115" t="inlineStr">
        <is>
          <t>Ampliación y modernización de la infraestructura</t>
        </is>
      </c>
      <c r="D167" s="115" t="inlineStr">
        <is>
          <t>5.2 Modernización de la infraestructura</t>
        </is>
      </c>
      <c r="E167" s="115" t="inlineStr">
        <is>
          <t>100% de los talleres y laboratorios actualizados de acuerdo con el plan maestro, modernizados y viabilizados con buenas prácticas ambientales.</t>
        </is>
      </c>
      <c r="F167" s="115" t="inlineStr">
        <is>
          <t>% de talleres y laboratorios modernizados</t>
        </is>
      </c>
      <c r="G167" s="115" t="inlineStr">
        <is>
          <t>100%</t>
        </is>
      </c>
      <c r="H167" s="115" t="inlineStr">
        <is>
          <t>Plan Maestro Institucional (PMI) formulado y en marcha</t>
        </is>
      </c>
      <c r="I167" s="115" t="inlineStr">
        <is>
          <t>A15</t>
        </is>
      </c>
      <c r="J167" s="115" t="inlineStr">
        <is>
          <t>120 · Vicerrectoría Académica</t>
        </is>
      </c>
      <c r="K167" s="115" t="inlineStr">
        <is>
          <t>Despacho de la Vicerrectoría Académica</t>
        </is>
      </c>
      <c r="L167" s="115" t="inlineStr">
        <is>
          <t>Docencia PES</t>
        </is>
      </c>
      <c r="M167" s="115" t="inlineStr">
        <is>
          <t>Responsable en el PAA 2026</t>
        </is>
      </c>
      <c r="N167" s="115" t="n">
        <v>10</v>
      </c>
      <c r="O167" s="115" t="n">
        <v>2</v>
      </c>
      <c r="P167" s="115" t="n">
        <v>8</v>
      </c>
      <c r="Q167" s="115" t="n">
        <v>0</v>
      </c>
      <c r="R167" s="115" t="inlineStr">
        <is>
          <t>Definir las necesidades académicas de talleres y laboratorios que priorizará el Plan Maestro según la oferta vigente y la nueva. Cerrar o reprogramar en el SUIE los 8 productos 2026 pendientes de esta meta.</t>
        </is>
      </c>
      <c r="S167" s="115" t="inlineStr">
        <is>
          <t>IMP-07; IMP-01</t>
        </is>
      </c>
      <c r="T167" s="115" t="inlineStr">
        <is>
          <t>Formulación_Ejes_2027</t>
        </is>
      </c>
      <c r="U167" s="115">
        <f>IF(I167=LEFT('Buscador_Formulación PAA 2027'!$C$4,3),COUNTIF($I$5:I167,LEFT('Buscador_Formulación PAA 2027'!$C$4,3)),"")</f>
        <v/>
      </c>
    </row>
    <row r="168" ht="15" customHeight="1" s="23">
      <c r="A168" s="115" t="inlineStr">
        <is>
          <t>E5-008</t>
        </is>
      </c>
      <c r="B168" s="115" t="inlineStr">
        <is>
          <t>5.2.1.2</t>
        </is>
      </c>
      <c r="C168" s="115" t="inlineStr">
        <is>
          <t>Ampliación y modernización de la infraestructura</t>
        </is>
      </c>
      <c r="D168" s="115" t="inlineStr">
        <is>
          <t>5.2 Modernización de la infraestructura</t>
        </is>
      </c>
      <c r="E168" s="115" t="inlineStr">
        <is>
          <t>100% de los talleres y laboratorios actualizados de acuerdo con el plan maestro, modernizados y viabilizados con buenas prácticas ambientales.</t>
        </is>
      </c>
      <c r="F168" s="115" t="inlineStr">
        <is>
          <t>% de talleres y laboratorios modernizados</t>
        </is>
      </c>
      <c r="G168" s="115" t="inlineStr">
        <is>
          <t>100%</t>
        </is>
      </c>
      <c r="H168" s="115" t="inlineStr">
        <is>
          <t>Plan Maestro Institucional (PMI) formulado y en marcha</t>
        </is>
      </c>
      <c r="I168" s="115" t="inlineStr">
        <is>
          <t>A28</t>
        </is>
      </c>
      <c r="J168" s="115" t="inlineStr">
        <is>
          <t>125 · GIT Talleres y Laboratorios</t>
        </is>
      </c>
      <c r="K168" s="115" t="inlineStr">
        <is>
          <t>GIT Talleres y Laboratorios</t>
        </is>
      </c>
      <c r="L168" s="115" t="inlineStr">
        <is>
          <t>Gestión de Recursos Físicos</t>
        </is>
      </c>
      <c r="M168" s="115" t="inlineStr">
        <is>
          <t>Responsable en el PAA 2026</t>
        </is>
      </c>
      <c r="N168" s="115" t="n">
        <v>6</v>
      </c>
      <c r="O168" s="115" t="n">
        <v>0</v>
      </c>
      <c r="P168" s="115" t="n">
        <v>6</v>
      </c>
      <c r="Q168" s="115" t="n">
        <v>0</v>
      </c>
      <c r="R168" s="115" t="inlineStr">
        <is>
          <t>Acción propuesta AC27.50: Modernizar talleres y laboratorios con base en el Plan Maestro Institucional y en las necesidades de la nueva oferta. Actividades a su cargo: A27-124 Priorizar talleres y laboratorios según el PMI y la nueva oferta; A27-125 Modernizar talleres y laboratorios según el plan de inversiones. Cerrar o reprogramar en el SUIE los 6 productos 2026 pendientes de esta meta.</t>
        </is>
      </c>
      <c r="S168" s="115" t="inlineStr">
        <is>
          <t>IMP-07; IMP-01</t>
        </is>
      </c>
      <c r="T168" s="115" t="inlineStr">
        <is>
          <t>Formulación_Ejes_2027</t>
        </is>
      </c>
      <c r="U168" s="115">
        <f>IF(I168=LEFT('Buscador_Formulación PAA 2027'!$C$4,3),COUNTIF($I$5:I168,LEFT('Buscador_Formulación PAA 2027'!$C$4,3)),"")</f>
        <v/>
      </c>
    </row>
    <row r="169" ht="15" customHeight="1" s="23">
      <c r="A169" s="115" t="inlineStr">
        <is>
          <t>E5-009</t>
        </is>
      </c>
      <c r="B169" s="115" t="inlineStr">
        <is>
          <t>5.2.1.2</t>
        </is>
      </c>
      <c r="C169" s="115" t="inlineStr">
        <is>
          <t>Ampliación y modernización de la infraestructura</t>
        </is>
      </c>
      <c r="D169" s="115" t="inlineStr">
        <is>
          <t>5.2 Modernización de la infraestructura</t>
        </is>
      </c>
      <c r="E169" s="115" t="inlineStr">
        <is>
          <t>100% de los talleres y laboratorios actualizados de acuerdo con el plan maestro, modernizados y viabilizados con buenas prácticas ambientales.</t>
        </is>
      </c>
      <c r="F169" s="115" t="inlineStr">
        <is>
          <t>% de talleres y laboratorios modernizados</t>
        </is>
      </c>
      <c r="G169" s="115" t="inlineStr">
        <is>
          <t>100%</t>
        </is>
      </c>
      <c r="H169" s="115" t="inlineStr">
        <is>
          <t>Plan Maestro Institucional (PMI) formulado y en marcha</t>
        </is>
      </c>
      <c r="I169" s="115" t="inlineStr">
        <is>
          <t>A31</t>
        </is>
      </c>
      <c r="J169" s="115" t="inlineStr">
        <is>
          <t>130 · Vicerrectoría Administrativa y Financiera</t>
        </is>
      </c>
      <c r="K169" s="115" t="inlineStr">
        <is>
          <t>Recursos Físicos e Infraestructura</t>
        </is>
      </c>
      <c r="L169" s="115" t="inlineStr">
        <is>
          <t>Gestión de Recursos Físicos</t>
        </is>
      </c>
      <c r="M169" s="115" t="inlineStr">
        <is>
          <t>Compromiso de proyecto estructurante</t>
        </is>
      </c>
      <c r="N169" s="115" t="n">
        <v>0</v>
      </c>
      <c r="O169" s="115" t="n">
        <v>0</v>
      </c>
      <c r="P169" s="115" t="n">
        <v>0</v>
      </c>
      <c r="Q169" s="115" t="n">
        <v>1</v>
      </c>
      <c r="R169" s="115" t="inlineStr">
        <is>
          <t>Acción propuesta AC27.50: Modernizar talleres y laboratorios con base en el Plan Maestro Institucional y en las necesidades de la nueva oferta. Actividades a su cargo: A27-123 Contratar la consultoría del Plan Maestro Institucional. Con esta acción se atienden compromisos pendientes de 2026 de los proyectos estructurantes.</t>
        </is>
      </c>
      <c r="S169" s="115" t="inlineStr">
        <is>
          <t>IMP-07; IMP-01</t>
        </is>
      </c>
      <c r="T169" s="115" t="inlineStr">
        <is>
          <t>Formulación_Ejes_2027</t>
        </is>
      </c>
      <c r="U169" s="115">
        <f>IF(I169=LEFT('Buscador_Formulación PAA 2027'!$C$4,3),COUNTIF($I$5:I169,LEFT('Buscador_Formulación PAA 2027'!$C$4,3)),"")</f>
        <v/>
      </c>
    </row>
    <row r="170" ht="15" customHeight="1" s="23">
      <c r="A170" s="115" t="inlineStr">
        <is>
          <t>E5-010</t>
        </is>
      </c>
      <c r="B170" s="115" t="inlineStr">
        <is>
          <t>5.2.1.2</t>
        </is>
      </c>
      <c r="C170" s="115" t="inlineStr">
        <is>
          <t>Ampliación y modernización de la infraestructura</t>
        </is>
      </c>
      <c r="D170" s="115" t="inlineStr">
        <is>
          <t>5.2 Modernización de la infraestructura</t>
        </is>
      </c>
      <c r="E170" s="115" t="inlineStr">
        <is>
          <t>100% de los talleres y laboratorios actualizados de acuerdo con el plan maestro, modernizados y viabilizados con buenas prácticas ambientales.</t>
        </is>
      </c>
      <c r="F170" s="115" t="inlineStr">
        <is>
          <t>% de talleres y laboratorios modernizados</t>
        </is>
      </c>
      <c r="G170" s="115" t="inlineStr">
        <is>
          <t>100%</t>
        </is>
      </c>
      <c r="H170" s="115" t="inlineStr">
        <is>
          <t>Plan Maestro Institucional (PMI) formulado y en marcha</t>
        </is>
      </c>
      <c r="I170" s="115" t="inlineStr">
        <is>
          <t>A38</t>
        </is>
      </c>
      <c r="J170" s="115" t="inlineStr">
        <is>
          <t>140 · Vicerrectoría de Investigación, Extensión y Transferencia</t>
        </is>
      </c>
      <c r="K170" s="115" t="inlineStr">
        <is>
          <t>Despacho de la VIET</t>
        </is>
      </c>
      <c r="L170" s="115" t="inlineStr">
        <is>
          <t>Investigación</t>
        </is>
      </c>
      <c r="M170" s="115" t="inlineStr">
        <is>
          <t>Responsable en el PAA 2026</t>
        </is>
      </c>
      <c r="N170" s="115" t="n">
        <v>3</v>
      </c>
      <c r="O170" s="115" t="n">
        <v>1</v>
      </c>
      <c r="P170" s="115" t="n">
        <v>2</v>
      </c>
      <c r="Q170" s="115" t="n">
        <v>0</v>
      </c>
      <c r="R170" s="115" t="inlineStr">
        <is>
          <t>Definir las necesidades de laboratorios para investigación que deben quedar en el Plan Maestro. Cerrar o reprogramar en el SUIE los 2 productos 2026 pendientes de esta meta.</t>
        </is>
      </c>
      <c r="S170" s="115" t="inlineStr">
        <is>
          <t>IMP-07; IMP-01</t>
        </is>
      </c>
      <c r="T170" s="115" t="inlineStr">
        <is>
          <t>Formulación_Ejes_2027</t>
        </is>
      </c>
      <c r="U170" s="115">
        <f>IF(I170=LEFT('Buscador_Formulación PAA 2027'!$C$4,3),COUNTIF($I$5:I170,LEFT('Buscador_Formulación PAA 2027'!$C$4,3)),"")</f>
        <v/>
      </c>
    </row>
    <row r="171" ht="15" customHeight="1" s="23">
      <c r="A171" s="115" t="inlineStr">
        <is>
          <t>E5-011</t>
        </is>
      </c>
      <c r="B171" s="115" t="inlineStr">
        <is>
          <t>5.2.1.3</t>
        </is>
      </c>
      <c r="C171" s="115" t="inlineStr">
        <is>
          <t>Ampliación y modernización de la infraestructura</t>
        </is>
      </c>
      <c r="D171" s="115" t="inlineStr">
        <is>
          <t>5.2 Modernización de la infraestructura</t>
        </is>
      </c>
      <c r="E171" s="115" t="inlineStr">
        <is>
          <t>Reposición del 100% de computadores de apoyo a la academia con antigüedad mayor a 3 años.</t>
        </is>
      </c>
      <c r="F171" s="115" t="inlineStr">
        <is>
          <t>% de computadores de apoyo académico con antigüedad ≤ 3 años</t>
        </is>
      </c>
      <c r="G171" s="115" t="inlineStr">
        <is>
          <t>100%</t>
        </is>
      </c>
      <c r="H171" s="115" t="inlineStr">
        <is>
          <t>Sugerida por la OAP: 240 computadores de salas de sistemas repuestos, 100% de las salas priorizadas, e inventario de antigüedad del parque tecnológico</t>
        </is>
      </c>
      <c r="I171" s="115" t="inlineStr">
        <is>
          <t>A34</t>
        </is>
      </c>
      <c r="J171" s="115" t="inlineStr">
        <is>
          <t>132 · GIT Gestión de Informática y Telecomunicaciones</t>
        </is>
      </c>
      <c r="K171" s="115" t="inlineStr">
        <is>
          <t>GIT Informática y Telecomunicaciones</t>
        </is>
      </c>
      <c r="L171" s="115" t="inlineStr">
        <is>
          <t>Gestión de Informática y Telecomunicaciones</t>
        </is>
      </c>
      <c r="M171" s="115" t="inlineStr">
        <is>
          <t>Responsable en el PAA 2026</t>
        </is>
      </c>
      <c r="N171" s="115" t="n">
        <v>3</v>
      </c>
      <c r="O171" s="115" t="n">
        <v>0</v>
      </c>
      <c r="P171" s="115" t="n">
        <v>3</v>
      </c>
      <c r="Q171" s="115" t="n">
        <v>0</v>
      </c>
      <c r="R171" s="115" t="inlineStr">
        <is>
          <t>Acción propuesta AC27.51: Renovar el parque de computadores de apoyo académico a partir de un inventario de antigüedad. Actividades a su cargo: A27-126 Levantar el inventario de antigüedad de los equipos académicos; A27-127 Reponer los equipos de cómputo de salas de sistemas. Cerrar o reprogramar en el SUIE los 3 productos 2026 pendientes de esta meta.</t>
        </is>
      </c>
      <c r="S171" s="115" t="inlineStr">
        <is>
          <t>IMP-07</t>
        </is>
      </c>
      <c r="T171" s="115" t="inlineStr">
        <is>
          <t>Formulación_Ejes_2027</t>
        </is>
      </c>
      <c r="U171" s="115">
        <f>IF(I171=LEFT('Buscador_Formulación PAA 2027'!$C$4,3),COUNTIF($I$5:I171,LEFT('Buscador_Formulación PAA 2027'!$C$4,3)),"")</f>
        <v/>
      </c>
    </row>
    <row r="172" ht="15" customHeight="1" s="23">
      <c r="A172" s="115" t="inlineStr">
        <is>
          <t>E5-012</t>
        </is>
      </c>
      <c r="B172" s="115" t="inlineStr">
        <is>
          <t>5.3.1.1</t>
        </is>
      </c>
      <c r="C172" s="115" t="inlineStr">
        <is>
          <t>Ampliación y modernización de la infraestructura</t>
        </is>
      </c>
      <c r="D172" s="115" t="inlineStr">
        <is>
          <t>5.3 Infraestructura de terceros</t>
        </is>
      </c>
      <c r="E172" s="115" t="inlineStr">
        <is>
          <t>Hacer presencia con oferta académica en 4 sedes de terceros y multicampus: 1. Zipaquirá, 2. Multicampus de Suba, 3. Soacha, 4. Multicampus Tintal.</t>
        </is>
      </c>
      <c r="F172" s="115" t="inlineStr">
        <is>
          <t>N.° de sedes de terceros con oferta activa</t>
        </is>
      </c>
      <c r="G172" s="115" t="inlineStr">
        <is>
          <t>4 sedes de terceros</t>
        </is>
      </c>
      <c r="H172" s="115" t="inlineStr">
        <is>
          <t>Convenio ETITC-MinTIC suscrito; oferta en Zipaquirá; oferta primer semestre de 2027 en La Primavera, Villeta y 3 municipios de Casanare</t>
        </is>
      </c>
      <c r="I172" s="115" t="inlineStr">
        <is>
          <t>A01</t>
        </is>
      </c>
      <c r="J172" s="115" t="inlineStr">
        <is>
          <t>100 · Rectoría</t>
        </is>
      </c>
      <c r="K172" s="115" t="inlineStr">
        <is>
          <t>Despacho de Rectoría</t>
        </is>
      </c>
      <c r="L172" s="115" t="inlineStr">
        <is>
          <t>Direccionamiento Institucional</t>
        </is>
      </c>
      <c r="M172" s="115" t="inlineStr">
        <is>
          <t>Compromiso de proyecto estructurante</t>
        </is>
      </c>
      <c r="N172" s="115" t="n">
        <v>0</v>
      </c>
      <c r="O172" s="115" t="n">
        <v>0</v>
      </c>
      <c r="P172" s="115" t="n">
        <v>0</v>
      </c>
      <c r="Q172" s="115" t="n">
        <v>2</v>
      </c>
      <c r="R172" s="115" t="inlineStr">
        <is>
          <t>Acción propuesta AC27.52: Formalizar la presencia en sedes de terceros mediante la decisión del CIGD, el convenio con MinTIC para el Centro de IA Zipazgo y su supervisión. Actividades a su cargo: A27-128 Decidir en el CIGD la formulación de las líneas 3.1, 5.3 y 6.1; A27-129 Suscribir el convenio interadministrativo ETITC-MinTIC para el Centro de IA Zipazgo. Con esta acción se atienden compromisos pendientes de 2026 de los proyectos estructurantes.</t>
        </is>
      </c>
      <c r="S172" s="115" t="inlineStr">
        <is>
          <t>IMP-12; IMP-13</t>
        </is>
      </c>
      <c r="T172" s="115" t="inlineStr">
        <is>
          <t>Formulación_Ejes_2027</t>
        </is>
      </c>
      <c r="U172" s="115">
        <f>IF(I172=LEFT('Buscador_Formulación PAA 2027'!$C$4,3),COUNTIF($I$5:I172,LEFT('Buscador_Formulación PAA 2027'!$C$4,3)),"")</f>
        <v/>
      </c>
    </row>
    <row r="173" ht="15" customHeight="1" s="23">
      <c r="A173" s="115" t="inlineStr">
        <is>
          <t>E5-013</t>
        </is>
      </c>
      <c r="B173" s="115" t="inlineStr">
        <is>
          <t>5.3.1.1</t>
        </is>
      </c>
      <c r="C173" s="115" t="inlineStr">
        <is>
          <t>Ampliación y modernización de la infraestructura</t>
        </is>
      </c>
      <c r="D173" s="115" t="inlineStr">
        <is>
          <t>5.3 Infraestructura de terceros</t>
        </is>
      </c>
      <c r="E173" s="115" t="inlineStr">
        <is>
          <t>Hacer presencia con oferta académica en 4 sedes de terceros y multicampus: 1. Zipaquirá, 2. Multicampus de Suba, 3. Soacha, 4. Multicampus Tintal.</t>
        </is>
      </c>
      <c r="F173" s="115" t="inlineStr">
        <is>
          <t>N.° de sedes de terceros con oferta activa</t>
        </is>
      </c>
      <c r="G173" s="115" t="inlineStr">
        <is>
          <t>4 sedes de terceros</t>
        </is>
      </c>
      <c r="H173" s="115" t="inlineStr">
        <is>
          <t>Convenio ETITC-MinTIC suscrito; oferta en Zipaquirá; oferta primer semestre de 2027 en La Primavera, Villeta y 3 municipios de Casanare</t>
        </is>
      </c>
      <c r="I173" s="115" t="inlineStr">
        <is>
          <t>A11</t>
        </is>
      </c>
      <c r="J173" s="115" t="inlineStr">
        <is>
          <t>110 · Secretaría General</t>
        </is>
      </c>
      <c r="K173" s="115" t="inlineStr">
        <is>
          <t>Despacho de Secretaría General</t>
        </is>
      </c>
      <c r="L173" s="115" t="inlineStr">
        <is>
          <t>Direccionamiento Institucional</t>
        </is>
      </c>
      <c r="M173" s="115" t="inlineStr">
        <is>
          <t>Compromiso de proyecto estructurante</t>
        </is>
      </c>
      <c r="N173" s="115" t="n">
        <v>0</v>
      </c>
      <c r="O173" s="115" t="n">
        <v>0</v>
      </c>
      <c r="P173" s="115" t="n">
        <v>0</v>
      </c>
      <c r="Q173" s="115" t="n">
        <v>1</v>
      </c>
      <c r="R173" s="115" t="inlineStr">
        <is>
          <t>Acción propuesta AC27.52: Formalizar la presencia en sedes de terceros mediante la decisión del CIGD, el convenio con MinTIC para el Centro de IA Zipazgo y su supervisión. Actividades a su cargo: A27-130 Legalizar el convenio y designar la supervisión. Con esta acción se atienden compromisos pendientes de 2026 de los proyectos estructurantes.</t>
        </is>
      </c>
      <c r="S173" s="115" t="inlineStr">
        <is>
          <t>IMP-12; IMP-13</t>
        </is>
      </c>
      <c r="T173" s="115" t="inlineStr">
        <is>
          <t>Formulación_Ejes_2027</t>
        </is>
      </c>
      <c r="U173" s="115">
        <f>IF(I173=LEFT('Buscador_Formulación PAA 2027'!$C$4,3),COUNTIF($I$5:I173,LEFT('Buscador_Formulación PAA 2027'!$C$4,3)),"")</f>
        <v/>
      </c>
    </row>
    <row r="174" ht="15" customHeight="1" s="23">
      <c r="A174" s="115" t="inlineStr">
        <is>
          <t>E5-014</t>
        </is>
      </c>
      <c r="B174" s="115" t="inlineStr">
        <is>
          <t>5.3.1.1</t>
        </is>
      </c>
      <c r="C174" s="115" t="inlineStr">
        <is>
          <t>Ampliación y modernización de la infraestructura</t>
        </is>
      </c>
      <c r="D174" s="115" t="inlineStr">
        <is>
          <t>5.3 Infraestructura de terceros</t>
        </is>
      </c>
      <c r="E174" s="115" t="inlineStr">
        <is>
          <t>Hacer presencia con oferta académica en 4 sedes de terceros y multicampus: 1. Zipaquirá, 2. Multicampus de Suba, 3. Soacha, 4. Multicampus Tintal.</t>
        </is>
      </c>
      <c r="F174" s="115" t="inlineStr">
        <is>
          <t>N.° de sedes de terceros con oferta activa</t>
        </is>
      </c>
      <c r="G174" s="115" t="inlineStr">
        <is>
          <t>4 sedes de terceros</t>
        </is>
      </c>
      <c r="H174" s="115" t="inlineStr">
        <is>
          <t>Convenio ETITC-MinTIC suscrito; oferta en Zipaquirá; oferta primer semestre de 2027 en La Primavera, Villeta y 3 municipios de Casanare</t>
        </is>
      </c>
      <c r="I174" s="115" t="inlineStr">
        <is>
          <t>A15</t>
        </is>
      </c>
      <c r="J174" s="115" t="inlineStr">
        <is>
          <t>120 · Vicerrectoría Académica</t>
        </is>
      </c>
      <c r="K174" s="115" t="inlineStr">
        <is>
          <t>Despacho de la Vicerrectoría Académica</t>
        </is>
      </c>
      <c r="L174" s="115" t="inlineStr">
        <is>
          <t>Docencia PES</t>
        </is>
      </c>
      <c r="M174" s="115" t="inlineStr">
        <is>
          <t>Compromiso de proyecto estructurante</t>
        </is>
      </c>
      <c r="N174" s="115" t="n">
        <v>0</v>
      </c>
      <c r="O174" s="115" t="n">
        <v>0</v>
      </c>
      <c r="P174" s="115" t="n">
        <v>0</v>
      </c>
      <c r="Q174" s="115" t="n">
        <v>4</v>
      </c>
      <c r="R174" s="115" t="inlineStr">
        <is>
          <t>Acción propuesta AC27.53: Poner en marcha la oferta académica en los territorios, cumpliendo el Convenio Marco con Zipaquirá y abriendo cohortes en La Primavera, Villeta y Casanare. Actividades a su cargo: A27-131 Cumplir los compromisos del Convenio Marco con Zipaquirá (coordinador, plan anual, comité). Con esta acción se atienden compromisos pendientes de 2026 de los proyectos estructurantes.</t>
        </is>
      </c>
      <c r="S174" s="115" t="inlineStr">
        <is>
          <t>IMP-12; IMP-13</t>
        </is>
      </c>
      <c r="T174" s="115" t="inlineStr">
        <is>
          <t>Formulación_Ejes_2027</t>
        </is>
      </c>
      <c r="U174" s="115">
        <f>IF(I174=LEFT('Buscador_Formulación PAA 2027'!$C$4,3),COUNTIF($I$5:I174,LEFT('Buscador_Formulación PAA 2027'!$C$4,3)),"")</f>
        <v/>
      </c>
    </row>
    <row r="175" ht="15" customHeight="1" s="23">
      <c r="A175" s="115" t="inlineStr">
        <is>
          <t>E5-015</t>
        </is>
      </c>
      <c r="B175" s="115" t="inlineStr">
        <is>
          <t>5.3.1.1</t>
        </is>
      </c>
      <c r="C175" s="115" t="inlineStr">
        <is>
          <t>Ampliación y modernización de la infraestructura</t>
        </is>
      </c>
      <c r="D175" s="115" t="inlineStr">
        <is>
          <t>5.3 Infraestructura de terceros</t>
        </is>
      </c>
      <c r="E175" s="115" t="inlineStr">
        <is>
          <t>Hacer presencia con oferta académica en 4 sedes de terceros y multicampus: 1. Zipaquirá, 2. Multicampus de Suba, 3. Soacha, 4. Multicampus Tintal.</t>
        </is>
      </c>
      <c r="F175" s="115" t="inlineStr">
        <is>
          <t>N.° de sedes de terceros con oferta activa</t>
        </is>
      </c>
      <c r="G175" s="115" t="inlineStr">
        <is>
          <t>4 sedes de terceros</t>
        </is>
      </c>
      <c r="H175" s="115" t="inlineStr">
        <is>
          <t>Convenio ETITC-MinTIC suscrito; oferta en Zipaquirá; oferta primer semestre de 2027 en La Primavera, Villeta y 3 municipios de Casanare</t>
        </is>
      </c>
      <c r="I175" s="115" t="inlineStr">
        <is>
          <t>A19</t>
        </is>
      </c>
      <c r="J175" s="115" t="inlineStr">
        <is>
          <t>101 · Oficina Asesora de Planeación y Desarrollo Institucional</t>
        </is>
      </c>
      <c r="K175" s="115" t="inlineStr">
        <is>
          <t>Regionalización</t>
        </is>
      </c>
      <c r="L175" s="115" t="inlineStr">
        <is>
          <t>Direccionamiento Institucional</t>
        </is>
      </c>
      <c r="M175" s="115" t="inlineStr">
        <is>
          <t>Asignación propuesta por la OAP</t>
        </is>
      </c>
      <c r="N175" s="115" t="n">
        <v>0</v>
      </c>
      <c r="O175" s="115" t="n">
        <v>0</v>
      </c>
      <c r="P175" s="115" t="n">
        <v>0</v>
      </c>
      <c r="Q175" s="115" t="n">
        <v>0</v>
      </c>
      <c r="R175" s="115" t="inlineStr">
        <is>
          <t>Identificar con los municipios la demanda de formación y preparar los convenios de presencia regional.</t>
        </is>
      </c>
      <c r="S175" s="115" t="inlineStr">
        <is>
          <t>IMP-12; IMP-13</t>
        </is>
      </c>
      <c r="T175" s="115" t="inlineStr">
        <is>
          <t>Formulación_Ejes_2027</t>
        </is>
      </c>
      <c r="U175" s="115">
        <f>IF(I175=LEFT('Buscador_Formulación PAA 2027'!$C$4,3),COUNTIF($I$5:I175,LEFT('Buscador_Formulación PAA 2027'!$C$4,3)),"")</f>
        <v/>
      </c>
    </row>
    <row r="176" ht="15" customHeight="1" s="23">
      <c r="A176" s="115" t="inlineStr">
        <is>
          <t>E5-016</t>
        </is>
      </c>
      <c r="B176" s="115" t="inlineStr">
        <is>
          <t>5.3.1.1</t>
        </is>
      </c>
      <c r="C176" s="115" t="inlineStr">
        <is>
          <t>Ampliación y modernización de la infraestructura</t>
        </is>
      </c>
      <c r="D176" s="115" t="inlineStr">
        <is>
          <t>5.3 Infraestructura de terceros</t>
        </is>
      </c>
      <c r="E176" s="115" t="inlineStr">
        <is>
          <t>Hacer presencia con oferta académica en 4 sedes de terceros y multicampus: 1. Zipaquirá, 2. Multicampus de Suba, 3. Soacha, 4. Multicampus Tintal.</t>
        </is>
      </c>
      <c r="F176" s="115" t="inlineStr">
        <is>
          <t>N.° de sedes de terceros con oferta activa</t>
        </is>
      </c>
      <c r="G176" s="115" t="inlineStr">
        <is>
          <t>4 sedes de terceros</t>
        </is>
      </c>
      <c r="H176" s="115" t="inlineStr">
        <is>
          <t>Convenio ETITC-MinTIC suscrito; oferta en Zipaquirá; oferta primer semestre de 2027 en La Primavera, Villeta y 3 municipios de Casanare</t>
        </is>
      </c>
      <c r="I176" s="115" t="inlineStr">
        <is>
          <t>A30</t>
        </is>
      </c>
      <c r="J176" s="115" t="inlineStr">
        <is>
          <t>130 · Vicerrectoría Administrativa y Financiera</t>
        </is>
      </c>
      <c r="K176" s="115" t="inlineStr">
        <is>
          <t>Despacho de la Vicerrectoría Administrativa y Financiera</t>
        </is>
      </c>
      <c r="L176" s="115" t="inlineStr">
        <is>
          <t>Gestión Financiera</t>
        </is>
      </c>
      <c r="M176" s="115" t="inlineStr">
        <is>
          <t>Asignación propuesta por la OAP</t>
        </is>
      </c>
      <c r="N176" s="115" t="n">
        <v>0</v>
      </c>
      <c r="O176" s="115" t="n">
        <v>0</v>
      </c>
      <c r="P176" s="115" t="n">
        <v>0</v>
      </c>
      <c r="Q176" s="115" t="n">
        <v>1</v>
      </c>
      <c r="R176" s="115" t="inlineStr">
        <is>
          <t>Priorizar la sostenibilidad del Centro de IA de Zipaquirá con recursos propios y gestionar convenios de financiación.</t>
        </is>
      </c>
      <c r="S176" s="115" t="inlineStr">
        <is>
          <t>IMP-12; IMP-13</t>
        </is>
      </c>
      <c r="T176" s="115" t="inlineStr">
        <is>
          <t>Formulación_Ejes_2027</t>
        </is>
      </c>
      <c r="U176" s="115">
        <f>IF(I176=LEFT('Buscador_Formulación PAA 2027'!$C$4,3),COUNTIF($I$5:I176,LEFT('Buscador_Formulación PAA 2027'!$C$4,3)),"")</f>
        <v/>
      </c>
    </row>
    <row r="177" ht="15" customHeight="1" s="23">
      <c r="A177" s="115" t="inlineStr">
        <is>
          <t>E5-017</t>
        </is>
      </c>
      <c r="B177" s="115" t="inlineStr">
        <is>
          <t>5.3.1.1</t>
        </is>
      </c>
      <c r="C177" s="115" t="inlineStr">
        <is>
          <t>Ampliación y modernización de la infraestructura</t>
        </is>
      </c>
      <c r="D177" s="115" t="inlineStr">
        <is>
          <t>5.3 Infraestructura de terceros</t>
        </is>
      </c>
      <c r="E177" s="115" t="inlineStr">
        <is>
          <t>Hacer presencia con oferta académica en 4 sedes de terceros y multicampus: 1. Zipaquirá, 2. Multicampus de Suba, 3. Soacha, 4. Multicampus Tintal.</t>
        </is>
      </c>
      <c r="F177" s="115" t="inlineStr">
        <is>
          <t>N.° de sedes de terceros con oferta activa</t>
        </is>
      </c>
      <c r="G177" s="115" t="inlineStr">
        <is>
          <t>4 sedes de terceros</t>
        </is>
      </c>
      <c r="H177" s="115" t="inlineStr">
        <is>
          <t>Convenio ETITC-MinTIC suscrito; oferta en Zipaquirá; oferta primer semestre de 2027 en La Primavera, Villeta y 3 municipios de Casanare</t>
        </is>
      </c>
      <c r="I177" s="115" t="inlineStr">
        <is>
          <t>A44</t>
        </is>
      </c>
      <c r="J177" s="115" t="inlineStr">
        <is>
          <t>100 · Rectoría</t>
        </is>
      </c>
      <c r="K177" s="115" t="inlineStr">
        <is>
          <t>Sedes y Campus</t>
        </is>
      </c>
      <c r="L177" s="115" t="inlineStr">
        <is>
          <t>Direccionamiento Institucional</t>
        </is>
      </c>
      <c r="M177" s="115" t="inlineStr">
        <is>
          <t>Asignación propuesta por la OAP</t>
        </is>
      </c>
      <c r="N177" s="115" t="n">
        <v>0</v>
      </c>
      <c r="O177" s="115" t="n">
        <v>0</v>
      </c>
      <c r="P177" s="115" t="n">
        <v>0</v>
      </c>
      <c r="Q177" s="115" t="n">
        <v>0</v>
      </c>
      <c r="R177" s="115" t="inlineStr">
        <is>
          <t>Coordinar la operación logística de las sedes de terceros y multicampus: espacios, horarios y servicios para los estudiantes.</t>
        </is>
      </c>
      <c r="S177" s="115" t="inlineStr">
        <is>
          <t>IMP-12; IMP-13</t>
        </is>
      </c>
      <c r="T177" s="115" t="inlineStr">
        <is>
          <t>Formulación_Ejes_2027</t>
        </is>
      </c>
      <c r="U177" s="115">
        <f>IF(I177=LEFT('Buscador_Formulación PAA 2027'!$C$4,3),COUNTIF($I$5:I177,LEFT('Buscador_Formulación PAA 2027'!$C$4,3)),"")</f>
        <v/>
      </c>
    </row>
    <row r="178" ht="15" customHeight="1" s="23">
      <c r="A178" s="115" t="inlineStr">
        <is>
          <t>E5-018</t>
        </is>
      </c>
      <c r="B178" s="115" t="inlineStr">
        <is>
          <t>5.3.1.1</t>
        </is>
      </c>
      <c r="C178" s="115" t="inlineStr">
        <is>
          <t>Ampliación y modernización de la infraestructura</t>
        </is>
      </c>
      <c r="D178" s="115" t="inlineStr">
        <is>
          <t>5.3 Infraestructura de terceros</t>
        </is>
      </c>
      <c r="E178" s="115" t="inlineStr">
        <is>
          <t>Hacer presencia con oferta académica en 4 sedes de terceros y multicampus: 1. Zipaquirá, 2. Multicampus de Suba, 3. Soacha, 4. Multicampus Tintal.</t>
        </is>
      </c>
      <c r="F178" s="115" t="inlineStr">
        <is>
          <t>N.° de sedes de terceros con oferta activa</t>
        </is>
      </c>
      <c r="G178" s="115" t="inlineStr">
        <is>
          <t>4 sedes de terceros</t>
        </is>
      </c>
      <c r="H178" s="115" t="inlineStr">
        <is>
          <t>Convenio ETITC-MinTIC suscrito; oferta en Zipaquirá; oferta primer semestre de 2027 en La Primavera, Villeta y 3 municipios de Casanare</t>
        </is>
      </c>
      <c r="I178" s="115" t="inlineStr">
        <is>
          <t>A45</t>
        </is>
      </c>
      <c r="J178" s="115" t="inlineStr">
        <is>
          <t>120 · Vicerrectoría Académica</t>
        </is>
      </c>
      <c r="K178" s="115" t="inlineStr">
        <is>
          <t>Sedes Tintal / Soacha-UPK / Viotá</t>
        </is>
      </c>
      <c r="L178" s="115" t="inlineStr">
        <is>
          <t>Docencia PES</t>
        </is>
      </c>
      <c r="M178" s="115" t="inlineStr">
        <is>
          <t>Asignación propuesta por la OAP</t>
        </is>
      </c>
      <c r="N178" s="115" t="n">
        <v>0</v>
      </c>
      <c r="O178" s="115" t="n">
        <v>0</v>
      </c>
      <c r="P178" s="115" t="n">
        <v>0</v>
      </c>
      <c r="Q178" s="115" t="n">
        <v>0</v>
      </c>
      <c r="R178" s="115" t="inlineStr">
        <is>
          <t>Acción propuesta AC27.53: Poner en marcha la oferta académica en los territorios, cumpliendo el Convenio Marco con Zipaquirá y abriendo cohortes en La Primavera, Villeta y Casanare. Actividades a su cargo: A27-132 Poner en marcha la oferta primer semestre de 2027 en La Primavera, Villeta y municipios de Casanare.</t>
        </is>
      </c>
      <c r="S178" s="115" t="inlineStr">
        <is>
          <t>IMP-12; IMP-13</t>
        </is>
      </c>
      <c r="T178" s="115" t="inlineStr">
        <is>
          <t>Formulación_Ejes_2027</t>
        </is>
      </c>
      <c r="U178" s="115">
        <f>IF(I178=LEFT('Buscador_Formulación PAA 2027'!$C$4,3),COUNTIF($I$5:I178,LEFT('Buscador_Formulación PAA 2027'!$C$4,3)),"")</f>
        <v/>
      </c>
    </row>
    <row r="179" ht="15" customHeight="1" s="23">
      <c r="A179" s="115" t="inlineStr">
        <is>
          <t>E5-019</t>
        </is>
      </c>
      <c r="B179" s="115" t="inlineStr">
        <is>
          <t>5.3.1.1</t>
        </is>
      </c>
      <c r="C179" s="115" t="inlineStr">
        <is>
          <t>Ampliación y modernización de la infraestructura</t>
        </is>
      </c>
      <c r="D179" s="115" t="inlineStr">
        <is>
          <t>5.3 Infraestructura de terceros</t>
        </is>
      </c>
      <c r="E179" s="115" t="inlineStr">
        <is>
          <t>Hacer presencia con oferta académica en 4 sedes de terceros y multicampus: 1. Zipaquirá, 2. Multicampus de Suba, 3. Soacha, 4. Multicampus Tintal.</t>
        </is>
      </c>
      <c r="F179" s="115" t="inlineStr">
        <is>
          <t>N.° de sedes de terceros con oferta activa</t>
        </is>
      </c>
      <c r="G179" s="115" t="inlineStr">
        <is>
          <t>4 sedes de terceros</t>
        </is>
      </c>
      <c r="H179" s="115" t="inlineStr">
        <is>
          <t>Convenio ETITC-MinTIC suscrito; oferta en Zipaquirá; oferta primer semestre de 2027 en La Primavera, Villeta y 3 municipios de Casanare</t>
        </is>
      </c>
      <c r="I179" s="115" t="inlineStr">
        <is>
          <t>A46</t>
        </is>
      </c>
      <c r="J179" s="115" t="inlineStr">
        <is>
          <t>123 · Facultades</t>
        </is>
      </c>
      <c r="K179" s="115" t="inlineStr">
        <is>
          <t>Facultad de Inteligencia Artificial (Acuerdo 010 de 2025)</t>
        </is>
      </c>
      <c r="L179" s="115" t="inlineStr">
        <is>
          <t>Docencia PES</t>
        </is>
      </c>
      <c r="M179" s="115" t="inlineStr">
        <is>
          <t>Asignación por funciones del área</t>
        </is>
      </c>
      <c r="N179" s="115" t="n">
        <v>0</v>
      </c>
      <c r="O179" s="115" t="n">
        <v>0</v>
      </c>
      <c r="P179" s="115" t="n">
        <v>0</v>
      </c>
      <c r="Q179" s="115" t="n">
        <v>0</v>
      </c>
      <c r="R179" s="115" t="inlineStr">
        <is>
          <t>Preparar la operación académica de los programas de inteligencia artificial en el Centro de IA de Zipaquirá: docentes, horarios y laboratorios.</t>
        </is>
      </c>
      <c r="S179" s="115" t="inlineStr">
        <is>
          <t>IMP-12; IMP-13</t>
        </is>
      </c>
      <c r="T179" s="115" t="inlineStr">
        <is>
          <t>Formulación_Ejes_2027</t>
        </is>
      </c>
      <c r="U179" s="115">
        <f>IF(I179=LEFT('Buscador_Formulación PAA 2027'!$C$4,3),COUNTIF($I$5:I179,LEFT('Buscador_Formulación PAA 2027'!$C$4,3)),"")</f>
        <v/>
      </c>
    </row>
    <row r="180" ht="15" customHeight="1" s="23">
      <c r="A180" s="115" t="inlineStr">
        <is>
          <t>E5-020</t>
        </is>
      </c>
      <c r="B180" s="115" t="inlineStr">
        <is>
          <t>5.4.1.1</t>
        </is>
      </c>
      <c r="C180" s="115" t="inlineStr">
        <is>
          <t>Ampliación y modernización de la infraestructura</t>
        </is>
      </c>
      <c r="D180" s="115" t="inlineStr">
        <is>
          <t>5.4 Infraestructura para programas presenciales y semipresenciales</t>
        </is>
      </c>
      <c r="E180" s="115" t="inlineStr">
        <is>
          <t>Contar con el 100% de la infraestructura de talleres y laboratorios a través de convenios con instituciones y sector productivo (programas no presenciales).</t>
        </is>
      </c>
      <c r="F180" s="115" t="inlineStr">
        <is>
          <t>% de la infraestructura requerida cubierta por convenios</t>
        </is>
      </c>
      <c r="G180" s="115" t="inlineStr">
        <is>
          <t>100%</t>
        </is>
      </c>
      <c r="H180" s="115" t="inlineStr">
        <is>
          <t>Sugerida por la OAP: 100% de los programas a distancia o híbridos ofertados en 2027 con convenio de uso de talleres y laboratorios, mínimo 3 convenios,</t>
        </is>
      </c>
      <c r="I180" s="115" t="inlineStr">
        <is>
          <t>A14</t>
        </is>
      </c>
      <c r="J180" s="115" t="inlineStr">
        <is>
          <t>130 · Vicerrectoría Administrativa y Financiera</t>
        </is>
      </c>
      <c r="K180" s="115" t="inlineStr">
        <is>
          <t>Contratación y Adquisiciones</t>
        </is>
      </c>
      <c r="L180" s="115" t="inlineStr">
        <is>
          <t>Gestión de Adquisiciones</t>
        </is>
      </c>
      <c r="M180" s="115" t="inlineStr">
        <is>
          <t>Responsable en el PAA 2026</t>
        </is>
      </c>
      <c r="N180" s="115" t="n">
        <v>2</v>
      </c>
      <c r="O180" s="115" t="n">
        <v>0</v>
      </c>
      <c r="P180" s="115" t="n">
        <v>2</v>
      </c>
      <c r="Q180" s="115" t="n">
        <v>0</v>
      </c>
      <c r="R180" s="115" t="inlineStr">
        <is>
          <t>Acción propuesta AC27.54: Garantizar las prácticas de los programas no presenciales mediante convenios de uso de talleres y laboratorios. Actividades a su cargo: A27-134 Suscribir convenios de uso de talleres y laboratorios. Cerrar o reprogramar en el SUIE los 2 productos 2026 pendientes de esta meta.</t>
        </is>
      </c>
      <c r="S180" s="115" t="inlineStr">
        <is>
          <t>IMP-13; IMP-07</t>
        </is>
      </c>
      <c r="T180" s="115" t="inlineStr">
        <is>
          <t>Formulación_Ejes_2027</t>
        </is>
      </c>
      <c r="U180" s="115">
        <f>IF(I180=LEFT('Buscador_Formulación PAA 2027'!$C$4,3),COUNTIF($I$5:I180,LEFT('Buscador_Formulación PAA 2027'!$C$4,3)),"")</f>
        <v/>
      </c>
    </row>
    <row r="181" ht="15" customHeight="1" s="23">
      <c r="A181" s="115" t="inlineStr">
        <is>
          <t>E5-021</t>
        </is>
      </c>
      <c r="B181" s="115" t="inlineStr">
        <is>
          <t>5.4.1.1</t>
        </is>
      </c>
      <c r="C181" s="115" t="inlineStr">
        <is>
          <t>Ampliación y modernización de la infraestructura</t>
        </is>
      </c>
      <c r="D181" s="115" t="inlineStr">
        <is>
          <t>5.4 Infraestructura para programas presenciales y semipresenciales</t>
        </is>
      </c>
      <c r="E181" s="115" t="inlineStr">
        <is>
          <t>Contar con el 100% de la infraestructura de talleres y laboratorios a través de convenios con instituciones y sector productivo (programas no presenciales).</t>
        </is>
      </c>
      <c r="F181" s="115" t="inlineStr">
        <is>
          <t>% de la infraestructura requerida cubierta por convenios</t>
        </is>
      </c>
      <c r="G181" s="115" t="inlineStr">
        <is>
          <t>100%</t>
        </is>
      </c>
      <c r="H181" s="115" t="inlineStr">
        <is>
          <t>Sugerida por la OAP: 100% de los programas a distancia o híbridos ofertados en 2027 con convenio de uso de talleres y laboratorios, mínimo 3 convenios,</t>
        </is>
      </c>
      <c r="I181" s="115" t="inlineStr">
        <is>
          <t>A15</t>
        </is>
      </c>
      <c r="J181" s="115" t="inlineStr">
        <is>
          <t>120 · Vicerrectoría Académica</t>
        </is>
      </c>
      <c r="K181" s="115" t="inlineStr">
        <is>
          <t>Despacho de la Vicerrectoría Académica</t>
        </is>
      </c>
      <c r="L181" s="115" t="inlineStr">
        <is>
          <t>Docencia PES</t>
        </is>
      </c>
      <c r="M181" s="115" t="inlineStr">
        <is>
          <t>Acción propuesta PAA 2027</t>
        </is>
      </c>
      <c r="N181" s="115" t="n">
        <v>0</v>
      </c>
      <c r="O181" s="115" t="n">
        <v>0</v>
      </c>
      <c r="P181" s="115" t="n">
        <v>0</v>
      </c>
      <c r="Q181" s="115" t="n">
        <v>0</v>
      </c>
      <c r="R181" s="115" t="inlineStr">
        <is>
          <t>Acción propuesta AC27.54: Garantizar las prácticas de los programas no presenciales mediante convenios de uso de talleres y laboratorios. Actividades a su cargo: A27-133 Identificar la infraestructura práctica que requieren los programas no presenciales.</t>
        </is>
      </c>
      <c r="S181" s="115" t="inlineStr">
        <is>
          <t>IMP-13; IMP-07</t>
        </is>
      </c>
      <c r="T181" s="115" t="inlineStr">
        <is>
          <t>Formulación_Ejes_2027</t>
        </is>
      </c>
      <c r="U181" s="115">
        <f>IF(I181=LEFT('Buscador_Formulación PAA 2027'!$C$4,3),COUNTIF($I$5:I181,LEFT('Buscador_Formulación PAA 2027'!$C$4,3)),"")</f>
        <v/>
      </c>
    </row>
    <row r="182" ht="15" customHeight="1" s="23">
      <c r="A182" s="115" t="inlineStr">
        <is>
          <t>E5-022</t>
        </is>
      </c>
      <c r="B182" s="115" t="inlineStr">
        <is>
          <t>5.4.1.1</t>
        </is>
      </c>
      <c r="C182" s="115" t="inlineStr">
        <is>
          <t>Ampliación y modernización de la infraestructura</t>
        </is>
      </c>
      <c r="D182" s="115" t="inlineStr">
        <is>
          <t>5.4 Infraestructura para programas presenciales y semipresenciales</t>
        </is>
      </c>
      <c r="E182" s="115" t="inlineStr">
        <is>
          <t>Contar con el 100% de la infraestructura de talleres y laboratorios a través de convenios con instituciones y sector productivo (programas no presenciales).</t>
        </is>
      </c>
      <c r="F182" s="115" t="inlineStr">
        <is>
          <t>% de la infraestructura requerida cubierta por convenios</t>
        </is>
      </c>
      <c r="G182" s="115" t="inlineStr">
        <is>
          <t>100%</t>
        </is>
      </c>
      <c r="H182" s="115" t="inlineStr">
        <is>
          <t>Sugerida por la OAP: 100% de los programas a distancia o híbridos ofertados en 2027 con convenio de uso de talleres y laboratorios, mínimo 3 convenios,</t>
        </is>
      </c>
      <c r="I182" s="115" t="inlineStr">
        <is>
          <t>A34</t>
        </is>
      </c>
      <c r="J182" s="115" t="inlineStr">
        <is>
          <t>132 · GIT Gestión de Informática y Telecomunicaciones</t>
        </is>
      </c>
      <c r="K182" s="115" t="inlineStr">
        <is>
          <t>GIT Informática y Telecomunicaciones</t>
        </is>
      </c>
      <c r="L182" s="115" t="inlineStr">
        <is>
          <t>Gestión de Informática y Telecomunicaciones</t>
        </is>
      </c>
      <c r="M182" s="115" t="inlineStr">
        <is>
          <t>Responsable en el PAA 2026</t>
        </is>
      </c>
      <c r="N182" s="115" t="n">
        <v>0</v>
      </c>
      <c r="O182" s="115" t="n">
        <v>0</v>
      </c>
      <c r="P182" s="115" t="n">
        <v>0</v>
      </c>
      <c r="Q182" s="115" t="n">
        <v>1</v>
      </c>
      <c r="R182" s="115" t="inlineStr">
        <is>
          <t>Habilitar laboratorios virtuales y la conectividad que requieren los programas a distancia e híbridos.</t>
        </is>
      </c>
      <c r="S182" s="115" t="inlineStr">
        <is>
          <t>IMP-13; IMP-07</t>
        </is>
      </c>
      <c r="T182" s="115" t="inlineStr">
        <is>
          <t>Formulación_Ejes_2027</t>
        </is>
      </c>
      <c r="U182" s="115">
        <f>IF(I182=LEFT('Buscador_Formulación PAA 2027'!$C$4,3),COUNTIF($I$5:I182,LEFT('Buscador_Formulación PAA 2027'!$C$4,3)),"")</f>
        <v/>
      </c>
    </row>
    <row r="183" ht="15" customHeight="1" s="23">
      <c r="A183" s="115" t="inlineStr">
        <is>
          <t>E6-001</t>
        </is>
      </c>
      <c r="B183" s="115" t="inlineStr">
        <is>
          <t>6.1.1.1</t>
        </is>
      </c>
      <c r="C183" s="115" t="inlineStr">
        <is>
          <t>Cuidado por el bienestar y la vida</t>
        </is>
      </c>
      <c r="D183" s="115" t="inlineStr">
        <is>
          <t>6.1 Condiciones para el Bienestar</t>
        </is>
      </c>
      <c r="E183" s="115" t="inlineStr">
        <is>
          <t>El 100% de las áreas de la Institución comprometidas con el Bienestar Universitario integral.</t>
        </is>
      </c>
      <c r="F183" s="115" t="inlineStr">
        <is>
          <t>% de áreas con condiciones de bienestar consolidadas · % de áreas con enlace ambiental y campaña de uso racional de energía y agua aplicada</t>
        </is>
      </c>
      <c r="G183" s="115" t="inlineStr">
        <is>
          <t>100%</t>
        </is>
      </c>
      <c r="H183" s="115" t="inlineStr">
        <is>
          <t>Sugerida por la OAP: 85% de las áreas con condiciones de bienestar consolidadas y 100% de las áreas con enlace ambiental designado y campaña de uso racional de energía y agua aplicada</t>
        </is>
      </c>
      <c r="I183" s="115" t="inlineStr">
        <is>
          <t>A02</t>
        </is>
      </c>
      <c r="J183" s="115" t="inlineStr">
        <is>
          <t>100 · Rectoría</t>
        </is>
      </c>
      <c r="K183" s="115" t="inlineStr">
        <is>
          <t>Comunicaciones y Mercadeo</t>
        </is>
      </c>
      <c r="L183" s="115" t="inlineStr">
        <is>
          <t>Gestión de Comunicaciones</t>
        </is>
      </c>
      <c r="M183" s="115" t="inlineStr">
        <is>
          <t>Acción propuesta PAA 2027</t>
        </is>
      </c>
      <c r="N183" s="115" t="n">
        <v>0</v>
      </c>
      <c r="O183" s="115" t="n">
        <v>0</v>
      </c>
      <c r="P183" s="115" t="n">
        <v>0</v>
      </c>
      <c r="Q183" s="115" t="n">
        <v>0</v>
      </c>
      <c r="R183" s="115" t="inlineStr">
        <is>
          <t>Acción propuesta AC27.56: Construir una cultura ambiental institucional con política revisada, campaña de uso racional de energía y agua y una red de enlaces por área. Actividades a su cargo: A27-139 Cultura ambiental (2/3): diseñar y ejecutar con Comunicaciones la campaña institucional de uso racional de la energía y del agua, que explique a la comunidad el propósito de cada medida (p. ej., el apagado automático de pantallas).</t>
        </is>
      </c>
      <c r="S183" s="115" t="inlineStr">
        <is>
          <t>IMP-16; IMP-15; IMP-01</t>
        </is>
      </c>
      <c r="T183" s="115" t="inlineStr">
        <is>
          <t>Formulación_Ejes_2027</t>
        </is>
      </c>
      <c r="U183" s="115">
        <f>IF(I183=LEFT('Buscador_Formulación PAA 2027'!$C$4,3),COUNTIF($I$5:I183,LEFT('Buscador_Formulación PAA 2027'!$C$4,3)),"")</f>
        <v/>
      </c>
    </row>
    <row r="184" ht="15" customHeight="1" s="23">
      <c r="A184" s="115" t="inlineStr">
        <is>
          <t>E6-002</t>
        </is>
      </c>
      <c r="B184" s="115" t="inlineStr">
        <is>
          <t>6.1.1.1</t>
        </is>
      </c>
      <c r="C184" s="115" t="inlineStr">
        <is>
          <t>Cuidado por el bienestar y la vida</t>
        </is>
      </c>
      <c r="D184" s="115" t="inlineStr">
        <is>
          <t>6.1 Condiciones para el Bienestar</t>
        </is>
      </c>
      <c r="E184" s="115" t="inlineStr">
        <is>
          <t>El 100% de las áreas de la Institución comprometidas con el Bienestar Universitario integral.</t>
        </is>
      </c>
      <c r="F184" s="115" t="inlineStr">
        <is>
          <t>% de áreas con condiciones de bienestar consolidadas · % de áreas con enlace ambiental y campaña de uso racional de energía y agua aplicada</t>
        </is>
      </c>
      <c r="G184" s="115" t="inlineStr">
        <is>
          <t>100%</t>
        </is>
      </c>
      <c r="H184" s="115" t="inlineStr">
        <is>
          <t>Sugerida por la OAP: 85% de las áreas con condiciones de bienestar consolidadas y 100% de las áreas con enlace ambiental designado y campaña de uso racional de energía y agua aplicada</t>
        </is>
      </c>
      <c r="I184" s="115" t="inlineStr">
        <is>
          <t>A10</t>
        </is>
      </c>
      <c r="J184" s="115" t="inlineStr">
        <is>
          <t>101 · Oficina Asesora de Planeación y Desarrollo Institucional</t>
        </is>
      </c>
      <c r="K184" s="115" t="inlineStr">
        <is>
          <t>Gestión Ambiental</t>
        </is>
      </c>
      <c r="L184" s="115" t="inlineStr">
        <is>
          <t>Gestión del Sistema Integrado de Aseguramiento</t>
        </is>
      </c>
      <c r="M184" s="115" t="inlineStr">
        <is>
          <t>Compromiso de proyecto estructurante</t>
        </is>
      </c>
      <c r="N184" s="115" t="n">
        <v>0</v>
      </c>
      <c r="O184" s="115" t="n">
        <v>0</v>
      </c>
      <c r="P184" s="115" t="n">
        <v>0</v>
      </c>
      <c r="Q184" s="115" t="n">
        <v>1</v>
      </c>
      <c r="R184" s="115" t="inlineStr">
        <is>
          <t>Acción propuesta AC27.56: Construir una cultura ambiental institucional con política revisada, campaña de uso racional de energía y agua y una red de enlaces por área. Actividades a su cargo: A27-138 Cultura ambiental (1/3): revisar la política ambiental y reactivar los comités previstos en ella; A27-140 Cultura ambiental (3/3): designar un enlace ambiental por área y hacer jornadas semestrales de cuidado de espacios (luces, agua, equipos y mobiliario) con docentes, administrativos y estudiantes. Con esta acción se atienden compromisos pendientes de 2026 de los proyectos estructurantes.</t>
        </is>
      </c>
      <c r="S184" s="115" t="inlineStr">
        <is>
          <t>IMP-16; IMP-15; IMP-01</t>
        </is>
      </c>
      <c r="T184" s="115" t="inlineStr">
        <is>
          <t>Formulación_Ejes_2027</t>
        </is>
      </c>
      <c r="U184" s="115">
        <f>IF(I184=LEFT('Buscador_Formulación PAA 2027'!$C$4,3),COUNTIF($I$5:I184,LEFT('Buscador_Formulación PAA 2027'!$C$4,3)),"")</f>
        <v/>
      </c>
    </row>
    <row r="185" ht="15" customHeight="1" s="23">
      <c r="A185" s="115" t="inlineStr">
        <is>
          <t>E6-003</t>
        </is>
      </c>
      <c r="B185" s="115" t="inlineStr">
        <is>
          <t>6.1.1.1</t>
        </is>
      </c>
      <c r="C185" s="115" t="inlineStr">
        <is>
          <t>Cuidado por el bienestar y la vida</t>
        </is>
      </c>
      <c r="D185" s="115" t="inlineStr">
        <is>
          <t>6.1 Condiciones para el Bienestar</t>
        </is>
      </c>
      <c r="E185" s="115" t="inlineStr">
        <is>
          <t>El 100% de las áreas de la Institución comprometidas con el Bienestar Universitario integral.</t>
        </is>
      </c>
      <c r="F185" s="115" t="inlineStr">
        <is>
          <t>% de áreas con condiciones de bienestar consolidadas · % de áreas con enlace ambiental y campaña de uso racional de energía y agua aplicada</t>
        </is>
      </c>
      <c r="G185" s="115" t="inlineStr">
        <is>
          <t>100%</t>
        </is>
      </c>
      <c r="H185" s="115" t="inlineStr">
        <is>
          <t>Sugerida por la OAP: 85% de las áreas con condiciones de bienestar consolidadas y 100% de las áreas con enlace ambiental designado y campaña de uso racional de energía y agua aplicada</t>
        </is>
      </c>
      <c r="I185" s="115" t="inlineStr">
        <is>
          <t>A21</t>
        </is>
      </c>
      <c r="J185" s="115" t="inlineStr">
        <is>
          <t>122 · GIT Bienestar Universitario</t>
        </is>
      </c>
      <c r="K185" s="115" t="inlineStr">
        <is>
          <t>GIT Bienestar Universitario</t>
        </is>
      </c>
      <c r="L185" s="115" t="inlineStr">
        <is>
          <t>Gestión de Bienestar Universitario</t>
        </is>
      </c>
      <c r="M185" s="115" t="inlineStr">
        <is>
          <t>Asignación propuesta por la OAP</t>
        </is>
      </c>
      <c r="N185" s="115" t="n">
        <v>0</v>
      </c>
      <c r="O185" s="115" t="n">
        <v>0</v>
      </c>
      <c r="P185" s="115" t="n">
        <v>0</v>
      </c>
      <c r="Q185" s="115" t="n">
        <v>2</v>
      </c>
      <c r="R185" s="115" t="inlineStr">
        <is>
          <t>Acción propuesta AC27.55: Consolidar las condiciones del bienestar universitario integral, con el cierre del PFB 2025 y un tablero de seguimiento mensual. Actividades a su cargo: A27-135 Cerrar el ciclo PFB 2025 (pruebas psicológicas, transporte, soportes); A27-136 Implementar las condiciones clave para el bienestar integral (política, programas, cobertura, evaluación); A27-137 Operar el tablero mensual de seguimiento del PFB. Con esta acción se atienden compromisos pendientes de 2026 de los proyectos estructurantes.</t>
        </is>
      </c>
      <c r="S185" s="115" t="inlineStr">
        <is>
          <t>IMP-16; IMP-15; IMP-01</t>
        </is>
      </c>
      <c r="T185" s="115" t="inlineStr">
        <is>
          <t>Formulación_Ejes_2027</t>
        </is>
      </c>
      <c r="U185" s="115">
        <f>IF(I185=LEFT('Buscador_Formulación PAA 2027'!$C$4,3),COUNTIF($I$5:I185,LEFT('Buscador_Formulación PAA 2027'!$C$4,3)),"")</f>
        <v/>
      </c>
    </row>
    <row r="186" ht="15" customHeight="1" s="23">
      <c r="A186" s="115" t="inlineStr">
        <is>
          <t>E6-004</t>
        </is>
      </c>
      <c r="B186" s="115" t="inlineStr">
        <is>
          <t>6.1.1.1</t>
        </is>
      </c>
      <c r="C186" s="115" t="inlineStr">
        <is>
          <t>Cuidado por el bienestar y la vida</t>
        </is>
      </c>
      <c r="D186" s="115" t="inlineStr">
        <is>
          <t>6.1 Condiciones para el Bienestar</t>
        </is>
      </c>
      <c r="E186" s="115" t="inlineStr">
        <is>
          <t>El 100% de las áreas de la Institución comprometidas con el Bienestar Universitario integral.</t>
        </is>
      </c>
      <c r="F186" s="115" t="inlineStr">
        <is>
          <t>% de áreas con condiciones de bienestar consolidadas · % de áreas con enlace ambiental y campaña de uso racional de energía y agua aplicada</t>
        </is>
      </c>
      <c r="G186" s="115" t="inlineStr">
        <is>
          <t>100%</t>
        </is>
      </c>
      <c r="H186" s="115" t="inlineStr">
        <is>
          <t>Sugerida por la OAP: 85% de las áreas con condiciones de bienestar consolidadas y 100% de las áreas con enlace ambiental designado y campaña de uso racional de energía y agua aplicada</t>
        </is>
      </c>
      <c r="I186" s="115" t="inlineStr">
        <is>
          <t>A36</t>
        </is>
      </c>
      <c r="J186" s="115" t="inlineStr">
        <is>
          <t>133 · GIT Gestión de Talento Humano</t>
        </is>
      </c>
      <c r="K186" s="115" t="inlineStr">
        <is>
          <t>Seguridad y Salud en el Trabajo</t>
        </is>
      </c>
      <c r="L186" s="115" t="inlineStr">
        <is>
          <t>Gestión de Talento Humano</t>
        </is>
      </c>
      <c r="M186" s="115" t="inlineStr">
        <is>
          <t>Asignación propuesta por la OAP</t>
        </is>
      </c>
      <c r="N186" s="115" t="n">
        <v>0</v>
      </c>
      <c r="O186" s="115" t="n">
        <v>0</v>
      </c>
      <c r="P186" s="115" t="n">
        <v>0</v>
      </c>
      <c r="Q186" s="115" t="n">
        <v>0</v>
      </c>
      <c r="R186" s="115" t="inlineStr">
        <is>
          <t>Aportar al bienestar integral con el SG-SST: ambientes de trabajo seguros y programas de vigilancia de la salud en todas las áreas.</t>
        </is>
      </c>
      <c r="S186" s="115" t="inlineStr">
        <is>
          <t>IMP-16; IMP-15; IMP-01</t>
        </is>
      </c>
      <c r="T186" s="115" t="inlineStr">
        <is>
          <t>Formulación_Ejes_2027</t>
        </is>
      </c>
      <c r="U186" s="115">
        <f>IF(I186=LEFT('Buscador_Formulación PAA 2027'!$C$4,3),COUNTIF($I$5:I186,LEFT('Buscador_Formulación PAA 2027'!$C$4,3)),"")</f>
        <v/>
      </c>
    </row>
    <row r="187" ht="15" customHeight="1" s="23">
      <c r="A187" s="115" t="inlineStr">
        <is>
          <t>E6-005</t>
        </is>
      </c>
      <c r="B187" s="115" t="inlineStr">
        <is>
          <t>6.1.1.1</t>
        </is>
      </c>
      <c r="C187" s="115" t="inlineStr">
        <is>
          <t>Cuidado por el bienestar y la vida</t>
        </is>
      </c>
      <c r="D187" s="115" t="inlineStr">
        <is>
          <t>6.1 Condiciones para el Bienestar</t>
        </is>
      </c>
      <c r="E187" s="115" t="inlineStr">
        <is>
          <t>El 100% de las áreas de la Institución comprometidas con el Bienestar Universitario integral.</t>
        </is>
      </c>
      <c r="F187" s="115" t="inlineStr">
        <is>
          <t>% de áreas con condiciones de bienestar consolidadas · % de áreas con enlace ambiental y campaña de uso racional de energía y agua aplicada</t>
        </is>
      </c>
      <c r="G187" s="115" t="inlineStr">
        <is>
          <t>100%</t>
        </is>
      </c>
      <c r="H187" s="115" t="inlineStr">
        <is>
          <t>Sugerida por la OAP: 85% de las áreas con condiciones de bienestar consolidadas y 100% de las áreas con enlace ambiental designado y campaña de uso racional de energía y agua aplicada</t>
        </is>
      </c>
      <c r="I187" s="115" t="inlineStr">
        <is>
          <t>A37</t>
        </is>
      </c>
      <c r="J187" s="115" t="inlineStr">
        <is>
          <t>133 · GIT Gestión de Talento Humano</t>
        </is>
      </c>
      <c r="K187" s="115" t="inlineStr">
        <is>
          <t>Bienestar Laboral</t>
        </is>
      </c>
      <c r="L187" s="115" t="inlineStr">
        <is>
          <t>Gestión de Talento Humano</t>
        </is>
      </c>
      <c r="M187" s="115" t="inlineStr">
        <is>
          <t>Asignación propuesta por la OAP</t>
        </is>
      </c>
      <c r="N187" s="115" t="n">
        <v>0</v>
      </c>
      <c r="O187" s="115" t="n">
        <v>0</v>
      </c>
      <c r="P187" s="115" t="n">
        <v>0</v>
      </c>
      <c r="Q187" s="115" t="n">
        <v>0</v>
      </c>
      <c r="R187" s="115" t="inlineStr">
        <is>
          <t>Ejecutar el plan de bienestar laboral para que todas las áreas participen en las acciones de bienestar integral.</t>
        </is>
      </c>
      <c r="S187" s="115" t="inlineStr">
        <is>
          <t>IMP-16; IMP-15; IMP-01</t>
        </is>
      </c>
      <c r="T187" s="115" t="inlineStr">
        <is>
          <t>Formulación_Ejes_2027</t>
        </is>
      </c>
      <c r="U187" s="115">
        <f>IF(I187=LEFT('Buscador_Formulación PAA 2027'!$C$4,3),COUNTIF($I$5:I187,LEFT('Buscador_Formulación PAA 2027'!$C$4,3)),"")</f>
        <v/>
      </c>
    </row>
    <row r="188">
      <c r="A188" s="115" t="inlineStr">
        <is>
          <t>E6-006</t>
        </is>
      </c>
      <c r="B188" s="115" t="inlineStr">
        <is>
          <t>6.1.1.2</t>
        </is>
      </c>
      <c r="C188" s="115" t="inlineStr">
        <is>
          <t>Cuidado por el bienestar y la vida</t>
        </is>
      </c>
      <c r="D188" s="115" t="inlineStr">
        <is>
          <t>6.1 Condiciones para el Bienestar</t>
        </is>
      </c>
      <c r="E188" s="115" t="inlineStr">
        <is>
          <t>Consolidar las condiciones en infraestructura, dotación, recurso humano y estrategias para el bienestar integral de toda la comunidad en la Institución.</t>
        </is>
      </c>
      <c r="F188" s="115" t="inlineStr">
        <is>
          <t>N.° de condiciones de infraestructura, dotación y talento humano para bienestar consolidadas · Hitos de la ruta de gestión energética cumplidos (de 5) · Ahorro verificado de energía (kWh)</t>
        </is>
      </c>
      <c r="G188" s="115" t="inlineStr">
        <is>
          <t>Sugerida por la OAP: 100% de las sedes con espacios y equipo de bienestar; 15% de ahorro de energía frente a la línea base, exigido por el plan nacional de uso eficiente de la energía</t>
        </is>
      </c>
      <c r="H188" s="115" t="inlineStr">
        <is>
          <t>Sugerida por la OAP: 4 proyectos PFB ejecutados al 100% y sede de Bienestar en Guaymaral operando),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t>
        </is>
      </c>
      <c r="I188" s="115" t="inlineStr">
        <is>
          <t>A05</t>
        </is>
      </c>
      <c r="J188" s="115" t="inlineStr">
        <is>
          <t>101 · Oficina Asesora de Planeación y Desarrollo Institucional</t>
        </is>
      </c>
      <c r="K188" s="115" t="inlineStr">
        <is>
          <t>Planeación y Plan de Acción</t>
        </is>
      </c>
      <c r="L188" s="115" t="inlineStr">
        <is>
          <t>Direccionamiento Institucional</t>
        </is>
      </c>
      <c r="M188" s="115" t="inlineStr">
        <is>
          <t>Compromiso de proyecto estructurante</t>
        </is>
      </c>
      <c r="N188" s="115" t="n">
        <v>0</v>
      </c>
      <c r="O188" s="115" t="n">
        <v>0</v>
      </c>
      <c r="P188" s="115" t="n">
        <v>0</v>
      </c>
      <c r="Q188" s="115" t="n">
        <v>1</v>
      </c>
      <c r="R188" s="115" t="inlineStr">
        <is>
          <t>Acción propuesta AC27.58: Implementar la gestión energética institucional exigida por la ley, desde la línea base y la auditoría hasta el PGEE, la política y el reporte a la UPME. Actividades a su cargo: A27-144 Energía (2/8): ratificar o redesignar al Gestor Energético Institucional para 2027 y definir su dedicación, para que no sea una sobrecarga. Con esta acción se atienden compromisos pendientes de 2026 de los proyectos estructurantes.</t>
        </is>
      </c>
      <c r="S188" s="115" t="inlineStr">
        <is>
          <t>IMP-05; IMP-16; IMP-01</t>
        </is>
      </c>
      <c r="T188" s="115" t="inlineStr">
        <is>
          <t>Formulación_Ejes_2027</t>
        </is>
      </c>
      <c r="U188" s="115">
        <f>IF(I188=LEFT('Buscador_Formulación PAA 2027'!$C$4,3),COUNTIF($I$5:I188,LEFT('Buscador_Formulación PAA 2027'!$C$4,3)),"")</f>
        <v/>
      </c>
    </row>
    <row r="189">
      <c r="A189" s="115" t="inlineStr">
        <is>
          <t>E6-007</t>
        </is>
      </c>
      <c r="B189" s="115" t="inlineStr">
        <is>
          <t>6.1.1.2</t>
        </is>
      </c>
      <c r="C189" s="115" t="inlineStr">
        <is>
          <t>Cuidado por el bienestar y la vida</t>
        </is>
      </c>
      <c r="D189" s="115" t="inlineStr">
        <is>
          <t>6.1 Condiciones para el Bienestar</t>
        </is>
      </c>
      <c r="E189" s="115" t="inlineStr">
        <is>
          <t>Consolidar las condiciones en infraestructura, dotación, recurso humano y estrategias para el bienestar integral de toda la comunidad en la Institución.</t>
        </is>
      </c>
      <c r="F189" s="115" t="inlineStr">
        <is>
          <t>N.° de condiciones de infraestructura, dotación y talento humano para bienestar consolidadas · Hitos de la ruta de gestión energética cumplidos (de 5) · Ahorro verificado de energía (kWh)</t>
        </is>
      </c>
      <c r="G189" s="115" t="inlineStr">
        <is>
          <t>Sugerida por la OAP: 100% de las sedes con espacios y equipo de bienestar; 15% de ahorro de energía frente a la línea base, exigido por el plan nacional de uso eficiente de la energía</t>
        </is>
      </c>
      <c r="H189" s="115" t="inlineStr">
        <is>
          <t>Sugerida por la OAP: 4 proyectos PFB ejecutados al 100% y sede de Bienestar en Guaymaral operando),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t>
        </is>
      </c>
      <c r="I189" s="115" t="inlineStr">
        <is>
          <t>A10</t>
        </is>
      </c>
      <c r="J189" s="115" t="inlineStr">
        <is>
          <t>101 · Oficina Asesora de Planeación y Desarrollo Institucional</t>
        </is>
      </c>
      <c r="K189" s="115" t="inlineStr">
        <is>
          <t>Gestión Ambiental</t>
        </is>
      </c>
      <c r="L189" s="115" t="inlineStr">
        <is>
          <t>Gestión del Sistema Integrado de Aseguramiento</t>
        </is>
      </c>
      <c r="M189" s="115" t="inlineStr">
        <is>
          <t>Compromiso de proyecto estructurante</t>
        </is>
      </c>
      <c r="N189" s="115" t="n">
        <v>0</v>
      </c>
      <c r="O189" s="115" t="n">
        <v>0</v>
      </c>
      <c r="P189" s="115" t="n">
        <v>0</v>
      </c>
      <c r="Q189" s="115" t="n">
        <v>3</v>
      </c>
      <c r="R189" s="115" t="inlineStr">
        <is>
          <t>Acción propuesta AC27.58: Implementar la gestión energética institucional exigida por la ley, desde la línea base y la auditoría hasta el PGEE, la política y el reporte a la UPME. Actividades a su cargo: A27-143 Energía (1/8): recibir y cerrar el avance parcial 2026 del PGEE en los bloques F, G y H (base de información energética, línea base e indicadores, matriz de oportunidades, matriz de información y apoyo al reporte UPME); A27-146 Energía (4/8): contratar la auditoría energética integral de la sede Centro como consultoría con interventoría (solo sedes propias: el Tintal, en comodato, queda fuera); A27-147 Energía (5/8): formular y adoptar en el CIGD el PGEE y la Política de Gestión Energética, con objetivos de ahorro hacia el 15%; A27-150 Energía (8/8): reportar los resultados anuales a la UPME en el Sistema Único de Usuarios (Circular UPME 000089 de 2025). Acción propuesta AC27.59: Reducir el consumo de energía y agua con medidas de bajo costo, la planta solar en operación y un Sistema de Gestión Ambiental activo. Actividades a su cargo: A27-151 Operar el Sistema de Gestión Ambiental: residuos peligrosos, vertimientos y saneamiento. Con esta acción se atienden compromisos pendientes de 2026 de los proyectos estructurantes.</t>
        </is>
      </c>
      <c r="S189" s="115" t="inlineStr">
        <is>
          <t>IMP-05; IMP-16; IMP-01</t>
        </is>
      </c>
      <c r="T189" s="115" t="inlineStr">
        <is>
          <t>Formulación_Ejes_2027</t>
        </is>
      </c>
      <c r="U189" s="115">
        <f>IF(I189=LEFT('Buscador_Formulación PAA 2027'!$C$4,3),COUNTIF($I$5:I189,LEFT('Buscador_Formulación PAA 2027'!$C$4,3)),"")</f>
        <v/>
      </c>
    </row>
    <row r="190">
      <c r="A190" s="115" t="inlineStr">
        <is>
          <t>E6-008</t>
        </is>
      </c>
      <c r="B190" s="115" t="inlineStr">
        <is>
          <t>6.1.1.2</t>
        </is>
      </c>
      <c r="C190" s="115" t="inlineStr">
        <is>
          <t>Cuidado por el bienestar y la vida</t>
        </is>
      </c>
      <c r="D190" s="115" t="inlineStr">
        <is>
          <t>6.1 Condiciones para el Bienestar</t>
        </is>
      </c>
      <c r="E190" s="115" t="inlineStr">
        <is>
          <t>Consolidar las condiciones en infraestructura, dotación, recurso humano y estrategias para el bienestar integral de toda la comunidad en la Institución.</t>
        </is>
      </c>
      <c r="F190" s="115" t="inlineStr">
        <is>
          <t>N.° de condiciones de infraestructura, dotación y talento humano para bienestar consolidadas · Hitos de la ruta de gestión energética cumplidos (de 5) · Ahorro verificado de energía (kWh)</t>
        </is>
      </c>
      <c r="G190" s="115" t="inlineStr">
        <is>
          <t>Sugerida por la OAP: 100% de las sedes con espacios y equipo de bienestar; 15% de ahorro de energía frente a la línea base, exigido por el plan nacional de uso eficiente de la energía</t>
        </is>
      </c>
      <c r="H190" s="115" t="inlineStr">
        <is>
          <t>Sugerida por la OAP: 4 proyectos PFB ejecutados al 100% y sede de Bienestar en Guaymaral operando),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t>
        </is>
      </c>
      <c r="I190" s="115" t="inlineStr">
        <is>
          <t>A21</t>
        </is>
      </c>
      <c r="J190" s="115" t="inlineStr">
        <is>
          <t>122 · GIT Bienestar Universitario</t>
        </is>
      </c>
      <c r="K190" s="115" t="inlineStr">
        <is>
          <t>GIT Bienestar Universitario</t>
        </is>
      </c>
      <c r="L190" s="115" t="inlineStr">
        <is>
          <t>Gestión de Bienestar Universitario</t>
        </is>
      </c>
      <c r="M190" s="115" t="inlineStr">
        <is>
          <t>Asignación propuesta por la OAP</t>
        </is>
      </c>
      <c r="N190" s="115" t="n">
        <v>0</v>
      </c>
      <c r="O190" s="115" t="n">
        <v>0</v>
      </c>
      <c r="P190" s="115" t="n">
        <v>0</v>
      </c>
      <c r="Q190" s="115" t="n">
        <v>0</v>
      </c>
      <c r="R190" s="115" t="inlineStr">
        <is>
          <t>Acción propuesta AC27.57: Consolidar la infraestructura y la dotación para el bienestar, con el PFB 2027 y los espacios de bienestar dotados, incluida la sede de Guaymaral. Actividades a su cargo: A27-141 Formular el PFB 2027 con base en el cierre del PFB 2025; A27-142 Dotar los espacios de bienestar (incluida la sede de Guaymaral).</t>
        </is>
      </c>
      <c r="S190" s="115" t="inlineStr">
        <is>
          <t>IMP-05; IMP-16; IMP-01</t>
        </is>
      </c>
      <c r="T190" s="115" t="inlineStr">
        <is>
          <t>Formulación_Ejes_2027</t>
        </is>
      </c>
      <c r="U190" s="115">
        <f>IF(I190=LEFT('Buscador_Formulación PAA 2027'!$C$4,3),COUNTIF($I$5:I190,LEFT('Buscador_Formulación PAA 2027'!$C$4,3)),"")</f>
        <v/>
      </c>
    </row>
    <row r="191">
      <c r="A191" s="115" t="inlineStr">
        <is>
          <t>E6-009</t>
        </is>
      </c>
      <c r="B191" s="115" t="inlineStr">
        <is>
          <t>6.1.1.2</t>
        </is>
      </c>
      <c r="C191" s="115" t="inlineStr">
        <is>
          <t>Cuidado por el bienestar y la vida</t>
        </is>
      </c>
      <c r="D191" s="115" t="inlineStr">
        <is>
          <t>6.1 Condiciones para el Bienestar</t>
        </is>
      </c>
      <c r="E191" s="115" t="inlineStr">
        <is>
          <t>Consolidar las condiciones en infraestructura, dotación, recurso humano y estrategias para el bienestar integral de toda la comunidad en la Institución.</t>
        </is>
      </c>
      <c r="F191" s="115" t="inlineStr">
        <is>
          <t>N.° de condiciones de infraestructura, dotación y talento humano para bienestar consolidadas · Hitos de la ruta de gestión energética cumplidos (de 5) · Ahorro verificado de energía (kWh)</t>
        </is>
      </c>
      <c r="G191" s="115" t="inlineStr">
        <is>
          <t>Sugerida por la OAP: 100% de las sedes con espacios y equipo de bienestar; 15% de ahorro de energía frente a la línea base, exigido por el plan nacional de uso eficiente de la energía</t>
        </is>
      </c>
      <c r="H191" s="115" t="inlineStr">
        <is>
          <t>Sugerida por la OAP: 4 proyectos PFB ejecutados al 100% y sede de Bienestar en Guaymaral operando),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t>
        </is>
      </c>
      <c r="I191" s="115" t="inlineStr">
        <is>
          <t>A31</t>
        </is>
      </c>
      <c r="J191" s="115" t="inlineStr">
        <is>
          <t>130 · Vicerrectoría Administrativa y Financiera</t>
        </is>
      </c>
      <c r="K191" s="115" t="inlineStr">
        <is>
          <t>Recursos Físicos e Infraestructura</t>
        </is>
      </c>
      <c r="L191" s="115" t="inlineStr">
        <is>
          <t>Gestión de Recursos Físicos</t>
        </is>
      </c>
      <c r="M191" s="115" t="inlineStr">
        <is>
          <t>Asignación propuesta por la OAP</t>
        </is>
      </c>
      <c r="N191" s="115" t="n">
        <v>0</v>
      </c>
      <c r="O191" s="115" t="n">
        <v>0</v>
      </c>
      <c r="P191" s="115" t="n">
        <v>0</v>
      </c>
      <c r="Q191" s="115" t="n">
        <v>1</v>
      </c>
      <c r="R191" s="115" t="inlineStr">
        <is>
          <t>Acción propuesta AC27.58: Implementar la gestión energética institucional exigida por la ley, desde la línea base y la auditoría hasta el PGEE, la política y el reporte a la UPME. Actividades a su cargo: A27-145 Energía (3/8): validar la línea base de consumo con la carga previa a la obra, en kWh y no en costo (Res. UPME 000016 de 2024). Acción propuesta AC27.59: Reducir el consumo de energía y agua con medidas de bajo costo, la planta solar en operación y un Sistema de Gestión Ambiental activo. Actividades a su cargo: A27-148 Energía (6/8): rehabilitar la planta solar fotovoltaica de la sede Centro (talleres de fundición) y su medición, para que la Escuela controle y registre la energía que genera; A27-149 Energía (7/8): implementar medidas de bajo costo (sensores de ocupación, apagado programado, iluminación LED, submedición eléctrica por bloque) y completar la medición sectorizada de agua. Con esta acción se atienden compromisos pendientes de 2026 de los proyectos estructurantes.</t>
        </is>
      </c>
      <c r="S191" s="115" t="inlineStr">
        <is>
          <t>IMP-05; IMP-16; IMP-01</t>
        </is>
      </c>
      <c r="T191" s="115" t="inlineStr">
        <is>
          <t>Formulación_Ejes_2027</t>
        </is>
      </c>
      <c r="U191" s="115">
        <f>IF(I191=LEFT('Buscador_Formulación PAA 2027'!$C$4,3),COUNTIF($I$5:I191,LEFT('Buscador_Formulación PAA 2027'!$C$4,3)),"")</f>
        <v/>
      </c>
    </row>
    <row r="192">
      <c r="A192" s="115" t="inlineStr">
        <is>
          <t>E6-010</t>
        </is>
      </c>
      <c r="B192" s="115" t="inlineStr">
        <is>
          <t>6.2.1.1</t>
        </is>
      </c>
      <c r="C192" s="115" t="inlineStr">
        <is>
          <t>Cuidado por el bienestar y la vida</t>
        </is>
      </c>
      <c r="D192" s="115" t="inlineStr">
        <is>
          <t>6.2 Modelo de aseguramiento del Bienestar</t>
        </is>
      </c>
      <c r="E192" s="115" t="inlineStr">
        <is>
          <t>Lograr el cumplimiento del 100% del Plan Institucional de Bienestar Integral 2026-2032.</t>
        </is>
      </c>
      <c r="F192" s="115" t="inlineStr">
        <is>
          <t>% de cumplimiento del Plan Institucional de Bienestar Integral</t>
        </is>
      </c>
      <c r="G192" s="115" t="inlineStr">
        <is>
          <t>100%</t>
        </is>
      </c>
      <c r="H192" s="115" t="inlineStr">
        <is>
          <t>Sugerida por la OAP: 80% de cumplimiento del modelo de aseguramiento y cancelaciones por debajo de 2,5% del pregrado</t>
        </is>
      </c>
      <c r="I192" s="115" t="inlineStr">
        <is>
          <t>A06</t>
        </is>
      </c>
      <c r="J192" s="115" t="inlineStr">
        <is>
          <t>101 · Oficina Asesora de Planeación y Desarrollo Institucional</t>
        </is>
      </c>
      <c r="K192" s="115" t="inlineStr">
        <is>
          <t>Gestión de Proyectos</t>
        </is>
      </c>
      <c r="L192" s="115" t="inlineStr">
        <is>
          <t>Direccionamiento Institucional</t>
        </is>
      </c>
      <c r="M192" s="115" t="inlineStr">
        <is>
          <t>Responsable en el PAA 2026</t>
        </is>
      </c>
      <c r="N192" s="115" t="n">
        <v>1</v>
      </c>
      <c r="O192" s="115" t="n">
        <v>0</v>
      </c>
      <c r="P192" s="115" t="n">
        <v>1</v>
      </c>
      <c r="Q192" s="115" t="n">
        <v>0</v>
      </c>
      <c r="R192" s="115" t="inlineStr">
        <is>
          <t>Esta meta queda en su lista solo porque tiene productos del PAA 2026 abiertos. En 2027 no se le asigna una acción nueva en ella. Cerrar o reprogramar en el SUIE el producto 2026 pendiente de esta meta.</t>
        </is>
      </c>
      <c r="S192" s="115" t="inlineStr">
        <is>
          <t>IMP-06; IMP-05</t>
        </is>
      </c>
      <c r="T192" s="115" t="inlineStr">
        <is>
          <t>Formulación_Ejes_2027</t>
        </is>
      </c>
      <c r="U192" s="115">
        <f>IF(I192=LEFT('Buscador_Formulación PAA 2027'!$C$4,3),COUNTIF($I$5:I192,LEFT('Buscador_Formulación PAA 2027'!$C$4,3)),"")</f>
        <v/>
      </c>
    </row>
    <row r="193">
      <c r="A193" s="115" t="inlineStr">
        <is>
          <t>E6-011</t>
        </is>
      </c>
      <c r="B193" s="115" t="inlineStr">
        <is>
          <t>6.2.1.1</t>
        </is>
      </c>
      <c r="C193" s="115" t="inlineStr">
        <is>
          <t>Cuidado por el bienestar y la vida</t>
        </is>
      </c>
      <c r="D193" s="115" t="inlineStr">
        <is>
          <t>6.2 Modelo de aseguramiento del Bienestar</t>
        </is>
      </c>
      <c r="E193" s="115" t="inlineStr">
        <is>
          <t>Lograr el cumplimiento del 100% del Plan Institucional de Bienestar Integral 2026-2032.</t>
        </is>
      </c>
      <c r="F193" s="115" t="inlineStr">
        <is>
          <t>% de cumplimiento del Plan Institucional de Bienestar Integral</t>
        </is>
      </c>
      <c r="G193" s="115" t="inlineStr">
        <is>
          <t>100%</t>
        </is>
      </c>
      <c r="H193" s="115" t="inlineStr">
        <is>
          <t>Sugerida por la OAP: 80% de cumplimiento del modelo de aseguramiento y cancelaciones por debajo de 2,5% del pregrado</t>
        </is>
      </c>
      <c r="I193" s="115" t="inlineStr">
        <is>
          <t>A21</t>
        </is>
      </c>
      <c r="J193" s="115" t="inlineStr">
        <is>
          <t>122 · GIT Bienestar Universitario</t>
        </is>
      </c>
      <c r="K193" s="115" t="inlineStr">
        <is>
          <t>GIT Bienestar Universitario</t>
        </is>
      </c>
      <c r="L193" s="115" t="inlineStr">
        <is>
          <t>Gestión de Bienestar Universitario</t>
        </is>
      </c>
      <c r="M193" s="115" t="inlineStr">
        <is>
          <t>Responsable en el PAA 2026</t>
        </is>
      </c>
      <c r="N193" s="115" t="n">
        <v>28</v>
      </c>
      <c r="O193" s="115" t="n">
        <v>28</v>
      </c>
      <c r="P193" s="115" t="n">
        <v>0</v>
      </c>
      <c r="Q193" s="115" t="n">
        <v>3</v>
      </c>
      <c r="R193" s="115" t="inlineStr">
        <is>
          <t>Acción propuesta AC27.60: Cumplir el Plan Institucional de Bienestar Integral con metas anuales, tablero de seguimiento y medición de su impacto. Actividades a su cargo: A27-152 Fijar las metas anuales 2027 del Plan Institucional de Bienestar Integral y su tablero de seguimiento; A27-155 Iniciar el estudio de impacto de servicios de bienestar y políticas académicas. Acción propuesta AC27.61: Proteger la permanencia y la vida de la comunidad con un programa de permanencia y ambientes seguros en todas las sedes. Actividades a su cargo: A27-153 Implementar el programa de permanencia basado en las causas de cancelación. Con esta acción se atienden compromisos pendientes de 2026 de los proyectos estructurantes.</t>
        </is>
      </c>
      <c r="S193" s="115" t="inlineStr">
        <is>
          <t>IMP-06; IMP-05</t>
        </is>
      </c>
      <c r="T193" s="115" t="inlineStr">
        <is>
          <t>Formulación_Ejes_2027</t>
        </is>
      </c>
      <c r="U193" s="115">
        <f>IF(I193=LEFT('Buscador_Formulación PAA 2027'!$C$4,3),COUNTIF($I$5:I193,LEFT('Buscador_Formulación PAA 2027'!$C$4,3)),"")</f>
        <v/>
      </c>
    </row>
    <row r="194">
      <c r="A194" s="115" t="inlineStr">
        <is>
          <t>E6-012</t>
        </is>
      </c>
      <c r="B194" s="115" t="inlineStr">
        <is>
          <t>6.2.1.1</t>
        </is>
      </c>
      <c r="C194" s="115" t="inlineStr">
        <is>
          <t>Cuidado por el bienestar y la vida</t>
        </is>
      </c>
      <c r="D194" s="115" t="inlineStr">
        <is>
          <t>6.2 Modelo de aseguramiento del Bienestar</t>
        </is>
      </c>
      <c r="E194" s="115" t="inlineStr">
        <is>
          <t>Lograr el cumplimiento del 100% del Plan Institucional de Bienestar Integral 2026-2032.</t>
        </is>
      </c>
      <c r="F194" s="115" t="inlineStr">
        <is>
          <t>% de cumplimiento del Plan Institucional de Bienestar Integral</t>
        </is>
      </c>
      <c r="G194" s="115" t="inlineStr">
        <is>
          <t>100%</t>
        </is>
      </c>
      <c r="H194" s="115" t="inlineStr">
        <is>
          <t>Sugerida por la OAP: 80% de cumplimiento del modelo de aseguramiento y cancelaciones por debajo de 2,5% del pregrado</t>
        </is>
      </c>
      <c r="I194" s="115" t="inlineStr">
        <is>
          <t>A36</t>
        </is>
      </c>
      <c r="J194" s="115" t="inlineStr">
        <is>
          <t>133 · GIT Gestión de Talento Humano</t>
        </is>
      </c>
      <c r="K194" s="115" t="inlineStr">
        <is>
          <t>Seguridad y Salud en el Trabajo</t>
        </is>
      </c>
      <c r="L194" s="115" t="inlineStr">
        <is>
          <t>Gestión de Talento Humano</t>
        </is>
      </c>
      <c r="M194" s="115" t="inlineStr">
        <is>
          <t>Acción propuesta PAA 2027</t>
        </is>
      </c>
      <c r="N194" s="115" t="n">
        <v>0</v>
      </c>
      <c r="O194" s="115" t="n">
        <v>0</v>
      </c>
      <c r="P194" s="115" t="n">
        <v>0</v>
      </c>
      <c r="Q194" s="115" t="n">
        <v>0</v>
      </c>
      <c r="R194" s="115" t="inlineStr">
        <is>
          <t>Acción propuesta AC27.61: Proteger la permanencia y la vida de la comunidad con un programa de permanencia y ambientes seguros en todas las sedes. Actividades a su cargo: A27-154 Ejecutar el SG-SST y el plan de emergencias en todas las sedes (ambientes seguros).</t>
        </is>
      </c>
      <c r="S194" s="115" t="inlineStr">
        <is>
          <t>IMP-06; IMP-05</t>
        </is>
      </c>
      <c r="T194" s="115" t="inlineStr">
        <is>
          <t>Formulación_Ejes_2027</t>
        </is>
      </c>
      <c r="U194" s="115">
        <f>IF(I194=LEFT('Buscador_Formulación PAA 2027'!$C$4,3),COUNTIF($I$5:I194,LEFT('Buscador_Formulación PAA 2027'!$C$4,3)),"")</f>
        <v/>
      </c>
    </row>
    <row r="195">
      <c r="A195" s="115" t="inlineStr">
        <is>
          <t>E6-013</t>
        </is>
      </c>
      <c r="B195" s="115" t="inlineStr">
        <is>
          <t>6.3.1.1</t>
        </is>
      </c>
      <c r="C195" s="115" t="inlineStr">
        <is>
          <t>Cuidado por el bienestar y la vida</t>
        </is>
      </c>
      <c r="D195" s="115" t="inlineStr">
        <is>
          <t>6.3 Consolidación de la cultura de Bienestar</t>
        </is>
      </c>
      <c r="E195" s="115" t="inlineStr">
        <is>
          <t>Estar en el ranking de las cinco universidades colombianas reconocidas por Times Higher Education y QS World University.</t>
        </is>
      </c>
      <c r="F195" s="115" t="inlineStr">
        <is>
          <t>Posición en rankings THE y QS</t>
        </is>
      </c>
      <c r="G195" s="115" t="inlineStr">
        <is>
          <t>Top 5 nacional</t>
        </is>
      </c>
      <c r="H195" s="115" t="inlineStr">
        <is>
          <t>Sugerida por la OAP: ETITC registrada en los sistemas de datos de THE y QS con el primer reporte institucional enviado</t>
        </is>
      </c>
      <c r="I195" s="115" t="inlineStr">
        <is>
          <t>A03</t>
        </is>
      </c>
      <c r="J195" s="115" t="inlineStr">
        <is>
          <t>100 · Rectoría</t>
        </is>
      </c>
      <c r="K195" s="115" t="inlineStr">
        <is>
          <t>Internacionalización (ORII)</t>
        </is>
      </c>
      <c r="L195" s="115" t="inlineStr">
        <is>
          <t>Gestión de Internacionalización</t>
        </is>
      </c>
      <c r="M195" s="115" t="inlineStr">
        <is>
          <t>Asignación por funciones del área</t>
        </is>
      </c>
      <c r="N195" s="115" t="n">
        <v>0</v>
      </c>
      <c r="O195" s="115" t="n">
        <v>0</v>
      </c>
      <c r="P195" s="115" t="n">
        <v>0</v>
      </c>
      <c r="Q195" s="115" t="n">
        <v>0</v>
      </c>
      <c r="R195" s="115" t="inlineStr">
        <is>
          <t>Entregar a la Oficina Asesora de Planeación los datos de internacionalización que piden THE y QS: docentes y estudiantes internacionales, movilidad y coautorías.</t>
        </is>
      </c>
      <c r="S195" s="115" t="inlineStr">
        <is>
          <t>IMP-16; IMP-07</t>
        </is>
      </c>
      <c r="T195" s="115" t="inlineStr">
        <is>
          <t>Formulación_Ejes_2027</t>
        </is>
      </c>
      <c r="U195" s="115">
        <f>IF(I195=LEFT('Buscador_Formulación PAA 2027'!$C$4,3),COUNTIF($I$5:I195,LEFT('Buscador_Formulación PAA 2027'!$C$4,3)),"")</f>
        <v/>
      </c>
    </row>
    <row r="196">
      <c r="A196" s="115" t="inlineStr">
        <is>
          <t>E6-014</t>
        </is>
      </c>
      <c r="B196" s="115" t="inlineStr">
        <is>
          <t>6.3.1.1</t>
        </is>
      </c>
      <c r="C196" s="115" t="inlineStr">
        <is>
          <t>Cuidado por el bienestar y la vida</t>
        </is>
      </c>
      <c r="D196" s="115" t="inlineStr">
        <is>
          <t>6.3 Consolidación de la cultura de Bienestar</t>
        </is>
      </c>
      <c r="E196" s="115" t="inlineStr">
        <is>
          <t>Estar en el ranking de las cinco universidades colombianas reconocidas por Times Higher Education y QS World University.</t>
        </is>
      </c>
      <c r="F196" s="115" t="inlineStr">
        <is>
          <t>Posición en rankings THE y QS</t>
        </is>
      </c>
      <c r="G196" s="115" t="inlineStr">
        <is>
          <t>Top 5 nacional</t>
        </is>
      </c>
      <c r="H196" s="115" t="inlineStr">
        <is>
          <t>Sugerida por la OAP: ETITC registrada en los sistemas de datos de THE y QS con el primer reporte institucional enviado</t>
        </is>
      </c>
      <c r="I196" s="115" t="inlineStr">
        <is>
          <t>A05</t>
        </is>
      </c>
      <c r="J196" s="115" t="inlineStr">
        <is>
          <t>101 · Oficina Asesora de Planeación y Desarrollo Institucional</t>
        </is>
      </c>
      <c r="K196" s="115" t="inlineStr">
        <is>
          <t>Planeación y Plan de Acción</t>
        </is>
      </c>
      <c r="L196" s="115" t="inlineStr">
        <is>
          <t>Direccionamiento Institucional</t>
        </is>
      </c>
      <c r="M196" s="115" t="inlineStr">
        <is>
          <t>Asignación propuesta por la OAP</t>
        </is>
      </c>
      <c r="N196" s="115" t="n">
        <v>0</v>
      </c>
      <c r="O196" s="115" t="n">
        <v>0</v>
      </c>
      <c r="P196" s="115" t="n">
        <v>0</v>
      </c>
      <c r="Q196" s="115" t="n">
        <v>0</v>
      </c>
      <c r="R196" s="115" t="inlineStr">
        <is>
          <t>Acción propuesta AC27.62: Ingresar a los sistemas de clasificación de THE y QS con un diagnóstico de requisitos, una matriz de brechas y el primer reporte institucional. Actividades a su cargo: A27-156 Revisar los requisitos de elegibilidad de THE y QS; A27-157 Construir la matriz de indicadores que piden THE y QS (docencia, investigación, internacionalización) y su brecha; A27-158 Preparar y reportar la información institucional.</t>
        </is>
      </c>
      <c r="S196" s="115" t="inlineStr">
        <is>
          <t>IMP-16; IMP-07</t>
        </is>
      </c>
      <c r="T196" s="115" t="inlineStr">
        <is>
          <t>Formulación_Ejes_2027</t>
        </is>
      </c>
      <c r="U196" s="115">
        <f>IF(I196=LEFT('Buscador_Formulación PAA 2027'!$C$4,3),COUNTIF($I$5:I196,LEFT('Buscador_Formulación PAA 2027'!$C$4,3)),"")</f>
        <v/>
      </c>
    </row>
    <row r="197">
      <c r="A197" s="115" t="inlineStr">
        <is>
          <t>E6-015</t>
        </is>
      </c>
      <c r="B197" s="115" t="inlineStr">
        <is>
          <t>6.3.1.1</t>
        </is>
      </c>
      <c r="C197" s="115" t="inlineStr">
        <is>
          <t>Cuidado por el bienestar y la vida</t>
        </is>
      </c>
      <c r="D197" s="115" t="inlineStr">
        <is>
          <t>6.3 Consolidación de la cultura de Bienestar</t>
        </is>
      </c>
      <c r="E197" s="115" t="inlineStr">
        <is>
          <t>Estar en el ranking de las cinco universidades colombianas reconocidas por Times Higher Education y QS World University.</t>
        </is>
      </c>
      <c r="F197" s="115" t="inlineStr">
        <is>
          <t>Posición en rankings THE y QS</t>
        </is>
      </c>
      <c r="G197" s="115" t="inlineStr">
        <is>
          <t>Top 5 nacional</t>
        </is>
      </c>
      <c r="H197" s="115" t="inlineStr">
        <is>
          <t>Sugerida por la OAP: ETITC registrada en los sistemas de datos de THE y QS con el primer reporte institucional enviado</t>
        </is>
      </c>
      <c r="I197" s="115" t="inlineStr">
        <is>
          <t>A39</t>
        </is>
      </c>
      <c r="J197" s="115" t="inlineStr">
        <is>
          <t>140 · Vicerrectoría de Investigación, Extensión y Transferencia</t>
        </is>
      </c>
      <c r="K197" s="115" t="inlineStr">
        <is>
          <t>Investigación (grupos, semilleros, revista, centro de pensamiento)</t>
        </is>
      </c>
      <c r="L197" s="115" t="inlineStr">
        <is>
          <t>Investigación</t>
        </is>
      </c>
      <c r="M197" s="115" t="inlineStr">
        <is>
          <t>Asignación por funciones del área</t>
        </is>
      </c>
      <c r="N197" s="115" t="n">
        <v>0</v>
      </c>
      <c r="O197" s="115" t="n">
        <v>0</v>
      </c>
      <c r="P197" s="115" t="n">
        <v>0</v>
      </c>
      <c r="Q197" s="115" t="n">
        <v>0</v>
      </c>
      <c r="R197" s="115" t="inlineStr">
        <is>
          <t>Entregar a la Oficina Asesora de Planeación la información de producción científica y citación que piden THE y QS.</t>
        </is>
      </c>
      <c r="S197" s="115" t="inlineStr">
        <is>
          <t>IMP-16; IMP-07</t>
        </is>
      </c>
      <c r="T197" s="115" t="inlineStr">
        <is>
          <t>Formulación_Ejes_2027</t>
        </is>
      </c>
      <c r="U197" s="115">
        <f>IF(I197=LEFT('Buscador_Formulación PAA 2027'!$C$4,3),COUNTIF($I$5:I197,LEFT('Buscador_Formulación PAA 2027'!$C$4,3)),"")</f>
        <v/>
      </c>
    </row>
    <row r="198"/>
    <row r="199"/>
    <row r="200"/>
    <row r="201"/>
    <row r="202"/>
    <row r="203"/>
    <row r="204"/>
    <row r="205"/>
    <row r="206"/>
    <row r="207"/>
    <row r="208"/>
    <row r="209"/>
    <row r="210"/>
    <row r="211"/>
    <row r="212"/>
    <row r="213"/>
    <row r="214"/>
    <row r="215"/>
    <row r="216"/>
    <row r="217"/>
    <row r="218"/>
    <row r="219"/>
    <row r="220"/>
    <row r="221"/>
    <row r="222"/>
    <row r="223"/>
    <row r="224"/>
    <row r="225"/>
    <row r="226"/>
    <row r="227"/>
  </sheetData>
  <sheetProtection selectLockedCells="0" selectUnlockedCells="0" sheet="1" objects="0" insertRows="1" insertHyperlinks="1" autoFilter="0" scenarios="0" formatColumns="0" deleteColumns="1" insertColumns="1" pivotTables="1" deleteRows="1" formatCells="1" formatRows="0" sort="1" password="cc6d"/>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AK4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23">
      <c r="A1" s="84" t="inlineStr">
        <is>
          <t>Catálogos de referencia — PDI 2025-2032, Guía Metodológica de Impacto y listas</t>
        </is>
      </c>
    </row>
    <row r="2" ht="15" customHeight="1" s="23">
      <c r="A2" s="84" t="inlineStr">
        <is>
          <t>La columna I (meta institucional 2027) es la única que diligencia la OAPDI en esta hoja; todo el libro la toma de aquí. Estructura oficial de 45 metas de la OAPDI (hoja PROY de la Matriz plurianual de inversiones 2025-2032); meta 2027 tomada de la matriz plurianual por ejes cuando existe.</t>
        </is>
      </c>
    </row>
    <row r="3"/>
    <row r="4" ht="15" customHeight="1" s="23">
      <c r="A4" s="84" t="inlineStr">
        <is>
          <t>Código meta</t>
        </is>
      </c>
      <c r="B4" s="84" t="inlineStr">
        <is>
          <t>Eje</t>
        </is>
      </c>
      <c r="C4" s="84" t="inlineStr">
        <is>
          <t>Nombre del eje</t>
        </is>
      </c>
      <c r="D4" s="84" t="inlineStr">
        <is>
          <t>Línea</t>
        </is>
      </c>
      <c r="E4" s="84" t="inlineStr">
        <is>
          <t>Nombre de la línea</t>
        </is>
      </c>
      <c r="F4" s="84" t="inlineStr">
        <is>
          <t>Meta estratégica (PDI)</t>
        </is>
      </c>
      <c r="G4" s="84" t="inlineStr">
        <is>
          <t>Indicador de la meta (propuesto)</t>
        </is>
      </c>
      <c r="H4" s="84" t="inlineStr">
        <is>
          <t>Meta 2032</t>
        </is>
      </c>
      <c r="I4" s="84" t="inlineStr">
        <is>
          <t>Meta institucional 2027 (OAP)</t>
        </is>
      </c>
      <c r="J4" s="84" t="inlineStr">
        <is>
          <t>Fuente de la meta 2027</t>
        </is>
      </c>
      <c r="K4" s="84" t="inlineStr">
        <is>
          <t>Indicadores de impacto sugeridos</t>
        </is>
      </c>
      <c r="L4" s="84" t="inlineStr">
        <is>
          <t>Etiqueta para listas</t>
        </is>
      </c>
      <c r="N4" s="84" t="inlineStr">
        <is>
          <t>Eje</t>
        </is>
      </c>
      <c r="O4" s="84" t="inlineStr">
        <is>
          <t>Nombre del eje</t>
        </is>
      </c>
      <c r="P4" s="84" t="inlineStr">
        <is>
          <t>Objetivo estratégico del eje</t>
        </is>
      </c>
      <c r="R4" s="84" t="inlineStr">
        <is>
          <t>Línea</t>
        </is>
      </c>
      <c r="S4" s="84" t="inlineStr">
        <is>
          <t>Nombre de la línea</t>
        </is>
      </c>
      <c r="T4" s="84" t="inlineStr">
        <is>
          <t>Objetivo estratégico de la línea</t>
        </is>
      </c>
      <c r="V4" s="84" t="inlineStr">
        <is>
          <t>Código</t>
        </is>
      </c>
      <c r="W4" s="84" t="inlineStr">
        <is>
          <t>Indicador de impacto (etiqueta de lista)</t>
        </is>
      </c>
      <c r="X4" s="84" t="inlineStr">
        <is>
          <t>Categoría</t>
        </is>
      </c>
      <c r="Y4" s="84" t="inlineStr">
        <is>
          <t>Texto de la categoría</t>
        </is>
      </c>
      <c r="Z4" s="84" t="inlineStr">
        <is>
          <t>Dimensiones de la categoría</t>
        </is>
      </c>
      <c r="AB4" s="84" t="inlineStr">
        <is>
          <t>Categoría</t>
        </is>
      </c>
      <c r="AC4" s="84" t="inlineStr">
        <is>
          <t>Categoría de impacto (Tabla 1)</t>
        </is>
      </c>
      <c r="AD4" s="84" t="inlineStr">
        <is>
          <t>Tipo de impacto</t>
        </is>
      </c>
      <c r="AE4" s="84" t="inlineStr">
        <is>
          <t>Dimensiones (Tabla 2)</t>
        </is>
      </c>
      <c r="AG4" s="84" t="inlineStr">
        <is>
          <t>Dimensiones de impacto</t>
        </is>
      </c>
      <c r="AI4" s="84" t="inlineStr">
        <is>
          <t>¿Retoma compromiso 2026?</t>
        </is>
      </c>
      <c r="AK4" s="84" t="inlineStr">
        <is>
          <t>Origen de la acción</t>
        </is>
      </c>
    </row>
    <row r="5" ht="15" customHeight="1" s="23">
      <c r="A5" s="84" t="inlineStr">
        <is>
          <t>1.1.1.1</t>
        </is>
      </c>
      <c r="B5" s="84" t="n">
        <v>1</v>
      </c>
      <c r="C5" s="84" t="inlineStr">
        <is>
          <t>Formación y pedagogía de calidad</t>
        </is>
      </c>
      <c r="D5" s="84" t="inlineStr">
        <is>
          <t>1.1</t>
        </is>
      </c>
      <c r="E5" s="84" t="inlineStr">
        <is>
          <t>Ampliación de cobertura</t>
        </is>
      </c>
      <c r="F5" s="84" t="inlineStr">
        <is>
          <t>Contar con 11.000 estudiantes vinculados a programas de educación superior al 2032.</t>
        </is>
      </c>
      <c r="G5" s="84" t="inlineStr">
        <is>
          <t>N.° de estudiantes matriculados en programas de educación superior (SNIES)</t>
        </is>
      </c>
      <c r="H5" s="84" t="inlineStr">
        <is>
          <t>11.000 estudiantes</t>
        </is>
      </c>
      <c r="I5" s="84" t="inlineStr">
        <is>
          <t>5.400 estudiantes</t>
        </is>
      </c>
      <c r="J5" s="84" t="inlineStr">
        <is>
          <t>MPI (meta 2027) y Proyecciones de matrícula 2020 a 2035 (columna Meta). Los programas nuevos aportan entre 650 (primer semestre de 2027) y 883 (segundo semestre de 2027) estudiantes según la misma proyección.</t>
        </is>
      </c>
      <c r="K5" s="84" t="inlineStr">
        <is>
          <t>IMP-12; IMP-13</t>
        </is>
      </c>
      <c r="L5" s="84" t="inlineStr">
        <is>
          <t>1.1.1.1 · Contar con 11.000 estudiantes vinculados a programas de educación superior al 2032.</t>
        </is>
      </c>
      <c r="N5" s="84" t="n">
        <v>1</v>
      </c>
      <c r="O5" s="84" t="inlineStr">
        <is>
          <t>Formación y pedagogía de calidad</t>
        </is>
      </c>
      <c r="P5" s="84" t="inlineStr">
        <is>
          <t>Consolidar a la ETITC como un referente educativo de excelencia, ampliando su oferta académica y garantizando la calidad en todos sus programas mediante una actualización continua y una estrecha vinculación con el entorno.</t>
        </is>
      </c>
      <c r="R5" s="84" t="inlineStr">
        <is>
          <t>1.1</t>
        </is>
      </c>
      <c r="S5" s="84" t="inlineStr">
        <is>
          <t>Ampliación de cobertura</t>
        </is>
      </c>
      <c r="T5" s="84" t="inlineStr">
        <is>
          <t>Ampliar la cobertura de estudiantes en los programas de educación superior, asegurando el acceso equitativo y la calidad académica.</t>
        </is>
      </c>
      <c r="V5" s="84" t="inlineStr">
        <is>
          <t>IMP-01</t>
        </is>
      </c>
      <c r="W5" s="84" t="inlineStr">
        <is>
          <t>IMP-01 · Tasa de reducción de contaminación de aire, agua o suelo del territorio después del proyecto.</t>
        </is>
      </c>
      <c r="X5" s="84" t="inlineStr">
        <is>
          <t>C01</t>
        </is>
      </c>
      <c r="Y5" s="84" t="inlineStr">
        <is>
          <t>Contribución al desarrollo social y comunitario, económico, sostenibilidad ambiental, sector educativo, sector productivo/industrial, desarrollo tecnológico, nacional e internacional.</t>
        </is>
      </c>
      <c r="Z5" s="84" t="inlineStr">
        <is>
          <t>Valor Público; Sector Productivo</t>
        </is>
      </c>
      <c r="AB5" s="84" t="inlineStr">
        <is>
          <t>C01</t>
        </is>
      </c>
      <c r="AC5" s="84" t="inlineStr">
        <is>
          <t>Contribución al desarrollo social y comunitario, económico, sostenibilidad ambiental, sector educativo, sector productivo/industrial, desarrollo tecnológico, nacional e internacional.</t>
        </is>
      </c>
      <c r="AD5" s="84" t="inlineStr">
        <is>
          <t>Externo</t>
        </is>
      </c>
      <c r="AE5" s="84" t="inlineStr">
        <is>
          <t>Valor Público; Sector Productivo</t>
        </is>
      </c>
      <c r="AG5" s="84" t="inlineStr">
        <is>
          <t>Valor Público</t>
        </is>
      </c>
      <c r="AI5" s="84" t="inlineStr">
        <is>
          <t>Sí</t>
        </is>
      </c>
      <c r="AK5" s="84" t="inlineStr">
        <is>
          <t>PDI — meta asignada en la base</t>
        </is>
      </c>
    </row>
    <row r="6" ht="15" customHeight="1" s="23">
      <c r="A6" s="84" t="inlineStr">
        <is>
          <t>1.1.1.2</t>
        </is>
      </c>
      <c r="B6" s="84" t="n">
        <v>1</v>
      </c>
      <c r="C6" s="84" t="inlineStr">
        <is>
          <t>Formación y pedagogía de calidad</t>
        </is>
      </c>
      <c r="D6" s="84" t="inlineStr">
        <is>
          <t>1.1</t>
        </is>
      </c>
      <c r="E6" s="84" t="inlineStr">
        <is>
          <t>Ampliación de cobertura</t>
        </is>
      </c>
      <c r="F6" s="84" t="inlineStr">
        <is>
          <t>Lograr que el 30% de los estudiantes del IBTI pasen a la educación superior de la ETITC.</t>
        </is>
      </c>
      <c r="G6" s="84" t="inlineStr">
        <is>
          <t>N.° y % de egresados del IBTI matriculados en programas de la ETITC</t>
        </is>
      </c>
      <c r="H6" s="84" t="inlineStr">
        <is>
          <t>30% (MPI: 250 estudiantes en 2032)</t>
        </is>
      </c>
      <c r="I6" s="84" t="inlineStr">
        <is>
          <t>40 estudiantes</t>
        </is>
      </c>
      <c r="J6" s="84" t="inlineStr">
        <is>
          <t>MPI</t>
        </is>
      </c>
      <c r="K6" s="84" t="inlineStr">
        <is>
          <t>IMP-12; IMP-06</t>
        </is>
      </c>
      <c r="L6" s="84" t="inlineStr">
        <is>
          <t>1.1.1.2 · Lograr que el 30% de los estudiantes del IBTI pasen a la educación superior de la ETITC.</t>
        </is>
      </c>
      <c r="N6" s="84" t="n">
        <v>2</v>
      </c>
      <c r="O6" s="84" t="inlineStr">
        <is>
          <t>Investigación y producción técnico-científica</t>
        </is>
      </c>
      <c r="P6" s="84" t="inlineStr">
        <is>
          <t>Generar y fortalecer las capacidades técnico científica y de innovación de la ETITC mediante la consolidación de la investigación aplicada, la generación de alianzas estratégicas y la integración de la innovación con la formación académica.</t>
        </is>
      </c>
      <c r="R6" s="84" t="inlineStr">
        <is>
          <t>1.2</t>
        </is>
      </c>
      <c r="S6" s="84" t="inlineStr">
        <is>
          <t>Oferta educativa</t>
        </is>
      </c>
      <c r="T6" s="84" t="inlineStr">
        <is>
          <t>Fortalecer la oferta educativa mediante la creación y consolidación de programas de pregrado y posgrado, así como la ETDH, con modalidades virtuales que respondan a las demandas del entorno actual.</t>
        </is>
      </c>
      <c r="V6" s="84" t="inlineStr">
        <is>
          <t>IMP-02</t>
        </is>
      </c>
      <c r="W6" s="84" t="inlineStr">
        <is>
          <t>IMP-02 · Porcentaje de beneficiarios que han aumentado sus ingresos por encima de la línea de pobreza.</t>
        </is>
      </c>
      <c r="X6" s="84" t="inlineStr">
        <is>
          <t>C01</t>
        </is>
      </c>
      <c r="Y6" s="84" t="inlineStr">
        <is>
          <t>Contribución al desarrollo social y comunitario, económico, sostenibilidad ambiental, sector educativo, sector productivo/industrial, desarrollo tecnológico, nacional e internacional.</t>
        </is>
      </c>
      <c r="Z6" s="84" t="inlineStr">
        <is>
          <t>Valor Público; Sector Productivo</t>
        </is>
      </c>
      <c r="AB6" s="84" t="inlineStr">
        <is>
          <t>C02</t>
        </is>
      </c>
      <c r="AC6" s="84" t="inlineStr">
        <is>
          <t>Cambios curriculares y en los programas académicos.</t>
        </is>
      </c>
      <c r="AD6" s="84" t="inlineStr">
        <is>
          <t>Interno</t>
        </is>
      </c>
      <c r="AE6" s="84" t="inlineStr">
        <is>
          <t>Académica; Egresados</t>
        </is>
      </c>
      <c r="AG6" s="84" t="inlineStr">
        <is>
          <t>Académica</t>
        </is>
      </c>
      <c r="AI6" s="84" t="inlineStr">
        <is>
          <t>No</t>
        </is>
      </c>
      <c r="AK6" s="84" t="inlineStr">
        <is>
          <t>PDI — acción adicional del área</t>
        </is>
      </c>
    </row>
    <row r="7" ht="15" customHeight="1" s="23">
      <c r="A7" s="84" t="inlineStr">
        <is>
          <t>1.2.1.1</t>
        </is>
      </c>
      <c r="B7" s="84" t="n">
        <v>1</v>
      </c>
      <c r="C7" s="84" t="inlineStr">
        <is>
          <t>Formación y pedagogía de calidad</t>
        </is>
      </c>
      <c r="D7" s="84" t="inlineStr">
        <is>
          <t>1.2</t>
        </is>
      </c>
      <c r="E7" s="84" t="inlineStr">
        <is>
          <t>Oferta educativa</t>
        </is>
      </c>
      <c r="F7" s="84" t="inlineStr">
        <is>
          <t>Ofrecer programas de educación superior: 5 pregrados nuevos, 3 especializaciones y 3 maestrías.</t>
        </is>
      </c>
      <c r="G7" s="84" t="inlineStr">
        <is>
          <t>N.° de programas nuevos con registro calificado y ofertados, por nivel</t>
        </is>
      </c>
      <c r="H7" s="84" t="inlineStr">
        <is>
          <t>5 pregrados, 3 especializaciones, 3 maestrías</t>
        </is>
      </c>
      <c r="I7" s="84" t="inlineStr">
        <is>
          <t>Pregrado: 3 documentos maestros, 2 programas con registro calificado y 2 ofertados desde el II semestre. Posgrado: 2 especializaciones y 2 maestrías ofertadas en el II semestre.</t>
        </is>
      </c>
      <c r="J7" s="84" t="inlineStr">
        <is>
          <t>MPI; Acuerdos 04, 07 y 08 de 2026 y Oficio del 10/03/2026 (programas de IA).</t>
        </is>
      </c>
      <c r="K7" s="84" t="inlineStr">
        <is>
          <t>IMP-13; IMP-11</t>
        </is>
      </c>
      <c r="L7" s="84" t="inlineStr">
        <is>
          <t>1.2.1.1 · Ofrecer programas de educación superior: 5 pregrados nuevos, 3 especializaciones y 3 maestrías.</t>
        </is>
      </c>
      <c r="N7" s="84" t="n">
        <v>3</v>
      </c>
      <c r="O7" s="84" t="inlineStr">
        <is>
          <t>Extensión y proyección institucional</t>
        </is>
      </c>
      <c r="P7" s="84" t="inlineStr">
        <is>
          <t>Ofrecer programas y servicios innovadores y de alta calidad que respondan eficazmente a las necesidades del sector productivo y social, promoviendo su bienestar y su desarrollo sostenible.</t>
        </is>
      </c>
      <c r="R7" s="84" t="inlineStr">
        <is>
          <t>1.3</t>
        </is>
      </c>
      <c r="S7" s="84" t="inlineStr">
        <is>
          <t>Calidad de los programas académicos</t>
        </is>
      </c>
      <c r="T7" s="84" t="inlineStr">
        <is>
          <t>Garantizar la alta calidad de todos los programas de la ETITC.</t>
        </is>
      </c>
      <c r="V7" s="84" t="inlineStr">
        <is>
          <t>IMP-03</t>
        </is>
      </c>
      <c r="W7" s="84" t="inlineStr">
        <is>
          <t>IMP-03 · Tasas de productividad y competitividad después del proyecto.</t>
        </is>
      </c>
      <c r="X7" s="84" t="inlineStr">
        <is>
          <t>C01</t>
        </is>
      </c>
      <c r="Y7" s="84" t="inlineStr">
        <is>
          <t>Contribución al desarrollo social y comunitario, económico, sostenibilidad ambiental, sector educativo, sector productivo/industrial, desarrollo tecnológico, nacional e internacional.</t>
        </is>
      </c>
      <c r="Z7" s="84" t="inlineStr">
        <is>
          <t>Valor Público; Sector Productivo</t>
        </is>
      </c>
      <c r="AB7" s="84" t="inlineStr">
        <is>
          <t>C03</t>
        </is>
      </c>
      <c r="AC7" s="84" t="inlineStr">
        <is>
          <t>Aporte al mejoramiento de los programas académicos, la construcción de comunidad académica, los resultados académicos / éxito académico y las prácticas docentes.</t>
        </is>
      </c>
      <c r="AD7" s="84" t="inlineStr">
        <is>
          <t>Interno</t>
        </is>
      </c>
      <c r="AE7" s="84" t="inlineStr">
        <is>
          <t>Académica; Egresados</t>
        </is>
      </c>
      <c r="AG7" s="84" t="inlineStr">
        <is>
          <t>Egresados</t>
        </is>
      </c>
      <c r="AK7" s="84" t="inlineStr">
        <is>
          <t>Plan de mejoramiento (CGR, auditoría, autoevaluación)</t>
        </is>
      </c>
    </row>
    <row r="8" ht="15" customHeight="1" s="23">
      <c r="A8" s="84" t="inlineStr">
        <is>
          <t>1.3.1.1</t>
        </is>
      </c>
      <c r="B8" s="84" t="n">
        <v>1</v>
      </c>
      <c r="C8" s="84" t="inlineStr">
        <is>
          <t>Formación y pedagogía de calidad</t>
        </is>
      </c>
      <c r="D8" s="84" t="inlineStr">
        <is>
          <t>1.3</t>
        </is>
      </c>
      <c r="E8" s="84" t="inlineStr">
        <is>
          <t>Calidad de los programas académicos</t>
        </is>
      </c>
      <c r="F8" s="84" t="inlineStr">
        <is>
          <t>Contar con la acreditación del 100% de los programas de la ETITC que sean acreditables.</t>
        </is>
      </c>
      <c r="G8" s="84" t="inlineStr">
        <is>
          <t>% de programas acreditables con acreditación vigente y N.° de programas acreditados</t>
        </is>
      </c>
      <c r="H8" s="84" t="inlineStr">
        <is>
          <t>100% de los acreditables (MPI: 24 programas)</t>
        </is>
      </c>
      <c r="I8" s="84" t="inlineStr">
        <is>
          <t>Sugerida por la OAP: mantener el 100% de los programas acreditables acreditados, 18 programas con acreditación vigente, según la MPI, y radicar a tiempo las renovaciones que vencen en 2027</t>
        </is>
      </c>
      <c r="J8" s="84" t="inlineStr">
        <is>
          <t>Sugerida por la OAP con base en la MPI (18 programas en 2027) y en el logro 2026.</t>
        </is>
      </c>
      <c r="K8" s="84" t="inlineStr">
        <is>
          <t>IMP-07; IMP-18</t>
        </is>
      </c>
      <c r="L8" s="84" t="inlineStr">
        <is>
          <t>1.3.1.1 · Contar con la acreditación del 100% de los programas de la ETITC que sean acreditables.</t>
        </is>
      </c>
      <c r="N8" s="84" t="n">
        <v>4</v>
      </c>
      <c r="O8" s="84" t="inlineStr">
        <is>
          <t>Transformación institucional</t>
        </is>
      </c>
      <c r="P8" s="84" t="inlineStr">
        <is>
          <t>Pensar la ETITC mediante el desarrollo de sus horizontes de sentido, para que la comunidad contribuya en la transformación de vida de los integrantes de la institución, la sociedad y el planeta.</t>
        </is>
      </c>
      <c r="R8" s="84" t="inlineStr">
        <is>
          <t>1.4</t>
        </is>
      </c>
      <c r="S8" s="84" t="inlineStr">
        <is>
          <t>Acreditación internacional</t>
        </is>
      </c>
      <c r="T8" s="84" t="inlineStr">
        <is>
          <t>Fortalecer la oferta educativa de la ETITC mediante la acreditación internacional de sus programas de educación superior, alineados con los estándares del Marco Común Europeo de Referencia.</t>
        </is>
      </c>
      <c r="V8" s="84" t="inlineStr">
        <is>
          <t>IMP-04</t>
        </is>
      </c>
      <c r="W8" s="84" t="inlineStr">
        <is>
          <t>IMP-04 · Cantidad de grupos comunitarios establecidos o fortalecidos como resultado del proyecto.</t>
        </is>
      </c>
      <c r="X8" s="84" t="inlineStr">
        <is>
          <t>C01</t>
        </is>
      </c>
      <c r="Y8" s="84" t="inlineStr">
        <is>
          <t>Contribución al desarrollo social y comunitario, económico, sostenibilidad ambiental, sector educativo, sector productivo/industrial, desarrollo tecnológico, nacional e internacional.</t>
        </is>
      </c>
      <c r="Z8" s="84" t="inlineStr">
        <is>
          <t>Valor Público; Sector Productivo</t>
        </is>
      </c>
      <c r="AB8" s="84" t="inlineStr">
        <is>
          <t>C04</t>
        </is>
      </c>
      <c r="AC8" s="84" t="inlineStr">
        <is>
          <t>Transformaciones de vidas (condiciones de vida-movilidad social) de las personas con las que se interactúa.</t>
        </is>
      </c>
      <c r="AD8" s="84" t="inlineStr">
        <is>
          <t>Interno-Externo</t>
        </is>
      </c>
      <c r="AE8" s="84" t="inlineStr">
        <is>
          <t>Valor Público; Egresados</t>
        </is>
      </c>
      <c r="AG8" s="84" t="inlineStr">
        <is>
          <t>Sector Productivo</t>
        </is>
      </c>
      <c r="AK8" s="84" t="inlineStr">
        <is>
          <t>Requerimiento externo (MEN, Congreso, MinTIC)</t>
        </is>
      </c>
    </row>
    <row r="9" ht="15" customHeight="1" s="23">
      <c r="A9" s="84" t="inlineStr">
        <is>
          <t>1.3.1.2</t>
        </is>
      </c>
      <c r="B9" s="84" t="n">
        <v>1</v>
      </c>
      <c r="C9" s="84" t="inlineStr">
        <is>
          <t>Formación y pedagogía de calidad</t>
        </is>
      </c>
      <c r="D9" s="84" t="inlineStr">
        <is>
          <t>1.3</t>
        </is>
      </c>
      <c r="E9" s="84" t="inlineStr">
        <is>
          <t>Calidad de los programas académicos</t>
        </is>
      </c>
      <c r="F9" s="84" t="inlineStr">
        <is>
          <t>Resultados de las Pruebas SABER por encima de la valoración de la media.</t>
        </is>
      </c>
      <c r="G9" s="84" t="inlineStr">
        <is>
          <t>Puntaje promedio institucional Saber PRO/TyT frente a la media nacional</t>
        </is>
      </c>
      <c r="H9" s="84" t="inlineStr">
        <is>
          <t>Por encima de la media nacional</t>
        </is>
      </c>
      <c r="I9" s="84" t="inlineStr">
        <is>
          <t>Sugerida por la OAP: promedio institucional de 254 puntos, mejora de 1 punto por año desde 252 en 2024, y por encima de la media nacional del grupo de referencia</t>
        </is>
      </c>
      <c r="J9" s="84" t="inlineStr">
        <is>
          <t>Sugerida por la OAP (trayectoria de mejora anual de 1 punto).</t>
        </is>
      </c>
      <c r="K9" s="84" t="inlineStr">
        <is>
          <t>IMP-07; IMP-19</t>
        </is>
      </c>
      <c r="L9" s="84" t="inlineStr">
        <is>
          <t>1.3.1.2 · Resultados de las Pruebas SABER por encima de la valoración de la media.</t>
        </is>
      </c>
      <c r="N9" s="84" t="n">
        <v>5</v>
      </c>
      <c r="O9" s="84" t="inlineStr">
        <is>
          <t>Ampliación y modernización de la infraestructura</t>
        </is>
      </c>
      <c r="P9" s="84" t="inlineStr">
        <is>
          <t>Proveer la infraestructura física y tecnológica necesaria para la calidad en la oferta educativa.</t>
        </is>
      </c>
      <c r="R9" s="84" t="inlineStr">
        <is>
          <t>1.5</t>
        </is>
      </c>
      <c r="S9" s="84" t="inlineStr">
        <is>
          <t>Fortalecimiento del cuerpo docente</t>
        </is>
      </c>
      <c r="T9" s="84" t="inlineStr">
        <is>
          <t>Garantizar que la ETITC cuente con un cuerpo docente de alta calidad mediante la implementación de un plan integral de desarrollo profesoral, orientado a la excelencia académica y al fortalecimiento de sus capacidades.</t>
        </is>
      </c>
      <c r="V9" s="84" t="inlineStr">
        <is>
          <t>IMP-05</t>
        </is>
      </c>
      <c r="W9" s="84" t="inlineStr">
        <is>
          <t>IMP-05 · Cambio en la calidad de vida comparado con generaciones anteriores atribuible a la intervención institucional.</t>
        </is>
      </c>
      <c r="X9" s="84" t="inlineStr">
        <is>
          <t>C01</t>
        </is>
      </c>
      <c r="Y9" s="84" t="inlineStr">
        <is>
          <t>Contribución al desarrollo social y comunitario, económico, sostenibilidad ambiental, sector educativo, sector productivo/industrial, desarrollo tecnológico, nacional e internacional.</t>
        </is>
      </c>
      <c r="Z9" s="84" t="inlineStr">
        <is>
          <t>Valor Público; Sector Productivo</t>
        </is>
      </c>
      <c r="AB9" s="84" t="inlineStr">
        <is>
          <t>C05</t>
        </is>
      </c>
      <c r="AC9" s="84" t="inlineStr">
        <is>
          <t>Transformaciones del territorio (condiciones del desarrollo, especialmente de cobertura y pertinencia en la oferta educativa).</t>
        </is>
      </c>
      <c r="AD9" s="84" t="inlineStr">
        <is>
          <t>Externo</t>
        </is>
      </c>
      <c r="AE9" s="84" t="inlineStr">
        <is>
          <t>Valor Público</t>
        </is>
      </c>
      <c r="AK9" s="84" t="inlineStr">
        <is>
          <t>Compromiso pendiente 2026</t>
        </is>
      </c>
    </row>
    <row r="10" ht="15" customHeight="1" s="23">
      <c r="A10" s="84" t="inlineStr">
        <is>
          <t>1.4.1.1</t>
        </is>
      </c>
      <c r="B10" s="84" t="n">
        <v>1</v>
      </c>
      <c r="C10" s="84" t="inlineStr">
        <is>
          <t>Formación y pedagogía de calidad</t>
        </is>
      </c>
      <c r="D10" s="84" t="inlineStr">
        <is>
          <t>1.4</t>
        </is>
      </c>
      <c r="E10" s="84" t="inlineStr">
        <is>
          <t>Acreditación internacional</t>
        </is>
      </c>
      <c r="F10" s="84" t="inlineStr">
        <is>
          <t>Contar con 2 programas de acreditación internacional.</t>
        </is>
      </c>
      <c r="G10" s="84" t="inlineStr">
        <is>
          <t>N.° de programas con resultados de aprendizaje referenciados al MEC y con acreditación o reconocimiento internacional</t>
        </is>
      </c>
      <c r="H10" s="84" t="inlineStr">
        <is>
          <t>2 programas</t>
        </is>
      </c>
      <c r="I10" s="84" t="inlineStr">
        <is>
          <t>Sugerida por la OAP: 2 programas, priorizando los híbridos y virtuales de IA, con resultados de aprendizaje referenciados a los 8 niveles del MEC y plan de cualificación internacional aprobado; 1 alianza con una IES o agencia extranjera para su reconocimiento</t>
        </is>
      </c>
      <c r="J10" s="84" t="inlineStr">
        <is>
          <t>Sugerida por la OAP.</t>
        </is>
      </c>
      <c r="K10" s="84" t="inlineStr">
        <is>
          <t>IMP-18; IMP-07</t>
        </is>
      </c>
      <c r="L10" s="84" t="inlineStr">
        <is>
          <t>1.4.1.1 · Contar con 2 programas de acreditación internacional.</t>
        </is>
      </c>
      <c r="N10" s="84" t="n">
        <v>6</v>
      </c>
      <c r="O10" s="84" t="inlineStr">
        <is>
          <t>Cuidado por el bienestar y la vida</t>
        </is>
      </c>
      <c r="P10" s="84" t="inlineStr">
        <is>
          <t>Consolidar una cultura institucional de autocuidado, cuidado del otro, cuidado del ambiente, garantizando espacios seguros, inclusivos y sostenibles para la construcción de un bienestar integral, personal y colectivo.</t>
        </is>
      </c>
      <c r="R10" s="84" t="inlineStr">
        <is>
          <t>2.1</t>
        </is>
      </c>
      <c r="S10" s="84" t="inlineStr">
        <is>
          <t>Capacidades de investigación e innovación</t>
        </is>
      </c>
      <c r="T10" s="84" t="inlineStr">
        <is>
          <t>Contar con una sólida capacidad de investigación.</t>
        </is>
      </c>
      <c r="V10" s="84" t="inlineStr">
        <is>
          <t>IMP-06</t>
        </is>
      </c>
      <c r="W10" s="84" t="inlineStr">
        <is>
          <t>IMP-06 · Reducción en la tasa de deserción atribuible a la intervención.</t>
        </is>
      </c>
      <c r="X10" s="84" t="inlineStr">
        <is>
          <t>C02-C03</t>
        </is>
      </c>
      <c r="Y10" s="84" t="inlineStr">
        <is>
          <t>Cambios curriculares y en los programas académicos. / Aporte al mejoramiento de los programas académicos, la construcción de comunidad académica, los resultados académicos / éxito académico y las prácticas docentes. (la Tabla 2 de la Guía agrupa ambas categorías)</t>
        </is>
      </c>
      <c r="Z10" s="84" t="inlineStr">
        <is>
          <t>Académica; Egresados</t>
        </is>
      </c>
      <c r="AB10" s="84" t="inlineStr">
        <is>
          <t>C06</t>
        </is>
      </c>
      <c r="AC10" s="84" t="inlineStr">
        <is>
          <t>Cambios en la cultura institucional (incluida la cultura de la calidad).</t>
        </is>
      </c>
      <c r="AD10" s="84" t="inlineStr">
        <is>
          <t>Interno</t>
        </is>
      </c>
      <c r="AE10" s="84" t="inlineStr">
        <is>
          <t>Académica</t>
        </is>
      </c>
    </row>
    <row r="11" ht="15" customHeight="1" s="23">
      <c r="A11" s="84" t="inlineStr">
        <is>
          <t>1.5.1.1</t>
        </is>
      </c>
      <c r="B11" s="84" t="n">
        <v>1</v>
      </c>
      <c r="C11" s="84" t="inlineStr">
        <is>
          <t>Formación y pedagogía de calidad</t>
        </is>
      </c>
      <c r="D11" s="84" t="inlineStr">
        <is>
          <t>1.5</t>
        </is>
      </c>
      <c r="E11" s="84" t="inlineStr">
        <is>
          <t>Fortalecimiento del cuerpo docente</t>
        </is>
      </c>
      <c r="F11" s="84" t="inlineStr">
        <is>
          <t>Se mantienen 12 doctores en formación.</t>
        </is>
      </c>
      <c r="G11" s="84" t="inlineStr">
        <is>
          <t>N.° de docentes en formación doctoral</t>
        </is>
      </c>
      <c r="H11" s="84" t="inlineStr">
        <is>
          <t>12 doctores en formación (MPI: 10)</t>
        </is>
      </c>
      <c r="I11" s="84" t="inlineStr">
        <is>
          <t>2 docentes nuevos en formación doctoral (acumulado sugerido: 5)</t>
        </is>
      </c>
      <c r="J11" s="84" t="inlineStr">
        <is>
          <t>MPI (2 nuevos en 2027); acumulado calculado por la OAP.</t>
        </is>
      </c>
      <c r="K11" s="84" t="inlineStr">
        <is>
          <t>IMP-08; IMP-19</t>
        </is>
      </c>
      <c r="L11" s="84" t="inlineStr">
        <is>
          <t>1.5.1.1 · Se mantienen 12 doctores en formación.</t>
        </is>
      </c>
      <c r="R11" s="84" t="inlineStr">
        <is>
          <t>2.2</t>
        </is>
      </c>
      <c r="S11" s="84" t="inlineStr">
        <is>
          <t>Producción técnico-científica</t>
        </is>
      </c>
      <c r="T11" s="84" t="inlineStr">
        <is>
          <t>Aumentar la producción científico-técnica de calidad validable por su publicación en revistas indexadas nacionales e internacionales.</t>
        </is>
      </c>
      <c r="V11" s="84" t="inlineStr">
        <is>
          <t>IMP-07</t>
        </is>
      </c>
      <c r="W11" s="84" t="inlineStr">
        <is>
          <t>IMP-07 · Resultados del valor agregado (diferencia entre el desarrollo de competencias antes de ingresar a la Escuela y lo que demuestra al egresar).</t>
        </is>
      </c>
      <c r="X11" s="84" t="inlineStr">
        <is>
          <t>C02-C03</t>
        </is>
      </c>
      <c r="Y11" s="84" t="inlineStr">
        <is>
          <t>Cambios curriculares y en los programas académicos. / Aporte al mejoramiento de los programas académicos, la construcción de comunidad académica, los resultados académicos / éxito académico y las prácticas docentes. (la Tabla 2 de la Guía agrupa ambas categorías)</t>
        </is>
      </c>
      <c r="Z11" s="84" t="inlineStr">
        <is>
          <t>Académica; Egresados</t>
        </is>
      </c>
      <c r="AB11" s="84" t="inlineStr">
        <is>
          <t>C07</t>
        </is>
      </c>
      <c r="AC11" s="84" t="inlineStr">
        <is>
          <t>Impacto a actores (estudiantes, docentes, administrativos, egresados) y organizaciones (sector externo y sociedad en general) en valores.</t>
        </is>
      </c>
      <c r="AD11" s="84" t="inlineStr">
        <is>
          <t>Externo</t>
        </is>
      </c>
      <c r="AE11" s="84" t="inlineStr">
        <is>
          <t>Valor Público; Egresados</t>
        </is>
      </c>
    </row>
    <row r="12" ht="15" customHeight="1" s="23">
      <c r="A12" s="84" t="inlineStr">
        <is>
          <t>1.5.1.2</t>
        </is>
      </c>
      <c r="B12" s="84" t="n">
        <v>1</v>
      </c>
      <c r="C12" s="84" t="inlineStr">
        <is>
          <t>Formación y pedagogía de calidad</t>
        </is>
      </c>
      <c r="D12" s="84" t="inlineStr">
        <is>
          <t>1.5</t>
        </is>
      </c>
      <c r="E12" s="84" t="inlineStr">
        <is>
          <t>Fortalecimiento del cuerpo docente</t>
        </is>
      </c>
      <c r="F12" s="84" t="inlineStr">
        <is>
          <t>80% en formación docentes de planta.</t>
        </is>
      </c>
      <c r="G12" s="84" t="inlineStr">
        <is>
          <t>% de docentes de planta en formación avanzada o continuada</t>
        </is>
      </c>
      <c r="H12" s="84" t="inlineStr">
        <is>
          <t>80%</t>
        </is>
      </c>
      <c r="I12" s="84" t="inlineStr">
        <is>
          <t>6 docentes de planta en maestría y 40 docentes en formación continuada</t>
        </is>
      </c>
      <c r="J12" s="84" t="inlineStr">
        <is>
          <t>MPI</t>
        </is>
      </c>
      <c r="K12" s="84" t="inlineStr">
        <is>
          <t>IMP-08; IMP-19</t>
        </is>
      </c>
      <c r="L12" s="84" t="inlineStr">
        <is>
          <t>1.5.1.2 · 80% en formación docentes de planta.</t>
        </is>
      </c>
      <c r="R12" s="84" t="inlineStr">
        <is>
          <t>2.3</t>
        </is>
      </c>
      <c r="S12" s="84" t="inlineStr">
        <is>
          <t>Alianzas estratégicas para la investigación</t>
        </is>
      </c>
      <c r="T12" s="84" t="inlineStr">
        <is>
          <t>Lograr el establecimiento y operación de alianzas estratégicas con instituciones de investigación en innovación en los campos de interés de la ETITC, que conduzca a la generación de patentes.</t>
        </is>
      </c>
      <c r="V12" s="84" t="inlineStr">
        <is>
          <t>IMP-08</t>
        </is>
      </c>
      <c r="W12" s="84" t="inlineStr">
        <is>
          <t>IMP-08 · Porcentaje de docentes que transforman o innovan sus prácticas tras su participación en actividades institucionales y de desarrollo docente.</t>
        </is>
      </c>
      <c r="X12" s="84" t="inlineStr">
        <is>
          <t>C02-C03</t>
        </is>
      </c>
      <c r="Y12" s="84" t="inlineStr">
        <is>
          <t>Cambios curriculares y en los programas académicos. / Aporte al mejoramiento de los programas académicos, la construcción de comunidad académica, los resultados académicos / éxito académico y las prácticas docentes. (la Tabla 2 de la Guía agrupa ambas categorías)</t>
        </is>
      </c>
      <c r="Z12" s="84" t="inlineStr">
        <is>
          <t>Académica; Egresados</t>
        </is>
      </c>
      <c r="AB12" s="84" t="inlineStr">
        <is>
          <t>C08</t>
        </is>
      </c>
      <c r="AC12" s="84" t="inlineStr">
        <is>
          <t>Impacto en las labores sustantivas: docencia/formación, investigación e innovación, extensión/proyección social.</t>
        </is>
      </c>
      <c r="AD12" s="84" t="inlineStr">
        <is>
          <t>Interno</t>
        </is>
      </c>
      <c r="AE12" s="84" t="inlineStr">
        <is>
          <t>Académica</t>
        </is>
      </c>
    </row>
    <row r="13" ht="15" customHeight="1" s="23">
      <c r="A13" s="84" t="inlineStr">
        <is>
          <t>2.1.1.1</t>
        </is>
      </c>
      <c r="B13" s="84" t="n">
        <v>2</v>
      </c>
      <c r="C13" s="84" t="inlineStr">
        <is>
          <t>Investigación y producción técnico-científica</t>
        </is>
      </c>
      <c r="D13" s="84" t="inlineStr">
        <is>
          <t>2.1</t>
        </is>
      </c>
      <c r="E13" s="84" t="inlineStr">
        <is>
          <t>Capacidades de investigación e innovación</t>
        </is>
      </c>
      <c r="F13" s="84" t="inlineStr">
        <is>
          <t>Contar como mínimo por vigencia con un (1) grupo de investigación en clasificación A (en MinCiencias).</t>
        </is>
      </c>
      <c r="G13" s="84" t="inlineStr">
        <is>
          <t>N.° de grupos categoría A/A1 en MinCiencias</t>
        </is>
      </c>
      <c r="H13" s="84" t="inlineStr">
        <is>
          <t>1 grupo A (MPI: 8 grupos A)</t>
        </is>
      </c>
      <c r="I13" s="84" t="inlineStr">
        <is>
          <t>Sugerida por la OAP: 1 grupo con ruta de ascenso a categoría A aprobada y con la producción de nuevo conocimiento requerida para la siguiente medición</t>
        </is>
      </c>
      <c r="J13" s="84" t="inlineStr">
        <is>
          <t>Sugerida por la OAP en secuencia: primero la categoría C, luego la B y después la A.</t>
        </is>
      </c>
      <c r="K13" s="84" t="inlineStr">
        <is>
          <t>IMP-20; IMP-21</t>
        </is>
      </c>
      <c r="L13" s="84" t="inlineStr">
        <is>
          <t>2.1.1.1 · Contar como mínimo por vigencia con un (1) grupo de investigación en clasificación A (en MinCiencias).</t>
        </is>
      </c>
      <c r="R13" s="84" t="inlineStr">
        <is>
          <t>2.4</t>
        </is>
      </c>
      <c r="S13" s="84" t="inlineStr">
        <is>
          <t>Vinculación de lo investigativo con lo académico</t>
        </is>
      </c>
      <c r="T13" s="84" t="inlineStr">
        <is>
          <t>Establecer una integración entre los procesos de Investigación y los de Formación y Extensión de la ETITC.</t>
        </is>
      </c>
      <c r="V13" s="84" t="inlineStr">
        <is>
          <t>IMP-09</t>
        </is>
      </c>
      <c r="W13" s="84" t="inlineStr">
        <is>
          <t>IMP-09 · Nivel de percepción de trabajo colaborativo y construcción de comunidad académica de estudiantes y docentes como consecuencia de su participación en proyectos institucionales.</t>
        </is>
      </c>
      <c r="X13" s="84" t="inlineStr">
        <is>
          <t>C02-C03</t>
        </is>
      </c>
      <c r="Y13" s="84" t="inlineStr">
        <is>
          <t>Cambios curriculares y en los programas académicos. / Aporte al mejoramiento de los programas académicos, la construcción de comunidad académica, los resultados académicos / éxito académico y las prácticas docentes. (la Tabla 2 de la Guía agrupa ambas categorías)</t>
        </is>
      </c>
      <c r="Z13" s="84" t="inlineStr">
        <is>
          <t>Académica; Egresados</t>
        </is>
      </c>
      <c r="AB13" s="84" t="inlineStr">
        <is>
          <t>C09</t>
        </is>
      </c>
      <c r="AC13" s="84" t="inlineStr">
        <is>
          <t>Cambios en la formación integral y los aprendizajes del estudiantado.</t>
        </is>
      </c>
      <c r="AD13" s="84" t="inlineStr">
        <is>
          <t>Interno</t>
        </is>
      </c>
      <c r="AE13" s="84" t="inlineStr">
        <is>
          <t>Académica</t>
        </is>
      </c>
    </row>
    <row r="14" ht="15" customHeight="1" s="23">
      <c r="A14" s="84" t="inlineStr">
        <is>
          <t>2.1.1.2</t>
        </is>
      </c>
      <c r="B14" s="84" t="n">
        <v>2</v>
      </c>
      <c r="C14" s="84" t="inlineStr">
        <is>
          <t>Investigación y producción técnico-científica</t>
        </is>
      </c>
      <c r="D14" s="84" t="inlineStr">
        <is>
          <t>2.1</t>
        </is>
      </c>
      <c r="E14" s="84" t="inlineStr">
        <is>
          <t>Capacidades de investigación e innovación</t>
        </is>
      </c>
      <c r="F14" s="84" t="inlineStr">
        <is>
          <t>Tres (3) grupos en B.</t>
        </is>
      </c>
      <c r="G14" s="84" t="inlineStr">
        <is>
          <t>N.° de grupos categoría B en MinCiencias</t>
        </is>
      </c>
      <c r="H14" s="84" t="inlineStr">
        <is>
          <t>3 grupos B (MPI: 16)</t>
        </is>
      </c>
      <c r="I14" s="84" t="inlineStr">
        <is>
          <t>Sugerida por la OAP: 1 grupo clasificado en B, ascenso de uno de los 2 grupos en C,</t>
        </is>
      </c>
      <c r="J14" s="84" t="inlineStr">
        <is>
          <t>Sugerida por la OAP.</t>
        </is>
      </c>
      <c r="K14" s="84" t="inlineStr">
        <is>
          <t>IMP-20; IMP-21</t>
        </is>
      </c>
      <c r="L14" s="84" t="inlineStr">
        <is>
          <t>2.1.1.2 · Tres (3) grupos en B.</t>
        </is>
      </c>
      <c r="R14" s="84" t="inlineStr">
        <is>
          <t>3.1</t>
        </is>
      </c>
      <c r="S14" s="84" t="inlineStr">
        <is>
          <t>Autonomía y posicionamiento de la Extensión y Proyección Institucional</t>
        </is>
      </c>
      <c r="T14" s="84" t="inlineStr">
        <is>
          <t>Fortalecer la autonomía en la gestión de actividades de extensión y proyección social mediante la implementación de una estructura institucional sólida que amplifique el impacto social y comunitario de la ETITC.</t>
        </is>
      </c>
      <c r="V14" s="84" t="inlineStr">
        <is>
          <t>IMP-10</t>
        </is>
      </c>
      <c r="W14" s="84" t="inlineStr">
        <is>
          <t>IMP-10 · Porcentaje de beneficiarios que mejoraron las condiciones de empleo después de la intervención: nivel salarial, cargo, tipo de contrato, seguridad y salud, formalidad.</t>
        </is>
      </c>
      <c r="X14" s="84" t="inlineStr">
        <is>
          <t>C04</t>
        </is>
      </c>
      <c r="Y14" s="84" t="inlineStr">
        <is>
          <t>Transformaciones de vidas (condiciones de vida-movilidad social) de las personas con las que se interactúa.</t>
        </is>
      </c>
      <c r="Z14" s="84" t="inlineStr">
        <is>
          <t>Valor Público; Egresados</t>
        </is>
      </c>
      <c r="AB14" s="84" t="inlineStr">
        <is>
          <t>C10</t>
        </is>
      </c>
      <c r="AC14" s="84" t="inlineStr">
        <is>
          <t>Contribución a la solución de problemas del contexto y la creación de nuevo conocimiento.</t>
        </is>
      </c>
      <c r="AD14" s="84" t="inlineStr">
        <is>
          <t>Externo</t>
        </is>
      </c>
      <c r="AE14" s="84" t="inlineStr">
        <is>
          <t>Valor Público; Sector Productivo</t>
        </is>
      </c>
    </row>
    <row r="15" ht="15" customHeight="1" s="23">
      <c r="A15" s="84" t="inlineStr">
        <is>
          <t>2.1.1.3</t>
        </is>
      </c>
      <c r="B15" s="84" t="n">
        <v>2</v>
      </c>
      <c r="C15" s="84" t="inlineStr">
        <is>
          <t>Investigación y producción técnico-científica</t>
        </is>
      </c>
      <c r="D15" s="84" t="inlineStr">
        <is>
          <t>2.1</t>
        </is>
      </c>
      <c r="E15" s="84" t="inlineStr">
        <is>
          <t>Capacidades de investigación e innovación</t>
        </is>
      </c>
      <c r="F15" s="84" t="inlineStr">
        <is>
          <t>Cuatro (4) grupos en C.</t>
        </is>
      </c>
      <c r="G15" s="84" t="inlineStr">
        <is>
          <t>N.° de grupos categoría C en MinCiencias</t>
        </is>
      </c>
      <c r="H15" s="84" t="inlineStr">
        <is>
          <t>4 grupos C (MPI: 14)</t>
        </is>
      </c>
      <c r="I15" s="84" t="inlineStr">
        <is>
          <t>Sugerida por la OAP: 4 grupos en C: mantener Virtus y GEA y clasificar 2 de los 7 grupos registrados sin categoría</t>
        </is>
      </c>
      <c r="J15" s="84" t="inlineStr">
        <is>
          <t>Sugerida por la OAP.</t>
        </is>
      </c>
      <c r="K15" s="84" t="inlineStr">
        <is>
          <t>IMP-20; IMP-21</t>
        </is>
      </c>
      <c r="L15" s="84" t="inlineStr">
        <is>
          <t>2.1.1.3 · Cuatro (4) grupos en C.</t>
        </is>
      </c>
      <c r="R15" s="84" t="inlineStr">
        <is>
          <t>3.2</t>
        </is>
      </c>
      <c r="S15" s="84" t="inlineStr">
        <is>
          <t>Fortalecimiento de la innovación para la Proyección Institucional</t>
        </is>
      </c>
      <c r="T15" s="84" t="inlineStr">
        <is>
          <t>Liderar iniciativas innovadoras en programas de extensión que contribuyan al bienestar y al desarrollo social, fortaleciendo la proyección institucional de la ETITC y avanzando hacia la meta de ampliar la cobertura educativa.</t>
        </is>
      </c>
      <c r="V15" s="84" t="inlineStr">
        <is>
          <t>IMP-11</t>
        </is>
      </c>
      <c r="W15" s="84" t="inlineStr">
        <is>
          <t>IMP-11 · Índice de empleabilidad en el corto plazo tras finalizar el programa formativo.</t>
        </is>
      </c>
      <c r="X15" s="84" t="inlineStr">
        <is>
          <t>C04</t>
        </is>
      </c>
      <c r="Y15" s="84" t="inlineStr">
        <is>
          <t>Transformaciones de vidas (condiciones de vida-movilidad social) de las personas con las que se interactúa.</t>
        </is>
      </c>
      <c r="Z15" s="84" t="inlineStr">
        <is>
          <t>Valor Público; Egresados</t>
        </is>
      </c>
    </row>
    <row r="16" ht="15" customHeight="1" s="23">
      <c r="A16" s="84" t="inlineStr">
        <is>
          <t>2.2.1.1</t>
        </is>
      </c>
      <c r="B16" s="84" t="n">
        <v>2</v>
      </c>
      <c r="C16" s="84" t="inlineStr">
        <is>
          <t>Investigación y producción técnico-científica</t>
        </is>
      </c>
      <c r="D16" s="84" t="inlineStr">
        <is>
          <t>2.2</t>
        </is>
      </c>
      <c r="E16" s="84" t="inlineStr">
        <is>
          <t>Producción técnico-científica</t>
        </is>
      </c>
      <c r="F16" s="84" t="inlineStr">
        <is>
          <t>Lograr como mínimo por vigencia la publicación de dos (2) artículos en revistas internacionales indexadas.</t>
        </is>
      </c>
      <c r="G16" s="84" t="inlineStr">
        <is>
          <t>N.° de artículos publicados en revistas internacionales indexadas</t>
        </is>
      </c>
      <c r="H16" s="84" t="inlineStr">
        <is>
          <t>2 por vigencia (16 en el periodo, según MPI)</t>
        </is>
      </c>
      <c r="I16" s="84" t="inlineStr">
        <is>
          <t>2 artículos</t>
        </is>
      </c>
      <c r="J16" s="84" t="inlineStr">
        <is>
          <t>Hoja PROY («como mínimo por vigencia») y MPI.</t>
        </is>
      </c>
      <c r="K16" s="84" t="inlineStr">
        <is>
          <t>IMP-21; IMP-20</t>
        </is>
      </c>
      <c r="L16" s="84" t="inlineStr">
        <is>
          <t>2.2.1.1 · Lograr como mínimo por vigencia la publicación de dos (2) artículos en revistas internacionales indexadas.</t>
        </is>
      </c>
      <c r="R16" s="84" t="inlineStr">
        <is>
          <t>3.3</t>
        </is>
      </c>
      <c r="S16" s="84" t="inlineStr">
        <is>
          <t>Interacción con el sector productivo y social</t>
        </is>
      </c>
      <c r="T16" s="84" t="inlineStr">
        <is>
          <t>Garantizar una sólida interacción con agentes del sector productivo y social, relacionados con el quehacer de la ETITC.</t>
        </is>
      </c>
      <c r="V16" s="84" t="inlineStr">
        <is>
          <t>IMP-12</t>
        </is>
      </c>
      <c r="W16" s="84" t="inlineStr">
        <is>
          <t>IMP-12 · Porcentaje de jóvenes de la comunidad beneficiaria que se escolarizaron con la Institución.</t>
        </is>
      </c>
      <c r="X16" s="84" t="inlineStr">
        <is>
          <t>C05</t>
        </is>
      </c>
      <c r="Y16" s="84" t="inlineStr">
        <is>
          <t>Transformaciones del territorio (condiciones del desarrollo, especialmente de cobertura y pertinencia en la oferta educativa).</t>
        </is>
      </c>
      <c r="Z16" s="84" t="inlineStr">
        <is>
          <t>Valor Público</t>
        </is>
      </c>
    </row>
    <row r="17" ht="15" customHeight="1" s="23">
      <c r="A17" s="84" t="inlineStr">
        <is>
          <t>2.2.1.2</t>
        </is>
      </c>
      <c r="B17" s="84" t="n">
        <v>2</v>
      </c>
      <c r="C17" s="84" t="inlineStr">
        <is>
          <t>Investigación y producción técnico-científica</t>
        </is>
      </c>
      <c r="D17" s="84" t="inlineStr">
        <is>
          <t>2.2</t>
        </is>
      </c>
      <c r="E17" s="84" t="inlineStr">
        <is>
          <t>Producción técnico-científica</t>
        </is>
      </c>
      <c r="F17" s="84" t="inlineStr">
        <is>
          <t>Lograr la publicación de ocho (8) artículos en revistas nacionales indexadas.</t>
        </is>
      </c>
      <c r="G17" s="84" t="inlineStr">
        <is>
          <t>N.° de artículos publicados en revistas nacionales indexadas</t>
        </is>
      </c>
      <c r="H17" s="84" t="inlineStr">
        <is>
          <t>8 (MPI: 8 por año, 48 en total)</t>
        </is>
      </c>
      <c r="I17" s="84" t="inlineStr">
        <is>
          <t>8 artículos; la VIET confirma si la meta del PDI es anual o acumulada</t>
        </is>
      </c>
      <c r="J17" s="84" t="inlineStr">
        <is>
          <t>MPI</t>
        </is>
      </c>
      <c r="K17" s="84" t="inlineStr">
        <is>
          <t>IMP-21; IMP-20</t>
        </is>
      </c>
      <c r="L17" s="84" t="inlineStr">
        <is>
          <t>2.2.1.2 · Lograr la publicación de ocho (8) artículos en revistas nacionales indexadas.</t>
        </is>
      </c>
      <c r="R17" s="84" t="inlineStr">
        <is>
          <t>4.1</t>
        </is>
      </c>
      <c r="S17" s="84" t="inlineStr">
        <is>
          <t>Dimensión estratégica</t>
        </is>
      </c>
      <c r="T17" s="84" t="inlineStr">
        <is>
          <t>Consolidar las capacidades institucionales para soportar su posicionamiento como universidad tecnológica de alta calidad.</t>
        </is>
      </c>
      <c r="V17" s="84" t="inlineStr">
        <is>
          <t>IMP-13</t>
        </is>
      </c>
      <c r="W17" s="84" t="inlineStr">
        <is>
          <t>IMP-13 · Proporción de programas académicos pertinentes (alineados con necesidades y vocación del territorio) ofrecidos por la Institución en el territorio.</t>
        </is>
      </c>
      <c r="X17" s="84" t="inlineStr">
        <is>
          <t>C05</t>
        </is>
      </c>
      <c r="Y17" s="84" t="inlineStr">
        <is>
          <t>Transformaciones del territorio (condiciones del desarrollo, especialmente de cobertura y pertinencia en la oferta educativa).</t>
        </is>
      </c>
      <c r="Z17" s="84" t="inlineStr">
        <is>
          <t>Valor Público</t>
        </is>
      </c>
    </row>
    <row r="18" ht="15" customHeight="1" s="23">
      <c r="A18" s="84" t="inlineStr">
        <is>
          <t>2.3.1.1</t>
        </is>
      </c>
      <c r="B18" s="84" t="n">
        <v>2</v>
      </c>
      <c r="C18" s="84" t="inlineStr">
        <is>
          <t>Investigación y producción técnico-científica</t>
        </is>
      </c>
      <c r="D18" s="84" t="inlineStr">
        <is>
          <t>2.3</t>
        </is>
      </c>
      <c r="E18" s="84" t="inlineStr">
        <is>
          <t>Alianzas estratégicas para la investigación</t>
        </is>
      </c>
      <c r="F18" s="84" t="inlineStr">
        <is>
          <t>Contar con cuatro (4) patentes registradas sobre la base de los desarrollos logrados con las alianzas con el sector productivo o institucional.</t>
        </is>
      </c>
      <c r="G18" s="84" t="inlineStr">
        <is>
          <t>N.° de solicitudes y de patentes registradas</t>
        </is>
      </c>
      <c r="H18" s="84" t="inlineStr">
        <is>
          <t>4 patentes</t>
        </is>
      </c>
      <c r="I18" s="84" t="inlineStr">
        <is>
          <t>Sugerida por la OAP: 2 solicitudes de patente o modelo de utilidad radicadas ante la SIC, avance hacia 4 en 2032, y mantenimiento de la patente vigente</t>
        </is>
      </c>
      <c r="J18" s="84" t="inlineStr">
        <is>
          <t>Sugerida por la OAP.</t>
        </is>
      </c>
      <c r="K18" s="84" t="inlineStr">
        <is>
          <t>IMP-17; IMP-20</t>
        </is>
      </c>
      <c r="L18" s="84" t="inlineStr">
        <is>
          <t>2.3.1.1 · Contar con cuatro (4) patentes registradas sobre la base de los desarrollos logrados con las alianzas con el sector productivo o institucional.</t>
        </is>
      </c>
      <c r="R18" s="84" t="inlineStr">
        <is>
          <t>4.2</t>
        </is>
      </c>
      <c r="S18" s="84" t="inlineStr">
        <is>
          <t>Arquitectura institucional</t>
        </is>
      </c>
      <c r="T18" s="84" t="inlineStr">
        <is>
          <t>Contar con una arquitectura institucional que garantice la gobernanza, efectividad y fluida comunicación entre todas las áreas de la Institución.</t>
        </is>
      </c>
      <c r="V18" s="84" t="inlineStr">
        <is>
          <t>IMP-14</t>
        </is>
      </c>
      <c r="W18" s="84" t="inlineStr">
        <is>
          <t>IMP-14 · Tasa de adopción de nuevos procesos atribuible a la implementación del sistema de calidad.</t>
        </is>
      </c>
      <c r="X18" s="84" t="inlineStr">
        <is>
          <t>C06</t>
        </is>
      </c>
      <c r="Y18" s="84" t="inlineStr">
        <is>
          <t>Cambios en la cultura institucional (incluida la cultura de la calidad).</t>
        </is>
      </c>
      <c r="Z18" s="84" t="inlineStr">
        <is>
          <t>Académica</t>
        </is>
      </c>
    </row>
    <row r="19" ht="15" customHeight="1" s="23">
      <c r="A19" s="84" t="inlineStr">
        <is>
          <t>2.4.1.1</t>
        </is>
      </c>
      <c r="B19" s="84" t="n">
        <v>2</v>
      </c>
      <c r="C19" s="84" t="inlineStr">
        <is>
          <t>Investigación y producción técnico-científica</t>
        </is>
      </c>
      <c r="D19" s="84" t="inlineStr">
        <is>
          <t>2.4</t>
        </is>
      </c>
      <c r="E19" s="84" t="inlineStr">
        <is>
          <t>Vinculación de lo investigativo con lo académico</t>
        </is>
      </c>
      <c r="F19" s="84" t="inlineStr">
        <is>
          <t>Contar con un (1) centro de pensamiento y desarrollo tecnológico registrado en Colciencias (MinCiencias) y articulado con el Parque Tecnológico de Funza.</t>
        </is>
      </c>
      <c r="G19" s="84" t="inlineStr">
        <is>
          <t>Centro de pensamiento reconocido por MinCiencias (fase de avance)</t>
        </is>
      </c>
      <c r="H19" s="84" t="inlineStr">
        <is>
          <t>1 centro reconocido</t>
        </is>
      </c>
      <c r="I19" s="84" t="inlineStr">
        <is>
          <t>Puesta en marcha del Centro de Pensamiento</t>
        </is>
      </c>
      <c r="J19" s="84" t="inlineStr">
        <is>
          <t>MPI</t>
        </is>
      </c>
      <c r="K19" s="84" t="inlineStr">
        <is>
          <t>IMP-20; IMP-03</t>
        </is>
      </c>
      <c r="L19" s="84" t="inlineStr">
        <is>
          <t>2.4.1.1 · Contar con un (1) centro de pensamiento y desarrollo tecnológico registrado en Colciencias (MinCiencias) y articulado con el Parque Tecnológico de Funza.</t>
        </is>
      </c>
      <c r="R19" s="84" t="inlineStr">
        <is>
          <t>4.3</t>
        </is>
      </c>
      <c r="S19" s="84" t="inlineStr">
        <is>
          <t>Gestión de la comunidad educativa</t>
        </is>
      </c>
      <c r="T19" s="84" t="inlineStr">
        <is>
          <t>Consolidar un modelo de gestión de la [comunidad educativa] que posibilite a la institución como una universidad de alta calidad.</t>
        </is>
      </c>
      <c r="V19" s="84" t="inlineStr">
        <is>
          <t>IMP-15</t>
        </is>
      </c>
      <c r="W19" s="84" t="inlineStr">
        <is>
          <t>IMP-15 · Porcentaje de la comunidad académica satisfecha con el clima laboral después de la implementación del sistema de calidad.</t>
        </is>
      </c>
      <c r="X19" s="84" t="inlineStr">
        <is>
          <t>C06</t>
        </is>
      </c>
      <c r="Y19" s="84" t="inlineStr">
        <is>
          <t>Cambios en la cultura institucional (incluida la cultura de la calidad).</t>
        </is>
      </c>
      <c r="Z19" s="84" t="inlineStr">
        <is>
          <t>Académica</t>
        </is>
      </c>
    </row>
    <row r="20" ht="15" customHeight="1" s="23">
      <c r="A20" s="84" t="inlineStr">
        <is>
          <t>3.1.1.1</t>
        </is>
      </c>
      <c r="B20" s="84" t="n">
        <v>3</v>
      </c>
      <c r="C20" s="84" t="inlineStr">
        <is>
          <t>Extensión y proyección institucional</t>
        </is>
      </c>
      <c r="D20" s="84" t="inlineStr">
        <is>
          <t>3.1</t>
        </is>
      </c>
      <c r="E20" s="84" t="inlineStr">
        <is>
          <t>Autonomía y posicionamiento de la Extensión y Proyección Institucional</t>
        </is>
      </c>
      <c r="F20" s="84" t="inlineStr">
        <is>
          <t>Disponer a mediano plazo de una vicerrectoría de extensión y proyección social.</t>
        </is>
      </c>
      <c r="G20" s="84" t="inlineStr">
        <is>
          <t>Modelo de gestión autónoma de la extensión adoptado y operando (fase)</t>
        </is>
      </c>
      <c r="H20" s="84" t="inlineStr">
        <is>
          <t>Sugerida por la OAP: extensión con autonomía administrativa y financiera operando desde el GIT de Extensión y Proyección Social, sin crear una nueva vicerrectoría</t>
        </is>
      </c>
      <c r="I20" s="84" t="inlineStr">
        <is>
          <t>Sugerida por la OAP: modelo de gestión autónoma de la extensión adoptado por acto administrativo: estatuto de extensión actualizado, centro de costos propio del GIT y procedimientos de la extensión en el SGC</t>
        </is>
      </c>
      <c r="J20" s="84" t="inlineStr">
        <is>
          <t>Sugerida por la OAP.</t>
        </is>
      </c>
      <c r="K20" s="84" t="inlineStr">
        <is>
          <t>IMP-18; IMP-17</t>
        </is>
      </c>
      <c r="L20" s="84" t="inlineStr">
        <is>
          <t>3.1.1.1 · Disponer a mediano plazo de una vicerrectoría de extensión y proyección social.</t>
        </is>
      </c>
      <c r="R20" s="84" t="inlineStr">
        <is>
          <t>4.4</t>
        </is>
      </c>
      <c r="S20" s="84" t="inlineStr">
        <is>
          <t>Relacionamiento dialógico</t>
        </is>
      </c>
      <c r="T20" s="84" t="inlineStr">
        <is>
          <t>Lograr el reconocimiento y posicionamiento de la institución como una universidad de alta calidad, a través de un efectivo relacionamiento con el ecosistema (estado, empresa, academia, sociedad y medio ambiente).</t>
        </is>
      </c>
      <c r="V20" s="84" t="inlineStr">
        <is>
          <t>IMP-16</t>
        </is>
      </c>
      <c r="W20" s="84" t="inlineStr">
        <is>
          <t>IMP-16 · Porcentaje de actores que evidencian cambios significativos en sus valores y actitudes como consecuencia de las intervenciones institucionales.</t>
        </is>
      </c>
      <c r="X20" s="84" t="inlineStr">
        <is>
          <t>C07</t>
        </is>
      </c>
      <c r="Y20" s="84" t="inlineStr">
        <is>
          <t>Impacto a actores (estudiantes, docentes, administrativos, egresados) y organizaciones (sector externo y sociedad en general) en valores.</t>
        </is>
      </c>
      <c r="Z20" s="84" t="inlineStr">
        <is>
          <t>Valor Público; Egresados</t>
        </is>
      </c>
    </row>
    <row r="21" ht="15" customHeight="1" s="23">
      <c r="A21" s="84" t="inlineStr">
        <is>
          <t>3.2.1.1</t>
        </is>
      </c>
      <c r="B21" s="84" t="n">
        <v>3</v>
      </c>
      <c r="C21" s="84" t="inlineStr">
        <is>
          <t>Extensión y proyección institucional</t>
        </is>
      </c>
      <c r="D21" s="84" t="inlineStr">
        <is>
          <t>3.2</t>
        </is>
      </c>
      <c r="E21" s="84" t="inlineStr">
        <is>
          <t>Fortalecimiento de la innovación para la Proyección Institucional</t>
        </is>
      </c>
      <c r="F21" s="84" t="inlineStr">
        <is>
          <t>Diseñar y diversificar la oferta de programas de educación continuada y Educación para el Trabajo y el Desarrollo Humano.</t>
        </is>
      </c>
      <c r="G21" s="84" t="inlineStr">
        <is>
          <t>N.° de ofertas de educación continuada y ETDH, participantes y % en modalidad virtual</t>
        </is>
      </c>
      <c r="H21" s="84" t="inlineStr">
        <is>
          <t>Sugerida por la OAP: 60 ofertas anuales, 30% en modalidad virtual o b learning</t>
        </is>
      </c>
      <c r="I21" s="84" t="inlineStr">
        <is>
          <t>Sugerida por la OAP: 34 ofertas, +20% sobre 2025, de las cuales al menos 8 en modalidad virtual o b learning, y 2 programas ETDH reactivados</t>
        </is>
      </c>
      <c r="J21" s="84" t="inlineStr">
        <is>
          <t>Sugerida por la OAP con base en la línea base 2025.</t>
        </is>
      </c>
      <c r="K21" s="84" t="inlineStr">
        <is>
          <t>IMP-10; IMP-11</t>
        </is>
      </c>
      <c r="L21" s="84" t="inlineStr">
        <is>
          <t>3.2.1.1 · Diseñar y diversificar la oferta de programas de educación continuada y Educación para el Trabajo y el Desarrollo Humano.</t>
        </is>
      </c>
      <c r="R21" s="84" t="inlineStr">
        <is>
          <t>4.5</t>
        </is>
      </c>
      <c r="S21" s="84" t="inlineStr">
        <is>
          <t>Cultura organizacional</t>
        </is>
      </c>
      <c r="T21" s="84" t="inlineStr">
        <is>
          <t>Contar con una cultura comprometida con la excelencia, el conocimiento, el pensamiento crítico y la vida que impacten el bienestar y desarrollo social.</t>
        </is>
      </c>
      <c r="V21" s="84" t="inlineStr">
        <is>
          <t>IMP-17</t>
        </is>
      </c>
      <c r="W21" s="84" t="inlineStr">
        <is>
          <t>IMP-17 · Cantidad de ingresos por productos o servicios que son resultado de la implementación de la investigación, la innovación y el desarrollo tecnológico.</t>
        </is>
      </c>
      <c r="X21" s="84" t="inlineStr">
        <is>
          <t>C08</t>
        </is>
      </c>
      <c r="Y21" s="84" t="inlineStr">
        <is>
          <t>Impacto en las labores sustantivas: docencia/formación, investigación e innovación, extensión/proyección social.</t>
        </is>
      </c>
      <c r="Z21" s="84" t="inlineStr">
        <is>
          <t>Académica</t>
        </is>
      </c>
    </row>
    <row r="22" ht="15" customHeight="1" s="23">
      <c r="A22" s="84" t="inlineStr">
        <is>
          <t>3.2.1.2</t>
        </is>
      </c>
      <c r="B22" s="84" t="n">
        <v>3</v>
      </c>
      <c r="C22" s="84" t="inlineStr">
        <is>
          <t>Extensión y proyección institucional</t>
        </is>
      </c>
      <c r="D22" s="84" t="inlineStr">
        <is>
          <t>3.2</t>
        </is>
      </c>
      <c r="E22" s="84" t="inlineStr">
        <is>
          <t>Fortalecimiento de la innovación para la Proyección Institucional</t>
        </is>
      </c>
      <c r="F22" s="84" t="inlineStr">
        <is>
          <t>Generar ingresos para la ETITC mediante la comercialización de su portafolio de servicios, fortaleciendo su sostenibilidad financiera por vigencia.</t>
        </is>
      </c>
      <c r="G22" s="84" t="inlineStr">
        <is>
          <t>Ingresos por venta de servicios de extensión (millones $)</t>
        </is>
      </c>
      <c r="H22" s="84" t="inlineStr">
        <is>
          <t>Sugerida por la OAP: crecimiento sostenido del 7% anual</t>
        </is>
      </c>
      <c r="I22" s="84" t="inlineStr">
        <is>
          <t>Sugerida por la OAP: $590 millones, 7% anual sobre el recaudo 2025,</t>
        </is>
      </c>
      <c r="J22" s="84" t="inlineStr">
        <is>
          <t>Sugerida por la OAP.</t>
        </is>
      </c>
      <c r="K22" s="84" t="inlineStr">
        <is>
          <t>IMP-17</t>
        </is>
      </c>
      <c r="L22" s="84" t="inlineStr">
        <is>
          <t>3.2.1.2 · Generar ingresos para la ETITC mediante la comercialización de su portafolio de servicios, fortaleciendo su sostenibilidad financiera por vigencia.</t>
        </is>
      </c>
      <c r="R22" s="84" t="inlineStr">
        <is>
          <t>5.1</t>
        </is>
      </c>
      <c r="S22" s="84" t="inlineStr">
        <is>
          <t>Sedes propias</t>
        </is>
      </c>
      <c r="T22" s="84" t="inlineStr">
        <is>
          <t>Poseer sedes a nivel distrital y departamental que permitan la ampliación de cobertura con principios de sostenibilidad.</t>
        </is>
      </c>
      <c r="V22" s="84" t="inlineStr">
        <is>
          <t>IMP-18</t>
        </is>
      </c>
      <c r="W22" s="84" t="inlineStr">
        <is>
          <t>IMP-18 · Cantidad de procesos académicos y académico-administrativos que mejoran.</t>
        </is>
      </c>
      <c r="X22" s="84" t="inlineStr">
        <is>
          <t>C08</t>
        </is>
      </c>
      <c r="Y22" s="84" t="inlineStr">
        <is>
          <t>Impacto en las labores sustantivas: docencia/formación, investigación e innovación, extensión/proyección social.</t>
        </is>
      </c>
      <c r="Z22" s="84" t="inlineStr">
        <is>
          <t>Académica</t>
        </is>
      </c>
    </row>
    <row r="23" ht="15" customHeight="1" s="23">
      <c r="A23" s="84" t="inlineStr">
        <is>
          <t>3.2.1.3</t>
        </is>
      </c>
      <c r="B23" s="84" t="n">
        <v>3</v>
      </c>
      <c r="C23" s="84" t="inlineStr">
        <is>
          <t>Extensión y proyección institucional</t>
        </is>
      </c>
      <c r="D23" s="84" t="inlineStr">
        <is>
          <t>3.2</t>
        </is>
      </c>
      <c r="E23" s="84" t="inlineStr">
        <is>
          <t>Fortalecimiento de la innovación para la Proyección Institucional</t>
        </is>
      </c>
      <c r="F23" s="84" t="inlineStr">
        <is>
          <t>Implementar mecanismos de retroalimentación continua de la oferta de programas de extensión y proyección social.</t>
        </is>
      </c>
      <c r="G23" s="84" t="inlineStr">
        <is>
          <t>N.° de mecanismos aplicados y % de ofertas evaluadas</t>
        </is>
      </c>
      <c r="H23" s="84" t="inlineStr">
        <is>
          <t>Sugerida por la OAP: 100% de las ofertas evaluadas cada periodo</t>
        </is>
      </c>
      <c r="I23" s="84" t="inlineStr">
        <is>
          <t>Sugerida por la OAP: 1 mecanismo institucional de retroalimentación aplicado al 100% de las ofertas de extensión 2027, con informe semestral</t>
        </is>
      </c>
      <c r="J23" s="84" t="inlineStr">
        <is>
          <t>Sugerida por la OAP.</t>
        </is>
      </c>
      <c r="K23" s="84" t="inlineStr">
        <is>
          <t>IMP-18</t>
        </is>
      </c>
      <c r="L23" s="84" t="inlineStr">
        <is>
          <t>3.2.1.3 · Implementar mecanismos de retroalimentación continua de la oferta de programas de extensión y proyección social.</t>
        </is>
      </c>
      <c r="R23" s="84" t="inlineStr">
        <is>
          <t>5.2</t>
        </is>
      </c>
      <c r="S23" s="84" t="inlineStr">
        <is>
          <t>Modernización de la infraestructura</t>
        </is>
      </c>
      <c r="T23" s="84" t="inlineStr">
        <is>
          <t>Fortalecer la infraestructura física y tecnológica de las sedes.</t>
        </is>
      </c>
      <c r="V23" s="84" t="inlineStr">
        <is>
          <t>IMP-19</t>
        </is>
      </c>
      <c r="W23" s="84" t="inlineStr">
        <is>
          <t>IMP-19 · Porcentaje de docentes que transforman la didáctica y la evaluación de los aprendizajes.</t>
        </is>
      </c>
      <c r="X23" s="84" t="inlineStr">
        <is>
          <t>C09</t>
        </is>
      </c>
      <c r="Y23" s="84" t="inlineStr">
        <is>
          <t>Cambios en la formación integral y los aprendizajes del estudiantado.</t>
        </is>
      </c>
      <c r="Z23" s="84" t="inlineStr">
        <is>
          <t>Académica</t>
        </is>
      </c>
    </row>
    <row r="24" ht="15" customHeight="1" s="23">
      <c r="A24" s="84" t="inlineStr">
        <is>
          <t>3.2.1.4</t>
        </is>
      </c>
      <c r="B24" s="84" t="n">
        <v>3</v>
      </c>
      <c r="C24" s="84" t="inlineStr">
        <is>
          <t>Extensión y proyección institucional</t>
        </is>
      </c>
      <c r="D24" s="84" t="inlineStr">
        <is>
          <t>3.2</t>
        </is>
      </c>
      <c r="E24" s="84" t="inlineStr">
        <is>
          <t>Fortalecimiento de la innovación para la Proyección Institucional</t>
        </is>
      </c>
      <c r="F24" s="84" t="inlineStr">
        <is>
          <t>Alinear la formación en una segunda lengua en la ETITC con los estándares del Marco Común Europeo de Referencia para las Lenguas.</t>
        </is>
      </c>
      <c r="G24" s="84" t="inlineStr">
        <is>
          <t>% de cursos de segunda lengua alineados al MCER</t>
        </is>
      </c>
      <c r="H24" s="84" t="inlineStr">
        <is>
          <t>Sugerida por la OAP: 100% de los cursos alineados y certificados por nivel MCER</t>
        </is>
      </c>
      <c r="I24" s="84" t="inlineStr">
        <is>
          <t>Sugerida por la OAP: 100% de los cursos con syllabus y evaluación alineados a niveles MCER A1-B2, prueba de clasificación institucional y 2 cursos virtuales</t>
        </is>
      </c>
      <c r="J24" s="84" t="inlineStr">
        <is>
          <t>Sugerida por la OAP.</t>
        </is>
      </c>
      <c r="K24" s="84" t="inlineStr">
        <is>
          <t>IMP-11; IMP-07</t>
        </is>
      </c>
      <c r="L24" s="84" t="inlineStr">
        <is>
          <t>3.2.1.4 · Alinear la formación en una segunda lengua en la ETITC con los estándares del Marco Común Europeo de Referencia para las Lenguas.</t>
        </is>
      </c>
      <c r="R24" s="84" t="inlineStr">
        <is>
          <t>5.3</t>
        </is>
      </c>
      <c r="S24" s="84" t="inlineStr">
        <is>
          <t>Infraestructura de terceros</t>
        </is>
      </c>
      <c r="T24" s="84" t="inlineStr">
        <is>
          <t>Firmar con el gobierno distrital, departamental y municipal el aporte de infraestructura y tecnología que soporte la oferta académica en la región.</t>
        </is>
      </c>
      <c r="V24" s="84" t="inlineStr">
        <is>
          <t>IMP-20</t>
        </is>
      </c>
      <c r="W24" s="84" t="inlineStr">
        <is>
          <t>IMP-20 · Porcentaje de proyectos de investigación que transformaron un proceso, un producto o una problemática de una organización o sector.</t>
        </is>
      </c>
      <c r="X24" s="84" t="inlineStr">
        <is>
          <t>C10</t>
        </is>
      </c>
      <c r="Y24" s="84" t="inlineStr">
        <is>
          <t>Contribución a la solución de problemas del contexto y la creación de nuevo conocimiento.</t>
        </is>
      </c>
      <c r="Z24" s="84" t="inlineStr">
        <is>
          <t>Valor Público; Sector Productivo</t>
        </is>
      </c>
    </row>
    <row r="25" ht="15" customHeight="1" s="23">
      <c r="A25" s="84" t="inlineStr">
        <is>
          <t>3.3.1.1</t>
        </is>
      </c>
      <c r="B25" s="84" t="n">
        <v>3</v>
      </c>
      <c r="C25" s="84" t="inlineStr">
        <is>
          <t>Extensión y proyección institucional</t>
        </is>
      </c>
      <c r="D25" s="84" t="inlineStr">
        <is>
          <t>3.3</t>
        </is>
      </c>
      <c r="E25" s="84" t="inlineStr">
        <is>
          <t>Interacción con el sector productivo y social</t>
        </is>
      </c>
      <c r="F25" s="84" t="inlineStr">
        <is>
          <t>Garantizar la participación y representación del 100% de la programación de la ETITC en eventos académicos, empresariales y de proyección social, de acuerdo con disponibilidad de recursos.</t>
        </is>
      </c>
      <c r="G25" s="84" t="inlineStr">
        <is>
          <t>% de la programación de eventos con participación institucional</t>
        </is>
      </c>
      <c r="H25" s="84" t="inlineStr">
        <is>
          <t>100%</t>
        </is>
      </c>
      <c r="I25" s="84" t="inlineStr">
        <is>
          <t>100% de la programación 2027</t>
        </is>
      </c>
      <c r="J25" s="84" t="inlineStr">
        <is>
          <t>MPI</t>
        </is>
      </c>
      <c r="K25" s="84" t="inlineStr">
        <is>
          <t>IMP-04; IMP-16</t>
        </is>
      </c>
      <c r="L25" s="84" t="inlineStr">
        <is>
          <t>3.3.1.1 · Garantizar la participación y representación del 100% de la programación de la ETITC en eventos académicos, empresariales y de proyección social, de acuerdo con disponibilidad de recursos.</t>
        </is>
      </c>
      <c r="R25" s="84" t="inlineStr">
        <is>
          <t>5.4</t>
        </is>
      </c>
      <c r="S25" s="84" t="inlineStr">
        <is>
          <t>Infraestructura para programas presenciales y semipresenciales</t>
        </is>
      </c>
      <c r="T25" s="84" t="inlineStr">
        <is>
          <t>Contar con alianzas y convenios con instituciones de educación superior a nivel nacional para soportar oferta de educación no presencial.</t>
        </is>
      </c>
      <c r="V25" s="84" t="inlineStr">
        <is>
          <t>IMP-21</t>
        </is>
      </c>
      <c r="W25" s="84" t="inlineStr">
        <is>
          <t>IMP-21 · Porcentaje de proyectos de investigación que contribuyeron al desarrollo social y comunitario, económico, sostenibilidad ambiental, sector educativo, sector productivo/industrial, desarrollo tecnológico, nacional e internacional.</t>
        </is>
      </c>
      <c r="X25" s="84" t="inlineStr">
        <is>
          <t>C10</t>
        </is>
      </c>
      <c r="Y25" s="84" t="inlineStr">
        <is>
          <t>Contribución a la solución de problemas del contexto y la creación de nuevo conocimiento.</t>
        </is>
      </c>
      <c r="Z25" s="84" t="inlineStr">
        <is>
          <t>Valor Público; Sector Productivo</t>
        </is>
      </c>
    </row>
    <row r="26" ht="15" customHeight="1" s="23">
      <c r="A26" s="84" t="inlineStr">
        <is>
          <t>3.3.1.2</t>
        </is>
      </c>
      <c r="B26" s="84" t="n">
        <v>3</v>
      </c>
      <c r="C26" s="84" t="inlineStr">
        <is>
          <t>Extensión y proyección institucional</t>
        </is>
      </c>
      <c r="D26" s="84" t="inlineStr">
        <is>
          <t>3.3</t>
        </is>
      </c>
      <c r="E26" s="84" t="inlineStr">
        <is>
          <t>Interacción con el sector productivo y social</t>
        </is>
      </c>
      <c r="F26" s="84" t="inlineStr">
        <is>
          <t>Ejecutar el 100% del Plan Estratégico de Comunicación de la Vicerrectoría de Extensión y Proyección Social, asegurando su efectividad y alcance.</t>
        </is>
      </c>
      <c r="G26" s="84" t="inlineStr">
        <is>
          <t>% de ejecución del componente de comunicación de la extensión dentro del plan institucional</t>
        </is>
      </c>
      <c r="H26" s="84" t="inlineStr">
        <is>
          <t>100%</t>
        </is>
      </c>
      <c r="I26" s="84" t="inlineStr">
        <is>
          <t>Sugerida por la OAP: componente de comunicación de la extensión incluido en el plan institucional 2025 a 2032 y 100% de lo programado para 2027 ejecutado</t>
        </is>
      </c>
      <c r="J26" s="84" t="inlineStr">
        <is>
          <t>Sugerida por la OAP.</t>
        </is>
      </c>
      <c r="K26" s="84" t="inlineStr">
        <is>
          <t>IMP-16</t>
        </is>
      </c>
      <c r="L26" s="84" t="inlineStr">
        <is>
          <t>3.3.1.2 · Ejecutar el 100% del Plan Estratégico de Comunicación de la Vicerrectoría de Extensión y Proyección Social, asegurando su efectividad y alcance.</t>
        </is>
      </c>
      <c r="R26" s="84" t="inlineStr">
        <is>
          <t>6.1</t>
        </is>
      </c>
      <c r="S26" s="84" t="inlineStr">
        <is>
          <t>Condiciones para el Bienestar</t>
        </is>
      </c>
      <c r="T26" s="84" t="inlineStr">
        <is>
          <t>Lograr las condiciones necesarias para garantizar la vigencia de una cultura de autocuidado, cuidado del otro y cuidado del ambiente en todas las áreas de la institución.</t>
        </is>
      </c>
    </row>
    <row r="27" ht="15" customHeight="1" s="23">
      <c r="A27" s="84" t="inlineStr">
        <is>
          <t>3.3.1.3</t>
        </is>
      </c>
      <c r="B27" s="84" t="n">
        <v>3</v>
      </c>
      <c r="C27" s="84" t="inlineStr">
        <is>
          <t>Extensión y proyección institucional</t>
        </is>
      </c>
      <c r="D27" s="84" t="inlineStr">
        <is>
          <t>3.3</t>
        </is>
      </c>
      <c r="E27" s="84" t="inlineStr">
        <is>
          <t>Interacción con el sector productivo y social</t>
        </is>
      </c>
      <c r="F27" s="84" t="inlineStr">
        <is>
          <t>Establecer convenios y fortalecer redes de colaboración con sectores productivos, sociales y educativos, tanto públicos como privados.</t>
        </is>
      </c>
      <c r="G27" s="84" t="inlineStr">
        <is>
          <t>N.° de convenios y redes activos</t>
        </is>
      </c>
      <c r="H27" s="84" t="inlineStr">
        <is>
          <t>Sugerida por la OAP: 90 convenios activos</t>
        </is>
      </c>
      <c r="I27" s="84" t="inlineStr">
        <is>
          <t>Sugerida por la OAP: 75 convenios activos, renovación de los que vencen y 4 nuevos, y 2 redes nuevas</t>
        </is>
      </c>
      <c r="J27" s="84" t="inlineStr">
        <is>
          <t>Sugerida por la OAP.</t>
        </is>
      </c>
      <c r="K27" s="84" t="inlineStr">
        <is>
          <t>IMP-03; IMP-04</t>
        </is>
      </c>
      <c r="L27" s="84" t="inlineStr">
        <is>
          <t>3.3.1.3 · Establecer convenios y fortalecer redes de colaboración con sectores productivos, sociales y educativos, tanto públicos como privados.</t>
        </is>
      </c>
      <c r="R27" s="84" t="inlineStr">
        <is>
          <t>6.2</t>
        </is>
      </c>
      <c r="S27" s="84" t="inlineStr">
        <is>
          <t>Modelo de aseguramiento del Bienestar</t>
        </is>
      </c>
      <c r="T27" s="84" t="inlineStr">
        <is>
          <t>Garantizar ambientes seguros, inclusivos y sostenibles que aseguren el respeto, protección y ejercicio pleno de los derechos fundamentales de la comunidad educativa.</t>
        </is>
      </c>
    </row>
    <row r="28" ht="15" customHeight="1" s="23">
      <c r="A28" s="84" t="inlineStr">
        <is>
          <t>4.1.1.1</t>
        </is>
      </c>
      <c r="B28" s="84" t="n">
        <v>4</v>
      </c>
      <c r="C28" s="84" t="inlineStr">
        <is>
          <t>Transformación institucional</t>
        </is>
      </c>
      <c r="D28" s="84" t="inlineStr">
        <is>
          <t>4.1</t>
        </is>
      </c>
      <c r="E28" s="84" t="inlineStr">
        <is>
          <t>Dimensión estratégica</t>
        </is>
      </c>
      <c r="F28" s="84" t="inlineStr">
        <is>
          <t>Cumplir al 2032 con el 90% en el Plan de Desarrollo Institucional 2025-2032 de la ETITC.</t>
        </is>
      </c>
      <c r="G28" s="84" t="inlineStr">
        <is>
          <t>% de avance acumulado del PDI</t>
        </is>
      </c>
      <c r="H28" s="84" t="inlineStr">
        <is>
          <t>90%</t>
        </is>
      </c>
      <c r="I28" s="84" t="inlineStr">
        <is>
          <t>33% de avance acumulado del PDI</t>
        </is>
      </c>
      <c r="J28" s="84" t="inlineStr">
        <is>
          <t>MPI</t>
        </is>
      </c>
      <c r="K28" s="84" t="inlineStr">
        <is>
          <t>IMP-14; IMP-18</t>
        </is>
      </c>
      <c r="L28" s="84" t="inlineStr">
        <is>
          <t>4.1.1.1 · Cumplir al 2032 con el 90% en el Plan de Desarrollo Institucional 2025-2032 de la ETITC.</t>
        </is>
      </c>
      <c r="R28" s="84" t="inlineStr">
        <is>
          <t>6.3</t>
        </is>
      </c>
      <c r="S28" s="84" t="inlineStr">
        <is>
          <t>Consolidación de la cultura de Bienestar</t>
        </is>
      </c>
      <c r="T28" s="84" t="inlineStr">
        <is>
          <t>Consolidar una cultura institucional basada en el respeto, la preservación de la vida y la construcción de un bienestar integral, personal y colectivo.</t>
        </is>
      </c>
    </row>
    <row r="29" ht="15" customHeight="1" s="23">
      <c r="A29" s="84" t="inlineStr">
        <is>
          <t>4.1.1.2</t>
        </is>
      </c>
      <c r="B29" s="84" t="n">
        <v>4</v>
      </c>
      <c r="C29" s="84" t="inlineStr">
        <is>
          <t>Transformación institucional</t>
        </is>
      </c>
      <c r="D29" s="84" t="inlineStr">
        <is>
          <t>4.1</t>
        </is>
      </c>
      <c r="E29" s="84" t="inlineStr">
        <is>
          <t>Dimensión estratégica</t>
        </is>
      </c>
      <c r="F29" s="84" t="inlineStr">
        <is>
          <t>Alcanzar el 92% en el Índice de Desempeño Institucional del FURAG.</t>
        </is>
      </c>
      <c r="G29" s="84" t="inlineStr">
        <is>
          <t>Índice de Desempeño Institucional (FURAG)</t>
        </is>
      </c>
      <c r="H29" s="84" t="inlineStr">
        <is>
          <t>92%</t>
        </is>
      </c>
      <c r="I29" s="84" t="inlineStr">
        <is>
          <t>Sugerida por la OAP: 90%, la trayectoria lineal de 87,7% en 2024 a 92% en 2032 da 89,3% en 2027,</t>
        </is>
      </c>
      <c r="J29" s="84" t="inlineStr">
        <is>
          <t>Sugerida por la OAP. Las dos versiones de la MPI dicen 89% y 92%.</t>
        </is>
      </c>
      <c r="K29" s="84" t="inlineStr">
        <is>
          <t>IMP-14; IMP-15</t>
        </is>
      </c>
      <c r="L29" s="84" t="inlineStr">
        <is>
          <t>4.1.1.2 · Alcanzar el 92% en el Índice de Desempeño Institucional del FURAG.</t>
        </is>
      </c>
    </row>
    <row r="30" ht="15" customHeight="1" s="23">
      <c r="A30" s="84" t="inlineStr">
        <is>
          <t>4.1.1.3</t>
        </is>
      </c>
      <c r="B30" s="84" t="n">
        <v>4</v>
      </c>
      <c r="C30" s="84" t="inlineStr">
        <is>
          <t>Transformación institucional</t>
        </is>
      </c>
      <c r="D30" s="84" t="inlineStr">
        <is>
          <t>4.1</t>
        </is>
      </c>
      <c r="E30" s="84" t="inlineStr">
        <is>
          <t>Dimensión estratégica</t>
        </is>
      </c>
      <c r="F30" s="84" t="inlineStr">
        <is>
          <t>Lograr la renovación de la acreditación institucional a 8 años.</t>
        </is>
      </c>
      <c r="G30" s="84" t="inlineStr">
        <is>
          <t>Acreditación institucional vigente y % de ejecución del plan de mejoramiento institucional</t>
        </is>
      </c>
      <c r="H30" s="84" t="inlineStr">
        <is>
          <t>Renovación a 8 años</t>
        </is>
      </c>
      <c r="I30" s="84" t="inlineStr">
        <is>
          <t>Sugerida por la OAP: 100% de las acciones del plan de mejoramiento institucional programadas para 2027 ejecutadas y sistema de seguimiento a las condiciones de calidad operando</t>
        </is>
      </c>
      <c r="J30" s="84" t="inlineStr">
        <is>
          <t>Sugerida por la OAP.</t>
        </is>
      </c>
      <c r="K30" s="84" t="inlineStr">
        <is>
          <t>IMP-14; IMP-07</t>
        </is>
      </c>
      <c r="L30" s="84" t="inlineStr">
        <is>
          <t>4.1.1.3 · Lograr la renovación de la acreditación institucional a 8 años.</t>
        </is>
      </c>
    </row>
    <row r="31" ht="15" customHeight="1" s="23">
      <c r="A31" s="84" t="inlineStr">
        <is>
          <t>4.2.1.1</t>
        </is>
      </c>
      <c r="B31" s="84" t="n">
        <v>4</v>
      </c>
      <c r="C31" s="84" t="inlineStr">
        <is>
          <t>Transformación institucional</t>
        </is>
      </c>
      <c r="D31" s="84" t="inlineStr">
        <is>
          <t>4.2</t>
        </is>
      </c>
      <c r="E31" s="84" t="inlineStr">
        <is>
          <t>Arquitectura institucional</t>
        </is>
      </c>
      <c r="F31" s="84" t="inlineStr">
        <is>
          <t>Contar con el 100% de la estructura organizacional académica y administrativa operando.</t>
        </is>
      </c>
      <c r="G31" s="84" t="inlineStr">
        <is>
          <t>% de la estructura organizacional aprobada y operando</t>
        </is>
      </c>
      <c r="H31" s="84" t="inlineStr">
        <is>
          <t>100%</t>
        </is>
      </c>
      <c r="I31" s="84" t="inlineStr">
        <is>
          <t>15 docentes de tiempo completo y 10 administrativos vinculados por formalización</t>
        </is>
      </c>
      <c r="J31" s="84" t="inlineStr">
        <is>
          <t>MPI</t>
        </is>
      </c>
      <c r="K31" s="84" t="inlineStr">
        <is>
          <t>IMP-15; IMP-18</t>
        </is>
      </c>
      <c r="L31" s="84" t="inlineStr">
        <is>
          <t>4.2.1.1 · Contar con el 100% de la estructura organizacional académica y administrativa operando.</t>
        </is>
      </c>
    </row>
    <row r="32" ht="15" customHeight="1" s="23">
      <c r="A32" s="84" t="inlineStr">
        <is>
          <t>4.2.1.2</t>
        </is>
      </c>
      <c r="B32" s="84" t="n">
        <v>4</v>
      </c>
      <c r="C32" s="84" t="inlineStr">
        <is>
          <t>Transformación institucional</t>
        </is>
      </c>
      <c r="D32" s="84" t="inlineStr">
        <is>
          <t>4.2</t>
        </is>
      </c>
      <c r="E32" s="84" t="inlineStr">
        <is>
          <t>Arquitectura institucional</t>
        </is>
      </c>
      <c r="F32" s="84" t="inlineStr">
        <is>
          <t>Contar con un (1) sistema de información estratégico.</t>
        </is>
      </c>
      <c r="G32" s="84" t="inlineStr">
        <is>
          <t>Sistema de información estratégico operando y % de dependencias que reportan en él</t>
        </is>
      </c>
      <c r="H32" s="84" t="inlineStr">
        <is>
          <t>1 sistema</t>
        </is>
      </c>
      <c r="I32" s="84" t="inlineStr">
        <is>
          <t>Sugerida por la OAP: SIUE en operación plena: 100% de las dependencias reportando en él y 3 módulos integrados, Hoja de Ruta y Power BI, SNIES-HECAA y repositorio de evidencias,</t>
        </is>
      </c>
      <c r="J32" s="84" t="inlineStr">
        <is>
          <t>Sugerida por la OAP.</t>
        </is>
      </c>
      <c r="K32" s="84" t="inlineStr">
        <is>
          <t>IMP-14; IMP-18</t>
        </is>
      </c>
      <c r="L32" s="84" t="inlineStr">
        <is>
          <t>4.2.1.2 · Contar con un (1) sistema de información estratégico.</t>
        </is>
      </c>
    </row>
    <row r="33" ht="15" customHeight="1" s="23">
      <c r="A33" s="84" t="inlineStr">
        <is>
          <t>4.2.1.3</t>
        </is>
      </c>
      <c r="B33" s="84" t="n">
        <v>4</v>
      </c>
      <c r="C33" s="84" t="inlineStr">
        <is>
          <t>Transformación institucional</t>
        </is>
      </c>
      <c r="D33" s="84" t="inlineStr">
        <is>
          <t>4.2</t>
        </is>
      </c>
      <c r="E33" s="84" t="inlineStr">
        <is>
          <t>Arquitectura institucional</t>
        </is>
      </c>
      <c r="F33" s="84" t="inlineStr">
        <is>
          <t>Consolidar el IBTI como unidad autónoma y adscrita a la Institución con un programa de tránsito inmediato a la educación superior.</t>
        </is>
      </c>
      <c r="G33" s="84" t="inlineStr">
        <is>
          <t>IBTI consolidado como unidad adscrita (fase)</t>
        </is>
      </c>
      <c r="H33" s="84" t="inlineStr">
        <is>
          <t>IBTI consolidado</t>
        </is>
      </c>
      <c r="I33" s="84" t="inlineStr">
        <is>
          <t>Currículos del IBTI y de los programas técnicos profesionales alineados; solicitud de adscripción ante el MEN</t>
        </is>
      </c>
      <c r="J33" s="84" t="inlineStr">
        <is>
          <t>MPI</t>
        </is>
      </c>
      <c r="K33" s="84" t="inlineStr">
        <is>
          <t>IMP-12; IMP-06</t>
        </is>
      </c>
      <c r="L33" s="84" t="inlineStr">
        <is>
          <t>4.2.1.3 · Consolidar el IBTI como unidad autónoma y adscrita a la Institución con un programa de tránsito inmediato a la educación superior.</t>
        </is>
      </c>
    </row>
    <row r="34" ht="15" customHeight="1" s="23">
      <c r="A34" s="84" t="inlineStr">
        <is>
          <t>4.3.1.1</t>
        </is>
      </c>
      <c r="B34" s="84" t="n">
        <v>4</v>
      </c>
      <c r="C34" s="84" t="inlineStr">
        <is>
          <t>Transformación institucional</t>
        </is>
      </c>
      <c r="D34" s="84" t="inlineStr">
        <is>
          <t>4.3</t>
        </is>
      </c>
      <c r="E34" s="84" t="inlineStr">
        <is>
          <t>Gestión de la comunidad educativa</t>
        </is>
      </c>
      <c r="F34" s="84" t="inlineStr">
        <is>
          <t>Contar con un (1) sistema estratégico de desarrollo de la comunidad educativa.</t>
        </is>
      </c>
      <c r="G34" s="84" t="inlineStr">
        <is>
          <t>Sistema estratégico de desarrollo de la comunidad educativa (fase)</t>
        </is>
      </c>
      <c r="H34" s="84" t="inlineStr">
        <is>
          <t>1 sistema</t>
        </is>
      </c>
      <c r="I34" s="84" t="inlineStr">
        <is>
          <t>Modelo de operación flexible en funcionamiento</t>
        </is>
      </c>
      <c r="J34" s="84" t="inlineStr">
        <is>
          <t>MPI</t>
        </is>
      </c>
      <c r="K34" s="84" t="inlineStr">
        <is>
          <t>IMP-09; IMP-15</t>
        </is>
      </c>
      <c r="L34" s="84" t="inlineStr">
        <is>
          <t>4.3.1.1 · Contar con un (1) sistema estratégico de desarrollo de la comunidad educativa.</t>
        </is>
      </c>
    </row>
    <row r="35" ht="15" customHeight="1" s="23">
      <c r="A35" s="84" t="inlineStr">
        <is>
          <t>4.4.1.1</t>
        </is>
      </c>
      <c r="B35" s="84" t="n">
        <v>4</v>
      </c>
      <c r="C35" s="84" t="inlineStr">
        <is>
          <t>Transformación institucional</t>
        </is>
      </c>
      <c r="D35" s="84" t="inlineStr">
        <is>
          <t>4.4</t>
        </is>
      </c>
      <c r="E35" s="84" t="inlineStr">
        <is>
          <t>Relacionamiento dialógico</t>
        </is>
      </c>
      <c r="F35" s="84" t="inlineStr">
        <is>
          <t>Posicionamiento en un indicador Top of Mind de universidades tecnológicas de carácter público en el país.</t>
        </is>
      </c>
      <c r="G35" s="84" t="inlineStr">
        <is>
          <t>Posición en el indicador Top of Mind</t>
        </is>
      </c>
      <c r="H35" s="84" t="inlineStr">
        <is>
          <t>1 indicador</t>
        </is>
      </c>
      <c r="I35" s="84" t="inlineStr">
        <is>
          <t>Sugerida por la OAP: medición de línea base Top of Mind aplicada y plan de posicionamiento ejecutado al 100% de lo programado para 2027</t>
        </is>
      </c>
      <c r="J35" s="84" t="inlineStr">
        <is>
          <t>Sugerida por la OAP.</t>
        </is>
      </c>
      <c r="K35" s="84" t="inlineStr">
        <is>
          <t>IMP-16</t>
        </is>
      </c>
      <c r="L35" s="84" t="inlineStr">
        <is>
          <t>4.4.1.1 · Posicionamiento en un indicador Top of Mind de universidades tecnológicas de carácter público en el país.</t>
        </is>
      </c>
    </row>
    <row r="36" ht="15" customHeight="1" s="23">
      <c r="A36" s="84" t="inlineStr">
        <is>
          <t>4.4.1.2</t>
        </is>
      </c>
      <c r="B36" s="84" t="n">
        <v>4</v>
      </c>
      <c r="C36" s="84" t="inlineStr">
        <is>
          <t>Transformación institucional</t>
        </is>
      </c>
      <c r="D36" s="84" t="inlineStr">
        <is>
          <t>4.4</t>
        </is>
      </c>
      <c r="E36" s="84" t="inlineStr">
        <is>
          <t>Relacionamiento dialógico</t>
        </is>
      </c>
      <c r="F36" s="84" t="inlineStr">
        <is>
          <t>Cinco (5) alianzas estratégicas.</t>
        </is>
      </c>
      <c r="G36" s="84" t="inlineStr">
        <is>
          <t>N.° de alianzas estratégicas formalizadas</t>
        </is>
      </c>
      <c r="H36" s="84" t="inlineStr">
        <is>
          <t>5 alianzas</t>
        </is>
      </c>
      <c r="I36" s="84" t="inlineStr">
        <is>
          <t>5 proyectos o alianzas estratégicas suscritos</t>
        </is>
      </c>
      <c r="J36" s="84" t="inlineStr">
        <is>
          <t>MPI</t>
        </is>
      </c>
      <c r="K36" s="84" t="inlineStr">
        <is>
          <t>IMP-03; IMP-04</t>
        </is>
      </c>
      <c r="L36" s="84" t="inlineStr">
        <is>
          <t>4.4.1.2 · Cinco (5) alianzas estratégicas.</t>
        </is>
      </c>
    </row>
    <row r="37" ht="15" customHeight="1" s="23">
      <c r="A37" s="84" t="inlineStr">
        <is>
          <t>4.4.1.3</t>
        </is>
      </c>
      <c r="B37" s="84" t="n">
        <v>4</v>
      </c>
      <c r="C37" s="84" t="inlineStr">
        <is>
          <t>Transformación institucional</t>
        </is>
      </c>
      <c r="D37" s="84" t="inlineStr">
        <is>
          <t>4.4</t>
        </is>
      </c>
      <c r="E37" s="84" t="inlineStr">
        <is>
          <t>Relacionamiento dialógico</t>
        </is>
      </c>
      <c r="F37" s="84" t="inlineStr">
        <is>
          <t>30 proyectos por cada una de las hélices: (1) sistema educativo; (2) sistema económico; (3) entorno natural; (4) el público (medios, cultura y sociedad civil) y (5) el sistema político.</t>
        </is>
      </c>
      <c r="G37" s="84" t="inlineStr">
        <is>
          <t>N.° de proyectos por hélice</t>
        </is>
      </c>
      <c r="H37" s="84" t="inlineStr">
        <is>
          <t>30 proyectos por hélice</t>
        </is>
      </c>
      <c r="I37" s="84" t="inlineStr">
        <is>
          <t>Sugerida por la OAP: inventario de proyectos por hélice y 5 proyectos por hélice, 25 en total, en 2027, trayectoria hacia 30 por hélice en 2032</t>
        </is>
      </c>
      <c r="J37" s="84" t="inlineStr">
        <is>
          <t>Sugerida por la OAP.</t>
        </is>
      </c>
      <c r="K37" s="84" t="inlineStr">
        <is>
          <t>IMP-03; IMP-04</t>
        </is>
      </c>
      <c r="L37" s="84" t="inlineStr">
        <is>
          <t>4.4.1.3 · 30 proyectos por cada una de las hélices: (1) sistema educativo; (2) sistema económico; (3) entorno natural; (4) el público (medios, cultura y sociedad civil) y (5) el sistema político.</t>
        </is>
      </c>
    </row>
    <row r="38" ht="15" customHeight="1" s="23">
      <c r="A38" s="84" t="inlineStr">
        <is>
          <t>4.5.1.1</t>
        </is>
      </c>
      <c r="B38" s="84" t="n">
        <v>4</v>
      </c>
      <c r="C38" s="84" t="inlineStr">
        <is>
          <t>Transformación institucional</t>
        </is>
      </c>
      <c r="D38" s="84" t="inlineStr">
        <is>
          <t>4.5</t>
        </is>
      </c>
      <c r="E38" s="84" t="inlineStr">
        <is>
          <t>Cultura organizacional</t>
        </is>
      </c>
      <c r="F38" s="84" t="inlineStr">
        <is>
          <t>Lograr un 90% de participación de los grupos de valor en las acciones de cultura organizacional.</t>
        </is>
      </c>
      <c r="G38" s="84" t="inlineStr">
        <is>
          <t>% de participación de los grupos de valor en acciones de cultura</t>
        </is>
      </c>
      <c r="H38" s="84" t="inlineStr">
        <is>
          <t>90%</t>
        </is>
      </c>
      <c r="I38" s="84" t="inlineStr">
        <is>
          <t>Sugerida por la OAP: 75% de participación de los grupos de valor, primera medición en 2027 y trayectoria hacia 90% en 2032,</t>
        </is>
      </c>
      <c r="J38" s="84" t="inlineStr">
        <is>
          <t>Sugerida por la OAP.</t>
        </is>
      </c>
      <c r="K38" s="84" t="inlineStr">
        <is>
          <t>IMP-16; IMP-15</t>
        </is>
      </c>
      <c r="L38" s="84" t="inlineStr">
        <is>
          <t>4.5.1.1 · Lograr un 90% de participación de los grupos de valor en las acciones de cultura organizacional.</t>
        </is>
      </c>
    </row>
    <row r="39" ht="15" customHeight="1" s="23">
      <c r="A39" s="84" t="inlineStr">
        <is>
          <t>4.5.1.2</t>
        </is>
      </c>
      <c r="B39" s="84" t="n">
        <v>4</v>
      </c>
      <c r="C39" s="84" t="inlineStr">
        <is>
          <t>Transformación institucional</t>
        </is>
      </c>
      <c r="D39" s="84" t="inlineStr">
        <is>
          <t>4.5</t>
        </is>
      </c>
      <c r="E39" s="84" t="inlineStr">
        <is>
          <t>Cultura organizacional</t>
        </is>
      </c>
      <c r="F39" s="84" t="inlineStr">
        <is>
          <t>Consolidar un (1) modelo de gestión de la cultura que contemple un (1) instrumento de evaluación permanente.</t>
        </is>
      </c>
      <c r="G39" s="84" t="inlineStr">
        <is>
          <t>Modelo de gestión de la cultura con instrumento de evaluación (fase)</t>
        </is>
      </c>
      <c r="H39" s="84" t="inlineStr">
        <is>
          <t>1 modelo + 1 instrumento</t>
        </is>
      </c>
      <c r="I39" s="84" t="inlineStr">
        <is>
          <t>Instrumento de evaluación diseñado y aplicado</t>
        </is>
      </c>
      <c r="J39" s="84" t="inlineStr">
        <is>
          <t>Propuesta OAP con base en la MPI</t>
        </is>
      </c>
      <c r="K39" s="84" t="inlineStr">
        <is>
          <t>IMP-15; IMP-14</t>
        </is>
      </c>
      <c r="L39" s="84" t="inlineStr">
        <is>
          <t>4.5.1.2 · Consolidar un (1) modelo de gestión de la cultura que contemple un (1) instrumento de evaluación permanente.</t>
        </is>
      </c>
    </row>
    <row r="40" ht="15" customHeight="1" s="23">
      <c r="A40" s="84" t="inlineStr">
        <is>
          <t>5.1.1.1</t>
        </is>
      </c>
      <c r="B40" s="84" t="n">
        <v>5</v>
      </c>
      <c r="C40" s="84" t="inlineStr">
        <is>
          <t>Ampliación y modernización de la infraestructura</t>
        </is>
      </c>
      <c r="D40" s="84" t="inlineStr">
        <is>
          <t>5.1</t>
        </is>
      </c>
      <c r="E40" s="84" t="inlineStr">
        <is>
          <t>Sedes propias</t>
        </is>
      </c>
      <c r="F40" s="84" t="inlineStr">
        <is>
          <t>Contar con 4 sedes: 1. Calle 18, 2. Funza, 3. Guaymaral, 4. Central, con infraestructura y dotación para la prestación de servicios educativos.</t>
        </is>
      </c>
      <c r="G40" s="84" t="inlineStr">
        <is>
          <t>N.° de sedes propias habilitadas y operando</t>
        </is>
      </c>
      <c r="H40" s="84" t="inlineStr">
        <is>
          <t>4 sedes</t>
        </is>
      </c>
      <c r="I40" s="84" t="inlineStr">
        <is>
          <t>Calle 18: fase III (licencias, estudios y diseños, vigencias futuras MEN). Funza: puesta en marcha fase I. Guaymaral: puesta en marcha de la sede de Bienestar.</t>
        </is>
      </c>
      <c r="J40" s="84" t="inlineStr">
        <is>
          <t>MPI</t>
        </is>
      </c>
      <c r="K40" s="84" t="inlineStr">
        <is>
          <t>IMP-12; IMP-13</t>
        </is>
      </c>
      <c r="L40" s="84" t="inlineStr">
        <is>
          <t>5.1.1.1 · Contar con 4 sedes: 1. Calle 18, 2. Funza, 3. Guaymaral, 4. Central, con infraestructura y dotación para la prestación de servicios educativos.</t>
        </is>
      </c>
    </row>
    <row r="41" ht="15" customHeight="1" s="23">
      <c r="A41" s="84" t="inlineStr">
        <is>
          <t>5.2.1.1</t>
        </is>
      </c>
      <c r="B41" s="84" t="n">
        <v>5</v>
      </c>
      <c r="C41" s="84" t="inlineStr">
        <is>
          <t>Ampliación y modernización de la infraestructura</t>
        </is>
      </c>
      <c r="D41" s="84" t="inlineStr">
        <is>
          <t>5.2</t>
        </is>
      </c>
      <c r="E41" s="84" t="inlineStr">
        <is>
          <t>Modernización de la infraestructura</t>
        </is>
      </c>
      <c r="F41" s="84" t="inlineStr">
        <is>
          <t>3 bloques reforzados estructuralmente en la sede centro.</t>
        </is>
      </c>
      <c r="G41" s="84" t="inlineStr">
        <is>
          <t>N.° de bloques con reforzamiento estructural terminado</t>
        </is>
      </c>
      <c r="H41" s="84" t="inlineStr">
        <is>
          <t>3 bloques</t>
        </is>
      </c>
      <c r="I41" s="84" t="inlineStr">
        <is>
          <t>Viabilidad presupuestal y permisos para los bloques pendientes</t>
        </is>
      </c>
      <c r="J41" s="84" t="inlineStr">
        <is>
          <t>MPI</t>
        </is>
      </c>
      <c r="K41" s="84" t="inlineStr">
        <is>
          <t>IMP-18</t>
        </is>
      </c>
      <c r="L41" s="84" t="inlineStr">
        <is>
          <t>5.2.1.1 · 3 bloques reforzados estructuralmente en la sede centro.</t>
        </is>
      </c>
    </row>
    <row r="42" ht="15" customHeight="1" s="23">
      <c r="A42" s="84" t="inlineStr">
        <is>
          <t>5.2.1.2</t>
        </is>
      </c>
      <c r="B42" s="84" t="n">
        <v>5</v>
      </c>
      <c r="C42" s="84" t="inlineStr">
        <is>
          <t>Ampliación y modernización de la infraestructura</t>
        </is>
      </c>
      <c r="D42" s="84" t="inlineStr">
        <is>
          <t>5.2</t>
        </is>
      </c>
      <c r="E42" s="84" t="inlineStr">
        <is>
          <t>Modernización de la infraestructura</t>
        </is>
      </c>
      <c r="F42" s="84" t="inlineStr">
        <is>
          <t>100% de los talleres y laboratorios actualizados de acuerdo con el plan maestro, modernizados y viabilizados con buenas prácticas ambientales.</t>
        </is>
      </c>
      <c r="G42" s="84" t="inlineStr">
        <is>
          <t>% de talleres y laboratorios modernizados</t>
        </is>
      </c>
      <c r="H42" s="84" t="inlineStr">
        <is>
          <t>100%</t>
        </is>
      </c>
      <c r="I42" s="84" t="inlineStr">
        <is>
          <t>Plan Maestro Institucional (PMI) formulado y en marcha</t>
        </is>
      </c>
      <c r="J42" s="84" t="inlineStr">
        <is>
          <t>MPI</t>
        </is>
      </c>
      <c r="K42" s="84" t="inlineStr">
        <is>
          <t>IMP-07; IMP-01</t>
        </is>
      </c>
      <c r="L42" s="84" t="inlineStr">
        <is>
          <t>5.2.1.2 · 100% de los talleres y laboratorios actualizados de acuerdo con el plan maestro, modernizados y viabilizados con buenas prácticas ambientales.</t>
        </is>
      </c>
    </row>
    <row r="43" ht="15" customHeight="1" s="23">
      <c r="A43" s="84" t="inlineStr">
        <is>
          <t>5.2.1.3</t>
        </is>
      </c>
      <c r="B43" s="84" t="n">
        <v>5</v>
      </c>
      <c r="C43" s="84" t="inlineStr">
        <is>
          <t>Ampliación y modernización de la infraestructura</t>
        </is>
      </c>
      <c r="D43" s="84" t="inlineStr">
        <is>
          <t>5.2</t>
        </is>
      </c>
      <c r="E43" s="84" t="inlineStr">
        <is>
          <t>Modernización de la infraestructura</t>
        </is>
      </c>
      <c r="F43" s="84" t="inlineStr">
        <is>
          <t>Reposición del 100% de computadores de apoyo a la academia con antigüedad mayor a 3 años.</t>
        </is>
      </c>
      <c r="G43" s="84" t="inlineStr">
        <is>
          <t>% de computadores de apoyo académico con antigüedad ≤ 3 años</t>
        </is>
      </c>
      <c r="H43" s="84" t="inlineStr">
        <is>
          <t>100%</t>
        </is>
      </c>
      <c r="I43" s="84" t="inlineStr">
        <is>
          <t>Sugerida por la OAP: 240 computadores de salas de sistemas repuestos, 100% de las salas priorizadas, e inventario de antigüedad del parque tecnológico</t>
        </is>
      </c>
      <c r="J43" s="84" t="inlineStr">
        <is>
          <t>Sugerida por la OAP con base en la MPI.</t>
        </is>
      </c>
      <c r="K43" s="84" t="inlineStr">
        <is>
          <t>IMP-07</t>
        </is>
      </c>
      <c r="L43" s="84" t="inlineStr">
        <is>
          <t>5.2.1.3 · Reposición del 100% de computadores de apoyo a la academia con antigüedad mayor a 3 años.</t>
        </is>
      </c>
    </row>
    <row r="44" ht="15" customHeight="1" s="23">
      <c r="A44" s="84" t="inlineStr">
        <is>
          <t>5.3.1.1</t>
        </is>
      </c>
      <c r="B44" s="84" t="n">
        <v>5</v>
      </c>
      <c r="C44" s="84" t="inlineStr">
        <is>
          <t>Ampliación y modernización de la infraestructura</t>
        </is>
      </c>
      <c r="D44" s="84" t="inlineStr">
        <is>
          <t>5.3</t>
        </is>
      </c>
      <c r="E44" s="84" t="inlineStr">
        <is>
          <t>Infraestructura de terceros</t>
        </is>
      </c>
      <c r="F44" s="84" t="inlineStr">
        <is>
          <t>Hacer presencia con oferta académica en 4 sedes de terceros y multicampus: 1. Zipaquirá, 2. Multicampus de Suba, 3. Soacha, 4. Multicampus Tintal.</t>
        </is>
      </c>
      <c r="G44" s="84" t="inlineStr">
        <is>
          <t>N.° de sedes de terceros con oferta activa</t>
        </is>
      </c>
      <c r="H44" s="84" t="inlineStr">
        <is>
          <t>4 sedes de terceros</t>
        </is>
      </c>
      <c r="I44" s="84" t="inlineStr">
        <is>
          <t>Convenio ETITC-MinTIC suscrito; oferta en Zipaquirá; oferta primer semestre de 2027 en La Primavera, Villeta y 3 municipios de Casanare</t>
        </is>
      </c>
      <c r="J44" s="84" t="inlineStr">
        <is>
          <t>MPI; insumo Zipazgo.</t>
        </is>
      </c>
      <c r="K44" s="84" t="inlineStr">
        <is>
          <t>IMP-12; IMP-13</t>
        </is>
      </c>
      <c r="L44" s="84" t="inlineStr">
        <is>
          <t>5.3.1.1 · Hacer presencia con oferta académica en 4 sedes de terceros y multicampus: 1. Zipaquirá, 2. Multicampus de Suba, 3. Soacha, 4. Multicampus Tintal.</t>
        </is>
      </c>
    </row>
    <row r="45" ht="15" customHeight="1" s="23">
      <c r="A45" s="84" t="inlineStr">
        <is>
          <t>5.4.1.1</t>
        </is>
      </c>
      <c r="B45" s="84" t="n">
        <v>5</v>
      </c>
      <c r="C45" s="84" t="inlineStr">
        <is>
          <t>Ampliación y modernización de la infraestructura</t>
        </is>
      </c>
      <c r="D45" s="84" t="inlineStr">
        <is>
          <t>5.4</t>
        </is>
      </c>
      <c r="E45" s="84" t="inlineStr">
        <is>
          <t>Infraestructura para programas presenciales y semipresenciales</t>
        </is>
      </c>
      <c r="F45" s="84" t="inlineStr">
        <is>
          <t>Contar con el 100% de la infraestructura de talleres y laboratorios a través de convenios con instituciones y sector productivo (programas no presenciales).</t>
        </is>
      </c>
      <c r="G45" s="84" t="inlineStr">
        <is>
          <t>% de la infraestructura requerida cubierta por convenios</t>
        </is>
      </c>
      <c r="H45" s="84" t="inlineStr">
        <is>
          <t>100%</t>
        </is>
      </c>
      <c r="I45" s="84" t="inlineStr">
        <is>
          <t>Sugerida por la OAP: 100% de los programas a distancia o híbridos ofertados en 2027 con convenio de uso de talleres y laboratorios, mínimo 3 convenios,</t>
        </is>
      </c>
      <c r="J45" s="84" t="inlineStr">
        <is>
          <t>Sugerida por la OAP.</t>
        </is>
      </c>
      <c r="K45" s="84" t="inlineStr">
        <is>
          <t>IMP-13; IMP-07</t>
        </is>
      </c>
      <c r="L45" s="84" t="inlineStr">
        <is>
          <t>5.4.1.1 · Contar con el 100% de la infraestructura de talleres y laboratorios a través de convenios con instituciones y sector productivo (programas no presenciales).</t>
        </is>
      </c>
    </row>
    <row r="46" ht="15" customHeight="1" s="23">
      <c r="A46" s="84" t="inlineStr">
        <is>
          <t>6.1.1.1</t>
        </is>
      </c>
      <c r="B46" s="84" t="n">
        <v>6</v>
      </c>
      <c r="C46" s="84" t="inlineStr">
        <is>
          <t>Cuidado por el bienestar y la vida</t>
        </is>
      </c>
      <c r="D46" s="84" t="inlineStr">
        <is>
          <t>6.1</t>
        </is>
      </c>
      <c r="E46" s="84" t="inlineStr">
        <is>
          <t>Condiciones para el Bienestar</t>
        </is>
      </c>
      <c r="F46" s="84" t="inlineStr">
        <is>
          <t>El 100% de las áreas de la Institución comprometidas con el Bienestar Universitario integral.</t>
        </is>
      </c>
      <c r="G46" s="84" t="inlineStr">
        <is>
          <t>% de áreas con condiciones de bienestar consolidadas · % de áreas con enlace ambiental y campaña de uso racional de energía y agua aplicada</t>
        </is>
      </c>
      <c r="H46" s="84" t="inlineStr">
        <is>
          <t>100%</t>
        </is>
      </c>
      <c r="I46" s="84" t="inlineStr">
        <is>
          <t>Sugerida por la OAP: 85% de las áreas con condiciones de bienestar consolidadas y 100% de las áreas con enlace ambiental designado y campaña de uso racional de energía y agua aplicada</t>
        </is>
      </c>
      <c r="J46" s="84" t="inlineStr">
        <is>
          <t>Sugerida por la OAP; componente ambiental: Acta CIGD 6-2026.</t>
        </is>
      </c>
      <c r="K46" s="84" t="inlineStr">
        <is>
          <t>IMP-16; IMP-15; IMP-01</t>
        </is>
      </c>
      <c r="L46" s="84" t="inlineStr">
        <is>
          <t>6.1.1.1 · El 100% de las áreas de la Institución comprometidas con el Bienestar Universitario integral.</t>
        </is>
      </c>
    </row>
    <row r="47" ht="15" customHeight="1" s="23">
      <c r="A47" s="84" t="inlineStr">
        <is>
          <t>6.1.1.2</t>
        </is>
      </c>
      <c r="B47" s="84" t="n">
        <v>6</v>
      </c>
      <c r="C47" s="84" t="inlineStr">
        <is>
          <t>Cuidado por el bienestar y la vida</t>
        </is>
      </c>
      <c r="D47" s="84" t="inlineStr">
        <is>
          <t>6.1</t>
        </is>
      </c>
      <c r="E47" s="84" t="inlineStr">
        <is>
          <t>Condiciones para el Bienestar</t>
        </is>
      </c>
      <c r="F47" s="84" t="inlineStr">
        <is>
          <t>Consolidar las condiciones en infraestructura, dotación, recurso humano y estrategias para el bienestar integral de toda la comunidad en la Institución.</t>
        </is>
      </c>
      <c r="G47" s="84" t="inlineStr">
        <is>
          <t>N.° de condiciones de infraestructura, dotación y talento humano para bienestar consolidadas · Hitos de la ruta de gestión energética cumplidos (de 5) · Ahorro verificado de energía (kWh)</t>
        </is>
      </c>
      <c r="H47" s="84" t="inlineStr">
        <is>
          <t>Sugerida por la OAP: 100% de las sedes con espacios y equipo de bienestar; 15% de ahorro de energía frente a la línea base, exigido por el plan nacional de uso eficiente de la energía</t>
        </is>
      </c>
      <c r="I47" s="84" t="inlineStr">
        <is>
          <t>Sugerida por la OAP: 4 proyectos PFB ejecutados al 100% y sede de Bienestar en Guaymaral operando),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t>
        </is>
      </c>
      <c r="J47" s="84" t="inlineStr">
        <is>
          <t>Sugerida por la OAP; componente energético: Acta CIGD 6-2026 y marco normativo citado en ella.</t>
        </is>
      </c>
      <c r="K47" s="84" t="inlineStr">
        <is>
          <t>IMP-05; IMP-16; IMP-01</t>
        </is>
      </c>
      <c r="L47" s="84" t="inlineStr">
        <is>
          <t>6.1.1.2 · Consolidar las condiciones en infraestructura, dotación, recurso humano y estrategias para el bienestar integral de toda la comunidad en la Institución.</t>
        </is>
      </c>
    </row>
    <row r="48" ht="15" customHeight="1" s="23">
      <c r="A48" s="84" t="inlineStr">
        <is>
          <t>6.2.1.1</t>
        </is>
      </c>
      <c r="B48" s="84" t="n">
        <v>6</v>
      </c>
      <c r="C48" s="84" t="inlineStr">
        <is>
          <t>Cuidado por el bienestar y la vida</t>
        </is>
      </c>
      <c r="D48" s="84" t="inlineStr">
        <is>
          <t>6.2</t>
        </is>
      </c>
      <c r="E48" s="84" t="inlineStr">
        <is>
          <t>Modelo de aseguramiento del Bienestar</t>
        </is>
      </c>
      <c r="F48" s="84" t="inlineStr">
        <is>
          <t>Lograr el cumplimiento del 100% del Plan Institucional de Bienestar Integral 2026-2032.</t>
        </is>
      </c>
      <c r="G48" s="84" t="inlineStr">
        <is>
          <t>% de cumplimiento del Plan Institucional de Bienestar Integral</t>
        </is>
      </c>
      <c r="H48" s="84" t="inlineStr">
        <is>
          <t>100%</t>
        </is>
      </c>
      <c r="I48" s="84" t="inlineStr">
        <is>
          <t>Sugerida por la OAP: 80% de cumplimiento del modelo de aseguramiento y cancelaciones por debajo de 2,5% del pregrado</t>
        </is>
      </c>
      <c r="J48" s="84" t="inlineStr">
        <is>
          <t>Sugerida por la OAP.</t>
        </is>
      </c>
      <c r="K48" s="84" t="inlineStr">
        <is>
          <t>IMP-06; IMP-05</t>
        </is>
      </c>
      <c r="L48" s="84" t="inlineStr">
        <is>
          <t>6.2.1.1 · Lograr el cumplimiento del 100% del Plan Institucional de Bienestar Integral 2026-2032.</t>
        </is>
      </c>
    </row>
    <row r="49" ht="15" customHeight="1" s="23">
      <c r="A49" s="84" t="inlineStr">
        <is>
          <t>6.3.1.1</t>
        </is>
      </c>
      <c r="B49" s="84" t="n">
        <v>6</v>
      </c>
      <c r="C49" s="84" t="inlineStr">
        <is>
          <t>Cuidado por el bienestar y la vida</t>
        </is>
      </c>
      <c r="D49" s="84" t="inlineStr">
        <is>
          <t>6.3</t>
        </is>
      </c>
      <c r="E49" s="84" t="inlineStr">
        <is>
          <t>Consolidación de la cultura de Bienestar</t>
        </is>
      </c>
      <c r="F49" s="84" t="inlineStr">
        <is>
          <t>Estar en el ranking de las cinco universidades colombianas reconocidas por Times Higher Education y QS World University.</t>
        </is>
      </c>
      <c r="G49" s="84" t="inlineStr">
        <is>
          <t>Posición en rankings THE y QS</t>
        </is>
      </c>
      <c r="H49" s="84" t="inlineStr">
        <is>
          <t>Top 5 nacional</t>
        </is>
      </c>
      <c r="I49" s="84" t="inlineStr">
        <is>
          <t>Sugerida por la OAP: ETITC registrada en los sistemas de datos de THE y QS con el primer reporte institucional enviado</t>
        </is>
      </c>
      <c r="J49" s="84" t="inlineStr">
        <is>
          <t>Sugerida por la OAP.</t>
        </is>
      </c>
      <c r="K49" s="84" t="inlineStr">
        <is>
          <t>IMP-16; IMP-07</t>
        </is>
      </c>
      <c r="L49" s="84" t="inlineStr">
        <is>
          <t>6.3.1.1 · Estar en el ranking de las cinco universidades colombianas reconocidas por Times Higher Education y QS World University.</t>
        </is>
      </c>
    </row>
  </sheetData>
  <sheetProtection selectLockedCells="0" selectUnlockedCells="0" sheet="1" objects="0" insertRows="1" insertHyperlinks="1" autoFilter="0" scenarios="0" formatColumns="0" deleteColumns="1" insertColumns="1" pivotTables="1" deleteRows="1" formatCells="1" formatRows="0" sort="1" password="cc6d"/>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P5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23">
      <c r="A1" s="84" t="inlineStr">
        <is>
          <t>Dependencias (Decreto 902 de 2013 y Resolución 215 de 2022), áreas funcionales y procesos (GDC-DI-01 V9)</t>
        </is>
      </c>
    </row>
    <row r="2" ht="15" customHeight="1" s="23">
      <c r="A2" s="84" t="inlineStr">
        <is>
          <t>Las áreas marcadas 'Inferida — validar' no aparecen en la estructura oficial: su ubicación se tomó del PAA 2025 o del correo institucional y debe confirmarla la OAPDI.</t>
        </is>
      </c>
    </row>
    <row r="3"/>
    <row r="4" ht="15" customHeight="1" s="23">
      <c r="A4" s="84" t="inlineStr">
        <is>
          <t>Código</t>
        </is>
      </c>
      <c r="B4" s="84" t="inlineStr">
        <is>
          <t>Dependencia</t>
        </is>
      </c>
      <c r="C4" s="84" t="inlineStr">
        <is>
          <t>Norma</t>
        </is>
      </c>
      <c r="E4" s="84" t="inlineStr">
        <is>
          <t>Id área</t>
        </is>
      </c>
      <c r="F4" s="84" t="inlineStr">
        <is>
          <t>Código dependencia</t>
        </is>
      </c>
      <c r="G4" s="84" t="inlineStr">
        <is>
          <t>Dependencia</t>
        </is>
      </c>
      <c r="H4" s="84" t="inlineStr">
        <is>
          <t>Área funcional</t>
        </is>
      </c>
      <c r="I4" s="84" t="inlineStr">
        <is>
          <t>Proceso (mapa GDC-DI-01 V9)</t>
        </is>
      </c>
      <c r="J4" s="84" t="inlineStr">
        <is>
          <t>Tipo de proceso</t>
        </is>
      </c>
      <c r="K4" s="84" t="inlineStr">
        <is>
          <t>Ubicación de la área</t>
        </is>
      </c>
      <c r="L4" s="84" t="inlineStr">
        <is>
          <t>Etiqueta para listas</t>
        </is>
      </c>
      <c r="N4" s="84" t="inlineStr">
        <is>
          <t>Ref.</t>
        </is>
      </c>
      <c r="O4" s="84" t="inlineStr">
        <is>
          <t>Tipo</t>
        </is>
      </c>
      <c r="P4" s="84" t="inlineStr">
        <is>
          <t>Proceso</t>
        </is>
      </c>
    </row>
    <row r="5" ht="15" customHeight="1" s="23">
      <c r="A5" s="84" t="inlineStr">
        <is>
          <t>100</t>
        </is>
      </c>
      <c r="B5" s="84" t="inlineStr">
        <is>
          <t>Rectoría</t>
        </is>
      </c>
      <c r="C5" s="84" t="inlineStr">
        <is>
          <t>Decreto 902 de 2013</t>
        </is>
      </c>
      <c r="E5" s="84" t="inlineStr">
        <is>
          <t>A01</t>
        </is>
      </c>
      <c r="F5" s="84" t="inlineStr">
        <is>
          <t>100</t>
        </is>
      </c>
      <c r="G5" s="84" t="inlineStr">
        <is>
          <t>Rectoría</t>
        </is>
      </c>
      <c r="H5" s="84" t="inlineStr">
        <is>
          <t>Despacho de Rectoría</t>
        </is>
      </c>
      <c r="I5" s="84" t="inlineStr">
        <is>
          <t>Direccionamiento Institucional</t>
        </is>
      </c>
      <c r="J5" s="84" t="inlineStr">
        <is>
          <t>Estratégico</t>
        </is>
      </c>
      <c r="K5" s="84" t="inlineStr">
        <is>
          <t>Directorio 2026 (OAPDI)</t>
        </is>
      </c>
      <c r="L5" s="84" t="inlineStr">
        <is>
          <t>A01 · Despacho de Rectoría (100)</t>
        </is>
      </c>
      <c r="N5" s="84" t="inlineStr">
        <is>
          <t>PE-01</t>
        </is>
      </c>
      <c r="O5" s="84" t="inlineStr">
        <is>
          <t>Estratégico</t>
        </is>
      </c>
      <c r="P5" s="84" t="inlineStr">
        <is>
          <t>Direccionamiento Institucional</t>
        </is>
      </c>
    </row>
    <row r="6" ht="15" customHeight="1" s="23">
      <c r="A6" s="84" t="inlineStr">
        <is>
          <t>101</t>
        </is>
      </c>
      <c r="B6" s="84" t="inlineStr">
        <is>
          <t>Oficina Asesora de Planeación y Desarrollo Institucional</t>
        </is>
      </c>
      <c r="C6" s="84" t="inlineStr">
        <is>
          <t>Decreto 902 de 2013</t>
        </is>
      </c>
      <c r="E6" s="84" t="inlineStr">
        <is>
          <t>A02</t>
        </is>
      </c>
      <c r="F6" s="84" t="inlineStr">
        <is>
          <t>100</t>
        </is>
      </c>
      <c r="G6" s="84" t="inlineStr">
        <is>
          <t>Rectoría</t>
        </is>
      </c>
      <c r="H6" s="84" t="inlineStr">
        <is>
          <t>Comunicaciones y Mercadeo</t>
        </is>
      </c>
      <c r="I6" s="84" t="inlineStr">
        <is>
          <t>Gestión de Comunicaciones</t>
        </is>
      </c>
      <c r="J6" s="84" t="inlineStr">
        <is>
          <t>Estratégico</t>
        </is>
      </c>
      <c r="K6" s="84" t="inlineStr">
        <is>
          <t>Directorio 2026 — revisar dependencia</t>
        </is>
      </c>
      <c r="L6" s="84" t="inlineStr">
        <is>
          <t>A02 · Comunicaciones y Mercadeo (100)</t>
        </is>
      </c>
      <c r="N6" s="84" t="inlineStr">
        <is>
          <t>PE-02</t>
        </is>
      </c>
      <c r="O6" s="84" t="inlineStr">
        <is>
          <t>Estratégico</t>
        </is>
      </c>
      <c r="P6" s="84" t="inlineStr">
        <is>
          <t>Gestión de Internacionalización</t>
        </is>
      </c>
    </row>
    <row r="7" ht="15" customHeight="1" s="23">
      <c r="A7" s="84" t="inlineStr">
        <is>
          <t>102</t>
        </is>
      </c>
      <c r="B7" s="84" t="inlineStr">
        <is>
          <t>Control Interno</t>
        </is>
      </c>
      <c r="C7" s="84" t="inlineStr">
        <is>
          <t>dependencias.json OAPDI (código 102, adscrita a Rectoría) — no figura en el gráfico del Decreto 902</t>
        </is>
      </c>
      <c r="E7" s="84" t="inlineStr">
        <is>
          <t>A03</t>
        </is>
      </c>
      <c r="F7" s="84" t="inlineStr">
        <is>
          <t>100</t>
        </is>
      </c>
      <c r="G7" s="84" t="inlineStr">
        <is>
          <t>Rectoría</t>
        </is>
      </c>
      <c r="H7" s="84" t="inlineStr">
        <is>
          <t>Internacionalización (ORII)</t>
        </is>
      </c>
      <c r="I7" s="84" t="inlineStr">
        <is>
          <t>Gestión de Internacionalización</t>
        </is>
      </c>
      <c r="J7" s="84" t="inlineStr">
        <is>
          <t>Estratégico</t>
        </is>
      </c>
      <c r="K7" s="84" t="inlineStr">
        <is>
          <t>Directorio 2026 — revisar dependencia</t>
        </is>
      </c>
      <c r="L7" s="84" t="inlineStr">
        <is>
          <t>A03 · Internacionalización (ORII) (100)</t>
        </is>
      </c>
      <c r="N7" s="84" t="inlineStr">
        <is>
          <t>PE-03</t>
        </is>
      </c>
      <c r="O7" s="84" t="inlineStr">
        <is>
          <t>Estratégico</t>
        </is>
      </c>
      <c r="P7" s="84" t="inlineStr">
        <is>
          <t>Gestión del Sistema Integrado de Aseguramiento</t>
        </is>
      </c>
    </row>
    <row r="8" ht="15" customHeight="1" s="23">
      <c r="A8" s="84" t="inlineStr">
        <is>
          <t>110</t>
        </is>
      </c>
      <c r="B8" s="84" t="inlineStr">
        <is>
          <t>Secretaría General</t>
        </is>
      </c>
      <c r="C8" s="84" t="inlineStr">
        <is>
          <t>Decreto 902 de 2013</t>
        </is>
      </c>
      <c r="E8" s="84" t="inlineStr">
        <is>
          <t>A04</t>
        </is>
      </c>
      <c r="F8" s="84" t="inlineStr">
        <is>
          <t>102</t>
        </is>
      </c>
      <c r="G8" s="84" t="inlineStr">
        <is>
          <t>Control Interno</t>
        </is>
      </c>
      <c r="H8" s="84" t="inlineStr">
        <is>
          <t>Control Interno</t>
        </is>
      </c>
      <c r="I8" s="84" t="inlineStr">
        <is>
          <t>Gestión de Control Interno</t>
        </is>
      </c>
      <c r="J8" s="84" t="inlineStr">
        <is>
          <t>Evaluación</t>
        </is>
      </c>
      <c r="K8" s="84" t="inlineStr">
        <is>
          <t>Directorio 2026 — revisar dependencia</t>
        </is>
      </c>
      <c r="L8" s="84" t="inlineStr">
        <is>
          <t>A04 · Control Interno (102)</t>
        </is>
      </c>
      <c r="N8" s="84" t="inlineStr">
        <is>
          <t>PE-04</t>
        </is>
      </c>
      <c r="O8" s="84" t="inlineStr">
        <is>
          <t>Estratégico</t>
        </is>
      </c>
      <c r="P8" s="84" t="inlineStr">
        <is>
          <t>Gestión de Informática y Telecomunicaciones</t>
        </is>
      </c>
    </row>
    <row r="9" ht="15" customHeight="1" s="23">
      <c r="A9" s="84" t="inlineStr">
        <is>
          <t>120</t>
        </is>
      </c>
      <c r="B9" s="84" t="inlineStr">
        <is>
          <t>Vicerrectoría Académica</t>
        </is>
      </c>
      <c r="C9" s="84" t="inlineStr">
        <is>
          <t>Decreto 902 de 2013</t>
        </is>
      </c>
      <c r="E9" s="84" t="inlineStr">
        <is>
          <t>A05</t>
        </is>
      </c>
      <c r="F9" s="84" t="inlineStr">
        <is>
          <t>101</t>
        </is>
      </c>
      <c r="G9" s="84" t="inlineStr">
        <is>
          <t>Oficina Asesora de Planeación y Desarrollo Institucional</t>
        </is>
      </c>
      <c r="H9" s="84" t="inlineStr">
        <is>
          <t>Planeación y Plan de Acción</t>
        </is>
      </c>
      <c r="I9" s="84" t="inlineStr">
        <is>
          <t>Direccionamiento Institucional</t>
        </is>
      </c>
      <c r="J9" s="84" t="inlineStr">
        <is>
          <t>Estratégico</t>
        </is>
      </c>
      <c r="K9" s="84" t="inlineStr">
        <is>
          <t>Directorio 2026 (OAPDI)</t>
        </is>
      </c>
      <c r="L9" s="84" t="inlineStr">
        <is>
          <t>A05 · Planeación y Plan de Acción (101)</t>
        </is>
      </c>
      <c r="N9" s="84" t="inlineStr">
        <is>
          <t>PE-05</t>
        </is>
      </c>
      <c r="O9" s="84" t="inlineStr">
        <is>
          <t>Estratégico</t>
        </is>
      </c>
      <c r="P9" s="84" t="inlineStr">
        <is>
          <t>Gestión de Comunicaciones</t>
        </is>
      </c>
    </row>
    <row r="10" ht="15" customHeight="1" s="23">
      <c r="A10" s="84" t="inlineStr">
        <is>
          <t>121</t>
        </is>
      </c>
      <c r="B10" s="84" t="inlineStr">
        <is>
          <t>GIT Biblioteca y Recursos Educativos</t>
        </is>
      </c>
      <c r="C10" s="84" t="inlineStr">
        <is>
          <t>Resolución 215 de 2022</t>
        </is>
      </c>
      <c r="E10" s="84" t="inlineStr">
        <is>
          <t>A06</t>
        </is>
      </c>
      <c r="F10" s="84" t="inlineStr">
        <is>
          <t>101</t>
        </is>
      </c>
      <c r="G10" s="84" t="inlineStr">
        <is>
          <t>Oficina Asesora de Planeación y Desarrollo Institucional</t>
        </is>
      </c>
      <c r="H10" s="84" t="inlineStr">
        <is>
          <t>Gestión de Proyectos</t>
        </is>
      </c>
      <c r="I10" s="84" t="inlineStr">
        <is>
          <t>Direccionamiento Institucional</t>
        </is>
      </c>
      <c r="J10" s="84" t="inlineStr">
        <is>
          <t>Estratégico</t>
        </is>
      </c>
      <c r="K10" s="84" t="inlineStr">
        <is>
          <t>Directorio 2026 (OAPDI)</t>
        </is>
      </c>
      <c r="L10" s="84" t="inlineStr">
        <is>
          <t>A06 · Gestión de Proyectos (101)</t>
        </is>
      </c>
      <c r="N10" s="84" t="inlineStr">
        <is>
          <t>PE-06</t>
        </is>
      </c>
      <c r="O10" s="84" t="inlineStr">
        <is>
          <t>Estratégico</t>
        </is>
      </c>
      <c r="P10" s="84" t="inlineStr">
        <is>
          <t>Gestión de Talento Humano</t>
        </is>
      </c>
    </row>
    <row r="11" ht="15" customHeight="1" s="23">
      <c r="A11" s="84" t="inlineStr">
        <is>
          <t>122</t>
        </is>
      </c>
      <c r="B11" s="84" t="inlineStr">
        <is>
          <t>GIT Bienestar Universitario</t>
        </is>
      </c>
      <c r="C11" s="84" t="inlineStr">
        <is>
          <t>Resolución 215 de 2022</t>
        </is>
      </c>
      <c r="E11" s="84" t="inlineStr">
        <is>
          <t>A07</t>
        </is>
      </c>
      <c r="F11" s="84" t="inlineStr">
        <is>
          <t>101</t>
        </is>
      </c>
      <c r="G11" s="84" t="inlineStr">
        <is>
          <t>Oficina Asesora de Planeación y Desarrollo Institucional</t>
        </is>
      </c>
      <c r="H11" s="84" t="inlineStr">
        <is>
          <t>Autoevaluación y Acreditación</t>
        </is>
      </c>
      <c r="I11" s="84" t="inlineStr">
        <is>
          <t>Gestión del Sistema Integrado de Aseguramiento</t>
        </is>
      </c>
      <c r="J11" s="84" t="inlineStr">
        <is>
          <t>Estratégico</t>
        </is>
      </c>
      <c r="K11" s="84" t="inlineStr">
        <is>
          <t>Directorio 2026 (OAPDI)</t>
        </is>
      </c>
      <c r="L11" s="84" t="inlineStr">
        <is>
          <t>A07 · Autoevaluación y Acreditación (101)</t>
        </is>
      </c>
      <c r="N11" s="84" t="inlineStr">
        <is>
          <t>PM-01</t>
        </is>
      </c>
      <c r="O11" s="84" t="inlineStr">
        <is>
          <t>Misional</t>
        </is>
      </c>
      <c r="P11" s="84" t="inlineStr">
        <is>
          <t>Docencia PES</t>
        </is>
      </c>
    </row>
    <row r="12" ht="15" customHeight="1" s="23">
      <c r="A12" s="84" t="inlineStr">
        <is>
          <t>123</t>
        </is>
      </c>
      <c r="B12" s="84" t="inlineStr">
        <is>
          <t>Facultades</t>
        </is>
      </c>
      <c r="C12" s="84" t="inlineStr">
        <is>
          <t>Decreto 902 de 2013</t>
        </is>
      </c>
      <c r="E12" s="84" t="inlineStr">
        <is>
          <t>A08</t>
        </is>
      </c>
      <c r="F12" s="84" t="inlineStr">
        <is>
          <t>101</t>
        </is>
      </c>
      <c r="G12" s="84" t="inlineStr">
        <is>
          <t>Oficina Asesora de Planeación y Desarrollo Institucional</t>
        </is>
      </c>
      <c r="H12" s="84" t="inlineStr">
        <is>
          <t>Aseguramiento de la Calidad, MIPG y Registros Calificados</t>
        </is>
      </c>
      <c r="I12" s="84" t="inlineStr">
        <is>
          <t>Gestión del Sistema Integrado de Aseguramiento</t>
        </is>
      </c>
      <c r="J12" s="84" t="inlineStr">
        <is>
          <t>Estratégico</t>
        </is>
      </c>
      <c r="K12" s="84" t="inlineStr">
        <is>
          <t>Directorio 2026 (OAPDI)</t>
        </is>
      </c>
      <c r="L12" s="84" t="inlineStr">
        <is>
          <t>A08 · Aseguramiento de la Calidad, MIPG y Registros Calificados (101)</t>
        </is>
      </c>
      <c r="N12" s="84" t="inlineStr">
        <is>
          <t>PM-02</t>
        </is>
      </c>
      <c r="O12" s="84" t="inlineStr">
        <is>
          <t>Misional</t>
        </is>
      </c>
      <c r="P12" s="84" t="inlineStr">
        <is>
          <t>Docencia IBTI</t>
        </is>
      </c>
    </row>
    <row r="13" ht="15" customHeight="1" s="23">
      <c r="A13" s="84" t="inlineStr">
        <is>
          <t>124</t>
        </is>
      </c>
      <c r="B13" s="84" t="inlineStr">
        <is>
          <t>Instituto de Bachillerato Técnico Industrial (IBTI)</t>
        </is>
      </c>
      <c r="C13" s="84" t="inlineStr">
        <is>
          <t>Decreto 902 de 2013</t>
        </is>
      </c>
      <c r="E13" s="84" t="inlineStr">
        <is>
          <t>A09</t>
        </is>
      </c>
      <c r="F13" s="84" t="inlineStr">
        <is>
          <t>132</t>
        </is>
      </c>
      <c r="G13" s="84" t="inlineStr">
        <is>
          <t>GIT Gestión de Informática y Telecomunicaciones</t>
        </is>
      </c>
      <c r="H13" s="84" t="inlineStr">
        <is>
          <t>Seguridad Digital y Continuidad</t>
        </is>
      </c>
      <c r="I13" s="84" t="inlineStr">
        <is>
          <t>Gestión de Informática y Telecomunicaciones</t>
        </is>
      </c>
      <c r="J13" s="84" t="inlineStr">
        <is>
          <t>Estratégico</t>
        </is>
      </c>
      <c r="K13" s="84" t="inlineStr">
        <is>
          <t>Directorio 2026 — revisar dependencia</t>
        </is>
      </c>
      <c r="L13" s="84" t="inlineStr">
        <is>
          <t>A09 · Seguridad Digital y Continuidad (132)</t>
        </is>
      </c>
      <c r="N13" s="84" t="inlineStr">
        <is>
          <t>PM-03</t>
        </is>
      </c>
      <c r="O13" s="84" t="inlineStr">
        <is>
          <t>Misional</t>
        </is>
      </c>
      <c r="P13" s="84" t="inlineStr">
        <is>
          <t>Investigación</t>
        </is>
      </c>
    </row>
    <row r="14" ht="15" customHeight="1" s="23">
      <c r="A14" s="84" t="inlineStr">
        <is>
          <t>125</t>
        </is>
      </c>
      <c r="B14" s="84" t="inlineStr">
        <is>
          <t>GIT Talleres y Laboratorios</t>
        </is>
      </c>
      <c r="C14" s="84" t="inlineStr">
        <is>
          <t>Resolución 215 de 2022</t>
        </is>
      </c>
      <c r="E14" s="84" t="inlineStr">
        <is>
          <t>A10</t>
        </is>
      </c>
      <c r="F14" s="84" t="inlineStr">
        <is>
          <t>101</t>
        </is>
      </c>
      <c r="G14" s="84" t="inlineStr">
        <is>
          <t>Oficina Asesora de Planeación y Desarrollo Institucional</t>
        </is>
      </c>
      <c r="H14" s="84" t="inlineStr">
        <is>
          <t>Gestión Ambiental</t>
        </is>
      </c>
      <c r="I14" s="84" t="inlineStr">
        <is>
          <t>Gestión del Sistema Integrado de Aseguramiento</t>
        </is>
      </c>
      <c r="J14" s="84" t="inlineStr">
        <is>
          <t>Estratégico</t>
        </is>
      </c>
      <c r="K14" s="84" t="inlineStr">
        <is>
          <t>Directorio 2026 (OAPDI)</t>
        </is>
      </c>
      <c r="L14" s="84" t="inlineStr">
        <is>
          <t>A10 · Gestión Ambiental (101)</t>
        </is>
      </c>
      <c r="N14" s="84" t="inlineStr">
        <is>
          <t>PM-04</t>
        </is>
      </c>
      <c r="O14" s="84" t="inlineStr">
        <is>
          <t>Misional</t>
        </is>
      </c>
      <c r="P14" s="84" t="inlineStr">
        <is>
          <t>Extensión y Proyección Social</t>
        </is>
      </c>
    </row>
    <row r="15" ht="15" customHeight="1" s="23">
      <c r="A15" s="84" t="inlineStr">
        <is>
          <t>126</t>
        </is>
      </c>
      <c r="B15" s="84" t="inlineStr">
        <is>
          <t>GIT Registro y Control</t>
        </is>
      </c>
      <c r="C15" s="84" t="inlineStr">
        <is>
          <t>Resolución 215 de 2022</t>
        </is>
      </c>
      <c r="E15" s="84" t="inlineStr">
        <is>
          <t>A11</t>
        </is>
      </c>
      <c r="F15" s="84" t="inlineStr">
        <is>
          <t>110</t>
        </is>
      </c>
      <c r="G15" s="84" t="inlineStr">
        <is>
          <t>Secretaría General</t>
        </is>
      </c>
      <c r="H15" s="84" t="inlineStr">
        <is>
          <t>Despacho de Secretaría General</t>
        </is>
      </c>
      <c r="I15" s="84" t="inlineStr">
        <is>
          <t>Direccionamiento Institucional</t>
        </is>
      </c>
      <c r="J15" s="84" t="inlineStr">
        <is>
          <t>Estratégico</t>
        </is>
      </c>
      <c r="K15" s="84" t="inlineStr">
        <is>
          <t>Directorio 2026 (OAPDI)</t>
        </is>
      </c>
      <c r="L15" s="84" t="inlineStr">
        <is>
          <t>A11 · Despacho de Secretaría General (110)</t>
        </is>
      </c>
      <c r="N15" s="84" t="inlineStr">
        <is>
          <t>PM-05</t>
        </is>
      </c>
      <c r="O15" s="84" t="inlineStr">
        <is>
          <t>Misional</t>
        </is>
      </c>
      <c r="P15" s="84" t="inlineStr">
        <is>
          <t>Egresados</t>
        </is>
      </c>
    </row>
    <row r="16" ht="15" customHeight="1" s="23">
      <c r="A16" s="84" t="inlineStr">
        <is>
          <t>130</t>
        </is>
      </c>
      <c r="B16" s="84" t="inlineStr">
        <is>
          <t>Vicerrectoría Administrativa y Financiera</t>
        </is>
      </c>
      <c r="C16" s="84" t="inlineStr">
        <is>
          <t>Decreto 902 de 2013</t>
        </is>
      </c>
      <c r="E16" s="84" t="inlineStr">
        <is>
          <t>A12</t>
        </is>
      </c>
      <c r="F16" s="84" t="inlineStr">
        <is>
          <t>110</t>
        </is>
      </c>
      <c r="G16" s="84" t="inlineStr">
        <is>
          <t>Secretaría General</t>
        </is>
      </c>
      <c r="H16" s="84" t="inlineStr">
        <is>
          <t>Gestión Jurídica</t>
        </is>
      </c>
      <c r="I16" s="84" t="inlineStr">
        <is>
          <t>Gestión Jurídica</t>
        </is>
      </c>
      <c r="J16" s="84" t="inlineStr">
        <is>
          <t>Apoyo</t>
        </is>
      </c>
      <c r="K16" s="84" t="inlineStr">
        <is>
          <t>Directorio 2026 (OAPDI)</t>
        </is>
      </c>
      <c r="L16" s="84" t="inlineStr">
        <is>
          <t>A12 · Gestión Jurídica (110)</t>
        </is>
      </c>
      <c r="N16" s="84" t="inlineStr">
        <is>
          <t>PA-01</t>
        </is>
      </c>
      <c r="O16" s="84" t="inlineStr">
        <is>
          <t>Apoyo</t>
        </is>
      </c>
      <c r="P16" s="84" t="inlineStr">
        <is>
          <t>Gestión Jurídica</t>
        </is>
      </c>
    </row>
    <row r="17" ht="15" customHeight="1" s="23">
      <c r="A17" s="84" t="inlineStr">
        <is>
          <t>131</t>
        </is>
      </c>
      <c r="B17" s="84" t="inlineStr">
        <is>
          <t>GIT Gestión Documental y Atención al Ciudadano</t>
        </is>
      </c>
      <c r="C17" s="84" t="inlineStr">
        <is>
          <t>Resolución 215 de 2022</t>
        </is>
      </c>
      <c r="E17" s="84" t="inlineStr">
        <is>
          <t>A13</t>
        </is>
      </c>
      <c r="F17" s="84" t="inlineStr">
        <is>
          <t>110</t>
        </is>
      </c>
      <c r="G17" s="84" t="inlineStr">
        <is>
          <t>Secretaría General</t>
        </is>
      </c>
      <c r="H17" s="84" t="inlineStr">
        <is>
          <t>Control Disciplinario</t>
        </is>
      </c>
      <c r="I17" s="84" t="inlineStr">
        <is>
          <t>Gestión de Control Disciplinario</t>
        </is>
      </c>
      <c r="J17" s="84" t="inlineStr">
        <is>
          <t>Evaluación</t>
        </is>
      </c>
      <c r="K17" s="84" t="inlineStr">
        <is>
          <t>Directorio 2026 (OAPDI)</t>
        </is>
      </c>
      <c r="L17" s="84" t="inlineStr">
        <is>
          <t>A13 · Control Disciplinario (110)</t>
        </is>
      </c>
      <c r="N17" s="84" t="inlineStr">
        <is>
          <t>PA-02</t>
        </is>
      </c>
      <c r="O17" s="84" t="inlineStr">
        <is>
          <t>Apoyo</t>
        </is>
      </c>
      <c r="P17" s="84" t="inlineStr">
        <is>
          <t>Gestión de Adquisiciones</t>
        </is>
      </c>
    </row>
    <row r="18" ht="15" customHeight="1" s="23">
      <c r="A18" s="84" t="inlineStr">
        <is>
          <t>132</t>
        </is>
      </c>
      <c r="B18" s="84" t="inlineStr">
        <is>
          <t>GIT Gestión de Informática y Telecomunicaciones</t>
        </is>
      </c>
      <c r="C18" s="84" t="inlineStr">
        <is>
          <t>Resolución 215 de 2022</t>
        </is>
      </c>
      <c r="E18" s="84" t="inlineStr">
        <is>
          <t>A14</t>
        </is>
      </c>
      <c r="F18" s="84" t="inlineStr">
        <is>
          <t>130</t>
        </is>
      </c>
      <c r="G18" s="84" t="inlineStr">
        <is>
          <t>Vicerrectoría Administrativa y Financiera</t>
        </is>
      </c>
      <c r="H18" s="84" t="inlineStr">
        <is>
          <t>Contratación y Adquisiciones</t>
        </is>
      </c>
      <c r="I18" s="84" t="inlineStr">
        <is>
          <t>Gestión de Adquisiciones</t>
        </is>
      </c>
      <c r="J18" s="84" t="inlineStr">
        <is>
          <t>Apoyo</t>
        </is>
      </c>
      <c r="K18" s="84" t="inlineStr">
        <is>
          <t>Directorio 2026 (OAPDI)</t>
        </is>
      </c>
      <c r="L18" s="84" t="inlineStr">
        <is>
          <t>A14 · Contratación y Adquisiciones (130)</t>
        </is>
      </c>
      <c r="N18" s="84" t="inlineStr">
        <is>
          <t>PA-03</t>
        </is>
      </c>
      <c r="O18" s="84" t="inlineStr">
        <is>
          <t>Apoyo</t>
        </is>
      </c>
      <c r="P18" s="84" t="inlineStr">
        <is>
          <t>Gestión de Recursos Físicos</t>
        </is>
      </c>
    </row>
    <row r="19" ht="15" customHeight="1" s="23">
      <c r="A19" s="84" t="inlineStr">
        <is>
          <t>133</t>
        </is>
      </c>
      <c r="B19" s="84" t="inlineStr">
        <is>
          <t>GIT Gestión de Talento Humano</t>
        </is>
      </c>
      <c r="C19" s="84" t="inlineStr">
        <is>
          <t>Resolución 215 de 2022</t>
        </is>
      </c>
      <c r="E19" s="84" t="inlineStr">
        <is>
          <t>A15</t>
        </is>
      </c>
      <c r="F19" s="84" t="inlineStr">
        <is>
          <t>120</t>
        </is>
      </c>
      <c r="G19" s="84" t="inlineStr">
        <is>
          <t>Vicerrectoría Académica</t>
        </is>
      </c>
      <c r="H19" s="84" t="inlineStr">
        <is>
          <t>Despacho de la Vicerrectoría Académica</t>
        </is>
      </c>
      <c r="I19" s="84" t="inlineStr">
        <is>
          <t>Docencia PES</t>
        </is>
      </c>
      <c r="J19" s="84" t="inlineStr">
        <is>
          <t>Misional</t>
        </is>
      </c>
      <c r="K19" s="84" t="inlineStr">
        <is>
          <t>Directorio 2026 (OAPDI)</t>
        </is>
      </c>
      <c r="L19" s="84" t="inlineStr">
        <is>
          <t>A15 · Despacho de la Vicerrectoría Académica (120)</t>
        </is>
      </c>
      <c r="N19" s="84" t="inlineStr">
        <is>
          <t>PA-04</t>
        </is>
      </c>
      <c r="O19" s="84" t="inlineStr">
        <is>
          <t>Apoyo</t>
        </is>
      </c>
      <c r="P19" s="84" t="inlineStr">
        <is>
          <t>Gestión Documental</t>
        </is>
      </c>
    </row>
    <row r="20" ht="15" customHeight="1" s="23">
      <c r="A20" s="84" t="inlineStr">
        <is>
          <t>140</t>
        </is>
      </c>
      <c r="B20" s="84" t="inlineStr">
        <is>
          <t>Vicerrectoría de Investigación, Extensión y Transferencia</t>
        </is>
      </c>
      <c r="C20" s="84" t="inlineStr">
        <is>
          <t>Decreto 902 de 2013</t>
        </is>
      </c>
      <c r="E20" s="84" t="inlineStr">
        <is>
          <t>A16</t>
        </is>
      </c>
      <c r="F20" s="84" t="inlineStr">
        <is>
          <t>123</t>
        </is>
      </c>
      <c r="G20" s="84" t="inlineStr">
        <is>
          <t>Facultades</t>
        </is>
      </c>
      <c r="H20" s="84" t="inlineStr">
        <is>
          <t>Coordinación de Especializaciones</t>
        </is>
      </c>
      <c r="I20" s="84" t="inlineStr">
        <is>
          <t>Docencia PES</t>
        </is>
      </c>
      <c r="J20" s="84" t="inlineStr">
        <is>
          <t>Misional</t>
        </is>
      </c>
      <c r="K20" s="84" t="inlineStr">
        <is>
          <t>Directorio 2026 (OAPDI)</t>
        </is>
      </c>
      <c r="L20" s="84" t="inlineStr">
        <is>
          <t>A16 · Coordinación de Especializaciones (123)</t>
        </is>
      </c>
      <c r="N20" s="84" t="inlineStr">
        <is>
          <t>PA-05</t>
        </is>
      </c>
      <c r="O20" s="84" t="inlineStr">
        <is>
          <t>Apoyo</t>
        </is>
      </c>
      <c r="P20" s="84" t="inlineStr">
        <is>
          <t>Gestión de Bienestar Universitario</t>
        </is>
      </c>
    </row>
    <row r="21" ht="15" customHeight="1" s="23">
      <c r="A21" s="84" t="inlineStr">
        <is>
          <t>141</t>
        </is>
      </c>
      <c r="B21" s="84" t="inlineStr">
        <is>
          <t>GIT Extensión y Proyección Social</t>
        </is>
      </c>
      <c r="C21" s="84" t="inlineStr">
        <is>
          <t>Resolución 215 de 2022</t>
        </is>
      </c>
      <c r="E21" s="84" t="inlineStr">
        <is>
          <t>A17</t>
        </is>
      </c>
      <c r="F21" s="84" t="inlineStr">
        <is>
          <t>120</t>
        </is>
      </c>
      <c r="G21" s="84" t="inlineStr">
        <is>
          <t>Vicerrectoría Académica</t>
        </is>
      </c>
      <c r="H21" s="84" t="inlineStr">
        <is>
          <t>Unidad B-Learning</t>
        </is>
      </c>
      <c r="I21" s="84" t="inlineStr">
        <is>
          <t>Docencia PES</t>
        </is>
      </c>
      <c r="J21" s="84" t="inlineStr">
        <is>
          <t>Misional</t>
        </is>
      </c>
      <c r="K21" s="84" t="inlineStr">
        <is>
          <t>Inferida — validar</t>
        </is>
      </c>
      <c r="L21" s="84" t="inlineStr">
        <is>
          <t>A17 · Unidad B-Learning (120)</t>
        </is>
      </c>
      <c r="N21" s="84" t="inlineStr">
        <is>
          <t>PA-06</t>
        </is>
      </c>
      <c r="O21" s="84" t="inlineStr">
        <is>
          <t>Apoyo</t>
        </is>
      </c>
      <c r="P21" s="84" t="inlineStr">
        <is>
          <t>Gestión Financiera</t>
        </is>
      </c>
    </row>
    <row r="22" ht="15" customHeight="1" s="23">
      <c r="E22" s="84" t="inlineStr">
        <is>
          <t>A18</t>
        </is>
      </c>
      <c r="F22" s="84" t="inlineStr">
        <is>
          <t>101</t>
        </is>
      </c>
      <c r="G22" s="84" t="inlineStr">
        <is>
          <t>Oficina Asesora de Planeación y Desarrollo Institucional</t>
        </is>
      </c>
      <c r="H22" s="84" t="inlineStr">
        <is>
          <t>Articulación de programas (IA)</t>
        </is>
      </c>
      <c r="I22" s="84" t="inlineStr">
        <is>
          <t>Direccionamiento Institucional</t>
        </is>
      </c>
      <c r="J22" s="84" t="inlineStr">
        <is>
          <t>Estratégico</t>
        </is>
      </c>
      <c r="K22" s="84" t="inlineStr">
        <is>
          <t>Directorio 2026 (OAPDI)</t>
        </is>
      </c>
      <c r="L22" s="84" t="inlineStr">
        <is>
          <t>A18 · Articulación de programas (IA) (101)</t>
        </is>
      </c>
      <c r="N22" s="84" t="inlineStr">
        <is>
          <t>PA-07</t>
        </is>
      </c>
      <c r="O22" s="84" t="inlineStr">
        <is>
          <t>Apoyo</t>
        </is>
      </c>
      <c r="P22" s="84" t="inlineStr">
        <is>
          <t>Gestión de Servicio al Ciudadano</t>
        </is>
      </c>
    </row>
    <row r="23" ht="15" customHeight="1" s="23">
      <c r="E23" s="84" t="inlineStr">
        <is>
          <t>A19</t>
        </is>
      </c>
      <c r="F23" s="84" t="inlineStr">
        <is>
          <t>101</t>
        </is>
      </c>
      <c r="G23" s="84" t="inlineStr">
        <is>
          <t>Oficina Asesora de Planeación y Desarrollo Institucional</t>
        </is>
      </c>
      <c r="H23" s="84" t="inlineStr">
        <is>
          <t>Regionalización</t>
        </is>
      </c>
      <c r="I23" s="84" t="inlineStr">
        <is>
          <t>Direccionamiento Institucional</t>
        </is>
      </c>
      <c r="J23" s="84" t="inlineStr">
        <is>
          <t>Estratégico</t>
        </is>
      </c>
      <c r="K23" s="84" t="inlineStr">
        <is>
          <t>Directorio 2026 (OAPDI)</t>
        </is>
      </c>
      <c r="L23" s="84" t="inlineStr">
        <is>
          <t>A19 · Regionalización (101)</t>
        </is>
      </c>
      <c r="N23" s="84" t="inlineStr">
        <is>
          <t>PV-01</t>
        </is>
      </c>
      <c r="O23" s="84" t="inlineStr">
        <is>
          <t>Evaluación</t>
        </is>
      </c>
      <c r="P23" s="84" t="inlineStr">
        <is>
          <t>Gestión de Control Disciplinario</t>
        </is>
      </c>
    </row>
    <row r="24" ht="15" customHeight="1" s="23">
      <c r="E24" s="84" t="inlineStr">
        <is>
          <t>A20</t>
        </is>
      </c>
      <c r="F24" s="84" t="inlineStr">
        <is>
          <t>121</t>
        </is>
      </c>
      <c r="G24" s="84" t="inlineStr">
        <is>
          <t>GIT Biblioteca y Recursos Educativos</t>
        </is>
      </c>
      <c r="H24" s="84" t="inlineStr">
        <is>
          <t>GIT Biblioteca y Recursos Académicos</t>
        </is>
      </c>
      <c r="I24" s="84" t="inlineStr">
        <is>
          <t>Docencia PES</t>
        </is>
      </c>
      <c r="J24" s="84" t="inlineStr">
        <is>
          <t>Misional</t>
        </is>
      </c>
      <c r="K24" s="84" t="inlineStr">
        <is>
          <t>Directorio 2026 (OAPDI)</t>
        </is>
      </c>
      <c r="L24" s="84" t="inlineStr">
        <is>
          <t>A20 · GIT Biblioteca y Recursos Académicos (121)</t>
        </is>
      </c>
      <c r="N24" s="84" t="inlineStr">
        <is>
          <t>PV-02</t>
        </is>
      </c>
      <c r="O24" s="84" t="inlineStr">
        <is>
          <t>Evaluación</t>
        </is>
      </c>
      <c r="P24" s="84" t="inlineStr">
        <is>
          <t>Gestión de Control Interno</t>
        </is>
      </c>
    </row>
    <row r="25" ht="15" customHeight="1" s="23">
      <c r="E25" s="84" t="inlineStr">
        <is>
          <t>A21</t>
        </is>
      </c>
      <c r="F25" s="84" t="inlineStr">
        <is>
          <t>122</t>
        </is>
      </c>
      <c r="G25" s="84" t="inlineStr">
        <is>
          <t>GIT Bienestar Universitario</t>
        </is>
      </c>
      <c r="H25" s="84" t="inlineStr">
        <is>
          <t>GIT Bienestar Universitario</t>
        </is>
      </c>
      <c r="I25" s="84" t="inlineStr">
        <is>
          <t>Gestión de Bienestar Universitario</t>
        </is>
      </c>
      <c r="J25" s="84" t="inlineStr">
        <is>
          <t>Apoyo</t>
        </is>
      </c>
      <c r="K25" s="84" t="inlineStr">
        <is>
          <t>Directorio 2026 (OAPDI)</t>
        </is>
      </c>
      <c r="L25" s="84" t="inlineStr">
        <is>
          <t>A21 · GIT Bienestar Universitario (122)</t>
        </is>
      </c>
    </row>
    <row r="26" ht="15" customHeight="1" s="23">
      <c r="E26" s="84" t="inlineStr">
        <is>
          <t>A22</t>
        </is>
      </c>
      <c r="F26" s="84" t="inlineStr">
        <is>
          <t>123</t>
        </is>
      </c>
      <c r="G26" s="84" t="inlineStr">
        <is>
          <t>Facultades</t>
        </is>
      </c>
      <c r="H26" s="84" t="inlineStr">
        <is>
          <t>Facultad de Electromecánica</t>
        </is>
      </c>
      <c r="I26" s="84" t="inlineStr">
        <is>
          <t>Docencia PES</t>
        </is>
      </c>
      <c r="J26" s="84" t="inlineStr">
        <is>
          <t>Misional</t>
        </is>
      </c>
      <c r="K26" s="84" t="inlineStr">
        <is>
          <t>Estructura 902</t>
        </is>
      </c>
      <c r="L26" s="84" t="inlineStr">
        <is>
          <t>A22 · Facultad de Electromecánica (123)</t>
        </is>
      </c>
      <c r="N26" s="84" t="inlineStr">
        <is>
          <t>Las referencias PE/PM/PA/PV son internas de esta plantilla; el mapa de procesos V9 no codifica cada proceso.</t>
        </is>
      </c>
    </row>
    <row r="27" ht="15" customHeight="1" s="23">
      <c r="E27" s="84" t="inlineStr">
        <is>
          <t>A23</t>
        </is>
      </c>
      <c r="F27" s="84" t="inlineStr">
        <is>
          <t>123</t>
        </is>
      </c>
      <c r="G27" s="84" t="inlineStr">
        <is>
          <t>Facultades</t>
        </is>
      </c>
      <c r="H27" s="84" t="inlineStr">
        <is>
          <t>Facultad de Mecánica</t>
        </is>
      </c>
      <c r="I27" s="84" t="inlineStr">
        <is>
          <t>Docencia PES</t>
        </is>
      </c>
      <c r="J27" s="84" t="inlineStr">
        <is>
          <t>Misional</t>
        </is>
      </c>
      <c r="K27" s="84" t="inlineStr">
        <is>
          <t>Estructura 902</t>
        </is>
      </c>
      <c r="L27" s="84" t="inlineStr">
        <is>
          <t>A23 · Facultad de Mecánica (123)</t>
        </is>
      </c>
    </row>
    <row r="28" ht="15" customHeight="1" s="23">
      <c r="E28" s="84" t="inlineStr">
        <is>
          <t>A24</t>
        </is>
      </c>
      <c r="F28" s="84" t="inlineStr">
        <is>
          <t>123</t>
        </is>
      </c>
      <c r="G28" s="84" t="inlineStr">
        <is>
          <t>Facultades</t>
        </is>
      </c>
      <c r="H28" s="84" t="inlineStr">
        <is>
          <t>Facultad de Mecatrónica</t>
        </is>
      </c>
      <c r="I28" s="84" t="inlineStr">
        <is>
          <t>Docencia PES</t>
        </is>
      </c>
      <c r="J28" s="84" t="inlineStr">
        <is>
          <t>Misional</t>
        </is>
      </c>
      <c r="K28" s="84" t="inlineStr">
        <is>
          <t>Estructura 902</t>
        </is>
      </c>
      <c r="L28" s="84" t="inlineStr">
        <is>
          <t>A24 · Facultad de Mecatrónica (123)</t>
        </is>
      </c>
    </row>
    <row r="29" ht="15" customHeight="1" s="23">
      <c r="E29" s="84" t="inlineStr">
        <is>
          <t>A25</t>
        </is>
      </c>
      <c r="F29" s="84" t="inlineStr">
        <is>
          <t>123</t>
        </is>
      </c>
      <c r="G29" s="84" t="inlineStr">
        <is>
          <t>Facultades</t>
        </is>
      </c>
      <c r="H29" s="84" t="inlineStr">
        <is>
          <t>Facultad de Procesos Industriales</t>
        </is>
      </c>
      <c r="I29" s="84" t="inlineStr">
        <is>
          <t>Docencia PES</t>
        </is>
      </c>
      <c r="J29" s="84" t="inlineStr">
        <is>
          <t>Misional</t>
        </is>
      </c>
      <c r="K29" s="84" t="inlineStr">
        <is>
          <t>Estructura 902</t>
        </is>
      </c>
      <c r="L29" s="84" t="inlineStr">
        <is>
          <t>A25 · Facultad de Procesos Industriales (123)</t>
        </is>
      </c>
    </row>
    <row r="30" ht="15" customHeight="1" s="23">
      <c r="E30" s="84" t="inlineStr">
        <is>
          <t>A26</t>
        </is>
      </c>
      <c r="F30" s="84" t="inlineStr">
        <is>
          <t>123</t>
        </is>
      </c>
      <c r="G30" s="84" t="inlineStr">
        <is>
          <t>Facultades</t>
        </is>
      </c>
      <c r="H30" s="84" t="inlineStr">
        <is>
          <t>Facultad de Sistemas</t>
        </is>
      </c>
      <c r="I30" s="84" t="inlineStr">
        <is>
          <t>Docencia PES</t>
        </is>
      </c>
      <c r="J30" s="84" t="inlineStr">
        <is>
          <t>Misional</t>
        </is>
      </c>
      <c r="K30" s="84" t="inlineStr">
        <is>
          <t>Estructura 902</t>
        </is>
      </c>
      <c r="L30" s="84" t="inlineStr">
        <is>
          <t>A26 · Facultad de Sistemas (123)</t>
        </is>
      </c>
    </row>
    <row r="31" ht="15" customHeight="1" s="23">
      <c r="E31" s="84" t="inlineStr">
        <is>
          <t>A27</t>
        </is>
      </c>
      <c r="F31" s="84" t="inlineStr">
        <is>
          <t>124</t>
        </is>
      </c>
      <c r="G31" s="84" t="inlineStr">
        <is>
          <t>Instituto de Bachillerato Técnico Industrial (IBTI)</t>
        </is>
      </c>
      <c r="H31" s="84" t="inlineStr">
        <is>
          <t>IBTI</t>
        </is>
      </c>
      <c r="I31" s="84" t="inlineStr">
        <is>
          <t>Docencia IBTI</t>
        </is>
      </c>
      <c r="J31" s="84" t="inlineStr">
        <is>
          <t>Misional</t>
        </is>
      </c>
      <c r="K31" s="84" t="inlineStr">
        <is>
          <t>Directorio 2026 (OAPDI)</t>
        </is>
      </c>
      <c r="L31" s="84" t="inlineStr">
        <is>
          <t>A27 · IBTI (124)</t>
        </is>
      </c>
    </row>
    <row r="32" ht="15" customHeight="1" s="23">
      <c r="E32" s="84" t="inlineStr">
        <is>
          <t>A28</t>
        </is>
      </c>
      <c r="F32" s="84" t="inlineStr">
        <is>
          <t>125</t>
        </is>
      </c>
      <c r="G32" s="84" t="inlineStr">
        <is>
          <t>GIT Talleres y Laboratorios</t>
        </is>
      </c>
      <c r="H32" s="84" t="inlineStr">
        <is>
          <t>GIT Talleres y Laboratorios</t>
        </is>
      </c>
      <c r="I32" s="84" t="inlineStr">
        <is>
          <t>Gestión de Recursos Físicos</t>
        </is>
      </c>
      <c r="J32" s="84" t="inlineStr">
        <is>
          <t>Apoyo</t>
        </is>
      </c>
      <c r="K32" s="84" t="inlineStr">
        <is>
          <t>Directorio 2026 (OAPDI)</t>
        </is>
      </c>
      <c r="L32" s="84" t="inlineStr">
        <is>
          <t>A28 · GIT Talleres y Laboratorios (125)</t>
        </is>
      </c>
    </row>
    <row r="33" ht="15" customHeight="1" s="23">
      <c r="E33" s="84" t="inlineStr">
        <is>
          <t>A29</t>
        </is>
      </c>
      <c r="F33" s="84" t="inlineStr">
        <is>
          <t>126</t>
        </is>
      </c>
      <c r="G33" s="84" t="inlineStr">
        <is>
          <t>GIT Registro y Control</t>
        </is>
      </c>
      <c r="H33" s="84" t="inlineStr">
        <is>
          <t>GIT Registro, Control y Admisiones</t>
        </is>
      </c>
      <c r="I33" s="84" t="inlineStr">
        <is>
          <t>Docencia PES</t>
        </is>
      </c>
      <c r="J33" s="84" t="inlineStr">
        <is>
          <t>Misional</t>
        </is>
      </c>
      <c r="K33" s="84" t="inlineStr">
        <is>
          <t>Directorio 2026 — revisar dependencia</t>
        </is>
      </c>
      <c r="L33" s="84" t="inlineStr">
        <is>
          <t>A29 · GIT Registro, Control y Admisiones (126)</t>
        </is>
      </c>
    </row>
    <row r="34" ht="15" customHeight="1" s="23">
      <c r="E34" s="84" t="inlineStr">
        <is>
          <t>A30</t>
        </is>
      </c>
      <c r="F34" s="84" t="inlineStr">
        <is>
          <t>130</t>
        </is>
      </c>
      <c r="G34" s="84" t="inlineStr">
        <is>
          <t>Vicerrectoría Administrativa y Financiera</t>
        </is>
      </c>
      <c r="H34" s="84" t="inlineStr">
        <is>
          <t>Despacho de la Vicerrectoría Administrativa y Financiera</t>
        </is>
      </c>
      <c r="I34" s="84" t="inlineStr">
        <is>
          <t>Gestión Financiera</t>
        </is>
      </c>
      <c r="J34" s="84" t="inlineStr">
        <is>
          <t>Apoyo</t>
        </is>
      </c>
      <c r="K34" s="84" t="inlineStr">
        <is>
          <t>Directorio 2026 (OAPDI)</t>
        </is>
      </c>
      <c r="L34" s="84" t="inlineStr">
        <is>
          <t>A30 · Despacho de la Vicerrectoría Administrativa y Financiera (130)</t>
        </is>
      </c>
    </row>
    <row r="35" ht="15" customHeight="1" s="23">
      <c r="E35" s="84" t="inlineStr">
        <is>
          <t>A31</t>
        </is>
      </c>
      <c r="F35" s="84" t="inlineStr">
        <is>
          <t>130</t>
        </is>
      </c>
      <c r="G35" s="84" t="inlineStr">
        <is>
          <t>Vicerrectoría Administrativa y Financiera</t>
        </is>
      </c>
      <c r="H35" s="84" t="inlineStr">
        <is>
          <t>Recursos Físicos e Infraestructura</t>
        </is>
      </c>
      <c r="I35" s="84" t="inlineStr">
        <is>
          <t>Gestión de Recursos Físicos</t>
        </is>
      </c>
      <c r="J35" s="84" t="inlineStr">
        <is>
          <t>Apoyo</t>
        </is>
      </c>
      <c r="K35" s="84" t="inlineStr">
        <is>
          <t>Directorio 2026 (OAPDI)</t>
        </is>
      </c>
      <c r="L35" s="84" t="inlineStr">
        <is>
          <t>A31 · Recursos Físicos e Infraestructura (130)</t>
        </is>
      </c>
    </row>
    <row r="36" ht="15" customHeight="1" s="23">
      <c r="E36" s="84" t="inlineStr">
        <is>
          <t>A32</t>
        </is>
      </c>
      <c r="F36" s="84" t="inlineStr">
        <is>
          <t>131</t>
        </is>
      </c>
      <c r="G36" s="84" t="inlineStr">
        <is>
          <t>GIT Gestión Documental y Atención al Ciudadano</t>
        </is>
      </c>
      <c r="H36" s="84" t="inlineStr">
        <is>
          <t>Gestión Documental</t>
        </is>
      </c>
      <c r="I36" s="84" t="inlineStr">
        <is>
          <t>Gestión Documental</t>
        </is>
      </c>
      <c r="J36" s="84" t="inlineStr">
        <is>
          <t>Apoyo</t>
        </is>
      </c>
      <c r="K36" s="84" t="inlineStr">
        <is>
          <t>Directorio 2026 (OAPDI)</t>
        </is>
      </c>
      <c r="L36" s="84" t="inlineStr">
        <is>
          <t>A32 · Gestión Documental (131)</t>
        </is>
      </c>
    </row>
    <row r="37" ht="15" customHeight="1" s="23">
      <c r="E37" s="84" t="inlineStr">
        <is>
          <t>A33</t>
        </is>
      </c>
      <c r="F37" s="84" t="inlineStr">
        <is>
          <t>131</t>
        </is>
      </c>
      <c r="G37" s="84" t="inlineStr">
        <is>
          <t>GIT Gestión Documental y Atención al Ciudadano</t>
        </is>
      </c>
      <c r="H37" s="84" t="inlineStr">
        <is>
          <t>Atención al Ciudadano</t>
        </is>
      </c>
      <c r="I37" s="84" t="inlineStr">
        <is>
          <t>Gestión de Servicio al Ciudadano</t>
        </is>
      </c>
      <c r="J37" s="84" t="inlineStr">
        <is>
          <t>Apoyo</t>
        </is>
      </c>
      <c r="K37" s="84" t="inlineStr">
        <is>
          <t>Directorio 2026 (OAPDI)</t>
        </is>
      </c>
      <c r="L37" s="84" t="inlineStr">
        <is>
          <t>A33 · Atención al Ciudadano (131)</t>
        </is>
      </c>
    </row>
    <row r="38" ht="15" customHeight="1" s="23">
      <c r="E38" s="84" t="inlineStr">
        <is>
          <t>A34</t>
        </is>
      </c>
      <c r="F38" s="84" t="inlineStr">
        <is>
          <t>132</t>
        </is>
      </c>
      <c r="G38" s="84" t="inlineStr">
        <is>
          <t>GIT Gestión de Informática y Telecomunicaciones</t>
        </is>
      </c>
      <c r="H38" s="84" t="inlineStr">
        <is>
          <t>GIT Informática y Telecomunicaciones</t>
        </is>
      </c>
      <c r="I38" s="84" t="inlineStr">
        <is>
          <t>Gestión de Informática y Telecomunicaciones</t>
        </is>
      </c>
      <c r="J38" s="84" t="inlineStr">
        <is>
          <t>Estratégico</t>
        </is>
      </c>
      <c r="K38" s="84" t="inlineStr">
        <is>
          <t>Directorio 2026 (OAPDI)</t>
        </is>
      </c>
      <c r="L38" s="84" t="inlineStr">
        <is>
          <t>A34 · GIT Informática y Telecomunicaciones (132)</t>
        </is>
      </c>
    </row>
    <row r="39" ht="15" customHeight="1" s="23">
      <c r="E39" s="84" t="inlineStr">
        <is>
          <t>A35</t>
        </is>
      </c>
      <c r="F39" s="84" t="inlineStr">
        <is>
          <t>133</t>
        </is>
      </c>
      <c r="G39" s="84" t="inlineStr">
        <is>
          <t>GIT Gestión de Talento Humano</t>
        </is>
      </c>
      <c r="H39" s="84" t="inlineStr">
        <is>
          <t>GIT Talento Humano</t>
        </is>
      </c>
      <c r="I39" s="84" t="inlineStr">
        <is>
          <t>Gestión de Talento Humano</t>
        </is>
      </c>
      <c r="J39" s="84" t="inlineStr">
        <is>
          <t>Estratégico</t>
        </is>
      </c>
      <c r="K39" s="84" t="inlineStr">
        <is>
          <t>Directorio 2026 (OAPDI)</t>
        </is>
      </c>
      <c r="L39" s="84" t="inlineStr">
        <is>
          <t>A35 · GIT Talento Humano (133)</t>
        </is>
      </c>
    </row>
    <row r="40" ht="15" customHeight="1" s="23">
      <c r="E40" s="84" t="inlineStr">
        <is>
          <t>A36</t>
        </is>
      </c>
      <c r="F40" s="84" t="inlineStr">
        <is>
          <t>133</t>
        </is>
      </c>
      <c r="G40" s="84" t="inlineStr">
        <is>
          <t>GIT Gestión de Talento Humano</t>
        </is>
      </c>
      <c r="H40" s="84" t="inlineStr">
        <is>
          <t>Seguridad y Salud en el Trabajo</t>
        </is>
      </c>
      <c r="I40" s="84" t="inlineStr">
        <is>
          <t>Gestión de Talento Humano</t>
        </is>
      </c>
      <c r="J40" s="84" t="inlineStr">
        <is>
          <t>Estratégico</t>
        </is>
      </c>
      <c r="K40" s="84" t="inlineStr">
        <is>
          <t>Directorio 2026 (OAPDI)</t>
        </is>
      </c>
      <c r="L40" s="84" t="inlineStr">
        <is>
          <t>A36 · Seguridad y Salud en el Trabajo (133)</t>
        </is>
      </c>
    </row>
    <row r="41" ht="15" customHeight="1" s="23">
      <c r="E41" s="84" t="inlineStr">
        <is>
          <t>A37</t>
        </is>
      </c>
      <c r="F41" s="84" t="inlineStr">
        <is>
          <t>133</t>
        </is>
      </c>
      <c r="G41" s="84" t="inlineStr">
        <is>
          <t>GIT Gestión de Talento Humano</t>
        </is>
      </c>
      <c r="H41" s="84" t="inlineStr">
        <is>
          <t>Bienestar Laboral</t>
        </is>
      </c>
      <c r="I41" s="84" t="inlineStr">
        <is>
          <t>Gestión de Talento Humano</t>
        </is>
      </c>
      <c r="J41" s="84" t="inlineStr">
        <is>
          <t>Estratégico</t>
        </is>
      </c>
      <c r="K41" s="84" t="inlineStr">
        <is>
          <t>Directorio 2026 (OAPDI)</t>
        </is>
      </c>
      <c r="L41" s="84" t="inlineStr">
        <is>
          <t>A37 · Bienestar Laboral (133)</t>
        </is>
      </c>
    </row>
    <row r="42" ht="15" customHeight="1" s="23">
      <c r="E42" s="84" t="inlineStr">
        <is>
          <t>A38</t>
        </is>
      </c>
      <c r="F42" s="84" t="inlineStr">
        <is>
          <t>140</t>
        </is>
      </c>
      <c r="G42" s="84" t="inlineStr">
        <is>
          <t>Vicerrectoría de Investigación, Extensión y Transferencia</t>
        </is>
      </c>
      <c r="H42" s="84" t="inlineStr">
        <is>
          <t>Despacho de la VIET</t>
        </is>
      </c>
      <c r="I42" s="84" t="inlineStr">
        <is>
          <t>Investigación</t>
        </is>
      </c>
      <c r="J42" s="84" t="inlineStr">
        <is>
          <t>Misional</t>
        </is>
      </c>
      <c r="K42" s="84" t="inlineStr">
        <is>
          <t>Directorio 2026 (OAPDI)</t>
        </is>
      </c>
      <c r="L42" s="84" t="inlineStr">
        <is>
          <t>A38 · Despacho de la VIET (140)</t>
        </is>
      </c>
    </row>
    <row r="43" ht="15" customHeight="1" s="23">
      <c r="E43" s="84" t="inlineStr">
        <is>
          <t>A39</t>
        </is>
      </c>
      <c r="F43" s="84" t="inlineStr">
        <is>
          <t>140</t>
        </is>
      </c>
      <c r="G43" s="84" t="inlineStr">
        <is>
          <t>Vicerrectoría de Investigación, Extensión y Transferencia</t>
        </is>
      </c>
      <c r="H43" s="84" t="inlineStr">
        <is>
          <t>Investigación (grupos, semilleros, revista, centro de pensamiento)</t>
        </is>
      </c>
      <c r="I43" s="84" t="inlineStr">
        <is>
          <t>Investigación</t>
        </is>
      </c>
      <c r="J43" s="84" t="inlineStr">
        <is>
          <t>Misional</t>
        </is>
      </c>
      <c r="K43" s="84" t="inlineStr">
        <is>
          <t>Directorio 2026 (OAPDI)</t>
        </is>
      </c>
      <c r="L43" s="84" t="inlineStr">
        <is>
          <t>A39 · Investigación (grupos, semilleros, revista, centro de pensamiento) (140)</t>
        </is>
      </c>
    </row>
    <row r="44" ht="15" customHeight="1" s="23">
      <c r="E44" s="84" t="inlineStr">
        <is>
          <t>A40</t>
        </is>
      </c>
      <c r="F44" s="84" t="inlineStr">
        <is>
          <t>140</t>
        </is>
      </c>
      <c r="G44" s="84" t="inlineStr">
        <is>
          <t>Vicerrectoría de Investigación, Extensión y Transferencia</t>
        </is>
      </c>
      <c r="H44" s="84" t="inlineStr">
        <is>
          <t>Innovación y Laboratorio Inteligente</t>
        </is>
      </c>
      <c r="I44" s="84" t="inlineStr">
        <is>
          <t>Investigación</t>
        </is>
      </c>
      <c r="J44" s="84" t="inlineStr">
        <is>
          <t>Misional</t>
        </is>
      </c>
      <c r="K44" s="84" t="inlineStr">
        <is>
          <t>Directorio 2026 (OAPDI)</t>
        </is>
      </c>
      <c r="L44" s="84" t="inlineStr">
        <is>
          <t>A40 · Innovación y Laboratorio Inteligente (140)</t>
        </is>
      </c>
    </row>
    <row r="45" ht="15" customHeight="1" s="23">
      <c r="E45" s="84" t="inlineStr">
        <is>
          <t>A41</t>
        </is>
      </c>
      <c r="F45" s="84" t="inlineStr">
        <is>
          <t>141</t>
        </is>
      </c>
      <c r="G45" s="84" t="inlineStr">
        <is>
          <t>GIT Extensión y Proyección Social</t>
        </is>
      </c>
      <c r="H45" s="84" t="inlineStr">
        <is>
          <t>GIT Extensión y Proyección Social (incluye ETDH)</t>
        </is>
      </c>
      <c r="I45" s="84" t="inlineStr">
        <is>
          <t>Extensión y Proyección Social</t>
        </is>
      </c>
      <c r="J45" s="84" t="inlineStr">
        <is>
          <t>Misional</t>
        </is>
      </c>
      <c r="K45" s="84" t="inlineStr">
        <is>
          <t>Directorio 2026 (OAPDI)</t>
        </is>
      </c>
      <c r="L45" s="84" t="inlineStr">
        <is>
          <t>A41 · GIT Extensión y Proyección Social (incluye ETDH) (141)</t>
        </is>
      </c>
    </row>
    <row r="46" ht="15" customHeight="1" s="23">
      <c r="E46" s="84" t="inlineStr">
        <is>
          <t>A42</t>
        </is>
      </c>
      <c r="F46" s="84" t="inlineStr">
        <is>
          <t>141</t>
        </is>
      </c>
      <c r="G46" s="84" t="inlineStr">
        <is>
          <t>GIT Extensión y Proyección Social</t>
        </is>
      </c>
      <c r="H46" s="84" t="inlineStr">
        <is>
          <t>Centro de Lenguas (CEL)</t>
        </is>
      </c>
      <c r="I46" s="84" t="inlineStr">
        <is>
          <t>Extensión y Proyección Social</t>
        </is>
      </c>
      <c r="J46" s="84" t="inlineStr">
        <is>
          <t>Misional</t>
        </is>
      </c>
      <c r="K46" s="84" t="inlineStr">
        <is>
          <t>Directorio 2026 — revisar dependencia</t>
        </is>
      </c>
      <c r="L46" s="84" t="inlineStr">
        <is>
          <t>A42 · Centro de Lenguas (CEL) (141)</t>
        </is>
      </c>
    </row>
    <row r="47" ht="15" customHeight="1" s="23">
      <c r="E47" s="84" t="inlineStr">
        <is>
          <t>A43</t>
        </is>
      </c>
      <c r="F47" s="84" t="inlineStr">
        <is>
          <t>141</t>
        </is>
      </c>
      <c r="G47" s="84" t="inlineStr">
        <is>
          <t>GIT Extensión y Proyección Social</t>
        </is>
      </c>
      <c r="H47" s="84" t="inlineStr">
        <is>
          <t>Egresados y Bolsa de Empleo</t>
        </is>
      </c>
      <c r="I47" s="84" t="inlineStr">
        <is>
          <t>Egresados</t>
        </is>
      </c>
      <c r="J47" s="84" t="inlineStr">
        <is>
          <t>Misional</t>
        </is>
      </c>
      <c r="K47" s="84" t="inlineStr">
        <is>
          <t>Directorio 2026 — revisar dependencia</t>
        </is>
      </c>
      <c r="L47" s="84" t="inlineStr">
        <is>
          <t>A43 · Egresados y Bolsa de Empleo (141)</t>
        </is>
      </c>
    </row>
    <row r="48" ht="15" customHeight="1" s="23">
      <c r="E48" s="84" t="inlineStr">
        <is>
          <t>A44</t>
        </is>
      </c>
      <c r="F48" s="84" t="inlineStr">
        <is>
          <t>100</t>
        </is>
      </c>
      <c r="G48" s="84" t="inlineStr">
        <is>
          <t>Rectoría</t>
        </is>
      </c>
      <c r="H48" s="84" t="inlineStr">
        <is>
          <t>Sedes y Campus</t>
        </is>
      </c>
      <c r="I48" s="84" t="inlineStr">
        <is>
          <t>Direccionamiento Institucional</t>
        </is>
      </c>
      <c r="J48" s="84" t="inlineStr">
        <is>
          <t>Estratégico</t>
        </is>
      </c>
      <c r="K48" s="84" t="inlineStr">
        <is>
          <t>Directorio 2026 (OAPDI)</t>
        </is>
      </c>
      <c r="L48" s="84" t="inlineStr">
        <is>
          <t>A44 · Sedes y Campus (100)</t>
        </is>
      </c>
    </row>
    <row r="49" ht="15" customHeight="1" s="23">
      <c r="E49" s="84" t="inlineStr">
        <is>
          <t>A45</t>
        </is>
      </c>
      <c r="F49" s="84" t="inlineStr">
        <is>
          <t>120</t>
        </is>
      </c>
      <c r="G49" s="84" t="inlineStr">
        <is>
          <t>Vicerrectoría Académica</t>
        </is>
      </c>
      <c r="H49" s="84" t="inlineStr">
        <is>
          <t>Sedes Tintal / Soacha-UPK / Viotá</t>
        </is>
      </c>
      <c r="I49" s="84" t="inlineStr">
        <is>
          <t>Docencia PES</t>
        </is>
      </c>
      <c r="J49" s="84" t="inlineStr">
        <is>
          <t>Misional</t>
        </is>
      </c>
      <c r="K49" s="84" t="inlineStr">
        <is>
          <t>Directorio 2026 (OAPDI)</t>
        </is>
      </c>
      <c r="L49" s="84" t="inlineStr">
        <is>
          <t>A45 · Sedes Tintal / Soacha-UPK / Viotá (120)</t>
        </is>
      </c>
    </row>
    <row r="50" ht="15" customHeight="1" s="23">
      <c r="E50" s="84" t="inlineStr">
        <is>
          <t>A46</t>
        </is>
      </c>
      <c r="F50" s="84" t="inlineStr">
        <is>
          <t>123</t>
        </is>
      </c>
      <c r="G50" s="84" t="inlineStr">
        <is>
          <t>Facultades</t>
        </is>
      </c>
      <c r="H50" s="84" t="inlineStr">
        <is>
          <t>Facultad de Inteligencia Artificial (Acuerdo 010 de 2025)</t>
        </is>
      </c>
      <c r="I50" s="84" t="inlineStr">
        <is>
          <t>Docencia PES</t>
        </is>
      </c>
      <c r="J50" s="84" t="inlineStr">
        <is>
          <t>Misional</t>
        </is>
      </c>
      <c r="K50" s="84" t="inlineStr">
        <is>
          <t>Acuerdo 010 de 2025 — validar si ya opera</t>
        </is>
      </c>
      <c r="L50" s="84" t="inlineStr">
        <is>
          <t>A46 · Facultad de Inteligencia Artificial (Acuerdo 010 de 2025) (123)</t>
        </is>
      </c>
    </row>
    <row r="51" ht="15" customHeight="1" s="23">
      <c r="E51" s="84" t="inlineStr">
        <is>
          <t>A47</t>
        </is>
      </c>
      <c r="F51" s="84" t="inlineStr">
        <is>
          <t>130</t>
        </is>
      </c>
      <c r="G51" s="84" t="inlineStr">
        <is>
          <t>Vicerrectoría Administrativa y Financiera</t>
        </is>
      </c>
      <c r="H51" s="84" t="inlineStr">
        <is>
          <t>Gestión Financiera (Presupuesto, Contabilidad, Tesorería)</t>
        </is>
      </c>
      <c r="I51" s="84" t="inlineStr">
        <is>
          <t>Gestión Financiera</t>
        </is>
      </c>
      <c r="J51" s="84" t="inlineStr">
        <is>
          <t>Apoyo</t>
        </is>
      </c>
      <c r="K51" s="84" t="inlineStr">
        <is>
          <t>Directorio 2026 (OAPDI)</t>
        </is>
      </c>
      <c r="L51" s="84" t="inlineStr">
        <is>
          <t>A47 · Gestión Financiera (Presupuesto, Contabilidad, Tesorería) (130)</t>
        </is>
      </c>
    </row>
  </sheetData>
  <sheetProtection selectLockedCells="0" selectUnlockedCells="0" sheet="1" objects="0" insertRows="1" insertHyperlinks="1" autoFilter="0" scenarios="0" formatColumns="0" deleteColumns="1" insertColumns="1" pivotTables="1" deleteRows="1" formatCells="1" formatRows="0" sort="1" password="cc6d"/>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outlinePr summaryBelow="1" summaryRight="1"/>
    <pageSetUpPr/>
  </sheetPr>
  <dimension ref="A1:E54"/>
  <sheetViews>
    <sheetView showGridLines="1" tabSelected="0" workbookViewId="0">
      <selection activeCell="A1" sqref="A1"/>
    </sheetView>
  </sheetViews>
  <sheetFormatPr baseColWidth="8" defaultRowHeight="15"/>
  <cols>
    <col width="44" customWidth="1" style="23" min="1" max="1"/>
    <col width="18" customWidth="1" style="23" min="2" max="2"/>
    <col width="39" customWidth="1" style="23" min="3" max="3"/>
    <col width="18" customWidth="1" style="23" min="4" max="4"/>
    <col width="21" customWidth="1" style="23" min="5" max="5"/>
  </cols>
  <sheetData>
    <row r="1">
      <c r="A1" s="116" t="inlineStr">
        <is>
          <t>Metas disponibles (código · enunciado)</t>
        </is>
      </c>
      <c r="B1" s="116" t="inlineStr">
        <is>
          <t>Orígenes</t>
        </is>
      </c>
      <c r="C1" s="116" t="inlineStr">
        <is>
          <t>Vigencias habilitadas para importar</t>
        </is>
      </c>
      <c r="D1" s="116" t="inlineStr">
        <is>
          <t>Áreas</t>
        </is>
      </c>
      <c r="E1" s="116" t="inlineStr">
        <is>
          <t>Usuarios (correo)</t>
        </is>
      </c>
    </row>
    <row r="2">
      <c r="A2" t="inlineStr">
        <is>
          <t>1.1.1.1. · Contar con 11.000 estudiantes vinculados a programas de educ...</t>
        </is>
      </c>
      <c r="B2" t="inlineStr">
        <is>
          <t>PDI</t>
        </is>
      </c>
      <c r="C2" t="n">
        <v>2027</v>
      </c>
      <c r="D2" t="inlineStr">
        <is>
          <t>Adminisiones</t>
        </is>
      </c>
      <c r="E2" t="inlineStr">
        <is>
          <t>movilidad@itc.edu.co</t>
        </is>
      </c>
    </row>
    <row r="3">
      <c r="A3" t="inlineStr">
        <is>
          <t>1.1.1.2. · Lograr la transicion del 30% de los estudiantes del IBTI a l...</t>
        </is>
      </c>
      <c r="B3" t="inlineStr">
        <is>
          <t>Contexto</t>
        </is>
      </c>
      <c r="D3" t="inlineStr">
        <is>
          <t>Autoevaluación</t>
        </is>
      </c>
      <c r="E3" t="inlineStr">
        <is>
          <t>calidad@itc.edu.co</t>
        </is>
      </c>
    </row>
    <row r="4">
      <c r="A4" t="inlineStr">
        <is>
          <t>1.2.1.1. · Ofrecer programas de educación superior:  5 programas nuevos...</t>
        </is>
      </c>
      <c r="D4" t="inlineStr">
        <is>
          <t>Banco de alimentos</t>
        </is>
      </c>
      <c r="E4" t="inlineStr">
        <is>
          <t>liderarticulador@itc.edu.co</t>
        </is>
      </c>
    </row>
    <row r="5">
      <c r="A5" t="inlineStr">
        <is>
          <t>1.3.1.1. · Contar con el 100% de los programas acreditados</t>
        </is>
      </c>
      <c r="D5" t="inlineStr">
        <is>
          <t>Calidad</t>
        </is>
      </c>
      <c r="E5" t="inlineStr">
        <is>
          <t>ciberseguridad@itc.edu.co</t>
        </is>
      </c>
    </row>
    <row r="6">
      <c r="A6" t="inlineStr">
        <is>
          <t>1.3.1.2. · Puntajes pruebas saber-PRO por encima de la media nacional....</t>
        </is>
      </c>
      <c r="D6" t="inlineStr">
        <is>
          <t>Comunicaciones</t>
        </is>
      </c>
      <c r="E6" t="inlineStr">
        <is>
          <t>conveniosinternacionalizacion@itc.edu.co</t>
        </is>
      </c>
    </row>
    <row r="7">
      <c r="A7" t="inlineStr">
        <is>
          <t>1.4.1.1. · Contar con 2 programas académicos con cualificación internac...</t>
        </is>
      </c>
      <c r="D7" t="inlineStr">
        <is>
          <t>Control disciplinario</t>
        </is>
      </c>
      <c r="E7" t="inlineStr">
        <is>
          <t>apoyogestionestrategica@itc.edu.co</t>
        </is>
      </c>
    </row>
    <row r="8">
      <c r="A8" t="inlineStr">
        <is>
          <t>1.5.1. 3 · Formalización personal Administrativo: 20% para 2026, 60% pa...</t>
        </is>
      </c>
      <c r="D8" t="inlineStr">
        <is>
          <t>Control interno</t>
        </is>
      </c>
      <c r="E8" t="inlineStr">
        <is>
          <t>plandeaccion@itc.edu.co</t>
        </is>
      </c>
    </row>
    <row r="9">
      <c r="A9" t="inlineStr">
        <is>
          <t>1.5.1. 4 · 24 docentes con formación en doctorados disciplinares.</t>
        </is>
      </c>
      <c r="D9" t="inlineStr">
        <is>
          <t>Convenio Atenea</t>
        </is>
      </c>
      <c r="E9" t="inlineStr">
        <is>
          <t>gestionproyectos@itc.edu.co</t>
        </is>
      </c>
    </row>
    <row r="10">
      <c r="A10" t="inlineStr">
        <is>
          <t>1.5.1. 5 · 48 de los docentes de planta beneficiados con formación disc...</t>
        </is>
      </c>
      <c r="D10" t="inlineStr">
        <is>
          <t>CREA</t>
        </is>
      </c>
      <c r="E10" t="inlineStr">
        <is>
          <t>gestionservicioalciudadano@itc.edu.co</t>
        </is>
      </c>
    </row>
    <row r="11">
      <c r="A11" t="inlineStr">
        <is>
          <t>1.5.1. 6 · Formación Continuada o Permanente a lo menos de 276 docentes...</t>
        </is>
      </c>
      <c r="D11" t="inlineStr">
        <is>
          <t>Danzas</t>
        </is>
      </c>
      <c r="E11" t="inlineStr">
        <is>
          <t>invitado@etitc.local</t>
        </is>
      </c>
    </row>
    <row r="12">
      <c r="A12" t="inlineStr">
        <is>
          <t>1.5.1.2. · Formalización docentes cátedra: 20% para 2026, 20% para 2027...</t>
        </is>
      </c>
      <c r="D12" t="inlineStr">
        <is>
          <t>Decanatura de electromecánica</t>
        </is>
      </c>
      <c r="E12" t="inlineStr">
        <is>
          <t>lideregistros@itc.edu.co</t>
        </is>
      </c>
    </row>
    <row r="13">
      <c r="A13" t="inlineStr">
        <is>
          <t>2.1.1.1. · Contar con un (1) grupo de investigación en clasificación A...</t>
        </is>
      </c>
      <c r="D13" t="inlineStr">
        <is>
          <t>Decanatura de mecánica</t>
        </is>
      </c>
      <c r="E13" t="inlineStr">
        <is>
          <t>aseguramientocalidad@itc.edu.co</t>
        </is>
      </c>
    </row>
    <row r="14">
      <c r="A14" t="inlineStr">
        <is>
          <t>2.1.1.2. · Contar con tres (3) grupos de investigación en clasificación...</t>
        </is>
      </c>
      <c r="D14" t="inlineStr">
        <is>
          <t>Decanatura de mecatrónica</t>
        </is>
      </c>
      <c r="E14" t="inlineStr">
        <is>
          <t>auxegresados@itc.edu.co</t>
        </is>
      </c>
    </row>
    <row r="15">
      <c r="A15" t="inlineStr">
        <is>
          <t>2.1.1.3. · Contar con cuarto (4) grupos de investigación en clasificaci...</t>
        </is>
      </c>
      <c r="D15" t="inlineStr">
        <is>
          <t>Decanatura de procesos industriales</t>
        </is>
      </c>
      <c r="E15" t="inlineStr">
        <is>
          <t>planeacion@itc.edu.co</t>
        </is>
      </c>
    </row>
    <row r="16">
      <c r="A16" t="inlineStr">
        <is>
          <t>2.2.1.1. · Contar con al menos 2 publicación en revistas indexadas  int...</t>
        </is>
      </c>
      <c r="D16" t="inlineStr">
        <is>
          <t>Decanatura de sistemas</t>
        </is>
      </c>
      <c r="E16" t="inlineStr">
        <is>
          <t>regionalizacion@itc.edu.co</t>
        </is>
      </c>
    </row>
    <row r="17">
      <c r="A17" t="inlineStr">
        <is>
          <t>2.2.1.2. · Contar con al menos 8 publicación en revistas indexadas naci...</t>
        </is>
      </c>
      <c r="D17" t="inlineStr">
        <is>
          <t>Deportes</t>
        </is>
      </c>
      <c r="E17" t="inlineStr">
        <is>
          <t>seguridaddigital@itc.edu.co</t>
        </is>
      </c>
    </row>
    <row r="18">
      <c r="A18" t="inlineStr">
        <is>
          <t>2.3.1.1. · Lograr el establecimiento y operación de alianzas estratégic...</t>
        </is>
      </c>
      <c r="D18" t="inlineStr">
        <is>
          <t>Despacho de bienestar</t>
        </is>
      </c>
      <c r="E18" t="inlineStr">
        <is>
          <t>culturautoevaluacion@itc.edu.co</t>
        </is>
      </c>
    </row>
    <row r="19">
      <c r="A19" t="inlineStr">
        <is>
          <t>2.3.1.2. · Lograr el establecimiento y operación de alianzas estratégic...</t>
        </is>
      </c>
      <c r="D19" t="inlineStr">
        <is>
          <t>Egresados</t>
        </is>
      </c>
      <c r="E19" t="inlineStr">
        <is>
          <t>planeacionfinanciera@itc.edu.co</t>
        </is>
      </c>
    </row>
    <row r="20">
      <c r="A20" t="inlineStr">
        <is>
          <t>2.3.1.3. · Establecen como mínimo ocho (8) alianzas estratégicas para d...</t>
        </is>
      </c>
      <c r="D20" t="inlineStr">
        <is>
          <t>Enfermería</t>
        </is>
      </c>
      <c r="E20" t="inlineStr">
        <is>
          <t>autoevaluacion@itc.edu.co</t>
        </is>
      </c>
    </row>
    <row r="21">
      <c r="A21" t="inlineStr">
        <is>
          <t>2.3.1.4. · Establecen como mínimo cuatro (4) alianzas estratégicas para...</t>
        </is>
      </c>
      <c r="D21" t="inlineStr">
        <is>
          <t>Extensión y Proyección social</t>
        </is>
      </c>
      <c r="E21" t="inlineStr">
        <is>
          <t>mipg@itc.edu.co</t>
        </is>
      </c>
    </row>
    <row r="22">
      <c r="A22" t="inlineStr">
        <is>
          <t>2.3.1.5. · Establecen como mínimo cuatro (4) alianzas estratégicas para...</t>
        </is>
      </c>
      <c r="D22" t="inlineStr">
        <is>
          <t>Gestión ambiental</t>
        </is>
      </c>
      <c r="E22" t="inlineStr">
        <is>
          <t>proyectosacademica@itc.edu.co</t>
        </is>
      </c>
    </row>
    <row r="23">
      <c r="A23" t="inlineStr">
        <is>
          <t>2.4.1.1. · Contar con un (1) centro de pensamiento y desarrollo tecnoló...</t>
        </is>
      </c>
      <c r="D23" t="inlineStr">
        <is>
          <t>Gestión de Adquisiciones</t>
        </is>
      </c>
      <c r="E23" t="inlineStr">
        <is>
          <t>lideracreditacion@itc.edu.co</t>
        </is>
      </c>
    </row>
    <row r="24">
      <c r="A24" t="inlineStr">
        <is>
          <t>3.1.1.1. · Disponer a mediano plazo de una vicerrectoría de extensión y...</t>
        </is>
      </c>
      <c r="D24" t="inlineStr">
        <is>
          <t>Gestión de informatica y telecomunicaciones</t>
        </is>
      </c>
      <c r="E24" t="inlineStr">
        <is>
          <t>internacionalizacion@itc.edu.co</t>
        </is>
      </c>
    </row>
    <row r="25">
      <c r="A25" t="inlineStr">
        <is>
          <t>3.1.1.3. · Búsqueda de nuevos convenios y alianzas; revisión de alcance...</t>
        </is>
      </c>
      <c r="D25" t="inlineStr">
        <is>
          <t>Gestión documental</t>
        </is>
      </c>
    </row>
    <row r="26">
      <c r="A26" t="inlineStr">
        <is>
          <t>3.2.1.1. · Diseñar y diversificar la oferta de programas de educación c...</t>
        </is>
      </c>
      <c r="D26" t="inlineStr">
        <is>
          <t>Gestión financiera</t>
        </is>
      </c>
    </row>
    <row r="27">
      <c r="A27" t="inlineStr">
        <is>
          <t>3.2.1.2. · Generar ingresos para la ETITC mediante la Comercialización...</t>
        </is>
      </c>
      <c r="D27" t="inlineStr">
        <is>
          <t>Gestión jurídica</t>
        </is>
      </c>
    </row>
    <row r="28">
      <c r="A28" t="inlineStr">
        <is>
          <t>3.2.1.3. · Implementar mecanismos de retroalimentación continua de la o...</t>
        </is>
      </c>
      <c r="D28" t="inlineStr">
        <is>
          <t>IBTI</t>
        </is>
      </c>
    </row>
    <row r="29">
      <c r="A29" t="inlineStr">
        <is>
          <t>3.2.1.4. · Alinear la formación en una segunda lengua en la ETITC con l...</t>
        </is>
      </c>
      <c r="D29" t="inlineStr">
        <is>
          <t>Internalización</t>
        </is>
      </c>
    </row>
    <row r="30">
      <c r="A30" t="inlineStr">
        <is>
          <t>3.3.1.1. · Garantizar la participación y representación del 100% de la...</t>
        </is>
      </c>
      <c r="D30" t="inlineStr">
        <is>
          <t>Investigación</t>
        </is>
      </c>
    </row>
    <row r="31">
      <c r="A31" t="inlineStr">
        <is>
          <t>3.3.1.2. · Ejecutar el 100% del Plan Estratégico de comunicación de la...</t>
        </is>
      </c>
      <c r="D31" t="inlineStr">
        <is>
          <t>Jovenes a la U</t>
        </is>
      </c>
    </row>
    <row r="32">
      <c r="A32" t="inlineStr">
        <is>
          <t>4.1.1.1. · Cumplir al 2032 con el 90% en el Plan de Desarrollo Instituc...</t>
        </is>
      </c>
      <c r="D32" t="inlineStr">
        <is>
          <t>Musica</t>
        </is>
      </c>
    </row>
    <row r="33">
      <c r="A33" t="inlineStr">
        <is>
          <t>4.1.1.2. · Lograr un índice de desempeño institucional al año 2032 del...</t>
        </is>
      </c>
      <c r="D33" t="inlineStr">
        <is>
          <t>Oficina asesora de planeación</t>
        </is>
      </c>
    </row>
    <row r="34">
      <c r="A34" t="inlineStr">
        <is>
          <t>4.1.1.3. · Acreditación Institucional en alta calidad.</t>
        </is>
      </c>
      <c r="D34" t="inlineStr">
        <is>
          <t>Pastoral</t>
        </is>
      </c>
    </row>
    <row r="35">
      <c r="A35" t="inlineStr">
        <is>
          <t>4.1.1.4. · Cambio de carácter a Universidad.</t>
        </is>
      </c>
      <c r="D35" t="inlineStr">
        <is>
          <t>Planta fisica</t>
        </is>
      </c>
    </row>
    <row r="36">
      <c r="A36" t="inlineStr">
        <is>
          <t>4.2.1.1. · Contar con un (1) sistema de información estratégico.</t>
        </is>
      </c>
      <c r="D36" t="inlineStr">
        <is>
          <t>Psicología</t>
        </is>
      </c>
    </row>
    <row r="37">
      <c r="A37" t="inlineStr">
        <is>
          <t>4.2.1.2. · Contar con el 100% de la Estructura organizacional Academica...</t>
        </is>
      </c>
      <c r="D37" t="inlineStr">
        <is>
          <t>Rectoria</t>
        </is>
      </c>
    </row>
    <row r="38">
      <c r="A38" t="inlineStr">
        <is>
          <t>4.3.1.1. · Contar con un sistema estrategico de desarrollo de la comuni...</t>
        </is>
      </c>
      <c r="D38" t="inlineStr">
        <is>
          <t>Recursos físicos</t>
        </is>
      </c>
    </row>
    <row r="39">
      <c r="A39" t="inlineStr">
        <is>
          <t>4.4.1.1. · Posicionamiento en un (1) indicador Top of Mind de universid...</t>
        </is>
      </c>
      <c r="D39" t="inlineStr">
        <is>
          <t>Registro y control</t>
        </is>
      </c>
    </row>
    <row r="40">
      <c r="A40" t="inlineStr">
        <is>
          <t>4.4.1.2. · Gestionar alianzas estratégicas con el sector empresarial, a...</t>
        </is>
      </c>
      <c r="D40" t="inlineStr">
        <is>
          <t>Secretaria general</t>
        </is>
      </c>
    </row>
    <row r="41">
      <c r="A41" t="inlineStr">
        <is>
          <t>4.5.1.1. · Consolidar un (1) modelo de gestion de la cultura institucio...</t>
        </is>
      </c>
      <c r="D41" t="inlineStr">
        <is>
          <t>Seguridad digital</t>
        </is>
      </c>
    </row>
    <row r="42">
      <c r="A42" t="inlineStr">
        <is>
          <t>5.1.1.1. · Contar con la sede Calle 18 habilitada y operativa, aseguran...</t>
        </is>
      </c>
      <c r="D42" t="inlineStr">
        <is>
          <t>Servicio al ciudadano</t>
        </is>
      </c>
    </row>
    <row r="43">
      <c r="A43" t="inlineStr">
        <is>
          <t>5.1.1.2. · Proyecto reforzamiento estructural bloques pendientes de int...</t>
        </is>
      </c>
      <c r="D43" t="inlineStr">
        <is>
          <t>Talento humano</t>
        </is>
      </c>
    </row>
    <row r="44">
      <c r="A44" t="inlineStr">
        <is>
          <t>5.1.1.3. · Contar con el Ecoparque Tecnológico habilitado y operativo,...</t>
        </is>
      </c>
      <c r="D44" t="inlineStr">
        <is>
          <t>Talleres y Laboratorios</t>
        </is>
      </c>
    </row>
    <row r="45">
      <c r="A45" t="inlineStr">
        <is>
          <t>5.1.1.4. · Contar con la Sede Social Guaymaral de la ETITC habilitada y...</t>
        </is>
      </c>
      <c r="D45" t="inlineStr">
        <is>
          <t>Trabajo social</t>
        </is>
      </c>
    </row>
    <row r="46">
      <c r="A46" t="inlineStr">
        <is>
          <t>5.1.2.1. · Elaborar un plan maestro institucional PMI.</t>
        </is>
      </c>
      <c r="D46" t="inlineStr">
        <is>
          <t>Unidad B-Learning</t>
        </is>
      </c>
    </row>
    <row r="47">
      <c r="A47" t="inlineStr">
        <is>
          <t>5.2.1.1. · 3 bloques reforzados estructuralmente en la sede centro.</t>
        </is>
      </c>
      <c r="D47" t="inlineStr">
        <is>
          <t>Vicerrectoría académica</t>
        </is>
      </c>
    </row>
    <row r="48">
      <c r="A48" t="inlineStr">
        <is>
          <t>5.2.1.2. · 100% de los talleres y laboratorios actualizados de acuerdo...</t>
        </is>
      </c>
    </row>
    <row r="49">
      <c r="A49" t="inlineStr">
        <is>
          <t>5.2.1.3. · Reposición del 100% de computadores de apoyo a la academia c...</t>
        </is>
      </c>
    </row>
    <row r="50">
      <c r="A50" t="inlineStr">
        <is>
          <t>5.3.1.1. · Oferta educativa en UPK Tintal, Municipio de Zipaquirá, Viot...</t>
        </is>
      </c>
    </row>
    <row r="51">
      <c r="A51" t="inlineStr">
        <is>
          <t>5.4.1.1. · Contar con el 100% de la infraestructura de talleres y labor...</t>
        </is>
      </c>
    </row>
    <row r="52">
      <c r="A52" t="inlineStr">
        <is>
          <t>6.1.1.1. · El 100% de las areas de la institución han consolidado sus c...</t>
        </is>
      </c>
    </row>
    <row r="53">
      <c r="A53" t="inlineStr">
        <is>
          <t>6.2.1.1. · Lograr el cumplimiento del 100% del Plan Institucional de Bi...</t>
        </is>
      </c>
    </row>
    <row r="54">
      <c r="A54" t="inlineStr">
        <is>
          <t>6.3.1.1. · Alinear la cultura de Bienestar con los objetivos de la inst...</t>
        </is>
      </c>
    </row>
  </sheetData>
  <pageMargins left="0.75" right="0.75" top="1" bottom="1" header="0.5" footer="0.5"/>
  <pageSetup orientation="default" paperSize="1" fitToHeight="1" fitToWidth="1"/>
</worksheet>
</file>

<file path=xl/worksheets/sheet14.xml><?xml version="1.0" encoding="utf-8"?>
<worksheet xmlns="http://schemas.openxmlformats.org/spreadsheetml/2006/main">
  <sheetPr>
    <outlinePr summaryBelow="1" summaryRight="1"/>
    <pageSetUpPr fitToPage="1"/>
  </sheetPr>
  <dimension ref="A1:AN208"/>
  <sheetViews>
    <sheetView tabSelected="0" workbookViewId="0">
      <selection activeCell="A1" sqref="A1"/>
    </sheetView>
  </sheetViews>
  <sheetFormatPr baseColWidth="8" defaultRowHeight="15"/>
  <cols>
    <col width="9" customWidth="1" style="23" min="1" max="1"/>
    <col width="30" customWidth="1" style="23" min="3" max="3"/>
    <col width="30" customWidth="1" style="23" min="5" max="5"/>
    <col width="50" customWidth="1" style="23" min="6" max="6"/>
    <col width="50" customWidth="1" style="23" min="9" max="9"/>
    <col width="34" customWidth="1" style="23" min="14" max="14"/>
    <col width="50" customWidth="1" style="23" min="17" max="17"/>
    <col width="40" customWidth="1" style="23" min="18" max="18"/>
    <col width="70" customWidth="1" style="23" min="21" max="21"/>
    <col width="12" customWidth="1" style="23" min="26" max="26"/>
    <col width="40" customWidth="1" style="23" min="28" max="28"/>
    <col width="45" customWidth="1" style="23" min="29" max="29"/>
    <col width="40" customWidth="1" style="23" min="33" max="33"/>
    <col width="50" customWidth="1" style="23" min="37" max="37"/>
  </cols>
  <sheetData>
    <row r="1" ht="17.4" customHeight="1" s="23">
      <c r="A1" s="62" t="inlineStr">
        <is>
          <t>Catálogos de referencia — Plan de Necesidades 2027</t>
        </is>
      </c>
    </row>
    <row r="2">
      <c r="A2" s="101" t="inlineStr">
        <is>
          <t>Tomados de la Plantilla de Formulación 2027 (hojas Catalogos y Dependencias, versión 7) y del Plan de acción 2027 (hoja Acciones_2027). No modificar.</t>
        </is>
      </c>
    </row>
    <row r="3"/>
    <row r="4" ht="92.40000000000001" customHeight="1" s="23">
      <c r="A4" s="106" t="inlineStr">
        <is>
          <t>Código meta</t>
        </is>
      </c>
      <c r="B4" s="106" t="inlineStr">
        <is>
          <t>Eje</t>
        </is>
      </c>
      <c r="C4" s="106" t="inlineStr">
        <is>
          <t>Eje (etiqueta)</t>
        </is>
      </c>
      <c r="D4" s="106" t="inlineStr">
        <is>
          <t>Línea</t>
        </is>
      </c>
      <c r="E4" s="106" t="inlineStr">
        <is>
          <t>Línea (etiqueta)</t>
        </is>
      </c>
      <c r="F4" s="106" t="inlineStr">
        <is>
          <t>Meta estratégica (PDI)</t>
        </is>
      </c>
      <c r="G4" s="106" t="inlineStr">
        <is>
          <t>Meta 2032</t>
        </is>
      </c>
      <c r="H4" s="106" t="inlineStr">
        <is>
          <t>Meta institucional 2027</t>
        </is>
      </c>
      <c r="I4" s="106" t="inlineStr">
        <is>
          <t>Etiqueta meta (lista)</t>
        </is>
      </c>
      <c r="K4" s="106" t="inlineStr">
        <is>
          <t>Id área</t>
        </is>
      </c>
      <c r="L4" s="106" t="inlineStr">
        <is>
          <t>Código dependencia</t>
        </is>
      </c>
      <c r="M4" s="106" t="inlineStr">
        <is>
          <t>Dependencia</t>
        </is>
      </c>
      <c r="N4" s="106" t="inlineStr">
        <is>
          <t>Área funcional</t>
        </is>
      </c>
      <c r="O4" s="106" t="inlineStr">
        <is>
          <t>Proceso (GDC-DI-01 V9)</t>
        </is>
      </c>
      <c r="P4" s="106" t="inlineStr">
        <is>
          <t>Tipo de proceso</t>
        </is>
      </c>
      <c r="Q4" s="106" t="inlineStr">
        <is>
          <t>Etiqueta área (lista)</t>
        </is>
      </c>
      <c r="R4" s="106" t="inlineStr">
        <is>
          <t>Dependencia (etiqueta)</t>
        </is>
      </c>
      <c r="T4" s="106" t="inlineStr">
        <is>
          <t>Meta de la acción</t>
        </is>
      </c>
      <c r="U4" s="106" t="inlineStr">
        <is>
          <t>Acción del Plan de Acción 2027 (lista)</t>
        </is>
      </c>
      <c r="V4" s="106" t="inlineStr">
        <is>
          <t>Área funcional propuesta</t>
        </is>
      </c>
      <c r="W4" s="106" t="inlineStr">
        <is>
          <t>Dependencia propuesta</t>
        </is>
      </c>
      <c r="X4" s="106" t="inlineStr">
        <is>
          <t>Presupuesto 2027 (millones $, Plan de acción)</t>
        </is>
      </c>
      <c r="Z4" s="106" t="inlineStr">
        <is>
          <t>Meses</t>
        </is>
      </c>
      <c r="AA4" s="106" t="inlineStr">
        <is>
          <t>Unidad de duración</t>
        </is>
      </c>
      <c r="AB4" s="106" t="inlineStr">
        <is>
          <t>Modalidad de selección</t>
        </is>
      </c>
      <c r="AC4" s="106" t="inlineStr">
        <is>
          <t>Fuente de los recursos</t>
        </is>
      </c>
      <c r="AD4" s="106" t="inlineStr">
        <is>
          <t>Tipo de gasto</t>
        </is>
      </c>
      <c r="AE4" s="106" t="inlineStr">
        <is>
          <t>Sí/No</t>
        </is>
      </c>
      <c r="AF4" s="106" t="inlineStr">
        <is>
          <t>Estado vigencias futuras</t>
        </is>
      </c>
      <c r="AG4" s="106" t="inlineStr">
        <is>
          <t>Tipo de necesidad</t>
        </is>
      </c>
      <c r="AH4" s="106" t="inlineStr">
        <is>
          <t>Prioridad</t>
        </is>
      </c>
      <c r="AJ4" s="106" t="inlineStr">
        <is>
          <t>Código dependencia</t>
        </is>
      </c>
      <c r="AK4" s="106" t="inlineStr">
        <is>
          <t>Dependencia (etiqueta)</t>
        </is>
      </c>
      <c r="AM4" t="inlineStr">
        <is>
          <t>Parámetros de la vigencia</t>
        </is>
      </c>
    </row>
    <row r="5">
      <c r="A5" s="117" t="inlineStr">
        <is>
          <t>1.1.1.1</t>
        </is>
      </c>
      <c r="B5" s="117" t="n">
        <v>1</v>
      </c>
      <c r="C5" s="117" t="inlineStr">
        <is>
          <t>1 · Formación y pedagogía de calidad</t>
        </is>
      </c>
      <c r="D5" s="117" t="inlineStr">
        <is>
          <t>1.1</t>
        </is>
      </c>
      <c r="E5" s="117" t="inlineStr">
        <is>
          <t>1.1 · Ampliación de cobertura</t>
        </is>
      </c>
      <c r="F5" s="117" t="inlineStr">
        <is>
          <t>Contar con 11.000 estudiantes vinculados a programas de educación superior al 2032.</t>
        </is>
      </c>
      <c r="G5" s="117" t="inlineStr">
        <is>
          <t>11.000 estudiantes</t>
        </is>
      </c>
      <c r="H5" s="117" t="inlineStr">
        <is>
          <t>5.400 estudiantes</t>
        </is>
      </c>
      <c r="I5" s="117" t="inlineStr">
        <is>
          <t>1.1.1.1 · Contar con 11.000 estudiantes vinculados a programas de educación superior al 2032.</t>
        </is>
      </c>
      <c r="J5" s="117" t="n"/>
      <c r="K5" s="117" t="inlineStr">
        <is>
          <t>A01</t>
        </is>
      </c>
      <c r="L5" s="117" t="inlineStr">
        <is>
          <t>100</t>
        </is>
      </c>
      <c r="M5" s="117" t="inlineStr">
        <is>
          <t>Rectoría</t>
        </is>
      </c>
      <c r="N5" s="117" t="inlineStr">
        <is>
          <t>Despacho de Rectoría</t>
        </is>
      </c>
      <c r="O5" s="117" t="inlineStr">
        <is>
          <t>Direccionamiento Institucional</t>
        </is>
      </c>
      <c r="P5" s="117" t="inlineStr">
        <is>
          <t>Estratégico</t>
        </is>
      </c>
      <c r="Q5" s="117" t="inlineStr">
        <is>
          <t>A01 · Despacho de Rectoría (100)</t>
        </is>
      </c>
      <c r="R5" s="117" t="inlineStr">
        <is>
          <t>100 · Rectoría</t>
        </is>
      </c>
      <c r="S5" s="117" t="n"/>
      <c r="T5" s="117" t="inlineStr">
        <is>
          <t>1.1.1.1</t>
        </is>
      </c>
      <c r="U5" s="117" t="inlineStr">
        <is>
          <t>AC27.01 Fortalecer la medición de la cobertura y de sus efectos, de modo que la Escuela sepa cuántos estudiantes nuevos gana cada año y qué pasa con ellos al egresar</t>
        </is>
      </c>
      <c r="V5" s="117" t="inlineStr">
        <is>
          <t>Planeación y Plan de Acción; Egresados y Bolsa de Empleo</t>
        </is>
      </c>
      <c r="W5" s="117" t="inlineStr">
        <is>
          <t>101 · Oficina Asesora de Planeación y Desarrollo Institucional; 141 · GIT Extensión y Proyección Social</t>
        </is>
      </c>
      <c r="X5" s="117" t="n"/>
      <c r="Y5" s="117" t="n"/>
      <c r="Z5" s="117" t="inlineStr">
        <is>
          <t>Enero</t>
        </is>
      </c>
      <c r="AA5" s="117" t="inlineStr">
        <is>
          <t>Días</t>
        </is>
      </c>
      <c r="AB5" s="117" t="inlineStr">
        <is>
          <t>Contratación directa</t>
        </is>
      </c>
      <c r="AC5" s="117" t="inlineStr">
        <is>
          <t>Presupuesto General de la Nación – funcionamiento</t>
        </is>
      </c>
      <c r="AD5" s="117" t="inlineStr">
        <is>
          <t>Funcionamiento</t>
        </is>
      </c>
      <c r="AE5" s="117" t="inlineStr">
        <is>
          <t>Sí</t>
        </is>
      </c>
      <c r="AF5" s="117" t="inlineStr">
        <is>
          <t>No solicitadas</t>
        </is>
      </c>
      <c r="AG5" s="117" t="inlineStr">
        <is>
          <t>Prestación de servicios profesionales</t>
        </is>
      </c>
      <c r="AH5" s="117" t="inlineStr">
        <is>
          <t>Alta</t>
        </is>
      </c>
      <c r="AI5" s="117" t="n"/>
      <c r="AJ5" s="117" t="inlineStr">
        <is>
          <t>100</t>
        </is>
      </c>
      <c r="AK5" s="117" t="inlineStr">
        <is>
          <t>100 · Rectoría</t>
        </is>
      </c>
      <c r="AM5" t="inlineStr">
        <is>
          <t>Tope menor cuantía 2027</t>
        </is>
      </c>
      <c r="AN5" t="inlineStr">
        <is>
          <t>[PENDIENTE DE VERIFICAR]</t>
        </is>
      </c>
    </row>
    <row r="6">
      <c r="A6" s="117" t="inlineStr">
        <is>
          <t>1.1.1.2</t>
        </is>
      </c>
      <c r="B6" s="117" t="n">
        <v>1</v>
      </c>
      <c r="C6" s="117" t="inlineStr">
        <is>
          <t>1 · Formación y pedagogía de calidad</t>
        </is>
      </c>
      <c r="D6" s="117" t="inlineStr">
        <is>
          <t>1.1</t>
        </is>
      </c>
      <c r="E6" s="117" t="inlineStr">
        <is>
          <t>1.1 · Ampliación de cobertura</t>
        </is>
      </c>
      <c r="F6" s="117" t="inlineStr">
        <is>
          <t>Lograr que el 30% de los estudiantes del IBTI pasen a la educación superior de la ETITC.</t>
        </is>
      </c>
      <c r="G6" s="117" t="inlineStr">
        <is>
          <t>30% (MPI: 250 estudiantes en 2032)</t>
        </is>
      </c>
      <c r="H6" s="117" t="inlineStr">
        <is>
          <t>40 estudiantes</t>
        </is>
      </c>
      <c r="I6" s="117" t="inlineStr">
        <is>
          <t>1.1.1.2 · Lograr que el 30% de los estudiantes del IBTI pasen a la educación superior de la ETITC.</t>
        </is>
      </c>
      <c r="J6" s="117" t="n"/>
      <c r="K6" s="117" t="inlineStr">
        <is>
          <t>A02</t>
        </is>
      </c>
      <c r="L6" s="117" t="inlineStr">
        <is>
          <t>100</t>
        </is>
      </c>
      <c r="M6" s="117" t="inlineStr">
        <is>
          <t>Rectoría</t>
        </is>
      </c>
      <c r="N6" s="117" t="inlineStr">
        <is>
          <t>Comunicaciones y Mercadeo</t>
        </is>
      </c>
      <c r="O6" s="117" t="inlineStr">
        <is>
          <t>Gestión de Comunicaciones</t>
        </is>
      </c>
      <c r="P6" s="117" t="inlineStr">
        <is>
          <t>Estratégico</t>
        </is>
      </c>
      <c r="Q6" s="117" t="inlineStr">
        <is>
          <t>A02 · Comunicaciones y Mercadeo (100)</t>
        </is>
      </c>
      <c r="R6" s="117" t="inlineStr">
        <is>
          <t>100 · Rectoría</t>
        </is>
      </c>
      <c r="S6" s="117" t="n"/>
      <c r="T6" s="117" t="inlineStr">
        <is>
          <t>1.1.1.1</t>
        </is>
      </c>
      <c r="U6" s="117" t="inlineStr">
        <is>
          <t>AC27.02 Orientar la admisión 2027 hacia los programas con mayor demanda, con un calendario de admisiones armonizado con los recursos que asigna el Ministerio de Educación</t>
        </is>
      </c>
      <c r="V6" s="117" t="inlineStr">
        <is>
          <t>GIT Registro, Control y Admisiones; Despacho de la Vicerrectoría Académica</t>
        </is>
      </c>
      <c r="W6" s="117" t="inlineStr">
        <is>
          <t>126 · GIT Registro y Control; 120 · Vicerrectoría Académica</t>
        </is>
      </c>
      <c r="X6" s="117" t="n"/>
      <c r="Y6" s="117" t="n"/>
      <c r="Z6" s="117" t="inlineStr">
        <is>
          <t>Febrero</t>
        </is>
      </c>
      <c r="AA6" s="117" t="inlineStr">
        <is>
          <t>Meses</t>
        </is>
      </c>
      <c r="AB6" s="117" t="inlineStr">
        <is>
          <t>Mínima cuantía</t>
        </is>
      </c>
      <c r="AC6" s="117" t="inlineStr">
        <is>
          <t>Presupuesto General de la Nación – inversión</t>
        </is>
      </c>
      <c r="AD6" s="117" t="inlineStr">
        <is>
          <t>Inversión</t>
        </is>
      </c>
      <c r="AE6" s="117" t="inlineStr">
        <is>
          <t>No</t>
        </is>
      </c>
      <c r="AF6" s="117" t="inlineStr">
        <is>
          <t>Solicitadas</t>
        </is>
      </c>
      <c r="AG6" s="117" t="inlineStr">
        <is>
          <t>Prestación de servicios de apoyo a la gestión</t>
        </is>
      </c>
      <c r="AH6" s="117" t="inlineStr">
        <is>
          <t>Media</t>
        </is>
      </c>
      <c r="AI6" s="117" t="n"/>
      <c r="AJ6" s="117" t="inlineStr">
        <is>
          <t>101</t>
        </is>
      </c>
      <c r="AK6" s="117" t="inlineStr">
        <is>
          <t>101 · Oficina Asesora de Planeación y Desarrollo Institucional</t>
        </is>
      </c>
      <c r="AM6" t="inlineStr">
        <is>
          <t>Tope mínima cuantía 2027</t>
        </is>
      </c>
      <c r="AN6" t="inlineStr">
        <is>
          <t>[PENDIENTE DE VERIFICAR]</t>
        </is>
      </c>
    </row>
    <row r="7">
      <c r="A7" s="117" t="inlineStr">
        <is>
          <t>1.2.1.1</t>
        </is>
      </c>
      <c r="B7" s="117" t="n">
        <v>1</v>
      </c>
      <c r="C7" s="117" t="inlineStr">
        <is>
          <t>1 · Formación y pedagogía de calidad</t>
        </is>
      </c>
      <c r="D7" s="117" t="inlineStr">
        <is>
          <t>1.2</t>
        </is>
      </c>
      <c r="E7" s="117" t="inlineStr">
        <is>
          <t>1.2 · Oferta educativa</t>
        </is>
      </c>
      <c r="F7" s="117" t="inlineStr">
        <is>
          <t>Ofrecer programas de educación superior: 5 pregrados nuevos, 3 especializaciones y 3 maestrías.</t>
        </is>
      </c>
      <c r="G7" s="117" t="inlineStr">
        <is>
          <t>5 pregrados, 3 especializaciones, 3 maestrías</t>
        </is>
      </c>
      <c r="H7" s="117" t="inlineStr">
        <is>
          <t>Pregrado: 3 documentos maestros, 2 programas con registro calificado y 2 ofertados desde el II semestre. Posgrado: 2 especializaciones y 2 maestrías ofertadas en el II semestre.</t>
        </is>
      </c>
      <c r="I7" s="117" t="inlineStr">
        <is>
          <t>1.2.1.1 · Ofrecer programas de educación superior: 5 pregrados nuevos, 3 especializaciones y 3 maestrías.</t>
        </is>
      </c>
      <c r="J7" s="117" t="n"/>
      <c r="K7" s="117" t="inlineStr">
        <is>
          <t>A03</t>
        </is>
      </c>
      <c r="L7" s="117" t="inlineStr">
        <is>
          <t>100</t>
        </is>
      </c>
      <c r="M7" s="117" t="inlineStr">
        <is>
          <t>Rectoría</t>
        </is>
      </c>
      <c r="N7" s="117" t="inlineStr">
        <is>
          <t>Internacionalización (ORII)</t>
        </is>
      </c>
      <c r="O7" s="117" t="inlineStr">
        <is>
          <t>Gestión de Internacionalización</t>
        </is>
      </c>
      <c r="P7" s="117" t="inlineStr">
        <is>
          <t>Estratégico</t>
        </is>
      </c>
      <c r="Q7" s="117" t="inlineStr">
        <is>
          <t>A03 · Internacionalización (ORII) (100)</t>
        </is>
      </c>
      <c r="R7" s="117" t="inlineStr">
        <is>
          <t>100 · Rectoría</t>
        </is>
      </c>
      <c r="S7" s="117" t="n"/>
      <c r="T7" s="117" t="inlineStr">
        <is>
          <t>1.1.1.1</t>
        </is>
      </c>
      <c r="U7" s="117" t="inlineStr">
        <is>
          <t>AC27.03 Ampliar la cobertura en los territorios con cohortes nuevas en La Primavera (Vichada) y en Zipaquirá</t>
        </is>
      </c>
      <c r="V7" s="117" t="inlineStr">
        <is>
          <t>Despacho de la Vicerrectoría Académica; Sedes Tintal / Soacha-UPK / Viotá</t>
        </is>
      </c>
      <c r="W7" s="117" t="inlineStr">
        <is>
          <t>120 · Vicerrectoría Académica</t>
        </is>
      </c>
      <c r="X7" s="117" t="n"/>
      <c r="Y7" s="117" t="n"/>
      <c r="Z7" s="117" t="inlineStr">
        <is>
          <t>Marzo</t>
        </is>
      </c>
      <c r="AA7" s="117" t="inlineStr">
        <is>
          <t>Años</t>
        </is>
      </c>
      <c r="AB7" s="117" t="inlineStr">
        <is>
          <t>Selección abreviada de menor cuantía</t>
        </is>
      </c>
      <c r="AC7" s="117" t="inlineStr">
        <is>
          <t>Recursos propios (matrículas, extensión y otros ingresos)</t>
        </is>
      </c>
      <c r="AD7" s="117" t="n"/>
      <c r="AE7" s="117" t="n"/>
      <c r="AF7" s="117" t="inlineStr">
        <is>
          <t>Aprobadas</t>
        </is>
      </c>
      <c r="AG7" s="117" t="inlineStr">
        <is>
          <t>Adquisición de bienes (compraventa)</t>
        </is>
      </c>
      <c r="AH7" s="117" t="inlineStr">
        <is>
          <t>Baja</t>
        </is>
      </c>
      <c r="AI7" s="117" t="n"/>
      <c r="AJ7" s="117" t="inlineStr">
        <is>
          <t>102</t>
        </is>
      </c>
      <c r="AK7" s="117" t="inlineStr">
        <is>
          <t>102 · Control Interno</t>
        </is>
      </c>
      <c r="AM7" t="inlineStr">
        <is>
          <t>SMMLV 2027</t>
        </is>
      </c>
      <c r="AN7" t="inlineStr">
        <is>
          <t>[PENDIENTE DE VERIFICAR]</t>
        </is>
      </c>
    </row>
    <row r="8">
      <c r="A8" s="117" t="inlineStr">
        <is>
          <t>1.3.1.1</t>
        </is>
      </c>
      <c r="B8" s="117" t="n">
        <v>1</v>
      </c>
      <c r="C8" s="117" t="inlineStr">
        <is>
          <t>1 · Formación y pedagogía de calidad</t>
        </is>
      </c>
      <c r="D8" s="117" t="inlineStr">
        <is>
          <t>1.3</t>
        </is>
      </c>
      <c r="E8" s="117" t="inlineStr">
        <is>
          <t>1.3 · Calidad de los programas académicos</t>
        </is>
      </c>
      <c r="F8" s="117" t="inlineStr">
        <is>
          <t>Contar con la acreditación del 100% de los programas de la ETITC que sean acreditables.</t>
        </is>
      </c>
      <c r="G8" s="117" t="inlineStr">
        <is>
          <t>100% de los acreditables (MPI: 24 programas)</t>
        </is>
      </c>
      <c r="H8" s="117" t="inlineStr">
        <is>
          <t>Sugerida por la OAP: mantener el 100% de los programas acreditables acreditados, 18 programas con acreditación vigente, según la MPI, y radicar a tiempo las renovaciones que vencen en 2027</t>
        </is>
      </c>
      <c r="I8" s="117" t="inlineStr">
        <is>
          <t>1.3.1.1 · Contar con la acreditación del 100% de los programas de la ETITC que sean acreditables.</t>
        </is>
      </c>
      <c r="J8" s="117" t="n"/>
      <c r="K8" s="117" t="inlineStr">
        <is>
          <t>A04</t>
        </is>
      </c>
      <c r="L8" s="117" t="inlineStr">
        <is>
          <t>102</t>
        </is>
      </c>
      <c r="M8" s="117" t="inlineStr">
        <is>
          <t>Control Interno</t>
        </is>
      </c>
      <c r="N8" s="117" t="inlineStr">
        <is>
          <t>Control Interno</t>
        </is>
      </c>
      <c r="O8" s="117" t="inlineStr">
        <is>
          <t>Gestión de Control Interno</t>
        </is>
      </c>
      <c r="P8" s="117" t="inlineStr">
        <is>
          <t>Evaluación</t>
        </is>
      </c>
      <c r="Q8" s="117" t="inlineStr">
        <is>
          <t>A04 · Control Interno (102)</t>
        </is>
      </c>
      <c r="R8" s="117" t="inlineStr">
        <is>
          <t>102 · Control Interno</t>
        </is>
      </c>
      <c r="S8" s="117" t="n"/>
      <c r="T8" s="117" t="inlineStr">
        <is>
          <t>1.1.1.1</t>
        </is>
      </c>
      <c r="U8" s="117" t="inlineStr">
        <is>
          <t>PROPIA Acción formulada por el área en la plantilla (escriba su nombre en la columna I)</t>
        </is>
      </c>
      <c r="V8" s="117" t="n"/>
      <c r="W8" s="117" t="n"/>
      <c r="X8" s="117" t="n"/>
      <c r="Y8" s="117" t="n"/>
      <c r="Z8" s="117" t="inlineStr">
        <is>
          <t>Abril</t>
        </is>
      </c>
      <c r="AA8" s="117" t="n"/>
      <c r="AB8" s="117" t="inlineStr">
        <is>
          <t>Selección abreviada – subasta inversa</t>
        </is>
      </c>
      <c r="AC8" s="117" t="inlineStr">
        <is>
          <t>MEN – Plan de Fomento a la Calidad (PFC)</t>
        </is>
      </c>
      <c r="AD8" s="117" t="n"/>
      <c r="AE8" s="117" t="n"/>
      <c r="AF8" s="117" t="inlineStr">
        <is>
          <t>No aplica</t>
        </is>
      </c>
      <c r="AG8" s="117" t="inlineStr">
        <is>
          <t>Suministro</t>
        </is>
      </c>
      <c r="AH8" s="117" t="n"/>
      <c r="AI8" s="117" t="n"/>
      <c r="AJ8" s="117" t="inlineStr">
        <is>
          <t>110</t>
        </is>
      </c>
      <c r="AK8" s="117" t="inlineStr">
        <is>
          <t>110 · Secretaría General</t>
        </is>
      </c>
      <c r="AM8" t="inlineStr">
        <is>
          <t>Fecha de remisión</t>
        </is>
      </c>
      <c r="AN8" t="inlineStr">
        <is>
          <t>[PENDIENTE DE VERIFICAR]</t>
        </is>
      </c>
    </row>
    <row r="9">
      <c r="A9" s="117" t="inlineStr">
        <is>
          <t>1.3.1.2</t>
        </is>
      </c>
      <c r="B9" s="117" t="n">
        <v>1</v>
      </c>
      <c r="C9" s="117" t="inlineStr">
        <is>
          <t>1 · Formación y pedagogía de calidad</t>
        </is>
      </c>
      <c r="D9" s="117" t="inlineStr">
        <is>
          <t>1.3</t>
        </is>
      </c>
      <c r="E9" s="117" t="inlineStr">
        <is>
          <t>1.3 · Calidad de los programas académicos</t>
        </is>
      </c>
      <c r="F9" s="117" t="inlineStr">
        <is>
          <t>Resultados de las Pruebas SABER por encima de la valoración de la media.</t>
        </is>
      </c>
      <c r="G9" s="117" t="inlineStr">
        <is>
          <t>Por encima de la media nacional</t>
        </is>
      </c>
      <c r="H9" s="117" t="inlineStr">
        <is>
          <t>Sugerida por la OAP: promedio institucional de 254 puntos, mejora de 1 punto por año desde 252 en 2024, y por encima de la media nacional del grupo de referencia</t>
        </is>
      </c>
      <c r="I9" s="117" t="inlineStr">
        <is>
          <t>1.3.1.2 · Resultados de las Pruebas SABER por encima de la valoración de la media.</t>
        </is>
      </c>
      <c r="J9" s="117" t="n"/>
      <c r="K9" s="117" t="inlineStr">
        <is>
          <t>A05</t>
        </is>
      </c>
      <c r="L9" s="117" t="inlineStr">
        <is>
          <t>101</t>
        </is>
      </c>
      <c r="M9" s="117" t="inlineStr">
        <is>
          <t>Oficina Asesora de Planeación y Desarrollo Institucional</t>
        </is>
      </c>
      <c r="N9" s="117" t="inlineStr">
        <is>
          <t>Planeación y Plan de Acción</t>
        </is>
      </c>
      <c r="O9" s="117" t="inlineStr">
        <is>
          <t>Direccionamiento Institucional</t>
        </is>
      </c>
      <c r="P9" s="117" t="inlineStr">
        <is>
          <t>Estratégico</t>
        </is>
      </c>
      <c r="Q9" s="117" t="inlineStr">
        <is>
          <t>A05 · Planeación y Plan de Acción (101)</t>
        </is>
      </c>
      <c r="R9" s="117" t="inlineStr">
        <is>
          <t>101 · Oficina Asesora de Planeación y Desarrollo Institucional</t>
        </is>
      </c>
      <c r="S9" s="117" t="n"/>
      <c r="T9" s="117" t="inlineStr">
        <is>
          <t>1.1.1.2</t>
        </is>
      </c>
      <c r="U9" s="117" t="inlineStr">
        <is>
          <t>AC27.04 Consolidar la ruta de tránsito del IBTI a la educación superior de la ETITC, desde la alineación curricular hasta el acompañamiento de la cohorte que ingresa</t>
        </is>
      </c>
      <c r="V9" s="117" t="inlineStr">
        <is>
          <t>Despacho de la Vicerrectoría Académica; IBTI; GIT Registro, Control y Admisiones</t>
        </is>
      </c>
      <c r="W9" s="117" t="inlineStr">
        <is>
          <t>120 · Vicerrectoría Académica; 124 · Instituto de Bachillerato Técnico Industrial (IBTI); 126 · GIT Registro y Control</t>
        </is>
      </c>
      <c r="X9" s="117" t="n"/>
      <c r="Y9" s="117" t="n"/>
      <c r="Z9" s="117" t="inlineStr">
        <is>
          <t>Mayo</t>
        </is>
      </c>
      <c r="AA9" s="117" t="n"/>
      <c r="AB9" s="117" t="inlineStr">
        <is>
          <t>Selección abreviada – acuerdo marco de precios (Tienda Virtual del Estado Colombiano)</t>
        </is>
      </c>
      <c r="AC9" s="117" t="inlineStr">
        <is>
          <t>MEN – Excedentes de cooperativas</t>
        </is>
      </c>
      <c r="AD9" s="117" t="n"/>
      <c r="AE9" s="117" t="n"/>
      <c r="AF9" s="117" t="n"/>
      <c r="AG9" s="117" t="inlineStr">
        <is>
          <t>Mantenimiento</t>
        </is>
      </c>
      <c r="AH9" s="117" t="n"/>
      <c r="AI9" s="117" t="n"/>
      <c r="AJ9" s="117" t="inlineStr">
        <is>
          <t>120</t>
        </is>
      </c>
      <c r="AK9" s="117" t="inlineStr">
        <is>
          <t>120 · Vicerrectoría Académica</t>
        </is>
      </c>
    </row>
    <row r="10">
      <c r="A10" s="117" t="inlineStr">
        <is>
          <t>1.4.1.1</t>
        </is>
      </c>
      <c r="B10" s="117" t="n">
        <v>1</v>
      </c>
      <c r="C10" s="117" t="inlineStr">
        <is>
          <t>1 · Formación y pedagogía de calidad</t>
        </is>
      </c>
      <c r="D10" s="117" t="inlineStr">
        <is>
          <t>1.4</t>
        </is>
      </c>
      <c r="E10" s="117" t="inlineStr">
        <is>
          <t>1.4 · Acreditación internacional</t>
        </is>
      </c>
      <c r="F10" s="117" t="inlineStr">
        <is>
          <t>Contar con 2 programas de acreditación internacional.</t>
        </is>
      </c>
      <c r="G10" s="117" t="inlineStr">
        <is>
          <t>2 programas</t>
        </is>
      </c>
      <c r="H10" s="117" t="inlineStr">
        <is>
          <t>Sugerida por la OAP: 2 programas, priorizando los híbridos y virtuales de IA, con resultados de aprendizaje referenciados a los 8 niveles del MEC y plan de cualificación internacional aprobado; 1 alianza con una IES o agencia extranjera para su reconocimiento</t>
        </is>
      </c>
      <c r="I10" s="117" t="inlineStr">
        <is>
          <t>1.4.1.1 · Contar con 2 programas de acreditación internacional.</t>
        </is>
      </c>
      <c r="J10" s="117" t="n"/>
      <c r="K10" s="117" t="inlineStr">
        <is>
          <t>A06</t>
        </is>
      </c>
      <c r="L10" s="117" t="inlineStr">
        <is>
          <t>101</t>
        </is>
      </c>
      <c r="M10" s="117" t="inlineStr">
        <is>
          <t>Oficina Asesora de Planeación y Desarrollo Institucional</t>
        </is>
      </c>
      <c r="N10" s="117" t="inlineStr">
        <is>
          <t>Gestión de Proyectos</t>
        </is>
      </c>
      <c r="O10" s="117" t="inlineStr">
        <is>
          <t>Direccionamiento Institucional</t>
        </is>
      </c>
      <c r="P10" s="117" t="inlineStr">
        <is>
          <t>Estratégico</t>
        </is>
      </c>
      <c r="Q10" s="117" t="inlineStr">
        <is>
          <t>A06 · Gestión de Proyectos (101)</t>
        </is>
      </c>
      <c r="R10" s="117" t="inlineStr">
        <is>
          <t>101 · Oficina Asesora de Planeación y Desarrollo Institucional</t>
        </is>
      </c>
      <c r="S10" s="117" t="n"/>
      <c r="T10" s="117" t="inlineStr">
        <is>
          <t>1.1.1.2</t>
        </is>
      </c>
      <c r="U10" s="117" t="inlineStr">
        <is>
          <t>PROPIA Acción formulada por el área en la plantilla (escriba su nombre en la columna I)</t>
        </is>
      </c>
      <c r="V10" s="117" t="n"/>
      <c r="W10" s="117" t="n"/>
      <c r="X10" s="117" t="n"/>
      <c r="Y10" s="117" t="n"/>
      <c r="Z10" s="117" t="inlineStr">
        <is>
          <t>Junio</t>
        </is>
      </c>
      <c r="AA10" s="117" t="n"/>
      <c r="AB10" s="117" t="inlineStr">
        <is>
          <t>Concurso de méritos</t>
        </is>
      </c>
      <c r="AC10" s="117" t="inlineStr">
        <is>
          <t>MEN – Otras asignaciones (ampliación de cobertura, votaciones, PIC)</t>
        </is>
      </c>
      <c r="AD10" s="117" t="n"/>
      <c r="AE10" s="117" t="n"/>
      <c r="AF10" s="117" t="n"/>
      <c r="AG10" s="117" t="inlineStr">
        <is>
          <t>Obra pública</t>
        </is>
      </c>
      <c r="AH10" s="117" t="n"/>
      <c r="AI10" s="117" t="n"/>
      <c r="AJ10" s="117" t="inlineStr">
        <is>
          <t>121</t>
        </is>
      </c>
      <c r="AK10" s="117" t="inlineStr">
        <is>
          <t>121 · GIT Biblioteca y Recursos Educativos</t>
        </is>
      </c>
    </row>
    <row r="11">
      <c r="A11" s="117" t="inlineStr">
        <is>
          <t>1.5.1.1</t>
        </is>
      </c>
      <c r="B11" s="117" t="n">
        <v>1</v>
      </c>
      <c r="C11" s="117" t="inlineStr">
        <is>
          <t>1 · Formación y pedagogía de calidad</t>
        </is>
      </c>
      <c r="D11" s="117" t="inlineStr">
        <is>
          <t>1.5</t>
        </is>
      </c>
      <c r="E11" s="117" t="inlineStr">
        <is>
          <t>1.5 · Fortalecimiento del cuerpo docente</t>
        </is>
      </c>
      <c r="F11" s="117" t="inlineStr">
        <is>
          <t>Se mantienen 12 doctores en formación.</t>
        </is>
      </c>
      <c r="G11" s="117" t="inlineStr">
        <is>
          <t>12 doctores en formación (MPI: 10)</t>
        </is>
      </c>
      <c r="H11" s="117" t="inlineStr">
        <is>
          <t>2 docentes nuevos en formación doctoral (acumulado sugerido: 5)</t>
        </is>
      </c>
      <c r="I11" s="117" t="inlineStr">
        <is>
          <t>1.5.1.1 · Se mantienen 12 doctores en formación.</t>
        </is>
      </c>
      <c r="J11" s="117" t="n"/>
      <c r="K11" s="117" t="inlineStr">
        <is>
          <t>A07</t>
        </is>
      </c>
      <c r="L11" s="117" t="inlineStr">
        <is>
          <t>101</t>
        </is>
      </c>
      <c r="M11" s="117" t="inlineStr">
        <is>
          <t>Oficina Asesora de Planeación y Desarrollo Institucional</t>
        </is>
      </c>
      <c r="N11" s="117" t="inlineStr">
        <is>
          <t>Autoevaluación y Acreditación</t>
        </is>
      </c>
      <c r="O11" s="117" t="inlineStr">
        <is>
          <t>Gestión del Sistema Integrado de Aseguramiento</t>
        </is>
      </c>
      <c r="P11" s="117" t="inlineStr">
        <is>
          <t>Estratégico</t>
        </is>
      </c>
      <c r="Q11" s="117" t="inlineStr">
        <is>
          <t>A07 · Autoevaluación y Acreditación (101)</t>
        </is>
      </c>
      <c r="R11" s="117" t="inlineStr">
        <is>
          <t>101 · Oficina Asesora de Planeación y Desarrollo Institucional</t>
        </is>
      </c>
      <c r="S11" s="117" t="n"/>
      <c r="T11" s="117" t="inlineStr">
        <is>
          <t>1.2.1.1</t>
        </is>
      </c>
      <c r="U11" s="117" t="inlineStr">
        <is>
          <t>AC27.05 Completar el diseño y la aprobación de la nueva oferta de pregrado, con énfasis en inteligencia artificial y ciencia de datos</t>
        </is>
      </c>
      <c r="V11" s="117" t="inlineStr">
        <is>
          <t>Despacho de la Vicerrectoría Académica; Facultad de Inteligencia Artificial (Acuerdo 010 de 2025)</t>
        </is>
      </c>
      <c r="W11" s="117" t="inlineStr">
        <is>
          <t>120 · Vicerrectoría Académica; 123 · Facultades</t>
        </is>
      </c>
      <c r="X11" s="117" t="n"/>
      <c r="Y11" s="117" t="n"/>
      <c r="Z11" s="117" t="inlineStr">
        <is>
          <t>Julio</t>
        </is>
      </c>
      <c r="AA11" s="117" t="n"/>
      <c r="AB11" s="117" t="inlineStr">
        <is>
          <t>Licitación pública</t>
        </is>
      </c>
      <c r="AC11" s="117" t="inlineStr">
        <is>
          <t>Convenio o cooperación (indicar en observaciones)</t>
        </is>
      </c>
      <c r="AD11" s="117" t="n"/>
      <c r="AE11" s="117" t="n"/>
      <c r="AF11" s="117" t="n"/>
      <c r="AG11" s="117" t="inlineStr">
        <is>
          <t>Consultoría</t>
        </is>
      </c>
      <c r="AH11" s="117" t="n"/>
      <c r="AI11" s="117" t="n"/>
      <c r="AJ11" s="117" t="inlineStr">
        <is>
          <t>122</t>
        </is>
      </c>
      <c r="AK11" s="117" t="inlineStr">
        <is>
          <t>122 · GIT Bienestar Universitario</t>
        </is>
      </c>
    </row>
    <row r="12">
      <c r="A12" s="117" t="inlineStr">
        <is>
          <t>1.5.1.2</t>
        </is>
      </c>
      <c r="B12" s="117" t="n">
        <v>1</v>
      </c>
      <c r="C12" s="117" t="inlineStr">
        <is>
          <t>1 · Formación y pedagogía de calidad</t>
        </is>
      </c>
      <c r="D12" s="117" t="inlineStr">
        <is>
          <t>1.5</t>
        </is>
      </c>
      <c r="E12" s="117" t="inlineStr">
        <is>
          <t>1.5 · Fortalecimiento del cuerpo docente</t>
        </is>
      </c>
      <c r="F12" s="117" t="inlineStr">
        <is>
          <t>80% en formación docentes de planta.</t>
        </is>
      </c>
      <c r="G12" s="117" t="inlineStr">
        <is>
          <t>80%</t>
        </is>
      </c>
      <c r="H12" s="117" t="inlineStr">
        <is>
          <t>6 docentes de planta en maestría y 40 docentes en formación continuada</t>
        </is>
      </c>
      <c r="I12" s="117" t="inlineStr">
        <is>
          <t>1.5.1.2 · 80% en formación docentes de planta.</t>
        </is>
      </c>
      <c r="J12" s="117" t="n"/>
      <c r="K12" s="117" t="inlineStr">
        <is>
          <t>A08</t>
        </is>
      </c>
      <c r="L12" s="117" t="inlineStr">
        <is>
          <t>101</t>
        </is>
      </c>
      <c r="M12" s="117" t="inlineStr">
        <is>
          <t>Oficina Asesora de Planeación y Desarrollo Institucional</t>
        </is>
      </c>
      <c r="N12" s="117" t="inlineStr">
        <is>
          <t>Aseguramiento de la Calidad, MIPG y Registros Calificados</t>
        </is>
      </c>
      <c r="O12" s="117" t="inlineStr">
        <is>
          <t>Gestión del Sistema Integrado de Aseguramiento</t>
        </is>
      </c>
      <c r="P12" s="117" t="inlineStr">
        <is>
          <t>Estratégico</t>
        </is>
      </c>
      <c r="Q12" s="117" t="inlineStr">
        <is>
          <t>A08 · Aseguramiento de la Calidad, MIPG y Registros Calificados (101)</t>
        </is>
      </c>
      <c r="R12" s="117" t="inlineStr">
        <is>
          <t>101 · Oficina Asesora de Planeación y Desarrollo Institucional</t>
        </is>
      </c>
      <c r="S12" s="117" t="n"/>
      <c r="T12" s="117" t="inlineStr">
        <is>
          <t>1.2.1.1</t>
        </is>
      </c>
      <c r="U12" s="117" t="inlineStr">
        <is>
          <t>AC27.06 Poner en marcha la nueva oferta en el segundo semestre de 2027, incluidos los posgrados y los programas que se desarrollarán en Zipaquirá</t>
        </is>
      </c>
      <c r="V12" s="117" t="inlineStr">
        <is>
          <t>Aseguramiento de la Calidad, MIPG y Registros Calificados; Coordinación de Especializaciones</t>
        </is>
      </c>
      <c r="W12" s="117" t="inlineStr">
        <is>
          <t>101 · Oficina Asesora de Planeación y Desarrollo Institucional; 123 · Facultades</t>
        </is>
      </c>
      <c r="X12" s="117" t="n"/>
      <c r="Y12" s="117" t="n"/>
      <c r="Z12" s="117" t="inlineStr">
        <is>
          <t>Agosto</t>
        </is>
      </c>
      <c r="AA12" s="117" t="n"/>
      <c r="AB12" s="117" t="n"/>
      <c r="AC12" s="117" t="inlineStr">
        <is>
          <t>Otra (indicar en observaciones)</t>
        </is>
      </c>
      <c r="AD12" s="117" t="n"/>
      <c r="AE12" s="117" t="n"/>
      <c r="AF12" s="117" t="n"/>
      <c r="AG12" s="117" t="inlineStr">
        <is>
          <t>Interventoría</t>
        </is>
      </c>
      <c r="AH12" s="117" t="n"/>
      <c r="AI12" s="117" t="n"/>
      <c r="AJ12" s="117" t="inlineStr">
        <is>
          <t>123</t>
        </is>
      </c>
      <c r="AK12" s="117" t="inlineStr">
        <is>
          <t>123 · Facultades</t>
        </is>
      </c>
    </row>
    <row r="13">
      <c r="A13" s="117" t="inlineStr">
        <is>
          <t>2.1.1.1</t>
        </is>
      </c>
      <c r="B13" s="117" t="n">
        <v>2</v>
      </c>
      <c r="C13" s="117" t="inlineStr">
        <is>
          <t>2 · Investigación y producción técnico-científica</t>
        </is>
      </c>
      <c r="D13" s="117" t="inlineStr">
        <is>
          <t>2.1</t>
        </is>
      </c>
      <c r="E13" s="117" t="inlineStr">
        <is>
          <t>2.1 · Capacidades de investigación e innovación</t>
        </is>
      </c>
      <c r="F13" s="117" t="inlineStr">
        <is>
          <t>Contar como mínimo por vigencia con un (1) grupo de investigación en clasificación A (en MinCiencias).</t>
        </is>
      </c>
      <c r="G13" s="117" t="inlineStr">
        <is>
          <t>1 grupo A (MPI: 8 grupos A)</t>
        </is>
      </c>
      <c r="H13" s="117" t="inlineStr">
        <is>
          <t>Sugerida por la OAP: 1 grupo con ruta de ascenso a categoría A aprobada y con la producción de nuevo conocimiento requerida para la siguiente medición</t>
        </is>
      </c>
      <c r="I13" s="117" t="inlineStr">
        <is>
          <t>2.1.1.1 · Contar como mínimo por vigencia con un (1) grupo de investigación en clasificación A (en MinCiencias).</t>
        </is>
      </c>
      <c r="J13" s="117" t="n"/>
      <c r="K13" s="117" t="inlineStr">
        <is>
          <t>A09</t>
        </is>
      </c>
      <c r="L13" s="117" t="inlineStr">
        <is>
          <t>132</t>
        </is>
      </c>
      <c r="M13" s="117" t="inlineStr">
        <is>
          <t>GIT Gestión de Informática y Telecomunicaciones</t>
        </is>
      </c>
      <c r="N13" s="117" t="inlineStr">
        <is>
          <t>Seguridad Digital y Continuidad</t>
        </is>
      </c>
      <c r="O13" s="117" t="inlineStr">
        <is>
          <t>Gestión de Informática y Telecomunicaciones</t>
        </is>
      </c>
      <c r="P13" s="117" t="inlineStr">
        <is>
          <t>Estratégico</t>
        </is>
      </c>
      <c r="Q13" s="117" t="inlineStr">
        <is>
          <t>A09 · Seguridad Digital y Continuidad (132)</t>
        </is>
      </c>
      <c r="R13" s="117" t="inlineStr">
        <is>
          <t>132 · GIT Gestión de Informática y Telecomunicaciones</t>
        </is>
      </c>
      <c r="S13" s="117" t="n"/>
      <c r="T13" s="117" t="inlineStr">
        <is>
          <t>1.2.1.1</t>
        </is>
      </c>
      <c r="U13" s="117" t="inlineStr">
        <is>
          <t>PROPIA Acción formulada por el área en la plantilla (escriba su nombre en la columna I)</t>
        </is>
      </c>
      <c r="V13" s="117" t="n"/>
      <c r="W13" s="117" t="n"/>
      <c r="X13" s="117" t="n"/>
      <c r="Y13" s="117" t="n"/>
      <c r="Z13" s="117" t="inlineStr">
        <is>
          <t>Septiembre</t>
        </is>
      </c>
      <c r="AA13" s="117" t="n"/>
      <c r="AB13" s="117" t="n"/>
      <c r="AC13" s="117" t="n"/>
      <c r="AD13" s="117" t="n"/>
      <c r="AE13" s="117" t="n"/>
      <c r="AF13" s="117" t="n"/>
      <c r="AG13" s="117" t="inlineStr">
        <is>
          <t>Licencias, software y servicios tecnológicos</t>
        </is>
      </c>
      <c r="AH13" s="117" t="n"/>
      <c r="AI13" s="117" t="n"/>
      <c r="AJ13" s="117" t="inlineStr">
        <is>
          <t>124</t>
        </is>
      </c>
      <c r="AK13" s="117" t="inlineStr">
        <is>
          <t>124 · Instituto de Bachillerato Técnico Industrial (IBTI)</t>
        </is>
      </c>
    </row>
    <row r="14">
      <c r="A14" s="117" t="inlineStr">
        <is>
          <t>2.1.1.2</t>
        </is>
      </c>
      <c r="B14" s="117" t="n">
        <v>2</v>
      </c>
      <c r="C14" s="117" t="inlineStr">
        <is>
          <t>2 · Investigación y producción técnico-científica</t>
        </is>
      </c>
      <c r="D14" s="117" t="inlineStr">
        <is>
          <t>2.1</t>
        </is>
      </c>
      <c r="E14" s="117" t="inlineStr">
        <is>
          <t>2.1 · Capacidades de investigación e innovación</t>
        </is>
      </c>
      <c r="F14" s="117" t="inlineStr">
        <is>
          <t>Tres (3) grupos en B.</t>
        </is>
      </c>
      <c r="G14" s="117" t="inlineStr">
        <is>
          <t>3 grupos B (MPI: 16)</t>
        </is>
      </c>
      <c r="H14" s="117" t="inlineStr">
        <is>
          <t>Sugerida por la OAP: 1 grupo clasificado en B, ascenso de uno de los 2 grupos en C,</t>
        </is>
      </c>
      <c r="I14" s="117" t="inlineStr">
        <is>
          <t>2.1.1.2 · Tres (3) grupos en B.</t>
        </is>
      </c>
      <c r="J14" s="117" t="n"/>
      <c r="K14" s="117" t="inlineStr">
        <is>
          <t>A10</t>
        </is>
      </c>
      <c r="L14" s="117" t="inlineStr">
        <is>
          <t>101</t>
        </is>
      </c>
      <c r="M14" s="117" t="inlineStr">
        <is>
          <t>Oficina Asesora de Planeación y Desarrollo Institucional</t>
        </is>
      </c>
      <c r="N14" s="117" t="inlineStr">
        <is>
          <t>Gestión Ambiental</t>
        </is>
      </c>
      <c r="O14" s="117" t="inlineStr">
        <is>
          <t>Gestión del Sistema Integrado de Aseguramiento</t>
        </is>
      </c>
      <c r="P14" s="117" t="inlineStr">
        <is>
          <t>Estratégico</t>
        </is>
      </c>
      <c r="Q14" s="117" t="inlineStr">
        <is>
          <t>A10 · Gestión Ambiental (101)</t>
        </is>
      </c>
      <c r="R14" s="117" t="inlineStr">
        <is>
          <t>101 · Oficina Asesora de Planeación y Desarrollo Institucional</t>
        </is>
      </c>
      <c r="S14" s="117" t="n"/>
      <c r="T14" s="117" t="inlineStr">
        <is>
          <t>1.3.1.1</t>
        </is>
      </c>
      <c r="U14" s="117" t="inlineStr">
        <is>
          <t>AC27.07 Asegurar la continuidad de las acreditaciones de programa, con un calendario de vencimientos y la radicación oportuna de las renovaciones de 2027</t>
        </is>
      </c>
      <c r="V14" s="117" t="inlineStr">
        <is>
          <t>Autoevaluación y Acreditación</t>
        </is>
      </c>
      <c r="W14" s="117" t="inlineStr">
        <is>
          <t>101 · Oficina Asesora de Planeación y Desarrollo Institucional</t>
        </is>
      </c>
      <c r="X14" s="117" t="n"/>
      <c r="Y14" s="117" t="n"/>
      <c r="Z14" s="117" t="inlineStr">
        <is>
          <t>Octubre</t>
        </is>
      </c>
      <c r="AA14" s="117" t="n"/>
      <c r="AB14" s="117" t="n"/>
      <c r="AC14" s="117" t="n"/>
      <c r="AD14" s="117" t="n"/>
      <c r="AE14" s="117" t="n"/>
      <c r="AF14" s="117" t="n"/>
      <c r="AG14" s="117" t="inlineStr">
        <is>
          <t>Arrendamiento</t>
        </is>
      </c>
      <c r="AH14" s="117" t="n"/>
      <c r="AI14" s="117" t="n"/>
      <c r="AJ14" s="117" t="inlineStr">
        <is>
          <t>125</t>
        </is>
      </c>
      <c r="AK14" s="117" t="inlineStr">
        <is>
          <t>125 · GIT Talleres y Laboratorios</t>
        </is>
      </c>
    </row>
    <row r="15">
      <c r="A15" s="117" t="inlineStr">
        <is>
          <t>2.1.1.3</t>
        </is>
      </c>
      <c r="B15" s="117" t="n">
        <v>2</v>
      </c>
      <c r="C15" s="117" t="inlineStr">
        <is>
          <t>2 · Investigación y producción técnico-científica</t>
        </is>
      </c>
      <c r="D15" s="117" t="inlineStr">
        <is>
          <t>2.1</t>
        </is>
      </c>
      <c r="E15" s="117" t="inlineStr">
        <is>
          <t>2.1 · Capacidades de investigación e innovación</t>
        </is>
      </c>
      <c r="F15" s="117" t="inlineStr">
        <is>
          <t>Cuatro (4) grupos en C.</t>
        </is>
      </c>
      <c r="G15" s="117" t="inlineStr">
        <is>
          <t>4 grupos C (MPI: 14)</t>
        </is>
      </c>
      <c r="H15" s="117" t="inlineStr">
        <is>
          <t>Sugerida por la OAP: 4 grupos en C: mantener Virtus y GEA y clasificar 2 de los 7 grupos registrados sin categoría</t>
        </is>
      </c>
      <c r="I15" s="117" t="inlineStr">
        <is>
          <t>2.1.1.3 · Cuatro (4) grupos en C.</t>
        </is>
      </c>
      <c r="J15" s="117" t="n"/>
      <c r="K15" s="117" t="inlineStr">
        <is>
          <t>A11</t>
        </is>
      </c>
      <c r="L15" s="117" t="inlineStr">
        <is>
          <t>110</t>
        </is>
      </c>
      <c r="M15" s="117" t="inlineStr">
        <is>
          <t>Secretaría General</t>
        </is>
      </c>
      <c r="N15" s="117" t="inlineStr">
        <is>
          <t>Despacho de Secretaría General</t>
        </is>
      </c>
      <c r="O15" s="117" t="inlineStr">
        <is>
          <t>Direccionamiento Institucional</t>
        </is>
      </c>
      <c r="P15" s="117" t="inlineStr">
        <is>
          <t>Estratégico</t>
        </is>
      </c>
      <c r="Q15" s="117" t="inlineStr">
        <is>
          <t>A11 · Despacho de Secretaría General (110)</t>
        </is>
      </c>
      <c r="R15" s="117" t="inlineStr">
        <is>
          <t>110 · Secretaría General</t>
        </is>
      </c>
      <c r="S15" s="117" t="n"/>
      <c r="T15" s="117" t="inlineStr">
        <is>
          <t>1.3.1.1</t>
        </is>
      </c>
      <c r="U15" s="117" t="inlineStr">
        <is>
          <t>AC27.08 Cerrar el ciclo de mejoramiento de los programas acreditados, al día con los planes de mejoramiento y sin productos pendientes de 2026</t>
        </is>
      </c>
      <c r="V15" s="117" t="inlineStr">
        <is>
          <t>Aseguramiento de la Calidad, MIPG y Registros Calificados; Autoevaluación y Acreditación</t>
        </is>
      </c>
      <c r="W15" s="117" t="inlineStr">
        <is>
          <t>101 · Oficina Asesora de Planeación y Desarrollo Institucional</t>
        </is>
      </c>
      <c r="X15" s="117" t="n"/>
      <c r="Y15" s="117" t="n"/>
      <c r="Z15" s="117" t="inlineStr">
        <is>
          <t>Noviembre</t>
        </is>
      </c>
      <c r="AA15" s="117" t="n"/>
      <c r="AB15" s="117" t="n"/>
      <c r="AC15" s="117" t="n"/>
      <c r="AD15" s="117" t="n"/>
      <c r="AE15" s="117" t="n"/>
      <c r="AF15" s="117" t="n"/>
      <c r="AG15" s="117" t="inlineStr">
        <is>
          <t>Otro (indicar en observaciones)</t>
        </is>
      </c>
      <c r="AH15" s="117" t="n"/>
      <c r="AI15" s="117" t="n"/>
      <c r="AJ15" s="117" t="inlineStr">
        <is>
          <t>126</t>
        </is>
      </c>
      <c r="AK15" s="117" t="inlineStr">
        <is>
          <t>126 · GIT Registro y Control</t>
        </is>
      </c>
    </row>
    <row r="16">
      <c r="A16" s="117" t="inlineStr">
        <is>
          <t>2.2.1.1</t>
        </is>
      </c>
      <c r="B16" s="117" t="n">
        <v>2</v>
      </c>
      <c r="C16" s="117" t="inlineStr">
        <is>
          <t>2 · Investigación y producción técnico-científica</t>
        </is>
      </c>
      <c r="D16" s="117" t="inlineStr">
        <is>
          <t>2.2</t>
        </is>
      </c>
      <c r="E16" s="117" t="inlineStr">
        <is>
          <t>2.2 · Producción técnico-científica</t>
        </is>
      </c>
      <c r="F16" s="117" t="inlineStr">
        <is>
          <t>Lograr como mínimo por vigencia la publicación de dos (2) artículos en revistas internacionales indexadas.</t>
        </is>
      </c>
      <c r="G16" s="117" t="inlineStr">
        <is>
          <t>2 por vigencia (16 en el periodo, según MPI)</t>
        </is>
      </c>
      <c r="H16" s="117" t="inlineStr">
        <is>
          <t>2 artículos</t>
        </is>
      </c>
      <c r="I16" s="117" t="inlineStr">
        <is>
          <t>2.2.1.1 · Lograr como mínimo por vigencia la publicación de dos (2) artículos en revistas internacionales indexadas.</t>
        </is>
      </c>
      <c r="J16" s="117" t="n"/>
      <c r="K16" s="117" t="inlineStr">
        <is>
          <t>A12</t>
        </is>
      </c>
      <c r="L16" s="117" t="inlineStr">
        <is>
          <t>110</t>
        </is>
      </c>
      <c r="M16" s="117" t="inlineStr">
        <is>
          <t>Secretaría General</t>
        </is>
      </c>
      <c r="N16" s="117" t="inlineStr">
        <is>
          <t>Gestión Jurídica</t>
        </is>
      </c>
      <c r="O16" s="117" t="inlineStr">
        <is>
          <t>Gestión Jurídica</t>
        </is>
      </c>
      <c r="P16" s="117" t="inlineStr">
        <is>
          <t>Apoyo</t>
        </is>
      </c>
      <c r="Q16" s="117" t="inlineStr">
        <is>
          <t>A12 · Gestión Jurídica (110)</t>
        </is>
      </c>
      <c r="R16" s="117" t="inlineStr">
        <is>
          <t>110 · Secretaría General</t>
        </is>
      </c>
      <c r="S16" s="117" t="n"/>
      <c r="T16" s="117" t="inlineStr">
        <is>
          <t>1.3.1.1</t>
        </is>
      </c>
      <c r="U16" s="117" t="inlineStr">
        <is>
          <t>PROPIA Acción formulada por el área en la plantilla (escriba su nombre en la columna I)</t>
        </is>
      </c>
      <c r="V16" s="117" t="n"/>
      <c r="W16" s="117" t="n"/>
      <c r="X16" s="117" t="n"/>
      <c r="Y16" s="117" t="n"/>
      <c r="Z16" s="117" t="inlineStr">
        <is>
          <t>Diciembre</t>
        </is>
      </c>
      <c r="AA16" s="117" t="n"/>
      <c r="AB16" s="117" t="n"/>
      <c r="AC16" s="117" t="n"/>
      <c r="AD16" s="117" t="n"/>
      <c r="AE16" s="117" t="n"/>
      <c r="AF16" s="117" t="n"/>
      <c r="AG16" s="117" t="n"/>
      <c r="AH16" s="117" t="n"/>
      <c r="AI16" s="117" t="n"/>
      <c r="AJ16" s="117" t="inlineStr">
        <is>
          <t>130</t>
        </is>
      </c>
      <c r="AK16" s="117" t="inlineStr">
        <is>
          <t>130 · Vicerrectoría Administrativa y Financiera</t>
        </is>
      </c>
    </row>
    <row r="17">
      <c r="A17" s="117" t="inlineStr">
        <is>
          <t>2.2.1.2</t>
        </is>
      </c>
      <c r="B17" s="117" t="n">
        <v>2</v>
      </c>
      <c r="C17" s="117" t="inlineStr">
        <is>
          <t>2 · Investigación y producción técnico-científica</t>
        </is>
      </c>
      <c r="D17" s="117" t="inlineStr">
        <is>
          <t>2.2</t>
        </is>
      </c>
      <c r="E17" s="117" t="inlineStr">
        <is>
          <t>2.2 · Producción técnico-científica</t>
        </is>
      </c>
      <c r="F17" s="117" t="inlineStr">
        <is>
          <t>Lograr la publicación de ocho (8) artículos en revistas nacionales indexadas.</t>
        </is>
      </c>
      <c r="G17" s="117" t="inlineStr">
        <is>
          <t>8 (MPI: 8 por año, 48 en total)</t>
        </is>
      </c>
      <c r="H17" s="117" t="inlineStr">
        <is>
          <t>8 artículos; la VIET confirma si la meta del PDI es anual o acumulada</t>
        </is>
      </c>
      <c r="I17" s="117" t="inlineStr">
        <is>
          <t>2.2.1.2 · Lograr la publicación de ocho (8) artículos en revistas nacionales indexadas.</t>
        </is>
      </c>
      <c r="J17" s="117" t="n"/>
      <c r="K17" s="117" t="inlineStr">
        <is>
          <t>A13</t>
        </is>
      </c>
      <c r="L17" s="117" t="inlineStr">
        <is>
          <t>110</t>
        </is>
      </c>
      <c r="M17" s="117" t="inlineStr">
        <is>
          <t>Secretaría General</t>
        </is>
      </c>
      <c r="N17" s="117" t="inlineStr">
        <is>
          <t>Control Disciplinario</t>
        </is>
      </c>
      <c r="O17" s="117" t="inlineStr">
        <is>
          <t>Gestión de Control Disciplinario</t>
        </is>
      </c>
      <c r="P17" s="117" t="inlineStr">
        <is>
          <t>Evaluación</t>
        </is>
      </c>
      <c r="Q17" s="117" t="inlineStr">
        <is>
          <t>A13 · Control Disciplinario (110)</t>
        </is>
      </c>
      <c r="R17" s="117" t="inlineStr">
        <is>
          <t>110 · Secretaría General</t>
        </is>
      </c>
      <c r="S17" s="117" t="n"/>
      <c r="T17" s="117" t="inlineStr">
        <is>
          <t>1.3.1.2</t>
        </is>
      </c>
      <c r="U17" s="117" t="inlineStr">
        <is>
          <t>AC27.09 Mejorar los resultados de las pruebas Saber PRO y TyT a partir del análisis por programa y competencia, con estrategias de preparación cuyo efecto se evalúa</t>
        </is>
      </c>
      <c r="V17" s="117" t="inlineStr">
        <is>
          <t>Autoevaluación y Acreditación; Despacho de la Vicerrectoría Académica</t>
        </is>
      </c>
      <c r="W17" s="117" t="inlineStr">
        <is>
          <t>101 · Oficina Asesora de Planeación y Desarrollo Institucional; 120 · Vicerrectoría Académica</t>
        </is>
      </c>
      <c r="X17" s="117" t="n"/>
      <c r="Y17" s="117" t="n"/>
      <c r="Z17" s="117" t="n"/>
      <c r="AA17" s="117" t="n"/>
      <c r="AB17" s="117" t="n"/>
      <c r="AC17" s="117" t="n"/>
      <c r="AD17" s="117" t="n"/>
      <c r="AE17" s="117" t="n"/>
      <c r="AF17" s="117" t="n"/>
      <c r="AG17" s="117" t="n"/>
      <c r="AH17" s="117" t="n"/>
      <c r="AI17" s="117" t="n"/>
      <c r="AJ17" s="117" t="inlineStr">
        <is>
          <t>131</t>
        </is>
      </c>
      <c r="AK17" s="117" t="inlineStr">
        <is>
          <t>131 · GIT Gestión Documental y Atención al Ciudadano</t>
        </is>
      </c>
    </row>
    <row r="18">
      <c r="A18" s="117" t="inlineStr">
        <is>
          <t>2.3.1.1</t>
        </is>
      </c>
      <c r="B18" s="117" t="n">
        <v>2</v>
      </c>
      <c r="C18" s="117" t="inlineStr">
        <is>
          <t>2 · Investigación y producción técnico-científica</t>
        </is>
      </c>
      <c r="D18" s="117" t="inlineStr">
        <is>
          <t>2.3</t>
        </is>
      </c>
      <c r="E18" s="117" t="inlineStr">
        <is>
          <t>2.3 · Alianzas estratégicas para la investigación</t>
        </is>
      </c>
      <c r="F18" s="117" t="inlineStr">
        <is>
          <t>Contar con cuatro (4) patentes registradas sobre la base de los desarrollos logrados con las alianzas con el sector productivo o institucional.</t>
        </is>
      </c>
      <c r="G18" s="117" t="inlineStr">
        <is>
          <t>4 patentes</t>
        </is>
      </c>
      <c r="H18" s="117" t="inlineStr">
        <is>
          <t>Sugerida por la OAP: 2 solicitudes de patente o modelo de utilidad radicadas ante la SIC, avance hacia 4 en 2032, y mantenimiento de la patente vigente</t>
        </is>
      </c>
      <c r="I18" s="117" t="inlineStr">
        <is>
          <t>2.3.1.1 · Contar con cuatro (4) patentes registradas sobre la base de los desarrollos logrados con las alianzas con el sector productivo o institucional.</t>
        </is>
      </c>
      <c r="J18" s="117" t="n"/>
      <c r="K18" s="117" t="inlineStr">
        <is>
          <t>A14</t>
        </is>
      </c>
      <c r="L18" s="117" t="inlineStr">
        <is>
          <t>130</t>
        </is>
      </c>
      <c r="M18" s="117" t="inlineStr">
        <is>
          <t>Vicerrectoría Administrativa y Financiera</t>
        </is>
      </c>
      <c r="N18" s="117" t="inlineStr">
        <is>
          <t>Contratación y Adquisiciones</t>
        </is>
      </c>
      <c r="O18" s="117" t="inlineStr">
        <is>
          <t>Gestión de Adquisiciones</t>
        </is>
      </c>
      <c r="P18" s="117" t="inlineStr">
        <is>
          <t>Apoyo</t>
        </is>
      </c>
      <c r="Q18" s="117" t="inlineStr">
        <is>
          <t>A14 · Contratación y Adquisiciones (130)</t>
        </is>
      </c>
      <c r="R18" s="117" t="inlineStr">
        <is>
          <t>130 · Vicerrectoría Administrativa y Financiera</t>
        </is>
      </c>
      <c r="S18" s="117" t="n"/>
      <c r="T18" s="117" t="inlineStr">
        <is>
          <t>1.3.1.2</t>
        </is>
      </c>
      <c r="U18" s="117" t="inlineStr">
        <is>
          <t>PROPIA Acción formulada por el área en la plantilla (escriba su nombre en la columna I)</t>
        </is>
      </c>
      <c r="V18" s="117" t="n"/>
      <c r="W18" s="117" t="n"/>
      <c r="X18" s="117" t="n"/>
      <c r="Y18" s="117" t="n"/>
      <c r="Z18" s="117" t="n"/>
      <c r="AA18" s="117" t="n"/>
      <c r="AB18" s="117" t="n"/>
      <c r="AC18" s="117" t="n"/>
      <c r="AD18" s="117" t="n"/>
      <c r="AE18" s="117" t="n"/>
      <c r="AF18" s="117" t="n"/>
      <c r="AG18" s="117" t="n"/>
      <c r="AH18" s="117" t="n"/>
      <c r="AI18" s="117" t="n"/>
      <c r="AJ18" s="117" t="inlineStr">
        <is>
          <t>132</t>
        </is>
      </c>
      <c r="AK18" s="117" t="inlineStr">
        <is>
          <t>132 · GIT Gestión de Informática y Telecomunicaciones</t>
        </is>
      </c>
    </row>
    <row r="19">
      <c r="A19" s="117" t="inlineStr">
        <is>
          <t>2.4.1.1</t>
        </is>
      </c>
      <c r="B19" s="117" t="n">
        <v>2</v>
      </c>
      <c r="C19" s="117" t="inlineStr">
        <is>
          <t>2 · Investigación y producción técnico-científica</t>
        </is>
      </c>
      <c r="D19" s="117" t="inlineStr">
        <is>
          <t>2.4</t>
        </is>
      </c>
      <c r="E19" s="117" t="inlineStr">
        <is>
          <t>2.4 · Vinculación de lo investigativo con lo académico</t>
        </is>
      </c>
      <c r="F19" s="117" t="inlineStr">
        <is>
          <t>Contar con un (1) centro de pensamiento y desarrollo tecnológico registrado en Colciencias (MinCiencias) y articulado con el Parque Tecnológico de Funza.</t>
        </is>
      </c>
      <c r="G19" s="117" t="inlineStr">
        <is>
          <t>1 centro reconocido</t>
        </is>
      </c>
      <c r="H19" s="117" t="inlineStr">
        <is>
          <t>Puesta en marcha del Centro de Pensamiento</t>
        </is>
      </c>
      <c r="I19" s="117" t="inlineStr">
        <is>
          <t>2.4.1.1 · Contar con un (1) centro de pensamiento y desarrollo tecnológico registrado en Colciencias (MinCiencias) y articulado con el Parque Tecnológico de Funza.</t>
        </is>
      </c>
      <c r="J19" s="117" t="n"/>
      <c r="K19" s="117" t="inlineStr">
        <is>
          <t>A15</t>
        </is>
      </c>
      <c r="L19" s="117" t="inlineStr">
        <is>
          <t>120</t>
        </is>
      </c>
      <c r="M19" s="117" t="inlineStr">
        <is>
          <t>Vicerrectoría Académica</t>
        </is>
      </c>
      <c r="N19" s="117" t="inlineStr">
        <is>
          <t>Despacho de la Vicerrectoría Académica</t>
        </is>
      </c>
      <c r="O19" s="117" t="inlineStr">
        <is>
          <t>Docencia PES</t>
        </is>
      </c>
      <c r="P19" s="117" t="inlineStr">
        <is>
          <t>Misional</t>
        </is>
      </c>
      <c r="Q19" s="117" t="inlineStr">
        <is>
          <t>A15 · Despacho de la Vicerrectoría Académica (120)</t>
        </is>
      </c>
      <c r="R19" s="117" t="inlineStr">
        <is>
          <t>120 · Vicerrectoría Académica</t>
        </is>
      </c>
      <c r="S19" s="117" t="n"/>
      <c r="T19" s="117" t="inlineStr">
        <is>
          <t>1.4.1.1</t>
        </is>
      </c>
      <c r="U19" s="117" t="inlineStr">
        <is>
          <t>AC27.10 Referenciar dos programas al Marco Europeo de Cualificaciones para que sus títulos sean legibles en el exterior</t>
        </is>
      </c>
      <c r="V19" s="117" t="inlineStr">
        <is>
          <t>Autoevaluación y Acreditación; Unidad B-Learning</t>
        </is>
      </c>
      <c r="W19" s="117" t="inlineStr">
        <is>
          <t>101 · Oficina Asesora de Planeación y Desarrollo Institucional; 120 · Vicerrectoría Académica</t>
        </is>
      </c>
      <c r="X19" s="117" t="n"/>
      <c r="Y19" s="117" t="n"/>
      <c r="Z19" s="117" t="n"/>
      <c r="AA19" s="117" t="n"/>
      <c r="AB19" s="117" t="n"/>
      <c r="AC19" s="117" t="n"/>
      <c r="AD19" s="117" t="n"/>
      <c r="AE19" s="117" t="n"/>
      <c r="AF19" s="117" t="n"/>
      <c r="AG19" s="117" t="n"/>
      <c r="AH19" s="117" t="n"/>
      <c r="AI19" s="117" t="n"/>
      <c r="AJ19" s="117" t="inlineStr">
        <is>
          <t>133</t>
        </is>
      </c>
      <c r="AK19" s="117" t="inlineStr">
        <is>
          <t>133 · GIT Gestión de Talento Humano</t>
        </is>
      </c>
    </row>
    <row r="20">
      <c r="A20" s="117" t="inlineStr">
        <is>
          <t>3.1.1.1</t>
        </is>
      </c>
      <c r="B20" s="117" t="n">
        <v>3</v>
      </c>
      <c r="C20" s="117" t="inlineStr">
        <is>
          <t>3 · Extensión y proyección institucional</t>
        </is>
      </c>
      <c r="D20" s="117" t="inlineStr">
        <is>
          <t>3.1</t>
        </is>
      </c>
      <c r="E20" s="117" t="inlineStr">
        <is>
          <t>3.1 · Autonomía y posicionamiento de la Extensión y Proyección Institucional</t>
        </is>
      </c>
      <c r="F20" s="117" t="inlineStr">
        <is>
          <t>Disponer a mediano plazo de una vicerrectoría de extensión y proyección social.</t>
        </is>
      </c>
      <c r="G20" s="117" t="inlineStr">
        <is>
          <t>Sugerida por la OAP: extensión con autonomía administrativa y financiera operando desde el GIT de Extensión y Proyección Social, sin crear una nueva vicerrectoría</t>
        </is>
      </c>
      <c r="H20" s="117" t="inlineStr">
        <is>
          <t>Sugerida por la OAP: modelo de gestión autónoma de la extensión adoptado por acto administrativo: estatuto de extensión actualizado, centro de costos propio del GIT y procedimientos de la extensión en el SGC</t>
        </is>
      </c>
      <c r="I20" s="117" t="inlineStr">
        <is>
          <t>3.1.1.1 · Disponer a mediano plazo de una vicerrectoría de extensión y proyección social.</t>
        </is>
      </c>
      <c r="J20" s="117" t="n"/>
      <c r="K20" s="117" t="inlineStr">
        <is>
          <t>A16</t>
        </is>
      </c>
      <c r="L20" s="117" t="inlineStr">
        <is>
          <t>123</t>
        </is>
      </c>
      <c r="M20" s="117" t="inlineStr">
        <is>
          <t>Facultades</t>
        </is>
      </c>
      <c r="N20" s="117" t="inlineStr">
        <is>
          <t>Coordinación de Especializaciones</t>
        </is>
      </c>
      <c r="O20" s="117" t="inlineStr">
        <is>
          <t>Docencia PES</t>
        </is>
      </c>
      <c r="P20" s="117" t="inlineStr">
        <is>
          <t>Misional</t>
        </is>
      </c>
      <c r="Q20" s="117" t="inlineStr">
        <is>
          <t>A16 · Coordinación de Especializaciones (123)</t>
        </is>
      </c>
      <c r="R20" s="117" t="inlineStr">
        <is>
          <t>123 · Facultades</t>
        </is>
      </c>
      <c r="S20" s="117" t="n"/>
      <c r="T20" s="117" t="inlineStr">
        <is>
          <t>1.4.1.1</t>
        </is>
      </c>
      <c r="U20" s="117" t="inlineStr">
        <is>
          <t>AC27.11 Proyectar internacionalmente los programas referenciados mediante oferta virtual y una alianza de reconocimiento mutuo</t>
        </is>
      </c>
      <c r="V20" s="117" t="inlineStr">
        <is>
          <t>Unidad B-Learning; Internacionalización (ORII)</t>
        </is>
      </c>
      <c r="W20" s="117" t="inlineStr">
        <is>
          <t>120 · Vicerrectoría Académica; 100 · Rectoría</t>
        </is>
      </c>
      <c r="X20" s="117" t="n"/>
      <c r="Y20" s="117" t="n"/>
      <c r="Z20" s="117" t="n"/>
      <c r="AA20" s="117" t="n"/>
      <c r="AB20" s="117" t="n"/>
      <c r="AC20" s="117" t="n"/>
      <c r="AD20" s="117" t="n"/>
      <c r="AE20" s="117" t="n"/>
      <c r="AF20" s="117" t="n"/>
      <c r="AG20" s="117" t="n"/>
      <c r="AH20" s="117" t="n"/>
      <c r="AI20" s="117" t="n"/>
      <c r="AJ20" s="117" t="inlineStr">
        <is>
          <t>140</t>
        </is>
      </c>
      <c r="AK20" s="117" t="inlineStr">
        <is>
          <t>140 · Vicerrectoría de Investigación, Extensión y Transferencia</t>
        </is>
      </c>
    </row>
    <row r="21">
      <c r="A21" s="117" t="inlineStr">
        <is>
          <t>3.2.1.1</t>
        </is>
      </c>
      <c r="B21" s="117" t="n">
        <v>3</v>
      </c>
      <c r="C21" s="117" t="inlineStr">
        <is>
          <t>3 · Extensión y proyección institucional</t>
        </is>
      </c>
      <c r="D21" s="117" t="inlineStr">
        <is>
          <t>3.2</t>
        </is>
      </c>
      <c r="E21" s="117" t="inlineStr">
        <is>
          <t>3.2 · Fortalecimiento de la innovación para la Proyección Institucional</t>
        </is>
      </c>
      <c r="F21" s="117" t="inlineStr">
        <is>
          <t>Diseñar y diversificar la oferta de programas de educación continuada y Educación para el Trabajo y el Desarrollo Humano.</t>
        </is>
      </c>
      <c r="G21" s="117" t="inlineStr">
        <is>
          <t>Sugerida por la OAP: 60 ofertas anuales, 30% en modalidad virtual o b learning</t>
        </is>
      </c>
      <c r="H21" s="117" t="inlineStr">
        <is>
          <t>Sugerida por la OAP: 34 ofertas, +20% sobre 2025, de las cuales al menos 8 en modalidad virtual o b learning, y 2 programas ETDH reactivados</t>
        </is>
      </c>
      <c r="I21" s="117" t="inlineStr">
        <is>
          <t>3.2.1.1 · Diseñar y diversificar la oferta de programas de educación continuada y Educación para el Trabajo y el Desarrollo Humano.</t>
        </is>
      </c>
      <c r="J21" s="117" t="n"/>
      <c r="K21" s="117" t="inlineStr">
        <is>
          <t>A17</t>
        </is>
      </c>
      <c r="L21" s="117" t="inlineStr">
        <is>
          <t>120</t>
        </is>
      </c>
      <c r="M21" s="117" t="inlineStr">
        <is>
          <t>Vicerrectoría Académica</t>
        </is>
      </c>
      <c r="N21" s="117" t="inlineStr">
        <is>
          <t>Unidad B-Learning</t>
        </is>
      </c>
      <c r="O21" s="117" t="inlineStr">
        <is>
          <t>Docencia PES</t>
        </is>
      </c>
      <c r="P21" s="117" t="inlineStr">
        <is>
          <t>Misional</t>
        </is>
      </c>
      <c r="Q21" s="117" t="inlineStr">
        <is>
          <t>A17 · Unidad B-Learning (120)</t>
        </is>
      </c>
      <c r="R21" s="117" t="inlineStr">
        <is>
          <t>120 · Vicerrectoría Académica</t>
        </is>
      </c>
      <c r="S21" s="117" t="n"/>
      <c r="T21" s="117" t="inlineStr">
        <is>
          <t>1.4.1.1</t>
        </is>
      </c>
      <c r="U21" s="117" t="inlineStr">
        <is>
          <t>PROPIA Acción formulada por el área en la plantilla (escriba su nombre en la columna I)</t>
        </is>
      </c>
      <c r="V21" s="117" t="n"/>
      <c r="W21" s="117" t="n"/>
      <c r="X21" s="117" t="n"/>
      <c r="Y21" s="117" t="n"/>
      <c r="Z21" s="117" t="n"/>
      <c r="AA21" s="117" t="n"/>
      <c r="AB21" s="117" t="n"/>
      <c r="AC21" s="117" t="n"/>
      <c r="AD21" s="117" t="n"/>
      <c r="AE21" s="117" t="n"/>
      <c r="AF21" s="117" t="n"/>
      <c r="AG21" s="117" t="n"/>
      <c r="AH21" s="117" t="n"/>
      <c r="AI21" s="117" t="n"/>
      <c r="AJ21" s="117" t="inlineStr">
        <is>
          <t>141</t>
        </is>
      </c>
      <c r="AK21" s="117" t="inlineStr">
        <is>
          <t>141 · GIT Extensión y Proyección Social</t>
        </is>
      </c>
    </row>
    <row r="22">
      <c r="A22" s="117" t="inlineStr">
        <is>
          <t>3.2.1.2</t>
        </is>
      </c>
      <c r="B22" s="117" t="n">
        <v>3</v>
      </c>
      <c r="C22" s="117" t="inlineStr">
        <is>
          <t>3 · Extensión y proyección institucional</t>
        </is>
      </c>
      <c r="D22" s="117" t="inlineStr">
        <is>
          <t>3.2</t>
        </is>
      </c>
      <c r="E22" s="117" t="inlineStr">
        <is>
          <t>3.2 · Fortalecimiento de la innovación para la Proyección Institucional</t>
        </is>
      </c>
      <c r="F22" s="117" t="inlineStr">
        <is>
          <t>Generar ingresos para la ETITC mediante la comercialización de su portafolio de servicios, fortaleciendo su sostenibilidad financiera por vigencia.</t>
        </is>
      </c>
      <c r="G22" s="117" t="inlineStr">
        <is>
          <t>Sugerida por la OAP: crecimiento sostenido del 7% anual</t>
        </is>
      </c>
      <c r="H22" s="117" t="inlineStr">
        <is>
          <t>Sugerida por la OAP: $590 millones, 7% anual sobre el recaudo 2025,</t>
        </is>
      </c>
      <c r="I22" s="117" t="inlineStr">
        <is>
          <t>3.2.1.2 · Generar ingresos para la ETITC mediante la comercialización de su portafolio de servicios, fortaleciendo su sostenibilidad financiera por vigencia.</t>
        </is>
      </c>
      <c r="J22" s="117" t="n"/>
      <c r="K22" s="117" t="inlineStr">
        <is>
          <t>A18</t>
        </is>
      </c>
      <c r="L22" s="117" t="inlineStr">
        <is>
          <t>101</t>
        </is>
      </c>
      <c r="M22" s="117" t="inlineStr">
        <is>
          <t>Oficina Asesora de Planeación y Desarrollo Institucional</t>
        </is>
      </c>
      <c r="N22" s="117" t="inlineStr">
        <is>
          <t>Articulación de programas (IA)</t>
        </is>
      </c>
      <c r="O22" s="117" t="inlineStr">
        <is>
          <t>Direccionamiento Institucional</t>
        </is>
      </c>
      <c r="P22" s="117" t="inlineStr">
        <is>
          <t>Estratégico</t>
        </is>
      </c>
      <c r="Q22" s="117" t="inlineStr">
        <is>
          <t>A18 · Articulación de programas (IA) (101)</t>
        </is>
      </c>
      <c r="R22" s="117" t="inlineStr">
        <is>
          <t>101 · Oficina Asesora de Planeación y Desarrollo Institucional</t>
        </is>
      </c>
      <c r="S22" s="117" t="n"/>
      <c r="T22" s="117" t="inlineStr">
        <is>
          <t>1.5.1.1</t>
        </is>
      </c>
      <c r="U22" s="117" t="inlineStr">
        <is>
          <t>AC27.12 Sostener la formación doctoral de los docentes mediante un plan profesoral actualizado, una convocatoria anual y los apoyos de estudio</t>
        </is>
      </c>
      <c r="V22" s="117" t="inlineStr">
        <is>
          <t>GIT Talento Humano; Despacho de la Vicerrectoría Académica</t>
        </is>
      </c>
      <c r="W22" s="117" t="inlineStr">
        <is>
          <t>133 · GIT Gestión de Talento Humano; 120 · Vicerrectoría Académica</t>
        </is>
      </c>
      <c r="X22" s="117" t="n"/>
      <c r="Y22" s="117" t="n"/>
      <c r="Z22" s="117" t="n"/>
      <c r="AA22" s="117" t="n"/>
      <c r="AB22" s="117" t="n"/>
      <c r="AC22" s="117" t="n"/>
      <c r="AD22" s="117" t="n"/>
      <c r="AE22" s="117" t="n"/>
      <c r="AF22" s="117" t="n"/>
      <c r="AG22" s="117" t="n"/>
      <c r="AH22" s="117" t="n"/>
      <c r="AI22" s="117" t="n"/>
      <c r="AJ22" s="117" t="n"/>
      <c r="AK22" s="117" t="n"/>
    </row>
    <row r="23">
      <c r="A23" s="117" t="inlineStr">
        <is>
          <t>3.2.1.3</t>
        </is>
      </c>
      <c r="B23" s="117" t="n">
        <v>3</v>
      </c>
      <c r="C23" s="117" t="inlineStr">
        <is>
          <t>3 · Extensión y proyección institucional</t>
        </is>
      </c>
      <c r="D23" s="117" t="inlineStr">
        <is>
          <t>3.2</t>
        </is>
      </c>
      <c r="E23" s="117" t="inlineStr">
        <is>
          <t>3.2 · Fortalecimiento de la innovación para la Proyección Institucional</t>
        </is>
      </c>
      <c r="F23" s="117" t="inlineStr">
        <is>
          <t>Implementar mecanismos de retroalimentación continua de la oferta de programas de extensión y proyección social.</t>
        </is>
      </c>
      <c r="G23" s="117" t="inlineStr">
        <is>
          <t>Sugerida por la OAP: 100% de las ofertas evaluadas cada periodo</t>
        </is>
      </c>
      <c r="H23" s="117" t="inlineStr">
        <is>
          <t>Sugerida por la OAP: 1 mecanismo institucional de retroalimentación aplicado al 100% de las ofertas de extensión 2027, con informe semestral</t>
        </is>
      </c>
      <c r="I23" s="117" t="inlineStr">
        <is>
          <t>3.2.1.3 · Implementar mecanismos de retroalimentación continua de la oferta de programas de extensión y proyección social.</t>
        </is>
      </c>
      <c r="J23" s="117" t="n"/>
      <c r="K23" s="117" t="inlineStr">
        <is>
          <t>A19</t>
        </is>
      </c>
      <c r="L23" s="117" t="inlineStr">
        <is>
          <t>101</t>
        </is>
      </c>
      <c r="M23" s="117" t="inlineStr">
        <is>
          <t>Oficina Asesora de Planeación y Desarrollo Institucional</t>
        </is>
      </c>
      <c r="N23" s="117" t="inlineStr">
        <is>
          <t>Regionalización</t>
        </is>
      </c>
      <c r="O23" s="117" t="inlineStr">
        <is>
          <t>Direccionamiento Institucional</t>
        </is>
      </c>
      <c r="P23" s="117" t="inlineStr">
        <is>
          <t>Estratégico</t>
        </is>
      </c>
      <c r="Q23" s="117" t="inlineStr">
        <is>
          <t>A19 · Regionalización (101)</t>
        </is>
      </c>
      <c r="R23" s="117" t="inlineStr">
        <is>
          <t>101 · Oficina Asesora de Planeación y Desarrollo Institucional</t>
        </is>
      </c>
      <c r="S23" s="117" t="n"/>
      <c r="T23" s="117" t="inlineStr">
        <is>
          <t>1.5.1.1</t>
        </is>
      </c>
      <c r="U23" s="117" t="inlineStr">
        <is>
          <t>PROPIA Acción formulada por el área en la plantilla (escriba su nombre en la columna I)</t>
        </is>
      </c>
      <c r="V23" s="117" t="n"/>
      <c r="W23" s="117" t="n"/>
      <c r="X23" s="117" t="n"/>
      <c r="Y23" s="117" t="n"/>
      <c r="Z23" s="117" t="n"/>
      <c r="AA23" s="117" t="n"/>
      <c r="AB23" s="117" t="n"/>
      <c r="AC23" s="117" t="n"/>
      <c r="AD23" s="117" t="n"/>
      <c r="AE23" s="117" t="n"/>
      <c r="AF23" s="117" t="n"/>
      <c r="AG23" s="117" t="n"/>
      <c r="AH23" s="117" t="n"/>
      <c r="AI23" s="117" t="n"/>
      <c r="AJ23" s="117" t="n"/>
      <c r="AK23" s="117" t="n"/>
    </row>
    <row r="24">
      <c r="A24" s="117" t="inlineStr">
        <is>
          <t>3.2.1.4</t>
        </is>
      </c>
      <c r="B24" s="117" t="n">
        <v>3</v>
      </c>
      <c r="C24" s="117" t="inlineStr">
        <is>
          <t>3 · Extensión y proyección institucional</t>
        </is>
      </c>
      <c r="D24" s="117" t="inlineStr">
        <is>
          <t>3.2</t>
        </is>
      </c>
      <c r="E24" s="117" t="inlineStr">
        <is>
          <t>3.2 · Fortalecimiento de la innovación para la Proyección Institucional</t>
        </is>
      </c>
      <c r="F24" s="117" t="inlineStr">
        <is>
          <t>Alinear la formación en una segunda lengua en la ETITC con los estándares del Marco Común Europeo de Referencia para las Lenguas.</t>
        </is>
      </c>
      <c r="G24" s="117" t="inlineStr">
        <is>
          <t>Sugerida por la OAP: 100% de los cursos alineados y certificados por nivel MCER</t>
        </is>
      </c>
      <c r="H24" s="117" t="inlineStr">
        <is>
          <t>Sugerida por la OAP: 100% de los cursos con syllabus y evaluación alineados a niveles MCER A1-B2, prueba de clasificación institucional y 2 cursos virtuales</t>
        </is>
      </c>
      <c r="I24" s="117" t="inlineStr">
        <is>
          <t>3.2.1.4 · Alinear la formación en una segunda lengua en la ETITC con los estándares del Marco Común Europeo de Referencia para las Lenguas.</t>
        </is>
      </c>
      <c r="J24" s="117" t="n"/>
      <c r="K24" s="117" t="inlineStr">
        <is>
          <t>A20</t>
        </is>
      </c>
      <c r="L24" s="117" t="inlineStr">
        <is>
          <t>121</t>
        </is>
      </c>
      <c r="M24" s="117" t="inlineStr">
        <is>
          <t>GIT Biblioteca y Recursos Educativos</t>
        </is>
      </c>
      <c r="N24" s="117" t="inlineStr">
        <is>
          <t>GIT Biblioteca y Recursos Académicos</t>
        </is>
      </c>
      <c r="O24" s="117" t="inlineStr">
        <is>
          <t>Docencia PES</t>
        </is>
      </c>
      <c r="P24" s="117" t="inlineStr">
        <is>
          <t>Misional</t>
        </is>
      </c>
      <c r="Q24" s="117" t="inlineStr">
        <is>
          <t>A20 · GIT Biblioteca y Recursos Académicos (121)</t>
        </is>
      </c>
      <c r="R24" s="117" t="inlineStr">
        <is>
          <t>121 · GIT Biblioteca y Recursos Educativos</t>
        </is>
      </c>
      <c r="S24" s="117" t="n"/>
      <c r="T24" s="117" t="inlineStr">
        <is>
          <t>1.5.1.2</t>
        </is>
      </c>
      <c r="U24" s="117" t="inlineStr">
        <is>
          <t>AC27.13 Elevar la formación avanzada y continuada de los docentes de planta con base en las necesidades reales de cada facultad</t>
        </is>
      </c>
      <c r="V24" s="117" t="inlineStr">
        <is>
          <t>Despacho de la Vicerrectoría Académica; GIT Talento Humano</t>
        </is>
      </c>
      <c r="W24" s="117" t="inlineStr">
        <is>
          <t>120 · Vicerrectoría Académica; 133 · GIT Gestión de Talento Humano</t>
        </is>
      </c>
      <c r="X24" s="117" t="n"/>
      <c r="Y24" s="117" t="n"/>
      <c r="Z24" s="117" t="n"/>
      <c r="AA24" s="117" t="n"/>
      <c r="AB24" s="117" t="n"/>
      <c r="AC24" s="117" t="n"/>
      <c r="AD24" s="117" t="n"/>
      <c r="AE24" s="117" t="n"/>
      <c r="AF24" s="117" t="n"/>
      <c r="AG24" s="117" t="n"/>
      <c r="AH24" s="117" t="n"/>
      <c r="AI24" s="117" t="n"/>
      <c r="AJ24" s="117" t="n"/>
      <c r="AK24" s="117" t="n"/>
    </row>
    <row r="25">
      <c r="A25" s="117" t="inlineStr">
        <is>
          <t>3.3.1.1</t>
        </is>
      </c>
      <c r="B25" s="117" t="n">
        <v>3</v>
      </c>
      <c r="C25" s="117" t="inlineStr">
        <is>
          <t>3 · Extensión y proyección institucional</t>
        </is>
      </c>
      <c r="D25" s="117" t="inlineStr">
        <is>
          <t>3.3</t>
        </is>
      </c>
      <c r="E25" s="117" t="inlineStr">
        <is>
          <t>3.3 · Interacción con el sector productivo y social</t>
        </is>
      </c>
      <c r="F25" s="117" t="inlineStr">
        <is>
          <t>Garantizar la participación y representación del 100% de la programación de la ETITC en eventos académicos, empresariales y de proyección social, de acuerdo con disponibilidad de recursos.</t>
        </is>
      </c>
      <c r="G25" s="117" t="inlineStr">
        <is>
          <t>100%</t>
        </is>
      </c>
      <c r="H25" s="117" t="inlineStr">
        <is>
          <t>100% de la programación 2027</t>
        </is>
      </c>
      <c r="I25" s="117" t="inlineStr">
        <is>
          <t>3.3.1.1 · Garantizar la participación y representación del 100% de la programación de la ETITC en eventos académicos, empresariales y de proyección social, de acuerdo con disponibilidad de recursos.</t>
        </is>
      </c>
      <c r="J25" s="117" t="n"/>
      <c r="K25" s="117" t="inlineStr">
        <is>
          <t>A21</t>
        </is>
      </c>
      <c r="L25" s="117" t="inlineStr">
        <is>
          <t>122</t>
        </is>
      </c>
      <c r="M25" s="117" t="inlineStr">
        <is>
          <t>GIT Bienestar Universitario</t>
        </is>
      </c>
      <c r="N25" s="117" t="inlineStr">
        <is>
          <t>GIT Bienestar Universitario</t>
        </is>
      </c>
      <c r="O25" s="117" t="inlineStr">
        <is>
          <t>Gestión de Bienestar Universitario</t>
        </is>
      </c>
      <c r="P25" s="117" t="inlineStr">
        <is>
          <t>Apoyo</t>
        </is>
      </c>
      <c r="Q25" s="117" t="inlineStr">
        <is>
          <t>A21 · GIT Bienestar Universitario (122)</t>
        </is>
      </c>
      <c r="R25" s="117" t="inlineStr">
        <is>
          <t>122 · GIT Bienestar Universitario</t>
        </is>
      </c>
      <c r="S25" s="117" t="n"/>
      <c r="T25" s="117" t="inlineStr">
        <is>
          <t>1.5.1.2</t>
        </is>
      </c>
      <c r="U25" s="117" t="inlineStr">
        <is>
          <t>PROPIA Acción formulada por el área en la plantilla (escriba su nombre en la columna I)</t>
        </is>
      </c>
      <c r="V25" s="117" t="n"/>
      <c r="W25" s="117" t="n"/>
      <c r="X25" s="117" t="n"/>
      <c r="Y25" s="117" t="n"/>
      <c r="Z25" s="117" t="n"/>
      <c r="AA25" s="117" t="n"/>
      <c r="AB25" s="117" t="n"/>
      <c r="AC25" s="117" t="n"/>
      <c r="AD25" s="117" t="n"/>
      <c r="AE25" s="117" t="n"/>
      <c r="AF25" s="117" t="n"/>
      <c r="AG25" s="117" t="n"/>
      <c r="AH25" s="117" t="n"/>
      <c r="AI25" s="117" t="n"/>
      <c r="AJ25" s="117" t="n"/>
      <c r="AK25" s="117" t="n"/>
    </row>
    <row r="26">
      <c r="A26" s="117" t="inlineStr">
        <is>
          <t>3.3.1.2</t>
        </is>
      </c>
      <c r="B26" s="117" t="n">
        <v>3</v>
      </c>
      <c r="C26" s="117" t="inlineStr">
        <is>
          <t>3 · Extensión y proyección institucional</t>
        </is>
      </c>
      <c r="D26" s="117" t="inlineStr">
        <is>
          <t>3.3</t>
        </is>
      </c>
      <c r="E26" s="117" t="inlineStr">
        <is>
          <t>3.3 · Interacción con el sector productivo y social</t>
        </is>
      </c>
      <c r="F26" s="117" t="inlineStr">
        <is>
          <t>Ejecutar el 100% del Plan Estratégico de Comunicación de la Vicerrectoría de Extensión y Proyección Social, asegurando su efectividad y alcance.</t>
        </is>
      </c>
      <c r="G26" s="117" t="inlineStr">
        <is>
          <t>100%</t>
        </is>
      </c>
      <c r="H26" s="117" t="inlineStr">
        <is>
          <t>Sugerida por la OAP: componente de comunicación de la extensión incluido en el plan institucional 2025 a 2032 y 100% de lo programado para 2027 ejecutado</t>
        </is>
      </c>
      <c r="I26" s="117" t="inlineStr">
        <is>
          <t>3.3.1.2 · Ejecutar el 100% del Plan Estratégico de Comunicación de la Vicerrectoría de Extensión y Proyección Social, asegurando su efectividad y alcance.</t>
        </is>
      </c>
      <c r="J26" s="117" t="n"/>
      <c r="K26" s="117" t="inlineStr">
        <is>
          <t>A22</t>
        </is>
      </c>
      <c r="L26" s="117" t="inlineStr">
        <is>
          <t>123</t>
        </is>
      </c>
      <c r="M26" s="117" t="inlineStr">
        <is>
          <t>Facultades</t>
        </is>
      </c>
      <c r="N26" s="117" t="inlineStr">
        <is>
          <t>Facultad de Electromecánica</t>
        </is>
      </c>
      <c r="O26" s="117" t="inlineStr">
        <is>
          <t>Docencia PES</t>
        </is>
      </c>
      <c r="P26" s="117" t="inlineStr">
        <is>
          <t>Misional</t>
        </is>
      </c>
      <c r="Q26" s="117" t="inlineStr">
        <is>
          <t>A22 · Facultad de Electromecánica (123)</t>
        </is>
      </c>
      <c r="R26" s="117" t="inlineStr">
        <is>
          <t>123 · Facultades</t>
        </is>
      </c>
      <c r="S26" s="117" t="n"/>
      <c r="T26" s="117" t="inlineStr">
        <is>
          <t>2.1.1.1</t>
        </is>
      </c>
      <c r="U26" s="117" t="inlineStr">
        <is>
          <t>AC27.14 Preparar el primer grupo de investigación para la categoría A, con diagnóstico de su producción, ruta de ascenso y medición del impacto de la investigación</t>
        </is>
      </c>
      <c r="V26" s="117" t="inlineStr">
        <is>
          <t>Investigación (grupos, semilleros, revista, centro de pensamiento); Despacho de la VIET</t>
        </is>
      </c>
      <c r="W26" s="117" t="inlineStr">
        <is>
          <t>140 · Vicerrectoría de Investigación, Extensión y Transferencia</t>
        </is>
      </c>
      <c r="X26" s="117" t="n"/>
      <c r="Y26" s="117" t="n"/>
      <c r="Z26" s="117" t="n"/>
      <c r="AA26" s="117" t="n"/>
      <c r="AB26" s="117" t="n"/>
      <c r="AC26" s="117" t="n"/>
      <c r="AD26" s="117" t="n"/>
      <c r="AE26" s="117" t="n"/>
      <c r="AF26" s="117" t="n"/>
      <c r="AG26" s="117" t="n"/>
      <c r="AH26" s="117" t="n"/>
      <c r="AI26" s="117" t="n"/>
      <c r="AJ26" s="117" t="n"/>
      <c r="AK26" s="117" t="n"/>
    </row>
    <row r="27">
      <c r="A27" s="117" t="inlineStr">
        <is>
          <t>3.3.1.3</t>
        </is>
      </c>
      <c r="B27" s="117" t="n">
        <v>3</v>
      </c>
      <c r="C27" s="117" t="inlineStr">
        <is>
          <t>3 · Extensión y proyección institucional</t>
        </is>
      </c>
      <c r="D27" s="117" t="inlineStr">
        <is>
          <t>3.3</t>
        </is>
      </c>
      <c r="E27" s="117" t="inlineStr">
        <is>
          <t>3.3 · Interacción con el sector productivo y social</t>
        </is>
      </c>
      <c r="F27" s="117" t="inlineStr">
        <is>
          <t>Establecer convenios y fortalecer redes de colaboración con sectores productivos, sociales y educativos, tanto públicos como privados.</t>
        </is>
      </c>
      <c r="G27" s="117" t="inlineStr">
        <is>
          <t>Sugerida por la OAP: 90 convenios activos</t>
        </is>
      </c>
      <c r="H27" s="117" t="inlineStr">
        <is>
          <t>Sugerida por la OAP: 75 convenios activos, renovación de los que vencen y 4 nuevos, y 2 redes nuevas</t>
        </is>
      </c>
      <c r="I27" s="117" t="inlineStr">
        <is>
          <t>3.3.1.3 · Establecer convenios y fortalecer redes de colaboración con sectores productivos, sociales y educativos, tanto públicos como privados.</t>
        </is>
      </c>
      <c r="J27" s="117" t="n"/>
      <c r="K27" s="117" t="inlineStr">
        <is>
          <t>A23</t>
        </is>
      </c>
      <c r="L27" s="117" t="inlineStr">
        <is>
          <t>123</t>
        </is>
      </c>
      <c r="M27" s="117" t="inlineStr">
        <is>
          <t>Facultades</t>
        </is>
      </c>
      <c r="N27" s="117" t="inlineStr">
        <is>
          <t>Facultad de Mecánica</t>
        </is>
      </c>
      <c r="O27" s="117" t="inlineStr">
        <is>
          <t>Docencia PES</t>
        </is>
      </c>
      <c r="P27" s="117" t="inlineStr">
        <is>
          <t>Misional</t>
        </is>
      </c>
      <c r="Q27" s="117" t="inlineStr">
        <is>
          <t>A23 · Facultad de Mecánica (123)</t>
        </is>
      </c>
      <c r="R27" s="117" t="inlineStr">
        <is>
          <t>123 · Facultades</t>
        </is>
      </c>
      <c r="S27" s="117" t="n"/>
      <c r="T27" s="117" t="inlineStr">
        <is>
          <t>2.1.1.1</t>
        </is>
      </c>
      <c r="U27" s="117" t="inlineStr">
        <is>
          <t>PROPIA Acción formulada por el área en la plantilla (escriba su nombre en la columna I)</t>
        </is>
      </c>
      <c r="V27" s="117" t="n"/>
      <c r="W27" s="117" t="n"/>
      <c r="X27" s="117" t="n"/>
      <c r="Y27" s="117" t="n"/>
      <c r="Z27" s="117" t="n"/>
      <c r="AA27" s="117" t="n"/>
      <c r="AB27" s="117" t="n"/>
      <c r="AC27" s="117" t="n"/>
      <c r="AD27" s="117" t="n"/>
      <c r="AE27" s="117" t="n"/>
      <c r="AF27" s="117" t="n"/>
      <c r="AG27" s="117" t="n"/>
      <c r="AH27" s="117" t="n"/>
      <c r="AI27" s="117" t="n"/>
      <c r="AJ27" s="117" t="n"/>
      <c r="AK27" s="117" t="n"/>
    </row>
    <row r="28">
      <c r="A28" s="117" t="inlineStr">
        <is>
          <t>4.1.1.1</t>
        </is>
      </c>
      <c r="B28" s="117" t="n">
        <v>4</v>
      </c>
      <c r="C28" s="117" t="inlineStr">
        <is>
          <t>4 · Transformación institucional</t>
        </is>
      </c>
      <c r="D28" s="117" t="inlineStr">
        <is>
          <t>4.1</t>
        </is>
      </c>
      <c r="E28" s="117" t="inlineStr">
        <is>
          <t>4.1 · Dimensión estratégica</t>
        </is>
      </c>
      <c r="F28" s="117" t="inlineStr">
        <is>
          <t>Cumplir al 2032 con el 90% en el Plan de Desarrollo Institucional 2025-2032 de la ETITC.</t>
        </is>
      </c>
      <c r="G28" s="117" t="inlineStr">
        <is>
          <t>90%</t>
        </is>
      </c>
      <c r="H28" s="117" t="inlineStr">
        <is>
          <t>33% de avance acumulado del PDI</t>
        </is>
      </c>
      <c r="I28" s="117" t="inlineStr">
        <is>
          <t>4.1.1.1 · Cumplir al 2032 con el 90% en el Plan de Desarrollo Institucional 2025-2032 de la ETITC.</t>
        </is>
      </c>
      <c r="J28" s="117" t="n"/>
      <c r="K28" s="117" t="inlineStr">
        <is>
          <t>A24</t>
        </is>
      </c>
      <c r="L28" s="117" t="inlineStr">
        <is>
          <t>123</t>
        </is>
      </c>
      <c r="M28" s="117" t="inlineStr">
        <is>
          <t>Facultades</t>
        </is>
      </c>
      <c r="N28" s="117" t="inlineStr">
        <is>
          <t>Facultad de Mecatrónica</t>
        </is>
      </c>
      <c r="O28" s="117" t="inlineStr">
        <is>
          <t>Docencia PES</t>
        </is>
      </c>
      <c r="P28" s="117" t="inlineStr">
        <is>
          <t>Misional</t>
        </is>
      </c>
      <c r="Q28" s="117" t="inlineStr">
        <is>
          <t>A24 · Facultad de Mecatrónica (123)</t>
        </is>
      </c>
      <c r="R28" s="117" t="inlineStr">
        <is>
          <t>123 · Facultades</t>
        </is>
      </c>
      <c r="S28" s="117" t="n"/>
      <c r="T28" s="117" t="inlineStr">
        <is>
          <t>2.1.1.2</t>
        </is>
      </c>
      <c r="U28" s="117" t="inlineStr">
        <is>
          <t>AC27.15 Llevar a categoría B los grupos que hoy están en C, mediante asesoría en productos de nuevo conocimiento y su postulación oportuna</t>
        </is>
      </c>
      <c r="V28" s="117" t="inlineStr">
        <is>
          <t>Investigación (grupos, semilleros, revista, centro de pensamiento)</t>
        </is>
      </c>
      <c r="W28" s="117" t="inlineStr">
        <is>
          <t>140 · Vicerrectoría de Investigación, Extensión y Transferencia</t>
        </is>
      </c>
      <c r="X28" s="117" t="n"/>
      <c r="Y28" s="117" t="n"/>
      <c r="Z28" s="117" t="n"/>
      <c r="AA28" s="117" t="n"/>
      <c r="AB28" s="117" t="n"/>
      <c r="AC28" s="117" t="n"/>
      <c r="AD28" s="117" t="n"/>
      <c r="AE28" s="117" t="n"/>
      <c r="AF28" s="117" t="n"/>
      <c r="AG28" s="117" t="n"/>
      <c r="AH28" s="117" t="n"/>
      <c r="AI28" s="117" t="n"/>
      <c r="AJ28" s="117" t="n"/>
      <c r="AK28" s="117" t="n"/>
    </row>
    <row r="29">
      <c r="A29" s="117" t="inlineStr">
        <is>
          <t>4.1.1.2</t>
        </is>
      </c>
      <c r="B29" s="117" t="n">
        <v>4</v>
      </c>
      <c r="C29" s="117" t="inlineStr">
        <is>
          <t>4 · Transformación institucional</t>
        </is>
      </c>
      <c r="D29" s="117" t="inlineStr">
        <is>
          <t>4.1</t>
        </is>
      </c>
      <c r="E29" s="117" t="inlineStr">
        <is>
          <t>4.1 · Dimensión estratégica</t>
        </is>
      </c>
      <c r="F29" s="117" t="inlineStr">
        <is>
          <t>Alcanzar el 92% en el Índice de Desempeño Institucional del FURAG.</t>
        </is>
      </c>
      <c r="G29" s="117" t="inlineStr">
        <is>
          <t>92%</t>
        </is>
      </c>
      <c r="H29" s="117" t="inlineStr">
        <is>
          <t>Sugerida por la OAP: 90%, la trayectoria lineal de 87,7% en 2024 a 92% en 2032 da 89,3% en 2027,</t>
        </is>
      </c>
      <c r="I29" s="117" t="inlineStr">
        <is>
          <t>4.1.1.2 · Alcanzar el 92% en el Índice de Desempeño Institucional del FURAG.</t>
        </is>
      </c>
      <c r="J29" s="117" t="n"/>
      <c r="K29" s="117" t="inlineStr">
        <is>
          <t>A25</t>
        </is>
      </c>
      <c r="L29" s="117" t="inlineStr">
        <is>
          <t>123</t>
        </is>
      </c>
      <c r="M29" s="117" t="inlineStr">
        <is>
          <t>Facultades</t>
        </is>
      </c>
      <c r="N29" s="117" t="inlineStr">
        <is>
          <t>Facultad de Procesos Industriales</t>
        </is>
      </c>
      <c r="O29" s="117" t="inlineStr">
        <is>
          <t>Docencia PES</t>
        </is>
      </c>
      <c r="P29" s="117" t="inlineStr">
        <is>
          <t>Misional</t>
        </is>
      </c>
      <c r="Q29" s="117" t="inlineStr">
        <is>
          <t>A25 · Facultad de Procesos Industriales (123)</t>
        </is>
      </c>
      <c r="R29" s="117" t="inlineStr">
        <is>
          <t>123 · Facultades</t>
        </is>
      </c>
      <c r="S29" s="117" t="n"/>
      <c r="T29" s="117" t="inlineStr">
        <is>
          <t>2.1.1.2</t>
        </is>
      </c>
      <c r="U29" s="117" t="inlineStr">
        <is>
          <t>PROPIA Acción formulada por el área en la plantilla (escriba su nombre en la columna I)</t>
        </is>
      </c>
      <c r="V29" s="117" t="n"/>
      <c r="W29" s="117" t="n"/>
      <c r="X29" s="117" t="n"/>
      <c r="Y29" s="117" t="n"/>
      <c r="Z29" s="117" t="n"/>
      <c r="AA29" s="117" t="n"/>
      <c r="AB29" s="117" t="n"/>
      <c r="AC29" s="117" t="n"/>
      <c r="AD29" s="117" t="n"/>
      <c r="AE29" s="117" t="n"/>
      <c r="AF29" s="117" t="n"/>
      <c r="AG29" s="117" t="n"/>
      <c r="AH29" s="117" t="n"/>
      <c r="AI29" s="117" t="n"/>
      <c r="AJ29" s="117" t="n"/>
      <c r="AK29" s="117" t="n"/>
    </row>
    <row r="30">
      <c r="A30" s="117" t="inlineStr">
        <is>
          <t>4.1.1.3</t>
        </is>
      </c>
      <c r="B30" s="117" t="n">
        <v>4</v>
      </c>
      <c r="C30" s="117" t="inlineStr">
        <is>
          <t>4 · Transformación institucional</t>
        </is>
      </c>
      <c r="D30" s="117" t="inlineStr">
        <is>
          <t>4.1</t>
        </is>
      </c>
      <c r="E30" s="117" t="inlineStr">
        <is>
          <t>4.1 · Dimensión estratégica</t>
        </is>
      </c>
      <c r="F30" s="117" t="inlineStr">
        <is>
          <t>Lograr la renovación de la acreditación institucional a 8 años.</t>
        </is>
      </c>
      <c r="G30" s="117" t="inlineStr">
        <is>
          <t>Renovación a 8 años</t>
        </is>
      </c>
      <c r="H30" s="117" t="inlineStr">
        <is>
          <t>Sugerida por la OAP: 100% de las acciones del plan de mejoramiento institucional programadas para 2027 ejecutadas y sistema de seguimiento a las condiciones de calidad operando</t>
        </is>
      </c>
      <c r="I30" s="117" t="inlineStr">
        <is>
          <t>4.1.1.3 · Lograr la renovación de la acreditación institucional a 8 años.</t>
        </is>
      </c>
      <c r="J30" s="117" t="n"/>
      <c r="K30" s="117" t="inlineStr">
        <is>
          <t>A26</t>
        </is>
      </c>
      <c r="L30" s="117" t="inlineStr">
        <is>
          <t>123</t>
        </is>
      </c>
      <c r="M30" s="117" t="inlineStr">
        <is>
          <t>Facultades</t>
        </is>
      </c>
      <c r="N30" s="117" t="inlineStr">
        <is>
          <t>Facultad de Sistemas</t>
        </is>
      </c>
      <c r="O30" s="117" t="inlineStr">
        <is>
          <t>Docencia PES</t>
        </is>
      </c>
      <c r="P30" s="117" t="inlineStr">
        <is>
          <t>Misional</t>
        </is>
      </c>
      <c r="Q30" s="117" t="inlineStr">
        <is>
          <t>A26 · Facultad de Sistemas (123)</t>
        </is>
      </c>
      <c r="R30" s="117" t="inlineStr">
        <is>
          <t>123 · Facultades</t>
        </is>
      </c>
      <c r="S30" s="117" t="n"/>
      <c r="T30" s="117" t="inlineStr">
        <is>
          <t>2.1.1.3</t>
        </is>
      </c>
      <c r="U30" s="117" t="inlineStr">
        <is>
          <t>AC27.16 Ampliar la base de grupos clasificados, actualizando la información de los grupos sin categoría y acompañando a los de mayor producción</t>
        </is>
      </c>
      <c r="V30" s="117" t="inlineStr">
        <is>
          <t>Investigación (grupos, semilleros, revista, centro de pensamiento)</t>
        </is>
      </c>
      <c r="W30" s="117" t="inlineStr">
        <is>
          <t>140 · Vicerrectoría de Investigación, Extensión y Transferencia</t>
        </is>
      </c>
      <c r="X30" s="117" t="n"/>
      <c r="Y30" s="117" t="n"/>
      <c r="Z30" s="117" t="n"/>
      <c r="AA30" s="117" t="n"/>
      <c r="AB30" s="117" t="n"/>
      <c r="AC30" s="117" t="n"/>
      <c r="AD30" s="117" t="n"/>
      <c r="AE30" s="117" t="n"/>
      <c r="AF30" s="117" t="n"/>
      <c r="AG30" s="117" t="n"/>
      <c r="AH30" s="117" t="n"/>
      <c r="AI30" s="117" t="n"/>
      <c r="AJ30" s="117" t="n"/>
      <c r="AK30" s="117" t="n"/>
    </row>
    <row r="31">
      <c r="A31" s="117" t="inlineStr">
        <is>
          <t>4.2.1.1</t>
        </is>
      </c>
      <c r="B31" s="117" t="n">
        <v>4</v>
      </c>
      <c r="C31" s="117" t="inlineStr">
        <is>
          <t>4 · Transformación institucional</t>
        </is>
      </c>
      <c r="D31" s="117" t="inlineStr">
        <is>
          <t>4.2</t>
        </is>
      </c>
      <c r="E31" s="117" t="inlineStr">
        <is>
          <t>4.2 · Arquitectura institucional</t>
        </is>
      </c>
      <c r="F31" s="117" t="inlineStr">
        <is>
          <t>Contar con el 100% de la estructura organizacional académica y administrativa operando.</t>
        </is>
      </c>
      <c r="G31" s="117" t="inlineStr">
        <is>
          <t>100%</t>
        </is>
      </c>
      <c r="H31" s="117" t="inlineStr">
        <is>
          <t>15 docentes de tiempo completo y 10 administrativos vinculados por formalización</t>
        </is>
      </c>
      <c r="I31" s="117" t="inlineStr">
        <is>
          <t>4.2.1.1 · Contar con el 100% de la estructura organizacional académica y administrativa operando.</t>
        </is>
      </c>
      <c r="J31" s="117" t="n"/>
      <c r="K31" s="117" t="inlineStr">
        <is>
          <t>A27</t>
        </is>
      </c>
      <c r="L31" s="117" t="inlineStr">
        <is>
          <t>124</t>
        </is>
      </c>
      <c r="M31" s="117" t="inlineStr">
        <is>
          <t>Instituto de Bachillerato Técnico Industrial (IBTI)</t>
        </is>
      </c>
      <c r="N31" s="117" t="inlineStr">
        <is>
          <t>IBTI</t>
        </is>
      </c>
      <c r="O31" s="117" t="inlineStr">
        <is>
          <t>Docencia IBTI</t>
        </is>
      </c>
      <c r="P31" s="117" t="inlineStr">
        <is>
          <t>Misional</t>
        </is>
      </c>
      <c r="Q31" s="117" t="inlineStr">
        <is>
          <t>A27 · IBTI (124)</t>
        </is>
      </c>
      <c r="R31" s="117" t="inlineStr">
        <is>
          <t>124 · Instituto de Bachillerato Técnico Industrial (IBTI)</t>
        </is>
      </c>
      <c r="S31" s="117" t="n"/>
      <c r="T31" s="117" t="inlineStr">
        <is>
          <t>2.1.1.3</t>
        </is>
      </c>
      <c r="U31" s="117" t="inlineStr">
        <is>
          <t>PROPIA Acción formulada por el área en la plantilla (escriba su nombre en la columna I)</t>
        </is>
      </c>
      <c r="V31" s="117" t="n"/>
      <c r="W31" s="117" t="n"/>
      <c r="X31" s="117" t="n"/>
      <c r="Y31" s="117" t="n"/>
      <c r="Z31" s="117" t="n"/>
      <c r="AA31" s="117" t="n"/>
      <c r="AB31" s="117" t="n"/>
      <c r="AC31" s="117" t="n"/>
      <c r="AD31" s="117" t="n"/>
      <c r="AE31" s="117" t="n"/>
      <c r="AF31" s="117" t="n"/>
      <c r="AG31" s="117" t="n"/>
      <c r="AH31" s="117" t="n"/>
      <c r="AI31" s="117" t="n"/>
      <c r="AJ31" s="117" t="n"/>
      <c r="AK31" s="117" t="n"/>
    </row>
    <row r="32">
      <c r="A32" s="117" t="inlineStr">
        <is>
          <t>4.2.1.2</t>
        </is>
      </c>
      <c r="B32" s="117" t="n">
        <v>4</v>
      </c>
      <c r="C32" s="117" t="inlineStr">
        <is>
          <t>4 · Transformación institucional</t>
        </is>
      </c>
      <c r="D32" s="117" t="inlineStr">
        <is>
          <t>4.2</t>
        </is>
      </c>
      <c r="E32" s="117" t="inlineStr">
        <is>
          <t>4.2 · Arquitectura institucional</t>
        </is>
      </c>
      <c r="F32" s="117" t="inlineStr">
        <is>
          <t>Contar con un (1) sistema de información estratégico.</t>
        </is>
      </c>
      <c r="G32" s="117" t="inlineStr">
        <is>
          <t>1 sistema</t>
        </is>
      </c>
      <c r="H32" s="117" t="inlineStr">
        <is>
          <t>Sugerida por la OAP: SIUE en operación plena: 100% de las dependencias reportando en él y 3 módulos integrados, Hoja de Ruta y Power BI, SNIES-HECAA y repositorio de evidencias,</t>
        </is>
      </c>
      <c r="I32" s="117" t="inlineStr">
        <is>
          <t>4.2.1.2 · Contar con un (1) sistema de información estratégico.</t>
        </is>
      </c>
      <c r="J32" s="117" t="n"/>
      <c r="K32" s="117" t="inlineStr">
        <is>
          <t>A28</t>
        </is>
      </c>
      <c r="L32" s="117" t="inlineStr">
        <is>
          <t>125</t>
        </is>
      </c>
      <c r="M32" s="117" t="inlineStr">
        <is>
          <t>GIT Talleres y Laboratorios</t>
        </is>
      </c>
      <c r="N32" s="117" t="inlineStr">
        <is>
          <t>GIT Talleres y Laboratorios</t>
        </is>
      </c>
      <c r="O32" s="117" t="inlineStr">
        <is>
          <t>Gestión de Recursos Físicos</t>
        </is>
      </c>
      <c r="P32" s="117" t="inlineStr">
        <is>
          <t>Apoyo</t>
        </is>
      </c>
      <c r="Q32" s="117" t="inlineStr">
        <is>
          <t>A28 · GIT Talleres y Laboratorios (125)</t>
        </is>
      </c>
      <c r="R32" s="117" t="inlineStr">
        <is>
          <t>125 · GIT Talleres y Laboratorios</t>
        </is>
      </c>
      <c r="S32" s="117" t="n"/>
      <c r="T32" s="117" t="inlineStr">
        <is>
          <t>2.2.1.1</t>
        </is>
      </c>
      <c r="U32" s="117" t="inlineStr">
        <is>
          <t>AC27.17 Aumentar la publicación en revistas internacionales indexadas con estímulos, traducción y acompañamiento al sometimiento</t>
        </is>
      </c>
      <c r="V32" s="117" t="inlineStr">
        <is>
          <t>Investigación (grupos, semilleros, revista, centro de pensamiento)</t>
        </is>
      </c>
      <c r="W32" s="117" t="inlineStr">
        <is>
          <t>140 · Vicerrectoría de Investigación, Extensión y Transferencia</t>
        </is>
      </c>
      <c r="X32" s="117" t="n"/>
      <c r="Y32" s="117" t="n"/>
      <c r="Z32" s="117" t="n"/>
      <c r="AA32" s="117" t="n"/>
      <c r="AB32" s="117" t="n"/>
      <c r="AC32" s="117" t="n"/>
      <c r="AD32" s="117" t="n"/>
      <c r="AE32" s="117" t="n"/>
      <c r="AF32" s="117" t="n"/>
      <c r="AG32" s="117" t="n"/>
      <c r="AH32" s="117" t="n"/>
      <c r="AI32" s="117" t="n"/>
      <c r="AJ32" s="117" t="n"/>
      <c r="AK32" s="117" t="n"/>
    </row>
    <row r="33">
      <c r="A33" s="117" t="inlineStr">
        <is>
          <t>4.2.1.3</t>
        </is>
      </c>
      <c r="B33" s="117" t="n">
        <v>4</v>
      </c>
      <c r="C33" s="117" t="inlineStr">
        <is>
          <t>4 · Transformación institucional</t>
        </is>
      </c>
      <c r="D33" s="117" t="inlineStr">
        <is>
          <t>4.2</t>
        </is>
      </c>
      <c r="E33" s="117" t="inlineStr">
        <is>
          <t>4.2 · Arquitectura institucional</t>
        </is>
      </c>
      <c r="F33" s="117" t="inlineStr">
        <is>
          <t>Consolidar el IBTI como unidad autónoma y adscrita a la Institución con un programa de tránsito inmediato a la educación superior.</t>
        </is>
      </c>
      <c r="G33" s="117" t="inlineStr">
        <is>
          <t>IBTI consolidado</t>
        </is>
      </c>
      <c r="H33" s="117" t="inlineStr">
        <is>
          <t>Currículos del IBTI y de los programas técnicos profesionales alineados; solicitud de adscripción ante el MEN</t>
        </is>
      </c>
      <c r="I33" s="117" t="inlineStr">
        <is>
          <t>4.2.1.3 · Consolidar el IBTI como unidad autónoma y adscrita a la Institución con un programa de tránsito inmediato a la educación superior.</t>
        </is>
      </c>
      <c r="J33" s="117" t="n"/>
      <c r="K33" s="117" t="inlineStr">
        <is>
          <t>A29</t>
        </is>
      </c>
      <c r="L33" s="117" t="inlineStr">
        <is>
          <t>126</t>
        </is>
      </c>
      <c r="M33" s="117" t="inlineStr">
        <is>
          <t>GIT Registro y Control</t>
        </is>
      </c>
      <c r="N33" s="117" t="inlineStr">
        <is>
          <t>GIT Registro, Control y Admisiones</t>
        </is>
      </c>
      <c r="O33" s="117" t="inlineStr">
        <is>
          <t>Docencia PES</t>
        </is>
      </c>
      <c r="P33" s="117" t="inlineStr">
        <is>
          <t>Misional</t>
        </is>
      </c>
      <c r="Q33" s="117" t="inlineStr">
        <is>
          <t>A29 · GIT Registro, Control y Admisiones (126)</t>
        </is>
      </c>
      <c r="R33" s="117" t="inlineStr">
        <is>
          <t>126 · GIT Registro y Control</t>
        </is>
      </c>
      <c r="S33" s="117" t="n"/>
      <c r="T33" s="117" t="inlineStr">
        <is>
          <t>2.2.1.1</t>
        </is>
      </c>
      <c r="U33" s="117" t="inlineStr">
        <is>
          <t>PROPIA Acción formulada por el área en la plantilla (escriba su nombre en la columna I)</t>
        </is>
      </c>
      <c r="V33" s="117" t="n"/>
      <c r="W33" s="117" t="n"/>
      <c r="X33" s="117" t="n"/>
      <c r="Y33" s="117" t="n"/>
      <c r="Z33" s="117" t="n"/>
      <c r="AA33" s="117" t="n"/>
      <c r="AB33" s="117" t="n"/>
      <c r="AC33" s="117" t="n"/>
      <c r="AD33" s="117" t="n"/>
      <c r="AE33" s="117" t="n"/>
      <c r="AF33" s="117" t="n"/>
      <c r="AG33" s="117" t="n"/>
      <c r="AH33" s="117" t="n"/>
      <c r="AI33" s="117" t="n"/>
      <c r="AJ33" s="117" t="n"/>
      <c r="AK33" s="117" t="n"/>
    </row>
    <row r="34">
      <c r="A34" s="117" t="inlineStr">
        <is>
          <t>4.3.1.1</t>
        </is>
      </c>
      <c r="B34" s="117" t="n">
        <v>4</v>
      </c>
      <c r="C34" s="117" t="inlineStr">
        <is>
          <t>4 · Transformación institucional</t>
        </is>
      </c>
      <c r="D34" s="117" t="inlineStr">
        <is>
          <t>4.3</t>
        </is>
      </c>
      <c r="E34" s="117" t="inlineStr">
        <is>
          <t>4.3 · Gestión de la comunidad educativa</t>
        </is>
      </c>
      <c r="F34" s="117" t="inlineStr">
        <is>
          <t>Contar con un (1) sistema estratégico de desarrollo de la comunidad educativa.</t>
        </is>
      </c>
      <c r="G34" s="117" t="inlineStr">
        <is>
          <t>1 sistema</t>
        </is>
      </c>
      <c r="H34" s="117" t="inlineStr">
        <is>
          <t>Modelo de operación flexible en funcionamiento</t>
        </is>
      </c>
      <c r="I34" s="117" t="inlineStr">
        <is>
          <t>4.3.1.1 · Contar con un (1) sistema estratégico de desarrollo de la comunidad educativa.</t>
        </is>
      </c>
      <c r="J34" s="117" t="n"/>
      <c r="K34" s="117" t="inlineStr">
        <is>
          <t>A30</t>
        </is>
      </c>
      <c r="L34" s="117" t="inlineStr">
        <is>
          <t>130</t>
        </is>
      </c>
      <c r="M34" s="117" t="inlineStr">
        <is>
          <t>Vicerrectoría Administrativa y Financiera</t>
        </is>
      </c>
      <c r="N34" s="117" t="inlineStr">
        <is>
          <t>Despacho de la Vicerrectoría Administrativa y Financiera</t>
        </is>
      </c>
      <c r="O34" s="117" t="inlineStr">
        <is>
          <t>Gestión Financiera</t>
        </is>
      </c>
      <c r="P34" s="117" t="inlineStr">
        <is>
          <t>Apoyo</t>
        </is>
      </c>
      <c r="Q34" s="117" t="inlineStr">
        <is>
          <t>A30 · Despacho de la Vicerrectoría Administrativa y Financiera (130)</t>
        </is>
      </c>
      <c r="R34" s="117" t="inlineStr">
        <is>
          <t>130 · Vicerrectoría Administrativa y Financiera</t>
        </is>
      </c>
      <c r="S34" s="117" t="n"/>
      <c r="T34" s="117" t="inlineStr">
        <is>
          <t>2.2.1.2</t>
        </is>
      </c>
      <c r="U34" s="117" t="inlineStr">
        <is>
          <t>AC27.18 Aumentar la publicación en revistas nacionales indexadas, fortaleciendo las revistas propias y convirtiendo trabajos de grado y semilleros en artículos</t>
        </is>
      </c>
      <c r="V34" s="117" t="inlineStr">
        <is>
          <t>Investigación (grupos, semilleros, revista, centro de pensamiento)</t>
        </is>
      </c>
      <c r="W34" s="117" t="inlineStr">
        <is>
          <t>140 · Vicerrectoría de Investigación, Extensión y Transferencia</t>
        </is>
      </c>
      <c r="X34" s="117" t="n"/>
      <c r="Y34" s="117" t="n"/>
      <c r="Z34" s="117" t="n"/>
      <c r="AA34" s="117" t="n"/>
      <c r="AB34" s="117" t="n"/>
      <c r="AC34" s="117" t="n"/>
      <c r="AD34" s="117" t="n"/>
      <c r="AE34" s="117" t="n"/>
      <c r="AF34" s="117" t="n"/>
      <c r="AG34" s="117" t="n"/>
      <c r="AH34" s="117" t="n"/>
      <c r="AI34" s="117" t="n"/>
      <c r="AJ34" s="117" t="n"/>
      <c r="AK34" s="117" t="n"/>
    </row>
    <row r="35">
      <c r="A35" s="117" t="inlineStr">
        <is>
          <t>4.4.1.1</t>
        </is>
      </c>
      <c r="B35" s="117" t="n">
        <v>4</v>
      </c>
      <c r="C35" s="117" t="inlineStr">
        <is>
          <t>4 · Transformación institucional</t>
        </is>
      </c>
      <c r="D35" s="117" t="inlineStr">
        <is>
          <t>4.4</t>
        </is>
      </c>
      <c r="E35" s="117" t="inlineStr">
        <is>
          <t>4.4 · Relacionamiento dialógico</t>
        </is>
      </c>
      <c r="F35" s="117" t="inlineStr">
        <is>
          <t>Posicionamiento en un indicador Top of Mind de universidades tecnológicas de carácter público en el país.</t>
        </is>
      </c>
      <c r="G35" s="117" t="inlineStr">
        <is>
          <t>1 indicador</t>
        </is>
      </c>
      <c r="H35" s="117" t="inlineStr">
        <is>
          <t>Sugerida por la OAP: medición de línea base Top of Mind aplicada y plan de posicionamiento ejecutado al 100% de lo programado para 2027</t>
        </is>
      </c>
      <c r="I35" s="117" t="inlineStr">
        <is>
          <t>4.4.1.1 · Posicionamiento en un indicador Top of Mind de universidades tecnológicas de carácter público en el país.</t>
        </is>
      </c>
      <c r="J35" s="117" t="n"/>
      <c r="K35" s="117" t="inlineStr">
        <is>
          <t>A31</t>
        </is>
      </c>
      <c r="L35" s="117" t="inlineStr">
        <is>
          <t>130</t>
        </is>
      </c>
      <c r="M35" s="117" t="inlineStr">
        <is>
          <t>Vicerrectoría Administrativa y Financiera</t>
        </is>
      </c>
      <c r="N35" s="117" t="inlineStr">
        <is>
          <t>Recursos Físicos e Infraestructura</t>
        </is>
      </c>
      <c r="O35" s="117" t="inlineStr">
        <is>
          <t>Gestión de Recursos Físicos</t>
        </is>
      </c>
      <c r="P35" s="117" t="inlineStr">
        <is>
          <t>Apoyo</t>
        </is>
      </c>
      <c r="Q35" s="117" t="inlineStr">
        <is>
          <t>A31 · Recursos Físicos e Infraestructura (130)</t>
        </is>
      </c>
      <c r="R35" s="117" t="inlineStr">
        <is>
          <t>130 · Vicerrectoría Administrativa y Financiera</t>
        </is>
      </c>
      <c r="S35" s="117" t="n"/>
      <c r="T35" s="117" t="inlineStr">
        <is>
          <t>2.2.1.2</t>
        </is>
      </c>
      <c r="U35" s="117" t="inlineStr">
        <is>
          <t>PROPIA Acción formulada por el área en la plantilla (escriba su nombre en la columna I)</t>
        </is>
      </c>
      <c r="V35" s="117" t="n"/>
      <c r="W35" s="117" t="n"/>
      <c r="X35" s="117" t="n"/>
      <c r="Y35" s="117" t="n"/>
      <c r="Z35" s="117" t="n"/>
      <c r="AA35" s="117" t="n"/>
      <c r="AB35" s="117" t="n"/>
      <c r="AC35" s="117" t="n"/>
      <c r="AD35" s="117" t="n"/>
      <c r="AE35" s="117" t="n"/>
      <c r="AF35" s="117" t="n"/>
      <c r="AG35" s="117" t="n"/>
      <c r="AH35" s="117" t="n"/>
      <c r="AI35" s="117" t="n"/>
      <c r="AJ35" s="117" t="n"/>
      <c r="AK35" s="117" t="n"/>
    </row>
    <row r="36">
      <c r="A36" s="117" t="inlineStr">
        <is>
          <t>4.4.1.2</t>
        </is>
      </c>
      <c r="B36" s="117" t="n">
        <v>4</v>
      </c>
      <c r="C36" s="117" t="inlineStr">
        <is>
          <t>4 · Transformación institucional</t>
        </is>
      </c>
      <c r="D36" s="117" t="inlineStr">
        <is>
          <t>4.4</t>
        </is>
      </c>
      <c r="E36" s="117" t="inlineStr">
        <is>
          <t>4.4 · Relacionamiento dialógico</t>
        </is>
      </c>
      <c r="F36" s="117" t="inlineStr">
        <is>
          <t>Cinco (5) alianzas estratégicas.</t>
        </is>
      </c>
      <c r="G36" s="117" t="inlineStr">
        <is>
          <t>5 alianzas</t>
        </is>
      </c>
      <c r="H36" s="117" t="inlineStr">
        <is>
          <t>5 proyectos o alianzas estratégicas suscritos</t>
        </is>
      </c>
      <c r="I36" s="117" t="inlineStr">
        <is>
          <t>4.4.1.2 · Cinco (5) alianzas estratégicas.</t>
        </is>
      </c>
      <c r="J36" s="117" t="n"/>
      <c r="K36" s="117" t="inlineStr">
        <is>
          <t>A32</t>
        </is>
      </c>
      <c r="L36" s="117" t="inlineStr">
        <is>
          <t>131</t>
        </is>
      </c>
      <c r="M36" s="117" t="inlineStr">
        <is>
          <t>GIT Gestión Documental y Atención al Ciudadano</t>
        </is>
      </c>
      <c r="N36" s="117" t="inlineStr">
        <is>
          <t>Gestión Documental</t>
        </is>
      </c>
      <c r="O36" s="117" t="inlineStr">
        <is>
          <t>Gestión Documental</t>
        </is>
      </c>
      <c r="P36" s="117" t="inlineStr">
        <is>
          <t>Apoyo</t>
        </is>
      </c>
      <c r="Q36" s="117" t="inlineStr">
        <is>
          <t>A32 · Gestión Documental (131)</t>
        </is>
      </c>
      <c r="R36" s="117" t="inlineStr">
        <is>
          <t>131 · GIT Gestión Documental y Atención al Ciudadano</t>
        </is>
      </c>
      <c r="S36" s="117" t="n"/>
      <c r="T36" s="117" t="inlineStr">
        <is>
          <t>2.3.1.1</t>
        </is>
      </c>
      <c r="U36" s="117" t="inlineStr">
        <is>
          <t>AC27.19 Convertir los desarrollos de la Escuela en propiedad intelectual protegida, desde la identificación de lo patentable hasta la radicación ante la SIC</t>
        </is>
      </c>
      <c r="V36" s="117" t="inlineStr">
        <is>
          <t>Innovación y Laboratorio Inteligente; Despacho de la VIET</t>
        </is>
      </c>
      <c r="W36" s="117" t="inlineStr">
        <is>
          <t>140 · Vicerrectoría de Investigación, Extensión y Transferencia</t>
        </is>
      </c>
      <c r="X36" s="117" t="n"/>
      <c r="Y36" s="117" t="n"/>
      <c r="Z36" s="117" t="n"/>
      <c r="AA36" s="117" t="n"/>
      <c r="AB36" s="117" t="n"/>
      <c r="AC36" s="117" t="n"/>
      <c r="AD36" s="117" t="n"/>
      <c r="AE36" s="117" t="n"/>
      <c r="AF36" s="117" t="n"/>
      <c r="AG36" s="117" t="n"/>
      <c r="AH36" s="117" t="n"/>
      <c r="AI36" s="117" t="n"/>
      <c r="AJ36" s="117" t="n"/>
      <c r="AK36" s="117" t="n"/>
    </row>
    <row r="37">
      <c r="A37" s="117" t="inlineStr">
        <is>
          <t>4.4.1.3</t>
        </is>
      </c>
      <c r="B37" s="117" t="n">
        <v>4</v>
      </c>
      <c r="C37" s="117" t="inlineStr">
        <is>
          <t>4 · Transformación institucional</t>
        </is>
      </c>
      <c r="D37" s="117" t="inlineStr">
        <is>
          <t>4.4</t>
        </is>
      </c>
      <c r="E37" s="117" t="inlineStr">
        <is>
          <t>4.4 · Relacionamiento dialógico</t>
        </is>
      </c>
      <c r="F37" s="117" t="inlineStr">
        <is>
          <t>30 proyectos por cada una de las hélices: (1) sistema educativo; (2) sistema económico; (3) entorno natural; (4) el público (medios, cultura y sociedad civil) y (5) el sistema político.</t>
        </is>
      </c>
      <c r="G37" s="117" t="inlineStr">
        <is>
          <t>30 proyectos por hélice</t>
        </is>
      </c>
      <c r="H37" s="117" t="inlineStr">
        <is>
          <t>Sugerida por la OAP: inventario de proyectos por hélice y 5 proyectos por hélice, 25 en total, en 2027, trayectoria hacia 30 por hélice en 2032</t>
        </is>
      </c>
      <c r="I37" s="117" t="inlineStr">
        <is>
          <t>4.4.1.3 · 30 proyectos por cada una de las hélices: (1) sistema educativo; (2) sistema económico; (3) entorno natural; (4) el público (medios, cultura y sociedad civil) y (5) el sistema político.</t>
        </is>
      </c>
      <c r="J37" s="117" t="n"/>
      <c r="K37" s="117" t="inlineStr">
        <is>
          <t>A33</t>
        </is>
      </c>
      <c r="L37" s="117" t="inlineStr">
        <is>
          <t>131</t>
        </is>
      </c>
      <c r="M37" s="117" t="inlineStr">
        <is>
          <t>GIT Gestión Documental y Atención al Ciudadano</t>
        </is>
      </c>
      <c r="N37" s="117" t="inlineStr">
        <is>
          <t>Atención al Ciudadano</t>
        </is>
      </c>
      <c r="O37" s="117" t="inlineStr">
        <is>
          <t>Gestión de Servicio al Ciudadano</t>
        </is>
      </c>
      <c r="P37" s="117" t="inlineStr">
        <is>
          <t>Apoyo</t>
        </is>
      </c>
      <c r="Q37" s="117" t="inlineStr">
        <is>
          <t>A33 · Atención al Ciudadano (131)</t>
        </is>
      </c>
      <c r="R37" s="117" t="inlineStr">
        <is>
          <t>131 · GIT Gestión Documental y Atención al Ciudadano</t>
        </is>
      </c>
      <c r="S37" s="117" t="n"/>
      <c r="T37" s="117" t="inlineStr">
        <is>
          <t>2.3.1.1</t>
        </is>
      </c>
      <c r="U37" s="117" t="inlineStr">
        <is>
          <t>AC27.20 Mantener vigente la patente concedida, al día con anualidades y requerimientos de la SIC</t>
        </is>
      </c>
      <c r="V37" s="117" t="inlineStr">
        <is>
          <t>Innovación y Laboratorio Inteligente</t>
        </is>
      </c>
      <c r="W37" s="117" t="inlineStr">
        <is>
          <t>140 · Vicerrectoría de Investigación, Extensión y Transferencia</t>
        </is>
      </c>
      <c r="X37" s="117" t="n"/>
      <c r="Y37" s="117" t="n"/>
      <c r="Z37" s="117" t="n"/>
      <c r="AA37" s="117" t="n"/>
      <c r="AB37" s="117" t="n"/>
      <c r="AC37" s="117" t="n"/>
      <c r="AD37" s="117" t="n"/>
      <c r="AE37" s="117" t="n"/>
      <c r="AF37" s="117" t="n"/>
      <c r="AG37" s="117" t="n"/>
      <c r="AH37" s="117" t="n"/>
      <c r="AI37" s="117" t="n"/>
      <c r="AJ37" s="117" t="n"/>
      <c r="AK37" s="117" t="n"/>
    </row>
    <row r="38">
      <c r="A38" s="117" t="inlineStr">
        <is>
          <t>4.5.1.1</t>
        </is>
      </c>
      <c r="B38" s="117" t="n">
        <v>4</v>
      </c>
      <c r="C38" s="117" t="inlineStr">
        <is>
          <t>4 · Transformación institucional</t>
        </is>
      </c>
      <c r="D38" s="117" t="inlineStr">
        <is>
          <t>4.5</t>
        </is>
      </c>
      <c r="E38" s="117" t="inlineStr">
        <is>
          <t>4.5 · Cultura organizacional</t>
        </is>
      </c>
      <c r="F38" s="117" t="inlineStr">
        <is>
          <t>Lograr un 90% de participación de los grupos de valor en las acciones de cultura organizacional.</t>
        </is>
      </c>
      <c r="G38" s="117" t="inlineStr">
        <is>
          <t>90%</t>
        </is>
      </c>
      <c r="H38" s="117" t="inlineStr">
        <is>
          <t>Sugerida por la OAP: 75% de participación de los grupos de valor, primera medición en 2027 y trayectoria hacia 90% en 2032,</t>
        </is>
      </c>
      <c r="I38" s="117" t="inlineStr">
        <is>
          <t>4.5.1.1 · Lograr un 90% de participación de los grupos de valor en las acciones de cultura organizacional.</t>
        </is>
      </c>
      <c r="J38" s="117" t="n"/>
      <c r="K38" s="117" t="inlineStr">
        <is>
          <t>A34</t>
        </is>
      </c>
      <c r="L38" s="117" t="inlineStr">
        <is>
          <t>132</t>
        </is>
      </c>
      <c r="M38" s="117" t="inlineStr">
        <is>
          <t>GIT Gestión de Informática y Telecomunicaciones</t>
        </is>
      </c>
      <c r="N38" s="117" t="inlineStr">
        <is>
          <t>GIT Informática y Telecomunicaciones</t>
        </is>
      </c>
      <c r="O38" s="117" t="inlineStr">
        <is>
          <t>Gestión de Informática y Telecomunicaciones</t>
        </is>
      </c>
      <c r="P38" s="117" t="inlineStr">
        <is>
          <t>Estratégico</t>
        </is>
      </c>
      <c r="Q38" s="117" t="inlineStr">
        <is>
          <t>A34 · GIT Informática y Telecomunicaciones (132)</t>
        </is>
      </c>
      <c r="R38" s="117" t="inlineStr">
        <is>
          <t>132 · GIT Gestión de Informática y Telecomunicaciones</t>
        </is>
      </c>
      <c r="S38" s="117" t="n"/>
      <c r="T38" s="117" t="inlineStr">
        <is>
          <t>2.3.1.1</t>
        </is>
      </c>
      <c r="U38" s="117" t="inlineStr">
        <is>
          <t>PROPIA Acción formulada por el área en la plantilla (escriba su nombre en la columna I)</t>
        </is>
      </c>
      <c r="V38" s="117" t="n"/>
      <c r="W38" s="117" t="n"/>
      <c r="X38" s="117" t="n"/>
      <c r="Y38" s="117" t="n"/>
      <c r="Z38" s="117" t="n"/>
      <c r="AA38" s="117" t="n"/>
      <c r="AB38" s="117" t="n"/>
      <c r="AC38" s="117" t="n"/>
      <c r="AD38" s="117" t="n"/>
      <c r="AE38" s="117" t="n"/>
      <c r="AF38" s="117" t="n"/>
      <c r="AG38" s="117" t="n"/>
      <c r="AH38" s="117" t="n"/>
      <c r="AI38" s="117" t="n"/>
      <c r="AJ38" s="117" t="n"/>
      <c r="AK38" s="117" t="n"/>
    </row>
    <row r="39">
      <c r="A39" s="117" t="inlineStr">
        <is>
          <t>4.5.1.2</t>
        </is>
      </c>
      <c r="B39" s="117" t="n">
        <v>4</v>
      </c>
      <c r="C39" s="117" t="inlineStr">
        <is>
          <t>4 · Transformación institucional</t>
        </is>
      </c>
      <c r="D39" s="117" t="inlineStr">
        <is>
          <t>4.5</t>
        </is>
      </c>
      <c r="E39" s="117" t="inlineStr">
        <is>
          <t>4.5 · Cultura organizacional</t>
        </is>
      </c>
      <c r="F39" s="117" t="inlineStr">
        <is>
          <t>Consolidar un (1) modelo de gestión de la cultura que contemple un (1) instrumento de evaluación permanente.</t>
        </is>
      </c>
      <c r="G39" s="117" t="inlineStr">
        <is>
          <t>1 modelo + 1 instrumento</t>
        </is>
      </c>
      <c r="H39" s="117" t="inlineStr">
        <is>
          <t>Instrumento de evaluación diseñado y aplicado</t>
        </is>
      </c>
      <c r="I39" s="117" t="inlineStr">
        <is>
          <t>4.5.1.2 · Consolidar un (1) modelo de gestión de la cultura que contemple un (1) instrumento de evaluación permanente.</t>
        </is>
      </c>
      <c r="J39" s="117" t="n"/>
      <c r="K39" s="117" t="inlineStr">
        <is>
          <t>A35</t>
        </is>
      </c>
      <c r="L39" s="117" t="inlineStr">
        <is>
          <t>133</t>
        </is>
      </c>
      <c r="M39" s="117" t="inlineStr">
        <is>
          <t>GIT Gestión de Talento Humano</t>
        </is>
      </c>
      <c r="N39" s="117" t="inlineStr">
        <is>
          <t>GIT Talento Humano</t>
        </is>
      </c>
      <c r="O39" s="117" t="inlineStr">
        <is>
          <t>Gestión de Talento Humano</t>
        </is>
      </c>
      <c r="P39" s="117" t="inlineStr">
        <is>
          <t>Estratégico</t>
        </is>
      </c>
      <c r="Q39" s="117" t="inlineStr">
        <is>
          <t>A35 · GIT Talento Humano (133)</t>
        </is>
      </c>
      <c r="R39" s="117" t="inlineStr">
        <is>
          <t>133 · GIT Gestión de Talento Humano</t>
        </is>
      </c>
      <c r="S39" s="117" t="n"/>
      <c r="T39" s="117" t="inlineStr">
        <is>
          <t>2.4.1.1</t>
        </is>
      </c>
      <c r="U39" s="117" t="inlineStr">
        <is>
          <t>AC27.21 Poner en marcha el Centro de Pensamiento y Desarrollo Tecnológico articulado con el Ecoparque de Funza, con reconocimiento de MinCiencias y semilleros activos</t>
        </is>
      </c>
      <c r="V39" s="117" t="inlineStr">
        <is>
          <t>Investigación (grupos, semilleros, revista, centro de pensamiento)</t>
        </is>
      </c>
      <c r="W39" s="117" t="inlineStr">
        <is>
          <t>140 · Vicerrectoría de Investigación, Extensión y Transferencia</t>
        </is>
      </c>
      <c r="X39" s="117" t="n"/>
      <c r="Y39" s="117" t="n"/>
      <c r="Z39" s="117" t="n"/>
      <c r="AA39" s="117" t="n"/>
      <c r="AB39" s="117" t="n"/>
      <c r="AC39" s="117" t="n"/>
      <c r="AD39" s="117" t="n"/>
      <c r="AE39" s="117" t="n"/>
      <c r="AF39" s="117" t="n"/>
      <c r="AG39" s="117" t="n"/>
      <c r="AH39" s="117" t="n"/>
      <c r="AI39" s="117" t="n"/>
      <c r="AJ39" s="117" t="n"/>
      <c r="AK39" s="117" t="n"/>
    </row>
    <row r="40">
      <c r="A40" s="117" t="inlineStr">
        <is>
          <t>5.1.1.1</t>
        </is>
      </c>
      <c r="B40" s="117" t="n">
        <v>5</v>
      </c>
      <c r="C40" s="117" t="inlineStr">
        <is>
          <t>5 · Ampliación y modernización de la infraestructura</t>
        </is>
      </c>
      <c r="D40" s="117" t="inlineStr">
        <is>
          <t>5.1</t>
        </is>
      </c>
      <c r="E40" s="117" t="inlineStr">
        <is>
          <t>5.1 · Sedes propias</t>
        </is>
      </c>
      <c r="F40" s="117" t="inlineStr">
        <is>
          <t>Contar con 4 sedes: 1. Calle 18, 2. Funza, 3. Guaymaral, 4. Central, con infraestructura y dotación para la prestación de servicios educativos.</t>
        </is>
      </c>
      <c r="G40" s="117" t="inlineStr">
        <is>
          <t>4 sedes</t>
        </is>
      </c>
      <c r="H40" s="117" t="inlineStr">
        <is>
          <t>Calle 18: fase III (licencias, estudios y diseños, vigencias futuras MEN). Funza: puesta en marcha fase I. Guaymaral: puesta en marcha de la sede de Bienestar.</t>
        </is>
      </c>
      <c r="I40" s="117" t="inlineStr">
        <is>
          <t>5.1.1.1 · Contar con 4 sedes: 1. Calle 18, 2. Funza, 3. Guaymaral, 4. Central, con infraestructura y dotación para la prestación de servicios educativos.</t>
        </is>
      </c>
      <c r="J40" s="117" t="n"/>
      <c r="K40" s="117" t="inlineStr">
        <is>
          <t>A36</t>
        </is>
      </c>
      <c r="L40" s="117" t="inlineStr">
        <is>
          <t>133</t>
        </is>
      </c>
      <c r="M40" s="117" t="inlineStr">
        <is>
          <t>GIT Gestión de Talento Humano</t>
        </is>
      </c>
      <c r="N40" s="117" t="inlineStr">
        <is>
          <t>Seguridad y Salud en el Trabajo</t>
        </is>
      </c>
      <c r="O40" s="117" t="inlineStr">
        <is>
          <t>Gestión de Talento Humano</t>
        </is>
      </c>
      <c r="P40" s="117" t="inlineStr">
        <is>
          <t>Estratégico</t>
        </is>
      </c>
      <c r="Q40" s="117" t="inlineStr">
        <is>
          <t>A36 · Seguridad y Salud en el Trabajo (133)</t>
        </is>
      </c>
      <c r="R40" s="117" t="inlineStr">
        <is>
          <t>133 · GIT Gestión de Talento Humano</t>
        </is>
      </c>
      <c r="S40" s="117" t="n"/>
      <c r="T40" s="117" t="inlineStr">
        <is>
          <t>2.4.1.1</t>
        </is>
      </c>
      <c r="U40" s="117" t="inlineStr">
        <is>
          <t>PROPIA Acción formulada por el área en la plantilla (escriba su nombre en la columna I)</t>
        </is>
      </c>
      <c r="V40" s="117" t="n"/>
      <c r="W40" s="117" t="n"/>
      <c r="X40" s="117" t="n"/>
      <c r="Y40" s="117" t="n"/>
      <c r="Z40" s="117" t="n"/>
      <c r="AA40" s="117" t="n"/>
      <c r="AB40" s="117" t="n"/>
      <c r="AC40" s="117" t="n"/>
      <c r="AD40" s="117" t="n"/>
      <c r="AE40" s="117" t="n"/>
      <c r="AF40" s="117" t="n"/>
      <c r="AG40" s="117" t="n"/>
      <c r="AH40" s="117" t="n"/>
      <c r="AI40" s="117" t="n"/>
      <c r="AJ40" s="117" t="n"/>
      <c r="AK40" s="117" t="n"/>
    </row>
    <row r="41">
      <c r="A41" s="117" t="inlineStr">
        <is>
          <t>5.2.1.1</t>
        </is>
      </c>
      <c r="B41" s="117" t="n">
        <v>5</v>
      </c>
      <c r="C41" s="117" t="inlineStr">
        <is>
          <t>5 · Ampliación y modernización de la infraestructura</t>
        </is>
      </c>
      <c r="D41" s="117" t="inlineStr">
        <is>
          <t>5.2</t>
        </is>
      </c>
      <c r="E41" s="117" t="inlineStr">
        <is>
          <t>5.2 · Modernización de la infraestructura</t>
        </is>
      </c>
      <c r="F41" s="117" t="inlineStr">
        <is>
          <t>3 bloques reforzados estructuralmente en la sede centro.</t>
        </is>
      </c>
      <c r="G41" s="117" t="inlineStr">
        <is>
          <t>3 bloques</t>
        </is>
      </c>
      <c r="H41" s="117" t="inlineStr">
        <is>
          <t>Viabilidad presupuestal y permisos para los bloques pendientes</t>
        </is>
      </c>
      <c r="I41" s="117" t="inlineStr">
        <is>
          <t>5.2.1.1 · 3 bloques reforzados estructuralmente en la sede centro.</t>
        </is>
      </c>
      <c r="J41" s="117" t="n"/>
      <c r="K41" s="117" t="inlineStr">
        <is>
          <t>A37</t>
        </is>
      </c>
      <c r="L41" s="117" t="inlineStr">
        <is>
          <t>133</t>
        </is>
      </c>
      <c r="M41" s="117" t="inlineStr">
        <is>
          <t>GIT Gestión de Talento Humano</t>
        </is>
      </c>
      <c r="N41" s="117" t="inlineStr">
        <is>
          <t>Bienestar Laboral</t>
        </is>
      </c>
      <c r="O41" s="117" t="inlineStr">
        <is>
          <t>Gestión de Talento Humano</t>
        </is>
      </c>
      <c r="P41" s="117" t="inlineStr">
        <is>
          <t>Estratégico</t>
        </is>
      </c>
      <c r="Q41" s="117" t="inlineStr">
        <is>
          <t>A37 · Bienestar Laboral (133)</t>
        </is>
      </c>
      <c r="R41" s="117" t="inlineStr">
        <is>
          <t>133 · GIT Gestión de Talento Humano</t>
        </is>
      </c>
      <c r="S41" s="117" t="n"/>
      <c r="T41" s="117" t="inlineStr">
        <is>
          <t>3.1.1.1</t>
        </is>
      </c>
      <c r="U41" s="117" t="inlineStr">
        <is>
          <t>AC27.22 Dotar a la extensión de autonomía de gestión dentro de la estructura actual, con reglas, centro de costos y procedimientos propios</t>
        </is>
      </c>
      <c r="V41" s="117" t="inlineStr">
        <is>
          <t>GIT Extensión y Proyección Social (incluye ETDH); Gestión Financiera (Presupuesto, Contabilidad, Tesorería)</t>
        </is>
      </c>
      <c r="W41" s="117" t="inlineStr">
        <is>
          <t>141 · GIT Extensión y Proyección Social; 130 · Vicerrectoría Administrativa y Financiera</t>
        </is>
      </c>
      <c r="X41" s="117" t="n"/>
      <c r="Y41" s="117" t="n"/>
      <c r="Z41" s="117" t="n"/>
      <c r="AA41" s="117" t="n"/>
      <c r="AB41" s="117" t="n"/>
      <c r="AC41" s="117" t="n"/>
      <c r="AD41" s="117" t="n"/>
      <c r="AE41" s="117" t="n"/>
      <c r="AF41" s="117" t="n"/>
      <c r="AG41" s="117" t="n"/>
      <c r="AH41" s="117" t="n"/>
      <c r="AI41" s="117" t="n"/>
      <c r="AJ41" s="117" t="n"/>
      <c r="AK41" s="117" t="n"/>
    </row>
    <row r="42">
      <c r="A42" s="117" t="inlineStr">
        <is>
          <t>5.2.1.2</t>
        </is>
      </c>
      <c r="B42" s="117" t="n">
        <v>5</v>
      </c>
      <c r="C42" s="117" t="inlineStr">
        <is>
          <t>5 · Ampliación y modernización de la infraestructura</t>
        </is>
      </c>
      <c r="D42" s="117" t="inlineStr">
        <is>
          <t>5.2</t>
        </is>
      </c>
      <c r="E42" s="117" t="inlineStr">
        <is>
          <t>5.2 · Modernización de la infraestructura</t>
        </is>
      </c>
      <c r="F42" s="117" t="inlineStr">
        <is>
          <t>100% de los talleres y laboratorios actualizados de acuerdo con el plan maestro, modernizados y viabilizados con buenas prácticas ambientales.</t>
        </is>
      </c>
      <c r="G42" s="117" t="inlineStr">
        <is>
          <t>100%</t>
        </is>
      </c>
      <c r="H42" s="117" t="inlineStr">
        <is>
          <t>Plan Maestro Institucional (PMI) formulado y en marcha</t>
        </is>
      </c>
      <c r="I42" s="117" t="inlineStr">
        <is>
          <t>5.2.1.2 · 100% de los talleres y laboratorios actualizados de acuerdo con el plan maestro, modernizados y viabilizados con buenas prácticas ambientales.</t>
        </is>
      </c>
      <c r="J42" s="117" t="n"/>
      <c r="K42" s="117" t="inlineStr">
        <is>
          <t>A38</t>
        </is>
      </c>
      <c r="L42" s="117" t="inlineStr">
        <is>
          <t>140</t>
        </is>
      </c>
      <c r="M42" s="117" t="inlineStr">
        <is>
          <t>Vicerrectoría de Investigación, Extensión y Transferencia</t>
        </is>
      </c>
      <c r="N42" s="117" t="inlineStr">
        <is>
          <t>Despacho de la VIET</t>
        </is>
      </c>
      <c r="O42" s="117" t="inlineStr">
        <is>
          <t>Investigación</t>
        </is>
      </c>
      <c r="P42" s="117" t="inlineStr">
        <is>
          <t>Misional</t>
        </is>
      </c>
      <c r="Q42" s="117" t="inlineStr">
        <is>
          <t>A38 · Despacho de la VIET (140)</t>
        </is>
      </c>
      <c r="R42" s="117" t="inlineStr">
        <is>
          <t>140 · Vicerrectoría de Investigación, Extensión y Transferencia</t>
        </is>
      </c>
      <c r="S42" s="117" t="n"/>
      <c r="T42" s="117" t="inlineStr">
        <is>
          <t>3.1.1.1</t>
        </is>
      </c>
      <c r="U42" s="117" t="inlineStr">
        <is>
          <t>AC27.23 Ajustar el enunciado de la meta en la revisión del PDI para que refleje el modelo de autonomía adoptado</t>
        </is>
      </c>
      <c r="V42" s="117" t="inlineStr">
        <is>
          <t>Planeación y Plan de Acción</t>
        </is>
      </c>
      <c r="W42" s="117" t="inlineStr">
        <is>
          <t>101 · Oficina Asesora de Planeación y Desarrollo Institucional</t>
        </is>
      </c>
      <c r="X42" s="117" t="n"/>
      <c r="Y42" s="117" t="n"/>
      <c r="Z42" s="117" t="n"/>
      <c r="AA42" s="117" t="n"/>
      <c r="AB42" s="117" t="n"/>
      <c r="AC42" s="117" t="n"/>
      <c r="AD42" s="117" t="n"/>
      <c r="AE42" s="117" t="n"/>
      <c r="AF42" s="117" t="n"/>
      <c r="AG42" s="117" t="n"/>
      <c r="AH42" s="117" t="n"/>
      <c r="AI42" s="117" t="n"/>
      <c r="AJ42" s="117" t="n"/>
      <c r="AK42" s="117" t="n"/>
    </row>
    <row r="43">
      <c r="A43" s="117" t="inlineStr">
        <is>
          <t>5.2.1.3</t>
        </is>
      </c>
      <c r="B43" s="117" t="n">
        <v>5</v>
      </c>
      <c r="C43" s="117" t="inlineStr">
        <is>
          <t>5 · Ampliación y modernización de la infraestructura</t>
        </is>
      </c>
      <c r="D43" s="117" t="inlineStr">
        <is>
          <t>5.2</t>
        </is>
      </c>
      <c r="E43" s="117" t="inlineStr">
        <is>
          <t>5.2 · Modernización de la infraestructura</t>
        </is>
      </c>
      <c r="F43" s="117" t="inlineStr">
        <is>
          <t>Reposición del 100% de computadores de apoyo a la academia con antigüedad mayor a 3 años.</t>
        </is>
      </c>
      <c r="G43" s="117" t="inlineStr">
        <is>
          <t>100%</t>
        </is>
      </c>
      <c r="H43" s="117" t="inlineStr">
        <is>
          <t>Sugerida por la OAP: 240 computadores de salas de sistemas repuestos, 100% de las salas priorizadas, e inventario de antigüedad del parque tecnológico</t>
        </is>
      </c>
      <c r="I43" s="117" t="inlineStr">
        <is>
          <t>5.2.1.3 · Reposición del 100% de computadores de apoyo a la academia con antigüedad mayor a 3 años.</t>
        </is>
      </c>
      <c r="J43" s="117" t="n"/>
      <c r="K43" s="117" t="inlineStr">
        <is>
          <t>A39</t>
        </is>
      </c>
      <c r="L43" s="117" t="inlineStr">
        <is>
          <t>140</t>
        </is>
      </c>
      <c r="M43" s="117" t="inlineStr">
        <is>
          <t>Vicerrectoría de Investigación, Extensión y Transferencia</t>
        </is>
      </c>
      <c r="N43" s="117" t="inlineStr">
        <is>
          <t>Investigación (grupos, semilleros, revista, centro de pensamiento)</t>
        </is>
      </c>
      <c r="O43" s="117" t="inlineStr">
        <is>
          <t>Investigación</t>
        </is>
      </c>
      <c r="P43" s="117" t="inlineStr">
        <is>
          <t>Misional</t>
        </is>
      </c>
      <c r="Q43" s="117" t="inlineStr">
        <is>
          <t>A39 · Investigación (grupos, semilleros, revista, centro de pensamiento) (140)</t>
        </is>
      </c>
      <c r="R43" s="117" t="inlineStr">
        <is>
          <t>140 · Vicerrectoría de Investigación, Extensión y Transferencia</t>
        </is>
      </c>
      <c r="S43" s="117" t="n"/>
      <c r="T43" s="117" t="inlineStr">
        <is>
          <t>3.1.1.1</t>
        </is>
      </c>
      <c r="U43" s="117" t="inlineStr">
        <is>
          <t>PROPIA Acción formulada por el área en la plantilla (escriba su nombre en la columna I)</t>
        </is>
      </c>
      <c r="V43" s="117" t="n"/>
      <c r="W43" s="117" t="n"/>
      <c r="X43" s="117" t="n"/>
      <c r="Y43" s="117" t="n"/>
      <c r="Z43" s="117" t="n"/>
      <c r="AA43" s="117" t="n"/>
      <c r="AB43" s="117" t="n"/>
      <c r="AC43" s="117" t="n"/>
      <c r="AD43" s="117" t="n"/>
      <c r="AE43" s="117" t="n"/>
      <c r="AF43" s="117" t="n"/>
      <c r="AG43" s="117" t="n"/>
      <c r="AH43" s="117" t="n"/>
      <c r="AI43" s="117" t="n"/>
      <c r="AJ43" s="117" t="n"/>
      <c r="AK43" s="117" t="n"/>
    </row>
    <row r="44">
      <c r="A44" s="117" t="inlineStr">
        <is>
          <t>5.3.1.1</t>
        </is>
      </c>
      <c r="B44" s="117" t="n">
        <v>5</v>
      </c>
      <c r="C44" s="117" t="inlineStr">
        <is>
          <t>5 · Ampliación y modernización de la infraestructura</t>
        </is>
      </c>
      <c r="D44" s="117" t="inlineStr">
        <is>
          <t>5.3</t>
        </is>
      </c>
      <c r="E44" s="117" t="inlineStr">
        <is>
          <t>5.3 · Infraestructura de terceros</t>
        </is>
      </c>
      <c r="F44" s="117" t="inlineStr">
        <is>
          <t>Hacer presencia con oferta académica en 4 sedes de terceros y multicampus: 1. Zipaquirá, 2. Multicampus de Suba, 3. Soacha, 4. Multicampus Tintal.</t>
        </is>
      </c>
      <c r="G44" s="117" t="inlineStr">
        <is>
          <t>4 sedes de terceros</t>
        </is>
      </c>
      <c r="H44" s="117" t="inlineStr">
        <is>
          <t>Convenio ETITC-MinTIC suscrito; oferta en Zipaquirá; oferta primer semestre de 2027 en La Primavera, Villeta y 3 municipios de Casanare</t>
        </is>
      </c>
      <c r="I44" s="117" t="inlineStr">
        <is>
          <t>5.3.1.1 · Hacer presencia con oferta académica en 4 sedes de terceros y multicampus: 1. Zipaquirá, 2. Multicampus de Suba, 3. Soacha, 4. Multicampus Tintal.</t>
        </is>
      </c>
      <c r="J44" s="117" t="n"/>
      <c r="K44" s="117" t="inlineStr">
        <is>
          <t>A40</t>
        </is>
      </c>
      <c r="L44" s="117" t="inlineStr">
        <is>
          <t>140</t>
        </is>
      </c>
      <c r="M44" s="117" t="inlineStr">
        <is>
          <t>Vicerrectoría de Investigación, Extensión y Transferencia</t>
        </is>
      </c>
      <c r="N44" s="117" t="inlineStr">
        <is>
          <t>Innovación y Laboratorio Inteligente</t>
        </is>
      </c>
      <c r="O44" s="117" t="inlineStr">
        <is>
          <t>Investigación</t>
        </is>
      </c>
      <c r="P44" s="117" t="inlineStr">
        <is>
          <t>Misional</t>
        </is>
      </c>
      <c r="Q44" s="117" t="inlineStr">
        <is>
          <t>A40 · Innovación y Laboratorio Inteligente (140)</t>
        </is>
      </c>
      <c r="R44" s="117" t="inlineStr">
        <is>
          <t>140 · Vicerrectoría de Investigación, Extensión y Transferencia</t>
        </is>
      </c>
      <c r="S44" s="117" t="n"/>
      <c r="T44" s="117" t="inlineStr">
        <is>
          <t>3.2.1.1</t>
        </is>
      </c>
      <c r="U44" s="117" t="inlineStr">
        <is>
          <t>AC27.24 Diversificar y virtualizar el portafolio de educación continuada y de Educación para el Trabajo y el Desarrollo Humano a partir de las necesidades de egresados, empresas y regiones</t>
        </is>
      </c>
      <c r="V44" s="117" t="inlineStr">
        <is>
          <t>GIT Extensión y Proyección Social (incluye ETDH); Unidad B-Learning</t>
        </is>
      </c>
      <c r="W44" s="117" t="inlineStr">
        <is>
          <t>141 · GIT Extensión y Proyección Social; 120 · Vicerrectoría Académica</t>
        </is>
      </c>
      <c r="X44" s="117" t="n"/>
      <c r="Y44" s="117" t="n"/>
      <c r="Z44" s="117" t="n"/>
      <c r="AA44" s="117" t="n"/>
      <c r="AB44" s="117" t="n"/>
      <c r="AC44" s="117" t="n"/>
      <c r="AD44" s="117" t="n"/>
      <c r="AE44" s="117" t="n"/>
      <c r="AF44" s="117" t="n"/>
      <c r="AG44" s="117" t="n"/>
      <c r="AH44" s="117" t="n"/>
      <c r="AI44" s="117" t="n"/>
      <c r="AJ44" s="117" t="n"/>
      <c r="AK44" s="117" t="n"/>
    </row>
    <row r="45">
      <c r="A45" s="117" t="inlineStr">
        <is>
          <t>5.4.1.1</t>
        </is>
      </c>
      <c r="B45" s="117" t="n">
        <v>5</v>
      </c>
      <c r="C45" s="117" t="inlineStr">
        <is>
          <t>5 · Ampliación y modernización de la infraestructura</t>
        </is>
      </c>
      <c r="D45" s="117" t="inlineStr">
        <is>
          <t>5.4</t>
        </is>
      </c>
      <c r="E45" s="117" t="inlineStr">
        <is>
          <t>5.4 · Infraestructura para programas presenciales y semipresenciales</t>
        </is>
      </c>
      <c r="F45" s="117" t="inlineStr">
        <is>
          <t>Contar con el 100% de la infraestructura de talleres y laboratorios a través de convenios con instituciones y sector productivo (programas no presenciales).</t>
        </is>
      </c>
      <c r="G45" s="117" t="inlineStr">
        <is>
          <t>100%</t>
        </is>
      </c>
      <c r="H45" s="117" t="inlineStr">
        <is>
          <t>Sugerida por la OAP: 100% de los programas a distancia o híbridos ofertados en 2027 con convenio de uso de talleres y laboratorios, mínimo 3 convenios,</t>
        </is>
      </c>
      <c r="I45" s="117" t="inlineStr">
        <is>
          <t>5.4.1.1 · Contar con el 100% de la infraestructura de talleres y laboratorios a través de convenios con instituciones y sector productivo (programas no presenciales).</t>
        </is>
      </c>
      <c r="J45" s="117" t="n"/>
      <c r="K45" s="117" t="inlineStr">
        <is>
          <t>A41</t>
        </is>
      </c>
      <c r="L45" s="117" t="inlineStr">
        <is>
          <t>141</t>
        </is>
      </c>
      <c r="M45" s="117" t="inlineStr">
        <is>
          <t>GIT Extensión y Proyección Social</t>
        </is>
      </c>
      <c r="N45" s="117" t="inlineStr">
        <is>
          <t>GIT Extensión y Proyección Social (incluye ETDH)</t>
        </is>
      </c>
      <c r="O45" s="117" t="inlineStr">
        <is>
          <t>Extensión y Proyección Social</t>
        </is>
      </c>
      <c r="P45" s="117" t="inlineStr">
        <is>
          <t>Misional</t>
        </is>
      </c>
      <c r="Q45" s="117" t="inlineStr">
        <is>
          <t>A41 · GIT Extensión y Proyección Social (incluye ETDH) (141)</t>
        </is>
      </c>
      <c r="R45" s="117" t="inlineStr">
        <is>
          <t>141 · GIT Extensión y Proyección Social</t>
        </is>
      </c>
      <c r="S45" s="117" t="n"/>
      <c r="T45" s="117" t="inlineStr">
        <is>
          <t>3.2.1.1</t>
        </is>
      </c>
      <c r="U45" s="117" t="inlineStr">
        <is>
          <t>PROPIA Acción formulada por el área en la plantilla (escriba su nombre en la columna I)</t>
        </is>
      </c>
      <c r="V45" s="117" t="n"/>
      <c r="W45" s="117" t="n"/>
      <c r="X45" s="117" t="n"/>
      <c r="Y45" s="117" t="n"/>
      <c r="Z45" s="117" t="n"/>
      <c r="AA45" s="117" t="n"/>
      <c r="AB45" s="117" t="n"/>
      <c r="AC45" s="117" t="n"/>
      <c r="AD45" s="117" t="n"/>
      <c r="AE45" s="117" t="n"/>
      <c r="AF45" s="117" t="n"/>
      <c r="AG45" s="117" t="n"/>
      <c r="AH45" s="117" t="n"/>
      <c r="AI45" s="117" t="n"/>
      <c r="AJ45" s="117" t="n"/>
      <c r="AK45" s="117" t="n"/>
    </row>
    <row r="46">
      <c r="A46" s="117" t="inlineStr">
        <is>
          <t>6.1.1.1</t>
        </is>
      </c>
      <c r="B46" s="117" t="n">
        <v>6</v>
      </c>
      <c r="C46" s="117" t="inlineStr">
        <is>
          <t>6 · Cuidado por el bienestar y la vida</t>
        </is>
      </c>
      <c r="D46" s="117" t="inlineStr">
        <is>
          <t>6.1</t>
        </is>
      </c>
      <c r="E46" s="117" t="inlineStr">
        <is>
          <t>6.1 · Condiciones para el Bienestar</t>
        </is>
      </c>
      <c r="F46" s="117" t="inlineStr">
        <is>
          <t>El 100% de las áreas de la Institución comprometidas con el Bienestar Universitario integral.</t>
        </is>
      </c>
      <c r="G46" s="117" t="inlineStr">
        <is>
          <t>100%</t>
        </is>
      </c>
      <c r="H46" s="117" t="inlineStr">
        <is>
          <t>Sugerida por la OAP: 85% de las áreas con condiciones de bienestar consolidadas y 100% de las áreas con enlace ambiental designado y campaña de uso racional de energía y agua aplicada</t>
        </is>
      </c>
      <c r="I46" s="117" t="inlineStr">
        <is>
          <t>6.1.1.1 · El 100% de las áreas de la Institución comprometidas con el Bienestar Universitario integral.</t>
        </is>
      </c>
      <c r="J46" s="117" t="n"/>
      <c r="K46" s="117" t="inlineStr">
        <is>
          <t>A42</t>
        </is>
      </c>
      <c r="L46" s="117" t="inlineStr">
        <is>
          <t>141</t>
        </is>
      </c>
      <c r="M46" s="117" t="inlineStr">
        <is>
          <t>GIT Extensión y Proyección Social</t>
        </is>
      </c>
      <c r="N46" s="117" t="inlineStr">
        <is>
          <t>Centro de Lenguas (CEL)</t>
        </is>
      </c>
      <c r="O46" s="117" t="inlineStr">
        <is>
          <t>Extensión y Proyección Social</t>
        </is>
      </c>
      <c r="P46" s="117" t="inlineStr">
        <is>
          <t>Misional</t>
        </is>
      </c>
      <c r="Q46" s="117" t="inlineStr">
        <is>
          <t>A42 · Centro de Lenguas (CEL) (141)</t>
        </is>
      </c>
      <c r="R46" s="117" t="inlineStr">
        <is>
          <t>141 · GIT Extensión y Proyección Social</t>
        </is>
      </c>
      <c r="S46" s="117" t="n"/>
      <c r="T46" s="117" t="inlineStr">
        <is>
          <t>3.2.1.2</t>
        </is>
      </c>
      <c r="U46" s="117" t="inlineStr">
        <is>
          <t>AC27.25 Aumentar los ingresos propios por venta de servicios con un plan comercial, una oferta empresarial y seguimiento trimestral del recaudo</t>
        </is>
      </c>
      <c r="V46" s="117" t="inlineStr">
        <is>
          <t>GIT Extensión y Proyección Social (incluye ETDH); Gestión Financiera (Presupuesto, Contabilidad, Tesorería)</t>
        </is>
      </c>
      <c r="W46" s="117" t="inlineStr">
        <is>
          <t>141 · GIT Extensión y Proyección Social; 130 · Vicerrectoría Administrativa y Financiera</t>
        </is>
      </c>
      <c r="X46" s="117" t="n"/>
      <c r="Y46" s="117" t="n"/>
      <c r="Z46" s="117" t="n"/>
      <c r="AA46" s="117" t="n"/>
      <c r="AB46" s="117" t="n"/>
      <c r="AC46" s="117" t="n"/>
      <c r="AD46" s="117" t="n"/>
      <c r="AE46" s="117" t="n"/>
      <c r="AF46" s="117" t="n"/>
      <c r="AG46" s="117" t="n"/>
      <c r="AH46" s="117" t="n"/>
      <c r="AI46" s="117" t="n"/>
      <c r="AJ46" s="117" t="n"/>
      <c r="AK46" s="117" t="n"/>
    </row>
    <row r="47">
      <c r="A47" s="117" t="inlineStr">
        <is>
          <t>6.1.1.2</t>
        </is>
      </c>
      <c r="B47" s="117" t="n">
        <v>6</v>
      </c>
      <c r="C47" s="117" t="inlineStr">
        <is>
          <t>6 · Cuidado por el bienestar y la vida</t>
        </is>
      </c>
      <c r="D47" s="117" t="inlineStr">
        <is>
          <t>6.1</t>
        </is>
      </c>
      <c r="E47" s="117" t="inlineStr">
        <is>
          <t>6.1 · Condiciones para el Bienestar</t>
        </is>
      </c>
      <c r="F47" s="117" t="inlineStr">
        <is>
          <t>Consolidar las condiciones en infraestructura, dotación, recurso humano y estrategias para el bienestar integral de toda la comunidad en la Institución.</t>
        </is>
      </c>
      <c r="G47" s="117" t="inlineStr">
        <is>
          <t>Sugerida por la OAP: 100% de las sedes con espacios y equipo de bienestar; 15% de ahorro de energía frente a la línea base, exigido por el plan nacional de uso eficiente de la energía</t>
        </is>
      </c>
      <c r="H47" s="117" t="inlineStr">
        <is>
          <t>Sugerida por la OAP: 4 proyectos PFB ejecutados al 100% y sede de Bienestar en Guaymaral operando), Gestión energética: 5 de 5 hitos (gestor ratificado, línea base validada, auditoría integral de la sede Centro, PGEE y Política de Gestión Energética adoptados, primer reporte anual a la UPME en el SUU), planta solar operando con medición y ahorro verificado de al menos 3% en kWh en las áreas intervenidas</t>
        </is>
      </c>
      <c r="I47" s="117" t="inlineStr">
        <is>
          <t>6.1.1.2 · Consolidar las condiciones en infraestructura, dotación, recurso humano y estrategias para el bienestar integral de toda la comunidad en la Institución.</t>
        </is>
      </c>
      <c r="J47" s="117" t="n"/>
      <c r="K47" s="117" t="inlineStr">
        <is>
          <t>A43</t>
        </is>
      </c>
      <c r="L47" s="117" t="inlineStr">
        <is>
          <t>141</t>
        </is>
      </c>
      <c r="M47" s="117" t="inlineStr">
        <is>
          <t>GIT Extensión y Proyección Social</t>
        </is>
      </c>
      <c r="N47" s="117" t="inlineStr">
        <is>
          <t>Egresados y Bolsa de Empleo</t>
        </is>
      </c>
      <c r="O47" s="117" t="inlineStr">
        <is>
          <t>Egresados</t>
        </is>
      </c>
      <c r="P47" s="117" t="inlineStr">
        <is>
          <t>Misional</t>
        </is>
      </c>
      <c r="Q47" s="117" t="inlineStr">
        <is>
          <t>A43 · Egresados y Bolsa de Empleo (141)</t>
        </is>
      </c>
      <c r="R47" s="117" t="inlineStr">
        <is>
          <t>141 · GIT Extensión y Proyección Social</t>
        </is>
      </c>
      <c r="S47" s="117" t="n"/>
      <c r="T47" s="117" t="inlineStr">
        <is>
          <t>3.2.1.2</t>
        </is>
      </c>
      <c r="U47" s="117" t="inlineStr">
        <is>
          <t>PROPIA Acción formulada por el área en la plantilla (escriba su nombre en la columna I)</t>
        </is>
      </c>
      <c r="V47" s="117" t="n"/>
      <c r="W47" s="117" t="n"/>
      <c r="X47" s="117" t="n"/>
      <c r="Y47" s="117" t="n"/>
      <c r="Z47" s="117" t="n"/>
      <c r="AA47" s="117" t="n"/>
      <c r="AB47" s="117" t="n"/>
      <c r="AC47" s="117" t="n"/>
      <c r="AD47" s="117" t="n"/>
      <c r="AE47" s="117" t="n"/>
      <c r="AF47" s="117" t="n"/>
      <c r="AG47" s="117" t="n"/>
      <c r="AH47" s="117" t="n"/>
      <c r="AI47" s="117" t="n"/>
      <c r="AJ47" s="117" t="n"/>
      <c r="AK47" s="117" t="n"/>
    </row>
    <row r="48">
      <c r="A48" s="117" t="inlineStr">
        <is>
          <t>6.2.1.1</t>
        </is>
      </c>
      <c r="B48" s="117" t="n">
        <v>6</v>
      </c>
      <c r="C48" s="117" t="inlineStr">
        <is>
          <t>6 · Cuidado por el bienestar y la vida</t>
        </is>
      </c>
      <c r="D48" s="117" t="inlineStr">
        <is>
          <t>6.2</t>
        </is>
      </c>
      <c r="E48" s="117" t="inlineStr">
        <is>
          <t>6.2 · Modelo de aseguramiento del Bienestar</t>
        </is>
      </c>
      <c r="F48" s="117" t="inlineStr">
        <is>
          <t>Lograr el cumplimiento del 100% del Plan Institucional de Bienestar Integral 2026-2032.</t>
        </is>
      </c>
      <c r="G48" s="117" t="inlineStr">
        <is>
          <t>100%</t>
        </is>
      </c>
      <c r="H48" s="117" t="inlineStr">
        <is>
          <t>Sugerida por la OAP: 80% de cumplimiento del modelo de aseguramiento y cancelaciones por debajo de 2,5% del pregrado</t>
        </is>
      </c>
      <c r="I48" s="117" t="inlineStr">
        <is>
          <t>6.2.1.1 · Lograr el cumplimiento del 100% del Plan Institucional de Bienestar Integral 2026-2032.</t>
        </is>
      </c>
      <c r="J48" s="117" t="n"/>
      <c r="K48" s="117" t="inlineStr">
        <is>
          <t>A44</t>
        </is>
      </c>
      <c r="L48" s="117" t="inlineStr">
        <is>
          <t>100</t>
        </is>
      </c>
      <c r="M48" s="117" t="inlineStr">
        <is>
          <t>Rectoría</t>
        </is>
      </c>
      <c r="N48" s="117" t="inlineStr">
        <is>
          <t>Sedes y Campus</t>
        </is>
      </c>
      <c r="O48" s="117" t="inlineStr">
        <is>
          <t>Direccionamiento Institucional</t>
        </is>
      </c>
      <c r="P48" s="117" t="inlineStr">
        <is>
          <t>Estratégico</t>
        </is>
      </c>
      <c r="Q48" s="117" t="inlineStr">
        <is>
          <t>A44 · Sedes y Campus (100)</t>
        </is>
      </c>
      <c r="R48" s="117" t="inlineStr">
        <is>
          <t>100 · Rectoría</t>
        </is>
      </c>
      <c r="S48" s="117" t="n"/>
      <c r="T48" s="117" t="inlineStr">
        <is>
          <t>3.2.1.3</t>
        </is>
      </c>
      <c r="U48" s="117" t="inlineStr">
        <is>
          <t>AC27.26 Instalar un ciclo de mejora continua de la oferta de extensión basado en la opinión de los participantes</t>
        </is>
      </c>
      <c r="V48" s="117" t="inlineStr">
        <is>
          <t>GIT Extensión y Proyección Social (incluye ETDH)</t>
        </is>
      </c>
      <c r="W48" s="117" t="inlineStr">
        <is>
          <t>141 · GIT Extensión y Proyección Social</t>
        </is>
      </c>
      <c r="X48" s="117" t="n"/>
      <c r="Y48" s="117" t="n"/>
      <c r="Z48" s="117" t="n"/>
      <c r="AA48" s="117" t="n"/>
      <c r="AB48" s="117" t="n"/>
      <c r="AC48" s="117" t="n"/>
      <c r="AD48" s="117" t="n"/>
      <c r="AE48" s="117" t="n"/>
      <c r="AF48" s="117" t="n"/>
      <c r="AG48" s="117" t="n"/>
      <c r="AH48" s="117" t="n"/>
      <c r="AI48" s="117" t="n"/>
      <c r="AJ48" s="117" t="n"/>
      <c r="AK48" s="117" t="n"/>
    </row>
    <row r="49">
      <c r="A49" s="117" t="inlineStr">
        <is>
          <t>6.3.1.1</t>
        </is>
      </c>
      <c r="B49" s="117" t="n">
        <v>6</v>
      </c>
      <c r="C49" s="117" t="inlineStr">
        <is>
          <t>6 · Cuidado por el bienestar y la vida</t>
        </is>
      </c>
      <c r="D49" s="117" t="inlineStr">
        <is>
          <t>6.3</t>
        </is>
      </c>
      <c r="E49" s="117" t="inlineStr">
        <is>
          <t>6.3 · Consolidación de la cultura de Bienestar</t>
        </is>
      </c>
      <c r="F49" s="117" t="inlineStr">
        <is>
          <t>Estar en el ranking de las cinco universidades colombianas reconocidas por Times Higher Education y QS World University.</t>
        </is>
      </c>
      <c r="G49" s="117" t="inlineStr">
        <is>
          <t>Top 5 nacional</t>
        </is>
      </c>
      <c r="H49" s="117" t="inlineStr">
        <is>
          <t>Sugerida por la OAP: ETITC registrada en los sistemas de datos de THE y QS con el primer reporte institucional enviado</t>
        </is>
      </c>
      <c r="I49" s="117" t="inlineStr">
        <is>
          <t>6.3.1.1 · Estar en el ranking de las cinco universidades colombianas reconocidas por Times Higher Education y QS World University.</t>
        </is>
      </c>
      <c r="J49" s="117" t="n"/>
      <c r="K49" s="117" t="inlineStr">
        <is>
          <t>A45</t>
        </is>
      </c>
      <c r="L49" s="117" t="inlineStr">
        <is>
          <t>120</t>
        </is>
      </c>
      <c r="M49" s="117" t="inlineStr">
        <is>
          <t>Vicerrectoría Académica</t>
        </is>
      </c>
      <c r="N49" s="117" t="inlineStr">
        <is>
          <t>Sedes Tintal / Soacha-UPK / Viotá</t>
        </is>
      </c>
      <c r="O49" s="117" t="inlineStr">
        <is>
          <t>Docencia PES</t>
        </is>
      </c>
      <c r="P49" s="117" t="inlineStr">
        <is>
          <t>Misional</t>
        </is>
      </c>
      <c r="Q49" s="117" t="inlineStr">
        <is>
          <t>A45 · Sedes Tintal / Soacha-UPK / Viotá (120)</t>
        </is>
      </c>
      <c r="R49" s="117" t="inlineStr">
        <is>
          <t>120 · Vicerrectoría Académica</t>
        </is>
      </c>
      <c r="S49" s="117" t="n"/>
      <c r="T49" s="117" t="inlineStr">
        <is>
          <t>3.2.1.3</t>
        </is>
      </c>
      <c r="U49" s="117" t="inlineStr">
        <is>
          <t>PROPIA Acción formulada por el área en la plantilla (escriba su nombre en la columna I)</t>
        </is>
      </c>
      <c r="V49" s="117" t="n"/>
      <c r="W49" s="117" t="n"/>
      <c r="X49" s="117" t="n"/>
      <c r="Y49" s="117" t="n"/>
      <c r="Z49" s="117" t="n"/>
      <c r="AA49" s="117" t="n"/>
      <c r="AB49" s="117" t="n"/>
      <c r="AC49" s="117" t="n"/>
      <c r="AD49" s="117" t="n"/>
      <c r="AE49" s="117" t="n"/>
      <c r="AF49" s="117" t="n"/>
      <c r="AG49" s="117" t="n"/>
      <c r="AH49" s="117" t="n"/>
      <c r="AI49" s="117" t="n"/>
      <c r="AJ49" s="117" t="n"/>
      <c r="AK49" s="117" t="n"/>
    </row>
    <row r="50">
      <c r="A50" s="117" t="n"/>
      <c r="B50" s="117" t="n"/>
      <c r="C50" s="117" t="n"/>
      <c r="D50" s="117" t="n"/>
      <c r="E50" s="117" t="n"/>
      <c r="F50" s="117" t="n"/>
      <c r="G50" s="117" t="n"/>
      <c r="H50" s="117" t="n"/>
      <c r="I50" s="117" t="n"/>
      <c r="J50" s="117" t="n"/>
      <c r="K50" s="117" t="inlineStr">
        <is>
          <t>A46</t>
        </is>
      </c>
      <c r="L50" s="117" t="inlineStr">
        <is>
          <t>123</t>
        </is>
      </c>
      <c r="M50" s="117" t="inlineStr">
        <is>
          <t>Facultades</t>
        </is>
      </c>
      <c r="N50" s="117" t="inlineStr">
        <is>
          <t>Facultad de Inteligencia Artificial (Acuerdo 010 de 2025)</t>
        </is>
      </c>
      <c r="O50" s="117" t="inlineStr">
        <is>
          <t>Docencia PES</t>
        </is>
      </c>
      <c r="P50" s="117" t="inlineStr">
        <is>
          <t>Misional</t>
        </is>
      </c>
      <c r="Q50" s="117" t="inlineStr">
        <is>
          <t>A46 · Facultad de Inteligencia Artificial (Acuerdo 010 de 2025) (123)</t>
        </is>
      </c>
      <c r="R50" s="117" t="inlineStr">
        <is>
          <t>123 · Facultades</t>
        </is>
      </c>
      <c r="S50" s="117" t="n"/>
      <c r="T50" s="117" t="inlineStr">
        <is>
          <t>3.2.1.4</t>
        </is>
      </c>
      <c r="U50" s="117" t="inlineStr">
        <is>
          <t>AC27.27 Alinear la formación en segunda lengua con el Marco Común Europeo de Referencia y ampliarla con oferta virtual</t>
        </is>
      </c>
      <c r="V50" s="117" t="inlineStr">
        <is>
          <t>Centro de Lenguas (CEL)</t>
        </is>
      </c>
      <c r="W50" s="117" t="inlineStr">
        <is>
          <t>141 · GIT Extensión y Proyección Social</t>
        </is>
      </c>
      <c r="X50" s="117" t="n"/>
      <c r="Y50" s="117" t="n"/>
      <c r="Z50" s="117" t="n"/>
      <c r="AA50" s="117" t="n"/>
      <c r="AB50" s="117" t="n"/>
      <c r="AC50" s="117" t="n"/>
      <c r="AD50" s="117" t="n"/>
      <c r="AE50" s="117" t="n"/>
      <c r="AF50" s="117" t="n"/>
      <c r="AG50" s="117" t="n"/>
      <c r="AH50" s="117" t="n"/>
      <c r="AI50" s="117" t="n"/>
      <c r="AJ50" s="117" t="n"/>
      <c r="AK50" s="117" t="n"/>
    </row>
    <row r="51">
      <c r="A51" s="117" t="n"/>
      <c r="B51" s="117" t="n"/>
      <c r="C51" s="117" t="n"/>
      <c r="D51" s="117" t="n"/>
      <c r="E51" s="117" t="n"/>
      <c r="F51" s="117" t="n"/>
      <c r="G51" s="117" t="n"/>
      <c r="H51" s="117" t="n"/>
      <c r="I51" s="117" t="n"/>
      <c r="J51" s="117" t="n"/>
      <c r="K51" s="117" t="inlineStr">
        <is>
          <t>A47</t>
        </is>
      </c>
      <c r="L51" s="117" t="inlineStr">
        <is>
          <t>130</t>
        </is>
      </c>
      <c r="M51" s="117" t="inlineStr">
        <is>
          <t>Vicerrectoría Administrativa y Financiera</t>
        </is>
      </c>
      <c r="N51" s="117" t="inlineStr">
        <is>
          <t>Gestión Financiera (Presupuesto, Contabilidad, Tesorería)</t>
        </is>
      </c>
      <c r="O51" s="117" t="inlineStr">
        <is>
          <t>Gestión Financiera</t>
        </is>
      </c>
      <c r="P51" s="117" t="inlineStr">
        <is>
          <t>Apoyo</t>
        </is>
      </c>
      <c r="Q51" s="117" t="inlineStr">
        <is>
          <t>A47 · Gestión Financiera (Presupuesto, Contabilidad, Tesorería) (130)</t>
        </is>
      </c>
      <c r="R51" s="117" t="inlineStr">
        <is>
          <t>130 · Vicerrectoría Administrativa y Financiera</t>
        </is>
      </c>
      <c r="S51" s="117" t="n"/>
      <c r="T51" s="117" t="inlineStr">
        <is>
          <t>3.2.1.4</t>
        </is>
      </c>
      <c r="U51" s="117" t="inlineStr">
        <is>
          <t>PROPIA Acción formulada por el área en la plantilla (escriba su nombre en la columna I)</t>
        </is>
      </c>
      <c r="V51" s="117" t="n"/>
      <c r="W51" s="117" t="n"/>
      <c r="X51" s="117" t="n"/>
      <c r="Y51" s="117" t="n"/>
      <c r="Z51" s="117" t="n"/>
      <c r="AA51" s="117" t="n"/>
      <c r="AB51" s="117" t="n"/>
      <c r="AC51" s="117" t="n"/>
      <c r="AD51" s="117" t="n"/>
      <c r="AE51" s="117" t="n"/>
      <c r="AF51" s="117" t="n"/>
      <c r="AG51" s="117" t="n"/>
      <c r="AH51" s="117" t="n"/>
      <c r="AI51" s="117" t="n"/>
      <c r="AJ51" s="117" t="n"/>
      <c r="AK51" s="117" t="n"/>
    </row>
    <row r="52">
      <c r="A52" s="117" t="n"/>
      <c r="B52" s="117" t="n"/>
      <c r="C52" s="117" t="n"/>
      <c r="D52" s="117" t="n"/>
      <c r="E52" s="117" t="n"/>
      <c r="F52" s="117" t="n"/>
      <c r="G52" s="117" t="n"/>
      <c r="H52" s="117" t="n"/>
      <c r="I52" s="117" t="n"/>
      <c r="J52" s="117" t="n"/>
      <c r="K52" s="117" t="n"/>
      <c r="L52" s="117" t="n"/>
      <c r="M52" s="117" t="n"/>
      <c r="N52" s="117" t="n"/>
      <c r="O52" s="117" t="n"/>
      <c r="P52" s="117" t="n"/>
      <c r="Q52" s="117" t="n"/>
      <c r="R52" s="117" t="n"/>
      <c r="S52" s="117" t="n"/>
      <c r="T52" s="117" t="inlineStr">
        <is>
          <t>3.3.1.1</t>
        </is>
      </c>
      <c r="U52" s="117" t="inlineStr">
        <is>
          <t>AC27.28 Asegurar la presencia institucional en los eventos académicos, empresariales y sociales que aportan a la misión, con una agenda anual priorizada</t>
        </is>
      </c>
      <c r="V52" s="117" t="inlineStr">
        <is>
          <t>GIT Extensión y Proyección Social (incluye ETDH)</t>
        </is>
      </c>
      <c r="W52" s="117" t="inlineStr">
        <is>
          <t>141 · GIT Extensión y Proyección Social</t>
        </is>
      </c>
      <c r="X52" s="117" t="n"/>
      <c r="Y52" s="117" t="n"/>
      <c r="Z52" s="117" t="n"/>
      <c r="AA52" s="117" t="n"/>
      <c r="AB52" s="117" t="n"/>
      <c r="AC52" s="117" t="n"/>
      <c r="AD52" s="117" t="n"/>
      <c r="AE52" s="117" t="n"/>
      <c r="AF52" s="117" t="n"/>
      <c r="AG52" s="117" t="n"/>
      <c r="AH52" s="117" t="n"/>
      <c r="AI52" s="117" t="n"/>
      <c r="AJ52" s="117" t="n"/>
      <c r="AK52" s="117" t="n"/>
    </row>
    <row r="53">
      <c r="A53" s="117" t="n"/>
      <c r="B53" s="117" t="n"/>
      <c r="C53" s="117" t="n"/>
      <c r="D53" s="117" t="n"/>
      <c r="E53" s="117" t="n"/>
      <c r="F53" s="117" t="n"/>
      <c r="G53" s="117" t="n"/>
      <c r="H53" s="117" t="n"/>
      <c r="I53" s="117" t="n"/>
      <c r="J53" s="117" t="n"/>
      <c r="K53" s="117" t="n"/>
      <c r="L53" s="117" t="n"/>
      <c r="M53" s="117" t="n"/>
      <c r="N53" s="117" t="n"/>
      <c r="O53" s="117" t="n"/>
      <c r="P53" s="117" t="n"/>
      <c r="Q53" s="117" t="n"/>
      <c r="R53" s="117" t="n"/>
      <c r="S53" s="117" t="n"/>
      <c r="T53" s="117" t="inlineStr">
        <is>
          <t>3.3.1.1</t>
        </is>
      </c>
      <c r="U53" s="117" t="inlineStr">
        <is>
          <t>PROPIA Acción formulada por el área en la plantilla (escriba su nombre en la columna I)</t>
        </is>
      </c>
      <c r="V53" s="117" t="n"/>
      <c r="W53" s="117" t="n"/>
      <c r="X53" s="117" t="n"/>
      <c r="Y53" s="117" t="n"/>
      <c r="Z53" s="117" t="n"/>
      <c r="AA53" s="117" t="n"/>
      <c r="AB53" s="117" t="n"/>
      <c r="AC53" s="117" t="n"/>
      <c r="AD53" s="117" t="n"/>
      <c r="AE53" s="117" t="n"/>
      <c r="AF53" s="117" t="n"/>
      <c r="AG53" s="117" t="n"/>
      <c r="AH53" s="117" t="n"/>
      <c r="AI53" s="117" t="n"/>
      <c r="AJ53" s="117" t="n"/>
      <c r="AK53" s="117" t="n"/>
    </row>
    <row r="54">
      <c r="A54" s="117" t="n"/>
      <c r="B54" s="117" t="n"/>
      <c r="C54" s="117" t="n"/>
      <c r="D54" s="117" t="n"/>
      <c r="E54" s="117" t="n"/>
      <c r="F54" s="117" t="n"/>
      <c r="G54" s="117" t="n"/>
      <c r="H54" s="117" t="n"/>
      <c r="I54" s="117" t="n"/>
      <c r="J54" s="117" t="n"/>
      <c r="K54" s="117" t="n"/>
      <c r="L54" s="117" t="n"/>
      <c r="M54" s="117" t="n"/>
      <c r="N54" s="117" t="n"/>
      <c r="O54" s="117" t="n"/>
      <c r="P54" s="117" t="n"/>
      <c r="Q54" s="117" t="n"/>
      <c r="R54" s="117" t="n"/>
      <c r="S54" s="117" t="n"/>
      <c r="T54" s="117" t="inlineStr">
        <is>
          <t>3.3.1.2</t>
        </is>
      </c>
      <c r="U54" s="117" t="inlineStr">
        <is>
          <t>AC27.29 Posicionar la oferta de extensión con un componente propio dentro del Plan Estratégico de Comunicaciones y medición de su alcance</t>
        </is>
      </c>
      <c r="V54" s="117" t="inlineStr">
        <is>
          <t>Comunicaciones y Mercadeo; GIT Extensión y Proyección Social (incluye ETDH)</t>
        </is>
      </c>
      <c r="W54" s="117" t="inlineStr">
        <is>
          <t>100 · Rectoría; 141 · GIT Extensión y Proyección Social</t>
        </is>
      </c>
      <c r="X54" s="117" t="n"/>
      <c r="Y54" s="117" t="n"/>
      <c r="Z54" s="117" t="n"/>
      <c r="AA54" s="117" t="n"/>
      <c r="AB54" s="117" t="n"/>
      <c r="AC54" s="117" t="n"/>
      <c r="AD54" s="117" t="n"/>
      <c r="AE54" s="117" t="n"/>
      <c r="AF54" s="117" t="n"/>
      <c r="AG54" s="117" t="n"/>
      <c r="AH54" s="117" t="n"/>
      <c r="AI54" s="117" t="n"/>
      <c r="AJ54" s="117" t="n"/>
      <c r="AK54" s="117" t="n"/>
    </row>
    <row r="55">
      <c r="A55" s="117" t="n"/>
      <c r="B55" s="117" t="n"/>
      <c r="C55" s="117" t="n"/>
      <c r="D55" s="117" t="n"/>
      <c r="E55" s="117" t="n"/>
      <c r="F55" s="117" t="n"/>
      <c r="G55" s="117" t="n"/>
      <c r="H55" s="117" t="n"/>
      <c r="I55" s="117" t="n"/>
      <c r="J55" s="117" t="n"/>
      <c r="K55" s="117" t="n"/>
      <c r="L55" s="117" t="n"/>
      <c r="M55" s="117" t="n"/>
      <c r="N55" s="117" t="n"/>
      <c r="O55" s="117" t="n"/>
      <c r="P55" s="117" t="n"/>
      <c r="Q55" s="117" t="n"/>
      <c r="R55" s="117" t="n"/>
      <c r="S55" s="117" t="n"/>
      <c r="T55" s="117" t="inlineStr">
        <is>
          <t>3.3.1.2</t>
        </is>
      </c>
      <c r="U55" s="117" t="inlineStr">
        <is>
          <t>PROPIA Acción formulada por el área en la plantilla (escriba su nombre en la columna I)</t>
        </is>
      </c>
      <c r="V55" s="117" t="n"/>
      <c r="W55" s="117" t="n"/>
      <c r="X55" s="117" t="n"/>
      <c r="Y55" s="117" t="n"/>
      <c r="Z55" s="117" t="n"/>
      <c r="AA55" s="117" t="n"/>
      <c r="AB55" s="117" t="n"/>
      <c r="AC55" s="117" t="n"/>
      <c r="AD55" s="117" t="n"/>
      <c r="AE55" s="117" t="n"/>
      <c r="AF55" s="117" t="n"/>
      <c r="AG55" s="117" t="n"/>
      <c r="AH55" s="117" t="n"/>
      <c r="AI55" s="117" t="n"/>
      <c r="AJ55" s="117" t="n"/>
      <c r="AK55" s="117" t="n"/>
    </row>
    <row r="56">
      <c r="A56" s="117" t="n"/>
      <c r="B56" s="117" t="n"/>
      <c r="C56" s="117" t="n"/>
      <c r="D56" s="117" t="n"/>
      <c r="E56" s="117" t="n"/>
      <c r="F56" s="117" t="n"/>
      <c r="G56" s="117" t="n"/>
      <c r="H56" s="117" t="n"/>
      <c r="I56" s="117" t="n"/>
      <c r="J56" s="117" t="n"/>
      <c r="K56" s="117" t="n"/>
      <c r="L56" s="117" t="n"/>
      <c r="M56" s="117" t="n"/>
      <c r="N56" s="117" t="n"/>
      <c r="O56" s="117" t="n"/>
      <c r="P56" s="117" t="n"/>
      <c r="Q56" s="117" t="n"/>
      <c r="R56" s="117" t="n"/>
      <c r="S56" s="117" t="n"/>
      <c r="T56" s="117" t="inlineStr">
        <is>
          <t>3.3.1.3</t>
        </is>
      </c>
      <c r="U56" s="117" t="inlineStr">
        <is>
          <t>AC27.30 Depurar, renovar y ampliar los convenios y las redes de colaboración, de modo que cada convenio vigente tenga uso real</t>
        </is>
      </c>
      <c r="V56" s="117" t="inlineStr">
        <is>
          <t>GIT Extensión y Proyección Social (incluye ETDH); Internacionalización (ORII)</t>
        </is>
      </c>
      <c r="W56" s="117" t="inlineStr">
        <is>
          <t>141 · GIT Extensión y Proyección Social; 100 · Rectoría</t>
        </is>
      </c>
      <c r="X56" s="117" t="n"/>
      <c r="Y56" s="117" t="n"/>
      <c r="Z56" s="117" t="n"/>
      <c r="AA56" s="117" t="n"/>
      <c r="AB56" s="117" t="n"/>
      <c r="AC56" s="117" t="n"/>
      <c r="AD56" s="117" t="n"/>
      <c r="AE56" s="117" t="n"/>
      <c r="AF56" s="117" t="n"/>
      <c r="AG56" s="117" t="n"/>
      <c r="AH56" s="117" t="n"/>
      <c r="AI56" s="117" t="n"/>
      <c r="AJ56" s="117" t="n"/>
      <c r="AK56" s="117" t="n"/>
    </row>
    <row r="57">
      <c r="A57" s="117" t="n"/>
      <c r="B57" s="117" t="n"/>
      <c r="C57" s="117" t="n"/>
      <c r="D57" s="117" t="n"/>
      <c r="E57" s="117" t="n"/>
      <c r="F57" s="117" t="n"/>
      <c r="G57" s="117" t="n"/>
      <c r="H57" s="117" t="n"/>
      <c r="I57" s="117" t="n"/>
      <c r="J57" s="117" t="n"/>
      <c r="K57" s="117" t="n"/>
      <c r="L57" s="117" t="n"/>
      <c r="M57" s="117" t="n"/>
      <c r="N57" s="117" t="n"/>
      <c r="O57" s="117" t="n"/>
      <c r="P57" s="117" t="n"/>
      <c r="Q57" s="117" t="n"/>
      <c r="R57" s="117" t="n"/>
      <c r="S57" s="117" t="n"/>
      <c r="T57" s="117" t="inlineStr">
        <is>
          <t>3.3.1.3</t>
        </is>
      </c>
      <c r="U57" s="117" t="inlineStr">
        <is>
          <t>PROPIA Acción formulada por el área en la plantilla (escriba su nombre en la columna I)</t>
        </is>
      </c>
      <c r="V57" s="117" t="n"/>
      <c r="W57" s="117" t="n"/>
      <c r="X57" s="117" t="n"/>
      <c r="Y57" s="117" t="n"/>
      <c r="Z57" s="117" t="n"/>
      <c r="AA57" s="117" t="n"/>
      <c r="AB57" s="117" t="n"/>
      <c r="AC57" s="117" t="n"/>
      <c r="AD57" s="117" t="n"/>
      <c r="AE57" s="117" t="n"/>
      <c r="AF57" s="117" t="n"/>
      <c r="AG57" s="117" t="n"/>
      <c r="AH57" s="117" t="n"/>
      <c r="AI57" s="117" t="n"/>
      <c r="AJ57" s="117" t="n"/>
      <c r="AK57" s="117" t="n"/>
    </row>
    <row r="58">
      <c r="A58" s="117" t="n"/>
      <c r="B58" s="117" t="n"/>
      <c r="C58" s="117" t="n"/>
      <c r="D58" s="117" t="n"/>
      <c r="E58" s="117" t="n"/>
      <c r="F58" s="117" t="n"/>
      <c r="G58" s="117" t="n"/>
      <c r="H58" s="117" t="n"/>
      <c r="I58" s="117" t="n"/>
      <c r="J58" s="117" t="n"/>
      <c r="K58" s="117" t="n"/>
      <c r="L58" s="117" t="n"/>
      <c r="M58" s="117" t="n"/>
      <c r="N58" s="117" t="n"/>
      <c r="O58" s="117" t="n"/>
      <c r="P58" s="117" t="n"/>
      <c r="Q58" s="117" t="n"/>
      <c r="R58" s="117" t="n"/>
      <c r="S58" s="117" t="n"/>
      <c r="T58" s="117" t="inlineStr">
        <is>
          <t>4.1.1.1</t>
        </is>
      </c>
      <c r="U58" s="117" t="inlineStr">
        <is>
          <t>AC27.31 Fortalecer el seguimiento del PDI para que el avance reportado corresponda a productos pertinentes y verificables</t>
        </is>
      </c>
      <c r="V58" s="117" t="inlineStr">
        <is>
          <t>Planeación y Plan de Acción</t>
        </is>
      </c>
      <c r="W58" s="117" t="inlineStr">
        <is>
          <t>101 · Oficina Asesora de Planeación y Desarrollo Institucional</t>
        </is>
      </c>
      <c r="X58" s="117" t="n"/>
      <c r="Y58" s="117" t="n"/>
      <c r="Z58" s="117" t="n"/>
      <c r="AA58" s="117" t="n"/>
      <c r="AB58" s="117" t="n"/>
      <c r="AC58" s="117" t="n"/>
      <c r="AD58" s="117" t="n"/>
      <c r="AE58" s="117" t="n"/>
      <c r="AF58" s="117" t="n"/>
      <c r="AG58" s="117" t="n"/>
      <c r="AH58" s="117" t="n"/>
      <c r="AI58" s="117" t="n"/>
      <c r="AJ58" s="117" t="n"/>
      <c r="AK58" s="117" t="n"/>
    </row>
    <row r="59">
      <c r="A59" s="117" t="n"/>
      <c r="B59" s="117" t="n"/>
      <c r="C59" s="117" t="n"/>
      <c r="D59" s="117" t="n"/>
      <c r="E59" s="117" t="n"/>
      <c r="F59" s="117" t="n"/>
      <c r="G59" s="117" t="n"/>
      <c r="H59" s="117" t="n"/>
      <c r="I59" s="117" t="n"/>
      <c r="J59" s="117" t="n"/>
      <c r="K59" s="117" t="n"/>
      <c r="L59" s="117" t="n"/>
      <c r="M59" s="117" t="n"/>
      <c r="N59" s="117" t="n"/>
      <c r="O59" s="117" t="n"/>
      <c r="P59" s="117" t="n"/>
      <c r="Q59" s="117" t="n"/>
      <c r="R59" s="117" t="n"/>
      <c r="S59" s="117" t="n"/>
      <c r="T59" s="117" t="inlineStr">
        <is>
          <t>4.1.1.1</t>
        </is>
      </c>
      <c r="U59" s="117" t="inlineStr">
        <is>
          <t>AC27.32 Adelantar los trámites de transformación de la ETITC en universidad</t>
        </is>
      </c>
      <c r="V59" s="117" t="inlineStr">
        <is>
          <t>Despacho de Rectoría</t>
        </is>
      </c>
      <c r="W59" s="117" t="inlineStr">
        <is>
          <t>100 · Rectoría</t>
        </is>
      </c>
      <c r="X59" s="117" t="n"/>
      <c r="Y59" s="117" t="n"/>
      <c r="Z59" s="117" t="n"/>
      <c r="AA59" s="117" t="n"/>
      <c r="AB59" s="117" t="n"/>
      <c r="AC59" s="117" t="n"/>
      <c r="AD59" s="117" t="n"/>
      <c r="AE59" s="117" t="n"/>
      <c r="AF59" s="117" t="n"/>
      <c r="AG59" s="117" t="n"/>
      <c r="AH59" s="117" t="n"/>
      <c r="AI59" s="117" t="n"/>
      <c r="AJ59" s="117" t="n"/>
      <c r="AK59" s="117" t="n"/>
    </row>
    <row r="60">
      <c r="A60" s="117" t="n"/>
      <c r="B60" s="117" t="n"/>
      <c r="C60" s="117" t="n"/>
      <c r="D60" s="117" t="n"/>
      <c r="E60" s="117" t="n"/>
      <c r="F60" s="117" t="n"/>
      <c r="G60" s="117" t="n"/>
      <c r="H60" s="117" t="n"/>
      <c r="I60" s="117" t="n"/>
      <c r="J60" s="117" t="n"/>
      <c r="K60" s="117" t="n"/>
      <c r="L60" s="117" t="n"/>
      <c r="M60" s="117" t="n"/>
      <c r="N60" s="117" t="n"/>
      <c r="O60" s="117" t="n"/>
      <c r="P60" s="117" t="n"/>
      <c r="Q60" s="117" t="n"/>
      <c r="R60" s="117" t="n"/>
      <c r="S60" s="117" t="n"/>
      <c r="T60" s="117" t="inlineStr">
        <is>
          <t>4.1.1.1</t>
        </is>
      </c>
      <c r="U60" s="117" t="inlineStr">
        <is>
          <t>PROPIA Acción formulada por el área en la plantilla (escriba su nombre en la columna I)</t>
        </is>
      </c>
      <c r="V60" s="117" t="n"/>
      <c r="W60" s="117" t="n"/>
      <c r="X60" s="117" t="n"/>
      <c r="Y60" s="117" t="n"/>
      <c r="Z60" s="117" t="n"/>
      <c r="AA60" s="117" t="n"/>
      <c r="AB60" s="117" t="n"/>
      <c r="AC60" s="117" t="n"/>
      <c r="AD60" s="117" t="n"/>
      <c r="AE60" s="117" t="n"/>
      <c r="AF60" s="117" t="n"/>
      <c r="AG60" s="117" t="n"/>
      <c r="AH60" s="117" t="n"/>
      <c r="AI60" s="117" t="n"/>
      <c r="AJ60" s="117" t="n"/>
      <c r="AK60" s="117" t="n"/>
    </row>
    <row r="61">
      <c r="A61" s="117" t="n"/>
      <c r="B61" s="117" t="n"/>
      <c r="C61" s="117" t="n"/>
      <c r="D61" s="117" t="n"/>
      <c r="E61" s="117" t="n"/>
      <c r="F61" s="117" t="n"/>
      <c r="G61" s="117" t="n"/>
      <c r="H61" s="117" t="n"/>
      <c r="I61" s="117" t="n"/>
      <c r="J61" s="117" t="n"/>
      <c r="K61" s="117" t="n"/>
      <c r="L61" s="117" t="n"/>
      <c r="M61" s="117" t="n"/>
      <c r="N61" s="117" t="n"/>
      <c r="O61" s="117" t="n"/>
      <c r="P61" s="117" t="n"/>
      <c r="Q61" s="117" t="n"/>
      <c r="R61" s="117" t="n"/>
      <c r="S61" s="117" t="n"/>
      <c r="T61" s="117" t="inlineStr">
        <is>
          <t>4.1.1.2</t>
        </is>
      </c>
      <c r="U61" s="117" t="inlineStr">
        <is>
          <t>AC27.33 Mejorar el desempeño institucional en el FURAG con un plan de mejora por política del MIPG y el cumplimiento del plan suscrito con la Contraloría</t>
        </is>
      </c>
      <c r="V61" s="117" t="inlineStr">
        <is>
          <t>Aseguramiento de la Calidad, MIPG y Registros Calificados; Gestión Financiera (Presupuesto, Contabilidad, Tesorería)</t>
        </is>
      </c>
      <c r="W61" s="117" t="inlineStr">
        <is>
          <t>101 · Oficina Asesora de Planeación y Desarrollo Institucional; 130 · Vicerrectoría Administrativa y Financiera</t>
        </is>
      </c>
      <c r="X61" s="117" t="n"/>
      <c r="Y61" s="117" t="n"/>
      <c r="Z61" s="117" t="n"/>
      <c r="AA61" s="117" t="n"/>
      <c r="AB61" s="117" t="n"/>
      <c r="AC61" s="117" t="n"/>
      <c r="AD61" s="117" t="n"/>
      <c r="AE61" s="117" t="n"/>
      <c r="AF61" s="117" t="n"/>
      <c r="AG61" s="117" t="n"/>
      <c r="AH61" s="117" t="n"/>
      <c r="AI61" s="117" t="n"/>
      <c r="AJ61" s="117" t="n"/>
      <c r="AK61" s="117" t="n"/>
    </row>
    <row r="62">
      <c r="A62" s="117" t="n"/>
      <c r="B62" s="117" t="n"/>
      <c r="C62" s="117" t="n"/>
      <c r="D62" s="117" t="n"/>
      <c r="E62" s="117" t="n"/>
      <c r="F62" s="117" t="n"/>
      <c r="G62" s="117" t="n"/>
      <c r="H62" s="117" t="n"/>
      <c r="I62" s="117" t="n"/>
      <c r="J62" s="117" t="n"/>
      <c r="K62" s="117" t="n"/>
      <c r="L62" s="117" t="n"/>
      <c r="M62" s="117" t="n"/>
      <c r="N62" s="117" t="n"/>
      <c r="O62" s="117" t="n"/>
      <c r="P62" s="117" t="n"/>
      <c r="Q62" s="117" t="n"/>
      <c r="R62" s="117" t="n"/>
      <c r="S62" s="117" t="n"/>
      <c r="T62" s="117" t="inlineStr">
        <is>
          <t>4.1.1.2</t>
        </is>
      </c>
      <c r="U62" s="117" t="inlineStr">
        <is>
          <t>AC27.34 Ordenar la gestión financiera y contable con cierres oportunos, indicadores propios, procedimientos documentados y capacitación</t>
        </is>
      </c>
      <c r="V62" s="117" t="inlineStr">
        <is>
          <t>Gestión Financiera (Presupuesto, Contabilidad, Tesorería); Despacho de la Vicerrectoría Administrativa y Financiera; GIT Talento Humano</t>
        </is>
      </c>
      <c r="W62" s="117" t="inlineStr">
        <is>
          <t>130 · Vicerrectoría Administrativa y Financiera; 133 · GIT Gestión de Talento Humano</t>
        </is>
      </c>
      <c r="X62" s="117" t="n"/>
      <c r="Y62" s="117" t="n"/>
      <c r="Z62" s="117" t="n"/>
      <c r="AA62" s="117" t="n"/>
      <c r="AB62" s="117" t="n"/>
      <c r="AC62" s="117" t="n"/>
      <c r="AD62" s="117" t="n"/>
      <c r="AE62" s="117" t="n"/>
      <c r="AF62" s="117" t="n"/>
      <c r="AG62" s="117" t="n"/>
      <c r="AH62" s="117" t="n"/>
      <c r="AI62" s="117" t="n"/>
      <c r="AJ62" s="117" t="n"/>
      <c r="AK62" s="117" t="n"/>
    </row>
    <row r="63">
      <c r="A63" s="117" t="n"/>
      <c r="B63" s="117" t="n"/>
      <c r="C63" s="117" t="n"/>
      <c r="D63" s="117" t="n"/>
      <c r="E63" s="117" t="n"/>
      <c r="F63" s="117" t="n"/>
      <c r="G63" s="117" t="n"/>
      <c r="H63" s="117" t="n"/>
      <c r="I63" s="117" t="n"/>
      <c r="J63" s="117" t="n"/>
      <c r="K63" s="117" t="n"/>
      <c r="L63" s="117" t="n"/>
      <c r="M63" s="117" t="n"/>
      <c r="N63" s="117" t="n"/>
      <c r="O63" s="117" t="n"/>
      <c r="P63" s="117" t="n"/>
      <c r="Q63" s="117" t="n"/>
      <c r="R63" s="117" t="n"/>
      <c r="S63" s="117" t="n"/>
      <c r="T63" s="117" t="inlineStr">
        <is>
          <t>4.1.1.2</t>
        </is>
      </c>
      <c r="U63" s="117" t="inlineStr">
        <is>
          <t>PROPIA Acción formulada por el área en la plantilla (escriba su nombre en la columna I)</t>
        </is>
      </c>
      <c r="V63" s="117" t="n"/>
      <c r="W63" s="117" t="n"/>
      <c r="X63" s="117" t="n"/>
      <c r="Y63" s="117" t="n"/>
      <c r="Z63" s="117" t="n"/>
      <c r="AA63" s="117" t="n"/>
      <c r="AB63" s="117" t="n"/>
      <c r="AC63" s="117" t="n"/>
      <c r="AD63" s="117" t="n"/>
      <c r="AE63" s="117" t="n"/>
      <c r="AF63" s="117" t="n"/>
      <c r="AG63" s="117" t="n"/>
      <c r="AH63" s="117" t="n"/>
      <c r="AI63" s="117" t="n"/>
      <c r="AJ63" s="117" t="n"/>
      <c r="AK63" s="117" t="n"/>
    </row>
    <row r="64">
      <c r="A64" s="117" t="n"/>
      <c r="B64" s="117" t="n"/>
      <c r="C64" s="117" t="n"/>
      <c r="D64" s="117" t="n"/>
      <c r="E64" s="117" t="n"/>
      <c r="F64" s="117" t="n"/>
      <c r="G64" s="117" t="n"/>
      <c r="H64" s="117" t="n"/>
      <c r="I64" s="117" t="n"/>
      <c r="J64" s="117" t="n"/>
      <c r="K64" s="117" t="n"/>
      <c r="L64" s="117" t="n"/>
      <c r="M64" s="117" t="n"/>
      <c r="N64" s="117" t="n"/>
      <c r="O64" s="117" t="n"/>
      <c r="P64" s="117" t="n"/>
      <c r="Q64" s="117" t="n"/>
      <c r="R64" s="117" t="n"/>
      <c r="S64" s="117" t="n"/>
      <c r="T64" s="117" t="inlineStr">
        <is>
          <t>4.1.1.3</t>
        </is>
      </c>
      <c r="U64" s="117" t="inlineStr">
        <is>
          <t>AC27.35 Sostener la acreditación institucional mediante el plan de mejoramiento derivado de las recomendaciones del CNA y su seguimiento semestral</t>
        </is>
      </c>
      <c r="V64" s="117" t="inlineStr">
        <is>
          <t>Autoevaluación y Acreditación</t>
        </is>
      </c>
      <c r="W64" s="117" t="inlineStr">
        <is>
          <t>101 · Oficina Asesora de Planeación y Desarrollo Institucional</t>
        </is>
      </c>
      <c r="X64" s="117" t="n"/>
      <c r="Y64" s="117" t="n"/>
      <c r="Z64" s="117" t="n"/>
      <c r="AA64" s="117" t="n"/>
      <c r="AB64" s="117" t="n"/>
      <c r="AC64" s="117" t="n"/>
      <c r="AD64" s="117" t="n"/>
      <c r="AE64" s="117" t="n"/>
      <c r="AF64" s="117" t="n"/>
      <c r="AG64" s="117" t="n"/>
      <c r="AH64" s="117" t="n"/>
      <c r="AI64" s="117" t="n"/>
      <c r="AJ64" s="117" t="n"/>
      <c r="AK64" s="117" t="n"/>
    </row>
    <row r="65">
      <c r="A65" s="117" t="n"/>
      <c r="B65" s="117" t="n"/>
      <c r="C65" s="117" t="n"/>
      <c r="D65" s="117" t="n"/>
      <c r="E65" s="117" t="n"/>
      <c r="F65" s="117" t="n"/>
      <c r="G65" s="117" t="n"/>
      <c r="H65" s="117" t="n"/>
      <c r="I65" s="117" t="n"/>
      <c r="J65" s="117" t="n"/>
      <c r="K65" s="117" t="n"/>
      <c r="L65" s="117" t="n"/>
      <c r="M65" s="117" t="n"/>
      <c r="N65" s="117" t="n"/>
      <c r="O65" s="117" t="n"/>
      <c r="P65" s="117" t="n"/>
      <c r="Q65" s="117" t="n"/>
      <c r="R65" s="117" t="n"/>
      <c r="S65" s="117" t="n"/>
      <c r="T65" s="117" t="inlineStr">
        <is>
          <t>4.1.1.3</t>
        </is>
      </c>
      <c r="U65" s="117" t="inlineStr">
        <is>
          <t>AC27.36 Divulgar la acreditación institucional ante la comunidad y los públicos externos</t>
        </is>
      </c>
      <c r="V65" s="117" t="inlineStr">
        <is>
          <t>Comunicaciones y Mercadeo</t>
        </is>
      </c>
      <c r="W65" s="117" t="inlineStr">
        <is>
          <t>100 · Rectoría</t>
        </is>
      </c>
      <c r="X65" s="117" t="n"/>
      <c r="Y65" s="117" t="n"/>
      <c r="Z65" s="117" t="n"/>
      <c r="AA65" s="117" t="n"/>
      <c r="AB65" s="117" t="n"/>
      <c r="AC65" s="117" t="n"/>
      <c r="AD65" s="117" t="n"/>
      <c r="AE65" s="117" t="n"/>
      <c r="AF65" s="117" t="n"/>
      <c r="AG65" s="117" t="n"/>
      <c r="AH65" s="117" t="n"/>
      <c r="AI65" s="117" t="n"/>
      <c r="AJ65" s="117" t="n"/>
      <c r="AK65" s="117" t="n"/>
    </row>
    <row r="66">
      <c r="A66" s="117" t="n"/>
      <c r="B66" s="117" t="n"/>
      <c r="C66" s="117" t="n"/>
      <c r="D66" s="117" t="n"/>
      <c r="E66" s="117" t="n"/>
      <c r="F66" s="117" t="n"/>
      <c r="G66" s="117" t="n"/>
      <c r="H66" s="117" t="n"/>
      <c r="I66" s="117" t="n"/>
      <c r="J66" s="117" t="n"/>
      <c r="K66" s="117" t="n"/>
      <c r="L66" s="117" t="n"/>
      <c r="M66" s="117" t="n"/>
      <c r="N66" s="117" t="n"/>
      <c r="O66" s="117" t="n"/>
      <c r="P66" s="117" t="n"/>
      <c r="Q66" s="117" t="n"/>
      <c r="R66" s="117" t="n"/>
      <c r="S66" s="117" t="n"/>
      <c r="T66" s="117" t="inlineStr">
        <is>
          <t>4.1.1.3</t>
        </is>
      </c>
      <c r="U66" s="117" t="inlineStr">
        <is>
          <t>PROPIA Acción formulada por el área en la plantilla (escriba su nombre en la columna I)</t>
        </is>
      </c>
      <c r="V66" s="117" t="n"/>
      <c r="W66" s="117" t="n"/>
      <c r="X66" s="117" t="n"/>
      <c r="Y66" s="117" t="n"/>
      <c r="Z66" s="117" t="n"/>
      <c r="AA66" s="117" t="n"/>
      <c r="AB66" s="117" t="n"/>
      <c r="AC66" s="117" t="n"/>
      <c r="AD66" s="117" t="n"/>
      <c r="AE66" s="117" t="n"/>
      <c r="AF66" s="117" t="n"/>
      <c r="AG66" s="117" t="n"/>
      <c r="AH66" s="117" t="n"/>
      <c r="AI66" s="117" t="n"/>
      <c r="AJ66" s="117" t="n"/>
      <c r="AK66" s="117" t="n"/>
    </row>
    <row r="67">
      <c r="A67" s="117" t="n"/>
      <c r="B67" s="117" t="n"/>
      <c r="C67" s="117" t="n"/>
      <c r="D67" s="117" t="n"/>
      <c r="E67" s="117" t="n"/>
      <c r="F67" s="117" t="n"/>
      <c r="G67" s="117" t="n"/>
      <c r="H67" s="117" t="n"/>
      <c r="I67" s="117" t="n"/>
      <c r="J67" s="117" t="n"/>
      <c r="K67" s="117" t="n"/>
      <c r="L67" s="117" t="n"/>
      <c r="M67" s="117" t="n"/>
      <c r="N67" s="117" t="n"/>
      <c r="O67" s="117" t="n"/>
      <c r="P67" s="117" t="n"/>
      <c r="Q67" s="117" t="n"/>
      <c r="R67" s="117" t="n"/>
      <c r="S67" s="117" t="n"/>
      <c r="T67" s="117" t="inlineStr">
        <is>
          <t>4.2.1.1</t>
        </is>
      </c>
      <c r="U67" s="117" t="inlineStr">
        <is>
          <t>AC27.37 Ajustar la estructura organizacional a la operación real de la Escuela y avanzar en la formalización laboral</t>
        </is>
      </c>
      <c r="V67" s="117" t="inlineStr">
        <is>
          <t>Planeación y Plan de Acción; Despacho de Rectoría; GIT Talento Humano</t>
        </is>
      </c>
      <c r="W67" s="117" t="inlineStr">
        <is>
          <t>101 · Oficina Asesora de Planeación y Desarrollo Institucional; 100 · Rectoría; 133 · GIT Gestión de Talento Humano</t>
        </is>
      </c>
      <c r="X67" s="117" t="n"/>
      <c r="Y67" s="117" t="n"/>
      <c r="Z67" s="117" t="n"/>
      <c r="AA67" s="117" t="n"/>
      <c r="AB67" s="117" t="n"/>
      <c r="AC67" s="117" t="n"/>
      <c r="AD67" s="117" t="n"/>
      <c r="AE67" s="117" t="n"/>
      <c r="AF67" s="117" t="n"/>
      <c r="AG67" s="117" t="n"/>
      <c r="AH67" s="117" t="n"/>
      <c r="AI67" s="117" t="n"/>
      <c r="AJ67" s="117" t="n"/>
      <c r="AK67" s="117" t="n"/>
    </row>
    <row r="68">
      <c r="A68" s="117" t="n"/>
      <c r="B68" s="117" t="n"/>
      <c r="C68" s="117" t="n"/>
      <c r="D68" s="117" t="n"/>
      <c r="E68" s="117" t="n"/>
      <c r="F68" s="117" t="n"/>
      <c r="G68" s="117" t="n"/>
      <c r="H68" s="117" t="n"/>
      <c r="I68" s="117" t="n"/>
      <c r="J68" s="117" t="n"/>
      <c r="K68" s="117" t="n"/>
      <c r="L68" s="117" t="n"/>
      <c r="M68" s="117" t="n"/>
      <c r="N68" s="117" t="n"/>
      <c r="O68" s="117" t="n"/>
      <c r="P68" s="117" t="n"/>
      <c r="Q68" s="117" t="n"/>
      <c r="R68" s="117" t="n"/>
      <c r="S68" s="117" t="n"/>
      <c r="T68" s="117" t="inlineStr">
        <is>
          <t>4.2.1.1</t>
        </is>
      </c>
      <c r="U68" s="117" t="inlineStr">
        <is>
          <t>PROPIA Acción formulada por el área en la plantilla (escriba su nombre en la columna I)</t>
        </is>
      </c>
      <c r="V68" s="117" t="n"/>
      <c r="W68" s="117" t="n"/>
      <c r="X68" s="117" t="n"/>
      <c r="Y68" s="117" t="n"/>
      <c r="Z68" s="117" t="n"/>
      <c r="AA68" s="117" t="n"/>
      <c r="AB68" s="117" t="n"/>
      <c r="AC68" s="117" t="n"/>
      <c r="AD68" s="117" t="n"/>
      <c r="AE68" s="117" t="n"/>
      <c r="AF68" s="117" t="n"/>
      <c r="AG68" s="117" t="n"/>
      <c r="AH68" s="117" t="n"/>
      <c r="AI68" s="117" t="n"/>
      <c r="AJ68" s="117" t="n"/>
      <c r="AK68" s="117" t="n"/>
    </row>
    <row r="69">
      <c r="A69" s="117" t="n"/>
      <c r="B69" s="117" t="n"/>
      <c r="C69" s="117" t="n"/>
      <c r="D69" s="117" t="n"/>
      <c r="E69" s="117" t="n"/>
      <c r="F69" s="117" t="n"/>
      <c r="G69" s="117" t="n"/>
      <c r="H69" s="117" t="n"/>
      <c r="I69" s="117" t="n"/>
      <c r="J69" s="117" t="n"/>
      <c r="K69" s="117" t="n"/>
      <c r="L69" s="117" t="n"/>
      <c r="M69" s="117" t="n"/>
      <c r="N69" s="117" t="n"/>
      <c r="O69" s="117" t="n"/>
      <c r="P69" s="117" t="n"/>
      <c r="Q69" s="117" t="n"/>
      <c r="R69" s="117" t="n"/>
      <c r="S69" s="117" t="n"/>
      <c r="T69" s="117" t="inlineStr">
        <is>
          <t>4.2.1.2</t>
        </is>
      </c>
      <c r="U69" s="117" t="inlineStr">
        <is>
          <t>AC27.38 Consolidar el SIUE como fuente única de información institucional, con módulos integrados y uso por todas las dependencias</t>
        </is>
      </c>
      <c r="V69" s="117" t="inlineStr">
        <is>
          <t>Gestión de Proyectos</t>
        </is>
      </c>
      <c r="W69" s="117" t="inlineStr">
        <is>
          <t>101 · Oficina Asesora de Planeación y Desarrollo Institucional</t>
        </is>
      </c>
      <c r="X69" s="117" t="n"/>
      <c r="Y69" s="117" t="n"/>
      <c r="Z69" s="117" t="n"/>
      <c r="AA69" s="117" t="n"/>
      <c r="AB69" s="117" t="n"/>
      <c r="AC69" s="117" t="n"/>
      <c r="AD69" s="117" t="n"/>
      <c r="AE69" s="117" t="n"/>
      <c r="AF69" s="117" t="n"/>
      <c r="AG69" s="117" t="n"/>
      <c r="AH69" s="117" t="n"/>
      <c r="AI69" s="117" t="n"/>
      <c r="AJ69" s="117" t="n"/>
      <c r="AK69" s="117" t="n"/>
    </row>
    <row r="70">
      <c r="A70" s="117" t="n"/>
      <c r="B70" s="117" t="n"/>
      <c r="C70" s="117" t="n"/>
      <c r="D70" s="117" t="n"/>
      <c r="E70" s="117" t="n"/>
      <c r="F70" s="117" t="n"/>
      <c r="G70" s="117" t="n"/>
      <c r="H70" s="117" t="n"/>
      <c r="I70" s="117" t="n"/>
      <c r="J70" s="117" t="n"/>
      <c r="K70" s="117" t="n"/>
      <c r="L70" s="117" t="n"/>
      <c r="M70" s="117" t="n"/>
      <c r="N70" s="117" t="n"/>
      <c r="O70" s="117" t="n"/>
      <c r="P70" s="117" t="n"/>
      <c r="Q70" s="117" t="n"/>
      <c r="R70" s="117" t="n"/>
      <c r="S70" s="117" t="n"/>
      <c r="T70" s="117" t="inlineStr">
        <is>
          <t>4.2.1.2</t>
        </is>
      </c>
      <c r="U70" s="117" t="inlineStr">
        <is>
          <t>AC27.39 Garantizar una sola cifra oficial en los reportes externos, con reporte SNIES certificado, repositorio de soportes y verificación de consistencia</t>
        </is>
      </c>
      <c r="V70" s="117" t="inlineStr">
        <is>
          <t>GIT Registro, Control y Admisiones; GIT Informática y Telecomunicaciones; Planeación y Plan de Acción</t>
        </is>
      </c>
      <c r="W70" s="117" t="inlineStr">
        <is>
          <t>126 · GIT Registro y Control; 132 · GIT Gestión de Informática y Telecomunicaciones; 101 · Oficina Asesora de Planeación y Desarrollo Institucional</t>
        </is>
      </c>
      <c r="X70" s="117" t="n"/>
      <c r="Y70" s="117" t="n"/>
      <c r="Z70" s="117" t="n"/>
      <c r="AA70" s="117" t="n"/>
      <c r="AB70" s="117" t="n"/>
      <c r="AC70" s="117" t="n"/>
      <c r="AD70" s="117" t="n"/>
      <c r="AE70" s="117" t="n"/>
      <c r="AF70" s="117" t="n"/>
      <c r="AG70" s="117" t="n"/>
      <c r="AH70" s="117" t="n"/>
      <c r="AI70" s="117" t="n"/>
      <c r="AJ70" s="117" t="n"/>
      <c r="AK70" s="117" t="n"/>
    </row>
    <row r="71">
      <c r="A71" s="117" t="n"/>
      <c r="B71" s="117" t="n"/>
      <c r="C71" s="117" t="n"/>
      <c r="D71" s="117" t="n"/>
      <c r="E71" s="117" t="n"/>
      <c r="F71" s="117" t="n"/>
      <c r="G71" s="117" t="n"/>
      <c r="H71" s="117" t="n"/>
      <c r="I71" s="117" t="n"/>
      <c r="J71" s="117" t="n"/>
      <c r="K71" s="117" t="n"/>
      <c r="L71" s="117" t="n"/>
      <c r="M71" s="117" t="n"/>
      <c r="N71" s="117" t="n"/>
      <c r="O71" s="117" t="n"/>
      <c r="P71" s="117" t="n"/>
      <c r="Q71" s="117" t="n"/>
      <c r="R71" s="117" t="n"/>
      <c r="S71" s="117" t="n"/>
      <c r="T71" s="117" t="inlineStr">
        <is>
          <t>4.2.1.2</t>
        </is>
      </c>
      <c r="U71" s="117" t="inlineStr">
        <is>
          <t>PROPIA Acción formulada por el área en la plantilla (escriba su nombre en la columna I)</t>
        </is>
      </c>
      <c r="V71" s="117" t="n"/>
      <c r="W71" s="117" t="n"/>
      <c r="X71" s="117" t="n"/>
      <c r="Y71" s="117" t="n"/>
      <c r="Z71" s="117" t="n"/>
      <c r="AA71" s="117" t="n"/>
      <c r="AB71" s="117" t="n"/>
      <c r="AC71" s="117" t="n"/>
      <c r="AD71" s="117" t="n"/>
      <c r="AE71" s="117" t="n"/>
      <c r="AF71" s="117" t="n"/>
      <c r="AG71" s="117" t="n"/>
      <c r="AH71" s="117" t="n"/>
      <c r="AI71" s="117" t="n"/>
      <c r="AJ71" s="117" t="n"/>
      <c r="AK71" s="117" t="n"/>
    </row>
    <row r="72">
      <c r="A72" s="117" t="n"/>
      <c r="B72" s="117" t="n"/>
      <c r="C72" s="117" t="n"/>
      <c r="D72" s="117" t="n"/>
      <c r="E72" s="117" t="n"/>
      <c r="F72" s="117" t="n"/>
      <c r="G72" s="117" t="n"/>
      <c r="H72" s="117" t="n"/>
      <c r="I72" s="117" t="n"/>
      <c r="J72" s="117" t="n"/>
      <c r="K72" s="117" t="n"/>
      <c r="L72" s="117" t="n"/>
      <c r="M72" s="117" t="n"/>
      <c r="N72" s="117" t="n"/>
      <c r="O72" s="117" t="n"/>
      <c r="P72" s="117" t="n"/>
      <c r="Q72" s="117" t="n"/>
      <c r="R72" s="117" t="n"/>
      <c r="S72" s="117" t="n"/>
      <c r="T72" s="117" t="inlineStr">
        <is>
          <t>4.2.1.3</t>
        </is>
      </c>
      <c r="U72" s="117" t="inlineStr">
        <is>
          <t>AC27.40 Consolidar el IBTI como unidad adscrita con tránsito inmediato a la educación superior, desde la alineación curricular hasta la aprobación ante el MEN</t>
        </is>
      </c>
      <c r="V72" s="117" t="inlineStr">
        <is>
          <t>IBTI; Despacho de la Vicerrectoría Académica</t>
        </is>
      </c>
      <c r="W72" s="117" t="inlineStr">
        <is>
          <t>124 · Instituto de Bachillerato Técnico Industrial (IBTI); 120 · Vicerrectoría Académica</t>
        </is>
      </c>
      <c r="X72" s="117" t="n"/>
      <c r="Y72" s="117" t="n"/>
      <c r="Z72" s="117" t="n"/>
      <c r="AA72" s="117" t="n"/>
      <c r="AB72" s="117" t="n"/>
      <c r="AC72" s="117" t="n"/>
      <c r="AD72" s="117" t="n"/>
      <c r="AE72" s="117" t="n"/>
      <c r="AF72" s="117" t="n"/>
      <c r="AG72" s="117" t="n"/>
      <c r="AH72" s="117" t="n"/>
      <c r="AI72" s="117" t="n"/>
      <c r="AJ72" s="117" t="n"/>
      <c r="AK72" s="117" t="n"/>
    </row>
    <row r="73">
      <c r="A73" s="117" t="n"/>
      <c r="B73" s="117" t="n"/>
      <c r="C73" s="117" t="n"/>
      <c r="D73" s="117" t="n"/>
      <c r="E73" s="117" t="n"/>
      <c r="F73" s="117" t="n"/>
      <c r="G73" s="117" t="n"/>
      <c r="H73" s="117" t="n"/>
      <c r="I73" s="117" t="n"/>
      <c r="J73" s="117" t="n"/>
      <c r="K73" s="117" t="n"/>
      <c r="L73" s="117" t="n"/>
      <c r="M73" s="117" t="n"/>
      <c r="N73" s="117" t="n"/>
      <c r="O73" s="117" t="n"/>
      <c r="P73" s="117" t="n"/>
      <c r="Q73" s="117" t="n"/>
      <c r="R73" s="117" t="n"/>
      <c r="S73" s="117" t="n"/>
      <c r="T73" s="117" t="inlineStr">
        <is>
          <t>4.2.1.3</t>
        </is>
      </c>
      <c r="U73" s="117" t="inlineStr">
        <is>
          <t>PROPIA Acción formulada por el área en la plantilla (escriba su nombre en la columna I)</t>
        </is>
      </c>
      <c r="V73" s="117" t="n"/>
      <c r="W73" s="117" t="n"/>
      <c r="X73" s="117" t="n"/>
      <c r="Y73" s="117" t="n"/>
      <c r="Z73" s="117" t="n"/>
      <c r="AA73" s="117" t="n"/>
      <c r="AB73" s="117" t="n"/>
      <c r="AC73" s="117" t="n"/>
      <c r="AD73" s="117" t="n"/>
      <c r="AE73" s="117" t="n"/>
      <c r="AF73" s="117" t="n"/>
      <c r="AG73" s="117" t="n"/>
      <c r="AH73" s="117" t="n"/>
      <c r="AI73" s="117" t="n"/>
      <c r="AJ73" s="117" t="n"/>
      <c r="AK73" s="117" t="n"/>
    </row>
    <row r="74">
      <c r="A74" s="117" t="n"/>
      <c r="B74" s="117" t="n"/>
      <c r="C74" s="117" t="n"/>
      <c r="D74" s="117" t="n"/>
      <c r="E74" s="117" t="n"/>
      <c r="F74" s="117" t="n"/>
      <c r="G74" s="117" t="n"/>
      <c r="H74" s="117" t="n"/>
      <c r="I74" s="117" t="n"/>
      <c r="J74" s="117" t="n"/>
      <c r="K74" s="117" t="n"/>
      <c r="L74" s="117" t="n"/>
      <c r="M74" s="117" t="n"/>
      <c r="N74" s="117" t="n"/>
      <c r="O74" s="117" t="n"/>
      <c r="P74" s="117" t="n"/>
      <c r="Q74" s="117" t="n"/>
      <c r="R74" s="117" t="n"/>
      <c r="S74" s="117" t="n"/>
      <c r="T74" s="117" t="inlineStr">
        <is>
          <t>4.3.1.1</t>
        </is>
      </c>
      <c r="U74" s="117" t="inlineStr">
        <is>
          <t>AC27.41 Poner en operación el modelo de operación flexible validado con la comunidad educativa y medir su adopción</t>
        </is>
      </c>
      <c r="V74" s="117" t="inlineStr">
        <is>
          <t>Autoevaluación y Acreditación</t>
        </is>
      </c>
      <c r="W74" s="117" t="inlineStr">
        <is>
          <t>101 · Oficina Asesora de Planeación y Desarrollo Institucional</t>
        </is>
      </c>
      <c r="X74" s="117" t="n"/>
      <c r="Y74" s="117" t="n"/>
      <c r="Z74" s="117" t="n"/>
      <c r="AA74" s="117" t="n"/>
      <c r="AB74" s="117" t="n"/>
      <c r="AC74" s="117" t="n"/>
      <c r="AD74" s="117" t="n"/>
      <c r="AE74" s="117" t="n"/>
      <c r="AF74" s="117" t="n"/>
      <c r="AG74" s="117" t="n"/>
      <c r="AH74" s="117" t="n"/>
      <c r="AI74" s="117" t="n"/>
      <c r="AJ74" s="117" t="n"/>
      <c r="AK74" s="117" t="n"/>
    </row>
    <row r="75">
      <c r="A75" s="117" t="n"/>
      <c r="B75" s="117" t="n"/>
      <c r="C75" s="117" t="n"/>
      <c r="D75" s="117" t="n"/>
      <c r="E75" s="117" t="n"/>
      <c r="F75" s="117" t="n"/>
      <c r="G75" s="117" t="n"/>
      <c r="H75" s="117" t="n"/>
      <c r="I75" s="117" t="n"/>
      <c r="J75" s="117" t="n"/>
      <c r="K75" s="117" t="n"/>
      <c r="L75" s="117" t="n"/>
      <c r="M75" s="117" t="n"/>
      <c r="N75" s="117" t="n"/>
      <c r="O75" s="117" t="n"/>
      <c r="P75" s="117" t="n"/>
      <c r="Q75" s="117" t="n"/>
      <c r="R75" s="117" t="n"/>
      <c r="S75" s="117" t="n"/>
      <c r="T75" s="117" t="inlineStr">
        <is>
          <t>4.3.1.1</t>
        </is>
      </c>
      <c r="U75" s="117" t="inlineStr">
        <is>
          <t>PROPIA Acción formulada por el área en la plantilla (escriba su nombre en la columna I)</t>
        </is>
      </c>
      <c r="V75" s="117" t="n"/>
      <c r="W75" s="117" t="n"/>
      <c r="X75" s="117" t="n"/>
      <c r="Y75" s="117" t="n"/>
      <c r="Z75" s="117" t="n"/>
      <c r="AA75" s="117" t="n"/>
      <c r="AB75" s="117" t="n"/>
      <c r="AC75" s="117" t="n"/>
      <c r="AD75" s="117" t="n"/>
      <c r="AE75" s="117" t="n"/>
      <c r="AF75" s="117" t="n"/>
      <c r="AG75" s="117" t="n"/>
      <c r="AH75" s="117" t="n"/>
      <c r="AI75" s="117" t="n"/>
      <c r="AJ75" s="117" t="n"/>
      <c r="AK75" s="117" t="n"/>
    </row>
    <row r="76">
      <c r="A76" s="117" t="n"/>
      <c r="B76" s="117" t="n"/>
      <c r="C76" s="117" t="n"/>
      <c r="D76" s="117" t="n"/>
      <c r="E76" s="117" t="n"/>
      <c r="F76" s="117" t="n"/>
      <c r="G76" s="117" t="n"/>
      <c r="H76" s="117" t="n"/>
      <c r="I76" s="117" t="n"/>
      <c r="J76" s="117" t="n"/>
      <c r="K76" s="117" t="n"/>
      <c r="L76" s="117" t="n"/>
      <c r="M76" s="117" t="n"/>
      <c r="N76" s="117" t="n"/>
      <c r="O76" s="117" t="n"/>
      <c r="P76" s="117" t="n"/>
      <c r="Q76" s="117" t="n"/>
      <c r="R76" s="117" t="n"/>
      <c r="S76" s="117" t="n"/>
      <c r="T76" s="117" t="inlineStr">
        <is>
          <t>4.4.1.1</t>
        </is>
      </c>
      <c r="U76" s="117" t="inlineStr">
        <is>
          <t>AC27.42 Posicionar la marca ETITC con una medición de línea base y campañas de alcance nacional y regional</t>
        </is>
      </c>
      <c r="V76" s="117" t="inlineStr">
        <is>
          <t>Comunicaciones y Mercadeo</t>
        </is>
      </c>
      <c r="W76" s="117" t="inlineStr">
        <is>
          <t>100 · Rectoría</t>
        </is>
      </c>
      <c r="X76" s="117" t="n"/>
      <c r="Y76" s="117" t="n"/>
      <c r="Z76" s="117" t="n"/>
      <c r="AA76" s="117" t="n"/>
      <c r="AB76" s="117" t="n"/>
      <c r="AC76" s="117" t="n"/>
      <c r="AD76" s="117" t="n"/>
      <c r="AE76" s="117" t="n"/>
      <c r="AF76" s="117" t="n"/>
      <c r="AG76" s="117" t="n"/>
      <c r="AH76" s="117" t="n"/>
      <c r="AI76" s="117" t="n"/>
      <c r="AJ76" s="117" t="n"/>
      <c r="AK76" s="117" t="n"/>
    </row>
    <row r="77">
      <c r="A77" s="117" t="n"/>
      <c r="B77" s="117" t="n"/>
      <c r="C77" s="117" t="n"/>
      <c r="D77" s="117" t="n"/>
      <c r="E77" s="117" t="n"/>
      <c r="F77" s="117" t="n"/>
      <c r="G77" s="117" t="n"/>
      <c r="H77" s="117" t="n"/>
      <c r="I77" s="117" t="n"/>
      <c r="J77" s="117" t="n"/>
      <c r="K77" s="117" t="n"/>
      <c r="L77" s="117" t="n"/>
      <c r="M77" s="117" t="n"/>
      <c r="N77" s="117" t="n"/>
      <c r="O77" s="117" t="n"/>
      <c r="P77" s="117" t="n"/>
      <c r="Q77" s="117" t="n"/>
      <c r="R77" s="117" t="n"/>
      <c r="S77" s="117" t="n"/>
      <c r="T77" s="117" t="inlineStr">
        <is>
          <t>4.4.1.1</t>
        </is>
      </c>
      <c r="U77" s="117" t="inlineStr">
        <is>
          <t>PROPIA Acción formulada por el área en la plantilla (escriba su nombre en la columna I)</t>
        </is>
      </c>
      <c r="V77" s="117" t="n"/>
      <c r="W77" s="117" t="n"/>
      <c r="X77" s="117" t="n"/>
      <c r="Y77" s="117" t="n"/>
      <c r="Z77" s="117" t="n"/>
      <c r="AA77" s="117" t="n"/>
      <c r="AB77" s="117" t="n"/>
      <c r="AC77" s="117" t="n"/>
      <c r="AD77" s="117" t="n"/>
      <c r="AE77" s="117" t="n"/>
      <c r="AF77" s="117" t="n"/>
      <c r="AG77" s="117" t="n"/>
      <c r="AH77" s="117" t="n"/>
      <c r="AI77" s="117" t="n"/>
      <c r="AJ77" s="117" t="n"/>
      <c r="AK77" s="117" t="n"/>
    </row>
    <row r="78">
      <c r="A78" s="117" t="n"/>
      <c r="B78" s="117" t="n"/>
      <c r="C78" s="117" t="n"/>
      <c r="D78" s="117" t="n"/>
      <c r="E78" s="117" t="n"/>
      <c r="F78" s="117" t="n"/>
      <c r="G78" s="117" t="n"/>
      <c r="H78" s="117" t="n"/>
      <c r="I78" s="117" t="n"/>
      <c r="J78" s="117" t="n"/>
      <c r="K78" s="117" t="n"/>
      <c r="L78" s="117" t="n"/>
      <c r="M78" s="117" t="n"/>
      <c r="N78" s="117" t="n"/>
      <c r="O78" s="117" t="n"/>
      <c r="P78" s="117" t="n"/>
      <c r="Q78" s="117" t="n"/>
      <c r="R78" s="117" t="n"/>
      <c r="S78" s="117" t="n"/>
      <c r="T78" s="117" t="inlineStr">
        <is>
          <t>4.4.1.2</t>
        </is>
      </c>
      <c r="U78" s="117" t="inlineStr">
        <is>
          <t>AC27.43 Formalizar cinco alianzas estratégicas con criterios claros y medir su efecto en la internacionalización y la cooperación</t>
        </is>
      </c>
      <c r="V78" s="117" t="inlineStr">
        <is>
          <t>Internacionalización (ORII)</t>
        </is>
      </c>
      <c r="W78" s="117" t="inlineStr">
        <is>
          <t>100 · Rectoría</t>
        </is>
      </c>
      <c r="X78" s="117" t="n"/>
      <c r="Y78" s="117" t="n"/>
      <c r="Z78" s="117" t="n"/>
      <c r="AA78" s="117" t="n"/>
      <c r="AB78" s="117" t="n"/>
      <c r="AC78" s="117" t="n"/>
      <c r="AD78" s="117" t="n"/>
      <c r="AE78" s="117" t="n"/>
      <c r="AF78" s="117" t="n"/>
      <c r="AG78" s="117" t="n"/>
      <c r="AH78" s="117" t="n"/>
      <c r="AI78" s="117" t="n"/>
      <c r="AJ78" s="117" t="n"/>
      <c r="AK78" s="117" t="n"/>
    </row>
    <row r="79">
      <c r="A79" s="117" t="n"/>
      <c r="B79" s="117" t="n"/>
      <c r="C79" s="117" t="n"/>
      <c r="D79" s="117" t="n"/>
      <c r="E79" s="117" t="n"/>
      <c r="F79" s="117" t="n"/>
      <c r="G79" s="117" t="n"/>
      <c r="H79" s="117" t="n"/>
      <c r="I79" s="117" t="n"/>
      <c r="J79" s="117" t="n"/>
      <c r="K79" s="117" t="n"/>
      <c r="L79" s="117" t="n"/>
      <c r="M79" s="117" t="n"/>
      <c r="N79" s="117" t="n"/>
      <c r="O79" s="117" t="n"/>
      <c r="P79" s="117" t="n"/>
      <c r="Q79" s="117" t="n"/>
      <c r="R79" s="117" t="n"/>
      <c r="S79" s="117" t="n"/>
      <c r="T79" s="117" t="inlineStr">
        <is>
          <t>4.4.1.2</t>
        </is>
      </c>
      <c r="U79" s="117" t="inlineStr">
        <is>
          <t>PROPIA Acción formulada por el área en la plantilla (escriba su nombre en la columna I)</t>
        </is>
      </c>
      <c r="V79" s="117" t="n"/>
      <c r="W79" s="117" t="n"/>
      <c r="X79" s="117" t="n"/>
      <c r="Y79" s="117" t="n"/>
      <c r="Z79" s="117" t="n"/>
      <c r="AA79" s="117" t="n"/>
      <c r="AB79" s="117" t="n"/>
      <c r="AC79" s="117" t="n"/>
      <c r="AD79" s="117" t="n"/>
      <c r="AE79" s="117" t="n"/>
      <c r="AF79" s="117" t="n"/>
      <c r="AG79" s="117" t="n"/>
      <c r="AH79" s="117" t="n"/>
      <c r="AI79" s="117" t="n"/>
      <c r="AJ79" s="117" t="n"/>
      <c r="AK79" s="117" t="n"/>
    </row>
    <row r="80">
      <c r="A80" s="117" t="n"/>
      <c r="B80" s="117" t="n"/>
      <c r="C80" s="117" t="n"/>
      <c r="D80" s="117" t="n"/>
      <c r="E80" s="117" t="n"/>
      <c r="F80" s="117" t="n"/>
      <c r="G80" s="117" t="n"/>
      <c r="H80" s="117" t="n"/>
      <c r="I80" s="117" t="n"/>
      <c r="J80" s="117" t="n"/>
      <c r="K80" s="117" t="n"/>
      <c r="L80" s="117" t="n"/>
      <c r="M80" s="117" t="n"/>
      <c r="N80" s="117" t="n"/>
      <c r="O80" s="117" t="n"/>
      <c r="P80" s="117" t="n"/>
      <c r="Q80" s="117" t="n"/>
      <c r="R80" s="117" t="n"/>
      <c r="S80" s="117" t="n"/>
      <c r="T80" s="117" t="inlineStr">
        <is>
          <t>4.4.1.3</t>
        </is>
      </c>
      <c r="U80" s="117" t="inlineStr">
        <is>
          <t>AC27.44 Organizar el relacionamiento con las cinco hélices mediante un inventario de proyectos y la ejecución de proyectos nuevos en cada una</t>
        </is>
      </c>
      <c r="V80" s="117" t="inlineStr">
        <is>
          <t>Despacho de la VIET; GIT Extensión y Proyección Social (incluye ETDH)</t>
        </is>
      </c>
      <c r="W80" s="117" t="inlineStr">
        <is>
          <t>140 · Vicerrectoría de Investigación, Extensión y Transferencia; 141 · GIT Extensión y Proyección Social</t>
        </is>
      </c>
      <c r="X80" s="117" t="n"/>
      <c r="Y80" s="117" t="n"/>
      <c r="Z80" s="117" t="n"/>
      <c r="AA80" s="117" t="n"/>
      <c r="AB80" s="117" t="n"/>
      <c r="AC80" s="117" t="n"/>
      <c r="AD80" s="117" t="n"/>
      <c r="AE80" s="117" t="n"/>
      <c r="AF80" s="117" t="n"/>
      <c r="AG80" s="117" t="n"/>
      <c r="AH80" s="117" t="n"/>
      <c r="AI80" s="117" t="n"/>
      <c r="AJ80" s="117" t="n"/>
      <c r="AK80" s="117" t="n"/>
    </row>
    <row r="81">
      <c r="A81" s="117" t="n"/>
      <c r="B81" s="117" t="n"/>
      <c r="C81" s="117" t="n"/>
      <c r="D81" s="117" t="n"/>
      <c r="E81" s="117" t="n"/>
      <c r="F81" s="117" t="n"/>
      <c r="G81" s="117" t="n"/>
      <c r="H81" s="117" t="n"/>
      <c r="I81" s="117" t="n"/>
      <c r="J81" s="117" t="n"/>
      <c r="K81" s="117" t="n"/>
      <c r="L81" s="117" t="n"/>
      <c r="M81" s="117" t="n"/>
      <c r="N81" s="117" t="n"/>
      <c r="O81" s="117" t="n"/>
      <c r="P81" s="117" t="n"/>
      <c r="Q81" s="117" t="n"/>
      <c r="R81" s="117" t="n"/>
      <c r="S81" s="117" t="n"/>
      <c r="T81" s="117" t="inlineStr">
        <is>
          <t>4.4.1.3</t>
        </is>
      </c>
      <c r="U81" s="117" t="inlineStr">
        <is>
          <t>PROPIA Acción formulada por el área en la plantilla (escriba su nombre en la columna I)</t>
        </is>
      </c>
      <c r="V81" s="117" t="n"/>
      <c r="W81" s="117" t="n"/>
      <c r="X81" s="117" t="n"/>
      <c r="Y81" s="117" t="n"/>
      <c r="Z81" s="117" t="n"/>
      <c r="AA81" s="117" t="n"/>
      <c r="AB81" s="117" t="n"/>
      <c r="AC81" s="117" t="n"/>
      <c r="AD81" s="117" t="n"/>
      <c r="AE81" s="117" t="n"/>
      <c r="AF81" s="117" t="n"/>
      <c r="AG81" s="117" t="n"/>
      <c r="AH81" s="117" t="n"/>
      <c r="AI81" s="117" t="n"/>
      <c r="AJ81" s="117" t="n"/>
      <c r="AK81" s="117" t="n"/>
    </row>
    <row r="82">
      <c r="A82" s="117" t="n"/>
      <c r="B82" s="117" t="n"/>
      <c r="C82" s="117" t="n"/>
      <c r="D82" s="117" t="n"/>
      <c r="E82" s="117" t="n"/>
      <c r="F82" s="117" t="n"/>
      <c r="G82" s="117" t="n"/>
      <c r="H82" s="117" t="n"/>
      <c r="I82" s="117" t="n"/>
      <c r="J82" s="117" t="n"/>
      <c r="K82" s="117" t="n"/>
      <c r="L82" s="117" t="n"/>
      <c r="M82" s="117" t="n"/>
      <c r="N82" s="117" t="n"/>
      <c r="O82" s="117" t="n"/>
      <c r="P82" s="117" t="n"/>
      <c r="Q82" s="117" t="n"/>
      <c r="R82" s="117" t="n"/>
      <c r="S82" s="117" t="n"/>
      <c r="T82" s="117" t="inlineStr">
        <is>
          <t>4.5.1.1</t>
        </is>
      </c>
      <c r="U82" s="117" t="inlineStr">
        <is>
          <t>AC27.45 Aumentar la participación de los grupos de valor en las acciones de cultura organizacional, con una medición confiable de esa participación</t>
        </is>
      </c>
      <c r="V82" s="117" t="inlineStr">
        <is>
          <t>GIT Talento Humano; Bienestar Laboral</t>
        </is>
      </c>
      <c r="W82" s="117" t="inlineStr">
        <is>
          <t>133 · GIT Gestión de Talento Humano</t>
        </is>
      </c>
      <c r="X82" s="117" t="n"/>
      <c r="Y82" s="117" t="n"/>
      <c r="Z82" s="117" t="n"/>
      <c r="AA82" s="117" t="n"/>
      <c r="AB82" s="117" t="n"/>
      <c r="AC82" s="117" t="n"/>
      <c r="AD82" s="117" t="n"/>
      <c r="AE82" s="117" t="n"/>
      <c r="AF82" s="117" t="n"/>
      <c r="AG82" s="117" t="n"/>
      <c r="AH82" s="117" t="n"/>
      <c r="AI82" s="117" t="n"/>
      <c r="AJ82" s="117" t="n"/>
      <c r="AK82" s="117" t="n"/>
    </row>
    <row r="83">
      <c r="A83" s="117" t="n"/>
      <c r="B83" s="117" t="n"/>
      <c r="C83" s="117" t="n"/>
      <c r="D83" s="117" t="n"/>
      <c r="E83" s="117" t="n"/>
      <c r="F83" s="117" t="n"/>
      <c r="G83" s="117" t="n"/>
      <c r="H83" s="117" t="n"/>
      <c r="I83" s="117" t="n"/>
      <c r="J83" s="117" t="n"/>
      <c r="K83" s="117" t="n"/>
      <c r="L83" s="117" t="n"/>
      <c r="M83" s="117" t="n"/>
      <c r="N83" s="117" t="n"/>
      <c r="O83" s="117" t="n"/>
      <c r="P83" s="117" t="n"/>
      <c r="Q83" s="117" t="n"/>
      <c r="R83" s="117" t="n"/>
      <c r="S83" s="117" t="n"/>
      <c r="T83" s="117" t="inlineStr">
        <is>
          <t>4.5.1.1</t>
        </is>
      </c>
      <c r="U83" s="117" t="inlineStr">
        <is>
          <t>PROPIA Acción formulada por el área en la plantilla (escriba su nombre en la columna I)</t>
        </is>
      </c>
      <c r="V83" s="117" t="n"/>
      <c r="W83" s="117" t="n"/>
      <c r="X83" s="117" t="n"/>
      <c r="Y83" s="117" t="n"/>
      <c r="Z83" s="117" t="n"/>
      <c r="AA83" s="117" t="n"/>
      <c r="AB83" s="117" t="n"/>
      <c r="AC83" s="117" t="n"/>
      <c r="AD83" s="117" t="n"/>
      <c r="AE83" s="117" t="n"/>
      <c r="AF83" s="117" t="n"/>
      <c r="AG83" s="117" t="n"/>
      <c r="AH83" s="117" t="n"/>
      <c r="AI83" s="117" t="n"/>
      <c r="AJ83" s="117" t="n"/>
      <c r="AK83" s="117" t="n"/>
    </row>
    <row r="84">
      <c r="A84" s="117" t="n"/>
      <c r="B84" s="117" t="n"/>
      <c r="C84" s="117" t="n"/>
      <c r="D84" s="117" t="n"/>
      <c r="E84" s="117" t="n"/>
      <c r="F84" s="117" t="n"/>
      <c r="G84" s="117" t="n"/>
      <c r="H84" s="117" t="n"/>
      <c r="I84" s="117" t="n"/>
      <c r="J84" s="117" t="n"/>
      <c r="K84" s="117" t="n"/>
      <c r="L84" s="117" t="n"/>
      <c r="M84" s="117" t="n"/>
      <c r="N84" s="117" t="n"/>
      <c r="O84" s="117" t="n"/>
      <c r="P84" s="117" t="n"/>
      <c r="Q84" s="117" t="n"/>
      <c r="R84" s="117" t="n"/>
      <c r="S84" s="117" t="n"/>
      <c r="T84" s="117" t="inlineStr">
        <is>
          <t>4.5.1.2</t>
        </is>
      </c>
      <c r="U84" s="117" t="inlineStr">
        <is>
          <t>AC27.46 Gestionar la cultura organizacional con un instrumento de evaluación permanente cuyos resultados se presentan al CIGD</t>
        </is>
      </c>
      <c r="V84" s="117" t="inlineStr">
        <is>
          <t>GIT Talento Humano</t>
        </is>
      </c>
      <c r="W84" s="117" t="inlineStr">
        <is>
          <t>133 · GIT Gestión de Talento Humano</t>
        </is>
      </c>
      <c r="X84" s="117" t="n"/>
      <c r="Y84" s="117" t="n"/>
      <c r="Z84" s="117" t="n"/>
      <c r="AA84" s="117" t="n"/>
      <c r="AB84" s="117" t="n"/>
      <c r="AC84" s="117" t="n"/>
      <c r="AD84" s="117" t="n"/>
      <c r="AE84" s="117" t="n"/>
      <c r="AF84" s="117" t="n"/>
      <c r="AG84" s="117" t="n"/>
      <c r="AH84" s="117" t="n"/>
      <c r="AI84" s="117" t="n"/>
      <c r="AJ84" s="117" t="n"/>
      <c r="AK84" s="117" t="n"/>
    </row>
    <row r="85">
      <c r="A85" s="117" t="n"/>
      <c r="B85" s="117" t="n"/>
      <c r="C85" s="117" t="n"/>
      <c r="D85" s="117" t="n"/>
      <c r="E85" s="117" t="n"/>
      <c r="F85" s="117" t="n"/>
      <c r="G85" s="117" t="n"/>
      <c r="H85" s="117" t="n"/>
      <c r="I85" s="117" t="n"/>
      <c r="J85" s="117" t="n"/>
      <c r="K85" s="117" t="n"/>
      <c r="L85" s="117" t="n"/>
      <c r="M85" s="117" t="n"/>
      <c r="N85" s="117" t="n"/>
      <c r="O85" s="117" t="n"/>
      <c r="P85" s="117" t="n"/>
      <c r="Q85" s="117" t="n"/>
      <c r="R85" s="117" t="n"/>
      <c r="S85" s="117" t="n"/>
      <c r="T85" s="117" t="inlineStr">
        <is>
          <t>4.5.1.2</t>
        </is>
      </c>
      <c r="U85" s="117" t="inlineStr">
        <is>
          <t>PROPIA Acción formulada por el área en la plantilla (escriba su nombre en la columna I)</t>
        </is>
      </c>
      <c r="V85" s="117" t="n"/>
      <c r="W85" s="117" t="n"/>
      <c r="X85" s="117" t="n"/>
      <c r="Y85" s="117" t="n"/>
      <c r="Z85" s="117" t="n"/>
      <c r="AA85" s="117" t="n"/>
      <c r="AB85" s="117" t="n"/>
      <c r="AC85" s="117" t="n"/>
      <c r="AD85" s="117" t="n"/>
      <c r="AE85" s="117" t="n"/>
      <c r="AF85" s="117" t="n"/>
      <c r="AG85" s="117" t="n"/>
      <c r="AH85" s="117" t="n"/>
      <c r="AI85" s="117" t="n"/>
      <c r="AJ85" s="117" t="n"/>
      <c r="AK85" s="117" t="n"/>
    </row>
    <row r="86">
      <c r="A86" s="117" t="n"/>
      <c r="B86" s="117" t="n"/>
      <c r="C86" s="117" t="n"/>
      <c r="D86" s="117" t="n"/>
      <c r="E86" s="117" t="n"/>
      <c r="F86" s="117" t="n"/>
      <c r="G86" s="117" t="n"/>
      <c r="H86" s="117" t="n"/>
      <c r="I86" s="117" t="n"/>
      <c r="J86" s="117" t="n"/>
      <c r="K86" s="117" t="n"/>
      <c r="L86" s="117" t="n"/>
      <c r="M86" s="117" t="n"/>
      <c r="N86" s="117" t="n"/>
      <c r="O86" s="117" t="n"/>
      <c r="P86" s="117" t="n"/>
      <c r="Q86" s="117" t="n"/>
      <c r="R86" s="117" t="n"/>
      <c r="S86" s="117" t="n"/>
      <c r="T86" s="117" t="inlineStr">
        <is>
          <t>5.1.1.1</t>
        </is>
      </c>
      <c r="U86" s="117" t="inlineStr">
        <is>
          <t>AC27.47 Habilitar las sedes propias de Calle 18, Funza y Guaymaral con los trámites, estudios, licencias y puesta en marcha que corresponden a cada una</t>
        </is>
      </c>
      <c r="V86" s="117" t="inlineStr">
        <is>
          <t>Recursos Físicos e Infraestructura; Gestión Jurídica</t>
        </is>
      </c>
      <c r="W86" s="117" t="inlineStr">
        <is>
          <t>130 · Vicerrectoría Administrativa y Financiera; 110 · Secretaría General</t>
        </is>
      </c>
      <c r="X86" s="117" t="n"/>
      <c r="Y86" s="117" t="n"/>
      <c r="Z86" s="117" t="n"/>
      <c r="AA86" s="117" t="n"/>
      <c r="AB86" s="117" t="n"/>
      <c r="AC86" s="117" t="n"/>
      <c r="AD86" s="117" t="n"/>
      <c r="AE86" s="117" t="n"/>
      <c r="AF86" s="117" t="n"/>
      <c r="AG86" s="117" t="n"/>
      <c r="AH86" s="117" t="n"/>
      <c r="AI86" s="117" t="n"/>
      <c r="AJ86" s="117" t="n"/>
      <c r="AK86" s="117" t="n"/>
    </row>
    <row r="87">
      <c r="A87" s="117" t="n"/>
      <c r="B87" s="117" t="n"/>
      <c r="C87" s="117" t="n"/>
      <c r="D87" s="117" t="n"/>
      <c r="E87" s="117" t="n"/>
      <c r="F87" s="117" t="n"/>
      <c r="G87" s="117" t="n"/>
      <c r="H87" s="117" t="n"/>
      <c r="I87" s="117" t="n"/>
      <c r="J87" s="117" t="n"/>
      <c r="K87" s="117" t="n"/>
      <c r="L87" s="117" t="n"/>
      <c r="M87" s="117" t="n"/>
      <c r="N87" s="117" t="n"/>
      <c r="O87" s="117" t="n"/>
      <c r="P87" s="117" t="n"/>
      <c r="Q87" s="117" t="n"/>
      <c r="R87" s="117" t="n"/>
      <c r="S87" s="117" t="n"/>
      <c r="T87" s="117" t="inlineStr">
        <is>
          <t>5.1.1.1</t>
        </is>
      </c>
      <c r="U87" s="117" t="inlineStr">
        <is>
          <t>AC27.48 Adecuar los inmuebles nuevos con criterios de eficiencia energética y construcción sostenible desde su diseño</t>
        </is>
      </c>
      <c r="V87" s="117" t="inlineStr">
        <is>
          <t>Recursos Físicos e Infraestructura</t>
        </is>
      </c>
      <c r="W87" s="117" t="inlineStr">
        <is>
          <t>130 · Vicerrectoría Administrativa y Financiera</t>
        </is>
      </c>
      <c r="X87" s="117" t="n"/>
      <c r="Y87" s="117" t="n"/>
      <c r="Z87" s="117" t="n"/>
      <c r="AA87" s="117" t="n"/>
      <c r="AB87" s="117" t="n"/>
      <c r="AC87" s="117" t="n"/>
      <c r="AD87" s="117" t="n"/>
      <c r="AE87" s="117" t="n"/>
      <c r="AF87" s="117" t="n"/>
      <c r="AG87" s="117" t="n"/>
      <c r="AH87" s="117" t="n"/>
      <c r="AI87" s="117" t="n"/>
      <c r="AJ87" s="117" t="n"/>
      <c r="AK87" s="117" t="n"/>
    </row>
    <row r="88">
      <c r="A88" s="117" t="n"/>
      <c r="B88" s="117" t="n"/>
      <c r="C88" s="117" t="n"/>
      <c r="D88" s="117" t="n"/>
      <c r="E88" s="117" t="n"/>
      <c r="F88" s="117" t="n"/>
      <c r="G88" s="117" t="n"/>
      <c r="H88" s="117" t="n"/>
      <c r="I88" s="117" t="n"/>
      <c r="J88" s="117" t="n"/>
      <c r="K88" s="117" t="n"/>
      <c r="L88" s="117" t="n"/>
      <c r="M88" s="117" t="n"/>
      <c r="N88" s="117" t="n"/>
      <c r="O88" s="117" t="n"/>
      <c r="P88" s="117" t="n"/>
      <c r="Q88" s="117" t="n"/>
      <c r="R88" s="117" t="n"/>
      <c r="S88" s="117" t="n"/>
      <c r="T88" s="117" t="inlineStr">
        <is>
          <t>5.1.1.1</t>
        </is>
      </c>
      <c r="U88" s="117" t="inlineStr">
        <is>
          <t>PROPIA Acción formulada por el área en la plantilla (escriba su nombre en la columna I)</t>
        </is>
      </c>
      <c r="V88" s="117" t="n"/>
      <c r="W88" s="117" t="n"/>
      <c r="X88" s="117" t="n"/>
      <c r="Y88" s="117" t="n"/>
      <c r="Z88" s="117" t="n"/>
      <c r="AA88" s="117" t="n"/>
      <c r="AB88" s="117" t="n"/>
      <c r="AC88" s="117" t="n"/>
      <c r="AD88" s="117" t="n"/>
      <c r="AE88" s="117" t="n"/>
      <c r="AF88" s="117" t="n"/>
      <c r="AG88" s="117" t="n"/>
      <c r="AH88" s="117" t="n"/>
      <c r="AI88" s="117" t="n"/>
      <c r="AJ88" s="117" t="n"/>
      <c r="AK88" s="117" t="n"/>
    </row>
    <row r="89">
      <c r="A89" s="117" t="n"/>
      <c r="B89" s="117" t="n"/>
      <c r="C89" s="117" t="n"/>
      <c r="D89" s="117" t="n"/>
      <c r="E89" s="117" t="n"/>
      <c r="F89" s="117" t="n"/>
      <c r="G89" s="117" t="n"/>
      <c r="H89" s="117" t="n"/>
      <c r="I89" s="117" t="n"/>
      <c r="J89" s="117" t="n"/>
      <c r="K89" s="117" t="n"/>
      <c r="L89" s="117" t="n"/>
      <c r="M89" s="117" t="n"/>
      <c r="N89" s="117" t="n"/>
      <c r="O89" s="117" t="n"/>
      <c r="P89" s="117" t="n"/>
      <c r="Q89" s="117" t="n"/>
      <c r="R89" s="117" t="n"/>
      <c r="S89" s="117" t="n"/>
      <c r="T89" s="117" t="inlineStr">
        <is>
          <t>5.2.1.1</t>
        </is>
      </c>
      <c r="U89" s="117" t="inlineStr">
        <is>
          <t>AC27.49 Viabilizar el reforzamiento estructural de los bloques pendientes de la sede centro con permisos, viabilidad presupuestal y medidas de eficiencia energética</t>
        </is>
      </c>
      <c r="V89" s="117" t="inlineStr">
        <is>
          <t>Recursos Físicos e Infraestructura; Despacho de la Vicerrectoría Administrativa y Financiera</t>
        </is>
      </c>
      <c r="W89" s="117" t="inlineStr">
        <is>
          <t>130 · Vicerrectoría Administrativa y Financiera</t>
        </is>
      </c>
      <c r="X89" s="117" t="n"/>
      <c r="Y89" s="117" t="n"/>
      <c r="Z89" s="117" t="n"/>
      <c r="AA89" s="117" t="n"/>
      <c r="AB89" s="117" t="n"/>
      <c r="AC89" s="117" t="n"/>
      <c r="AD89" s="117" t="n"/>
      <c r="AE89" s="117" t="n"/>
      <c r="AF89" s="117" t="n"/>
      <c r="AG89" s="117" t="n"/>
      <c r="AH89" s="117" t="n"/>
      <c r="AI89" s="117" t="n"/>
      <c r="AJ89" s="117" t="n"/>
      <c r="AK89" s="117" t="n"/>
    </row>
    <row r="90">
      <c r="A90" s="117" t="n"/>
      <c r="B90" s="117" t="n"/>
      <c r="C90" s="117" t="n"/>
      <c r="D90" s="117" t="n"/>
      <c r="E90" s="117" t="n"/>
      <c r="F90" s="117" t="n"/>
      <c r="G90" s="117" t="n"/>
      <c r="H90" s="117" t="n"/>
      <c r="I90" s="117" t="n"/>
      <c r="J90" s="117" t="n"/>
      <c r="K90" s="117" t="n"/>
      <c r="L90" s="117" t="n"/>
      <c r="M90" s="117" t="n"/>
      <c r="N90" s="117" t="n"/>
      <c r="O90" s="117" t="n"/>
      <c r="P90" s="117" t="n"/>
      <c r="Q90" s="117" t="n"/>
      <c r="R90" s="117" t="n"/>
      <c r="S90" s="117" t="n"/>
      <c r="T90" s="117" t="inlineStr">
        <is>
          <t>5.2.1.1</t>
        </is>
      </c>
      <c r="U90" s="117" t="inlineStr">
        <is>
          <t>PROPIA Acción formulada por el área en la plantilla (escriba su nombre en la columna I)</t>
        </is>
      </c>
      <c r="V90" s="117" t="n"/>
      <c r="W90" s="117" t="n"/>
      <c r="X90" s="117" t="n"/>
      <c r="Y90" s="117" t="n"/>
      <c r="Z90" s="117" t="n"/>
      <c r="AA90" s="117" t="n"/>
      <c r="AB90" s="117" t="n"/>
      <c r="AC90" s="117" t="n"/>
      <c r="AD90" s="117" t="n"/>
      <c r="AE90" s="117" t="n"/>
      <c r="AF90" s="117" t="n"/>
      <c r="AG90" s="117" t="n"/>
      <c r="AH90" s="117" t="n"/>
      <c r="AI90" s="117" t="n"/>
      <c r="AJ90" s="117" t="n"/>
      <c r="AK90" s="117" t="n"/>
    </row>
    <row r="91">
      <c r="A91" s="117" t="n"/>
      <c r="B91" s="117" t="n"/>
      <c r="C91" s="117" t="n"/>
      <c r="D91" s="117" t="n"/>
      <c r="E91" s="117" t="n"/>
      <c r="F91" s="117" t="n"/>
      <c r="G91" s="117" t="n"/>
      <c r="H91" s="117" t="n"/>
      <c r="I91" s="117" t="n"/>
      <c r="J91" s="117" t="n"/>
      <c r="K91" s="117" t="n"/>
      <c r="L91" s="117" t="n"/>
      <c r="M91" s="117" t="n"/>
      <c r="N91" s="117" t="n"/>
      <c r="O91" s="117" t="n"/>
      <c r="P91" s="117" t="n"/>
      <c r="Q91" s="117" t="n"/>
      <c r="R91" s="117" t="n"/>
      <c r="S91" s="117" t="n"/>
      <c r="T91" s="117" t="inlineStr">
        <is>
          <t>5.2.1.2</t>
        </is>
      </c>
      <c r="U91" s="117" t="inlineStr">
        <is>
          <t>AC27.50 Modernizar talleres y laboratorios con base en el Plan Maestro Institucional y en las necesidades de la nueva oferta</t>
        </is>
      </c>
      <c r="V91" s="117" t="inlineStr">
        <is>
          <t>Recursos Físicos e Infraestructura; GIT Talleres y Laboratorios</t>
        </is>
      </c>
      <c r="W91" s="117" t="inlineStr">
        <is>
          <t>130 · Vicerrectoría Administrativa y Financiera; 125 · GIT Talleres y Laboratorios</t>
        </is>
      </c>
      <c r="X91" s="117" t="n"/>
      <c r="Y91" s="117" t="n"/>
      <c r="Z91" s="117" t="n"/>
      <c r="AA91" s="117" t="n"/>
      <c r="AB91" s="117" t="n"/>
      <c r="AC91" s="117" t="n"/>
      <c r="AD91" s="117" t="n"/>
      <c r="AE91" s="117" t="n"/>
      <c r="AF91" s="117" t="n"/>
      <c r="AG91" s="117" t="n"/>
      <c r="AH91" s="117" t="n"/>
      <c r="AI91" s="117" t="n"/>
      <c r="AJ91" s="117" t="n"/>
      <c r="AK91" s="117" t="n"/>
    </row>
    <row r="92">
      <c r="A92" s="117" t="n"/>
      <c r="B92" s="117" t="n"/>
      <c r="C92" s="117" t="n"/>
      <c r="D92" s="117" t="n"/>
      <c r="E92" s="117" t="n"/>
      <c r="F92" s="117" t="n"/>
      <c r="G92" s="117" t="n"/>
      <c r="H92" s="117" t="n"/>
      <c r="I92" s="117" t="n"/>
      <c r="J92" s="117" t="n"/>
      <c r="K92" s="117" t="n"/>
      <c r="L92" s="117" t="n"/>
      <c r="M92" s="117" t="n"/>
      <c r="N92" s="117" t="n"/>
      <c r="O92" s="117" t="n"/>
      <c r="P92" s="117" t="n"/>
      <c r="Q92" s="117" t="n"/>
      <c r="R92" s="117" t="n"/>
      <c r="S92" s="117" t="n"/>
      <c r="T92" s="117" t="inlineStr">
        <is>
          <t>5.2.1.2</t>
        </is>
      </c>
      <c r="U92" s="117" t="inlineStr">
        <is>
          <t>PROPIA Acción formulada por el área en la plantilla (escriba su nombre en la columna I)</t>
        </is>
      </c>
      <c r="V92" s="117" t="n"/>
      <c r="W92" s="117" t="n"/>
      <c r="X92" s="117" t="n"/>
      <c r="Y92" s="117" t="n"/>
      <c r="Z92" s="117" t="n"/>
      <c r="AA92" s="117" t="n"/>
      <c r="AB92" s="117" t="n"/>
      <c r="AC92" s="117" t="n"/>
      <c r="AD92" s="117" t="n"/>
      <c r="AE92" s="117" t="n"/>
      <c r="AF92" s="117" t="n"/>
      <c r="AG92" s="117" t="n"/>
      <c r="AH92" s="117" t="n"/>
      <c r="AI92" s="117" t="n"/>
      <c r="AJ92" s="117" t="n"/>
      <c r="AK92" s="117" t="n"/>
    </row>
    <row r="93">
      <c r="A93" s="117" t="n"/>
      <c r="B93" s="117" t="n"/>
      <c r="C93" s="117" t="n"/>
      <c r="D93" s="117" t="n"/>
      <c r="E93" s="117" t="n"/>
      <c r="F93" s="117" t="n"/>
      <c r="G93" s="117" t="n"/>
      <c r="H93" s="117" t="n"/>
      <c r="I93" s="117" t="n"/>
      <c r="J93" s="117" t="n"/>
      <c r="K93" s="117" t="n"/>
      <c r="L93" s="117" t="n"/>
      <c r="M93" s="117" t="n"/>
      <c r="N93" s="117" t="n"/>
      <c r="O93" s="117" t="n"/>
      <c r="P93" s="117" t="n"/>
      <c r="Q93" s="117" t="n"/>
      <c r="R93" s="117" t="n"/>
      <c r="S93" s="117" t="n"/>
      <c r="T93" s="117" t="inlineStr">
        <is>
          <t>5.2.1.3</t>
        </is>
      </c>
      <c r="U93" s="117" t="inlineStr">
        <is>
          <t>AC27.51 Renovar el parque de computadores de apoyo académico a partir de un inventario de antigüedad</t>
        </is>
      </c>
      <c r="V93" s="117" t="inlineStr">
        <is>
          <t>GIT Informática y Telecomunicaciones</t>
        </is>
      </c>
      <c r="W93" s="117" t="inlineStr">
        <is>
          <t>132 · GIT Gestión de Informática y Telecomunicaciones</t>
        </is>
      </c>
      <c r="X93" s="117" t="n"/>
      <c r="Y93" s="117" t="n"/>
      <c r="Z93" s="117" t="n"/>
      <c r="AA93" s="117" t="n"/>
      <c r="AB93" s="117" t="n"/>
      <c r="AC93" s="117" t="n"/>
      <c r="AD93" s="117" t="n"/>
      <c r="AE93" s="117" t="n"/>
      <c r="AF93" s="117" t="n"/>
      <c r="AG93" s="117" t="n"/>
      <c r="AH93" s="117" t="n"/>
      <c r="AI93" s="117" t="n"/>
      <c r="AJ93" s="117" t="n"/>
      <c r="AK93" s="117" t="n"/>
    </row>
    <row r="94">
      <c r="A94" s="117" t="n"/>
      <c r="B94" s="117" t="n"/>
      <c r="C94" s="117" t="n"/>
      <c r="D94" s="117" t="n"/>
      <c r="E94" s="117" t="n"/>
      <c r="F94" s="117" t="n"/>
      <c r="G94" s="117" t="n"/>
      <c r="H94" s="117" t="n"/>
      <c r="I94" s="117" t="n"/>
      <c r="J94" s="117" t="n"/>
      <c r="K94" s="117" t="n"/>
      <c r="L94" s="117" t="n"/>
      <c r="M94" s="117" t="n"/>
      <c r="N94" s="117" t="n"/>
      <c r="O94" s="117" t="n"/>
      <c r="P94" s="117" t="n"/>
      <c r="Q94" s="117" t="n"/>
      <c r="R94" s="117" t="n"/>
      <c r="S94" s="117" t="n"/>
      <c r="T94" s="117" t="inlineStr">
        <is>
          <t>5.2.1.3</t>
        </is>
      </c>
      <c r="U94" s="117" t="inlineStr">
        <is>
          <t>PROPIA Acción formulada por el área en la plantilla (escriba su nombre en la columna I)</t>
        </is>
      </c>
      <c r="V94" s="117" t="n"/>
      <c r="W94" s="117" t="n"/>
      <c r="X94" s="117" t="n"/>
      <c r="Y94" s="117" t="n"/>
      <c r="Z94" s="117" t="n"/>
      <c r="AA94" s="117" t="n"/>
      <c r="AB94" s="117" t="n"/>
      <c r="AC94" s="117" t="n"/>
      <c r="AD94" s="117" t="n"/>
      <c r="AE94" s="117" t="n"/>
      <c r="AF94" s="117" t="n"/>
      <c r="AG94" s="117" t="n"/>
      <c r="AH94" s="117" t="n"/>
      <c r="AI94" s="117" t="n"/>
      <c r="AJ94" s="117" t="n"/>
      <c r="AK94" s="117" t="n"/>
    </row>
    <row r="95">
      <c r="A95" s="117" t="n"/>
      <c r="B95" s="117" t="n"/>
      <c r="C95" s="117" t="n"/>
      <c r="D95" s="117" t="n"/>
      <c r="E95" s="117" t="n"/>
      <c r="F95" s="117" t="n"/>
      <c r="G95" s="117" t="n"/>
      <c r="H95" s="117" t="n"/>
      <c r="I95" s="117" t="n"/>
      <c r="J95" s="117" t="n"/>
      <c r="K95" s="117" t="n"/>
      <c r="L95" s="117" t="n"/>
      <c r="M95" s="117" t="n"/>
      <c r="N95" s="117" t="n"/>
      <c r="O95" s="117" t="n"/>
      <c r="P95" s="117" t="n"/>
      <c r="Q95" s="117" t="n"/>
      <c r="R95" s="117" t="n"/>
      <c r="S95" s="117" t="n"/>
      <c r="T95" s="117" t="inlineStr">
        <is>
          <t>5.3.1.1</t>
        </is>
      </c>
      <c r="U95" s="117" t="inlineStr">
        <is>
          <t>AC27.52 Formalizar la presencia en sedes de terceros mediante la decisión del CIGD, el convenio con MinTIC para el Centro de IA Zipazgo y su supervisión</t>
        </is>
      </c>
      <c r="V95" s="117" t="inlineStr">
        <is>
          <t>Despacho de Rectoría; Despacho de Secretaría General</t>
        </is>
      </c>
      <c r="W95" s="117" t="inlineStr">
        <is>
          <t>100 · Rectoría; 110 · Secretaría General</t>
        </is>
      </c>
      <c r="X95" s="117" t="n"/>
      <c r="Y95" s="117" t="n"/>
      <c r="Z95" s="117" t="n"/>
      <c r="AA95" s="117" t="n"/>
      <c r="AB95" s="117" t="n"/>
      <c r="AC95" s="117" t="n"/>
      <c r="AD95" s="117" t="n"/>
      <c r="AE95" s="117" t="n"/>
      <c r="AF95" s="117" t="n"/>
      <c r="AG95" s="117" t="n"/>
      <c r="AH95" s="117" t="n"/>
      <c r="AI95" s="117" t="n"/>
      <c r="AJ95" s="117" t="n"/>
      <c r="AK95" s="117" t="n"/>
    </row>
    <row r="96">
      <c r="A96" s="117" t="n"/>
      <c r="B96" s="117" t="n"/>
      <c r="C96" s="117" t="n"/>
      <c r="D96" s="117" t="n"/>
      <c r="E96" s="117" t="n"/>
      <c r="F96" s="117" t="n"/>
      <c r="G96" s="117" t="n"/>
      <c r="H96" s="117" t="n"/>
      <c r="I96" s="117" t="n"/>
      <c r="J96" s="117" t="n"/>
      <c r="K96" s="117" t="n"/>
      <c r="L96" s="117" t="n"/>
      <c r="M96" s="117" t="n"/>
      <c r="N96" s="117" t="n"/>
      <c r="O96" s="117" t="n"/>
      <c r="P96" s="117" t="n"/>
      <c r="Q96" s="117" t="n"/>
      <c r="R96" s="117" t="n"/>
      <c r="S96" s="117" t="n"/>
      <c r="T96" s="117" t="inlineStr">
        <is>
          <t>5.3.1.1</t>
        </is>
      </c>
      <c r="U96" s="117" t="inlineStr">
        <is>
          <t>AC27.53 Poner en marcha la oferta académica en los territorios, cumpliendo el Convenio Marco con Zipaquirá y abriendo cohortes en La Primavera, Villeta y Casanare</t>
        </is>
      </c>
      <c r="V96" s="117" t="inlineStr">
        <is>
          <t>Despacho de la Vicerrectoría Académica; Sedes Tintal / Soacha-UPK / Viotá</t>
        </is>
      </c>
      <c r="W96" s="117" t="inlineStr">
        <is>
          <t>120 · Vicerrectoría Académica</t>
        </is>
      </c>
      <c r="X96" s="117" t="n"/>
      <c r="Y96" s="117" t="n"/>
      <c r="Z96" s="117" t="n"/>
      <c r="AA96" s="117" t="n"/>
      <c r="AB96" s="117" t="n"/>
      <c r="AC96" s="117" t="n"/>
      <c r="AD96" s="117" t="n"/>
      <c r="AE96" s="117" t="n"/>
      <c r="AF96" s="117" t="n"/>
      <c r="AG96" s="117" t="n"/>
      <c r="AH96" s="117" t="n"/>
      <c r="AI96" s="117" t="n"/>
      <c r="AJ96" s="117" t="n"/>
      <c r="AK96" s="117" t="n"/>
    </row>
    <row r="97">
      <c r="A97" s="117" t="n"/>
      <c r="B97" s="117" t="n"/>
      <c r="C97" s="117" t="n"/>
      <c r="D97" s="117" t="n"/>
      <c r="E97" s="117" t="n"/>
      <c r="F97" s="117" t="n"/>
      <c r="G97" s="117" t="n"/>
      <c r="H97" s="117" t="n"/>
      <c r="I97" s="117" t="n"/>
      <c r="J97" s="117" t="n"/>
      <c r="K97" s="117" t="n"/>
      <c r="L97" s="117" t="n"/>
      <c r="M97" s="117" t="n"/>
      <c r="N97" s="117" t="n"/>
      <c r="O97" s="117" t="n"/>
      <c r="P97" s="117" t="n"/>
      <c r="Q97" s="117" t="n"/>
      <c r="R97" s="117" t="n"/>
      <c r="S97" s="117" t="n"/>
      <c r="T97" s="117" t="inlineStr">
        <is>
          <t>5.3.1.1</t>
        </is>
      </c>
      <c r="U97" s="117" t="inlineStr">
        <is>
          <t>PROPIA Acción formulada por el área en la plantilla (escriba su nombre en la columna I)</t>
        </is>
      </c>
      <c r="V97" s="117" t="n"/>
      <c r="W97" s="117" t="n"/>
      <c r="X97" s="117" t="n"/>
      <c r="Y97" s="117" t="n"/>
      <c r="Z97" s="117" t="n"/>
      <c r="AA97" s="117" t="n"/>
      <c r="AB97" s="117" t="n"/>
      <c r="AC97" s="117" t="n"/>
      <c r="AD97" s="117" t="n"/>
      <c r="AE97" s="117" t="n"/>
      <c r="AF97" s="117" t="n"/>
      <c r="AG97" s="117" t="n"/>
      <c r="AH97" s="117" t="n"/>
      <c r="AI97" s="117" t="n"/>
      <c r="AJ97" s="117" t="n"/>
      <c r="AK97" s="117" t="n"/>
    </row>
    <row r="98">
      <c r="A98" s="117" t="n"/>
      <c r="B98" s="117" t="n"/>
      <c r="C98" s="117" t="n"/>
      <c r="D98" s="117" t="n"/>
      <c r="E98" s="117" t="n"/>
      <c r="F98" s="117" t="n"/>
      <c r="G98" s="117" t="n"/>
      <c r="H98" s="117" t="n"/>
      <c r="I98" s="117" t="n"/>
      <c r="J98" s="117" t="n"/>
      <c r="K98" s="117" t="n"/>
      <c r="L98" s="117" t="n"/>
      <c r="M98" s="117" t="n"/>
      <c r="N98" s="117" t="n"/>
      <c r="O98" s="117" t="n"/>
      <c r="P98" s="117" t="n"/>
      <c r="Q98" s="117" t="n"/>
      <c r="R98" s="117" t="n"/>
      <c r="S98" s="117" t="n"/>
      <c r="T98" s="117" t="inlineStr">
        <is>
          <t>5.4.1.1</t>
        </is>
      </c>
      <c r="U98" s="117" t="inlineStr">
        <is>
          <t>AC27.54 Garantizar las prácticas de los programas no presenciales mediante convenios de uso de talleres y laboratorios</t>
        </is>
      </c>
      <c r="V98" s="117" t="inlineStr">
        <is>
          <t>Despacho de la Vicerrectoría Académica; Contratación y Adquisiciones</t>
        </is>
      </c>
      <c r="W98" s="117" t="inlineStr">
        <is>
          <t>120 · Vicerrectoría Académica; 130 · Vicerrectoría Administrativa y Financiera</t>
        </is>
      </c>
      <c r="X98" s="117" t="n"/>
      <c r="Y98" s="117" t="n"/>
      <c r="Z98" s="117" t="n"/>
      <c r="AA98" s="117" t="n"/>
      <c r="AB98" s="117" t="n"/>
      <c r="AC98" s="117" t="n"/>
      <c r="AD98" s="117" t="n"/>
      <c r="AE98" s="117" t="n"/>
      <c r="AF98" s="117" t="n"/>
      <c r="AG98" s="117" t="n"/>
      <c r="AH98" s="117" t="n"/>
      <c r="AI98" s="117" t="n"/>
      <c r="AJ98" s="117" t="n"/>
      <c r="AK98" s="117" t="n"/>
    </row>
    <row r="99">
      <c r="A99" s="117" t="n"/>
      <c r="B99" s="117" t="n"/>
      <c r="C99" s="117" t="n"/>
      <c r="D99" s="117" t="n"/>
      <c r="E99" s="117" t="n"/>
      <c r="F99" s="117" t="n"/>
      <c r="G99" s="117" t="n"/>
      <c r="H99" s="117" t="n"/>
      <c r="I99" s="117" t="n"/>
      <c r="J99" s="117" t="n"/>
      <c r="K99" s="117" t="n"/>
      <c r="L99" s="117" t="n"/>
      <c r="M99" s="117" t="n"/>
      <c r="N99" s="117" t="n"/>
      <c r="O99" s="117" t="n"/>
      <c r="P99" s="117" t="n"/>
      <c r="Q99" s="117" t="n"/>
      <c r="R99" s="117" t="n"/>
      <c r="S99" s="117" t="n"/>
      <c r="T99" s="117" t="inlineStr">
        <is>
          <t>5.4.1.1</t>
        </is>
      </c>
      <c r="U99" s="117" t="inlineStr">
        <is>
          <t>PROPIA Acción formulada por el área en la plantilla (escriba su nombre en la columna I)</t>
        </is>
      </c>
      <c r="V99" s="117" t="n"/>
      <c r="W99" s="117" t="n"/>
      <c r="X99" s="117" t="n"/>
      <c r="Y99" s="117" t="n"/>
      <c r="Z99" s="117" t="n"/>
      <c r="AA99" s="117" t="n"/>
      <c r="AB99" s="117" t="n"/>
      <c r="AC99" s="117" t="n"/>
      <c r="AD99" s="117" t="n"/>
      <c r="AE99" s="117" t="n"/>
      <c r="AF99" s="117" t="n"/>
      <c r="AG99" s="117" t="n"/>
      <c r="AH99" s="117" t="n"/>
      <c r="AI99" s="117" t="n"/>
      <c r="AJ99" s="117" t="n"/>
      <c r="AK99" s="117" t="n"/>
    </row>
    <row r="100">
      <c r="A100" s="117" t="n"/>
      <c r="B100" s="117" t="n"/>
      <c r="C100" s="117" t="n"/>
      <c r="D100" s="117" t="n"/>
      <c r="E100" s="117" t="n"/>
      <c r="F100" s="117" t="n"/>
      <c r="G100" s="117" t="n"/>
      <c r="H100" s="117" t="n"/>
      <c r="I100" s="117" t="n"/>
      <c r="J100" s="117" t="n"/>
      <c r="K100" s="117" t="n"/>
      <c r="L100" s="117" t="n"/>
      <c r="M100" s="117" t="n"/>
      <c r="N100" s="117" t="n"/>
      <c r="O100" s="117" t="n"/>
      <c r="P100" s="117" t="n"/>
      <c r="Q100" s="117" t="n"/>
      <c r="R100" s="117" t="n"/>
      <c r="S100" s="117" t="n"/>
      <c r="T100" s="117" t="inlineStr">
        <is>
          <t>6.1.1.1</t>
        </is>
      </c>
      <c r="U100" s="117" t="inlineStr">
        <is>
          <t>AC27.55 Consolidar las condiciones del bienestar universitario integral, con el cierre del PFB 2025 y un tablero de seguimiento mensual</t>
        </is>
      </c>
      <c r="V100" s="117" t="inlineStr">
        <is>
          <t>GIT Bienestar Universitario</t>
        </is>
      </c>
      <c r="W100" s="117" t="inlineStr">
        <is>
          <t>122 · GIT Bienestar Universitario</t>
        </is>
      </c>
      <c r="X100" s="117" t="n"/>
      <c r="Y100" s="117" t="n"/>
      <c r="Z100" s="117" t="n"/>
      <c r="AA100" s="117" t="n"/>
      <c r="AB100" s="117" t="n"/>
      <c r="AC100" s="117" t="n"/>
      <c r="AD100" s="117" t="n"/>
      <c r="AE100" s="117" t="n"/>
      <c r="AF100" s="117" t="n"/>
      <c r="AG100" s="117" t="n"/>
      <c r="AH100" s="117" t="n"/>
      <c r="AI100" s="117" t="n"/>
      <c r="AJ100" s="117" t="n"/>
      <c r="AK100" s="117" t="n"/>
    </row>
    <row r="101">
      <c r="A101" s="117" t="n"/>
      <c r="B101" s="117" t="n"/>
      <c r="C101" s="117" t="n"/>
      <c r="D101" s="117" t="n"/>
      <c r="E101" s="117" t="n"/>
      <c r="F101" s="117" t="n"/>
      <c r="G101" s="117" t="n"/>
      <c r="H101" s="117" t="n"/>
      <c r="I101" s="117" t="n"/>
      <c r="J101" s="117" t="n"/>
      <c r="K101" s="117" t="n"/>
      <c r="L101" s="117" t="n"/>
      <c r="M101" s="117" t="n"/>
      <c r="N101" s="117" t="n"/>
      <c r="O101" s="117" t="n"/>
      <c r="P101" s="117" t="n"/>
      <c r="Q101" s="117" t="n"/>
      <c r="R101" s="117" t="n"/>
      <c r="S101" s="117" t="n"/>
      <c r="T101" s="117" t="inlineStr">
        <is>
          <t>6.1.1.1</t>
        </is>
      </c>
      <c r="U101" s="117" t="inlineStr">
        <is>
          <t>AC27.56 Construir una cultura ambiental institucional con política revisada, campaña de uso racional de energía y agua y una red de enlaces por área</t>
        </is>
      </c>
      <c r="V101" s="117" t="inlineStr">
        <is>
          <t>Gestión Ambiental; Comunicaciones y Mercadeo</t>
        </is>
      </c>
      <c r="W101" s="117" t="inlineStr">
        <is>
          <t>101 · Oficina Asesora de Planeación y Desarrollo Institucional; 100 · Rectoría</t>
        </is>
      </c>
      <c r="X101" s="117" t="n"/>
      <c r="Y101" s="117" t="n"/>
      <c r="Z101" s="117" t="n"/>
      <c r="AA101" s="117" t="n"/>
      <c r="AB101" s="117" t="n"/>
      <c r="AC101" s="117" t="n"/>
      <c r="AD101" s="117" t="n"/>
      <c r="AE101" s="117" t="n"/>
      <c r="AF101" s="117" t="n"/>
      <c r="AG101" s="117" t="n"/>
      <c r="AH101" s="117" t="n"/>
      <c r="AI101" s="117" t="n"/>
      <c r="AJ101" s="117" t="n"/>
      <c r="AK101" s="117" t="n"/>
    </row>
    <row r="102">
      <c r="A102" s="117" t="n"/>
      <c r="B102" s="117" t="n"/>
      <c r="C102" s="117" t="n"/>
      <c r="D102" s="117" t="n"/>
      <c r="E102" s="117" t="n"/>
      <c r="F102" s="117" t="n"/>
      <c r="G102" s="117" t="n"/>
      <c r="H102" s="117" t="n"/>
      <c r="I102" s="117" t="n"/>
      <c r="J102" s="117" t="n"/>
      <c r="K102" s="117" t="n"/>
      <c r="L102" s="117" t="n"/>
      <c r="M102" s="117" t="n"/>
      <c r="N102" s="117" t="n"/>
      <c r="O102" s="117" t="n"/>
      <c r="P102" s="117" t="n"/>
      <c r="Q102" s="117" t="n"/>
      <c r="R102" s="117" t="n"/>
      <c r="S102" s="117" t="n"/>
      <c r="T102" s="117" t="inlineStr">
        <is>
          <t>6.1.1.1</t>
        </is>
      </c>
      <c r="U102" s="117" t="inlineStr">
        <is>
          <t>PROPIA Acción formulada por el área en la plantilla (escriba su nombre en la columna I)</t>
        </is>
      </c>
      <c r="V102" s="117" t="n"/>
      <c r="W102" s="117" t="n"/>
      <c r="X102" s="117" t="n"/>
      <c r="Y102" s="117" t="n"/>
      <c r="Z102" s="117" t="n"/>
      <c r="AA102" s="117" t="n"/>
      <c r="AB102" s="117" t="n"/>
      <c r="AC102" s="117" t="n"/>
      <c r="AD102" s="117" t="n"/>
      <c r="AE102" s="117" t="n"/>
      <c r="AF102" s="117" t="n"/>
      <c r="AG102" s="117" t="n"/>
      <c r="AH102" s="117" t="n"/>
      <c r="AI102" s="117" t="n"/>
      <c r="AJ102" s="117" t="n"/>
      <c r="AK102" s="117" t="n"/>
    </row>
    <row r="103">
      <c r="A103" s="117" t="n"/>
      <c r="B103" s="117" t="n"/>
      <c r="C103" s="117" t="n"/>
      <c r="D103" s="117" t="n"/>
      <c r="E103" s="117" t="n"/>
      <c r="F103" s="117" t="n"/>
      <c r="G103" s="117" t="n"/>
      <c r="H103" s="117" t="n"/>
      <c r="I103" s="117" t="n"/>
      <c r="J103" s="117" t="n"/>
      <c r="K103" s="117" t="n"/>
      <c r="L103" s="117" t="n"/>
      <c r="M103" s="117" t="n"/>
      <c r="N103" s="117" t="n"/>
      <c r="O103" s="117" t="n"/>
      <c r="P103" s="117" t="n"/>
      <c r="Q103" s="117" t="n"/>
      <c r="R103" s="117" t="n"/>
      <c r="S103" s="117" t="n"/>
      <c r="T103" s="117" t="inlineStr">
        <is>
          <t>6.1.1.2</t>
        </is>
      </c>
      <c r="U103" s="117" t="inlineStr">
        <is>
          <t>AC27.57 Consolidar la infraestructura y la dotación para el bienestar, con el PFB 2027 y los espacios de bienestar dotados, incluida la sede de Guaymaral</t>
        </is>
      </c>
      <c r="V103" s="117" t="inlineStr">
        <is>
          <t>GIT Bienestar Universitario</t>
        </is>
      </c>
      <c r="W103" s="117" t="inlineStr">
        <is>
          <t>122 · GIT Bienestar Universitario</t>
        </is>
      </c>
      <c r="X103" s="117" t="n"/>
      <c r="Y103" s="117" t="n"/>
      <c r="Z103" s="117" t="n"/>
      <c r="AA103" s="117" t="n"/>
      <c r="AB103" s="117" t="n"/>
      <c r="AC103" s="117" t="n"/>
      <c r="AD103" s="117" t="n"/>
      <c r="AE103" s="117" t="n"/>
      <c r="AF103" s="117" t="n"/>
      <c r="AG103" s="117" t="n"/>
      <c r="AH103" s="117" t="n"/>
      <c r="AI103" s="117" t="n"/>
      <c r="AJ103" s="117" t="n"/>
      <c r="AK103" s="117" t="n"/>
    </row>
    <row r="104">
      <c r="A104" s="117" t="n"/>
      <c r="B104" s="117" t="n"/>
      <c r="C104" s="117" t="n"/>
      <c r="D104" s="117" t="n"/>
      <c r="E104" s="117" t="n"/>
      <c r="F104" s="117" t="n"/>
      <c r="G104" s="117" t="n"/>
      <c r="H104" s="117" t="n"/>
      <c r="I104" s="117" t="n"/>
      <c r="J104" s="117" t="n"/>
      <c r="K104" s="117" t="n"/>
      <c r="L104" s="117" t="n"/>
      <c r="M104" s="117" t="n"/>
      <c r="N104" s="117" t="n"/>
      <c r="O104" s="117" t="n"/>
      <c r="P104" s="117" t="n"/>
      <c r="Q104" s="117" t="n"/>
      <c r="R104" s="117" t="n"/>
      <c r="S104" s="117" t="n"/>
      <c r="T104" s="117" t="inlineStr">
        <is>
          <t>6.1.1.2</t>
        </is>
      </c>
      <c r="U104" s="117" t="inlineStr">
        <is>
          <t>AC27.58 Implementar la gestión energética institucional exigida por la ley, desde la línea base y la auditoría hasta el PGEE, la política y el reporte a la UPME</t>
        </is>
      </c>
      <c r="V104" s="117" t="inlineStr">
        <is>
          <t>Gestión Ambiental; Planeación y Plan de Acción; Recursos Físicos e Infraestructura</t>
        </is>
      </c>
      <c r="W104" s="117" t="inlineStr">
        <is>
          <t>101 · Oficina Asesora de Planeación y Desarrollo Institucional; 130 · Vicerrectoría Administrativa y Financiera</t>
        </is>
      </c>
      <c r="X104" s="117" t="n"/>
      <c r="Y104" s="117" t="n"/>
      <c r="Z104" s="117" t="n"/>
      <c r="AA104" s="117" t="n"/>
      <c r="AB104" s="117" t="n"/>
      <c r="AC104" s="117" t="n"/>
      <c r="AD104" s="117" t="n"/>
      <c r="AE104" s="117" t="n"/>
      <c r="AF104" s="117" t="n"/>
      <c r="AG104" s="117" t="n"/>
      <c r="AH104" s="117" t="n"/>
      <c r="AI104" s="117" t="n"/>
      <c r="AJ104" s="117" t="n"/>
      <c r="AK104" s="117" t="n"/>
    </row>
    <row r="105">
      <c r="A105" s="117" t="n"/>
      <c r="B105" s="117" t="n"/>
      <c r="C105" s="117" t="n"/>
      <c r="D105" s="117" t="n"/>
      <c r="E105" s="117" t="n"/>
      <c r="F105" s="117" t="n"/>
      <c r="G105" s="117" t="n"/>
      <c r="H105" s="117" t="n"/>
      <c r="I105" s="117" t="n"/>
      <c r="J105" s="117" t="n"/>
      <c r="K105" s="117" t="n"/>
      <c r="L105" s="117" t="n"/>
      <c r="M105" s="117" t="n"/>
      <c r="N105" s="117" t="n"/>
      <c r="O105" s="117" t="n"/>
      <c r="P105" s="117" t="n"/>
      <c r="Q105" s="117" t="n"/>
      <c r="R105" s="117" t="n"/>
      <c r="S105" s="117" t="n"/>
      <c r="T105" s="117" t="inlineStr">
        <is>
          <t>6.1.1.2</t>
        </is>
      </c>
      <c r="U105" s="117" t="inlineStr">
        <is>
          <t>AC27.59 Reducir el consumo de energía y agua con medidas de bajo costo, la planta solar en operación y un Sistema de Gestión Ambiental activo</t>
        </is>
      </c>
      <c r="V105" s="117" t="inlineStr">
        <is>
          <t>Recursos Físicos e Infraestructura; Gestión Ambiental</t>
        </is>
      </c>
      <c r="W105" s="117" t="inlineStr">
        <is>
          <t>130 · Vicerrectoría Administrativa y Financiera; 101 · Oficina Asesora de Planeación y Desarrollo Institucional</t>
        </is>
      </c>
      <c r="X105" s="117" t="n"/>
      <c r="Y105" s="117" t="n"/>
      <c r="Z105" s="117" t="n"/>
      <c r="AA105" s="117" t="n"/>
      <c r="AB105" s="117" t="n"/>
      <c r="AC105" s="117" t="n"/>
      <c r="AD105" s="117" t="n"/>
      <c r="AE105" s="117" t="n"/>
      <c r="AF105" s="117" t="n"/>
      <c r="AG105" s="117" t="n"/>
      <c r="AH105" s="117" t="n"/>
      <c r="AI105" s="117" t="n"/>
      <c r="AJ105" s="117" t="n"/>
      <c r="AK105" s="117" t="n"/>
    </row>
    <row r="106">
      <c r="A106" s="117" t="n"/>
      <c r="B106" s="117" t="n"/>
      <c r="C106" s="117" t="n"/>
      <c r="D106" s="117" t="n"/>
      <c r="E106" s="117" t="n"/>
      <c r="F106" s="117" t="n"/>
      <c r="G106" s="117" t="n"/>
      <c r="H106" s="117" t="n"/>
      <c r="I106" s="117" t="n"/>
      <c r="J106" s="117" t="n"/>
      <c r="K106" s="117" t="n"/>
      <c r="L106" s="117" t="n"/>
      <c r="M106" s="117" t="n"/>
      <c r="N106" s="117" t="n"/>
      <c r="O106" s="117" t="n"/>
      <c r="P106" s="117" t="n"/>
      <c r="Q106" s="117" t="n"/>
      <c r="R106" s="117" t="n"/>
      <c r="S106" s="117" t="n"/>
      <c r="T106" s="117" t="inlineStr">
        <is>
          <t>6.1.1.2</t>
        </is>
      </c>
      <c r="U106" s="117" t="inlineStr">
        <is>
          <t>PROPIA Acción formulada por el área en la plantilla (escriba su nombre en la columna I)</t>
        </is>
      </c>
      <c r="V106" s="117" t="n"/>
      <c r="W106" s="117" t="n"/>
      <c r="X106" s="117" t="n"/>
      <c r="Y106" s="117" t="n"/>
      <c r="Z106" s="117" t="n"/>
      <c r="AA106" s="117" t="n"/>
      <c r="AB106" s="117" t="n"/>
      <c r="AC106" s="117" t="n"/>
      <c r="AD106" s="117" t="n"/>
      <c r="AE106" s="117" t="n"/>
      <c r="AF106" s="117" t="n"/>
      <c r="AG106" s="117" t="n"/>
      <c r="AH106" s="117" t="n"/>
      <c r="AI106" s="117" t="n"/>
      <c r="AJ106" s="117" t="n"/>
      <c r="AK106" s="117" t="n"/>
    </row>
    <row r="107">
      <c r="A107" s="117" t="n"/>
      <c r="B107" s="117" t="n"/>
      <c r="C107" s="117" t="n"/>
      <c r="D107" s="117" t="n"/>
      <c r="E107" s="117" t="n"/>
      <c r="F107" s="117" t="n"/>
      <c r="G107" s="117" t="n"/>
      <c r="H107" s="117" t="n"/>
      <c r="I107" s="117" t="n"/>
      <c r="J107" s="117" t="n"/>
      <c r="K107" s="117" t="n"/>
      <c r="L107" s="117" t="n"/>
      <c r="M107" s="117" t="n"/>
      <c r="N107" s="117" t="n"/>
      <c r="O107" s="117" t="n"/>
      <c r="P107" s="117" t="n"/>
      <c r="Q107" s="117" t="n"/>
      <c r="R107" s="117" t="n"/>
      <c r="S107" s="117" t="n"/>
      <c r="T107" s="117" t="inlineStr">
        <is>
          <t>6.2.1.1</t>
        </is>
      </c>
      <c r="U107" s="117" t="inlineStr">
        <is>
          <t>AC27.60 Cumplir el Plan Institucional de Bienestar Integral con metas anuales, tablero de seguimiento y medición de su impacto</t>
        </is>
      </c>
      <c r="V107" s="117" t="inlineStr">
        <is>
          <t>GIT Bienestar Universitario</t>
        </is>
      </c>
      <c r="W107" s="117" t="inlineStr">
        <is>
          <t>122 · GIT Bienestar Universitario</t>
        </is>
      </c>
      <c r="X107" s="117" t="n"/>
      <c r="Y107" s="117" t="n"/>
      <c r="Z107" s="117" t="n"/>
      <c r="AA107" s="117" t="n"/>
      <c r="AB107" s="117" t="n"/>
      <c r="AC107" s="117" t="n"/>
      <c r="AD107" s="117" t="n"/>
      <c r="AE107" s="117" t="n"/>
      <c r="AF107" s="117" t="n"/>
      <c r="AG107" s="117" t="n"/>
      <c r="AH107" s="117" t="n"/>
      <c r="AI107" s="117" t="n"/>
      <c r="AJ107" s="117" t="n"/>
      <c r="AK107" s="117" t="n"/>
    </row>
    <row r="108">
      <c r="A108" s="117" t="n"/>
      <c r="B108" s="117" t="n"/>
      <c r="C108" s="117" t="n"/>
      <c r="D108" s="117" t="n"/>
      <c r="E108" s="117" t="n"/>
      <c r="F108" s="117" t="n"/>
      <c r="G108" s="117" t="n"/>
      <c r="H108" s="117" t="n"/>
      <c r="I108" s="117" t="n"/>
      <c r="J108" s="117" t="n"/>
      <c r="K108" s="117" t="n"/>
      <c r="L108" s="117" t="n"/>
      <c r="M108" s="117" t="n"/>
      <c r="N108" s="117" t="n"/>
      <c r="O108" s="117" t="n"/>
      <c r="P108" s="117" t="n"/>
      <c r="Q108" s="117" t="n"/>
      <c r="R108" s="117" t="n"/>
      <c r="S108" s="117" t="n"/>
      <c r="T108" s="117" t="inlineStr">
        <is>
          <t>6.2.1.1</t>
        </is>
      </c>
      <c r="U108" s="117" t="inlineStr">
        <is>
          <t>AC27.61 Proteger la permanencia y la vida de la comunidad con un programa de permanencia y ambientes seguros en todas las sedes</t>
        </is>
      </c>
      <c r="V108" s="117" t="inlineStr">
        <is>
          <t>GIT Bienestar Universitario; Seguridad y Salud en el Trabajo</t>
        </is>
      </c>
      <c r="W108" s="117" t="inlineStr">
        <is>
          <t>122 · GIT Bienestar Universitario; 133 · GIT Gestión de Talento Humano</t>
        </is>
      </c>
      <c r="X108" s="117" t="n"/>
      <c r="Y108" s="117" t="n"/>
      <c r="Z108" s="117" t="n"/>
      <c r="AA108" s="117" t="n"/>
      <c r="AB108" s="117" t="n"/>
      <c r="AC108" s="117" t="n"/>
      <c r="AD108" s="117" t="n"/>
      <c r="AE108" s="117" t="n"/>
      <c r="AF108" s="117" t="n"/>
      <c r="AG108" s="117" t="n"/>
      <c r="AH108" s="117" t="n"/>
      <c r="AI108" s="117" t="n"/>
      <c r="AJ108" s="117" t="n"/>
      <c r="AK108" s="117" t="n"/>
    </row>
    <row r="109">
      <c r="A109" s="117" t="n"/>
      <c r="B109" s="117" t="n"/>
      <c r="C109" s="117" t="n"/>
      <c r="D109" s="117" t="n"/>
      <c r="E109" s="117" t="n"/>
      <c r="F109" s="117" t="n"/>
      <c r="G109" s="117" t="n"/>
      <c r="H109" s="117" t="n"/>
      <c r="I109" s="117" t="n"/>
      <c r="J109" s="117" t="n"/>
      <c r="K109" s="117" t="n"/>
      <c r="L109" s="117" t="n"/>
      <c r="M109" s="117" t="n"/>
      <c r="N109" s="117" t="n"/>
      <c r="O109" s="117" t="n"/>
      <c r="P109" s="117" t="n"/>
      <c r="Q109" s="117" t="n"/>
      <c r="R109" s="117" t="n"/>
      <c r="S109" s="117" t="n"/>
      <c r="T109" s="117" t="inlineStr">
        <is>
          <t>6.2.1.1</t>
        </is>
      </c>
      <c r="U109" s="117" t="inlineStr">
        <is>
          <t>PROPIA Acción formulada por el área en la plantilla (escriba su nombre en la columna I)</t>
        </is>
      </c>
      <c r="V109" s="117" t="n"/>
      <c r="W109" s="117" t="n"/>
      <c r="X109" s="117" t="n"/>
      <c r="Y109" s="117" t="n"/>
      <c r="Z109" s="117" t="n"/>
      <c r="AA109" s="117" t="n"/>
      <c r="AB109" s="117" t="n"/>
      <c r="AC109" s="117" t="n"/>
      <c r="AD109" s="117" t="n"/>
      <c r="AE109" s="117" t="n"/>
      <c r="AF109" s="117" t="n"/>
      <c r="AG109" s="117" t="n"/>
      <c r="AH109" s="117" t="n"/>
      <c r="AI109" s="117" t="n"/>
      <c r="AJ109" s="117" t="n"/>
      <c r="AK109" s="117" t="n"/>
    </row>
    <row r="110">
      <c r="A110" s="117" t="n"/>
      <c r="B110" s="117" t="n"/>
      <c r="C110" s="117" t="n"/>
      <c r="D110" s="117" t="n"/>
      <c r="E110" s="117" t="n"/>
      <c r="F110" s="117" t="n"/>
      <c r="G110" s="117" t="n"/>
      <c r="H110" s="117" t="n"/>
      <c r="I110" s="117" t="n"/>
      <c r="J110" s="117" t="n"/>
      <c r="K110" s="117" t="n"/>
      <c r="L110" s="117" t="n"/>
      <c r="M110" s="117" t="n"/>
      <c r="N110" s="117" t="n"/>
      <c r="O110" s="117" t="n"/>
      <c r="P110" s="117" t="n"/>
      <c r="Q110" s="117" t="n"/>
      <c r="R110" s="117" t="n"/>
      <c r="S110" s="117" t="n"/>
      <c r="T110" s="117" t="inlineStr">
        <is>
          <t>6.3.1.1</t>
        </is>
      </c>
      <c r="U110" s="117" t="inlineStr">
        <is>
          <t>AC27.62 Ingresar a los sistemas de clasificación de THE y QS con un diagnóstico de requisitos, una matriz de brechas y el primer reporte institucional</t>
        </is>
      </c>
      <c r="V110" s="117" t="inlineStr">
        <is>
          <t>Planeación y Plan de Acción</t>
        </is>
      </c>
      <c r="W110" s="117" t="inlineStr">
        <is>
          <t>101 · Oficina Asesora de Planeación y Desarrollo Institucional</t>
        </is>
      </c>
      <c r="X110" s="117" t="n"/>
      <c r="Y110" s="117" t="n"/>
      <c r="Z110" s="117" t="n"/>
      <c r="AA110" s="117" t="n"/>
      <c r="AB110" s="117" t="n"/>
      <c r="AC110" s="117" t="n"/>
      <c r="AD110" s="117" t="n"/>
      <c r="AE110" s="117" t="n"/>
      <c r="AF110" s="117" t="n"/>
      <c r="AG110" s="117" t="n"/>
      <c r="AH110" s="117" t="n"/>
      <c r="AI110" s="117" t="n"/>
      <c r="AJ110" s="117" t="n"/>
      <c r="AK110" s="117" t="n"/>
    </row>
    <row r="111">
      <c r="A111" s="117" t="n"/>
      <c r="B111" s="117" t="n"/>
      <c r="C111" s="117" t="n"/>
      <c r="D111" s="117" t="n"/>
      <c r="E111" s="117" t="n"/>
      <c r="F111" s="117" t="n"/>
      <c r="G111" s="117" t="n"/>
      <c r="H111" s="117" t="n"/>
      <c r="I111" s="117" t="n"/>
      <c r="J111" s="117" t="n"/>
      <c r="K111" s="117" t="n"/>
      <c r="L111" s="117" t="n"/>
      <c r="M111" s="117" t="n"/>
      <c r="N111" s="117" t="n"/>
      <c r="O111" s="117" t="n"/>
      <c r="P111" s="117" t="n"/>
      <c r="Q111" s="117" t="n"/>
      <c r="R111" s="117" t="n"/>
      <c r="S111" s="117" t="n"/>
      <c r="T111" s="117" t="inlineStr">
        <is>
          <t>6.3.1.1</t>
        </is>
      </c>
      <c r="U111" s="117" t="inlineStr">
        <is>
          <t>PROPIA Acción formulada por el área en la plantilla (escriba su nombre en la columna I)</t>
        </is>
      </c>
      <c r="V111" s="117" t="n"/>
      <c r="W111" s="117" t="n"/>
      <c r="X111" s="117" t="n"/>
      <c r="Y111" s="117" t="n"/>
      <c r="Z111" s="117" t="n"/>
      <c r="AA111" s="117" t="n"/>
      <c r="AB111" s="117" t="n"/>
      <c r="AC111" s="117" t="n"/>
      <c r="AD111" s="117" t="n"/>
      <c r="AE111" s="117" t="n"/>
      <c r="AF111" s="117" t="n"/>
      <c r="AG111" s="117" t="n"/>
      <c r="AH111" s="117" t="n"/>
      <c r="AI111" s="117" t="n"/>
      <c r="AJ111" s="117" t="n"/>
      <c r="AK111" s="117" t="n"/>
    </row>
    <row r="112">
      <c r="A112" s="117" t="n"/>
      <c r="B112" s="117" t="n"/>
      <c r="C112" s="117" t="n"/>
      <c r="D112" s="117" t="n"/>
      <c r="E112" s="117" t="n"/>
      <c r="F112" s="117" t="n"/>
      <c r="G112" s="117" t="n"/>
      <c r="H112" s="117" t="n"/>
      <c r="I112" s="117" t="n"/>
      <c r="J112" s="117" t="n"/>
      <c r="K112" s="117" t="n"/>
      <c r="L112" s="117" t="n"/>
      <c r="M112" s="117" t="n"/>
      <c r="N112" s="117" t="n"/>
      <c r="O112" s="117" t="n"/>
      <c r="P112" s="117" t="n"/>
      <c r="Q112" s="117" t="n"/>
      <c r="R112" s="117" t="n"/>
      <c r="S112" s="117" t="n"/>
      <c r="T112" s="117" t="n"/>
      <c r="U112" s="117" t="n"/>
      <c r="V112" s="117" t="n"/>
      <c r="W112" s="117" t="n"/>
      <c r="X112" s="117" t="n"/>
      <c r="Y112" s="117" t="n"/>
      <c r="Z112" s="117" t="n"/>
      <c r="AA112" s="117" t="n"/>
      <c r="AB112" s="117" t="n"/>
      <c r="AC112" s="117" t="n"/>
      <c r="AD112" s="117" t="n"/>
      <c r="AE112" s="117" t="n"/>
      <c r="AF112" s="117" t="n"/>
      <c r="AG112" s="117" t="n"/>
      <c r="AH112" s="117" t="n"/>
      <c r="AI112" s="117" t="n"/>
      <c r="AJ112" s="117" t="n"/>
      <c r="AK112" s="117" t="n"/>
    </row>
    <row r="113">
      <c r="A113" s="117" t="n"/>
      <c r="B113" s="117" t="n"/>
      <c r="C113" s="117" t="n"/>
      <c r="D113" s="117" t="n"/>
      <c r="E113" s="117" t="n"/>
      <c r="F113" s="117" t="n"/>
      <c r="G113" s="117" t="n"/>
      <c r="H113" s="117" t="n"/>
      <c r="I113" s="117" t="n"/>
      <c r="J113" s="117" t="n"/>
      <c r="K113" s="117" t="n"/>
      <c r="L113" s="117" t="n"/>
      <c r="M113" s="117" t="n"/>
      <c r="N113" s="117" t="n"/>
      <c r="O113" s="117" t="n"/>
      <c r="P113" s="117" t="n"/>
      <c r="Q113" s="117" t="n"/>
      <c r="R113" s="117" t="n"/>
      <c r="S113" s="117" t="n"/>
      <c r="T113" s="117" t="n"/>
      <c r="U113" s="117" t="n"/>
      <c r="V113" s="117" t="n"/>
      <c r="W113" s="117" t="n"/>
      <c r="X113" s="117" t="n"/>
      <c r="Y113" s="117" t="n"/>
      <c r="Z113" s="117" t="n"/>
      <c r="AA113" s="117" t="n"/>
      <c r="AB113" s="117" t="n"/>
      <c r="AC113" s="117" t="n"/>
      <c r="AD113" s="117" t="n"/>
      <c r="AE113" s="117" t="n"/>
      <c r="AF113" s="117" t="n"/>
      <c r="AG113" s="117" t="n"/>
      <c r="AH113" s="117" t="n"/>
      <c r="AI113" s="117" t="n"/>
      <c r="AJ113" s="117" t="n"/>
      <c r="AK113" s="117" t="n"/>
    </row>
    <row r="114">
      <c r="A114" s="117" t="n"/>
      <c r="B114" s="117" t="n"/>
      <c r="C114" s="117" t="n"/>
      <c r="D114" s="117" t="n"/>
      <c r="E114" s="117" t="n"/>
      <c r="F114" s="117" t="n"/>
      <c r="G114" s="117" t="n"/>
      <c r="H114" s="117" t="n"/>
      <c r="I114" s="117" t="n"/>
      <c r="J114" s="117" t="n"/>
      <c r="K114" s="117" t="n"/>
      <c r="L114" s="117" t="n"/>
      <c r="M114" s="117" t="n"/>
      <c r="N114" s="117" t="n"/>
      <c r="O114" s="117" t="n"/>
      <c r="P114" s="117" t="n"/>
      <c r="Q114" s="117" t="n"/>
      <c r="R114" s="117" t="n"/>
      <c r="S114" s="117" t="n"/>
      <c r="T114" s="117" t="n"/>
      <c r="U114" s="117" t="n"/>
      <c r="V114" s="117" t="n"/>
      <c r="W114" s="117" t="n"/>
      <c r="X114" s="117" t="n"/>
      <c r="Y114" s="117" t="n"/>
      <c r="Z114" s="117" t="n"/>
      <c r="AA114" s="117" t="n"/>
      <c r="AB114" s="117" t="n"/>
      <c r="AC114" s="117" t="n"/>
      <c r="AD114" s="117" t="n"/>
      <c r="AE114" s="117" t="n"/>
      <c r="AF114" s="117" t="n"/>
      <c r="AG114" s="117" t="n"/>
      <c r="AH114" s="117" t="n"/>
      <c r="AI114" s="117" t="n"/>
      <c r="AJ114" s="117" t="n"/>
      <c r="AK114" s="117" t="n"/>
    </row>
    <row r="115">
      <c r="A115" s="117" t="n"/>
      <c r="B115" s="117" t="n"/>
      <c r="C115" s="117" t="n"/>
      <c r="D115" s="117" t="n"/>
      <c r="E115" s="117" t="n"/>
      <c r="F115" s="117" t="n"/>
      <c r="G115" s="117" t="n"/>
      <c r="H115" s="117" t="n"/>
      <c r="I115" s="117" t="n"/>
      <c r="J115" s="117" t="n"/>
      <c r="K115" s="117" t="n"/>
      <c r="L115" s="117" t="n"/>
      <c r="M115" s="117" t="n"/>
      <c r="N115" s="117" t="n"/>
      <c r="O115" s="117" t="n"/>
      <c r="P115" s="117" t="n"/>
      <c r="Q115" s="117" t="n"/>
      <c r="R115" s="117" t="n"/>
      <c r="S115" s="117" t="n"/>
      <c r="T115" s="117" t="n"/>
      <c r="U115" s="117" t="n"/>
      <c r="V115" s="117" t="n"/>
      <c r="W115" s="117" t="n"/>
      <c r="X115" s="117" t="n"/>
      <c r="Y115" s="117" t="n"/>
      <c r="Z115" s="117" t="n"/>
      <c r="AA115" s="117" t="n"/>
      <c r="AB115" s="117" t="n"/>
      <c r="AC115" s="117" t="n"/>
      <c r="AD115" s="117" t="n"/>
      <c r="AE115" s="117" t="n"/>
      <c r="AF115" s="117" t="n"/>
      <c r="AG115" s="117" t="n"/>
      <c r="AH115" s="117" t="n"/>
      <c r="AI115" s="117" t="n"/>
      <c r="AJ115" s="117" t="n"/>
      <c r="AK115" s="117" t="n"/>
    </row>
    <row r="116">
      <c r="A116" s="117" t="n"/>
      <c r="B116" s="117" t="n"/>
      <c r="C116" s="117" t="n"/>
      <c r="D116" s="117" t="n"/>
      <c r="E116" s="117" t="n"/>
      <c r="F116" s="117" t="n"/>
      <c r="G116" s="117" t="n"/>
      <c r="H116" s="117" t="n"/>
      <c r="I116" s="117" t="n"/>
      <c r="J116" s="117" t="n"/>
      <c r="K116" s="117" t="n"/>
      <c r="L116" s="117" t="n"/>
      <c r="M116" s="117" t="n"/>
      <c r="N116" s="117" t="n"/>
      <c r="O116" s="117" t="n"/>
      <c r="P116" s="117" t="n"/>
      <c r="Q116" s="117" t="n"/>
      <c r="R116" s="117" t="n"/>
      <c r="S116" s="117" t="n"/>
      <c r="T116" s="117" t="n"/>
      <c r="U116" s="117" t="n"/>
      <c r="V116" s="117" t="n"/>
      <c r="W116" s="117" t="n"/>
      <c r="X116" s="117" t="n"/>
      <c r="Y116" s="117" t="n"/>
      <c r="Z116" s="117" t="n"/>
      <c r="AA116" s="117" t="n"/>
      <c r="AB116" s="117" t="n"/>
      <c r="AC116" s="117" t="n"/>
      <c r="AD116" s="117" t="n"/>
      <c r="AE116" s="117" t="n"/>
      <c r="AF116" s="117" t="n"/>
      <c r="AG116" s="117" t="n"/>
      <c r="AH116" s="117" t="n"/>
      <c r="AI116" s="117" t="n"/>
      <c r="AJ116" s="117" t="n"/>
      <c r="AK116" s="117" t="n"/>
    </row>
    <row r="117">
      <c r="A117" s="117" t="n"/>
      <c r="B117" s="117" t="n"/>
      <c r="C117" s="117" t="n"/>
      <c r="D117" s="117" t="n"/>
      <c r="E117" s="117" t="n"/>
      <c r="F117" s="117" t="n"/>
      <c r="G117" s="117" t="n"/>
      <c r="H117" s="117" t="n"/>
      <c r="I117" s="117" t="n"/>
      <c r="J117" s="117" t="n"/>
      <c r="K117" s="117" t="n"/>
      <c r="L117" s="117" t="n"/>
      <c r="M117" s="117" t="n"/>
      <c r="N117" s="117" t="n"/>
      <c r="O117" s="117" t="n"/>
      <c r="P117" s="117" t="n"/>
      <c r="Q117" s="117" t="n"/>
      <c r="R117" s="117" t="n"/>
      <c r="S117" s="117" t="n"/>
      <c r="T117" s="117" t="n"/>
      <c r="U117" s="117" t="n"/>
      <c r="V117" s="117" t="n"/>
      <c r="W117" s="117" t="n"/>
      <c r="X117" s="117" t="n"/>
      <c r="Y117" s="117" t="n"/>
      <c r="Z117" s="117" t="n"/>
      <c r="AA117" s="117" t="n"/>
      <c r="AB117" s="117" t="n"/>
      <c r="AC117" s="117" t="n"/>
      <c r="AD117" s="117" t="n"/>
      <c r="AE117" s="117" t="n"/>
      <c r="AF117" s="117" t="n"/>
      <c r="AG117" s="117" t="n"/>
      <c r="AH117" s="117" t="n"/>
      <c r="AI117" s="117" t="n"/>
      <c r="AJ117" s="117" t="n"/>
      <c r="AK117" s="117" t="n"/>
    </row>
    <row r="118">
      <c r="A118" s="117" t="n"/>
      <c r="B118" s="117" t="n"/>
      <c r="C118" s="117" t="n"/>
      <c r="D118" s="117" t="n"/>
      <c r="E118" s="117" t="n"/>
      <c r="F118" s="117" t="n"/>
      <c r="G118" s="117" t="n"/>
      <c r="H118" s="117" t="n"/>
      <c r="I118" s="117" t="n"/>
      <c r="J118" s="117" t="n"/>
      <c r="K118" s="117" t="n"/>
      <c r="L118" s="117" t="n"/>
      <c r="M118" s="117" t="n"/>
      <c r="N118" s="117" t="n"/>
      <c r="O118" s="117" t="n"/>
      <c r="P118" s="117" t="n"/>
      <c r="Q118" s="117" t="n"/>
      <c r="R118" s="117" t="n"/>
      <c r="S118" s="117" t="n"/>
      <c r="T118" s="117" t="n"/>
      <c r="U118" s="117" t="n"/>
      <c r="V118" s="117" t="n"/>
      <c r="W118" s="117" t="n"/>
      <c r="X118" s="117" t="n"/>
      <c r="Y118" s="117" t="n"/>
      <c r="Z118" s="117" t="n"/>
      <c r="AA118" s="117" t="n"/>
      <c r="AB118" s="117" t="n"/>
      <c r="AC118" s="117" t="n"/>
      <c r="AD118" s="117" t="n"/>
      <c r="AE118" s="117" t="n"/>
      <c r="AF118" s="117" t="n"/>
      <c r="AG118" s="117" t="n"/>
      <c r="AH118" s="117" t="n"/>
      <c r="AI118" s="117" t="n"/>
      <c r="AJ118" s="117" t="n"/>
      <c r="AK118" s="117" t="n"/>
    </row>
    <row r="119">
      <c r="A119" s="117" t="n"/>
      <c r="B119" s="117" t="n"/>
      <c r="C119" s="117" t="n"/>
      <c r="D119" s="117" t="n"/>
      <c r="E119" s="117" t="n"/>
      <c r="F119" s="117" t="n"/>
      <c r="G119" s="117" t="n"/>
      <c r="H119" s="117" t="n"/>
      <c r="I119" s="117" t="n"/>
      <c r="J119" s="117" t="n"/>
      <c r="K119" s="117" t="n"/>
      <c r="L119" s="117" t="n"/>
      <c r="M119" s="117" t="n"/>
      <c r="N119" s="117" t="n"/>
      <c r="O119" s="117" t="n"/>
      <c r="P119" s="117" t="n"/>
      <c r="Q119" s="117" t="n"/>
      <c r="R119" s="117" t="n"/>
      <c r="S119" s="117" t="n"/>
      <c r="T119" s="117" t="n"/>
      <c r="U119" s="117" t="n"/>
      <c r="V119" s="117" t="n"/>
      <c r="W119" s="117" t="n"/>
      <c r="X119" s="117" t="n"/>
      <c r="Y119" s="117" t="n"/>
      <c r="Z119" s="117" t="n"/>
      <c r="AA119" s="117" t="n"/>
      <c r="AB119" s="117" t="n"/>
      <c r="AC119" s="117" t="n"/>
      <c r="AD119" s="117" t="n"/>
      <c r="AE119" s="117" t="n"/>
      <c r="AF119" s="117" t="n"/>
      <c r="AG119" s="117" t="n"/>
      <c r="AH119" s="117" t="n"/>
      <c r="AI119" s="117" t="n"/>
      <c r="AJ119" s="117" t="n"/>
      <c r="AK119" s="117" t="n"/>
    </row>
    <row r="120">
      <c r="A120" s="117" t="n"/>
      <c r="B120" s="117" t="n"/>
      <c r="C120" s="117" t="n"/>
      <c r="D120" s="117" t="n"/>
      <c r="E120" s="117" t="n"/>
      <c r="F120" s="117" t="n"/>
      <c r="G120" s="117" t="n"/>
      <c r="H120" s="117" t="n"/>
      <c r="I120" s="117" t="n"/>
      <c r="J120" s="117" t="n"/>
      <c r="K120" s="117" t="n"/>
      <c r="L120" s="117" t="n"/>
      <c r="M120" s="117" t="n"/>
      <c r="N120" s="117" t="n"/>
      <c r="O120" s="117" t="n"/>
      <c r="P120" s="117" t="n"/>
      <c r="Q120" s="117" t="n"/>
      <c r="R120" s="117" t="n"/>
      <c r="S120" s="117" t="n"/>
      <c r="T120" s="117" t="n"/>
      <c r="U120" s="117" t="n"/>
      <c r="V120" s="117" t="n"/>
      <c r="W120" s="117" t="n"/>
      <c r="X120" s="117" t="n"/>
      <c r="Y120" s="117" t="n"/>
      <c r="Z120" s="117" t="n"/>
      <c r="AA120" s="117" t="n"/>
      <c r="AB120" s="117" t="n"/>
      <c r="AC120" s="117" t="n"/>
      <c r="AD120" s="117" t="n"/>
      <c r="AE120" s="117" t="n"/>
      <c r="AF120" s="117" t="n"/>
      <c r="AG120" s="117" t="n"/>
      <c r="AH120" s="117" t="n"/>
      <c r="AI120" s="117" t="n"/>
      <c r="AJ120" s="117" t="n"/>
      <c r="AK120" s="117" t="n"/>
    </row>
    <row r="121">
      <c r="A121" s="117" t="n"/>
      <c r="B121" s="117" t="n"/>
      <c r="C121" s="117" t="n"/>
      <c r="D121" s="117" t="n"/>
      <c r="E121" s="117" t="n"/>
      <c r="F121" s="117" t="n"/>
      <c r="G121" s="117" t="n"/>
      <c r="H121" s="117" t="n"/>
      <c r="I121" s="117" t="n"/>
      <c r="J121" s="117" t="n"/>
      <c r="K121" s="117" t="n"/>
      <c r="L121" s="117" t="n"/>
      <c r="M121" s="117" t="n"/>
      <c r="N121" s="117" t="n"/>
      <c r="O121" s="117" t="n"/>
      <c r="P121" s="117" t="n"/>
      <c r="Q121" s="117" t="n"/>
      <c r="R121" s="117" t="n"/>
      <c r="S121" s="117" t="n"/>
      <c r="T121" s="117" t="n"/>
      <c r="U121" s="117" t="n"/>
      <c r="V121" s="117" t="n"/>
      <c r="W121" s="117" t="n"/>
      <c r="X121" s="117" t="n"/>
      <c r="Y121" s="117" t="n"/>
      <c r="Z121" s="117" t="n"/>
      <c r="AA121" s="117" t="n"/>
      <c r="AB121" s="117" t="n"/>
      <c r="AC121" s="117" t="n"/>
      <c r="AD121" s="117" t="n"/>
      <c r="AE121" s="117" t="n"/>
      <c r="AF121" s="117" t="n"/>
      <c r="AG121" s="117" t="n"/>
      <c r="AH121" s="117" t="n"/>
      <c r="AI121" s="117" t="n"/>
      <c r="AJ121" s="117" t="n"/>
      <c r="AK121" s="117" t="n"/>
    </row>
    <row r="122">
      <c r="A122" s="117" t="n"/>
      <c r="B122" s="117" t="n"/>
      <c r="C122" s="117" t="n"/>
      <c r="D122" s="117" t="n"/>
      <c r="E122" s="117" t="n"/>
      <c r="F122" s="117" t="n"/>
      <c r="G122" s="117" t="n"/>
      <c r="H122" s="117" t="n"/>
      <c r="I122" s="117" t="n"/>
      <c r="J122" s="117" t="n"/>
      <c r="K122" s="117" t="n"/>
      <c r="L122" s="117" t="n"/>
      <c r="M122" s="117" t="n"/>
      <c r="N122" s="117" t="n"/>
      <c r="O122" s="117" t="n"/>
      <c r="P122" s="117" t="n"/>
      <c r="Q122" s="117" t="n"/>
      <c r="R122" s="117" t="n"/>
      <c r="S122" s="117" t="n"/>
      <c r="T122" s="117" t="n"/>
      <c r="U122" s="117" t="n"/>
      <c r="V122" s="117" t="n"/>
      <c r="W122" s="117" t="n"/>
      <c r="X122" s="117" t="n"/>
      <c r="Y122" s="117" t="n"/>
      <c r="Z122" s="117" t="n"/>
      <c r="AA122" s="117" t="n"/>
      <c r="AB122" s="117" t="n"/>
      <c r="AC122" s="117" t="n"/>
      <c r="AD122" s="117" t="n"/>
      <c r="AE122" s="117" t="n"/>
      <c r="AF122" s="117" t="n"/>
      <c r="AG122" s="117" t="n"/>
      <c r="AH122" s="117" t="n"/>
      <c r="AI122" s="117" t="n"/>
      <c r="AJ122" s="117" t="n"/>
      <c r="AK122" s="117" t="n"/>
    </row>
    <row r="123">
      <c r="A123" s="117" t="n"/>
      <c r="B123" s="117" t="n"/>
      <c r="C123" s="117" t="n"/>
      <c r="D123" s="117" t="n"/>
      <c r="E123" s="117" t="n"/>
      <c r="F123" s="117" t="n"/>
      <c r="G123" s="117" t="n"/>
      <c r="H123" s="117" t="n"/>
      <c r="I123" s="117" t="n"/>
      <c r="J123" s="117" t="n"/>
      <c r="K123" s="117" t="n"/>
      <c r="L123" s="117" t="n"/>
      <c r="M123" s="117" t="n"/>
      <c r="N123" s="117" t="n"/>
      <c r="O123" s="117" t="n"/>
      <c r="P123" s="117" t="n"/>
      <c r="Q123" s="117" t="n"/>
      <c r="R123" s="117" t="n"/>
      <c r="S123" s="117" t="n"/>
      <c r="T123" s="117" t="n"/>
      <c r="U123" s="117" t="n"/>
      <c r="V123" s="117" t="n"/>
      <c r="W123" s="117" t="n"/>
      <c r="X123" s="117" t="n"/>
      <c r="Y123" s="117" t="n"/>
      <c r="Z123" s="117" t="n"/>
      <c r="AA123" s="117" t="n"/>
      <c r="AB123" s="117" t="n"/>
      <c r="AC123" s="117" t="n"/>
      <c r="AD123" s="117" t="n"/>
      <c r="AE123" s="117" t="n"/>
      <c r="AF123" s="117" t="n"/>
      <c r="AG123" s="117" t="n"/>
      <c r="AH123" s="117" t="n"/>
      <c r="AI123" s="117" t="n"/>
      <c r="AJ123" s="117" t="n"/>
      <c r="AK123" s="117" t="n"/>
    </row>
    <row r="124">
      <c r="A124" s="117" t="n"/>
      <c r="B124" s="117" t="n"/>
      <c r="C124" s="117" t="n"/>
      <c r="D124" s="117" t="n"/>
      <c r="E124" s="117" t="n"/>
      <c r="F124" s="117" t="n"/>
      <c r="G124" s="117" t="n"/>
      <c r="H124" s="117" t="n"/>
      <c r="I124" s="117" t="n"/>
      <c r="J124" s="117" t="n"/>
      <c r="K124" s="117" t="n"/>
      <c r="L124" s="117" t="n"/>
      <c r="M124" s="117" t="n"/>
      <c r="N124" s="117" t="n"/>
      <c r="O124" s="117" t="n"/>
      <c r="P124" s="117" t="n"/>
      <c r="Q124" s="117" t="n"/>
      <c r="R124" s="117" t="n"/>
      <c r="S124" s="117" t="n"/>
      <c r="T124" s="117" t="n"/>
      <c r="U124" s="117" t="n"/>
      <c r="V124" s="117" t="n"/>
      <c r="W124" s="117" t="n"/>
      <c r="X124" s="117" t="n"/>
      <c r="Y124" s="117" t="n"/>
      <c r="Z124" s="117" t="n"/>
      <c r="AA124" s="117" t="n"/>
      <c r="AB124" s="117" t="n"/>
      <c r="AC124" s="117" t="n"/>
      <c r="AD124" s="117" t="n"/>
      <c r="AE124" s="117" t="n"/>
      <c r="AF124" s="117" t="n"/>
      <c r="AG124" s="117" t="n"/>
      <c r="AH124" s="117" t="n"/>
      <c r="AI124" s="117" t="n"/>
      <c r="AJ124" s="117" t="n"/>
      <c r="AK124" s="117" t="n"/>
    </row>
    <row r="125">
      <c r="A125" s="117" t="n"/>
      <c r="B125" s="117" t="n"/>
      <c r="C125" s="117" t="n"/>
      <c r="D125" s="117" t="n"/>
      <c r="E125" s="117" t="n"/>
      <c r="F125" s="117" t="n"/>
      <c r="G125" s="117" t="n"/>
      <c r="H125" s="117" t="n"/>
      <c r="I125" s="117" t="n"/>
      <c r="J125" s="117" t="n"/>
      <c r="K125" s="117" t="n"/>
      <c r="L125" s="117" t="n"/>
      <c r="M125" s="117" t="n"/>
      <c r="N125" s="117" t="n"/>
      <c r="O125" s="117" t="n"/>
      <c r="P125" s="117" t="n"/>
      <c r="Q125" s="117" t="n"/>
      <c r="R125" s="117" t="n"/>
      <c r="S125" s="117" t="n"/>
      <c r="T125" s="117" t="n"/>
      <c r="U125" s="117" t="n"/>
      <c r="V125" s="117" t="n"/>
      <c r="W125" s="117" t="n"/>
      <c r="X125" s="117" t="n"/>
      <c r="Y125" s="117" t="n"/>
      <c r="Z125" s="117" t="n"/>
      <c r="AA125" s="117" t="n"/>
      <c r="AB125" s="117" t="n"/>
      <c r="AC125" s="117" t="n"/>
      <c r="AD125" s="117" t="n"/>
      <c r="AE125" s="117" t="n"/>
      <c r="AF125" s="117" t="n"/>
      <c r="AG125" s="117" t="n"/>
      <c r="AH125" s="117" t="n"/>
      <c r="AI125" s="117" t="n"/>
      <c r="AJ125" s="117" t="n"/>
      <c r="AK125" s="117" t="n"/>
    </row>
    <row r="126">
      <c r="A126" s="117" t="n"/>
      <c r="B126" s="117" t="n"/>
      <c r="C126" s="117" t="n"/>
      <c r="D126" s="117" t="n"/>
      <c r="E126" s="117" t="n"/>
      <c r="F126" s="117" t="n"/>
      <c r="G126" s="117" t="n"/>
      <c r="H126" s="117" t="n"/>
      <c r="I126" s="117" t="n"/>
      <c r="J126" s="117" t="n"/>
      <c r="K126" s="117" t="n"/>
      <c r="L126" s="117" t="n"/>
      <c r="M126" s="117" t="n"/>
      <c r="N126" s="117" t="n"/>
      <c r="O126" s="117" t="n"/>
      <c r="P126" s="117" t="n"/>
      <c r="Q126" s="117" t="n"/>
      <c r="R126" s="117" t="n"/>
      <c r="S126" s="117" t="n"/>
      <c r="T126" s="117" t="n"/>
      <c r="U126" s="117" t="n"/>
      <c r="V126" s="117" t="n"/>
      <c r="W126" s="117" t="n"/>
      <c r="X126" s="117" t="n"/>
      <c r="Y126" s="117" t="n"/>
      <c r="Z126" s="117" t="n"/>
      <c r="AA126" s="117" t="n"/>
      <c r="AB126" s="117" t="n"/>
      <c r="AC126" s="117" t="n"/>
      <c r="AD126" s="117" t="n"/>
      <c r="AE126" s="117" t="n"/>
      <c r="AF126" s="117" t="n"/>
      <c r="AG126" s="117" t="n"/>
      <c r="AH126" s="117" t="n"/>
      <c r="AI126" s="117" t="n"/>
      <c r="AJ126" s="117" t="n"/>
      <c r="AK126" s="117" t="n"/>
    </row>
    <row r="127">
      <c r="A127" s="117" t="n"/>
      <c r="B127" s="117" t="n"/>
      <c r="C127" s="117" t="n"/>
      <c r="D127" s="117" t="n"/>
      <c r="E127" s="117" t="n"/>
      <c r="F127" s="117" t="n"/>
      <c r="G127" s="117" t="n"/>
      <c r="H127" s="117" t="n"/>
      <c r="I127" s="117" t="n"/>
      <c r="J127" s="117" t="n"/>
      <c r="K127" s="117" t="n"/>
      <c r="L127" s="117" t="n"/>
      <c r="M127" s="117" t="n"/>
      <c r="N127" s="117" t="n"/>
      <c r="O127" s="117" t="n"/>
      <c r="P127" s="117" t="n"/>
      <c r="Q127" s="117" t="n"/>
      <c r="R127" s="117" t="n"/>
      <c r="S127" s="117" t="n"/>
      <c r="T127" s="117" t="n"/>
      <c r="U127" s="117" t="n"/>
      <c r="V127" s="117" t="n"/>
      <c r="W127" s="117" t="n"/>
      <c r="X127" s="117" t="n"/>
      <c r="Y127" s="117" t="n"/>
      <c r="Z127" s="117" t="n"/>
      <c r="AA127" s="117" t="n"/>
      <c r="AB127" s="117" t="n"/>
      <c r="AC127" s="117" t="n"/>
      <c r="AD127" s="117" t="n"/>
      <c r="AE127" s="117" t="n"/>
      <c r="AF127" s="117" t="n"/>
      <c r="AG127" s="117" t="n"/>
      <c r="AH127" s="117" t="n"/>
      <c r="AI127" s="117" t="n"/>
      <c r="AJ127" s="117" t="n"/>
      <c r="AK127" s="117" t="n"/>
    </row>
    <row r="128">
      <c r="A128" s="117" t="n"/>
      <c r="B128" s="117" t="n"/>
      <c r="C128" s="117" t="n"/>
      <c r="D128" s="117" t="n"/>
      <c r="E128" s="117" t="n"/>
      <c r="F128" s="117" t="n"/>
      <c r="G128" s="117" t="n"/>
      <c r="H128" s="117" t="n"/>
      <c r="I128" s="117" t="n"/>
      <c r="J128" s="117" t="n"/>
      <c r="K128" s="117" t="n"/>
      <c r="L128" s="117" t="n"/>
      <c r="M128" s="117" t="n"/>
      <c r="N128" s="117" t="n"/>
      <c r="O128" s="117" t="n"/>
      <c r="P128" s="117" t="n"/>
      <c r="Q128" s="117" t="n"/>
      <c r="R128" s="117" t="n"/>
      <c r="S128" s="117" t="n"/>
      <c r="T128" s="117" t="n"/>
      <c r="U128" s="117" t="n"/>
      <c r="V128" s="117" t="n"/>
      <c r="W128" s="117" t="n"/>
      <c r="X128" s="117" t="n"/>
      <c r="Y128" s="117" t="n"/>
      <c r="Z128" s="117" t="n"/>
      <c r="AA128" s="117" t="n"/>
      <c r="AB128" s="117" t="n"/>
      <c r="AC128" s="117" t="n"/>
      <c r="AD128" s="117" t="n"/>
      <c r="AE128" s="117" t="n"/>
      <c r="AF128" s="117" t="n"/>
      <c r="AG128" s="117" t="n"/>
      <c r="AH128" s="117" t="n"/>
      <c r="AI128" s="117" t="n"/>
      <c r="AJ128" s="117" t="n"/>
      <c r="AK128" s="117" t="n"/>
    </row>
    <row r="129">
      <c r="A129" s="117" t="n"/>
      <c r="B129" s="117" t="n"/>
      <c r="C129" s="117" t="n"/>
      <c r="D129" s="117" t="n"/>
      <c r="E129" s="117" t="n"/>
      <c r="F129" s="117" t="n"/>
      <c r="G129" s="117" t="n"/>
      <c r="H129" s="117" t="n"/>
      <c r="I129" s="117" t="n"/>
      <c r="J129" s="117" t="n"/>
      <c r="K129" s="117" t="n"/>
      <c r="L129" s="117" t="n"/>
      <c r="M129" s="117" t="n"/>
      <c r="N129" s="117" t="n"/>
      <c r="O129" s="117" t="n"/>
      <c r="P129" s="117" t="n"/>
      <c r="Q129" s="117" t="n"/>
      <c r="R129" s="117" t="n"/>
      <c r="S129" s="117" t="n"/>
      <c r="T129" s="117" t="n"/>
      <c r="U129" s="117" t="n"/>
      <c r="V129" s="117" t="n"/>
      <c r="W129" s="117" t="n"/>
      <c r="X129" s="117" t="n"/>
      <c r="Y129" s="117" t="n"/>
      <c r="Z129" s="117" t="n"/>
      <c r="AA129" s="117" t="n"/>
      <c r="AB129" s="117" t="n"/>
      <c r="AC129" s="117" t="n"/>
      <c r="AD129" s="117" t="n"/>
      <c r="AE129" s="117" t="n"/>
      <c r="AF129" s="117" t="n"/>
      <c r="AG129" s="117" t="n"/>
      <c r="AH129" s="117" t="n"/>
      <c r="AI129" s="117" t="n"/>
      <c r="AJ129" s="117" t="n"/>
      <c r="AK129" s="117" t="n"/>
    </row>
    <row r="130">
      <c r="A130" s="117" t="n"/>
      <c r="B130" s="117" t="n"/>
      <c r="C130" s="117" t="n"/>
      <c r="D130" s="117" t="n"/>
      <c r="E130" s="117" t="n"/>
      <c r="F130" s="117" t="n"/>
      <c r="G130" s="117" t="n"/>
      <c r="H130" s="117" t="n"/>
      <c r="I130" s="117" t="n"/>
      <c r="J130" s="117" t="n"/>
      <c r="K130" s="117" t="n"/>
      <c r="L130" s="117" t="n"/>
      <c r="M130" s="117" t="n"/>
      <c r="N130" s="117" t="n"/>
      <c r="O130" s="117" t="n"/>
      <c r="P130" s="117" t="n"/>
      <c r="Q130" s="117" t="n"/>
      <c r="R130" s="117" t="n"/>
      <c r="S130" s="117" t="n"/>
      <c r="T130" s="117" t="n"/>
      <c r="U130" s="117" t="n"/>
      <c r="V130" s="117" t="n"/>
      <c r="W130" s="117" t="n"/>
      <c r="X130" s="117" t="n"/>
      <c r="Y130" s="117" t="n"/>
      <c r="Z130" s="117" t="n"/>
      <c r="AA130" s="117" t="n"/>
      <c r="AB130" s="117" t="n"/>
      <c r="AC130" s="117" t="n"/>
      <c r="AD130" s="117" t="n"/>
      <c r="AE130" s="117" t="n"/>
      <c r="AF130" s="117" t="n"/>
      <c r="AG130" s="117" t="n"/>
      <c r="AH130" s="117" t="n"/>
      <c r="AI130" s="117" t="n"/>
      <c r="AJ130" s="117" t="n"/>
      <c r="AK130" s="117" t="n"/>
    </row>
    <row r="131">
      <c r="A131" s="117" t="n"/>
      <c r="B131" s="117" t="n"/>
      <c r="C131" s="117" t="n"/>
      <c r="D131" s="117" t="n"/>
      <c r="E131" s="117" t="n"/>
      <c r="F131" s="117" t="n"/>
      <c r="G131" s="117" t="n"/>
      <c r="H131" s="117" t="n"/>
      <c r="I131" s="117" t="n"/>
      <c r="J131" s="117" t="n"/>
      <c r="K131" s="117" t="n"/>
      <c r="L131" s="117" t="n"/>
      <c r="M131" s="117" t="n"/>
      <c r="N131" s="117" t="n"/>
      <c r="O131" s="117" t="n"/>
      <c r="P131" s="117" t="n"/>
      <c r="Q131" s="117" t="n"/>
      <c r="R131" s="117" t="n"/>
      <c r="S131" s="117" t="n"/>
      <c r="T131" s="117" t="n"/>
      <c r="U131" s="117" t="n"/>
      <c r="V131" s="117" t="n"/>
      <c r="W131" s="117" t="n"/>
      <c r="X131" s="117" t="n"/>
      <c r="Y131" s="117" t="n"/>
      <c r="Z131" s="117" t="n"/>
      <c r="AA131" s="117" t="n"/>
      <c r="AB131" s="117" t="n"/>
      <c r="AC131" s="117" t="n"/>
      <c r="AD131" s="117" t="n"/>
      <c r="AE131" s="117" t="n"/>
      <c r="AF131" s="117" t="n"/>
      <c r="AG131" s="117" t="n"/>
      <c r="AH131" s="117" t="n"/>
      <c r="AI131" s="117" t="n"/>
      <c r="AJ131" s="117" t="n"/>
      <c r="AK131" s="117" t="n"/>
    </row>
    <row r="132">
      <c r="A132" s="117" t="n"/>
      <c r="B132" s="117" t="n"/>
      <c r="C132" s="117" t="n"/>
      <c r="D132" s="117" t="n"/>
      <c r="E132" s="117" t="n"/>
      <c r="F132" s="117" t="n"/>
      <c r="G132" s="117" t="n"/>
      <c r="H132" s="117" t="n"/>
      <c r="I132" s="117" t="n"/>
      <c r="J132" s="117" t="n"/>
      <c r="K132" s="117" t="n"/>
      <c r="L132" s="117" t="n"/>
      <c r="M132" s="117" t="n"/>
      <c r="N132" s="117" t="n"/>
      <c r="O132" s="117" t="n"/>
      <c r="P132" s="117" t="n"/>
      <c r="Q132" s="117" t="n"/>
      <c r="R132" s="117" t="n"/>
      <c r="S132" s="117" t="n"/>
      <c r="T132" s="117" t="n"/>
      <c r="U132" s="117" t="n"/>
      <c r="V132" s="117" t="n"/>
      <c r="W132" s="117" t="n"/>
      <c r="X132" s="117" t="n"/>
      <c r="Y132" s="117" t="n"/>
      <c r="Z132" s="117" t="n"/>
      <c r="AA132" s="117" t="n"/>
      <c r="AB132" s="117" t="n"/>
      <c r="AC132" s="117" t="n"/>
      <c r="AD132" s="117" t="n"/>
      <c r="AE132" s="117" t="n"/>
      <c r="AF132" s="117" t="n"/>
      <c r="AG132" s="117" t="n"/>
      <c r="AH132" s="117" t="n"/>
      <c r="AI132" s="117" t="n"/>
      <c r="AJ132" s="117" t="n"/>
      <c r="AK132" s="117" t="n"/>
    </row>
    <row r="133">
      <c r="A133" s="117" t="n"/>
      <c r="B133" s="117" t="n"/>
      <c r="C133" s="117" t="n"/>
      <c r="D133" s="117" t="n"/>
      <c r="E133" s="117" t="n"/>
      <c r="F133" s="117" t="n"/>
      <c r="G133" s="117" t="n"/>
      <c r="H133" s="117" t="n"/>
      <c r="I133" s="117" t="n"/>
      <c r="J133" s="117" t="n"/>
      <c r="K133" s="117" t="n"/>
      <c r="L133" s="117" t="n"/>
      <c r="M133" s="117" t="n"/>
      <c r="N133" s="117" t="n"/>
      <c r="O133" s="117" t="n"/>
      <c r="P133" s="117" t="n"/>
      <c r="Q133" s="117" t="n"/>
      <c r="R133" s="117" t="n"/>
      <c r="S133" s="117" t="n"/>
      <c r="T133" s="117" t="n"/>
      <c r="U133" s="117" t="n"/>
      <c r="V133" s="117" t="n"/>
      <c r="W133" s="117" t="n"/>
      <c r="X133" s="117" t="n"/>
      <c r="Y133" s="117" t="n"/>
      <c r="Z133" s="117" t="n"/>
      <c r="AA133" s="117" t="n"/>
      <c r="AB133" s="117" t="n"/>
      <c r="AC133" s="117" t="n"/>
      <c r="AD133" s="117" t="n"/>
      <c r="AE133" s="117" t="n"/>
      <c r="AF133" s="117" t="n"/>
      <c r="AG133" s="117" t="n"/>
      <c r="AH133" s="117" t="n"/>
      <c r="AI133" s="117" t="n"/>
      <c r="AJ133" s="117" t="n"/>
      <c r="AK133" s="117" t="n"/>
    </row>
    <row r="134">
      <c r="A134" s="117" t="n"/>
      <c r="B134" s="117" t="n"/>
      <c r="C134" s="117" t="n"/>
      <c r="D134" s="117" t="n"/>
      <c r="E134" s="117" t="n"/>
      <c r="F134" s="117" t="n"/>
      <c r="G134" s="117" t="n"/>
      <c r="H134" s="117" t="n"/>
      <c r="I134" s="117" t="n"/>
      <c r="J134" s="117" t="n"/>
      <c r="K134" s="117" t="n"/>
      <c r="L134" s="117" t="n"/>
      <c r="M134" s="117" t="n"/>
      <c r="N134" s="117" t="n"/>
      <c r="O134" s="117" t="n"/>
      <c r="P134" s="117" t="n"/>
      <c r="Q134" s="117" t="n"/>
      <c r="R134" s="117" t="n"/>
      <c r="S134" s="117" t="n"/>
      <c r="T134" s="117" t="n"/>
      <c r="U134" s="117" t="n"/>
      <c r="V134" s="117" t="n"/>
      <c r="W134" s="117" t="n"/>
      <c r="X134" s="117" t="n"/>
      <c r="Y134" s="117" t="n"/>
      <c r="Z134" s="117" t="n"/>
      <c r="AA134" s="117" t="n"/>
      <c r="AB134" s="117" t="n"/>
      <c r="AC134" s="117" t="n"/>
      <c r="AD134" s="117" t="n"/>
      <c r="AE134" s="117" t="n"/>
      <c r="AF134" s="117" t="n"/>
      <c r="AG134" s="117" t="n"/>
      <c r="AH134" s="117" t="n"/>
      <c r="AI134" s="117" t="n"/>
      <c r="AJ134" s="117" t="n"/>
      <c r="AK134" s="117" t="n"/>
    </row>
    <row r="135">
      <c r="A135" s="117" t="n"/>
      <c r="B135" s="117" t="n"/>
      <c r="C135" s="117" t="n"/>
      <c r="D135" s="117" t="n"/>
      <c r="E135" s="117" t="n"/>
      <c r="F135" s="117" t="n"/>
      <c r="G135" s="117" t="n"/>
      <c r="H135" s="117" t="n"/>
      <c r="I135" s="117" t="n"/>
      <c r="J135" s="117" t="n"/>
      <c r="K135" s="117" t="n"/>
      <c r="L135" s="117" t="n"/>
      <c r="M135" s="117" t="n"/>
      <c r="N135" s="117" t="n"/>
      <c r="O135" s="117" t="n"/>
      <c r="P135" s="117" t="n"/>
      <c r="Q135" s="117" t="n"/>
      <c r="R135" s="117" t="n"/>
      <c r="S135" s="117" t="n"/>
      <c r="T135" s="117" t="n"/>
      <c r="U135" s="117" t="n"/>
      <c r="V135" s="117" t="n"/>
      <c r="W135" s="117" t="n"/>
      <c r="X135" s="117" t="n"/>
      <c r="Y135" s="117" t="n"/>
      <c r="Z135" s="117" t="n"/>
      <c r="AA135" s="117" t="n"/>
      <c r="AB135" s="117" t="n"/>
      <c r="AC135" s="117" t="n"/>
      <c r="AD135" s="117" t="n"/>
      <c r="AE135" s="117" t="n"/>
      <c r="AF135" s="117" t="n"/>
      <c r="AG135" s="117" t="n"/>
      <c r="AH135" s="117" t="n"/>
      <c r="AI135" s="117" t="n"/>
      <c r="AJ135" s="117" t="n"/>
      <c r="AK135" s="117" t="n"/>
    </row>
    <row r="136">
      <c r="A136" s="117" t="n"/>
      <c r="B136" s="117" t="n"/>
      <c r="C136" s="117" t="n"/>
      <c r="D136" s="117" t="n"/>
      <c r="E136" s="117" t="n"/>
      <c r="F136" s="117" t="n"/>
      <c r="G136" s="117" t="n"/>
      <c r="H136" s="117" t="n"/>
      <c r="I136" s="117" t="n"/>
      <c r="J136" s="117" t="n"/>
      <c r="K136" s="117" t="n"/>
      <c r="L136" s="117" t="n"/>
      <c r="M136" s="117" t="n"/>
      <c r="N136" s="117" t="n"/>
      <c r="O136" s="117" t="n"/>
      <c r="P136" s="117" t="n"/>
      <c r="Q136" s="117" t="n"/>
      <c r="R136" s="117" t="n"/>
      <c r="S136" s="117" t="n"/>
      <c r="T136" s="117" t="n"/>
      <c r="U136" s="117" t="n"/>
      <c r="V136" s="117" t="n"/>
      <c r="W136" s="117" t="n"/>
      <c r="X136" s="117" t="n"/>
      <c r="Y136" s="117" t="n"/>
      <c r="Z136" s="117" t="n"/>
      <c r="AA136" s="117" t="n"/>
      <c r="AB136" s="117" t="n"/>
      <c r="AC136" s="117" t="n"/>
      <c r="AD136" s="117" t="n"/>
      <c r="AE136" s="117" t="n"/>
      <c r="AF136" s="117" t="n"/>
      <c r="AG136" s="117" t="n"/>
      <c r="AH136" s="117" t="n"/>
      <c r="AI136" s="117" t="n"/>
      <c r="AJ136" s="117" t="n"/>
      <c r="AK136" s="117" t="n"/>
    </row>
    <row r="137">
      <c r="A137" s="117" t="n"/>
      <c r="B137" s="117" t="n"/>
      <c r="C137" s="117" t="n"/>
      <c r="D137" s="117" t="n"/>
      <c r="E137" s="117" t="n"/>
      <c r="F137" s="117" t="n"/>
      <c r="G137" s="117" t="n"/>
      <c r="H137" s="117" t="n"/>
      <c r="I137" s="117" t="n"/>
      <c r="J137" s="117" t="n"/>
      <c r="K137" s="117" t="n"/>
      <c r="L137" s="117" t="n"/>
      <c r="M137" s="117" t="n"/>
      <c r="N137" s="117" t="n"/>
      <c r="O137" s="117" t="n"/>
      <c r="P137" s="117" t="n"/>
      <c r="Q137" s="117" t="n"/>
      <c r="R137" s="117" t="n"/>
      <c r="S137" s="117" t="n"/>
      <c r="T137" s="117" t="n"/>
      <c r="U137" s="117" t="n"/>
      <c r="V137" s="117" t="n"/>
      <c r="W137" s="117" t="n"/>
      <c r="X137" s="117" t="n"/>
      <c r="Y137" s="117" t="n"/>
      <c r="Z137" s="117" t="n"/>
      <c r="AA137" s="117" t="n"/>
      <c r="AB137" s="117" t="n"/>
      <c r="AC137" s="117" t="n"/>
      <c r="AD137" s="117" t="n"/>
      <c r="AE137" s="117" t="n"/>
      <c r="AF137" s="117" t="n"/>
      <c r="AG137" s="117" t="n"/>
      <c r="AH137" s="117" t="n"/>
      <c r="AI137" s="117" t="n"/>
      <c r="AJ137" s="117" t="n"/>
      <c r="AK137" s="117" t="n"/>
    </row>
    <row r="138">
      <c r="A138" s="117" t="n"/>
      <c r="B138" s="117" t="n"/>
      <c r="C138" s="117" t="n"/>
      <c r="D138" s="117" t="n"/>
      <c r="E138" s="117" t="n"/>
      <c r="F138" s="117" t="n"/>
      <c r="G138" s="117" t="n"/>
      <c r="H138" s="117" t="n"/>
      <c r="I138" s="117" t="n"/>
      <c r="J138" s="117" t="n"/>
      <c r="K138" s="117" t="n"/>
      <c r="L138" s="117" t="n"/>
      <c r="M138" s="117" t="n"/>
      <c r="N138" s="117" t="n"/>
      <c r="O138" s="117" t="n"/>
      <c r="P138" s="117" t="n"/>
      <c r="Q138" s="117" t="n"/>
      <c r="R138" s="117" t="n"/>
      <c r="S138" s="117" t="n"/>
      <c r="T138" s="117" t="n"/>
      <c r="U138" s="117" t="n"/>
      <c r="V138" s="117" t="n"/>
      <c r="W138" s="117" t="n"/>
      <c r="X138" s="117" t="n"/>
      <c r="Y138" s="117" t="n"/>
      <c r="Z138" s="117" t="n"/>
      <c r="AA138" s="117" t="n"/>
      <c r="AB138" s="117" t="n"/>
      <c r="AC138" s="117" t="n"/>
      <c r="AD138" s="117" t="n"/>
      <c r="AE138" s="117" t="n"/>
      <c r="AF138" s="117" t="n"/>
      <c r="AG138" s="117" t="n"/>
      <c r="AH138" s="117" t="n"/>
      <c r="AI138" s="117" t="n"/>
      <c r="AJ138" s="117" t="n"/>
      <c r="AK138" s="117" t="n"/>
    </row>
    <row r="139">
      <c r="A139" s="117" t="n"/>
      <c r="B139" s="117" t="n"/>
      <c r="C139" s="117" t="n"/>
      <c r="D139" s="117" t="n"/>
      <c r="E139" s="117" t="n"/>
      <c r="F139" s="117" t="n"/>
      <c r="G139" s="117" t="n"/>
      <c r="H139" s="117" t="n"/>
      <c r="I139" s="117" t="n"/>
      <c r="J139" s="117" t="n"/>
      <c r="K139" s="117" t="n"/>
      <c r="L139" s="117" t="n"/>
      <c r="M139" s="117" t="n"/>
      <c r="N139" s="117" t="n"/>
      <c r="O139" s="117" t="n"/>
      <c r="P139" s="117" t="n"/>
      <c r="Q139" s="117" t="n"/>
      <c r="R139" s="117" t="n"/>
      <c r="S139" s="117" t="n"/>
      <c r="T139" s="117" t="n"/>
      <c r="U139" s="117" t="n"/>
      <c r="V139" s="117" t="n"/>
      <c r="W139" s="117" t="n"/>
      <c r="X139" s="117" t="n"/>
      <c r="Y139" s="117" t="n"/>
      <c r="Z139" s="117" t="n"/>
      <c r="AA139" s="117" t="n"/>
      <c r="AB139" s="117" t="n"/>
      <c r="AC139" s="117" t="n"/>
      <c r="AD139" s="117" t="n"/>
      <c r="AE139" s="117" t="n"/>
      <c r="AF139" s="117" t="n"/>
      <c r="AG139" s="117" t="n"/>
      <c r="AH139" s="117" t="n"/>
      <c r="AI139" s="117" t="n"/>
      <c r="AJ139" s="117" t="n"/>
      <c r="AK139" s="117" t="n"/>
    </row>
    <row r="140">
      <c r="A140" s="117" t="n"/>
      <c r="B140" s="117" t="n"/>
      <c r="C140" s="117" t="n"/>
      <c r="D140" s="117" t="n"/>
      <c r="E140" s="117" t="n"/>
      <c r="F140" s="117" t="n"/>
      <c r="G140" s="117" t="n"/>
      <c r="H140" s="117" t="n"/>
      <c r="I140" s="117" t="n"/>
      <c r="J140" s="117" t="n"/>
      <c r="K140" s="117" t="n"/>
      <c r="L140" s="117" t="n"/>
      <c r="M140" s="117" t="n"/>
      <c r="N140" s="117" t="n"/>
      <c r="O140" s="117" t="n"/>
      <c r="P140" s="117" t="n"/>
      <c r="Q140" s="117" t="n"/>
      <c r="R140" s="117" t="n"/>
      <c r="S140" s="117" t="n"/>
      <c r="T140" s="117" t="n"/>
      <c r="U140" s="117" t="n"/>
      <c r="V140" s="117" t="n"/>
      <c r="W140" s="117" t="n"/>
      <c r="X140" s="117" t="n"/>
      <c r="Y140" s="117" t="n"/>
      <c r="Z140" s="117" t="n"/>
      <c r="AA140" s="117" t="n"/>
      <c r="AB140" s="117" t="n"/>
      <c r="AC140" s="117" t="n"/>
      <c r="AD140" s="117" t="n"/>
      <c r="AE140" s="117" t="n"/>
      <c r="AF140" s="117" t="n"/>
      <c r="AG140" s="117" t="n"/>
      <c r="AH140" s="117" t="n"/>
      <c r="AI140" s="117" t="n"/>
      <c r="AJ140" s="117" t="n"/>
      <c r="AK140" s="117" t="n"/>
    </row>
    <row r="141">
      <c r="A141" s="117" t="n"/>
      <c r="B141" s="117" t="n"/>
      <c r="C141" s="117" t="n"/>
      <c r="D141" s="117" t="n"/>
      <c r="E141" s="117" t="n"/>
      <c r="F141" s="117" t="n"/>
      <c r="G141" s="117" t="n"/>
      <c r="H141" s="117" t="n"/>
      <c r="I141" s="117" t="n"/>
      <c r="J141" s="117" t="n"/>
      <c r="K141" s="117" t="n"/>
      <c r="L141" s="117" t="n"/>
      <c r="M141" s="117" t="n"/>
      <c r="N141" s="117" t="n"/>
      <c r="O141" s="117" t="n"/>
      <c r="P141" s="117" t="n"/>
      <c r="Q141" s="117" t="n"/>
      <c r="R141" s="117" t="n"/>
      <c r="S141" s="117" t="n"/>
      <c r="T141" s="117" t="n"/>
      <c r="U141" s="117" t="n"/>
      <c r="V141" s="117" t="n"/>
      <c r="W141" s="117" t="n"/>
      <c r="X141" s="117" t="n"/>
      <c r="Y141" s="117" t="n"/>
      <c r="Z141" s="117" t="n"/>
      <c r="AA141" s="117" t="n"/>
      <c r="AB141" s="117" t="n"/>
      <c r="AC141" s="117" t="n"/>
      <c r="AD141" s="117" t="n"/>
      <c r="AE141" s="117" t="n"/>
      <c r="AF141" s="117" t="n"/>
      <c r="AG141" s="117" t="n"/>
      <c r="AH141" s="117" t="n"/>
      <c r="AI141" s="117" t="n"/>
      <c r="AJ141" s="117" t="n"/>
      <c r="AK141" s="117" t="n"/>
    </row>
    <row r="142">
      <c r="A142" s="117" t="n"/>
      <c r="B142" s="117" t="n"/>
      <c r="C142" s="117" t="n"/>
      <c r="D142" s="117" t="n"/>
      <c r="E142" s="117" t="n"/>
      <c r="F142" s="117" t="n"/>
      <c r="G142" s="117" t="n"/>
      <c r="H142" s="117" t="n"/>
      <c r="I142" s="117" t="n"/>
      <c r="J142" s="117" t="n"/>
      <c r="K142" s="117" t="n"/>
      <c r="L142" s="117" t="n"/>
      <c r="M142" s="117" t="n"/>
      <c r="N142" s="117" t="n"/>
      <c r="O142" s="117" t="n"/>
      <c r="P142" s="117" t="n"/>
      <c r="Q142" s="117" t="n"/>
      <c r="R142" s="117" t="n"/>
      <c r="S142" s="117" t="n"/>
      <c r="T142" s="117" t="n"/>
      <c r="U142" s="117" t="n"/>
      <c r="V142" s="117" t="n"/>
      <c r="W142" s="117" t="n"/>
      <c r="X142" s="117" t="n"/>
      <c r="Y142" s="117" t="n"/>
      <c r="Z142" s="117" t="n"/>
      <c r="AA142" s="117" t="n"/>
      <c r="AB142" s="117" t="n"/>
      <c r="AC142" s="117" t="n"/>
      <c r="AD142" s="117" t="n"/>
      <c r="AE142" s="117" t="n"/>
      <c r="AF142" s="117" t="n"/>
      <c r="AG142" s="117" t="n"/>
      <c r="AH142" s="117" t="n"/>
      <c r="AI142" s="117" t="n"/>
      <c r="AJ142" s="117" t="n"/>
      <c r="AK142" s="117" t="n"/>
    </row>
    <row r="143">
      <c r="A143" s="117" t="n"/>
      <c r="B143" s="117" t="n"/>
      <c r="C143" s="117" t="n"/>
      <c r="D143" s="117" t="n"/>
      <c r="E143" s="117" t="n"/>
      <c r="F143" s="117" t="n"/>
      <c r="G143" s="117" t="n"/>
      <c r="H143" s="117" t="n"/>
      <c r="I143" s="117" t="n"/>
      <c r="J143" s="117" t="n"/>
      <c r="K143" s="117" t="n"/>
      <c r="L143" s="117" t="n"/>
      <c r="M143" s="117" t="n"/>
      <c r="N143" s="117" t="n"/>
      <c r="O143" s="117" t="n"/>
      <c r="P143" s="117" t="n"/>
      <c r="Q143" s="117" t="n"/>
      <c r="R143" s="117" t="n"/>
      <c r="S143" s="117" t="n"/>
      <c r="T143" s="117" t="n"/>
      <c r="U143" s="117" t="n"/>
      <c r="V143" s="117" t="n"/>
      <c r="W143" s="117" t="n"/>
      <c r="X143" s="117" t="n"/>
      <c r="Y143" s="117" t="n"/>
      <c r="Z143" s="117" t="n"/>
      <c r="AA143" s="117" t="n"/>
      <c r="AB143" s="117" t="n"/>
      <c r="AC143" s="117" t="n"/>
      <c r="AD143" s="117" t="n"/>
      <c r="AE143" s="117" t="n"/>
      <c r="AF143" s="117" t="n"/>
      <c r="AG143" s="117" t="n"/>
      <c r="AH143" s="117" t="n"/>
      <c r="AI143" s="117" t="n"/>
      <c r="AJ143" s="117" t="n"/>
      <c r="AK143" s="117" t="n"/>
    </row>
    <row r="144">
      <c r="A144" s="117" t="n"/>
      <c r="B144" s="117" t="n"/>
      <c r="C144" s="117" t="n"/>
      <c r="D144" s="117" t="n"/>
      <c r="E144" s="117" t="n"/>
      <c r="F144" s="117" t="n"/>
      <c r="G144" s="117" t="n"/>
      <c r="H144" s="117" t="n"/>
      <c r="I144" s="117" t="n"/>
      <c r="J144" s="117" t="n"/>
      <c r="K144" s="117" t="n"/>
      <c r="L144" s="117" t="n"/>
      <c r="M144" s="117" t="n"/>
      <c r="N144" s="117" t="n"/>
      <c r="O144" s="117" t="n"/>
      <c r="P144" s="117" t="n"/>
      <c r="Q144" s="117" t="n"/>
      <c r="R144" s="117" t="n"/>
      <c r="S144" s="117" t="n"/>
      <c r="T144" s="117" t="n"/>
      <c r="U144" s="117" t="n"/>
      <c r="V144" s="117" t="n"/>
      <c r="W144" s="117" t="n"/>
      <c r="X144" s="117" t="n"/>
      <c r="Y144" s="117" t="n"/>
      <c r="Z144" s="117" t="n"/>
      <c r="AA144" s="117" t="n"/>
      <c r="AB144" s="117" t="n"/>
      <c r="AC144" s="117" t="n"/>
      <c r="AD144" s="117" t="n"/>
      <c r="AE144" s="117" t="n"/>
      <c r="AF144" s="117" t="n"/>
      <c r="AG144" s="117" t="n"/>
      <c r="AH144" s="117" t="n"/>
      <c r="AI144" s="117" t="n"/>
      <c r="AJ144" s="117" t="n"/>
      <c r="AK144" s="117" t="n"/>
    </row>
    <row r="145">
      <c r="A145" s="117" t="n"/>
      <c r="B145" s="117" t="n"/>
      <c r="C145" s="117" t="n"/>
      <c r="D145" s="117" t="n"/>
      <c r="E145" s="117" t="n"/>
      <c r="F145" s="117" t="n"/>
      <c r="G145" s="117" t="n"/>
      <c r="H145" s="117" t="n"/>
      <c r="I145" s="117" t="n"/>
      <c r="J145" s="117" t="n"/>
      <c r="K145" s="117" t="n"/>
      <c r="L145" s="117" t="n"/>
      <c r="M145" s="117" t="n"/>
      <c r="N145" s="117" t="n"/>
      <c r="O145" s="117" t="n"/>
      <c r="P145" s="117" t="n"/>
      <c r="Q145" s="117" t="n"/>
      <c r="R145" s="117" t="n"/>
      <c r="S145" s="117" t="n"/>
      <c r="T145" s="117" t="n"/>
      <c r="U145" s="117" t="n"/>
      <c r="V145" s="117" t="n"/>
      <c r="W145" s="117" t="n"/>
      <c r="X145" s="117" t="n"/>
      <c r="Y145" s="117" t="n"/>
      <c r="Z145" s="117" t="n"/>
      <c r="AA145" s="117" t="n"/>
      <c r="AB145" s="117" t="n"/>
      <c r="AC145" s="117" t="n"/>
      <c r="AD145" s="117" t="n"/>
      <c r="AE145" s="117" t="n"/>
      <c r="AF145" s="117" t="n"/>
      <c r="AG145" s="117" t="n"/>
      <c r="AH145" s="117" t="n"/>
      <c r="AI145" s="117" t="n"/>
      <c r="AJ145" s="117" t="n"/>
      <c r="AK145" s="117" t="n"/>
    </row>
    <row r="146">
      <c r="A146" s="117" t="n"/>
      <c r="B146" s="117" t="n"/>
      <c r="C146" s="117" t="n"/>
      <c r="D146" s="117" t="n"/>
      <c r="E146" s="117" t="n"/>
      <c r="F146" s="117" t="n"/>
      <c r="G146" s="117" t="n"/>
      <c r="H146" s="117" t="n"/>
      <c r="I146" s="117" t="n"/>
      <c r="J146" s="117" t="n"/>
      <c r="K146" s="117" t="n"/>
      <c r="L146" s="117" t="n"/>
      <c r="M146" s="117" t="n"/>
      <c r="N146" s="117" t="n"/>
      <c r="O146" s="117" t="n"/>
      <c r="P146" s="117" t="n"/>
      <c r="Q146" s="117" t="n"/>
      <c r="R146" s="117" t="n"/>
      <c r="S146" s="117" t="n"/>
      <c r="T146" s="117" t="n"/>
      <c r="U146" s="117" t="n"/>
      <c r="V146" s="117" t="n"/>
      <c r="W146" s="117" t="n"/>
      <c r="X146" s="117" t="n"/>
      <c r="Y146" s="117" t="n"/>
      <c r="Z146" s="117" t="n"/>
      <c r="AA146" s="117" t="n"/>
      <c r="AB146" s="117" t="n"/>
      <c r="AC146" s="117" t="n"/>
      <c r="AD146" s="117" t="n"/>
      <c r="AE146" s="117" t="n"/>
      <c r="AF146" s="117" t="n"/>
      <c r="AG146" s="117" t="n"/>
      <c r="AH146" s="117" t="n"/>
      <c r="AI146" s="117" t="n"/>
      <c r="AJ146" s="117" t="n"/>
      <c r="AK146" s="117" t="n"/>
    </row>
    <row r="147">
      <c r="A147" s="117" t="n"/>
      <c r="B147" s="117" t="n"/>
      <c r="C147" s="117" t="n"/>
      <c r="D147" s="117" t="n"/>
      <c r="E147" s="117" t="n"/>
      <c r="F147" s="117" t="n"/>
      <c r="G147" s="117" t="n"/>
      <c r="H147" s="117" t="n"/>
      <c r="I147" s="117" t="n"/>
      <c r="J147" s="117" t="n"/>
      <c r="K147" s="117" t="n"/>
      <c r="L147" s="117" t="n"/>
      <c r="M147" s="117" t="n"/>
      <c r="N147" s="117" t="n"/>
      <c r="O147" s="117" t="n"/>
      <c r="P147" s="117" t="n"/>
      <c r="Q147" s="117" t="n"/>
      <c r="R147" s="117" t="n"/>
      <c r="S147" s="117" t="n"/>
      <c r="T147" s="117" t="n"/>
      <c r="U147" s="117" t="n"/>
      <c r="V147" s="117" t="n"/>
      <c r="W147" s="117" t="n"/>
      <c r="X147" s="117" t="n"/>
      <c r="Y147" s="117" t="n"/>
      <c r="Z147" s="117" t="n"/>
      <c r="AA147" s="117" t="n"/>
      <c r="AB147" s="117" t="n"/>
      <c r="AC147" s="117" t="n"/>
      <c r="AD147" s="117" t="n"/>
      <c r="AE147" s="117" t="n"/>
      <c r="AF147" s="117" t="n"/>
      <c r="AG147" s="117" t="n"/>
      <c r="AH147" s="117" t="n"/>
      <c r="AI147" s="117" t="n"/>
      <c r="AJ147" s="117" t="n"/>
      <c r="AK147" s="117" t="n"/>
    </row>
    <row r="148">
      <c r="A148" s="117" t="n"/>
      <c r="B148" s="117" t="n"/>
      <c r="C148" s="117" t="n"/>
      <c r="D148" s="117" t="n"/>
      <c r="E148" s="117" t="n"/>
      <c r="F148" s="117" t="n"/>
      <c r="G148" s="117" t="n"/>
      <c r="H148" s="117" t="n"/>
      <c r="I148" s="117" t="n"/>
      <c r="J148" s="117" t="n"/>
      <c r="K148" s="117" t="n"/>
      <c r="L148" s="117" t="n"/>
      <c r="M148" s="117" t="n"/>
      <c r="N148" s="117" t="n"/>
      <c r="O148" s="117" t="n"/>
      <c r="P148" s="117" t="n"/>
      <c r="Q148" s="117" t="n"/>
      <c r="R148" s="117" t="n"/>
      <c r="S148" s="117" t="n"/>
      <c r="T148" s="117" t="n"/>
      <c r="U148" s="117" t="n"/>
      <c r="V148" s="117" t="n"/>
      <c r="W148" s="117" t="n"/>
      <c r="X148" s="117" t="n"/>
      <c r="Y148" s="117" t="n"/>
      <c r="Z148" s="117" t="n"/>
      <c r="AA148" s="117" t="n"/>
      <c r="AB148" s="117" t="n"/>
      <c r="AC148" s="117" t="n"/>
      <c r="AD148" s="117" t="n"/>
      <c r="AE148" s="117" t="n"/>
      <c r="AF148" s="117" t="n"/>
      <c r="AG148" s="117" t="n"/>
      <c r="AH148" s="117" t="n"/>
      <c r="AI148" s="117" t="n"/>
      <c r="AJ148" s="117" t="n"/>
      <c r="AK148" s="117" t="n"/>
    </row>
    <row r="149">
      <c r="A149" s="117" t="n"/>
      <c r="B149" s="117" t="n"/>
      <c r="C149" s="117" t="n"/>
      <c r="D149" s="117" t="n"/>
      <c r="E149" s="117" t="n"/>
      <c r="F149" s="117" t="n"/>
      <c r="G149" s="117" t="n"/>
      <c r="H149" s="117" t="n"/>
      <c r="I149" s="117" t="n"/>
      <c r="J149" s="117" t="n"/>
      <c r="K149" s="117" t="n"/>
      <c r="L149" s="117" t="n"/>
      <c r="M149" s="117" t="n"/>
      <c r="N149" s="117" t="n"/>
      <c r="O149" s="117" t="n"/>
      <c r="P149" s="117" t="n"/>
      <c r="Q149" s="117" t="n"/>
      <c r="R149" s="117" t="n"/>
      <c r="S149" s="117" t="n"/>
      <c r="T149" s="117" t="n"/>
      <c r="U149" s="117" t="n"/>
      <c r="V149" s="117" t="n"/>
      <c r="W149" s="117" t="n"/>
      <c r="X149" s="117" t="n"/>
      <c r="Y149" s="117" t="n"/>
      <c r="Z149" s="117" t="n"/>
      <c r="AA149" s="117" t="n"/>
      <c r="AB149" s="117" t="n"/>
      <c r="AC149" s="117" t="n"/>
      <c r="AD149" s="117" t="n"/>
      <c r="AE149" s="117" t="n"/>
      <c r="AF149" s="117" t="n"/>
      <c r="AG149" s="117" t="n"/>
      <c r="AH149" s="117" t="n"/>
      <c r="AI149" s="117" t="n"/>
      <c r="AJ149" s="117" t="n"/>
      <c r="AK149" s="117" t="n"/>
    </row>
    <row r="150">
      <c r="A150" s="117" t="n"/>
      <c r="B150" s="117" t="n"/>
      <c r="C150" s="117" t="n"/>
      <c r="D150" s="117" t="n"/>
      <c r="E150" s="117" t="n"/>
      <c r="F150" s="117" t="n"/>
      <c r="G150" s="117" t="n"/>
      <c r="H150" s="117" t="n"/>
      <c r="I150" s="117" t="n"/>
      <c r="J150" s="117" t="n"/>
      <c r="K150" s="117" t="n"/>
      <c r="L150" s="117" t="n"/>
      <c r="M150" s="117" t="n"/>
      <c r="N150" s="117" t="n"/>
      <c r="O150" s="117" t="n"/>
      <c r="P150" s="117" t="n"/>
      <c r="Q150" s="117" t="n"/>
      <c r="R150" s="117" t="n"/>
      <c r="S150" s="117" t="n"/>
      <c r="T150" s="117" t="n"/>
      <c r="U150" s="117" t="n"/>
      <c r="V150" s="117" t="n"/>
      <c r="W150" s="117" t="n"/>
      <c r="X150" s="117" t="n"/>
      <c r="Y150" s="117" t="n"/>
      <c r="Z150" s="117" t="n"/>
      <c r="AA150" s="117" t="n"/>
      <c r="AB150" s="117" t="n"/>
      <c r="AC150" s="117" t="n"/>
      <c r="AD150" s="117" t="n"/>
      <c r="AE150" s="117" t="n"/>
      <c r="AF150" s="117" t="n"/>
      <c r="AG150" s="117" t="n"/>
      <c r="AH150" s="117" t="n"/>
      <c r="AI150" s="117" t="n"/>
      <c r="AJ150" s="117" t="n"/>
      <c r="AK150" s="117" t="n"/>
    </row>
    <row r="151">
      <c r="A151" s="117" t="n"/>
      <c r="B151" s="117" t="n"/>
      <c r="C151" s="117" t="n"/>
      <c r="D151" s="117" t="n"/>
      <c r="E151" s="117" t="n"/>
      <c r="F151" s="117" t="n"/>
      <c r="G151" s="117" t="n"/>
      <c r="H151" s="117" t="n"/>
      <c r="I151" s="117" t="n"/>
      <c r="J151" s="117" t="n"/>
      <c r="K151" s="117" t="n"/>
      <c r="L151" s="117" t="n"/>
      <c r="M151" s="117" t="n"/>
      <c r="N151" s="117" t="n"/>
      <c r="O151" s="117" t="n"/>
      <c r="P151" s="117" t="n"/>
      <c r="Q151" s="117" t="n"/>
      <c r="R151" s="117" t="n"/>
      <c r="S151" s="117" t="n"/>
      <c r="T151" s="117" t="n"/>
      <c r="U151" s="117" t="n"/>
      <c r="V151" s="117" t="n"/>
      <c r="W151" s="117" t="n"/>
      <c r="X151" s="117" t="n"/>
      <c r="Y151" s="117" t="n"/>
      <c r="Z151" s="117" t="n"/>
      <c r="AA151" s="117" t="n"/>
      <c r="AB151" s="117" t="n"/>
      <c r="AC151" s="117" t="n"/>
      <c r="AD151" s="117" t="n"/>
      <c r="AE151" s="117" t="n"/>
      <c r="AF151" s="117" t="n"/>
      <c r="AG151" s="117" t="n"/>
      <c r="AH151" s="117" t="n"/>
      <c r="AI151" s="117" t="n"/>
      <c r="AJ151" s="117" t="n"/>
      <c r="AK151" s="117" t="n"/>
    </row>
    <row r="152">
      <c r="A152" s="117" t="n"/>
      <c r="B152" s="117" t="n"/>
      <c r="C152" s="117" t="n"/>
      <c r="D152" s="117" t="n"/>
      <c r="E152" s="117" t="n"/>
      <c r="F152" s="117" t="n"/>
      <c r="G152" s="117" t="n"/>
      <c r="H152" s="117" t="n"/>
      <c r="I152" s="117" t="n"/>
      <c r="J152" s="117" t="n"/>
      <c r="K152" s="117" t="n"/>
      <c r="L152" s="117" t="n"/>
      <c r="M152" s="117" t="n"/>
      <c r="N152" s="117" t="n"/>
      <c r="O152" s="117" t="n"/>
      <c r="P152" s="117" t="n"/>
      <c r="Q152" s="117" t="n"/>
      <c r="R152" s="117" t="n"/>
      <c r="S152" s="117" t="n"/>
      <c r="T152" s="117" t="n"/>
      <c r="U152" s="117" t="n"/>
      <c r="V152" s="117" t="n"/>
      <c r="W152" s="117" t="n"/>
      <c r="X152" s="117" t="n"/>
      <c r="Y152" s="117" t="n"/>
      <c r="Z152" s="117" t="n"/>
      <c r="AA152" s="117" t="n"/>
      <c r="AB152" s="117" t="n"/>
      <c r="AC152" s="117" t="n"/>
      <c r="AD152" s="117" t="n"/>
      <c r="AE152" s="117" t="n"/>
      <c r="AF152" s="117" t="n"/>
      <c r="AG152" s="117" t="n"/>
      <c r="AH152" s="117" t="n"/>
      <c r="AI152" s="117" t="n"/>
      <c r="AJ152" s="117" t="n"/>
      <c r="AK152" s="117" t="n"/>
    </row>
    <row r="153">
      <c r="A153" s="117" t="n"/>
      <c r="B153" s="117" t="n"/>
      <c r="C153" s="117" t="n"/>
      <c r="D153" s="117" t="n"/>
      <c r="E153" s="117" t="n"/>
      <c r="F153" s="117" t="n"/>
      <c r="G153" s="117" t="n"/>
      <c r="H153" s="117" t="n"/>
      <c r="I153" s="117" t="n"/>
      <c r="J153" s="117" t="n"/>
      <c r="K153" s="117" t="n"/>
      <c r="L153" s="117" t="n"/>
      <c r="M153" s="117" t="n"/>
      <c r="N153" s="117" t="n"/>
      <c r="O153" s="117" t="n"/>
      <c r="P153" s="117" t="n"/>
      <c r="Q153" s="117" t="n"/>
      <c r="R153" s="117" t="n"/>
      <c r="S153" s="117" t="n"/>
      <c r="T153" s="117" t="n"/>
      <c r="U153" s="117" t="n"/>
      <c r="V153" s="117" t="n"/>
      <c r="W153" s="117" t="n"/>
      <c r="X153" s="117" t="n"/>
      <c r="Y153" s="117" t="n"/>
      <c r="Z153" s="117" t="n"/>
      <c r="AA153" s="117" t="n"/>
      <c r="AB153" s="117" t="n"/>
      <c r="AC153" s="117" t="n"/>
      <c r="AD153" s="117" t="n"/>
      <c r="AE153" s="117" t="n"/>
      <c r="AF153" s="117" t="n"/>
      <c r="AG153" s="117" t="n"/>
      <c r="AH153" s="117" t="n"/>
      <c r="AI153" s="117" t="n"/>
      <c r="AJ153" s="117" t="n"/>
      <c r="AK153" s="117" t="n"/>
    </row>
    <row r="154">
      <c r="A154" s="117" t="n"/>
      <c r="B154" s="117" t="n"/>
      <c r="C154" s="117" t="n"/>
      <c r="D154" s="117" t="n"/>
      <c r="E154" s="117" t="n"/>
      <c r="F154" s="117" t="n"/>
      <c r="G154" s="117" t="n"/>
      <c r="H154" s="117" t="n"/>
      <c r="I154" s="117" t="n"/>
      <c r="J154" s="117" t="n"/>
      <c r="K154" s="117" t="n"/>
      <c r="L154" s="117" t="n"/>
      <c r="M154" s="117" t="n"/>
      <c r="N154" s="117" t="n"/>
      <c r="O154" s="117" t="n"/>
      <c r="P154" s="117" t="n"/>
      <c r="Q154" s="117" t="n"/>
      <c r="R154" s="117" t="n"/>
      <c r="S154" s="117" t="n"/>
      <c r="T154" s="117" t="n"/>
      <c r="U154" s="117" t="n"/>
      <c r="V154" s="117" t="n"/>
      <c r="W154" s="117" t="n"/>
      <c r="X154" s="117" t="n"/>
      <c r="Y154" s="117" t="n"/>
      <c r="Z154" s="117" t="n"/>
      <c r="AA154" s="117" t="n"/>
      <c r="AB154" s="117" t="n"/>
      <c r="AC154" s="117" t="n"/>
      <c r="AD154" s="117" t="n"/>
      <c r="AE154" s="117" t="n"/>
      <c r="AF154" s="117" t="n"/>
      <c r="AG154" s="117" t="n"/>
      <c r="AH154" s="117" t="n"/>
      <c r="AI154" s="117" t="n"/>
      <c r="AJ154" s="117" t="n"/>
      <c r="AK154" s="117" t="n"/>
    </row>
    <row r="155">
      <c r="A155" s="117" t="n"/>
      <c r="B155" s="117" t="n"/>
      <c r="C155" s="117" t="n"/>
      <c r="D155" s="117" t="n"/>
      <c r="E155" s="117" t="n"/>
      <c r="F155" s="117" t="n"/>
      <c r="G155" s="117" t="n"/>
      <c r="H155" s="117" t="n"/>
      <c r="I155" s="117" t="n"/>
      <c r="J155" s="117" t="n"/>
      <c r="K155" s="117" t="n"/>
      <c r="L155" s="117" t="n"/>
      <c r="M155" s="117" t="n"/>
      <c r="N155" s="117" t="n"/>
      <c r="O155" s="117" t="n"/>
      <c r="P155" s="117" t="n"/>
      <c r="Q155" s="117" t="n"/>
      <c r="R155" s="117" t="n"/>
      <c r="S155" s="117" t="n"/>
      <c r="T155" s="117" t="n"/>
      <c r="U155" s="117" t="n"/>
      <c r="V155" s="117" t="n"/>
      <c r="W155" s="117" t="n"/>
      <c r="X155" s="117" t="n"/>
      <c r="Y155" s="117" t="n"/>
      <c r="Z155" s="117" t="n"/>
      <c r="AA155" s="117" t="n"/>
      <c r="AB155" s="117" t="n"/>
      <c r="AC155" s="117" t="n"/>
      <c r="AD155" s="117" t="n"/>
      <c r="AE155" s="117" t="n"/>
      <c r="AF155" s="117" t="n"/>
      <c r="AG155" s="117" t="n"/>
      <c r="AH155" s="117" t="n"/>
      <c r="AI155" s="117" t="n"/>
      <c r="AJ155" s="117" t="n"/>
      <c r="AK155" s="117" t="n"/>
    </row>
    <row r="156">
      <c r="A156" s="117" t="n"/>
      <c r="B156" s="117" t="n"/>
      <c r="C156" s="117" t="n"/>
      <c r="D156" s="117" t="n"/>
      <c r="E156" s="117" t="n"/>
      <c r="F156" s="117" t="n"/>
      <c r="G156" s="117" t="n"/>
      <c r="H156" s="117" t="n"/>
      <c r="I156" s="117" t="n"/>
      <c r="J156" s="117" t="n"/>
      <c r="K156" s="117" t="n"/>
      <c r="L156" s="117" t="n"/>
      <c r="M156" s="117" t="n"/>
      <c r="N156" s="117" t="n"/>
      <c r="O156" s="117" t="n"/>
      <c r="P156" s="117" t="n"/>
      <c r="Q156" s="117" t="n"/>
      <c r="R156" s="117" t="n"/>
      <c r="S156" s="117" t="n"/>
      <c r="T156" s="117" t="n"/>
      <c r="U156" s="117" t="n"/>
      <c r="V156" s="117" t="n"/>
      <c r="W156" s="117" t="n"/>
      <c r="X156" s="117" t="n"/>
      <c r="Y156" s="117" t="n"/>
      <c r="Z156" s="117" t="n"/>
      <c r="AA156" s="117" t="n"/>
      <c r="AB156" s="117" t="n"/>
      <c r="AC156" s="117" t="n"/>
      <c r="AD156" s="117" t="n"/>
      <c r="AE156" s="117" t="n"/>
      <c r="AF156" s="117" t="n"/>
      <c r="AG156" s="117" t="n"/>
      <c r="AH156" s="117" t="n"/>
      <c r="AI156" s="117" t="n"/>
      <c r="AJ156" s="117" t="n"/>
      <c r="AK156" s="117" t="n"/>
    </row>
    <row r="157">
      <c r="A157" s="117" t="n"/>
      <c r="B157" s="117" t="n"/>
      <c r="C157" s="117" t="n"/>
      <c r="D157" s="117" t="n"/>
      <c r="E157" s="117" t="n"/>
      <c r="F157" s="117" t="n"/>
      <c r="G157" s="117" t="n"/>
      <c r="H157" s="117" t="n"/>
      <c r="I157" s="117" t="n"/>
      <c r="J157" s="117" t="n"/>
      <c r="K157" s="117" t="n"/>
      <c r="L157" s="117" t="n"/>
      <c r="M157" s="117" t="n"/>
      <c r="N157" s="117" t="n"/>
      <c r="O157" s="117" t="n"/>
      <c r="P157" s="117" t="n"/>
      <c r="Q157" s="117" t="n"/>
      <c r="R157" s="117" t="n"/>
      <c r="S157" s="117" t="n"/>
      <c r="T157" s="117" t="n"/>
      <c r="U157" s="117" t="n"/>
      <c r="V157" s="117" t="n"/>
      <c r="W157" s="117" t="n"/>
      <c r="X157" s="117" t="n"/>
      <c r="Y157" s="117" t="n"/>
      <c r="Z157" s="117" t="n"/>
      <c r="AA157" s="117" t="n"/>
      <c r="AB157" s="117" t="n"/>
      <c r="AC157" s="117" t="n"/>
      <c r="AD157" s="117" t="n"/>
      <c r="AE157" s="117" t="n"/>
      <c r="AF157" s="117" t="n"/>
      <c r="AG157" s="117" t="n"/>
      <c r="AH157" s="117" t="n"/>
      <c r="AI157" s="117" t="n"/>
      <c r="AJ157" s="117" t="n"/>
      <c r="AK157" s="117" t="n"/>
    </row>
    <row r="158">
      <c r="A158" s="117" t="n"/>
      <c r="B158" s="117" t="n"/>
      <c r="C158" s="117" t="n"/>
      <c r="D158" s="117" t="n"/>
      <c r="E158" s="117" t="n"/>
      <c r="F158" s="117" t="n"/>
      <c r="G158" s="117" t="n"/>
      <c r="H158" s="117" t="n"/>
      <c r="I158" s="117" t="n"/>
      <c r="J158" s="117" t="n"/>
      <c r="K158" s="117" t="n"/>
      <c r="L158" s="117" t="n"/>
      <c r="M158" s="117" t="n"/>
      <c r="N158" s="117" t="n"/>
      <c r="O158" s="117" t="n"/>
      <c r="P158" s="117" t="n"/>
      <c r="Q158" s="117" t="n"/>
      <c r="R158" s="117" t="n"/>
      <c r="S158" s="117" t="n"/>
      <c r="T158" s="117" t="n"/>
      <c r="U158" s="117" t="n"/>
      <c r="V158" s="117" t="n"/>
      <c r="W158" s="117" t="n"/>
      <c r="X158" s="117" t="n"/>
      <c r="Y158" s="117" t="n"/>
      <c r="Z158" s="117" t="n"/>
      <c r="AA158" s="117" t="n"/>
      <c r="AB158" s="117" t="n"/>
      <c r="AC158" s="117" t="n"/>
      <c r="AD158" s="117" t="n"/>
      <c r="AE158" s="117" t="n"/>
      <c r="AF158" s="117" t="n"/>
      <c r="AG158" s="117" t="n"/>
      <c r="AH158" s="117" t="n"/>
      <c r="AI158" s="117" t="n"/>
      <c r="AJ158" s="117" t="n"/>
      <c r="AK158" s="117" t="n"/>
    </row>
    <row r="159">
      <c r="A159" s="117" t="n"/>
      <c r="B159" s="117" t="n"/>
      <c r="C159" s="117" t="n"/>
      <c r="D159" s="117" t="n"/>
      <c r="E159" s="117" t="n"/>
      <c r="F159" s="117" t="n"/>
      <c r="G159" s="117" t="n"/>
      <c r="H159" s="117" t="n"/>
      <c r="I159" s="117" t="n"/>
      <c r="J159" s="117" t="n"/>
      <c r="K159" s="117" t="n"/>
      <c r="L159" s="117" t="n"/>
      <c r="M159" s="117" t="n"/>
      <c r="N159" s="117" t="n"/>
      <c r="O159" s="117" t="n"/>
      <c r="P159" s="117" t="n"/>
      <c r="Q159" s="117" t="n"/>
      <c r="R159" s="117" t="n"/>
      <c r="S159" s="117" t="n"/>
      <c r="T159" s="117" t="n"/>
      <c r="U159" s="117" t="n"/>
      <c r="V159" s="117" t="n"/>
      <c r="W159" s="117" t="n"/>
      <c r="X159" s="117" t="n"/>
      <c r="Y159" s="117" t="n"/>
      <c r="Z159" s="117" t="n"/>
      <c r="AA159" s="117" t="n"/>
      <c r="AB159" s="117" t="n"/>
      <c r="AC159" s="117" t="n"/>
      <c r="AD159" s="117" t="n"/>
      <c r="AE159" s="117" t="n"/>
      <c r="AF159" s="117" t="n"/>
      <c r="AG159" s="117" t="n"/>
      <c r="AH159" s="117" t="n"/>
      <c r="AI159" s="117" t="n"/>
      <c r="AJ159" s="117" t="n"/>
      <c r="AK159" s="117" t="n"/>
    </row>
    <row r="160">
      <c r="A160" s="117" t="n"/>
      <c r="B160" s="117" t="n"/>
      <c r="C160" s="117" t="n"/>
      <c r="D160" s="117" t="n"/>
      <c r="E160" s="117" t="n"/>
      <c r="F160" s="117" t="n"/>
      <c r="G160" s="117" t="n"/>
      <c r="H160" s="117" t="n"/>
      <c r="I160" s="117" t="n"/>
      <c r="J160" s="117" t="n"/>
      <c r="K160" s="117" t="n"/>
      <c r="L160" s="117" t="n"/>
      <c r="M160" s="117" t="n"/>
      <c r="N160" s="117" t="n"/>
      <c r="O160" s="117" t="n"/>
      <c r="P160" s="117" t="n"/>
      <c r="Q160" s="117" t="n"/>
      <c r="R160" s="117" t="n"/>
      <c r="S160" s="117" t="n"/>
      <c r="T160" s="117" t="n"/>
      <c r="U160" s="117" t="n"/>
      <c r="V160" s="117" t="n"/>
      <c r="W160" s="117" t="n"/>
      <c r="X160" s="117" t="n"/>
      <c r="Y160" s="117" t="n"/>
      <c r="Z160" s="117" t="n"/>
      <c r="AA160" s="117" t="n"/>
      <c r="AB160" s="117" t="n"/>
      <c r="AC160" s="117" t="n"/>
      <c r="AD160" s="117" t="n"/>
      <c r="AE160" s="117" t="n"/>
      <c r="AF160" s="117" t="n"/>
      <c r="AG160" s="117" t="n"/>
      <c r="AH160" s="117" t="n"/>
      <c r="AI160" s="117" t="n"/>
      <c r="AJ160" s="117" t="n"/>
      <c r="AK160" s="117" t="n"/>
    </row>
    <row r="161">
      <c r="A161" s="117" t="n"/>
      <c r="B161" s="117" t="n"/>
      <c r="C161" s="117" t="n"/>
      <c r="D161" s="117" t="n"/>
      <c r="E161" s="117" t="n"/>
      <c r="F161" s="117" t="n"/>
      <c r="G161" s="117" t="n"/>
      <c r="H161" s="117" t="n"/>
      <c r="I161" s="117" t="n"/>
      <c r="J161" s="117" t="n"/>
      <c r="K161" s="117" t="n"/>
      <c r="L161" s="117" t="n"/>
      <c r="M161" s="117" t="n"/>
      <c r="N161" s="117" t="n"/>
      <c r="O161" s="117" t="n"/>
      <c r="P161" s="117" t="n"/>
      <c r="Q161" s="117" t="n"/>
      <c r="R161" s="117" t="n"/>
      <c r="S161" s="117" t="n"/>
      <c r="T161" s="117" t="n"/>
      <c r="U161" s="117" t="n"/>
      <c r="V161" s="117" t="n"/>
      <c r="W161" s="117" t="n"/>
      <c r="X161" s="117" t="n"/>
      <c r="Y161" s="117" t="n"/>
      <c r="Z161" s="117" t="n"/>
      <c r="AA161" s="117" t="n"/>
      <c r="AB161" s="117" t="n"/>
      <c r="AC161" s="117" t="n"/>
      <c r="AD161" s="117" t="n"/>
      <c r="AE161" s="117" t="n"/>
      <c r="AF161" s="117" t="n"/>
      <c r="AG161" s="117" t="n"/>
      <c r="AH161" s="117" t="n"/>
      <c r="AI161" s="117" t="n"/>
      <c r="AJ161" s="117" t="n"/>
      <c r="AK161" s="117" t="n"/>
    </row>
    <row r="162">
      <c r="A162" s="117" t="n"/>
      <c r="B162" s="117" t="n"/>
      <c r="C162" s="117" t="n"/>
      <c r="D162" s="117" t="n"/>
      <c r="E162" s="117" t="n"/>
      <c r="F162" s="117" t="n"/>
      <c r="G162" s="117" t="n"/>
      <c r="H162" s="117" t="n"/>
      <c r="I162" s="117" t="n"/>
      <c r="J162" s="117" t="n"/>
      <c r="K162" s="117" t="n"/>
      <c r="L162" s="117" t="n"/>
      <c r="M162" s="117" t="n"/>
      <c r="N162" s="117" t="n"/>
      <c r="O162" s="117" t="n"/>
      <c r="P162" s="117" t="n"/>
      <c r="Q162" s="117" t="n"/>
      <c r="R162" s="117" t="n"/>
      <c r="S162" s="117" t="n"/>
      <c r="T162" s="117" t="n"/>
      <c r="U162" s="117" t="n"/>
      <c r="V162" s="117" t="n"/>
      <c r="W162" s="117" t="n"/>
      <c r="X162" s="117" t="n"/>
      <c r="Y162" s="117" t="n"/>
      <c r="Z162" s="117" t="n"/>
      <c r="AA162" s="117" t="n"/>
      <c r="AB162" s="117" t="n"/>
      <c r="AC162" s="117" t="n"/>
      <c r="AD162" s="117" t="n"/>
      <c r="AE162" s="117" t="n"/>
      <c r="AF162" s="117" t="n"/>
      <c r="AG162" s="117" t="n"/>
      <c r="AH162" s="117" t="n"/>
      <c r="AI162" s="117" t="n"/>
      <c r="AJ162" s="117" t="n"/>
      <c r="AK162" s="117" t="n"/>
    </row>
    <row r="163">
      <c r="A163" s="117" t="n"/>
      <c r="B163" s="117" t="n"/>
      <c r="C163" s="117" t="n"/>
      <c r="D163" s="117" t="n"/>
      <c r="E163" s="117" t="n"/>
      <c r="F163" s="117" t="n"/>
      <c r="G163" s="117" t="n"/>
      <c r="H163" s="117" t="n"/>
      <c r="I163" s="117" t="n"/>
      <c r="J163" s="117" t="n"/>
      <c r="K163" s="117" t="n"/>
      <c r="L163" s="117" t="n"/>
      <c r="M163" s="117" t="n"/>
      <c r="N163" s="117" t="n"/>
      <c r="O163" s="117" t="n"/>
      <c r="P163" s="117" t="n"/>
      <c r="Q163" s="117" t="n"/>
      <c r="R163" s="117" t="n"/>
      <c r="S163" s="117" t="n"/>
      <c r="T163" s="117" t="n"/>
      <c r="U163" s="117" t="n"/>
      <c r="V163" s="117" t="n"/>
      <c r="W163" s="117" t="n"/>
      <c r="X163" s="117" t="n"/>
      <c r="Y163" s="117" t="n"/>
      <c r="Z163" s="117" t="n"/>
      <c r="AA163" s="117" t="n"/>
      <c r="AB163" s="117" t="n"/>
      <c r="AC163" s="117" t="n"/>
      <c r="AD163" s="117" t="n"/>
      <c r="AE163" s="117" t="n"/>
      <c r="AF163" s="117" t="n"/>
      <c r="AG163" s="117" t="n"/>
      <c r="AH163" s="117" t="n"/>
      <c r="AI163" s="117" t="n"/>
      <c r="AJ163" s="117" t="n"/>
      <c r="AK163" s="117" t="n"/>
    </row>
    <row r="164">
      <c r="A164" s="117" t="n"/>
      <c r="B164" s="117" t="n"/>
      <c r="C164" s="117" t="n"/>
      <c r="D164" s="117" t="n"/>
      <c r="E164" s="117" t="n"/>
      <c r="F164" s="117" t="n"/>
      <c r="G164" s="117" t="n"/>
      <c r="H164" s="117" t="n"/>
      <c r="I164" s="117" t="n"/>
      <c r="J164" s="117" t="n"/>
      <c r="K164" s="117" t="n"/>
      <c r="L164" s="117" t="n"/>
      <c r="M164" s="117" t="n"/>
      <c r="N164" s="117" t="n"/>
      <c r="O164" s="117" t="n"/>
      <c r="P164" s="117" t="n"/>
      <c r="Q164" s="117" t="n"/>
      <c r="R164" s="117" t="n"/>
      <c r="S164" s="117" t="n"/>
      <c r="T164" s="117" t="n"/>
      <c r="U164" s="117" t="n"/>
      <c r="V164" s="117" t="n"/>
      <c r="W164" s="117" t="n"/>
      <c r="X164" s="117" t="n"/>
      <c r="Y164" s="117" t="n"/>
      <c r="Z164" s="117" t="n"/>
      <c r="AA164" s="117" t="n"/>
      <c r="AB164" s="117" t="n"/>
      <c r="AC164" s="117" t="n"/>
      <c r="AD164" s="117" t="n"/>
      <c r="AE164" s="117" t="n"/>
      <c r="AF164" s="117" t="n"/>
      <c r="AG164" s="117" t="n"/>
      <c r="AH164" s="117" t="n"/>
      <c r="AI164" s="117" t="n"/>
      <c r="AJ164" s="117" t="n"/>
      <c r="AK164" s="117" t="n"/>
    </row>
    <row r="165">
      <c r="A165" s="117" t="n"/>
      <c r="B165" s="117" t="n"/>
      <c r="C165" s="117" t="n"/>
      <c r="D165" s="117" t="n"/>
      <c r="E165" s="117" t="n"/>
      <c r="F165" s="117" t="n"/>
      <c r="G165" s="117" t="n"/>
      <c r="H165" s="117" t="n"/>
      <c r="I165" s="117" t="n"/>
      <c r="J165" s="117" t="n"/>
      <c r="K165" s="117" t="n"/>
      <c r="L165" s="117" t="n"/>
      <c r="M165" s="117" t="n"/>
      <c r="N165" s="117" t="n"/>
      <c r="O165" s="117" t="n"/>
      <c r="P165" s="117" t="n"/>
      <c r="Q165" s="117" t="n"/>
      <c r="R165" s="117" t="n"/>
      <c r="S165" s="117" t="n"/>
      <c r="T165" s="117" t="n"/>
      <c r="U165" s="117" t="n"/>
      <c r="V165" s="117" t="n"/>
      <c r="W165" s="117" t="n"/>
      <c r="X165" s="117" t="n"/>
      <c r="Y165" s="117" t="n"/>
      <c r="Z165" s="117" t="n"/>
      <c r="AA165" s="117" t="n"/>
      <c r="AB165" s="117" t="n"/>
      <c r="AC165" s="117" t="n"/>
      <c r="AD165" s="117" t="n"/>
      <c r="AE165" s="117" t="n"/>
      <c r="AF165" s="117" t="n"/>
      <c r="AG165" s="117" t="n"/>
      <c r="AH165" s="117" t="n"/>
      <c r="AI165" s="117" t="n"/>
      <c r="AJ165" s="117" t="n"/>
      <c r="AK165" s="117" t="n"/>
    </row>
    <row r="166">
      <c r="A166" s="117" t="n"/>
      <c r="B166" s="117" t="n"/>
      <c r="C166" s="117" t="n"/>
      <c r="D166" s="117" t="n"/>
      <c r="E166" s="117" t="n"/>
      <c r="F166" s="117" t="n"/>
      <c r="G166" s="117" t="n"/>
      <c r="H166" s="117" t="n"/>
      <c r="I166" s="117" t="n"/>
      <c r="J166" s="117" t="n"/>
      <c r="K166" s="117" t="n"/>
      <c r="L166" s="117" t="n"/>
      <c r="M166" s="117" t="n"/>
      <c r="N166" s="117" t="n"/>
      <c r="O166" s="117" t="n"/>
      <c r="P166" s="117" t="n"/>
      <c r="Q166" s="117" t="n"/>
      <c r="R166" s="117" t="n"/>
      <c r="S166" s="117" t="n"/>
      <c r="T166" s="117" t="n"/>
      <c r="U166" s="117" t="n"/>
      <c r="V166" s="117" t="n"/>
      <c r="W166" s="117" t="n"/>
      <c r="X166" s="117" t="n"/>
      <c r="Y166" s="117" t="n"/>
      <c r="Z166" s="117" t="n"/>
      <c r="AA166" s="117" t="n"/>
      <c r="AB166" s="117" t="n"/>
      <c r="AC166" s="117" t="n"/>
      <c r="AD166" s="117" t="n"/>
      <c r="AE166" s="117" t="n"/>
      <c r="AF166" s="117" t="n"/>
      <c r="AG166" s="117" t="n"/>
      <c r="AH166" s="117" t="n"/>
      <c r="AI166" s="117" t="n"/>
      <c r="AJ166" s="117" t="n"/>
      <c r="AK166" s="117" t="n"/>
    </row>
    <row r="167">
      <c r="A167" s="117" t="n"/>
      <c r="B167" s="117" t="n"/>
      <c r="C167" s="117" t="n"/>
      <c r="D167" s="117" t="n"/>
      <c r="E167" s="117" t="n"/>
      <c r="F167" s="117" t="n"/>
      <c r="G167" s="117" t="n"/>
      <c r="H167" s="117" t="n"/>
      <c r="I167" s="117" t="n"/>
      <c r="J167" s="117" t="n"/>
      <c r="K167" s="117" t="n"/>
      <c r="L167" s="117" t="n"/>
      <c r="M167" s="117" t="n"/>
      <c r="N167" s="117" t="n"/>
      <c r="O167" s="117" t="n"/>
      <c r="P167" s="117" t="n"/>
      <c r="Q167" s="117" t="n"/>
      <c r="R167" s="117" t="n"/>
      <c r="S167" s="117" t="n"/>
      <c r="T167" s="117" t="n"/>
      <c r="U167" s="117" t="n"/>
      <c r="V167" s="117" t="n"/>
      <c r="W167" s="117" t="n"/>
      <c r="X167" s="117" t="n"/>
      <c r="Y167" s="117" t="n"/>
      <c r="Z167" s="117" t="n"/>
      <c r="AA167" s="117" t="n"/>
      <c r="AB167" s="117" t="n"/>
      <c r="AC167" s="117" t="n"/>
      <c r="AD167" s="117" t="n"/>
      <c r="AE167" s="117" t="n"/>
      <c r="AF167" s="117" t="n"/>
      <c r="AG167" s="117" t="n"/>
      <c r="AH167" s="117" t="n"/>
      <c r="AI167" s="117" t="n"/>
      <c r="AJ167" s="117" t="n"/>
      <c r="AK167" s="117" t="n"/>
    </row>
    <row r="168">
      <c r="A168" s="117" t="n"/>
      <c r="B168" s="117" t="n"/>
      <c r="C168" s="117" t="n"/>
      <c r="D168" s="117" t="n"/>
      <c r="E168" s="117" t="n"/>
      <c r="F168" s="117" t="n"/>
      <c r="G168" s="117" t="n"/>
      <c r="H168" s="117" t="n"/>
      <c r="I168" s="117" t="n"/>
      <c r="J168" s="117" t="n"/>
      <c r="K168" s="117" t="n"/>
      <c r="L168" s="117" t="n"/>
      <c r="M168" s="117" t="n"/>
      <c r="N168" s="117" t="n"/>
      <c r="O168" s="117" t="n"/>
      <c r="P168" s="117" t="n"/>
      <c r="Q168" s="117" t="n"/>
      <c r="R168" s="117" t="n"/>
      <c r="S168" s="117" t="n"/>
      <c r="T168" s="117" t="n"/>
      <c r="U168" s="117" t="n"/>
      <c r="V168" s="117" t="n"/>
      <c r="W168" s="117" t="n"/>
      <c r="X168" s="117" t="n"/>
      <c r="Y168" s="117" t="n"/>
      <c r="Z168" s="117" t="n"/>
      <c r="AA168" s="117" t="n"/>
      <c r="AB168" s="117" t="n"/>
      <c r="AC168" s="117" t="n"/>
      <c r="AD168" s="117" t="n"/>
      <c r="AE168" s="117" t="n"/>
      <c r="AF168" s="117" t="n"/>
      <c r="AG168" s="117" t="n"/>
      <c r="AH168" s="117" t="n"/>
      <c r="AI168" s="117" t="n"/>
      <c r="AJ168" s="117" t="n"/>
      <c r="AK168" s="117" t="n"/>
    </row>
    <row r="169">
      <c r="A169" s="117" t="n"/>
      <c r="B169" s="117" t="n"/>
      <c r="C169" s="117" t="n"/>
      <c r="D169" s="117" t="n"/>
      <c r="E169" s="117" t="n"/>
      <c r="F169" s="117" t="n"/>
      <c r="G169" s="117" t="n"/>
      <c r="H169" s="117" t="n"/>
      <c r="I169" s="117" t="n"/>
      <c r="J169" s="117" t="n"/>
      <c r="K169" s="117" t="n"/>
      <c r="L169" s="117" t="n"/>
      <c r="M169" s="117" t="n"/>
      <c r="N169" s="117" t="n"/>
      <c r="O169" s="117" t="n"/>
      <c r="P169" s="117" t="n"/>
      <c r="Q169" s="117" t="n"/>
      <c r="R169" s="117" t="n"/>
      <c r="S169" s="117" t="n"/>
      <c r="T169" s="117" t="n"/>
      <c r="U169" s="117" t="n"/>
      <c r="V169" s="117" t="n"/>
      <c r="W169" s="117" t="n"/>
      <c r="X169" s="117" t="n"/>
      <c r="Y169" s="117" t="n"/>
      <c r="Z169" s="117" t="n"/>
      <c r="AA169" s="117" t="n"/>
      <c r="AB169" s="117" t="n"/>
      <c r="AC169" s="117" t="n"/>
      <c r="AD169" s="117" t="n"/>
      <c r="AE169" s="117" t="n"/>
      <c r="AF169" s="117" t="n"/>
      <c r="AG169" s="117" t="n"/>
      <c r="AH169" s="117" t="n"/>
      <c r="AI169" s="117" t="n"/>
      <c r="AJ169" s="117" t="n"/>
      <c r="AK169" s="117" t="n"/>
    </row>
    <row r="170">
      <c r="A170" s="117" t="n"/>
      <c r="B170" s="117" t="n"/>
      <c r="C170" s="117" t="n"/>
      <c r="D170" s="117" t="n"/>
      <c r="E170" s="117" t="n"/>
      <c r="F170" s="117" t="n"/>
      <c r="G170" s="117" t="n"/>
      <c r="H170" s="117" t="n"/>
      <c r="I170" s="117" t="n"/>
      <c r="J170" s="117" t="n"/>
      <c r="K170" s="117" t="n"/>
      <c r="L170" s="117" t="n"/>
      <c r="M170" s="117" t="n"/>
      <c r="N170" s="117" t="n"/>
      <c r="O170" s="117" t="n"/>
      <c r="P170" s="117" t="n"/>
      <c r="Q170" s="117" t="n"/>
      <c r="R170" s="117" t="n"/>
      <c r="S170" s="117" t="n"/>
      <c r="T170" s="117" t="n"/>
      <c r="U170" s="117" t="n"/>
      <c r="V170" s="117" t="n"/>
      <c r="W170" s="117" t="n"/>
      <c r="X170" s="117" t="n"/>
      <c r="Y170" s="117" t="n"/>
      <c r="Z170" s="117" t="n"/>
      <c r="AA170" s="117" t="n"/>
      <c r="AB170" s="117" t="n"/>
      <c r="AC170" s="117" t="n"/>
      <c r="AD170" s="117" t="n"/>
      <c r="AE170" s="117" t="n"/>
      <c r="AF170" s="117" t="n"/>
      <c r="AG170" s="117" t="n"/>
      <c r="AH170" s="117" t="n"/>
      <c r="AI170" s="117" t="n"/>
      <c r="AJ170" s="117" t="n"/>
      <c r="AK170" s="117" t="n"/>
    </row>
    <row r="171">
      <c r="A171" s="117" t="n"/>
      <c r="B171" s="117" t="n"/>
      <c r="C171" s="117" t="n"/>
      <c r="D171" s="117" t="n"/>
      <c r="E171" s="117" t="n"/>
      <c r="F171" s="117" t="n"/>
      <c r="G171" s="117" t="n"/>
      <c r="H171" s="117" t="n"/>
      <c r="I171" s="117" t="n"/>
      <c r="J171" s="117" t="n"/>
      <c r="K171" s="117" t="n"/>
      <c r="L171" s="117" t="n"/>
      <c r="M171" s="117" t="n"/>
      <c r="N171" s="117" t="n"/>
      <c r="O171" s="117" t="n"/>
      <c r="P171" s="117" t="n"/>
      <c r="Q171" s="117" t="n"/>
      <c r="R171" s="117" t="n"/>
      <c r="S171" s="117" t="n"/>
      <c r="T171" s="117" t="n"/>
      <c r="U171" s="117" t="n"/>
      <c r="V171" s="117" t="n"/>
      <c r="W171" s="117" t="n"/>
      <c r="X171" s="117" t="n"/>
      <c r="Y171" s="117" t="n"/>
      <c r="Z171" s="117" t="n"/>
      <c r="AA171" s="117" t="n"/>
      <c r="AB171" s="117" t="n"/>
      <c r="AC171" s="117" t="n"/>
      <c r="AD171" s="117" t="n"/>
      <c r="AE171" s="117" t="n"/>
      <c r="AF171" s="117" t="n"/>
      <c r="AG171" s="117" t="n"/>
      <c r="AH171" s="117" t="n"/>
      <c r="AI171" s="117" t="n"/>
      <c r="AJ171" s="117" t="n"/>
      <c r="AK171" s="117" t="n"/>
    </row>
    <row r="172">
      <c r="A172" s="117" t="n"/>
      <c r="B172" s="117" t="n"/>
      <c r="C172" s="117" t="n"/>
      <c r="D172" s="117" t="n"/>
      <c r="E172" s="117" t="n"/>
      <c r="F172" s="117" t="n"/>
      <c r="G172" s="117" t="n"/>
      <c r="H172" s="117" t="n"/>
      <c r="I172" s="117" t="n"/>
      <c r="J172" s="117" t="n"/>
      <c r="K172" s="117" t="n"/>
      <c r="L172" s="117" t="n"/>
      <c r="M172" s="117" t="n"/>
      <c r="N172" s="117" t="n"/>
      <c r="O172" s="117" t="n"/>
      <c r="P172" s="117" t="n"/>
      <c r="Q172" s="117" t="n"/>
      <c r="R172" s="117" t="n"/>
      <c r="S172" s="117" t="n"/>
      <c r="T172" s="117" t="n"/>
      <c r="U172" s="117" t="n"/>
      <c r="V172" s="117" t="n"/>
      <c r="W172" s="117" t="n"/>
      <c r="X172" s="117" t="n"/>
      <c r="Y172" s="117" t="n"/>
      <c r="Z172" s="117" t="n"/>
      <c r="AA172" s="117" t="n"/>
      <c r="AB172" s="117" t="n"/>
      <c r="AC172" s="117" t="n"/>
      <c r="AD172" s="117" t="n"/>
      <c r="AE172" s="117" t="n"/>
      <c r="AF172" s="117" t="n"/>
      <c r="AG172" s="117" t="n"/>
      <c r="AH172" s="117" t="n"/>
      <c r="AI172" s="117" t="n"/>
      <c r="AJ172" s="117" t="n"/>
      <c r="AK172" s="117" t="n"/>
    </row>
    <row r="173">
      <c r="A173" s="117" t="n"/>
      <c r="B173" s="117" t="n"/>
      <c r="C173" s="117" t="n"/>
      <c r="D173" s="117" t="n"/>
      <c r="E173" s="117" t="n"/>
      <c r="F173" s="117" t="n"/>
      <c r="G173" s="117" t="n"/>
      <c r="H173" s="117" t="n"/>
      <c r="I173" s="117" t="n"/>
      <c r="J173" s="117" t="n"/>
      <c r="K173" s="117" t="n"/>
      <c r="L173" s="117" t="n"/>
      <c r="M173" s="117" t="n"/>
      <c r="N173" s="117" t="n"/>
      <c r="O173" s="117" t="n"/>
      <c r="P173" s="117" t="n"/>
      <c r="Q173" s="117" t="n"/>
      <c r="R173" s="117" t="n"/>
      <c r="S173" s="117" t="n"/>
      <c r="T173" s="117" t="n"/>
      <c r="U173" s="117" t="n"/>
      <c r="V173" s="117" t="n"/>
      <c r="W173" s="117" t="n"/>
      <c r="X173" s="117" t="n"/>
      <c r="Y173" s="117" t="n"/>
      <c r="Z173" s="117" t="n"/>
      <c r="AA173" s="117" t="n"/>
      <c r="AB173" s="117" t="n"/>
      <c r="AC173" s="117" t="n"/>
      <c r="AD173" s="117" t="n"/>
      <c r="AE173" s="117" t="n"/>
      <c r="AF173" s="117" t="n"/>
      <c r="AG173" s="117" t="n"/>
      <c r="AH173" s="117" t="n"/>
      <c r="AI173" s="117" t="n"/>
      <c r="AJ173" s="117" t="n"/>
      <c r="AK173" s="117" t="n"/>
    </row>
    <row r="174">
      <c r="A174" s="117" t="n"/>
      <c r="B174" s="117" t="n"/>
      <c r="C174" s="117" t="n"/>
      <c r="D174" s="117" t="n"/>
      <c r="E174" s="117" t="n"/>
      <c r="F174" s="117" t="n"/>
      <c r="G174" s="117" t="n"/>
      <c r="H174" s="117" t="n"/>
      <c r="I174" s="117" t="n"/>
      <c r="J174" s="117" t="n"/>
      <c r="K174" s="117" t="n"/>
      <c r="L174" s="117" t="n"/>
      <c r="M174" s="117" t="n"/>
      <c r="N174" s="117" t="n"/>
      <c r="O174" s="117" t="n"/>
      <c r="P174" s="117" t="n"/>
      <c r="Q174" s="117" t="n"/>
      <c r="R174" s="117" t="n"/>
      <c r="S174" s="117" t="n"/>
      <c r="T174" s="117" t="n"/>
      <c r="U174" s="117" t="n"/>
      <c r="V174" s="117" t="n"/>
      <c r="W174" s="117" t="n"/>
      <c r="X174" s="117" t="n"/>
      <c r="Y174" s="117" t="n"/>
      <c r="Z174" s="117" t="n"/>
      <c r="AA174" s="117" t="n"/>
      <c r="AB174" s="117" t="n"/>
      <c r="AC174" s="117" t="n"/>
      <c r="AD174" s="117" t="n"/>
      <c r="AE174" s="117" t="n"/>
      <c r="AF174" s="117" t="n"/>
      <c r="AG174" s="117" t="n"/>
      <c r="AH174" s="117" t="n"/>
      <c r="AI174" s="117" t="n"/>
      <c r="AJ174" s="117" t="n"/>
      <c r="AK174" s="117" t="n"/>
    </row>
    <row r="175">
      <c r="A175" s="117" t="n"/>
      <c r="B175" s="117" t="n"/>
      <c r="C175" s="117" t="n"/>
      <c r="D175" s="117" t="n"/>
      <c r="E175" s="117" t="n"/>
      <c r="F175" s="117" t="n"/>
      <c r="G175" s="117" t="n"/>
      <c r="H175" s="117" t="n"/>
      <c r="I175" s="117" t="n"/>
      <c r="J175" s="117" t="n"/>
      <c r="K175" s="117" t="n"/>
      <c r="L175" s="117" t="n"/>
      <c r="M175" s="117" t="n"/>
      <c r="N175" s="117" t="n"/>
      <c r="O175" s="117" t="n"/>
      <c r="P175" s="117" t="n"/>
      <c r="Q175" s="117" t="n"/>
      <c r="R175" s="117" t="n"/>
      <c r="S175" s="117" t="n"/>
      <c r="T175" s="117" t="n"/>
      <c r="U175" s="117" t="n"/>
      <c r="V175" s="117" t="n"/>
      <c r="W175" s="117" t="n"/>
      <c r="X175" s="117" t="n"/>
      <c r="Y175" s="117" t="n"/>
      <c r="Z175" s="117" t="n"/>
      <c r="AA175" s="117" t="n"/>
      <c r="AB175" s="117" t="n"/>
      <c r="AC175" s="117" t="n"/>
      <c r="AD175" s="117" t="n"/>
      <c r="AE175" s="117" t="n"/>
      <c r="AF175" s="117" t="n"/>
      <c r="AG175" s="117" t="n"/>
      <c r="AH175" s="117" t="n"/>
      <c r="AI175" s="117" t="n"/>
      <c r="AJ175" s="117" t="n"/>
      <c r="AK175" s="117" t="n"/>
    </row>
    <row r="176">
      <c r="A176" s="117" t="n"/>
      <c r="B176" s="117" t="n"/>
      <c r="C176" s="117" t="n"/>
      <c r="D176" s="117" t="n"/>
      <c r="E176" s="117" t="n"/>
      <c r="F176" s="117" t="n"/>
      <c r="G176" s="117" t="n"/>
      <c r="H176" s="117" t="n"/>
      <c r="I176" s="117" t="n"/>
      <c r="J176" s="117" t="n"/>
      <c r="K176" s="117" t="n"/>
      <c r="L176" s="117" t="n"/>
      <c r="M176" s="117" t="n"/>
      <c r="N176" s="117" t="n"/>
      <c r="O176" s="117" t="n"/>
      <c r="P176" s="117" t="n"/>
      <c r="Q176" s="117" t="n"/>
      <c r="R176" s="117" t="n"/>
      <c r="S176" s="117" t="n"/>
      <c r="T176" s="117" t="n"/>
      <c r="U176" s="117" t="n"/>
      <c r="V176" s="117" t="n"/>
      <c r="W176" s="117" t="n"/>
      <c r="X176" s="117" t="n"/>
      <c r="Y176" s="117" t="n"/>
      <c r="Z176" s="117" t="n"/>
      <c r="AA176" s="117" t="n"/>
      <c r="AB176" s="117" t="n"/>
      <c r="AC176" s="117" t="n"/>
      <c r="AD176" s="117" t="n"/>
      <c r="AE176" s="117" t="n"/>
      <c r="AF176" s="117" t="n"/>
      <c r="AG176" s="117" t="n"/>
      <c r="AH176" s="117" t="n"/>
      <c r="AI176" s="117" t="n"/>
      <c r="AJ176" s="117" t="n"/>
      <c r="AK176" s="117" t="n"/>
    </row>
    <row r="177">
      <c r="A177" s="117" t="n"/>
      <c r="B177" s="117" t="n"/>
      <c r="C177" s="117" t="n"/>
      <c r="D177" s="117" t="n"/>
      <c r="E177" s="117" t="n"/>
      <c r="F177" s="117" t="n"/>
      <c r="G177" s="117" t="n"/>
      <c r="H177" s="117" t="n"/>
      <c r="I177" s="117" t="n"/>
      <c r="J177" s="117" t="n"/>
      <c r="K177" s="117" t="n"/>
      <c r="L177" s="117" t="n"/>
      <c r="M177" s="117" t="n"/>
      <c r="N177" s="117" t="n"/>
      <c r="O177" s="117" t="n"/>
      <c r="P177" s="117" t="n"/>
      <c r="Q177" s="117" t="n"/>
      <c r="R177" s="117" t="n"/>
      <c r="S177" s="117" t="n"/>
      <c r="T177" s="117" t="n"/>
      <c r="U177" s="117" t="n"/>
      <c r="V177" s="117" t="n"/>
      <c r="W177" s="117" t="n"/>
      <c r="X177" s="117" t="n"/>
      <c r="Y177" s="117" t="n"/>
      <c r="Z177" s="117" t="n"/>
      <c r="AA177" s="117" t="n"/>
      <c r="AB177" s="117" t="n"/>
      <c r="AC177" s="117" t="n"/>
      <c r="AD177" s="117" t="n"/>
      <c r="AE177" s="117" t="n"/>
      <c r="AF177" s="117" t="n"/>
      <c r="AG177" s="117" t="n"/>
      <c r="AH177" s="117" t="n"/>
      <c r="AI177" s="117" t="n"/>
      <c r="AJ177" s="117" t="n"/>
      <c r="AK177" s="117" t="n"/>
    </row>
    <row r="178">
      <c r="A178" s="117" t="n"/>
      <c r="B178" s="117" t="n"/>
      <c r="C178" s="117" t="n"/>
      <c r="D178" s="117" t="n"/>
      <c r="E178" s="117" t="n"/>
      <c r="F178" s="117" t="n"/>
      <c r="G178" s="117" t="n"/>
      <c r="H178" s="117" t="n"/>
      <c r="I178" s="117" t="n"/>
      <c r="J178" s="117" t="n"/>
      <c r="K178" s="117" t="n"/>
      <c r="L178" s="117" t="n"/>
      <c r="M178" s="117" t="n"/>
      <c r="N178" s="117" t="n"/>
      <c r="O178" s="117" t="n"/>
      <c r="P178" s="117" t="n"/>
      <c r="Q178" s="117" t="n"/>
      <c r="R178" s="117" t="n"/>
      <c r="S178" s="117" t="n"/>
      <c r="T178" s="117" t="n"/>
      <c r="U178" s="117" t="n"/>
      <c r="V178" s="117" t="n"/>
      <c r="W178" s="117" t="n"/>
      <c r="X178" s="117" t="n"/>
      <c r="Y178" s="117" t="n"/>
      <c r="Z178" s="117" t="n"/>
      <c r="AA178" s="117" t="n"/>
      <c r="AB178" s="117" t="n"/>
      <c r="AC178" s="117" t="n"/>
      <c r="AD178" s="117" t="n"/>
      <c r="AE178" s="117" t="n"/>
      <c r="AF178" s="117" t="n"/>
      <c r="AG178" s="117" t="n"/>
      <c r="AH178" s="117" t="n"/>
      <c r="AI178" s="117" t="n"/>
      <c r="AJ178" s="117" t="n"/>
      <c r="AK178" s="117" t="n"/>
    </row>
    <row r="179">
      <c r="A179" s="117" t="n"/>
      <c r="B179" s="117" t="n"/>
      <c r="C179" s="117" t="n"/>
      <c r="D179" s="117" t="n"/>
      <c r="E179" s="117" t="n"/>
      <c r="F179" s="117" t="n"/>
      <c r="G179" s="117" t="n"/>
      <c r="H179" s="117" t="n"/>
      <c r="I179" s="117" t="n"/>
      <c r="J179" s="117" t="n"/>
      <c r="K179" s="117" t="n"/>
      <c r="L179" s="117" t="n"/>
      <c r="M179" s="117" t="n"/>
      <c r="N179" s="117" t="n"/>
      <c r="O179" s="117" t="n"/>
      <c r="P179" s="117" t="n"/>
      <c r="Q179" s="117" t="n"/>
      <c r="R179" s="117" t="n"/>
      <c r="S179" s="117" t="n"/>
      <c r="T179" s="117" t="n"/>
      <c r="U179" s="117" t="n"/>
      <c r="V179" s="117" t="n"/>
      <c r="W179" s="117" t="n"/>
      <c r="X179" s="117" t="n"/>
      <c r="Y179" s="117" t="n"/>
      <c r="Z179" s="117" t="n"/>
      <c r="AA179" s="117" t="n"/>
      <c r="AB179" s="117" t="n"/>
      <c r="AC179" s="117" t="n"/>
      <c r="AD179" s="117" t="n"/>
      <c r="AE179" s="117" t="n"/>
      <c r="AF179" s="117" t="n"/>
      <c r="AG179" s="117" t="n"/>
      <c r="AH179" s="117" t="n"/>
      <c r="AI179" s="117" t="n"/>
      <c r="AJ179" s="117" t="n"/>
      <c r="AK179" s="117" t="n"/>
    </row>
    <row r="180">
      <c r="A180" s="117" t="n"/>
      <c r="B180" s="117" t="n"/>
      <c r="C180" s="117" t="n"/>
      <c r="D180" s="117" t="n"/>
      <c r="E180" s="117" t="n"/>
      <c r="F180" s="117" t="n"/>
      <c r="G180" s="117" t="n"/>
      <c r="H180" s="117" t="n"/>
      <c r="I180" s="117" t="n"/>
      <c r="J180" s="117" t="n"/>
      <c r="K180" s="117" t="n"/>
      <c r="L180" s="117" t="n"/>
      <c r="M180" s="117" t="n"/>
      <c r="N180" s="117" t="n"/>
      <c r="O180" s="117" t="n"/>
      <c r="P180" s="117" t="n"/>
      <c r="Q180" s="117" t="n"/>
      <c r="R180" s="117" t="n"/>
      <c r="S180" s="117" t="n"/>
      <c r="T180" s="117" t="n"/>
      <c r="U180" s="117" t="n"/>
      <c r="V180" s="117" t="n"/>
      <c r="W180" s="117" t="n"/>
      <c r="X180" s="117" t="n"/>
      <c r="Y180" s="117" t="n"/>
      <c r="Z180" s="117" t="n"/>
      <c r="AA180" s="117" t="n"/>
      <c r="AB180" s="117" t="n"/>
      <c r="AC180" s="117" t="n"/>
      <c r="AD180" s="117" t="n"/>
      <c r="AE180" s="117" t="n"/>
      <c r="AF180" s="117" t="n"/>
      <c r="AG180" s="117" t="n"/>
      <c r="AH180" s="117" t="n"/>
      <c r="AI180" s="117" t="n"/>
      <c r="AJ180" s="117" t="n"/>
      <c r="AK180" s="117" t="n"/>
    </row>
    <row r="181">
      <c r="A181" s="117" t="n"/>
      <c r="B181" s="117" t="n"/>
      <c r="C181" s="117" t="n"/>
      <c r="D181" s="117" t="n"/>
      <c r="E181" s="117" t="n"/>
      <c r="F181" s="117" t="n"/>
      <c r="G181" s="117" t="n"/>
      <c r="H181" s="117" t="n"/>
      <c r="I181" s="117" t="n"/>
      <c r="J181" s="117" t="n"/>
      <c r="K181" s="117" t="n"/>
      <c r="L181" s="117" t="n"/>
      <c r="M181" s="117" t="n"/>
      <c r="N181" s="117" t="n"/>
      <c r="O181" s="117" t="n"/>
      <c r="P181" s="117" t="n"/>
      <c r="Q181" s="117" t="n"/>
      <c r="R181" s="117" t="n"/>
      <c r="S181" s="117" t="n"/>
      <c r="T181" s="117" t="n"/>
      <c r="U181" s="117" t="n"/>
      <c r="V181" s="117" t="n"/>
      <c r="W181" s="117" t="n"/>
      <c r="X181" s="117" t="n"/>
      <c r="Y181" s="117" t="n"/>
      <c r="Z181" s="117" t="n"/>
      <c r="AA181" s="117" t="n"/>
      <c r="AB181" s="117" t="n"/>
      <c r="AC181" s="117" t="n"/>
      <c r="AD181" s="117" t="n"/>
      <c r="AE181" s="117" t="n"/>
      <c r="AF181" s="117" t="n"/>
      <c r="AG181" s="117" t="n"/>
      <c r="AH181" s="117" t="n"/>
      <c r="AI181" s="117" t="n"/>
      <c r="AJ181" s="117" t="n"/>
      <c r="AK181" s="117" t="n"/>
    </row>
    <row r="182">
      <c r="A182" s="117" t="n"/>
      <c r="B182" s="117" t="n"/>
      <c r="C182" s="117" t="n"/>
      <c r="D182" s="117" t="n"/>
      <c r="E182" s="117" t="n"/>
      <c r="F182" s="117" t="n"/>
      <c r="G182" s="117" t="n"/>
      <c r="H182" s="117" t="n"/>
      <c r="I182" s="117" t="n"/>
      <c r="J182" s="117" t="n"/>
      <c r="K182" s="117" t="n"/>
      <c r="L182" s="117" t="n"/>
      <c r="M182" s="117" t="n"/>
      <c r="N182" s="117" t="n"/>
      <c r="O182" s="117" t="n"/>
      <c r="P182" s="117" t="n"/>
      <c r="Q182" s="117" t="n"/>
      <c r="R182" s="117" t="n"/>
      <c r="S182" s="117" t="n"/>
      <c r="T182" s="117" t="n"/>
      <c r="U182" s="117" t="n"/>
      <c r="V182" s="117" t="n"/>
      <c r="W182" s="117" t="n"/>
      <c r="X182" s="117" t="n"/>
      <c r="Y182" s="117" t="n"/>
      <c r="Z182" s="117" t="n"/>
      <c r="AA182" s="117" t="n"/>
      <c r="AB182" s="117" t="n"/>
      <c r="AC182" s="117" t="n"/>
      <c r="AD182" s="117" t="n"/>
      <c r="AE182" s="117" t="n"/>
      <c r="AF182" s="117" t="n"/>
      <c r="AG182" s="117" t="n"/>
      <c r="AH182" s="117" t="n"/>
      <c r="AI182" s="117" t="n"/>
      <c r="AJ182" s="117" t="n"/>
      <c r="AK182" s="117" t="n"/>
    </row>
    <row r="183">
      <c r="A183" s="117" t="n"/>
      <c r="B183" s="117" t="n"/>
      <c r="C183" s="117" t="n"/>
      <c r="D183" s="117" t="n"/>
      <c r="E183" s="117" t="n"/>
      <c r="F183" s="117" t="n"/>
      <c r="G183" s="117" t="n"/>
      <c r="H183" s="117" t="n"/>
      <c r="I183" s="117" t="n"/>
      <c r="J183" s="117" t="n"/>
      <c r="K183" s="117" t="n"/>
      <c r="L183" s="117" t="n"/>
      <c r="M183" s="117" t="n"/>
      <c r="N183" s="117" t="n"/>
      <c r="O183" s="117" t="n"/>
      <c r="P183" s="117" t="n"/>
      <c r="Q183" s="117" t="n"/>
      <c r="R183" s="117" t="n"/>
      <c r="S183" s="117" t="n"/>
      <c r="T183" s="117" t="n"/>
      <c r="U183" s="117" t="n"/>
      <c r="V183" s="117" t="n"/>
      <c r="W183" s="117" t="n"/>
      <c r="X183" s="117" t="n"/>
      <c r="Y183" s="117" t="n"/>
      <c r="Z183" s="117" t="n"/>
      <c r="AA183" s="117" t="n"/>
      <c r="AB183" s="117" t="n"/>
      <c r="AC183" s="117" t="n"/>
      <c r="AD183" s="117" t="n"/>
      <c r="AE183" s="117" t="n"/>
      <c r="AF183" s="117" t="n"/>
      <c r="AG183" s="117" t="n"/>
      <c r="AH183" s="117" t="n"/>
      <c r="AI183" s="117" t="n"/>
      <c r="AJ183" s="117" t="n"/>
      <c r="AK183" s="117" t="n"/>
    </row>
    <row r="184">
      <c r="A184" s="117" t="n"/>
      <c r="B184" s="117" t="n"/>
      <c r="C184" s="117" t="n"/>
      <c r="D184" s="117" t="n"/>
      <c r="E184" s="117" t="n"/>
      <c r="F184" s="117" t="n"/>
      <c r="G184" s="117" t="n"/>
      <c r="H184" s="117" t="n"/>
      <c r="I184" s="117" t="n"/>
      <c r="J184" s="117" t="n"/>
      <c r="K184" s="117" t="n"/>
      <c r="L184" s="117" t="n"/>
      <c r="M184" s="117" t="n"/>
      <c r="N184" s="117" t="n"/>
      <c r="O184" s="117" t="n"/>
      <c r="P184" s="117" t="n"/>
      <c r="Q184" s="117" t="n"/>
      <c r="R184" s="117" t="n"/>
      <c r="S184" s="117" t="n"/>
      <c r="T184" s="117" t="n"/>
      <c r="U184" s="117" t="n"/>
      <c r="V184" s="117" t="n"/>
      <c r="W184" s="117" t="n"/>
      <c r="X184" s="117" t="n"/>
      <c r="Y184" s="117" t="n"/>
      <c r="Z184" s="117" t="n"/>
      <c r="AA184" s="117" t="n"/>
      <c r="AB184" s="117" t="n"/>
      <c r="AC184" s="117" t="n"/>
      <c r="AD184" s="117" t="n"/>
      <c r="AE184" s="117" t="n"/>
      <c r="AF184" s="117" t="n"/>
      <c r="AG184" s="117" t="n"/>
      <c r="AH184" s="117" t="n"/>
      <c r="AI184" s="117" t="n"/>
      <c r="AJ184" s="117" t="n"/>
      <c r="AK184" s="117" t="n"/>
    </row>
    <row r="185">
      <c r="A185" s="117" t="n"/>
      <c r="B185" s="117" t="n"/>
      <c r="C185" s="117" t="n"/>
      <c r="D185" s="117" t="n"/>
      <c r="E185" s="117" t="n"/>
      <c r="F185" s="117" t="n"/>
      <c r="G185" s="117" t="n"/>
      <c r="H185" s="117" t="n"/>
      <c r="I185" s="117" t="n"/>
      <c r="J185" s="117" t="n"/>
      <c r="K185" s="117" t="n"/>
      <c r="L185" s="117" t="n"/>
      <c r="M185" s="117" t="n"/>
      <c r="N185" s="117" t="n"/>
      <c r="O185" s="117" t="n"/>
      <c r="P185" s="117" t="n"/>
      <c r="Q185" s="117" t="n"/>
      <c r="R185" s="117" t="n"/>
      <c r="S185" s="117" t="n"/>
      <c r="T185" s="117" t="n"/>
      <c r="U185" s="117" t="n"/>
      <c r="V185" s="117" t="n"/>
      <c r="W185" s="117" t="n"/>
      <c r="X185" s="117" t="n"/>
      <c r="Y185" s="117" t="n"/>
      <c r="Z185" s="117" t="n"/>
      <c r="AA185" s="117" t="n"/>
      <c r="AB185" s="117" t="n"/>
      <c r="AC185" s="117" t="n"/>
      <c r="AD185" s="117" t="n"/>
      <c r="AE185" s="117" t="n"/>
      <c r="AF185" s="117" t="n"/>
      <c r="AG185" s="117" t="n"/>
      <c r="AH185" s="117" t="n"/>
      <c r="AI185" s="117" t="n"/>
      <c r="AJ185" s="117" t="n"/>
      <c r="AK185" s="117" t="n"/>
    </row>
    <row r="186">
      <c r="A186" s="117" t="n"/>
      <c r="B186" s="117" t="n"/>
      <c r="C186" s="117" t="n"/>
      <c r="D186" s="117" t="n"/>
      <c r="E186" s="117" t="n"/>
      <c r="F186" s="117" t="n"/>
      <c r="G186" s="117" t="n"/>
      <c r="H186" s="117" t="n"/>
      <c r="I186" s="117" t="n"/>
      <c r="J186" s="117" t="n"/>
      <c r="K186" s="117" t="n"/>
      <c r="L186" s="117" t="n"/>
      <c r="M186" s="117" t="n"/>
      <c r="N186" s="117" t="n"/>
      <c r="O186" s="117" t="n"/>
      <c r="P186" s="117" t="n"/>
      <c r="Q186" s="117" t="n"/>
      <c r="R186" s="117" t="n"/>
      <c r="S186" s="117" t="n"/>
      <c r="T186" s="117" t="n"/>
      <c r="U186" s="117" t="n"/>
      <c r="V186" s="117" t="n"/>
      <c r="W186" s="117" t="n"/>
      <c r="X186" s="117" t="n"/>
      <c r="Y186" s="117" t="n"/>
      <c r="Z186" s="117" t="n"/>
      <c r="AA186" s="117" t="n"/>
      <c r="AB186" s="117" t="n"/>
      <c r="AC186" s="117" t="n"/>
      <c r="AD186" s="117" t="n"/>
      <c r="AE186" s="117" t="n"/>
      <c r="AF186" s="117" t="n"/>
      <c r="AG186" s="117" t="n"/>
      <c r="AH186" s="117" t="n"/>
      <c r="AI186" s="117" t="n"/>
      <c r="AJ186" s="117" t="n"/>
      <c r="AK186" s="117" t="n"/>
    </row>
    <row r="187">
      <c r="A187" s="117" t="n"/>
      <c r="B187" s="117" t="n"/>
      <c r="C187" s="117" t="n"/>
      <c r="D187" s="117" t="n"/>
      <c r="E187" s="117" t="n"/>
      <c r="F187" s="117" t="n"/>
      <c r="G187" s="117" t="n"/>
      <c r="H187" s="117" t="n"/>
      <c r="I187" s="117" t="n"/>
      <c r="J187" s="117" t="n"/>
      <c r="K187" s="117" t="n"/>
      <c r="L187" s="117" t="n"/>
      <c r="M187" s="117" t="n"/>
      <c r="N187" s="117" t="n"/>
      <c r="O187" s="117" t="n"/>
      <c r="P187" s="117" t="n"/>
      <c r="Q187" s="117" t="n"/>
      <c r="R187" s="117" t="n"/>
      <c r="S187" s="117" t="n"/>
      <c r="T187" s="117" t="n"/>
      <c r="U187" s="117" t="n"/>
      <c r="V187" s="117" t="n"/>
      <c r="W187" s="117" t="n"/>
      <c r="X187" s="117" t="n"/>
      <c r="Y187" s="117" t="n"/>
      <c r="Z187" s="117" t="n"/>
      <c r="AA187" s="117" t="n"/>
      <c r="AB187" s="117" t="n"/>
      <c r="AC187" s="117" t="n"/>
      <c r="AD187" s="117" t="n"/>
      <c r="AE187" s="117" t="n"/>
      <c r="AF187" s="117" t="n"/>
      <c r="AG187" s="117" t="n"/>
      <c r="AH187" s="117" t="n"/>
      <c r="AI187" s="117" t="n"/>
      <c r="AJ187" s="117" t="n"/>
      <c r="AK187" s="117" t="n"/>
    </row>
    <row r="188">
      <c r="A188" s="117" t="n"/>
      <c r="B188" s="117" t="n"/>
      <c r="C188" s="117" t="n"/>
      <c r="D188" s="117" t="n"/>
      <c r="E188" s="117" t="n"/>
      <c r="F188" s="117" t="n"/>
      <c r="G188" s="117" t="n"/>
      <c r="H188" s="117" t="n"/>
      <c r="I188" s="117" t="n"/>
      <c r="J188" s="117" t="n"/>
      <c r="K188" s="117" t="n"/>
      <c r="L188" s="117" t="n"/>
      <c r="M188" s="117" t="n"/>
      <c r="N188" s="117" t="n"/>
      <c r="O188" s="117" t="n"/>
      <c r="P188" s="117" t="n"/>
      <c r="Q188" s="117" t="n"/>
      <c r="R188" s="117" t="n"/>
      <c r="S188" s="117" t="n"/>
      <c r="T188" s="117" t="n"/>
      <c r="U188" s="117" t="n"/>
      <c r="V188" s="117" t="n"/>
      <c r="W188" s="117" t="n"/>
      <c r="X188" s="117" t="n"/>
      <c r="Y188" s="117" t="n"/>
      <c r="Z188" s="117" t="n"/>
      <c r="AA188" s="117" t="n"/>
      <c r="AB188" s="117" t="n"/>
      <c r="AC188" s="117" t="n"/>
      <c r="AD188" s="117" t="n"/>
      <c r="AE188" s="117" t="n"/>
      <c r="AF188" s="117" t="n"/>
      <c r="AG188" s="117" t="n"/>
      <c r="AH188" s="117" t="n"/>
      <c r="AI188" s="117" t="n"/>
      <c r="AJ188" s="117" t="n"/>
      <c r="AK188" s="117" t="n"/>
    </row>
    <row r="189">
      <c r="A189" s="117" t="n"/>
      <c r="B189" s="117" t="n"/>
      <c r="C189" s="117" t="n"/>
      <c r="D189" s="117" t="n"/>
      <c r="E189" s="117" t="n"/>
      <c r="F189" s="117" t="n"/>
      <c r="G189" s="117" t="n"/>
      <c r="H189" s="117" t="n"/>
      <c r="I189" s="117" t="n"/>
      <c r="J189" s="117" t="n"/>
      <c r="K189" s="117" t="n"/>
      <c r="L189" s="117" t="n"/>
      <c r="M189" s="117" t="n"/>
      <c r="N189" s="117" t="n"/>
      <c r="O189" s="117" t="n"/>
      <c r="P189" s="117" t="n"/>
      <c r="Q189" s="117" t="n"/>
      <c r="R189" s="117" t="n"/>
      <c r="S189" s="117" t="n"/>
      <c r="T189" s="117" t="n"/>
      <c r="U189" s="117" t="n"/>
      <c r="V189" s="117" t="n"/>
      <c r="W189" s="117" t="n"/>
      <c r="X189" s="117" t="n"/>
      <c r="Y189" s="117" t="n"/>
      <c r="Z189" s="117" t="n"/>
      <c r="AA189" s="117" t="n"/>
      <c r="AB189" s="117" t="n"/>
      <c r="AC189" s="117" t="n"/>
      <c r="AD189" s="117" t="n"/>
      <c r="AE189" s="117" t="n"/>
      <c r="AF189" s="117" t="n"/>
      <c r="AG189" s="117" t="n"/>
      <c r="AH189" s="117" t="n"/>
      <c r="AI189" s="117" t="n"/>
      <c r="AJ189" s="117" t="n"/>
      <c r="AK189" s="117" t="n"/>
    </row>
    <row r="190">
      <c r="A190" s="117" t="n"/>
      <c r="B190" s="117" t="n"/>
      <c r="C190" s="117" t="n"/>
      <c r="D190" s="117" t="n"/>
      <c r="E190" s="117" t="n"/>
      <c r="F190" s="117" t="n"/>
      <c r="G190" s="117" t="n"/>
      <c r="H190" s="117" t="n"/>
      <c r="I190" s="117" t="n"/>
      <c r="J190" s="117" t="n"/>
      <c r="K190" s="117" t="n"/>
      <c r="L190" s="117" t="n"/>
      <c r="M190" s="117" t="n"/>
      <c r="N190" s="117" t="n"/>
      <c r="O190" s="117" t="n"/>
      <c r="P190" s="117" t="n"/>
      <c r="Q190" s="117" t="n"/>
      <c r="R190" s="117" t="n"/>
      <c r="S190" s="117" t="n"/>
      <c r="T190" s="117" t="n"/>
      <c r="U190" s="117" t="n"/>
      <c r="V190" s="117" t="n"/>
      <c r="W190" s="117" t="n"/>
      <c r="X190" s="117" t="n"/>
      <c r="Y190" s="117" t="n"/>
      <c r="Z190" s="117" t="n"/>
      <c r="AA190" s="117" t="n"/>
      <c r="AB190" s="117" t="n"/>
      <c r="AC190" s="117" t="n"/>
      <c r="AD190" s="117" t="n"/>
      <c r="AE190" s="117" t="n"/>
      <c r="AF190" s="117" t="n"/>
      <c r="AG190" s="117" t="n"/>
      <c r="AH190" s="117" t="n"/>
      <c r="AI190" s="117" t="n"/>
      <c r="AJ190" s="117" t="n"/>
      <c r="AK190" s="117" t="n"/>
    </row>
    <row r="191">
      <c r="A191" s="117" t="n"/>
      <c r="B191" s="117" t="n"/>
      <c r="C191" s="117" t="n"/>
      <c r="D191" s="117" t="n"/>
      <c r="E191" s="117" t="n"/>
      <c r="F191" s="117" t="n"/>
      <c r="G191" s="117" t="n"/>
      <c r="H191" s="117" t="n"/>
      <c r="I191" s="117" t="n"/>
      <c r="J191" s="117" t="n"/>
      <c r="K191" s="117" t="n"/>
      <c r="L191" s="117" t="n"/>
      <c r="M191" s="117" t="n"/>
      <c r="N191" s="117" t="n"/>
      <c r="O191" s="117" t="n"/>
      <c r="P191" s="117" t="n"/>
      <c r="Q191" s="117" t="n"/>
      <c r="R191" s="117" t="n"/>
      <c r="S191" s="117" t="n"/>
      <c r="T191" s="117" t="n"/>
      <c r="U191" s="117" t="n"/>
      <c r="V191" s="117" t="n"/>
      <c r="W191" s="117" t="n"/>
      <c r="X191" s="117" t="n"/>
      <c r="Y191" s="117" t="n"/>
      <c r="Z191" s="117" t="n"/>
      <c r="AA191" s="117" t="n"/>
      <c r="AB191" s="117" t="n"/>
      <c r="AC191" s="117" t="n"/>
      <c r="AD191" s="117" t="n"/>
      <c r="AE191" s="117" t="n"/>
      <c r="AF191" s="117" t="n"/>
      <c r="AG191" s="117" t="n"/>
      <c r="AH191" s="117" t="n"/>
      <c r="AI191" s="117" t="n"/>
      <c r="AJ191" s="117" t="n"/>
      <c r="AK191" s="117" t="n"/>
    </row>
    <row r="192">
      <c r="A192" s="117" t="n"/>
      <c r="B192" s="117" t="n"/>
      <c r="C192" s="117" t="n"/>
      <c r="D192" s="117" t="n"/>
      <c r="E192" s="117" t="n"/>
      <c r="F192" s="117" t="n"/>
      <c r="G192" s="117" t="n"/>
      <c r="H192" s="117" t="n"/>
      <c r="I192" s="117" t="n"/>
      <c r="J192" s="117" t="n"/>
      <c r="K192" s="117" t="n"/>
      <c r="L192" s="117" t="n"/>
      <c r="M192" s="117" t="n"/>
      <c r="N192" s="117" t="n"/>
      <c r="O192" s="117" t="n"/>
      <c r="P192" s="117" t="n"/>
      <c r="Q192" s="117" t="n"/>
      <c r="R192" s="117" t="n"/>
      <c r="S192" s="117" t="n"/>
      <c r="T192" s="117" t="n"/>
      <c r="U192" s="117" t="n"/>
      <c r="V192" s="117" t="n"/>
      <c r="W192" s="117" t="n"/>
      <c r="X192" s="117" t="n"/>
      <c r="Y192" s="117" t="n"/>
      <c r="Z192" s="117" t="n"/>
      <c r="AA192" s="117" t="n"/>
      <c r="AB192" s="117" t="n"/>
      <c r="AC192" s="117" t="n"/>
      <c r="AD192" s="117" t="n"/>
      <c r="AE192" s="117" t="n"/>
      <c r="AF192" s="117" t="n"/>
      <c r="AG192" s="117" t="n"/>
      <c r="AH192" s="117" t="n"/>
      <c r="AI192" s="117" t="n"/>
      <c r="AJ192" s="117" t="n"/>
      <c r="AK192" s="117" t="n"/>
    </row>
    <row r="193">
      <c r="A193" s="117" t="n"/>
      <c r="B193" s="117" t="n"/>
      <c r="C193" s="117" t="n"/>
      <c r="D193" s="117" t="n"/>
      <c r="E193" s="117" t="n"/>
      <c r="F193" s="117" t="n"/>
      <c r="G193" s="117" t="n"/>
      <c r="H193" s="117" t="n"/>
      <c r="I193" s="117" t="n"/>
      <c r="J193" s="117" t="n"/>
      <c r="K193" s="117" t="n"/>
      <c r="L193" s="117" t="n"/>
      <c r="M193" s="117" t="n"/>
      <c r="N193" s="117" t="n"/>
      <c r="O193" s="117" t="n"/>
      <c r="P193" s="117" t="n"/>
      <c r="Q193" s="117" t="n"/>
      <c r="R193" s="117" t="n"/>
      <c r="S193" s="117" t="n"/>
      <c r="T193" s="117" t="n"/>
      <c r="U193" s="117" t="n"/>
      <c r="V193" s="117" t="n"/>
      <c r="W193" s="117" t="n"/>
      <c r="X193" s="117" t="n"/>
      <c r="Y193" s="117" t="n"/>
      <c r="Z193" s="117" t="n"/>
      <c r="AA193" s="117" t="n"/>
      <c r="AB193" s="117" t="n"/>
      <c r="AC193" s="117" t="n"/>
      <c r="AD193" s="117" t="n"/>
      <c r="AE193" s="117" t="n"/>
      <c r="AF193" s="117" t="n"/>
      <c r="AG193" s="117" t="n"/>
      <c r="AH193" s="117" t="n"/>
      <c r="AI193" s="117" t="n"/>
      <c r="AJ193" s="117" t="n"/>
      <c r="AK193" s="117" t="n"/>
    </row>
    <row r="194">
      <c r="A194" s="117" t="n"/>
      <c r="B194" s="117" t="n"/>
      <c r="C194" s="117" t="n"/>
      <c r="D194" s="117" t="n"/>
      <c r="E194" s="117" t="n"/>
      <c r="F194" s="117" t="n"/>
      <c r="G194" s="117" t="n"/>
      <c r="H194" s="117" t="n"/>
      <c r="I194" s="117" t="n"/>
      <c r="J194" s="117" t="n"/>
      <c r="K194" s="117" t="n"/>
      <c r="L194" s="117" t="n"/>
      <c r="M194" s="117" t="n"/>
      <c r="N194" s="117" t="n"/>
      <c r="O194" s="117" t="n"/>
      <c r="P194" s="117" t="n"/>
      <c r="Q194" s="117" t="n"/>
      <c r="R194" s="117" t="n"/>
      <c r="S194" s="117" t="n"/>
      <c r="T194" s="117" t="n"/>
      <c r="U194" s="117" t="n"/>
      <c r="V194" s="117" t="n"/>
      <c r="W194" s="117" t="n"/>
      <c r="X194" s="117" t="n"/>
      <c r="Y194" s="117" t="n"/>
      <c r="Z194" s="117" t="n"/>
      <c r="AA194" s="117" t="n"/>
      <c r="AB194" s="117" t="n"/>
      <c r="AC194" s="117" t="n"/>
      <c r="AD194" s="117" t="n"/>
      <c r="AE194" s="117" t="n"/>
      <c r="AF194" s="117" t="n"/>
      <c r="AG194" s="117" t="n"/>
      <c r="AH194" s="117" t="n"/>
      <c r="AI194" s="117" t="n"/>
      <c r="AJ194" s="117" t="n"/>
      <c r="AK194" s="117" t="n"/>
    </row>
    <row r="195">
      <c r="A195" s="117" t="n"/>
      <c r="B195" s="117" t="n"/>
      <c r="C195" s="117" t="n"/>
      <c r="D195" s="117" t="n"/>
      <c r="E195" s="117" t="n"/>
      <c r="F195" s="117" t="n"/>
      <c r="G195" s="117" t="n"/>
      <c r="H195" s="117" t="n"/>
      <c r="I195" s="117" t="n"/>
      <c r="J195" s="117" t="n"/>
      <c r="K195" s="117" t="n"/>
      <c r="L195" s="117" t="n"/>
      <c r="M195" s="117" t="n"/>
      <c r="N195" s="117" t="n"/>
      <c r="O195" s="117" t="n"/>
      <c r="P195" s="117" t="n"/>
      <c r="Q195" s="117" t="n"/>
      <c r="R195" s="117" t="n"/>
      <c r="S195" s="117" t="n"/>
      <c r="T195" s="117" t="n"/>
      <c r="U195" s="117" t="n"/>
      <c r="V195" s="117" t="n"/>
      <c r="W195" s="117" t="n"/>
      <c r="X195" s="117" t="n"/>
      <c r="Y195" s="117" t="n"/>
      <c r="Z195" s="117" t="n"/>
      <c r="AA195" s="117" t="n"/>
      <c r="AB195" s="117" t="n"/>
      <c r="AC195" s="117" t="n"/>
      <c r="AD195" s="117" t="n"/>
      <c r="AE195" s="117" t="n"/>
      <c r="AF195" s="117" t="n"/>
      <c r="AG195" s="117" t="n"/>
      <c r="AH195" s="117" t="n"/>
      <c r="AI195" s="117" t="n"/>
      <c r="AJ195" s="117" t="n"/>
      <c r="AK195" s="117" t="n"/>
    </row>
    <row r="196">
      <c r="A196" s="117" t="n"/>
      <c r="B196" s="117" t="n"/>
      <c r="C196" s="117" t="n"/>
      <c r="D196" s="117" t="n"/>
      <c r="E196" s="117" t="n"/>
      <c r="F196" s="117" t="n"/>
      <c r="G196" s="117" t="n"/>
      <c r="H196" s="117" t="n"/>
      <c r="I196" s="117" t="n"/>
      <c r="J196" s="117" t="n"/>
      <c r="K196" s="117" t="n"/>
      <c r="L196" s="117" t="n"/>
      <c r="M196" s="117" t="n"/>
      <c r="N196" s="117" t="n"/>
      <c r="O196" s="117" t="n"/>
      <c r="P196" s="117" t="n"/>
      <c r="Q196" s="117" t="n"/>
      <c r="R196" s="117" t="n"/>
      <c r="S196" s="117" t="n"/>
      <c r="T196" s="117" t="n"/>
      <c r="U196" s="117" t="n"/>
      <c r="V196" s="117" t="n"/>
      <c r="W196" s="117" t="n"/>
      <c r="X196" s="117" t="n"/>
      <c r="Y196" s="117" t="n"/>
      <c r="Z196" s="117" t="n"/>
      <c r="AA196" s="117" t="n"/>
      <c r="AB196" s="117" t="n"/>
      <c r="AC196" s="117" t="n"/>
      <c r="AD196" s="117" t="n"/>
      <c r="AE196" s="117" t="n"/>
      <c r="AF196" s="117" t="n"/>
      <c r="AG196" s="117" t="n"/>
      <c r="AH196" s="117" t="n"/>
      <c r="AI196" s="117" t="n"/>
      <c r="AJ196" s="117" t="n"/>
      <c r="AK196" s="117" t="n"/>
    </row>
    <row r="197">
      <c r="A197" s="117" t="n"/>
      <c r="B197" s="117" t="n"/>
      <c r="C197" s="117" t="n"/>
      <c r="D197" s="117" t="n"/>
      <c r="E197" s="117" t="n"/>
      <c r="F197" s="117" t="n"/>
      <c r="G197" s="117" t="n"/>
      <c r="H197" s="117" t="n"/>
      <c r="I197" s="117" t="n"/>
      <c r="J197" s="117" t="n"/>
      <c r="K197" s="117" t="n"/>
      <c r="L197" s="117" t="n"/>
      <c r="M197" s="117" t="n"/>
      <c r="N197" s="117" t="n"/>
      <c r="O197" s="117" t="n"/>
      <c r="P197" s="117" t="n"/>
      <c r="Q197" s="117" t="n"/>
      <c r="R197" s="117" t="n"/>
      <c r="S197" s="117" t="n"/>
      <c r="T197" s="117" t="n"/>
      <c r="U197" s="117" t="n"/>
      <c r="V197" s="117" t="n"/>
      <c r="W197" s="117" t="n"/>
      <c r="X197" s="117" t="n"/>
      <c r="Y197" s="117" t="n"/>
      <c r="Z197" s="117" t="n"/>
      <c r="AA197" s="117" t="n"/>
      <c r="AB197" s="117" t="n"/>
      <c r="AC197" s="117" t="n"/>
      <c r="AD197" s="117" t="n"/>
      <c r="AE197" s="117" t="n"/>
      <c r="AF197" s="117" t="n"/>
      <c r="AG197" s="117" t="n"/>
      <c r="AH197" s="117" t="n"/>
      <c r="AI197" s="117" t="n"/>
      <c r="AJ197" s="117" t="n"/>
      <c r="AK197" s="117" t="n"/>
    </row>
    <row r="198">
      <c r="A198" s="117" t="n"/>
      <c r="B198" s="117" t="n"/>
      <c r="C198" s="117" t="n"/>
      <c r="D198" s="117" t="n"/>
      <c r="E198" s="117" t="n"/>
      <c r="F198" s="117" t="n"/>
      <c r="G198" s="117" t="n"/>
      <c r="H198" s="117" t="n"/>
      <c r="I198" s="117" t="n"/>
      <c r="J198" s="117" t="n"/>
      <c r="K198" s="117" t="n"/>
      <c r="L198" s="117" t="n"/>
      <c r="M198" s="117" t="n"/>
      <c r="N198" s="117" t="n"/>
      <c r="O198" s="117" t="n"/>
      <c r="P198" s="117" t="n"/>
      <c r="Q198" s="117" t="n"/>
      <c r="R198" s="117" t="n"/>
      <c r="S198" s="117" t="n"/>
      <c r="T198" s="117" t="n"/>
      <c r="U198" s="117" t="n"/>
      <c r="V198" s="117" t="n"/>
      <c r="W198" s="117" t="n"/>
      <c r="X198" s="117" t="n"/>
      <c r="Y198" s="117" t="n"/>
      <c r="Z198" s="117" t="n"/>
      <c r="AA198" s="117" t="n"/>
      <c r="AB198" s="117" t="n"/>
      <c r="AC198" s="117" t="n"/>
      <c r="AD198" s="117" t="n"/>
      <c r="AE198" s="117" t="n"/>
      <c r="AF198" s="117" t="n"/>
      <c r="AG198" s="117" t="n"/>
      <c r="AH198" s="117" t="n"/>
      <c r="AI198" s="117" t="n"/>
      <c r="AJ198" s="117" t="n"/>
      <c r="AK198" s="117" t="n"/>
    </row>
    <row r="199">
      <c r="A199" s="117" t="n"/>
      <c r="B199" s="117" t="n"/>
      <c r="C199" s="117" t="n"/>
      <c r="D199" s="117" t="n"/>
      <c r="E199" s="117" t="n"/>
      <c r="F199" s="117" t="n"/>
      <c r="G199" s="117" t="n"/>
      <c r="H199" s="117" t="n"/>
      <c r="I199" s="117" t="n"/>
      <c r="J199" s="117" t="n"/>
      <c r="K199" s="117" t="n"/>
      <c r="L199" s="117" t="n"/>
      <c r="M199" s="117" t="n"/>
      <c r="N199" s="117" t="n"/>
      <c r="O199" s="117" t="n"/>
      <c r="P199" s="117" t="n"/>
      <c r="Q199" s="117" t="n"/>
      <c r="R199" s="117" t="n"/>
      <c r="S199" s="117" t="n"/>
      <c r="T199" s="117" t="n"/>
      <c r="U199" s="117" t="n"/>
      <c r="V199" s="117" t="n"/>
      <c r="W199" s="117" t="n"/>
      <c r="X199" s="117" t="n"/>
      <c r="Y199" s="117" t="n"/>
      <c r="Z199" s="117" t="n"/>
      <c r="AA199" s="117" t="n"/>
      <c r="AB199" s="117" t="n"/>
      <c r="AC199" s="117" t="n"/>
      <c r="AD199" s="117" t="n"/>
      <c r="AE199" s="117" t="n"/>
      <c r="AF199" s="117" t="n"/>
      <c r="AG199" s="117" t="n"/>
      <c r="AH199" s="117" t="n"/>
      <c r="AI199" s="117" t="n"/>
      <c r="AJ199" s="117" t="n"/>
      <c r="AK199" s="117" t="n"/>
    </row>
    <row r="200">
      <c r="A200" s="117" t="n"/>
      <c r="B200" s="117" t="n"/>
      <c r="C200" s="117" t="n"/>
      <c r="D200" s="117" t="n"/>
      <c r="E200" s="117" t="n"/>
      <c r="F200" s="117" t="n"/>
      <c r="G200" s="117" t="n"/>
      <c r="H200" s="117" t="n"/>
      <c r="I200" s="117" t="n"/>
      <c r="J200" s="117" t="n"/>
      <c r="K200" s="117" t="n"/>
      <c r="L200" s="117" t="n"/>
      <c r="M200" s="117" t="n"/>
      <c r="N200" s="117" t="n"/>
      <c r="O200" s="117" t="n"/>
      <c r="P200" s="117" t="n"/>
      <c r="Q200" s="117" t="n"/>
      <c r="R200" s="117" t="n"/>
      <c r="S200" s="117" t="n"/>
      <c r="T200" s="117" t="n"/>
      <c r="U200" s="117" t="n"/>
      <c r="V200" s="117" t="n"/>
      <c r="W200" s="117" t="n"/>
      <c r="X200" s="117" t="n"/>
      <c r="Y200" s="117" t="n"/>
      <c r="Z200" s="117" t="n"/>
      <c r="AA200" s="117" t="n"/>
      <c r="AB200" s="117" t="n"/>
      <c r="AC200" s="117" t="n"/>
      <c r="AD200" s="117" t="n"/>
      <c r="AE200" s="117" t="n"/>
      <c r="AF200" s="117" t="n"/>
      <c r="AG200" s="117" t="n"/>
      <c r="AH200" s="117" t="n"/>
      <c r="AI200" s="117" t="n"/>
      <c r="AJ200" s="117" t="n"/>
      <c r="AK200" s="117" t="n"/>
    </row>
    <row r="201">
      <c r="A201" s="117" t="n"/>
      <c r="B201" s="117" t="n"/>
      <c r="C201" s="117" t="n"/>
      <c r="D201" s="117" t="n"/>
      <c r="E201" s="117" t="n"/>
      <c r="F201" s="117" t="n"/>
      <c r="G201" s="117" t="n"/>
      <c r="H201" s="117" t="n"/>
      <c r="I201" s="117" t="n"/>
      <c r="J201" s="117" t="n"/>
      <c r="K201" s="117" t="n"/>
      <c r="L201" s="117" t="n"/>
      <c r="M201" s="117" t="n"/>
      <c r="N201" s="117" t="n"/>
      <c r="O201" s="117" t="n"/>
      <c r="P201" s="117" t="n"/>
      <c r="Q201" s="117" t="n"/>
      <c r="R201" s="117" t="n"/>
      <c r="S201" s="117" t="n"/>
      <c r="T201" s="117" t="n"/>
      <c r="U201" s="117" t="n"/>
      <c r="V201" s="117" t="n"/>
      <c r="W201" s="117" t="n"/>
      <c r="X201" s="117" t="n"/>
      <c r="Y201" s="117" t="n"/>
      <c r="Z201" s="117" t="n"/>
      <c r="AA201" s="117" t="n"/>
      <c r="AB201" s="117" t="n"/>
      <c r="AC201" s="117" t="n"/>
      <c r="AD201" s="117" t="n"/>
      <c r="AE201" s="117" t="n"/>
      <c r="AF201" s="117" t="n"/>
      <c r="AG201" s="117" t="n"/>
      <c r="AH201" s="117" t="n"/>
      <c r="AI201" s="117" t="n"/>
      <c r="AJ201" s="117" t="n"/>
      <c r="AK201" s="117" t="n"/>
    </row>
    <row r="202">
      <c r="A202" s="117" t="n"/>
      <c r="B202" s="117" t="n"/>
      <c r="C202" s="117" t="n"/>
      <c r="D202" s="117" t="n"/>
      <c r="E202" s="117" t="n"/>
      <c r="F202" s="117" t="n"/>
      <c r="G202" s="117" t="n"/>
      <c r="H202" s="117" t="n"/>
      <c r="I202" s="117" t="n"/>
      <c r="J202" s="117" t="n"/>
      <c r="K202" s="117" t="n"/>
      <c r="L202" s="117" t="n"/>
      <c r="M202" s="117" t="n"/>
      <c r="N202" s="117" t="n"/>
      <c r="O202" s="117" t="n"/>
      <c r="P202" s="117" t="n"/>
      <c r="Q202" s="117" t="n"/>
      <c r="R202" s="117" t="n"/>
      <c r="S202" s="117" t="n"/>
      <c r="T202" s="117" t="n"/>
      <c r="U202" s="117" t="n"/>
      <c r="V202" s="117" t="n"/>
      <c r="W202" s="117" t="n"/>
      <c r="X202" s="117" t="n"/>
      <c r="Y202" s="117" t="n"/>
      <c r="Z202" s="117" t="n"/>
      <c r="AA202" s="117" t="n"/>
      <c r="AB202" s="117" t="n"/>
      <c r="AC202" s="117" t="n"/>
      <c r="AD202" s="117" t="n"/>
      <c r="AE202" s="117" t="n"/>
      <c r="AF202" s="117" t="n"/>
      <c r="AG202" s="117" t="n"/>
      <c r="AH202" s="117" t="n"/>
      <c r="AI202" s="117" t="n"/>
      <c r="AJ202" s="117" t="n"/>
      <c r="AK202" s="117" t="n"/>
    </row>
    <row r="203">
      <c r="A203" s="117" t="n"/>
      <c r="B203" s="117" t="n"/>
      <c r="C203" s="117" t="n"/>
      <c r="D203" s="117" t="n"/>
      <c r="E203" s="117" t="n"/>
      <c r="F203" s="117" t="n"/>
      <c r="G203" s="117" t="n"/>
      <c r="H203" s="117" t="n"/>
      <c r="I203" s="117" t="n"/>
      <c r="J203" s="117" t="n"/>
      <c r="K203" s="117" t="n"/>
      <c r="L203" s="117" t="n"/>
      <c r="M203" s="117" t="n"/>
      <c r="N203" s="117" t="n"/>
      <c r="O203" s="117" t="n"/>
      <c r="P203" s="117" t="n"/>
      <c r="Q203" s="117" t="n"/>
      <c r="R203" s="117" t="n"/>
      <c r="S203" s="117" t="n"/>
      <c r="T203" s="117" t="n"/>
      <c r="U203" s="117" t="n"/>
      <c r="V203" s="117" t="n"/>
      <c r="W203" s="117" t="n"/>
      <c r="X203" s="117" t="n"/>
      <c r="Y203" s="117" t="n"/>
      <c r="Z203" s="117" t="n"/>
      <c r="AA203" s="117" t="n"/>
      <c r="AB203" s="117" t="n"/>
      <c r="AC203" s="117" t="n"/>
      <c r="AD203" s="117" t="n"/>
      <c r="AE203" s="117" t="n"/>
      <c r="AF203" s="117" t="n"/>
      <c r="AG203" s="117" t="n"/>
      <c r="AH203" s="117" t="n"/>
      <c r="AI203" s="117" t="n"/>
      <c r="AJ203" s="117" t="n"/>
      <c r="AK203" s="117" t="n"/>
    </row>
    <row r="204">
      <c r="A204" s="117" t="n"/>
      <c r="B204" s="117" t="n"/>
      <c r="C204" s="117" t="n"/>
      <c r="D204" s="117" t="n"/>
      <c r="E204" s="117" t="n"/>
      <c r="F204" s="117" t="n"/>
      <c r="G204" s="117" t="n"/>
      <c r="H204" s="117" t="n"/>
      <c r="I204" s="117" t="n"/>
      <c r="J204" s="117" t="n"/>
      <c r="K204" s="117" t="n"/>
      <c r="L204" s="117" t="n"/>
      <c r="M204" s="117" t="n"/>
      <c r="N204" s="117" t="n"/>
      <c r="O204" s="117" t="n"/>
      <c r="P204" s="117" t="n"/>
      <c r="Q204" s="117" t="n"/>
      <c r="R204" s="117" t="n"/>
      <c r="S204" s="117" t="n"/>
      <c r="T204" s="117" t="n"/>
      <c r="U204" s="117" t="n"/>
      <c r="V204" s="117" t="n"/>
      <c r="W204" s="117" t="n"/>
      <c r="X204" s="117" t="n"/>
      <c r="Y204" s="117" t="n"/>
      <c r="Z204" s="117" t="n"/>
      <c r="AA204" s="117" t="n"/>
      <c r="AB204" s="117" t="n"/>
      <c r="AC204" s="117" t="n"/>
      <c r="AD204" s="117" t="n"/>
      <c r="AE204" s="117" t="n"/>
      <c r="AF204" s="117" t="n"/>
      <c r="AG204" s="117" t="n"/>
      <c r="AH204" s="117" t="n"/>
      <c r="AI204" s="117" t="n"/>
      <c r="AJ204" s="117" t="n"/>
      <c r="AK204" s="117" t="n"/>
    </row>
    <row r="205">
      <c r="A205" s="117" t="n"/>
      <c r="B205" s="117" t="n"/>
      <c r="C205" s="117" t="n"/>
      <c r="D205" s="117" t="n"/>
      <c r="E205" s="117" t="n"/>
      <c r="F205" s="117" t="n"/>
      <c r="G205" s="117" t="n"/>
      <c r="H205" s="117" t="n"/>
      <c r="I205" s="117" t="n"/>
      <c r="J205" s="117" t="n"/>
      <c r="K205" s="117" t="n"/>
      <c r="L205" s="117" t="n"/>
      <c r="M205" s="117" t="n"/>
      <c r="N205" s="117" t="n"/>
      <c r="O205" s="117" t="n"/>
      <c r="P205" s="117" t="n"/>
      <c r="Q205" s="117" t="n"/>
      <c r="R205" s="117" t="n"/>
      <c r="S205" s="117" t="n"/>
      <c r="T205" s="117" t="n"/>
      <c r="U205" s="117" t="n"/>
      <c r="V205" s="117" t="n"/>
      <c r="W205" s="117" t="n"/>
      <c r="X205" s="117" t="n"/>
      <c r="Y205" s="117" t="n"/>
      <c r="Z205" s="117" t="n"/>
      <c r="AA205" s="117" t="n"/>
      <c r="AB205" s="117" t="n"/>
      <c r="AC205" s="117" t="n"/>
      <c r="AD205" s="117" t="n"/>
      <c r="AE205" s="117" t="n"/>
      <c r="AF205" s="117" t="n"/>
      <c r="AG205" s="117" t="n"/>
      <c r="AH205" s="117" t="n"/>
      <c r="AI205" s="117" t="n"/>
      <c r="AJ205" s="117" t="n"/>
      <c r="AK205" s="117" t="n"/>
    </row>
    <row r="206">
      <c r="A206" s="117" t="n"/>
      <c r="B206" s="117" t="n"/>
      <c r="C206" s="117" t="n"/>
      <c r="D206" s="117" t="n"/>
      <c r="E206" s="117" t="n"/>
      <c r="F206" s="117" t="n"/>
      <c r="G206" s="117" t="n"/>
      <c r="H206" s="117" t="n"/>
      <c r="I206" s="117" t="n"/>
      <c r="J206" s="117" t="n"/>
      <c r="K206" s="117" t="n"/>
      <c r="L206" s="117" t="n"/>
      <c r="M206" s="117" t="n"/>
      <c r="N206" s="117" t="n"/>
      <c r="O206" s="117" t="n"/>
      <c r="P206" s="117" t="n"/>
      <c r="Q206" s="117" t="n"/>
      <c r="R206" s="117" t="n"/>
      <c r="S206" s="117" t="n"/>
      <c r="T206" s="117" t="n"/>
      <c r="U206" s="117" t="n"/>
      <c r="V206" s="117" t="n"/>
      <c r="W206" s="117" t="n"/>
      <c r="X206" s="117" t="n"/>
      <c r="Y206" s="117" t="n"/>
      <c r="Z206" s="117" t="n"/>
      <c r="AA206" s="117" t="n"/>
      <c r="AB206" s="117" t="n"/>
      <c r="AC206" s="117" t="n"/>
      <c r="AD206" s="117" t="n"/>
      <c r="AE206" s="117" t="n"/>
      <c r="AF206" s="117" t="n"/>
      <c r="AG206" s="117" t="n"/>
      <c r="AH206" s="117" t="n"/>
      <c r="AI206" s="117" t="n"/>
      <c r="AJ206" s="117" t="n"/>
      <c r="AK206" s="117" t="n"/>
    </row>
    <row r="207">
      <c r="A207" s="117" t="n"/>
      <c r="B207" s="117" t="n"/>
      <c r="C207" s="117" t="n"/>
      <c r="D207" s="117" t="n"/>
      <c r="E207" s="117" t="n"/>
      <c r="F207" s="117" t="n"/>
      <c r="G207" s="117" t="n"/>
      <c r="H207" s="117" t="n"/>
      <c r="I207" s="117" t="n"/>
      <c r="J207" s="117" t="n"/>
      <c r="K207" s="117" t="n"/>
      <c r="L207" s="117" t="n"/>
      <c r="M207" s="117" t="n"/>
      <c r="N207" s="117" t="n"/>
      <c r="O207" s="117" t="n"/>
      <c r="P207" s="117" t="n"/>
      <c r="Q207" s="117" t="n"/>
      <c r="R207" s="117" t="n"/>
      <c r="S207" s="117" t="n"/>
      <c r="T207" s="117" t="n"/>
      <c r="U207" s="117" t="n"/>
      <c r="V207" s="117" t="n"/>
      <c r="W207" s="117" t="n"/>
      <c r="X207" s="117" t="n"/>
      <c r="Y207" s="117" t="n"/>
      <c r="Z207" s="117" t="n"/>
      <c r="AA207" s="117" t="n"/>
      <c r="AB207" s="117" t="n"/>
      <c r="AC207" s="117" t="n"/>
      <c r="AD207" s="117" t="n"/>
      <c r="AE207" s="117" t="n"/>
      <c r="AF207" s="117" t="n"/>
      <c r="AG207" s="117" t="n"/>
      <c r="AH207" s="117" t="n"/>
      <c r="AI207" s="117" t="n"/>
      <c r="AJ207" s="117" t="n"/>
      <c r="AK207" s="117" t="n"/>
    </row>
    <row r="208">
      <c r="A208" s="117" t="n"/>
      <c r="B208" s="117" t="n"/>
      <c r="C208" s="117" t="n"/>
      <c r="D208" s="117" t="n"/>
      <c r="E208" s="117" t="n"/>
      <c r="F208" s="117" t="n"/>
      <c r="G208" s="117" t="n"/>
      <c r="H208" s="117" t="n"/>
      <c r="I208" s="117" t="n"/>
      <c r="J208" s="117" t="n"/>
      <c r="K208" s="117" t="n"/>
      <c r="L208" s="117" t="n"/>
      <c r="M208" s="117" t="n"/>
      <c r="N208" s="117" t="n"/>
      <c r="O208" s="117" t="n"/>
      <c r="P208" s="117" t="n"/>
      <c r="Q208" s="117" t="n"/>
      <c r="R208" s="117" t="n"/>
      <c r="S208" s="117" t="n"/>
      <c r="T208" s="117" t="n"/>
      <c r="U208" s="117" t="n"/>
      <c r="V208" s="117" t="n"/>
      <c r="W208" s="117" t="n"/>
      <c r="X208" s="117" t="n"/>
      <c r="Y208" s="117" t="n"/>
      <c r="Z208" s="117" t="n"/>
      <c r="AA208" s="117" t="n"/>
      <c r="AB208" s="117" t="n"/>
      <c r="AC208" s="117" t="n"/>
      <c r="AD208" s="117" t="n"/>
      <c r="AE208" s="117" t="n"/>
      <c r="AF208" s="117" t="n"/>
      <c r="AG208" s="117" t="n"/>
      <c r="AH208" s="117" t="n"/>
      <c r="AI208" s="117" t="n"/>
      <c r="AJ208" s="117" t="n"/>
      <c r="AK208" s="117" t="n"/>
    </row>
  </sheetData>
  <sheetProtection selectLockedCells="0" selectUnlockedCells="0" sheet="1" objects="0" insertRows="1" insertHyperlinks="1" autoFilter="0" scenarios="0" formatColumns="0" deleteColumns="1" insertColumns="1" pivotTables="1" deleteRows="1" formatCells="1" formatRows="0" sort="1" password="CC6D"/>
  <pageMargins left="0.75" right="0.75" top="1" bottom="1" header="0.5" footer="0.5"/>
  <pageSetup orientation="landscape" fitToHeight="0"/>
</worksheet>
</file>

<file path=xl/worksheets/sheet15.xml><?xml version="1.0" encoding="utf-8"?>
<worksheet xmlns="http://schemas.openxmlformats.org/spreadsheetml/2006/main">
  <sheetPr>
    <outlinePr summaryBelow="1" summaryRight="1"/>
    <pageSetUpPr fitToPage="1"/>
  </sheetPr>
  <dimension ref="A1:O428"/>
  <sheetViews>
    <sheetView tabSelected="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style="23" min="1" max="1"/>
    <col width="12" customWidth="1" style="23" min="2" max="2"/>
    <col width="26" customWidth="1" style="23" min="3" max="3"/>
    <col width="60" customWidth="1" style="23" min="4" max="4"/>
    <col width="12" customWidth="1" style="23" min="5" max="5"/>
    <col width="18" customWidth="1" style="23" min="6" max="6"/>
    <col width="15" customWidth="1" style="23" min="7" max="7"/>
    <col width="22" customWidth="1" style="23" min="8" max="8"/>
    <col width="16" customWidth="1" style="23" min="9" max="9"/>
    <col width="24" customWidth="1" style="23" min="10" max="10"/>
    <col width="8" customWidth="1" style="23" min="11" max="11"/>
    <col width="30" customWidth="1" style="23" min="12" max="12"/>
    <col width="16" customWidth="1" style="23" min="13" max="13"/>
    <col width="24" customWidth="1" style="23" min="14" max="14"/>
    <col width="38" customWidth="1" style="23" min="15" max="15"/>
  </cols>
  <sheetData>
    <row r="1" ht="17.4" customHeight="1" s="23">
      <c r="A1" s="62" t="inlineStr">
        <is>
          <t>Plan de Necesidades 2026 — registro histórico (solo consulta)</t>
        </is>
      </c>
    </row>
    <row r="2">
      <c r="A2" s="101" t="inlineStr">
        <is>
          <t>Fuente: archivo "Plan_de_necesidades_PROTEGIDO_Modificado_2.xlsx", hoja "Plan de necesidades fin" (424 registros), que contiene íntegramente la versión "Plan_de_necesidades_PROTEGIDO.xlsx". Hoja protegida por la OAPDI: no se puede editar ni borrar; sí filtrar.</t>
        </is>
      </c>
    </row>
    <row r="3">
      <c r="A3" s="102" t="inlineStr">
        <is>
          <t>Columnas B a K: información original de la formulación 2026, sin modificar. Columnas L a O (verde): anotaciones de la OAPDI para la consolidación 2027; las inferidas deben validarse.</t>
        </is>
      </c>
    </row>
    <row r="4" ht="66" customHeight="1" s="23">
      <c r="A4" s="107" t="inlineStr">
        <is>
          <t>N.° registro 2026</t>
        </is>
      </c>
      <c r="B4" s="107" t="inlineStr">
        <is>
          <t>CÓDIGO UNSPSC</t>
        </is>
      </c>
      <c r="C4" s="107" t="inlineStr">
        <is>
          <t>ENCARGADO</t>
        </is>
      </c>
      <c r="D4" s="107" t="inlineStr">
        <is>
          <t>DESCRIPCIÓN (OBJETO CONTRACTUAL)</t>
        </is>
      </c>
      <c r="E4" s="107" t="inlineStr">
        <is>
          <t>DURACIÓN DEL CONTRATO (NUMERO MESES)</t>
        </is>
      </c>
      <c r="F4" s="107" t="inlineStr">
        <is>
          <t>MODALIDAD DE SELECCIÓN EJEMPLO: -DIRECTA -MINIMA CUANTIA -MENOR CUANTIA</t>
        </is>
      </c>
      <c r="G4" s="107" t="inlineStr">
        <is>
          <t>VALOR TOTAL ESTIMADO, EN PESOS COLOMBIANOS</t>
        </is>
      </c>
      <c r="H4" s="107" t="inlineStr">
        <is>
          <t>NOMBRE DEL CARGO RESPONSABLE (SUPERVISOR DEL CONTRATO)</t>
        </is>
      </c>
      <c r="I4" s="107" t="inlineStr">
        <is>
          <t>TELÉFONO DEL RESPONSABLE</t>
        </is>
      </c>
      <c r="J4" s="107" t="inlineStr">
        <is>
          <t>CORREO ELECTRÓNICO DEL RESPONSABLE (SUPERVISOR DEL CONTRATO)</t>
        </is>
      </c>
      <c r="K4" s="107" t="inlineStr">
        <is>
          <t>ID</t>
        </is>
      </c>
      <c r="L4" s="109" t="inlineStr">
        <is>
          <t>Dependencia (Decreto 902) inferida por el correo o, en su defecto, por el campo ENCARGADO — validar</t>
        </is>
      </c>
      <c r="M4" s="109" t="inlineStr">
        <is>
          <t>Valor numérico normalizado por la OAPDI ($)</t>
        </is>
      </c>
      <c r="N4" s="109" t="inlineStr">
        <is>
          <t>Modalidad normalizada por la OAPDI</t>
        </is>
      </c>
      <c r="O4" s="109" t="inlineStr">
        <is>
          <t>Alerta de calidad del dato (OAPDI)</t>
        </is>
      </c>
    </row>
    <row r="5" ht="45.6" customHeight="1" s="23">
      <c r="A5" s="114" t="inlineStr">
        <is>
          <t>PN26-001</t>
        </is>
      </c>
      <c r="B5" s="114" t="n">
        <v>84131602</v>
      </c>
      <c r="C5" s="114" t="inlineStr">
        <is>
          <t>Talento humano - Seguridad y salud en el trabajo</t>
        </is>
      </c>
      <c r="D5" s="114" t="inlineStr">
        <is>
          <t>Prestar el servicio de área protegida para la atención prehospitalaria, atención médica de urgencias y emergencias, y el traslado asistencial de pacientes que lo requieran, dirigido a funcionarios, contratistas, estudiantes y visitantes, en las diferentes sedes de la Escuela Tecnológica Instituto Técnico Central – ETITC</t>
        </is>
      </c>
      <c r="E5" s="114" t="n">
        <v>11</v>
      </c>
      <c r="F5" s="114" t="inlineStr">
        <is>
          <t>MINIMA CUANTIA</t>
        </is>
      </c>
      <c r="G5" s="118" t="n">
        <v>25800</v>
      </c>
      <c r="H5" s="114" t="inlineStr">
        <is>
          <t>profesional 
universitario 2044-11</t>
        </is>
      </c>
      <c r="I5" s="114" t="n"/>
      <c r="J5" s="114" t="inlineStr">
        <is>
          <t>seguridadysalud@itc.edu.co</t>
        </is>
      </c>
      <c r="K5" s="114" t="n">
        <v>1</v>
      </c>
      <c r="L5" s="119" t="inlineStr">
        <is>
          <t>133 · GIT Gestión de Talento Humano</t>
        </is>
      </c>
      <c r="M5" s="120" t="n">
        <v>25800</v>
      </c>
      <c r="N5" s="119" t="inlineStr">
        <is>
          <t>Mínima cuantía</t>
        </is>
      </c>
      <c r="O5" s="119">
        <f>IF(LEN(IF(OR(NOT(ISNUMBER(B5)),LEN(B5)&lt;&gt;8),"UNSPSC vacío, en texto, con varios códigos o sin 8 dígitos; ","")&amp;IF(AND(ISNUMBER(B5),LEN(B5)=8),IF(MOD(B5,10000)=0,"UNSPSC a nivel de segmento o familia; ",""),"")&amp;IF(NOT(ISNUMBER(E5)),"Duración vacía o en texto; ","")&amp;IF(NOT(ISNUMBER(G5)),"Valor vacío o en texto; ","")&amp;IF(ISNUMBER(M5),IF(M5&lt;1000000,"Valor inferior a $1.000.000: verificar; ",""),"Valor no interpretable; ")&amp;IF(N5="[PENDIENTE DE VERIFICAR]","Modalidad no identificable; ","")&amp;IF(OR(ISERROR(SEARCH("@itc.edu.co",J5)),SUMPRODUCT(--ISNUMBER(SEARCH({"á","é","í","ó","ú","ñ"},J5)))&gt;0),"Correo vacío o no institucional válido; ","")&amp;IF(LEN(TRIM(D5))=0,"Sin objeto contractual; ","")&amp;IF(AND(ISNUMBER(M5),N5="Mínima cuantía"),IF(M5&gt;39850000,"Mínima cuantía con valor superior al tope citado en el instructivo 2026 ($39.850.000): verificar modalidad; ",""),"")&amp;IF(AND(ISNUMBER(M5),OR(ISNUMBER(SEARCH("prestación de servicios",D5)),ISNUMBER(SEARCH("prestar servicios",D5)),ISNUMBER(SEARCH("prestar los servicios",D5)))),IF(M5&gt;=500000000,"Prestación de servicios por $500 millones o más: posible error de digitación; ",""),""))=0,"Sin observaciones",IF(OR(NOT(ISNUMBER(B5)),LEN(B5)&lt;&gt;8),"UNSPSC vacío, en texto, con varios códigos o sin 8 dígitos; ","")&amp;IF(AND(ISNUMBER(B5),LEN(B5)=8),IF(MOD(B5,10000)=0,"UNSPSC a nivel de segmento o familia; ",""),"")&amp;IF(NOT(ISNUMBER(E5)),"Duración vacía o en texto; ","")&amp;IF(NOT(ISNUMBER(G5)),"Valor vacío o en texto; ","")&amp;IF(ISNUMBER(M5),IF(M5&lt;1000000,"Valor inferior a $1.000.000: verificar; ",""),"Valor no interpretable; ")&amp;IF(N5="[PENDIENTE DE VERIFICAR]","Modalidad no identificable; ","")&amp;IF(OR(ISERROR(SEARCH("@itc.edu.co",J5)),SUMPRODUCT(--ISNUMBER(SEARCH({"á","é","í","ó","ú","ñ"},J5)))&gt;0),"Correo vacío o no institucional válido; ","")&amp;IF(LEN(TRIM(D5))=0,"Sin objeto contractual; ","")&amp;IF(AND(ISNUMBER(M5),N5="Mínima cuantía"),IF(M5&gt;39850000,"Mínima cuantía con valor superior al tope citado en el instructivo 2026 ($39.850.000): verificar modalidad; ",""),"")&amp;IF(AND(ISNUMBER(M5),OR(ISNUMBER(SEARCH("prestación de servicios",D5)),ISNUMBER(SEARCH("prestar servicios",D5)),ISNUMBER(SEARCH("prestar los servicios",D5)))),IF(M5&gt;=500000000,"Prestación de servicios por $500 millones o más: posible error de digitación; ",""),""))</f>
        <v/>
      </c>
    </row>
    <row r="6" ht="68.40000000000001" customHeight="1" s="23">
      <c r="A6" s="114" t="inlineStr">
        <is>
          <t>PN26-002</t>
        </is>
      </c>
      <c r="B6" s="114" t="n">
        <v>80101505</v>
      </c>
      <c r="C6" s="114" t="inlineStr">
        <is>
          <t>Talento humano - Seguridad y salud en el trabajo</t>
        </is>
      </c>
      <c r="D6" s="114" t="inlineStr">
        <is>
          <t>Ejecución del Programa de Vigilancia Epidemiológica de Riesgo Psicosocial en la Escuela Tecnológica Instituto Técnico Central, que incluya la planeación,  la implementación, el seguimiento y la evaluación de las medidas de intervención organizacional, grupal e individual, orientadas a la prevención, mitigación y control de los factores de riesgo psicosocial identificados en la batería del 2025, conforme a la normatividad vigente.</t>
        </is>
      </c>
      <c r="E6" s="114" t="n">
        <v>10</v>
      </c>
      <c r="F6" s="114" t="inlineStr">
        <is>
          <t>MINIMA CUANTIA</t>
        </is>
      </c>
      <c r="G6" s="118" t="n">
        <v>25000000</v>
      </c>
      <c r="H6" s="114" t="inlineStr">
        <is>
          <t>profesional 
universitario 2044-11</t>
        </is>
      </c>
      <c r="I6" s="114" t="n"/>
      <c r="J6" s="114" t="inlineStr">
        <is>
          <t>seguridadysalud@itc.edu.co</t>
        </is>
      </c>
      <c r="K6" s="114" t="n">
        <v>2</v>
      </c>
      <c r="L6" s="119" t="inlineStr">
        <is>
          <t>133 · GIT Gestión de Talento Humano</t>
        </is>
      </c>
      <c r="M6" s="120" t="n">
        <v>25000000</v>
      </c>
      <c r="N6" s="119" t="inlineStr">
        <is>
          <t>Mínima cuantía</t>
        </is>
      </c>
      <c r="O6" s="119">
        <f>IF(LEN(IF(OR(NOT(ISNUMBER(B6)),LEN(B6)&lt;&gt;8),"UNSPSC vacío, en texto, con varios códigos o sin 8 dígitos; ","")&amp;IF(AND(ISNUMBER(B6),LEN(B6)=8),IF(MOD(B6,10000)=0,"UNSPSC a nivel de segmento o familia; ",""),"")&amp;IF(NOT(ISNUMBER(E6)),"Duración vacía o en texto; ","")&amp;IF(NOT(ISNUMBER(G6)),"Valor vacío o en texto; ","")&amp;IF(ISNUMBER(M6),IF(M6&lt;1000000,"Valor inferior a $1.000.000: verificar; ",""),"Valor no interpretable; ")&amp;IF(N6="[PENDIENTE DE VERIFICAR]","Modalidad no identificable; ","")&amp;IF(OR(ISERROR(SEARCH("@itc.edu.co",J6)),SUMPRODUCT(--ISNUMBER(SEARCH({"á","é","í","ó","ú","ñ"},J6)))&gt;0),"Correo vacío o no institucional válido; ","")&amp;IF(LEN(TRIM(D6))=0,"Sin objeto contractual; ","")&amp;IF(AND(ISNUMBER(M6),N6="Mínima cuantía"),IF(M6&gt;39850000,"Mínima cuantía con valor superior al tope citado en el instructivo 2026 ($39.850.000): verificar modalidad; ",""),"")&amp;IF(AND(ISNUMBER(M6),OR(ISNUMBER(SEARCH("prestación de servicios",D6)),ISNUMBER(SEARCH("prestar servicios",D6)),ISNUMBER(SEARCH("prestar los servicios",D6)))),IF(M6&gt;=500000000,"Prestación de servicios por $500 millones o más: posible error de digitación; ",""),""))=0,"Sin observaciones",IF(OR(NOT(ISNUMBER(B6)),LEN(B6)&lt;&gt;8),"UNSPSC vacío, en texto, con varios códigos o sin 8 dígitos; ","")&amp;IF(AND(ISNUMBER(B6),LEN(B6)=8),IF(MOD(B6,10000)=0,"UNSPSC a nivel de segmento o familia; ",""),"")&amp;IF(NOT(ISNUMBER(E6)),"Duración vacía o en texto; ","")&amp;IF(NOT(ISNUMBER(G6)),"Valor vacío o en texto; ","")&amp;IF(ISNUMBER(M6),IF(M6&lt;1000000,"Valor inferior a $1.000.000: verificar; ",""),"Valor no interpretable; ")&amp;IF(N6="[PENDIENTE DE VERIFICAR]","Modalidad no identificable; ","")&amp;IF(OR(ISERROR(SEARCH("@itc.edu.co",J6)),SUMPRODUCT(--ISNUMBER(SEARCH({"á","é","í","ó","ú","ñ"},J6)))&gt;0),"Correo vacío o no institucional válido; ","")&amp;IF(LEN(TRIM(D6))=0,"Sin objeto contractual; ","")&amp;IF(AND(ISNUMBER(M6),N6="Mínima cuantía"),IF(M6&gt;39850000,"Mínima cuantía con valor superior al tope citado en el instructivo 2026 ($39.850.000): verificar modalidad; ",""),"")&amp;IF(AND(ISNUMBER(M6),OR(ISNUMBER(SEARCH("prestación de servicios",D6)),ISNUMBER(SEARCH("prestar servicios",D6)),ISNUMBER(SEARCH("prestar los servicios",D6)))),IF(M6&gt;=500000000,"Prestación de servicios por $500 millones o más: posible error de digitación; ",""),""))</f>
        <v/>
      </c>
    </row>
    <row r="7" ht="45.6" customHeight="1" s="23">
      <c r="A7" s="114" t="inlineStr">
        <is>
          <t>PN26-003</t>
        </is>
      </c>
      <c r="B7" s="114" t="n">
        <v>76122406</v>
      </c>
      <c r="C7" s="114" t="inlineStr">
        <is>
          <t>Talento humano - Seguridad y salud en el trabajo</t>
        </is>
      </c>
      <c r="D7" s="114" t="inlineStr">
        <is>
          <t>Adquirir elementos de protección personal y contratar la certificación de los elementos de protección para trabajo en alturas, destinados al personal de la Escuela Tecnológica Instituto Técnico Central – ETITC, de conformidad con la normatividad vigente.</t>
        </is>
      </c>
      <c r="E7" s="114" t="n">
        <v>7</v>
      </c>
      <c r="F7" s="114" t="inlineStr">
        <is>
          <t>SUBASTA</t>
        </is>
      </c>
      <c r="G7" s="118" t="n">
        <v>100000000</v>
      </c>
      <c r="H7" s="114" t="inlineStr">
        <is>
          <t>profesional 
universitario 2044-11</t>
        </is>
      </c>
      <c r="I7" s="114" t="n"/>
      <c r="J7" s="114" t="inlineStr">
        <is>
          <t>seguridadysalud@itc.edu.co</t>
        </is>
      </c>
      <c r="K7" s="114" t="n">
        <v>3</v>
      </c>
      <c r="L7" s="119" t="inlineStr">
        <is>
          <t>133 · GIT Gestión de Talento Humano</t>
        </is>
      </c>
      <c r="M7" s="120" t="n">
        <v>100000000</v>
      </c>
      <c r="N7" s="119" t="inlineStr">
        <is>
          <t>Selección abreviada – subasta inversa</t>
        </is>
      </c>
      <c r="O7" s="119">
        <f>IF(LEN(IF(OR(NOT(ISNUMBER(B7)),LEN(B7)&lt;&gt;8),"UNSPSC vacío, en texto, con varios códigos o sin 8 dígitos; ","")&amp;IF(AND(ISNUMBER(B7),LEN(B7)=8),IF(MOD(B7,10000)=0,"UNSPSC a nivel de segmento o familia; ",""),"")&amp;IF(NOT(ISNUMBER(E7)),"Duración vacía o en texto; ","")&amp;IF(NOT(ISNUMBER(G7)),"Valor vacío o en texto; ","")&amp;IF(ISNUMBER(M7),IF(M7&lt;1000000,"Valor inferior a $1.000.000: verificar; ",""),"Valor no interpretable; ")&amp;IF(N7="[PENDIENTE DE VERIFICAR]","Modalidad no identificable; ","")&amp;IF(OR(ISERROR(SEARCH("@itc.edu.co",J7)),SUMPRODUCT(--ISNUMBER(SEARCH({"á","é","í","ó","ú","ñ"},J7)))&gt;0),"Correo vacío o no institucional válido; ","")&amp;IF(LEN(TRIM(D7))=0,"Sin objeto contractual; ","")&amp;IF(AND(ISNUMBER(M7),N7="Mínima cuantía"),IF(M7&gt;39850000,"Mínima cuantía con valor superior al tope citado en el instructivo 2026 ($39.850.000): verificar modalidad; ",""),"")&amp;IF(AND(ISNUMBER(M7),OR(ISNUMBER(SEARCH("prestación de servicios",D7)),ISNUMBER(SEARCH("prestar servicios",D7)),ISNUMBER(SEARCH("prestar los servicios",D7)))),IF(M7&gt;=500000000,"Prestación de servicios por $500 millones o más: posible error de digitación; ",""),""))=0,"Sin observaciones",IF(OR(NOT(ISNUMBER(B7)),LEN(B7)&lt;&gt;8),"UNSPSC vacío, en texto, con varios códigos o sin 8 dígitos; ","")&amp;IF(AND(ISNUMBER(B7),LEN(B7)=8),IF(MOD(B7,10000)=0,"UNSPSC a nivel de segmento o familia; ",""),"")&amp;IF(NOT(ISNUMBER(E7)),"Duración vacía o en texto; ","")&amp;IF(NOT(ISNUMBER(G7)),"Valor vacío o en texto; ","")&amp;IF(ISNUMBER(M7),IF(M7&lt;1000000,"Valor inferior a $1.000.000: verificar; ",""),"Valor no interpretable; ")&amp;IF(N7="[PENDIENTE DE VERIFICAR]","Modalidad no identificable; ","")&amp;IF(OR(ISERROR(SEARCH("@itc.edu.co",J7)),SUMPRODUCT(--ISNUMBER(SEARCH({"á","é","í","ó","ú","ñ"},J7)))&gt;0),"Correo vacío o no institucional válido; ","")&amp;IF(LEN(TRIM(D7))=0,"Sin objeto contractual; ","")&amp;IF(AND(ISNUMBER(M7),N7="Mínima cuantía"),IF(M7&gt;39850000,"Mínima cuantía con valor superior al tope citado en el instructivo 2026 ($39.850.000): verificar modalidad; ",""),"")&amp;IF(AND(ISNUMBER(M7),OR(ISNUMBER(SEARCH("prestación de servicios",D7)),ISNUMBER(SEARCH("prestar servicios",D7)),ISNUMBER(SEARCH("prestar los servicios",D7)))),IF(M7&gt;=500000000,"Prestación de servicios por $500 millones o más: posible error de digitación; ",""),""))</f>
        <v/>
      </c>
    </row>
    <row r="8" ht="79.8" customHeight="1" s="23">
      <c r="A8" s="114" t="inlineStr">
        <is>
          <t>PN26-004</t>
        </is>
      </c>
      <c r="B8" s="114" t="n">
        <v>85122201</v>
      </c>
      <c r="C8" s="114" t="inlineStr">
        <is>
          <t>Talento humano - Seguridad y salud en el trabajo</t>
        </is>
      </c>
      <c r="D8" s="114" t="inlineStr">
        <is>
          <t>Prestar los servicios médicos ocupacionales para la identificación y vigilancia de las condiciones de salud del personal, mediante la realización de exámenes médicos ocupacionales de ingreso, periódicos, de egreso, alturas, post-incapacidad, por cambio de ocupación o reubicación laboral, y demás evaluaciones médicas requeridas por la normatividad vigente en Seguridad y Salud en el Trabajo, en la Escuela Tecnológica Instituto Técnico Central – ETITC en todas sus sedes.</t>
        </is>
      </c>
      <c r="E8" s="114" t="n">
        <v>10</v>
      </c>
      <c r="F8" s="114" t="inlineStr">
        <is>
          <t>MINIMA CUANTIA</t>
        </is>
      </c>
      <c r="G8" s="118" t="n">
        <v>26750000</v>
      </c>
      <c r="H8" s="114" t="inlineStr">
        <is>
          <t>profesional 
universitario 2044-11</t>
        </is>
      </c>
      <c r="I8" s="114" t="n"/>
      <c r="J8" s="114" t="inlineStr">
        <is>
          <t>seguridadysalud@itc.edu.co</t>
        </is>
      </c>
      <c r="K8" s="114" t="n">
        <v>4</v>
      </c>
      <c r="L8" s="119" t="inlineStr">
        <is>
          <t>133 · GIT Gestión de Talento Humano</t>
        </is>
      </c>
      <c r="M8" s="120" t="n">
        <v>26750000</v>
      </c>
      <c r="N8" s="119" t="inlineStr">
        <is>
          <t>Mínima cuantía</t>
        </is>
      </c>
      <c r="O8" s="119">
        <f>IF(LEN(IF(OR(NOT(ISNUMBER(B8)),LEN(B8)&lt;&gt;8),"UNSPSC vacío, en texto, con varios códigos o sin 8 dígitos; ","")&amp;IF(AND(ISNUMBER(B8),LEN(B8)=8),IF(MOD(B8,10000)=0,"UNSPSC a nivel de segmento o familia; ",""),"")&amp;IF(NOT(ISNUMBER(E8)),"Duración vacía o en texto; ","")&amp;IF(NOT(ISNUMBER(G8)),"Valor vacío o en texto; ","")&amp;IF(ISNUMBER(M8),IF(M8&lt;1000000,"Valor inferior a $1.000.000: verificar; ",""),"Valor no interpretable; ")&amp;IF(N8="[PENDIENTE DE VERIFICAR]","Modalidad no identificable; ","")&amp;IF(OR(ISERROR(SEARCH("@itc.edu.co",J8)),SUMPRODUCT(--ISNUMBER(SEARCH({"á","é","í","ó","ú","ñ"},J8)))&gt;0),"Correo vacío o no institucional válido; ","")&amp;IF(LEN(TRIM(D8))=0,"Sin objeto contractual; ","")&amp;IF(AND(ISNUMBER(M8),N8="Mínima cuantía"),IF(M8&gt;39850000,"Mínima cuantía con valor superior al tope citado en el instructivo 2026 ($39.850.000): verificar modalidad; ",""),"")&amp;IF(AND(ISNUMBER(M8),OR(ISNUMBER(SEARCH("prestación de servicios",D8)),ISNUMBER(SEARCH("prestar servicios",D8)),ISNUMBER(SEARCH("prestar los servicios",D8)))),IF(M8&gt;=500000000,"Prestación de servicios por $500 millones o más: posible error de digitación; ",""),""))=0,"Sin observaciones",IF(OR(NOT(ISNUMBER(B8)),LEN(B8)&lt;&gt;8),"UNSPSC vacío, en texto, con varios códigos o sin 8 dígitos; ","")&amp;IF(AND(ISNUMBER(B8),LEN(B8)=8),IF(MOD(B8,10000)=0,"UNSPSC a nivel de segmento o familia; ",""),"")&amp;IF(NOT(ISNUMBER(E8)),"Duración vacía o en texto; ","")&amp;IF(NOT(ISNUMBER(G8)),"Valor vacío o en texto; ","")&amp;IF(ISNUMBER(M8),IF(M8&lt;1000000,"Valor inferior a $1.000.000: verificar; ",""),"Valor no interpretable; ")&amp;IF(N8="[PENDIENTE DE VERIFICAR]","Modalidad no identificable; ","")&amp;IF(OR(ISERROR(SEARCH("@itc.edu.co",J8)),SUMPRODUCT(--ISNUMBER(SEARCH({"á","é","í","ó","ú","ñ"},J8)))&gt;0),"Correo vacío o no institucional válido; ","")&amp;IF(LEN(TRIM(D8))=0,"Sin objeto contractual; ","")&amp;IF(AND(ISNUMBER(M8),N8="Mínima cuantía"),IF(M8&gt;39850000,"Mínima cuantía con valor superior al tope citado en el instructivo 2026 ($39.850.000): verificar modalidad; ",""),"")&amp;IF(AND(ISNUMBER(M8),OR(ISNUMBER(SEARCH("prestación de servicios",D8)),ISNUMBER(SEARCH("prestar servicios",D8)),ISNUMBER(SEARCH("prestar los servicios",D8)))),IF(M8&gt;=500000000,"Prestación de servicios por $500 millones o más: posible error de digitación; ",""),""))</f>
        <v/>
      </c>
    </row>
    <row r="9" ht="45.6" customHeight="1" s="23">
      <c r="A9" s="114" t="inlineStr">
        <is>
          <t>PN26-005</t>
        </is>
      </c>
      <c r="B9" s="114" t="n">
        <v>46191601</v>
      </c>
      <c r="C9" s="114" t="inlineStr">
        <is>
          <t>Talento humano - Seguridad y salud en el trabajo</t>
        </is>
      </c>
      <c r="D9" s="114" t="inlineStr">
        <is>
          <t>Adquirir el servicio de recarga y mantenimiento de extintores, la dotación y reposición de botiquines, y el suministro de elementos para la  la atención de emergencias, para la Escuela Tecnológica Instituto Técnico Central – ETITC en todas sus sedes.</t>
        </is>
      </c>
      <c r="E9" s="114" t="n">
        <v>7</v>
      </c>
      <c r="F9" s="114" t="inlineStr">
        <is>
          <t>TIENDA VIRTUAL</t>
        </is>
      </c>
      <c r="G9" s="118" t="n">
        <v>33000000</v>
      </c>
      <c r="H9" s="114" t="inlineStr">
        <is>
          <t>profesional 
universitario 2044-11</t>
        </is>
      </c>
      <c r="I9" s="114" t="n"/>
      <c r="J9" s="114" t="inlineStr">
        <is>
          <t>seguridadysalud@itc.edu.co</t>
        </is>
      </c>
      <c r="K9" s="114" t="n">
        <v>5</v>
      </c>
      <c r="L9" s="119" t="inlineStr">
        <is>
          <t>133 · GIT Gestión de Talento Humano</t>
        </is>
      </c>
      <c r="M9" s="120" t="n">
        <v>33000000</v>
      </c>
      <c r="N9" s="119" t="inlineStr">
        <is>
          <t>Acuerdo marco de precios / Tienda Virtual (validar)</t>
        </is>
      </c>
      <c r="O9" s="119">
        <f>IF(LEN(IF(OR(NOT(ISNUMBER(B9)),LEN(B9)&lt;&gt;8),"UNSPSC vacío, en texto, con varios códigos o sin 8 dígitos; ","")&amp;IF(AND(ISNUMBER(B9),LEN(B9)=8),IF(MOD(B9,10000)=0,"UNSPSC a nivel de segmento o familia; ",""),"")&amp;IF(NOT(ISNUMBER(E9)),"Duración vacía o en texto; ","")&amp;IF(NOT(ISNUMBER(G9)),"Valor vacío o en texto; ","")&amp;IF(ISNUMBER(M9),IF(M9&lt;1000000,"Valor inferior a $1.000.000: verificar; ",""),"Valor no interpretable; ")&amp;IF(N9="[PENDIENTE DE VERIFICAR]","Modalidad no identificable; ","")&amp;IF(OR(ISERROR(SEARCH("@itc.edu.co",J9)),SUMPRODUCT(--ISNUMBER(SEARCH({"á","é","í","ó","ú","ñ"},J9)))&gt;0),"Correo vacío o no institucional válido; ","")&amp;IF(LEN(TRIM(D9))=0,"Sin objeto contractual; ","")&amp;IF(AND(ISNUMBER(M9),N9="Mínima cuantía"),IF(M9&gt;39850000,"Mínima cuantía con valor superior al tope citado en el instructivo 2026 ($39.850.000): verificar modalidad; ",""),"")&amp;IF(AND(ISNUMBER(M9),OR(ISNUMBER(SEARCH("prestación de servicios",D9)),ISNUMBER(SEARCH("prestar servicios",D9)),ISNUMBER(SEARCH("prestar los servicios",D9)))),IF(M9&gt;=500000000,"Prestación de servicios por $500 millones o más: posible error de digitación; ",""),""))=0,"Sin observaciones",IF(OR(NOT(ISNUMBER(B9)),LEN(B9)&lt;&gt;8),"UNSPSC vacío, en texto, con varios códigos o sin 8 dígitos; ","")&amp;IF(AND(ISNUMBER(B9),LEN(B9)=8),IF(MOD(B9,10000)=0,"UNSPSC a nivel de segmento o familia; ",""),"")&amp;IF(NOT(ISNUMBER(E9)),"Duración vacía o en texto; ","")&amp;IF(NOT(ISNUMBER(G9)),"Valor vacío o en texto; ","")&amp;IF(ISNUMBER(M9),IF(M9&lt;1000000,"Valor inferior a $1.000.000: verificar; ",""),"Valor no interpretable; ")&amp;IF(N9="[PENDIENTE DE VERIFICAR]","Modalidad no identificable; ","")&amp;IF(OR(ISERROR(SEARCH("@itc.edu.co",J9)),SUMPRODUCT(--ISNUMBER(SEARCH({"á","é","í","ó","ú","ñ"},J9)))&gt;0),"Correo vacío o no institucional válido; ","")&amp;IF(LEN(TRIM(D9))=0,"Sin objeto contractual; ","")&amp;IF(AND(ISNUMBER(M9),N9="Mínima cuantía"),IF(M9&gt;39850000,"Mínima cuantía con valor superior al tope citado en el instructivo 2026 ($39.850.000): verificar modalidad; ",""),"")&amp;IF(AND(ISNUMBER(M9),OR(ISNUMBER(SEARCH("prestación de servicios",D9)),ISNUMBER(SEARCH("prestar servicios",D9)),ISNUMBER(SEARCH("prestar los servicios",D9)))),IF(M9&gt;=500000000,"Prestación de servicios por $500 millones o más: posible error de digitación; ",""),""))</f>
        <v/>
      </c>
    </row>
    <row r="10" ht="68.40000000000001" customHeight="1" s="23">
      <c r="A10" s="114" t="inlineStr">
        <is>
          <t>PN26-006</t>
        </is>
      </c>
      <c r="B10" s="114" t="n">
        <v>80111600</v>
      </c>
      <c r="C10" s="114" t="inlineStr">
        <is>
          <t>Talento humano - Seguridad y salud en el trabajo</t>
        </is>
      </c>
      <c r="D10" s="114" t="inlineStr">
        <is>
          <t>Prestar servicios profesionales para apoyar el diseño, implementación, conformación y seguimiento del Plan de Emergencias de la Escuela Tecnológica Instituto Técnico Central – ETITC y sus sedes, así como para realizar la coordinación, control, verificación y aplicación del Programa de Protección contra Caídas, en calidad de coordinador de trabajo en alturas, de conformidad con la normatividad vigente.</t>
        </is>
      </c>
      <c r="E10" s="114" t="n">
        <v>10.5</v>
      </c>
      <c r="F10" s="114" t="inlineStr">
        <is>
          <t>DIRECTA</t>
        </is>
      </c>
      <c r="G10" s="118" t="n">
        <v>57500000</v>
      </c>
      <c r="H10" s="114" t="inlineStr">
        <is>
          <t>profesional 
universitario 2044-11</t>
        </is>
      </c>
      <c r="I10" s="114" t="n"/>
      <c r="J10" s="114" t="inlineStr">
        <is>
          <t>seguridadysalud@itc.edu.co</t>
        </is>
      </c>
      <c r="K10" s="114" t="n">
        <v>6</v>
      </c>
      <c r="L10" s="119" t="inlineStr">
        <is>
          <t>133 · GIT Gestión de Talento Humano</t>
        </is>
      </c>
      <c r="M10" s="120" t="n">
        <v>57500000</v>
      </c>
      <c r="N10" s="119" t="inlineStr">
        <is>
          <t>Contratación directa</t>
        </is>
      </c>
      <c r="O10" s="119">
        <f>IF(LEN(IF(OR(NOT(ISNUMBER(B10)),LEN(B10)&lt;&gt;8),"UNSPSC vacío, en texto, con varios códigos o sin 8 dígitos; ","")&amp;IF(AND(ISNUMBER(B10),LEN(B10)=8),IF(MOD(B10,10000)=0,"UNSPSC a nivel de segmento o familia; ",""),"")&amp;IF(NOT(ISNUMBER(E10)),"Duración vacía o en texto; ","")&amp;IF(NOT(ISNUMBER(G10)),"Valor vacío o en texto; ","")&amp;IF(ISNUMBER(M10),IF(M10&lt;1000000,"Valor inferior a $1.000.000: verificar; ",""),"Valor no interpretable; ")&amp;IF(N10="[PENDIENTE DE VERIFICAR]","Modalidad no identificable; ","")&amp;IF(OR(ISERROR(SEARCH("@itc.edu.co",J10)),SUMPRODUCT(--ISNUMBER(SEARCH({"á","é","í","ó","ú","ñ"},J10)))&gt;0),"Correo vacío o no institucional válido; ","")&amp;IF(LEN(TRIM(D10))=0,"Sin objeto contractual; ","")&amp;IF(AND(ISNUMBER(M10),N10="Mínima cuantía"),IF(M10&gt;39850000,"Mínima cuantía con valor superior al tope citado en el instructivo 2026 ($39.850.000): verificar modalidad; ",""),"")&amp;IF(AND(ISNUMBER(M10),OR(ISNUMBER(SEARCH("prestación de servicios",D10)),ISNUMBER(SEARCH("prestar servicios",D10)),ISNUMBER(SEARCH("prestar los servicios",D10)))),IF(M10&gt;=500000000,"Prestación de servicios por $500 millones o más: posible error de digitación; ",""),""))=0,"Sin observaciones",IF(OR(NOT(ISNUMBER(B10)),LEN(B10)&lt;&gt;8),"UNSPSC vacío, en texto, con varios códigos o sin 8 dígitos; ","")&amp;IF(AND(ISNUMBER(B10),LEN(B10)=8),IF(MOD(B10,10000)=0,"UNSPSC a nivel de segmento o familia; ",""),"")&amp;IF(NOT(ISNUMBER(E10)),"Duración vacía o en texto; ","")&amp;IF(NOT(ISNUMBER(G10)),"Valor vacío o en texto; ","")&amp;IF(ISNUMBER(M10),IF(M10&lt;1000000,"Valor inferior a $1.000.000: verificar; ",""),"Valor no interpretable; ")&amp;IF(N10="[PENDIENTE DE VERIFICAR]","Modalidad no identificable; ","")&amp;IF(OR(ISERROR(SEARCH("@itc.edu.co",J10)),SUMPRODUCT(--ISNUMBER(SEARCH({"á","é","í","ó","ú","ñ"},J10)))&gt;0),"Correo vacío o no institucional válido; ","")&amp;IF(LEN(TRIM(D10))=0,"Sin objeto contractual; ","")&amp;IF(AND(ISNUMBER(M10),N10="Mínima cuantía"),IF(M10&gt;39850000,"Mínima cuantía con valor superior al tope citado en el instructivo 2026 ($39.850.000): verificar modalidad; ",""),"")&amp;IF(AND(ISNUMBER(M10),OR(ISNUMBER(SEARCH("prestación de servicios",D10)),ISNUMBER(SEARCH("prestar servicios",D10)),ISNUMBER(SEARCH("prestar los servicios",D10)))),IF(M10&gt;=500000000,"Prestación de servicios por $500 millones o más: posible error de digitación; ",""),""))</f>
        <v/>
      </c>
    </row>
    <row r="11" ht="57" customHeight="1" s="23">
      <c r="A11" s="114" t="inlineStr">
        <is>
          <t>PN26-007</t>
        </is>
      </c>
      <c r="B11" s="114" t="n"/>
      <c r="C11" s="114" t="inlineStr">
        <is>
          <t xml:space="preserve">Talento Humano-vicerrectoria Administrativa </t>
        </is>
      </c>
      <c r="D11" s="114" t="inlineStr">
        <is>
          <t>Prestación de servicios profesionales para el apoyo logístico, operativo y/o Técnico en la planeación, ejecución y seguimiento de las actividades misionales desarrolladas por la Escuela Tecnológica Instituto Técnico Central, en el marco del programa de Bienestar laboral e incentivos correspondiente a la vigencia de 2026.</t>
        </is>
      </c>
      <c r="E11" s="114" t="n">
        <v>10.5</v>
      </c>
      <c r="F11" s="114" t="inlineStr">
        <is>
          <t>DIRECTA</t>
        </is>
      </c>
      <c r="G11" s="118" t="n">
        <v>350000000</v>
      </c>
      <c r="H11" s="114" t="inlineStr">
        <is>
          <t>Profesional Especializado 2028-15</t>
        </is>
      </c>
      <c r="I11" s="114" t="n"/>
      <c r="J11" s="114" t="inlineStr">
        <is>
          <t>personal@itc.edu.co</t>
        </is>
      </c>
      <c r="K11" s="114" t="n"/>
      <c r="L11" s="119" t="inlineStr">
        <is>
          <t>133 · GIT Gestión de Talento Humano</t>
        </is>
      </c>
      <c r="M11" s="120" t="n">
        <v>350000000</v>
      </c>
      <c r="N11" s="119" t="inlineStr">
        <is>
          <t>Contratación directa</t>
        </is>
      </c>
      <c r="O11" s="119">
        <f>IF(LEN(IF(OR(NOT(ISNUMBER(B11)),LEN(B11)&lt;&gt;8),"UNSPSC vacío, en texto, con varios códigos o sin 8 dígitos; ","")&amp;IF(AND(ISNUMBER(B11),LEN(B11)=8),IF(MOD(B11,10000)=0,"UNSPSC a nivel de segmento o familia; ",""),"")&amp;IF(NOT(ISNUMBER(E11)),"Duración vacía o en texto; ","")&amp;IF(NOT(ISNUMBER(G11)),"Valor vacío o en texto; ","")&amp;IF(ISNUMBER(M11),IF(M11&lt;1000000,"Valor inferior a $1.000.000: verificar; ",""),"Valor no interpretable; ")&amp;IF(N11="[PENDIENTE DE VERIFICAR]","Modalidad no identificable; ","")&amp;IF(OR(ISERROR(SEARCH("@itc.edu.co",J11)),SUMPRODUCT(--ISNUMBER(SEARCH({"á","é","í","ó","ú","ñ"},J11)))&gt;0),"Correo vacío o no institucional válido; ","")&amp;IF(LEN(TRIM(D11))=0,"Sin objeto contractual; ","")&amp;IF(AND(ISNUMBER(M11),N11="Mínima cuantía"),IF(M11&gt;39850000,"Mínima cuantía con valor superior al tope citado en el instructivo 2026 ($39.850.000): verificar modalidad; ",""),"")&amp;IF(AND(ISNUMBER(M11),OR(ISNUMBER(SEARCH("prestación de servicios",D11)),ISNUMBER(SEARCH("prestar servicios",D11)),ISNUMBER(SEARCH("prestar los servicios",D11)))),IF(M11&gt;=500000000,"Prestación de servicios por $500 millones o más: posible error de digitación; ",""),""))=0,"Sin observaciones",IF(OR(NOT(ISNUMBER(B11)),LEN(B11)&lt;&gt;8),"UNSPSC vacío, en texto, con varios códigos o sin 8 dígitos; ","")&amp;IF(AND(ISNUMBER(B11),LEN(B11)=8),IF(MOD(B11,10000)=0,"UNSPSC a nivel de segmento o familia; ",""),"")&amp;IF(NOT(ISNUMBER(E11)),"Duración vacía o en texto; ","")&amp;IF(NOT(ISNUMBER(G11)),"Valor vacío o en texto; ","")&amp;IF(ISNUMBER(M11),IF(M11&lt;1000000,"Valor inferior a $1.000.000: verificar; ",""),"Valor no interpretable; ")&amp;IF(N11="[PENDIENTE DE VERIFICAR]","Modalidad no identificable; ","")&amp;IF(OR(ISERROR(SEARCH("@itc.edu.co",J11)),SUMPRODUCT(--ISNUMBER(SEARCH({"á","é","í","ó","ú","ñ"},J11)))&gt;0),"Correo vacío o no institucional válido; ","")&amp;IF(LEN(TRIM(D11))=0,"Sin objeto contractual; ","")&amp;IF(AND(ISNUMBER(M11),N11="Mínima cuantía"),IF(M11&gt;39850000,"Mínima cuantía con valor superior al tope citado en el instructivo 2026 ($39.850.000): verificar modalidad; ",""),"")&amp;IF(AND(ISNUMBER(M11),OR(ISNUMBER(SEARCH("prestación de servicios",D11)),ISNUMBER(SEARCH("prestar servicios",D11)),ISNUMBER(SEARCH("prestar los servicios",D11)))),IF(M11&gt;=500000000,"Prestación de servicios por $500 millones o más: posible error de digitación; ",""),""))</f>
        <v/>
      </c>
    </row>
    <row r="12" ht="68.40000000000001" customHeight="1" s="23">
      <c r="A12" s="114" t="inlineStr">
        <is>
          <t>PN26-008</t>
        </is>
      </c>
      <c r="B12" s="114" t="n">
        <v>80111600</v>
      </c>
      <c r="C12" s="114" t="inlineStr">
        <is>
          <t>Planeación estratégica</t>
        </is>
      </c>
      <c r="D12" s="114" t="inlineStr">
        <is>
          <t>Prestar los servicios profesionales de apoyo a la oficina asesora de planeación en la formulación, seguimiento y evaluación de los planes institucionales y demás instrumentos de planeación estratégica, así como en la estructuración de proyectos, análisis de indicadores, elaboración de informes y cumplimiento de las obligaciones de reporte ante los entes de control, en el marco del modelo integrado de planeación y gestión (mipg) y las políticas institucionales vigentes.</t>
        </is>
      </c>
      <c r="E12" s="114" t="n">
        <v>11</v>
      </c>
      <c r="F12" s="114" t="inlineStr">
        <is>
          <t>DIRECTA</t>
        </is>
      </c>
      <c r="G12" s="118" t="n">
        <v>60500000</v>
      </c>
      <c r="H12" s="114" t="inlineStr">
        <is>
          <t>Jefe de la oficina asesora de planeacion</t>
        </is>
      </c>
      <c r="I12" s="114" t="n"/>
      <c r="J12" s="114" t="inlineStr">
        <is>
          <t xml:space="preserve">planeacion@itc.edu.co </t>
        </is>
      </c>
      <c r="K12" s="114" t="n">
        <v>7</v>
      </c>
      <c r="L12" s="119" t="inlineStr">
        <is>
          <t>101 · Oficina Asesora de Planeación y Desarrollo Institucional</t>
        </is>
      </c>
      <c r="M12" s="120" t="n">
        <v>60500000</v>
      </c>
      <c r="N12" s="119" t="inlineStr">
        <is>
          <t>Contratación directa</t>
        </is>
      </c>
      <c r="O12" s="119">
        <f>IF(LEN(IF(OR(NOT(ISNUMBER(B12)),LEN(B12)&lt;&gt;8),"UNSPSC vacío, en texto, con varios códigos o sin 8 dígitos; ","")&amp;IF(AND(ISNUMBER(B12),LEN(B12)=8),IF(MOD(B12,10000)=0,"UNSPSC a nivel de segmento o familia; ",""),"")&amp;IF(NOT(ISNUMBER(E12)),"Duración vacía o en texto; ","")&amp;IF(NOT(ISNUMBER(G12)),"Valor vacío o en texto; ","")&amp;IF(ISNUMBER(M12),IF(M12&lt;1000000,"Valor inferior a $1.000.000: verificar; ",""),"Valor no interpretable; ")&amp;IF(N12="[PENDIENTE DE VERIFICAR]","Modalidad no identificable; ","")&amp;IF(OR(ISERROR(SEARCH("@itc.edu.co",J12)),SUMPRODUCT(--ISNUMBER(SEARCH({"á","é","í","ó","ú","ñ"},J12)))&gt;0),"Correo vacío o no institucional válido; ","")&amp;IF(LEN(TRIM(D12))=0,"Sin objeto contractual; ","")&amp;IF(AND(ISNUMBER(M12),N12="Mínima cuantía"),IF(M12&gt;39850000,"Mínima cuantía con valor superior al tope citado en el instructivo 2026 ($39.850.000): verificar modalidad; ",""),"")&amp;IF(AND(ISNUMBER(M12),OR(ISNUMBER(SEARCH("prestación de servicios",D12)),ISNUMBER(SEARCH("prestar servicios",D12)),ISNUMBER(SEARCH("prestar los servicios",D12)))),IF(M12&gt;=500000000,"Prestación de servicios por $500 millones o más: posible error de digitación; ",""),""))=0,"Sin observaciones",IF(OR(NOT(ISNUMBER(B12)),LEN(B12)&lt;&gt;8),"UNSPSC vacío, en texto, con varios códigos o sin 8 dígitos; ","")&amp;IF(AND(ISNUMBER(B12),LEN(B12)=8),IF(MOD(B12,10000)=0,"UNSPSC a nivel de segmento o familia; ",""),"")&amp;IF(NOT(ISNUMBER(E12)),"Duración vacía o en texto; ","")&amp;IF(NOT(ISNUMBER(G12)),"Valor vacío o en texto; ","")&amp;IF(ISNUMBER(M12),IF(M12&lt;1000000,"Valor inferior a $1.000.000: verificar; ",""),"Valor no interpretable; ")&amp;IF(N12="[PENDIENTE DE VERIFICAR]","Modalidad no identificable; ","")&amp;IF(OR(ISERROR(SEARCH("@itc.edu.co",J12)),SUMPRODUCT(--ISNUMBER(SEARCH({"á","é","í","ó","ú","ñ"},J12)))&gt;0),"Correo vacío o no institucional válido; ","")&amp;IF(LEN(TRIM(D12))=0,"Sin objeto contractual; ","")&amp;IF(AND(ISNUMBER(M12),N12="Mínima cuantía"),IF(M12&gt;39850000,"Mínima cuantía con valor superior al tope citado en el instructivo 2026 ($39.850.000): verificar modalidad; ",""),"")&amp;IF(AND(ISNUMBER(M12),OR(ISNUMBER(SEARCH("prestación de servicios",D12)),ISNUMBER(SEARCH("prestar servicios",D12)),ISNUMBER(SEARCH("prestar los servicios",D12)))),IF(M12&gt;=500000000,"Prestación de servicios por $500 millones o más: posible error de digitación; ",""),""))</f>
        <v/>
      </c>
    </row>
    <row r="13" ht="91.2" customHeight="1" s="23">
      <c r="A13" s="114" t="inlineStr">
        <is>
          <t>PN26-009</t>
        </is>
      </c>
      <c r="B13" s="114" t="n">
        <v>80111600</v>
      </c>
      <c r="C13" s="114" t="inlineStr">
        <is>
          <t>Planeacion financiera - proyectos de inversión</t>
        </is>
      </c>
      <c r="D13" s="114" t="inlineStr">
        <is>
          <t>Prestar servicios profesionales de apoyo a la oficina asesora de planeación en la formulación, seguimiento y evaluación de los proyectos de inversión institucional, garantizando su coherencia con el direccionamiento estratégico, la planeación presupuestal y los lineamientos del ministerio de hacienda y crédito público y del departamento nacional de planeación. asimismo, apoyar la gestión de recursos, la elaboración de informes y reportes en los sistemas oficiales, en el marco del modelo integrado de planeación y gestión (mipg) y las políticas institucionales vigentes.</t>
        </is>
      </c>
      <c r="E13" s="114" t="n">
        <v>11</v>
      </c>
      <c r="F13" s="114" t="inlineStr">
        <is>
          <t>DIRECTA</t>
        </is>
      </c>
      <c r="G13" s="118" t="n">
        <v>60500000</v>
      </c>
      <c r="H13" s="114" t="inlineStr">
        <is>
          <t>Jefe de la oficina asesora de planeacion</t>
        </is>
      </c>
      <c r="I13" s="114" t="n"/>
      <c r="J13" s="114" t="inlineStr">
        <is>
          <t xml:space="preserve">planeacion@itc.edu.co </t>
        </is>
      </c>
      <c r="K13" s="114" t="n">
        <v>8</v>
      </c>
      <c r="L13" s="119" t="inlineStr">
        <is>
          <t>101 · Oficina Asesora de Planeación y Desarrollo Institucional</t>
        </is>
      </c>
      <c r="M13" s="120" t="n">
        <v>60500000</v>
      </c>
      <c r="N13" s="119" t="inlineStr">
        <is>
          <t>Contratación directa</t>
        </is>
      </c>
      <c r="O13" s="119">
        <f>IF(LEN(IF(OR(NOT(ISNUMBER(B13)),LEN(B13)&lt;&gt;8),"UNSPSC vacío, en texto, con varios códigos o sin 8 dígitos; ","")&amp;IF(AND(ISNUMBER(B13),LEN(B13)=8),IF(MOD(B13,10000)=0,"UNSPSC a nivel de segmento o familia; ",""),"")&amp;IF(NOT(ISNUMBER(E13)),"Duración vacía o en texto; ","")&amp;IF(NOT(ISNUMBER(G13)),"Valor vacío o en texto; ","")&amp;IF(ISNUMBER(M13),IF(M13&lt;1000000,"Valor inferior a $1.000.000: verificar; ",""),"Valor no interpretable; ")&amp;IF(N13="[PENDIENTE DE VERIFICAR]","Modalidad no identificable; ","")&amp;IF(OR(ISERROR(SEARCH("@itc.edu.co",J13)),SUMPRODUCT(--ISNUMBER(SEARCH({"á","é","í","ó","ú","ñ"},J13)))&gt;0),"Correo vacío o no institucional válido; ","")&amp;IF(LEN(TRIM(D13))=0,"Sin objeto contractual; ","")&amp;IF(AND(ISNUMBER(M13),N13="Mínima cuantía"),IF(M13&gt;39850000,"Mínima cuantía con valor superior al tope citado en el instructivo 2026 ($39.850.000): verificar modalidad; ",""),"")&amp;IF(AND(ISNUMBER(M13),OR(ISNUMBER(SEARCH("prestación de servicios",D13)),ISNUMBER(SEARCH("prestar servicios",D13)),ISNUMBER(SEARCH("prestar los servicios",D13)))),IF(M13&gt;=500000000,"Prestación de servicios por $500 millones o más: posible error de digitación; ",""),""))=0,"Sin observaciones",IF(OR(NOT(ISNUMBER(B13)),LEN(B13)&lt;&gt;8),"UNSPSC vacío, en texto, con varios códigos o sin 8 dígitos; ","")&amp;IF(AND(ISNUMBER(B13),LEN(B13)=8),IF(MOD(B13,10000)=0,"UNSPSC a nivel de segmento o familia; ",""),"")&amp;IF(NOT(ISNUMBER(E13)),"Duración vacía o en texto; ","")&amp;IF(NOT(ISNUMBER(G13)),"Valor vacío o en texto; ","")&amp;IF(ISNUMBER(M13),IF(M13&lt;1000000,"Valor inferior a $1.000.000: verificar; ",""),"Valor no interpretable; ")&amp;IF(N13="[PENDIENTE DE VERIFICAR]","Modalidad no identificable; ","")&amp;IF(OR(ISERROR(SEARCH("@itc.edu.co",J13)),SUMPRODUCT(--ISNUMBER(SEARCH({"á","é","í","ó","ú","ñ"},J13)))&gt;0),"Correo vacío o no institucional válido; ","")&amp;IF(LEN(TRIM(D13))=0,"Sin objeto contractual; ","")&amp;IF(AND(ISNUMBER(M13),N13="Mínima cuantía"),IF(M13&gt;39850000,"Mínima cuantía con valor superior al tope citado en el instructivo 2026 ($39.850.000): verificar modalidad; ",""),"")&amp;IF(AND(ISNUMBER(M13),OR(ISNUMBER(SEARCH("prestación de servicios",D13)),ISNUMBER(SEARCH("prestar servicios",D13)),ISNUMBER(SEARCH("prestar los servicios",D13)))),IF(M13&gt;=500000000,"Prestación de servicios por $500 millones o más: posible error de digitación; ",""),""))</f>
        <v/>
      </c>
    </row>
    <row r="14" ht="79.8" customHeight="1" s="23">
      <c r="A14" s="114" t="inlineStr">
        <is>
          <t>PN26-010</t>
        </is>
      </c>
      <c r="B14" s="114" t="n">
        <v>80111600</v>
      </c>
      <c r="C14" s="114" t="inlineStr">
        <is>
          <t>Analítica de datos institucional</t>
        </is>
      </c>
      <c r="D14" s="114" t="inlineStr">
        <is>
          <t>Prestar los servicios profesionales de apoyo a la oficina asesora de planeación en la implementación, mantenimiento y fortalecimiento del sistema unificado de información y estadística (suie), así como en la recolección, análisis y difusión de información estadística institucional. de igual forma, apoyar el desarrollo de soluciones informáticas y analíticas que faciliten la planeación, el seguimiento y la evaluación de la gestión institucional, promoviendo la toma de decisiones estratégicas y el mejoramiento continuo.</t>
        </is>
      </c>
      <c r="E14" s="114" t="n">
        <v>11</v>
      </c>
      <c r="F14" s="114" t="inlineStr">
        <is>
          <t>DIRECTA</t>
        </is>
      </c>
      <c r="G14" s="118" t="n">
        <v>93500000</v>
      </c>
      <c r="H14" s="114" t="inlineStr">
        <is>
          <t>Jefe de la oficina asesora de planeacion</t>
        </is>
      </c>
      <c r="I14" s="114" t="n"/>
      <c r="J14" s="114" t="inlineStr">
        <is>
          <t xml:space="preserve">planeacion@itc.edu.co </t>
        </is>
      </c>
      <c r="K14" s="114" t="n">
        <v>9</v>
      </c>
      <c r="L14" s="119" t="inlineStr">
        <is>
          <t>101 · Oficina Asesora de Planeación y Desarrollo Institucional</t>
        </is>
      </c>
      <c r="M14" s="120" t="n">
        <v>93500000</v>
      </c>
      <c r="N14" s="119" t="inlineStr">
        <is>
          <t>Contratación directa</t>
        </is>
      </c>
      <c r="O14" s="119">
        <f>IF(LEN(IF(OR(NOT(ISNUMBER(B14)),LEN(B14)&lt;&gt;8),"UNSPSC vacío, en texto, con varios códigos o sin 8 dígitos; ","")&amp;IF(AND(ISNUMBER(B14),LEN(B14)=8),IF(MOD(B14,10000)=0,"UNSPSC a nivel de segmento o familia; ",""),"")&amp;IF(NOT(ISNUMBER(E14)),"Duración vacía o en texto; ","")&amp;IF(NOT(ISNUMBER(G14)),"Valor vacío o en texto; ","")&amp;IF(ISNUMBER(M14),IF(M14&lt;1000000,"Valor inferior a $1.000.000: verificar; ",""),"Valor no interpretable; ")&amp;IF(N14="[PENDIENTE DE VERIFICAR]","Modalidad no identificable; ","")&amp;IF(OR(ISERROR(SEARCH("@itc.edu.co",J14)),SUMPRODUCT(--ISNUMBER(SEARCH({"á","é","í","ó","ú","ñ"},J14)))&gt;0),"Correo vacío o no institucional válido; ","")&amp;IF(LEN(TRIM(D14))=0,"Sin objeto contractual; ","")&amp;IF(AND(ISNUMBER(M14),N14="Mínima cuantía"),IF(M14&gt;39850000,"Mínima cuantía con valor superior al tope citado en el instructivo 2026 ($39.850.000): verificar modalidad; ",""),"")&amp;IF(AND(ISNUMBER(M14),OR(ISNUMBER(SEARCH("prestación de servicios",D14)),ISNUMBER(SEARCH("prestar servicios",D14)),ISNUMBER(SEARCH("prestar los servicios",D14)))),IF(M14&gt;=500000000,"Prestación de servicios por $500 millones o más: posible error de digitación; ",""),""))=0,"Sin observaciones",IF(OR(NOT(ISNUMBER(B14)),LEN(B14)&lt;&gt;8),"UNSPSC vacío, en texto, con varios códigos o sin 8 dígitos; ","")&amp;IF(AND(ISNUMBER(B14),LEN(B14)=8),IF(MOD(B14,10000)=0,"UNSPSC a nivel de segmento o familia; ",""),"")&amp;IF(NOT(ISNUMBER(E14)),"Duración vacía o en texto; ","")&amp;IF(NOT(ISNUMBER(G14)),"Valor vacío o en texto; ","")&amp;IF(ISNUMBER(M14),IF(M14&lt;1000000,"Valor inferior a $1.000.000: verificar; ",""),"Valor no interpretable; ")&amp;IF(N14="[PENDIENTE DE VERIFICAR]","Modalidad no identificable; ","")&amp;IF(OR(ISERROR(SEARCH("@itc.edu.co",J14)),SUMPRODUCT(--ISNUMBER(SEARCH({"á","é","í","ó","ú","ñ"},J14)))&gt;0),"Correo vacío o no institucional válido; ","")&amp;IF(LEN(TRIM(D14))=0,"Sin objeto contractual; ","")&amp;IF(AND(ISNUMBER(M14),N14="Mínima cuantía"),IF(M14&gt;39850000,"Mínima cuantía con valor superior al tope citado en el instructivo 2026 ($39.850.000): verificar modalidad; ",""),"")&amp;IF(AND(ISNUMBER(M14),OR(ISNUMBER(SEARCH("prestación de servicios",D14)),ISNUMBER(SEARCH("prestar servicios",D14)),ISNUMBER(SEARCH("prestar los servicios",D14)))),IF(M14&gt;=500000000,"Prestación de servicios por $500 millones o más: posible error de digitación; ",""),""))</f>
        <v/>
      </c>
    </row>
    <row r="15" ht="68.40000000000001" customHeight="1" s="23">
      <c r="A15" s="114" t="inlineStr">
        <is>
          <t>PN26-011</t>
        </is>
      </c>
      <c r="B15" s="114" t="n">
        <v>80111600</v>
      </c>
      <c r="C15" s="114" t="inlineStr">
        <is>
          <t>Seguimiento al modelo y programa mipg y ptep</t>
        </is>
      </c>
      <c r="D15" s="114" t="inlineStr">
        <is>
          <t>Prestar servicios de apoyo profesional para la implementación, seguimiento y fortalecimiento del modelo integrado de planeación y gestión (mipg) y del programa de transparencia y ética pública (ptep), incluyendo la gestión del riesgo institucional, la transparencia, la rendición de cuentas y la participación ciudadana, conforme a los lineamientos del departamento administrativo de la función pública (dafp) y la normatividad vigente.</t>
        </is>
      </c>
      <c r="E15" s="114" t="n">
        <v>11</v>
      </c>
      <c r="F15" s="114" t="inlineStr">
        <is>
          <t>DIRECTA</t>
        </is>
      </c>
      <c r="G15" s="118" t="n">
        <v>60500000</v>
      </c>
      <c r="H15" s="114" t="inlineStr">
        <is>
          <t>Jefe de la oficina asesora de planeacion</t>
        </is>
      </c>
      <c r="I15" s="114" t="n"/>
      <c r="J15" s="114" t="inlineStr">
        <is>
          <t xml:space="preserve">planeacion@itc.edu.co </t>
        </is>
      </c>
      <c r="K15" s="114" t="n">
        <v>10</v>
      </c>
      <c r="L15" s="119" t="inlineStr">
        <is>
          <t>101 · Oficina Asesora de Planeación y Desarrollo Institucional</t>
        </is>
      </c>
      <c r="M15" s="120" t="n">
        <v>60500000</v>
      </c>
      <c r="N15" s="119" t="inlineStr">
        <is>
          <t>Contratación directa</t>
        </is>
      </c>
      <c r="O15" s="119">
        <f>IF(LEN(IF(OR(NOT(ISNUMBER(B15)),LEN(B15)&lt;&gt;8),"UNSPSC vacío, en texto, con varios códigos o sin 8 dígitos; ","")&amp;IF(AND(ISNUMBER(B15),LEN(B15)=8),IF(MOD(B15,10000)=0,"UNSPSC a nivel de segmento o familia; ",""),"")&amp;IF(NOT(ISNUMBER(E15)),"Duración vacía o en texto; ","")&amp;IF(NOT(ISNUMBER(G15)),"Valor vacío o en texto; ","")&amp;IF(ISNUMBER(M15),IF(M15&lt;1000000,"Valor inferior a $1.000.000: verificar; ",""),"Valor no interpretable; ")&amp;IF(N15="[PENDIENTE DE VERIFICAR]","Modalidad no identificable; ","")&amp;IF(OR(ISERROR(SEARCH("@itc.edu.co",J15)),SUMPRODUCT(--ISNUMBER(SEARCH({"á","é","í","ó","ú","ñ"},J15)))&gt;0),"Correo vacío o no institucional válido; ","")&amp;IF(LEN(TRIM(D15))=0,"Sin objeto contractual; ","")&amp;IF(AND(ISNUMBER(M15),N15="Mínima cuantía"),IF(M15&gt;39850000,"Mínima cuantía con valor superior al tope citado en el instructivo 2026 ($39.850.000): verificar modalidad; ",""),"")&amp;IF(AND(ISNUMBER(M15),OR(ISNUMBER(SEARCH("prestación de servicios",D15)),ISNUMBER(SEARCH("prestar servicios",D15)),ISNUMBER(SEARCH("prestar los servicios",D15)))),IF(M15&gt;=500000000,"Prestación de servicios por $500 millones o más: posible error de digitación; ",""),""))=0,"Sin observaciones",IF(OR(NOT(ISNUMBER(B15)),LEN(B15)&lt;&gt;8),"UNSPSC vacío, en texto, con varios códigos o sin 8 dígitos; ","")&amp;IF(AND(ISNUMBER(B15),LEN(B15)=8),IF(MOD(B15,10000)=0,"UNSPSC a nivel de segmento o familia; ",""),"")&amp;IF(NOT(ISNUMBER(E15)),"Duración vacía o en texto; ","")&amp;IF(NOT(ISNUMBER(G15)),"Valor vacío o en texto; ","")&amp;IF(ISNUMBER(M15),IF(M15&lt;1000000,"Valor inferior a $1.000.000: verificar; ",""),"Valor no interpretable; ")&amp;IF(N15="[PENDIENTE DE VERIFICAR]","Modalidad no identificable; ","")&amp;IF(OR(ISERROR(SEARCH("@itc.edu.co",J15)),SUMPRODUCT(--ISNUMBER(SEARCH({"á","é","í","ó","ú","ñ"},J15)))&gt;0),"Correo vacío o no institucional válido; ","")&amp;IF(LEN(TRIM(D15))=0,"Sin objeto contractual; ","")&amp;IF(AND(ISNUMBER(M15),N15="Mínima cuantía"),IF(M15&gt;39850000,"Mínima cuantía con valor superior al tope citado en el instructivo 2026 ($39.850.000): verificar modalidad; ",""),"")&amp;IF(AND(ISNUMBER(M15),OR(ISNUMBER(SEARCH("prestación de servicios",D15)),ISNUMBER(SEARCH("prestar servicios",D15)),ISNUMBER(SEARCH("prestar los servicios",D15)))),IF(M15&gt;=500000000,"Prestación de servicios por $500 millones o más: posible error de digitación; ",""),""))</f>
        <v/>
      </c>
    </row>
    <row r="16" ht="79.8" customHeight="1" s="23">
      <c r="A16" s="114" t="inlineStr">
        <is>
          <t>PN26-012</t>
        </is>
      </c>
      <c r="B16" s="114" t="n">
        <v>80111600</v>
      </c>
      <c r="C16" s="114" t="inlineStr">
        <is>
          <t>Estrategia de regionalización</t>
        </is>
      </c>
      <c r="D16" s="114" t="inlineStr">
        <is>
          <t>Prestar servicios de apoyo profesional prestación de servicios profesionales a la oficina asesora de planeación para apoyar la implementación, fomento del desarrollo local de la estrategia de regionalización a través de la docencia, la investigación y extension realizando las acciones necesarias para establecer y fortalecer la oferta educativa en zonas geográficas determinadas, de acuerdo con las políticas vigentes y caracterización de la vocación local en coordinación con las dependencias de la escuela y su respectiva documentación.</t>
        </is>
      </c>
      <c r="E16" s="114" t="n">
        <v>11</v>
      </c>
      <c r="F16" s="114" t="inlineStr">
        <is>
          <t>DIRECTA</t>
        </is>
      </c>
      <c r="G16" s="118" t="n">
        <v>60500000</v>
      </c>
      <c r="H16" s="114" t="inlineStr">
        <is>
          <t>Jefe de la oficina asesora de planeacion</t>
        </is>
      </c>
      <c r="I16" s="114" t="n"/>
      <c r="J16" s="114" t="inlineStr">
        <is>
          <t xml:space="preserve">planeacion@itc.edu.co </t>
        </is>
      </c>
      <c r="K16" s="114" t="n">
        <v>11</v>
      </c>
      <c r="L16" s="119" t="inlineStr">
        <is>
          <t>101 · Oficina Asesora de Planeación y Desarrollo Institucional</t>
        </is>
      </c>
      <c r="M16" s="120" t="n">
        <v>60500000</v>
      </c>
      <c r="N16" s="119" t="inlineStr">
        <is>
          <t>Contratación directa</t>
        </is>
      </c>
      <c r="O16" s="119">
        <f>IF(LEN(IF(OR(NOT(ISNUMBER(B16)),LEN(B16)&lt;&gt;8),"UNSPSC vacío, en texto, con varios códigos o sin 8 dígitos; ","")&amp;IF(AND(ISNUMBER(B16),LEN(B16)=8),IF(MOD(B16,10000)=0,"UNSPSC a nivel de segmento o familia; ",""),"")&amp;IF(NOT(ISNUMBER(E16)),"Duración vacía o en texto; ","")&amp;IF(NOT(ISNUMBER(G16)),"Valor vacío o en texto; ","")&amp;IF(ISNUMBER(M16),IF(M16&lt;1000000,"Valor inferior a $1.000.000: verificar; ",""),"Valor no interpretable; ")&amp;IF(N16="[PENDIENTE DE VERIFICAR]","Modalidad no identificable; ","")&amp;IF(OR(ISERROR(SEARCH("@itc.edu.co",J16)),SUMPRODUCT(--ISNUMBER(SEARCH({"á","é","í","ó","ú","ñ"},J16)))&gt;0),"Correo vacío o no institucional válido; ","")&amp;IF(LEN(TRIM(D16))=0,"Sin objeto contractual; ","")&amp;IF(AND(ISNUMBER(M16),N16="Mínima cuantía"),IF(M16&gt;39850000,"Mínima cuantía con valor superior al tope citado en el instructivo 2026 ($39.850.000): verificar modalidad; ",""),"")&amp;IF(AND(ISNUMBER(M16),OR(ISNUMBER(SEARCH("prestación de servicios",D16)),ISNUMBER(SEARCH("prestar servicios",D16)),ISNUMBER(SEARCH("prestar los servicios",D16)))),IF(M16&gt;=500000000,"Prestación de servicios por $500 millones o más: posible error de digitación; ",""),""))=0,"Sin observaciones",IF(OR(NOT(ISNUMBER(B16)),LEN(B16)&lt;&gt;8),"UNSPSC vacío, en texto, con varios códigos o sin 8 dígitos; ","")&amp;IF(AND(ISNUMBER(B16),LEN(B16)=8),IF(MOD(B16,10000)=0,"UNSPSC a nivel de segmento o familia; ",""),"")&amp;IF(NOT(ISNUMBER(E16)),"Duración vacía o en texto; ","")&amp;IF(NOT(ISNUMBER(G16)),"Valor vacío o en texto; ","")&amp;IF(ISNUMBER(M16),IF(M16&lt;1000000,"Valor inferior a $1.000.000: verificar; ",""),"Valor no interpretable; ")&amp;IF(N16="[PENDIENTE DE VERIFICAR]","Modalidad no identificable; ","")&amp;IF(OR(ISERROR(SEARCH("@itc.edu.co",J16)),SUMPRODUCT(--ISNUMBER(SEARCH({"á","é","í","ó","ú","ñ"},J16)))&gt;0),"Correo vacío o no institucional válido; ","")&amp;IF(LEN(TRIM(D16))=0,"Sin objeto contractual; ","")&amp;IF(AND(ISNUMBER(M16),N16="Mínima cuantía"),IF(M16&gt;39850000,"Mínima cuantía con valor superior al tope citado en el instructivo 2026 ($39.850.000): verificar modalidad; ",""),"")&amp;IF(AND(ISNUMBER(M16),OR(ISNUMBER(SEARCH("prestación de servicios",D16)),ISNUMBER(SEARCH("prestar servicios",D16)),ISNUMBER(SEARCH("prestar los servicios",D16)))),IF(M16&gt;=500000000,"Prestación de servicios por $500 millones o más: posible error de digitación; ",""),""))</f>
        <v/>
      </c>
    </row>
    <row r="17" ht="57" customHeight="1" s="23">
      <c r="A17" s="114" t="inlineStr">
        <is>
          <t>PN26-013</t>
        </is>
      </c>
      <c r="B17" s="114" t="n">
        <v>80111600</v>
      </c>
      <c r="C17" s="114" t="inlineStr">
        <is>
          <t>Gestion ambiental</t>
        </is>
      </c>
      <c r="D17" s="114" t="inlineStr">
        <is>
          <t>Prestación de servicios profesionales con autonomía técnica y administrativa para liderar, fortalecer, actualizar y dar continuidad al sistema de gestión ambiental (sga) institucional, asegurando el cumplimiento normativo, el mejoramiento continuo y la integración con los procesos institucionales para el periodo 2026</t>
        </is>
      </c>
      <c r="E17" s="114" t="n">
        <v>11</v>
      </c>
      <c r="F17" s="114" t="inlineStr">
        <is>
          <t>DIRECTA</t>
        </is>
      </c>
      <c r="G17" s="118" t="n">
        <v>52800000</v>
      </c>
      <c r="H17" s="114" t="inlineStr">
        <is>
          <t>Jefe de la oficina asesora de planeacion</t>
        </is>
      </c>
      <c r="I17" s="114" t="n"/>
      <c r="J17" s="114" t="inlineStr">
        <is>
          <t xml:space="preserve">planeacion@itc.edu.co </t>
        </is>
      </c>
      <c r="K17" s="114" t="n">
        <v>12</v>
      </c>
      <c r="L17" s="119" t="inlineStr">
        <is>
          <t>101 · Oficina Asesora de Planeación y Desarrollo Institucional</t>
        </is>
      </c>
      <c r="M17" s="120" t="n">
        <v>52800000</v>
      </c>
      <c r="N17" s="119" t="inlineStr">
        <is>
          <t>Contratación directa</t>
        </is>
      </c>
      <c r="O17" s="119">
        <f>IF(LEN(IF(OR(NOT(ISNUMBER(B17)),LEN(B17)&lt;&gt;8),"UNSPSC vacío, en texto, con varios códigos o sin 8 dígitos; ","")&amp;IF(AND(ISNUMBER(B17),LEN(B17)=8),IF(MOD(B17,10000)=0,"UNSPSC a nivel de segmento o familia; ",""),"")&amp;IF(NOT(ISNUMBER(E17)),"Duración vacía o en texto; ","")&amp;IF(NOT(ISNUMBER(G17)),"Valor vacío o en texto; ","")&amp;IF(ISNUMBER(M17),IF(M17&lt;1000000,"Valor inferior a $1.000.000: verificar; ",""),"Valor no interpretable; ")&amp;IF(N17="[PENDIENTE DE VERIFICAR]","Modalidad no identificable; ","")&amp;IF(OR(ISERROR(SEARCH("@itc.edu.co",J17)),SUMPRODUCT(--ISNUMBER(SEARCH({"á","é","í","ó","ú","ñ"},J17)))&gt;0),"Correo vacío o no institucional válido; ","")&amp;IF(LEN(TRIM(D17))=0,"Sin objeto contractual; ","")&amp;IF(AND(ISNUMBER(M17),N17="Mínima cuantía"),IF(M17&gt;39850000,"Mínima cuantía con valor superior al tope citado en el instructivo 2026 ($39.850.000): verificar modalidad; ",""),"")&amp;IF(AND(ISNUMBER(M17),OR(ISNUMBER(SEARCH("prestación de servicios",D17)),ISNUMBER(SEARCH("prestar servicios",D17)),ISNUMBER(SEARCH("prestar los servicios",D17)))),IF(M17&gt;=500000000,"Prestación de servicios por $500 millones o más: posible error de digitación; ",""),""))=0,"Sin observaciones",IF(OR(NOT(ISNUMBER(B17)),LEN(B17)&lt;&gt;8),"UNSPSC vacío, en texto, con varios códigos o sin 8 dígitos; ","")&amp;IF(AND(ISNUMBER(B17),LEN(B17)=8),IF(MOD(B17,10000)=0,"UNSPSC a nivel de segmento o familia; ",""),"")&amp;IF(NOT(ISNUMBER(E17)),"Duración vacía o en texto; ","")&amp;IF(NOT(ISNUMBER(G17)),"Valor vacío o en texto; ","")&amp;IF(ISNUMBER(M17),IF(M17&lt;1000000,"Valor inferior a $1.000.000: verificar; ",""),"Valor no interpretable; ")&amp;IF(N17="[PENDIENTE DE VERIFICAR]","Modalidad no identificable; ","")&amp;IF(OR(ISERROR(SEARCH("@itc.edu.co",J17)),SUMPRODUCT(--ISNUMBER(SEARCH({"á","é","í","ó","ú","ñ"},J17)))&gt;0),"Correo vacío o no institucional válido; ","")&amp;IF(LEN(TRIM(D17))=0,"Sin objeto contractual; ","")&amp;IF(AND(ISNUMBER(M17),N17="Mínima cuantía"),IF(M17&gt;39850000,"Mínima cuantía con valor superior al tope citado en el instructivo 2026 ($39.850.000): verificar modalidad; ",""),"")&amp;IF(AND(ISNUMBER(M17),OR(ISNUMBER(SEARCH("prestación de servicios",D17)),ISNUMBER(SEARCH("prestar servicios",D17)),ISNUMBER(SEARCH("prestar los servicios",D17)))),IF(M17&gt;=500000000,"Prestación de servicios por $500 millones o más: posible error de digitación; ",""),""))</f>
        <v/>
      </c>
    </row>
    <row r="18" ht="45.6" customHeight="1" s="23">
      <c r="A18" s="114" t="inlineStr">
        <is>
          <t>PN26-014</t>
        </is>
      </c>
      <c r="B18" s="114" t="n">
        <v>80111600</v>
      </c>
      <c r="C18" s="114" t="inlineStr">
        <is>
          <t>Gestion ambiental apoyo regionalizacion.</t>
        </is>
      </c>
      <c r="D18" s="114" t="inlineStr">
        <is>
          <t>Prestar servicios profesionales de apoyo a la ejecución, seguimiento y fortalecimiento de las actividades relacionadas con el sistema de gestión ambiental en las sedes y apoyo a los lugares de desarrollo donde se oferta educacion superior de la etitc</t>
        </is>
      </c>
      <c r="E18" s="114" t="n">
        <v>11</v>
      </c>
      <c r="F18" s="114" t="inlineStr">
        <is>
          <t>DIRECTA</t>
        </is>
      </c>
      <c r="G18" s="118" t="n">
        <v>41800000</v>
      </c>
      <c r="H18" s="114" t="inlineStr">
        <is>
          <t>Jefe de la oficina asesora de planeacion</t>
        </is>
      </c>
      <c r="I18" s="114" t="n"/>
      <c r="J18" s="114" t="inlineStr">
        <is>
          <t xml:space="preserve">planeacion@itc.edu.co </t>
        </is>
      </c>
      <c r="K18" s="114" t="n">
        <v>13</v>
      </c>
      <c r="L18" s="119" t="inlineStr">
        <is>
          <t>101 · Oficina Asesora de Planeación y Desarrollo Institucional</t>
        </is>
      </c>
      <c r="M18" s="120" t="n">
        <v>41800000</v>
      </c>
      <c r="N18" s="119" t="inlineStr">
        <is>
          <t>Contratación directa</t>
        </is>
      </c>
      <c r="O18" s="119">
        <f>IF(LEN(IF(OR(NOT(ISNUMBER(B18)),LEN(B18)&lt;&gt;8),"UNSPSC vacío, en texto, con varios códigos o sin 8 dígitos; ","")&amp;IF(AND(ISNUMBER(B18),LEN(B18)=8),IF(MOD(B18,10000)=0,"UNSPSC a nivel de segmento o familia; ",""),"")&amp;IF(NOT(ISNUMBER(E18)),"Duración vacía o en texto; ","")&amp;IF(NOT(ISNUMBER(G18)),"Valor vacío o en texto; ","")&amp;IF(ISNUMBER(M18),IF(M18&lt;1000000,"Valor inferior a $1.000.000: verificar; ",""),"Valor no interpretable; ")&amp;IF(N18="[PENDIENTE DE VERIFICAR]","Modalidad no identificable; ","")&amp;IF(OR(ISERROR(SEARCH("@itc.edu.co",J18)),SUMPRODUCT(--ISNUMBER(SEARCH({"á","é","í","ó","ú","ñ"},J18)))&gt;0),"Correo vacío o no institucional válido; ","")&amp;IF(LEN(TRIM(D18))=0,"Sin objeto contractual; ","")&amp;IF(AND(ISNUMBER(M18),N18="Mínima cuantía"),IF(M18&gt;39850000,"Mínima cuantía con valor superior al tope citado en el instructivo 2026 ($39.850.000): verificar modalidad; ",""),"")&amp;IF(AND(ISNUMBER(M18),OR(ISNUMBER(SEARCH("prestación de servicios",D18)),ISNUMBER(SEARCH("prestar servicios",D18)),ISNUMBER(SEARCH("prestar los servicios",D18)))),IF(M18&gt;=500000000,"Prestación de servicios por $500 millones o más: posible error de digitación; ",""),""))=0,"Sin observaciones",IF(OR(NOT(ISNUMBER(B18)),LEN(B18)&lt;&gt;8),"UNSPSC vacío, en texto, con varios códigos o sin 8 dígitos; ","")&amp;IF(AND(ISNUMBER(B18),LEN(B18)=8),IF(MOD(B18,10000)=0,"UNSPSC a nivel de segmento o familia; ",""),"")&amp;IF(NOT(ISNUMBER(E18)),"Duración vacía o en texto; ","")&amp;IF(NOT(ISNUMBER(G18)),"Valor vacío o en texto; ","")&amp;IF(ISNUMBER(M18),IF(M18&lt;1000000,"Valor inferior a $1.000.000: verificar; ",""),"Valor no interpretable; ")&amp;IF(N18="[PENDIENTE DE VERIFICAR]","Modalidad no identificable; ","")&amp;IF(OR(ISERROR(SEARCH("@itc.edu.co",J18)),SUMPRODUCT(--ISNUMBER(SEARCH({"á","é","í","ó","ú","ñ"},J18)))&gt;0),"Correo vacío o no institucional válido; ","")&amp;IF(LEN(TRIM(D18))=0,"Sin objeto contractual; ","")&amp;IF(AND(ISNUMBER(M18),N18="Mínima cuantía"),IF(M18&gt;39850000,"Mínima cuantía con valor superior al tope citado en el instructivo 2026 ($39.850.000): verificar modalidad; ",""),"")&amp;IF(AND(ISNUMBER(M18),OR(ISNUMBER(SEARCH("prestación de servicios",D18)),ISNUMBER(SEARCH("prestar servicios",D18)),ISNUMBER(SEARCH("prestar los servicios",D18)))),IF(M18&gt;=500000000,"Prestación de servicios por $500 millones o más: posible error de digitación; ",""),""))</f>
        <v/>
      </c>
    </row>
    <row r="19" ht="68.40000000000001" customHeight="1" s="23">
      <c r="A19" s="114" t="inlineStr">
        <is>
          <t>PN26-015</t>
        </is>
      </c>
      <c r="B19" s="114" t="n">
        <v>80111600</v>
      </c>
      <c r="C19" s="114" t="inlineStr">
        <is>
          <t>Continuidad del servicio y datos personales.</t>
        </is>
      </c>
      <c r="D19" s="114" t="inlineStr">
        <is>
          <t>Prestar los servicios profesionales a la oficina asesora de planeación de la escuela tecnológica instituto técnico central – etic, para realizar el seguimiento, verificación y mejora continua del plan de continuidad del servicio y del tratamiento de protección de datos personales, asegurando su conformidad con la normativa vigente relacionada con la continuidad del servicio, la seguridad de la información y la protección de datos personales.</t>
        </is>
      </c>
      <c r="E19" s="114" t="n">
        <v>11</v>
      </c>
      <c r="F19" s="114" t="inlineStr">
        <is>
          <t>DIRECTA</t>
        </is>
      </c>
      <c r="G19" s="118" t="n">
        <v>52800000</v>
      </c>
      <c r="H19" s="114" t="inlineStr">
        <is>
          <t>Jefe de la oficina asesora de planeacion</t>
        </is>
      </c>
      <c r="I19" s="114" t="n"/>
      <c r="J19" s="114" t="inlineStr">
        <is>
          <t xml:space="preserve">planeacion@itc.edu.co </t>
        </is>
      </c>
      <c r="K19" s="114" t="n">
        <v>14</v>
      </c>
      <c r="L19" s="119" t="inlineStr">
        <is>
          <t>101 · Oficina Asesora de Planeación y Desarrollo Institucional</t>
        </is>
      </c>
      <c r="M19" s="120" t="n">
        <v>52800000</v>
      </c>
      <c r="N19" s="119" t="inlineStr">
        <is>
          <t>Contratación directa</t>
        </is>
      </c>
      <c r="O19" s="119">
        <f>IF(LEN(IF(OR(NOT(ISNUMBER(B19)),LEN(B19)&lt;&gt;8),"UNSPSC vacío, en texto, con varios códigos o sin 8 dígitos; ","")&amp;IF(AND(ISNUMBER(B19),LEN(B19)=8),IF(MOD(B19,10000)=0,"UNSPSC a nivel de segmento o familia; ",""),"")&amp;IF(NOT(ISNUMBER(E19)),"Duración vacía o en texto; ","")&amp;IF(NOT(ISNUMBER(G19)),"Valor vacío o en texto; ","")&amp;IF(ISNUMBER(M19),IF(M19&lt;1000000,"Valor inferior a $1.000.000: verificar; ",""),"Valor no interpretable; ")&amp;IF(N19="[PENDIENTE DE VERIFICAR]","Modalidad no identificable; ","")&amp;IF(OR(ISERROR(SEARCH("@itc.edu.co",J19)),SUMPRODUCT(--ISNUMBER(SEARCH({"á","é","í","ó","ú","ñ"},J19)))&gt;0),"Correo vacío o no institucional válido; ","")&amp;IF(LEN(TRIM(D19))=0,"Sin objeto contractual; ","")&amp;IF(AND(ISNUMBER(M19),N19="Mínima cuantía"),IF(M19&gt;39850000,"Mínima cuantía con valor superior al tope citado en el instructivo 2026 ($39.850.000): verificar modalidad; ",""),"")&amp;IF(AND(ISNUMBER(M19),OR(ISNUMBER(SEARCH("prestación de servicios",D19)),ISNUMBER(SEARCH("prestar servicios",D19)),ISNUMBER(SEARCH("prestar los servicios",D19)))),IF(M19&gt;=500000000,"Prestación de servicios por $500 millones o más: posible error de digitación; ",""),""))=0,"Sin observaciones",IF(OR(NOT(ISNUMBER(B19)),LEN(B19)&lt;&gt;8),"UNSPSC vacío, en texto, con varios códigos o sin 8 dígitos; ","")&amp;IF(AND(ISNUMBER(B19),LEN(B19)=8),IF(MOD(B19,10000)=0,"UNSPSC a nivel de segmento o familia; ",""),"")&amp;IF(NOT(ISNUMBER(E19)),"Duración vacía o en texto; ","")&amp;IF(NOT(ISNUMBER(G19)),"Valor vacío o en texto; ","")&amp;IF(ISNUMBER(M19),IF(M19&lt;1000000,"Valor inferior a $1.000.000: verificar; ",""),"Valor no interpretable; ")&amp;IF(N19="[PENDIENTE DE VERIFICAR]","Modalidad no identificable; ","")&amp;IF(OR(ISERROR(SEARCH("@itc.edu.co",J19)),SUMPRODUCT(--ISNUMBER(SEARCH({"á","é","í","ó","ú","ñ"},J19)))&gt;0),"Correo vacío o no institucional válido; ","")&amp;IF(LEN(TRIM(D19))=0,"Sin objeto contractual; ","")&amp;IF(AND(ISNUMBER(M19),N19="Mínima cuantía"),IF(M19&gt;39850000,"Mínima cuantía con valor superior al tope citado en el instructivo 2026 ($39.850.000): verificar modalidad; ",""),"")&amp;IF(AND(ISNUMBER(M19),OR(ISNUMBER(SEARCH("prestación de servicios",D19)),ISNUMBER(SEARCH("prestar servicios",D19)),ISNUMBER(SEARCH("prestar los servicios",D19)))),IF(M19&gt;=500000000,"Prestación de servicios por $500 millones o más: posible error de digitación; ",""),""))</f>
        <v/>
      </c>
    </row>
    <row r="20" ht="68.40000000000001" customHeight="1" s="23">
      <c r="A20" s="114" t="inlineStr">
        <is>
          <t>PN26-016</t>
        </is>
      </c>
      <c r="B20" s="114" t="n">
        <v>811112208</v>
      </c>
      <c r="C20" s="114" t="inlineStr">
        <is>
          <t>Ciberseguridad y seguridad de la informacion.</t>
        </is>
      </c>
      <c r="D20" s="114" t="inlineStr">
        <is>
          <t>Prestación de servicios profesionales a la oficina asesora de planeación para ejecutar actividades orientadas al fortalecimiento de la seguridad de la información, incluyendo monitoreo, inteligencia de amenazas, documentación para garantizar cumplimiento normativo mipg, apoyo técnico al líder de seguridad de la información, gestión de incidentes y vulnerabilidades, concientización en ciberseguridad</t>
        </is>
      </c>
      <c r="E20" s="114" t="n">
        <v>11</v>
      </c>
      <c r="F20" s="114" t="inlineStr">
        <is>
          <t>DIRECTA</t>
        </is>
      </c>
      <c r="G20" s="118" t="n">
        <v>52800000</v>
      </c>
      <c r="H20" s="114" t="inlineStr">
        <is>
          <t>profesional universitario 2044-11 en Seguridad de la Información</t>
        </is>
      </c>
      <c r="I20" s="114" t="n"/>
      <c r="J20" s="114" t="inlineStr">
        <is>
          <t>seguridaddigital@itc.edu.co</t>
        </is>
      </c>
      <c r="K20" s="114" t="n">
        <v>15</v>
      </c>
      <c r="L20" s="119" t="inlineStr">
        <is>
          <t>132 · GIT Gestión de Informática y Telecomunicaciones</t>
        </is>
      </c>
      <c r="M20" s="120" t="n">
        <v>52800000</v>
      </c>
      <c r="N20" s="119" t="inlineStr">
        <is>
          <t>Contratación directa</t>
        </is>
      </c>
      <c r="O20" s="119">
        <f>IF(LEN(IF(OR(NOT(ISNUMBER(B20)),LEN(B20)&lt;&gt;8),"UNSPSC vacío, en texto, con varios códigos o sin 8 dígitos; ","")&amp;IF(AND(ISNUMBER(B20),LEN(B20)=8),IF(MOD(B20,10000)=0,"UNSPSC a nivel de segmento o familia; ",""),"")&amp;IF(NOT(ISNUMBER(E20)),"Duración vacía o en texto; ","")&amp;IF(NOT(ISNUMBER(G20)),"Valor vacío o en texto; ","")&amp;IF(ISNUMBER(M20),IF(M20&lt;1000000,"Valor inferior a $1.000.000: verificar; ",""),"Valor no interpretable; ")&amp;IF(N20="[PENDIENTE DE VERIFICAR]","Modalidad no identificable; ","")&amp;IF(OR(ISERROR(SEARCH("@itc.edu.co",J20)),SUMPRODUCT(--ISNUMBER(SEARCH({"á","é","í","ó","ú","ñ"},J20)))&gt;0),"Correo vacío o no institucional válido; ","")&amp;IF(LEN(TRIM(D20))=0,"Sin objeto contractual; ","")&amp;IF(AND(ISNUMBER(M20),N20="Mínima cuantía"),IF(M20&gt;39850000,"Mínima cuantía con valor superior al tope citado en el instructivo 2026 ($39.850.000): verificar modalidad; ",""),"")&amp;IF(AND(ISNUMBER(M20),OR(ISNUMBER(SEARCH("prestación de servicios",D20)),ISNUMBER(SEARCH("prestar servicios",D20)),ISNUMBER(SEARCH("prestar los servicios",D20)))),IF(M20&gt;=500000000,"Prestación de servicios por $500 millones o más: posible error de digitación; ",""),""))=0,"Sin observaciones",IF(OR(NOT(ISNUMBER(B20)),LEN(B20)&lt;&gt;8),"UNSPSC vacío, en texto, con varios códigos o sin 8 dígitos; ","")&amp;IF(AND(ISNUMBER(B20),LEN(B20)=8),IF(MOD(B20,10000)=0,"UNSPSC a nivel de segmento o familia; ",""),"")&amp;IF(NOT(ISNUMBER(E20)),"Duración vacía o en texto; ","")&amp;IF(NOT(ISNUMBER(G20)),"Valor vacío o en texto; ","")&amp;IF(ISNUMBER(M20),IF(M20&lt;1000000,"Valor inferior a $1.000.000: verificar; ",""),"Valor no interpretable; ")&amp;IF(N20="[PENDIENTE DE VERIFICAR]","Modalidad no identificable; ","")&amp;IF(OR(ISERROR(SEARCH("@itc.edu.co",J20)),SUMPRODUCT(--ISNUMBER(SEARCH({"á","é","í","ó","ú","ñ"},J20)))&gt;0),"Correo vacío o no institucional válido; ","")&amp;IF(LEN(TRIM(D20))=0,"Sin objeto contractual; ","")&amp;IF(AND(ISNUMBER(M20),N20="Mínima cuantía"),IF(M20&gt;39850000,"Mínima cuantía con valor superior al tope citado en el instructivo 2026 ($39.850.000): verificar modalidad; ",""),"")&amp;IF(AND(ISNUMBER(M20),OR(ISNUMBER(SEARCH("prestación de servicios",D20)),ISNUMBER(SEARCH("prestar servicios",D20)),ISNUMBER(SEARCH("prestar los servicios",D20)))),IF(M20&gt;=500000000,"Prestación de servicios por $500 millones o más: posible error de digitación; ",""),""))</f>
        <v/>
      </c>
    </row>
    <row r="21" ht="57" customHeight="1" s="23">
      <c r="A21" s="114" t="inlineStr">
        <is>
          <t>PN26-017</t>
        </is>
      </c>
      <c r="B21" s="114" t="n">
        <v>80111600</v>
      </c>
      <c r="C21" s="114" t="inlineStr">
        <is>
          <t>Sistema de seguridad y salud en el trabajo - regionalizacion</t>
        </is>
      </c>
      <c r="D21" s="114" t="inlineStr">
        <is>
          <t>Prestación de servicios profesionales para apoyar las actividades, gestión, ejecución y/o acompañamiento para implementar y mantener un sistema de gestión de seguridad y salud en el trabajo (sgsst). en las sedes y lugar de desarrollo donde la etitc oferta programas de educacion superior en cumplimiento de la normativa vigente</t>
        </is>
      </c>
      <c r="E21" s="114" t="n">
        <v>11</v>
      </c>
      <c r="F21" s="114" t="inlineStr">
        <is>
          <t>DIRECTA</t>
        </is>
      </c>
      <c r="G21" s="118" t="n">
        <v>52800000</v>
      </c>
      <c r="H21" s="114" t="inlineStr">
        <is>
          <t>Jefe de la oficina asesora de planeacion</t>
        </is>
      </c>
      <c r="I21" s="114" t="n"/>
      <c r="J21" s="114" t="inlineStr">
        <is>
          <t xml:space="preserve">planeacion@itc.edu.co </t>
        </is>
      </c>
      <c r="K21" s="114" t="n">
        <v>16</v>
      </c>
      <c r="L21" s="119" t="inlineStr">
        <is>
          <t>101 · Oficina Asesora de Planeación y Desarrollo Institucional</t>
        </is>
      </c>
      <c r="M21" s="120" t="n">
        <v>52800000</v>
      </c>
      <c r="N21" s="119" t="inlineStr">
        <is>
          <t>Contratación directa</t>
        </is>
      </c>
      <c r="O21" s="119">
        <f>IF(LEN(IF(OR(NOT(ISNUMBER(B21)),LEN(B21)&lt;&gt;8),"UNSPSC vacío, en texto, con varios códigos o sin 8 dígitos; ","")&amp;IF(AND(ISNUMBER(B21),LEN(B21)=8),IF(MOD(B21,10000)=0,"UNSPSC a nivel de segmento o familia; ",""),"")&amp;IF(NOT(ISNUMBER(E21)),"Duración vacía o en texto; ","")&amp;IF(NOT(ISNUMBER(G21)),"Valor vacío o en texto; ","")&amp;IF(ISNUMBER(M21),IF(M21&lt;1000000,"Valor inferior a $1.000.000: verificar; ",""),"Valor no interpretable; ")&amp;IF(N21="[PENDIENTE DE VERIFICAR]","Modalidad no identificable; ","")&amp;IF(OR(ISERROR(SEARCH("@itc.edu.co",J21)),SUMPRODUCT(--ISNUMBER(SEARCH({"á","é","í","ó","ú","ñ"},J21)))&gt;0),"Correo vacío o no institucional válido; ","")&amp;IF(LEN(TRIM(D21))=0,"Sin objeto contractual; ","")&amp;IF(AND(ISNUMBER(M21),N21="Mínima cuantía"),IF(M21&gt;39850000,"Mínima cuantía con valor superior al tope citado en el instructivo 2026 ($39.850.000): verificar modalidad; ",""),"")&amp;IF(AND(ISNUMBER(M21),OR(ISNUMBER(SEARCH("prestación de servicios",D21)),ISNUMBER(SEARCH("prestar servicios",D21)),ISNUMBER(SEARCH("prestar los servicios",D21)))),IF(M21&gt;=500000000,"Prestación de servicios por $500 millones o más: posible error de digitación; ",""),""))=0,"Sin observaciones",IF(OR(NOT(ISNUMBER(B21)),LEN(B21)&lt;&gt;8),"UNSPSC vacío, en texto, con varios códigos o sin 8 dígitos; ","")&amp;IF(AND(ISNUMBER(B21),LEN(B21)=8),IF(MOD(B21,10000)=0,"UNSPSC a nivel de segmento o familia; ",""),"")&amp;IF(NOT(ISNUMBER(E21)),"Duración vacía o en texto; ","")&amp;IF(NOT(ISNUMBER(G21)),"Valor vacío o en texto; ","")&amp;IF(ISNUMBER(M21),IF(M21&lt;1000000,"Valor inferior a $1.000.000: verificar; ",""),"Valor no interpretable; ")&amp;IF(N21="[PENDIENTE DE VERIFICAR]","Modalidad no identificable; ","")&amp;IF(OR(ISERROR(SEARCH("@itc.edu.co",J21)),SUMPRODUCT(--ISNUMBER(SEARCH({"á","é","í","ó","ú","ñ"},J21)))&gt;0),"Correo vacío o no institucional válido; ","")&amp;IF(LEN(TRIM(D21))=0,"Sin objeto contractual; ","")&amp;IF(AND(ISNUMBER(M21),N21="Mínima cuantía"),IF(M21&gt;39850000,"Mínima cuantía con valor superior al tope citado en el instructivo 2026 ($39.850.000): verificar modalidad; ",""),"")&amp;IF(AND(ISNUMBER(M21),OR(ISNUMBER(SEARCH("prestación de servicios",D21)),ISNUMBER(SEARCH("prestar servicios",D21)),ISNUMBER(SEARCH("prestar los servicios",D21)))),IF(M21&gt;=500000000,"Prestación de servicios por $500 millones o más: posible error de digitación; ",""),""))</f>
        <v/>
      </c>
    </row>
    <row r="22" ht="68.40000000000001" customHeight="1" s="23">
      <c r="A22" s="114" t="inlineStr">
        <is>
          <t>PN26-018</t>
        </is>
      </c>
      <c r="B22" s="114" t="n">
        <v>80111600</v>
      </c>
      <c r="C22" s="114" t="inlineStr">
        <is>
          <t xml:space="preserve">Conductor mecanico </t>
        </is>
      </c>
      <c r="D22" s="114" t="inlineStr">
        <is>
          <t>Prestar   los   servicios   como   conductor   mecanico con   el propósito de transportar personas y materiales a los diversos lugares al interior de la ciudad de bogota, otros municipios y departamentos en   cumplimiento   de   las   obligaciones   inherentes   al desarrollo de las actividades misionales y administrativas, en términos de oportunidad y eficiencia que le permitan a la etitc cumplir su misionalidad</t>
        </is>
      </c>
      <c r="E22" s="114" t="n">
        <v>11</v>
      </c>
      <c r="F22" s="114" t="inlineStr">
        <is>
          <t>DIRECTA</t>
        </is>
      </c>
      <c r="G22" s="118" t="n"/>
      <c r="H22" s="114" t="inlineStr">
        <is>
          <t>Jefe de la oficina asesora de planeacion</t>
        </is>
      </c>
      <c r="I22" s="114" t="n"/>
      <c r="J22" s="114" t="inlineStr">
        <is>
          <t xml:space="preserve">planeacion@itc.edu.co </t>
        </is>
      </c>
      <c r="K22" s="114" t="n">
        <v>17</v>
      </c>
      <c r="L22" s="119" t="inlineStr">
        <is>
          <t>101 · Oficina Asesora de Planeación y Desarrollo Institucional</t>
        </is>
      </c>
      <c r="M22" s="120" t="n"/>
      <c r="N22" s="119" t="inlineStr">
        <is>
          <t>Contratación directa</t>
        </is>
      </c>
      <c r="O22" s="119">
        <f>IF(LEN(IF(OR(NOT(ISNUMBER(B22)),LEN(B22)&lt;&gt;8),"UNSPSC vacío, en texto, con varios códigos o sin 8 dígitos; ","")&amp;IF(AND(ISNUMBER(B22),LEN(B22)=8),IF(MOD(B22,10000)=0,"UNSPSC a nivel de segmento o familia; ",""),"")&amp;IF(NOT(ISNUMBER(E22)),"Duración vacía o en texto; ","")&amp;IF(NOT(ISNUMBER(G22)),"Valor vacío o en texto; ","")&amp;IF(ISNUMBER(M22),IF(M22&lt;1000000,"Valor inferior a $1.000.000: verificar; ",""),"Valor no interpretable; ")&amp;IF(N22="[PENDIENTE DE VERIFICAR]","Modalidad no identificable; ","")&amp;IF(OR(ISERROR(SEARCH("@itc.edu.co",J22)),SUMPRODUCT(--ISNUMBER(SEARCH({"á","é","í","ó","ú","ñ"},J22)))&gt;0),"Correo vacío o no institucional válido; ","")&amp;IF(LEN(TRIM(D22))=0,"Sin objeto contractual; ","")&amp;IF(AND(ISNUMBER(M22),N22="Mínima cuantía"),IF(M22&gt;39850000,"Mínima cuantía con valor superior al tope citado en el instructivo 2026 ($39.850.000): verificar modalidad; ",""),"")&amp;IF(AND(ISNUMBER(M22),OR(ISNUMBER(SEARCH("prestación de servicios",D22)),ISNUMBER(SEARCH("prestar servicios",D22)),ISNUMBER(SEARCH("prestar los servicios",D22)))),IF(M22&gt;=500000000,"Prestación de servicios por $500 millones o más: posible error de digitación; ",""),""))=0,"Sin observaciones",IF(OR(NOT(ISNUMBER(B22)),LEN(B22)&lt;&gt;8),"UNSPSC vacío, en texto, con varios códigos o sin 8 dígitos; ","")&amp;IF(AND(ISNUMBER(B22),LEN(B22)=8),IF(MOD(B22,10000)=0,"UNSPSC a nivel de segmento o familia; ",""),"")&amp;IF(NOT(ISNUMBER(E22)),"Duración vacía o en texto; ","")&amp;IF(NOT(ISNUMBER(G22)),"Valor vacío o en texto; ","")&amp;IF(ISNUMBER(M22),IF(M22&lt;1000000,"Valor inferior a $1.000.000: verificar; ",""),"Valor no interpretable; ")&amp;IF(N22="[PENDIENTE DE VERIFICAR]","Modalidad no identificable; ","")&amp;IF(OR(ISERROR(SEARCH("@itc.edu.co",J22)),SUMPRODUCT(--ISNUMBER(SEARCH({"á","é","í","ó","ú","ñ"},J22)))&gt;0),"Correo vacío o no institucional válido; ","")&amp;IF(LEN(TRIM(D22))=0,"Sin objeto contractual; ","")&amp;IF(AND(ISNUMBER(M22),N22="Mínima cuantía"),IF(M22&gt;39850000,"Mínima cuantía con valor superior al tope citado en el instructivo 2026 ($39.850.000): verificar modalidad; ",""),"")&amp;IF(AND(ISNUMBER(M22),OR(ISNUMBER(SEARCH("prestación de servicios",D22)),ISNUMBER(SEARCH("prestar servicios",D22)),ISNUMBER(SEARCH("prestar los servicios",D22)))),IF(M22&gt;=500000000,"Prestación de servicios por $500 millones o más: posible error de digitación; ",""),""))</f>
        <v/>
      </c>
    </row>
    <row r="23" ht="114" customHeight="1" s="23">
      <c r="A23" s="114" t="inlineStr">
        <is>
          <t>PN26-019</t>
        </is>
      </c>
      <c r="B23" s="114" t="n">
        <v>80111607</v>
      </c>
      <c r="C23" s="114" t="inlineStr">
        <is>
          <t>Juridico de apoyo</t>
        </is>
      </c>
      <c r="D23" s="114" t="inlineStr">
        <is>
          <t xml:space="preserve">Prestación de servicios profesionales para apoyar jurídcamente la formulación, ejecución y seguimiento de los proyectos estratégicos y planes misionales de la escuela tecnológica instituto técnico central - etitc, mediante actividades de gestión jurídica, administrativa, coordinación interinstitucional y acompañamiento a la secretaria general, en los distintitos proyectos estratégicos adelantados por la institución que acompaña funcionalmente la secretaría general; así como el apoyo profesional en supervisión de contratos, suplencia de representación judicial y acompañamiento jurídico en actuaciones administrativas y en la gestión administrativa y jurídica para la elaboración de actos administrativos, conceptos jurídicos, entre otros asuntos de la secretaria general. </t>
        </is>
      </c>
      <c r="E23" s="114" t="n">
        <v>11</v>
      </c>
      <c r="F23" s="114" t="inlineStr">
        <is>
          <t>DIRECTA</t>
        </is>
      </c>
      <c r="G23" s="118" t="n">
        <v>69600000</v>
      </c>
      <c r="H23" s="114" t="inlineStr">
        <is>
          <t>Profesional Especializado de la ORII</t>
        </is>
      </c>
      <c r="I23" s="114" t="n"/>
      <c r="J23" s="114" t="n"/>
      <c r="K23" s="114" t="n">
        <v>18</v>
      </c>
      <c r="L23" s="119" t="inlineStr">
        <is>
          <t>110 · Secretaría General</t>
        </is>
      </c>
      <c r="M23" s="120" t="n">
        <v>69600000</v>
      </c>
      <c r="N23" s="119" t="inlineStr">
        <is>
          <t>Contratación directa</t>
        </is>
      </c>
      <c r="O23" s="119">
        <f>IF(LEN(IF(OR(NOT(ISNUMBER(B23)),LEN(B23)&lt;&gt;8),"UNSPSC vacío, en texto, con varios códigos o sin 8 dígitos; ","")&amp;IF(AND(ISNUMBER(B23),LEN(B23)=8),IF(MOD(B23,10000)=0,"UNSPSC a nivel de segmento o familia; ",""),"")&amp;IF(NOT(ISNUMBER(E23)),"Duración vacía o en texto; ","")&amp;IF(NOT(ISNUMBER(G23)),"Valor vacío o en texto; ","")&amp;IF(ISNUMBER(M23),IF(M23&lt;1000000,"Valor inferior a $1.000.000: verificar; ",""),"Valor no interpretable; ")&amp;IF(N23="[PENDIENTE DE VERIFICAR]","Modalidad no identificable; ","")&amp;IF(OR(ISERROR(SEARCH("@itc.edu.co",J23)),SUMPRODUCT(--ISNUMBER(SEARCH({"á","é","í","ó","ú","ñ"},J23)))&gt;0),"Correo vacío o no institucional válido; ","")&amp;IF(LEN(TRIM(D23))=0,"Sin objeto contractual; ","")&amp;IF(AND(ISNUMBER(M23),N23="Mínima cuantía"),IF(M23&gt;39850000,"Mínima cuantía con valor superior al tope citado en el instructivo 2026 ($39.850.000): verificar modalidad; ",""),"")&amp;IF(AND(ISNUMBER(M23),OR(ISNUMBER(SEARCH("prestación de servicios",D23)),ISNUMBER(SEARCH("prestar servicios",D23)),ISNUMBER(SEARCH("prestar los servicios",D23)))),IF(M23&gt;=500000000,"Prestación de servicios por $500 millones o más: posible error de digitación; ",""),""))=0,"Sin observaciones",IF(OR(NOT(ISNUMBER(B23)),LEN(B23)&lt;&gt;8),"UNSPSC vacío, en texto, con varios códigos o sin 8 dígitos; ","")&amp;IF(AND(ISNUMBER(B23),LEN(B23)=8),IF(MOD(B23,10000)=0,"UNSPSC a nivel de segmento o familia; ",""),"")&amp;IF(NOT(ISNUMBER(E23)),"Duración vacía o en texto; ","")&amp;IF(NOT(ISNUMBER(G23)),"Valor vacío o en texto; ","")&amp;IF(ISNUMBER(M23),IF(M23&lt;1000000,"Valor inferior a $1.000.000: verificar; ",""),"Valor no interpretable; ")&amp;IF(N23="[PENDIENTE DE VERIFICAR]","Modalidad no identificable; ","")&amp;IF(OR(ISERROR(SEARCH("@itc.edu.co",J23)),SUMPRODUCT(--ISNUMBER(SEARCH({"á","é","í","ó","ú","ñ"},J23)))&gt;0),"Correo vacío o no institucional válido; ","")&amp;IF(LEN(TRIM(D23))=0,"Sin objeto contractual; ","")&amp;IF(AND(ISNUMBER(M23),N23="Mínima cuantía"),IF(M23&gt;39850000,"Mínima cuantía con valor superior al tope citado en el instructivo 2026 ($39.850.000): verificar modalidad; ",""),"")&amp;IF(AND(ISNUMBER(M23),OR(ISNUMBER(SEARCH("prestación de servicios",D23)),ISNUMBER(SEARCH("prestar servicios",D23)),ISNUMBER(SEARCH("prestar los servicios",D23)))),IF(M23&gt;=500000000,"Prestación de servicios por $500 millones o más: posible error de digitación; ",""),""))</f>
        <v/>
      </c>
    </row>
    <row r="24" ht="102.6" customHeight="1" s="23">
      <c r="A24" s="114" t="inlineStr">
        <is>
          <t>PN26-020</t>
        </is>
      </c>
      <c r="B24" s="114" t="n">
        <v>80111607</v>
      </c>
      <c r="C24" s="114" t="inlineStr">
        <is>
          <t>Juridico de apoyo</t>
        </is>
      </c>
      <c r="D24" s="114" t="inlineStr">
        <is>
          <t xml:space="preserve">Prestación de servicios profesionales de un abogado con especialización en derecho laboral administrativo para apoyar la gestión institucional de la escuela tecnológica instituto técnico central – etitc, mediante el acompañamiento técnico en la revisión y elaboración de actos administrativos, representación judicial, conceptos y demás documentos jurídicos relacionados con la administración del talento humano, y los procesos administrativos de la entidad, en el marco de la normativa vigente y de los objetivos institucionales orientados al fortalecimiento organizacional y la mejora normativa en el marco del reconocimiento como universidad y transformación como ente autónomo universitario de la entidad. </t>
        </is>
      </c>
      <c r="E24" s="114" t="n">
        <v>11</v>
      </c>
      <c r="F24" s="114" t="inlineStr">
        <is>
          <t>DIRECTA</t>
        </is>
      </c>
      <c r="G24" s="118" t="n">
        <v>69600000</v>
      </c>
      <c r="H24" s="114" t="inlineStr">
        <is>
          <t>Secretario general grado 0185-07</t>
        </is>
      </c>
      <c r="I24" s="114" t="n"/>
      <c r="J24" s="114" t="n"/>
      <c r="K24" s="114" t="n">
        <v>19</v>
      </c>
      <c r="L24" s="119" t="inlineStr">
        <is>
          <t>110 · Secretaría General</t>
        </is>
      </c>
      <c r="M24" s="120" t="n">
        <v>69600000</v>
      </c>
      <c r="N24" s="119" t="inlineStr">
        <is>
          <t>Contratación directa</t>
        </is>
      </c>
      <c r="O24" s="119">
        <f>IF(LEN(IF(OR(NOT(ISNUMBER(B24)),LEN(B24)&lt;&gt;8),"UNSPSC vacío, en texto, con varios códigos o sin 8 dígitos; ","")&amp;IF(AND(ISNUMBER(B24),LEN(B24)=8),IF(MOD(B24,10000)=0,"UNSPSC a nivel de segmento o familia; ",""),"")&amp;IF(NOT(ISNUMBER(E24)),"Duración vacía o en texto; ","")&amp;IF(NOT(ISNUMBER(G24)),"Valor vacío o en texto; ","")&amp;IF(ISNUMBER(M24),IF(M24&lt;1000000,"Valor inferior a $1.000.000: verificar; ",""),"Valor no interpretable; ")&amp;IF(N24="[PENDIENTE DE VERIFICAR]","Modalidad no identificable; ","")&amp;IF(OR(ISERROR(SEARCH("@itc.edu.co",J24)),SUMPRODUCT(--ISNUMBER(SEARCH({"á","é","í","ó","ú","ñ"},J24)))&gt;0),"Correo vacío o no institucional válido; ","")&amp;IF(LEN(TRIM(D24))=0,"Sin objeto contractual; ","")&amp;IF(AND(ISNUMBER(M24),N24="Mínima cuantía"),IF(M24&gt;39850000,"Mínima cuantía con valor superior al tope citado en el instructivo 2026 ($39.850.000): verificar modalidad; ",""),"")&amp;IF(AND(ISNUMBER(M24),OR(ISNUMBER(SEARCH("prestación de servicios",D24)),ISNUMBER(SEARCH("prestar servicios",D24)),ISNUMBER(SEARCH("prestar los servicios",D24)))),IF(M24&gt;=500000000,"Prestación de servicios por $500 millones o más: posible error de digitación; ",""),""))=0,"Sin observaciones",IF(OR(NOT(ISNUMBER(B24)),LEN(B24)&lt;&gt;8),"UNSPSC vacío, en texto, con varios códigos o sin 8 dígitos; ","")&amp;IF(AND(ISNUMBER(B24),LEN(B24)=8),IF(MOD(B24,10000)=0,"UNSPSC a nivel de segmento o familia; ",""),"")&amp;IF(NOT(ISNUMBER(E24)),"Duración vacía o en texto; ","")&amp;IF(NOT(ISNUMBER(G24)),"Valor vacío o en texto; ","")&amp;IF(ISNUMBER(M24),IF(M24&lt;1000000,"Valor inferior a $1.000.000: verificar; ",""),"Valor no interpretable; ")&amp;IF(N24="[PENDIENTE DE VERIFICAR]","Modalidad no identificable; ","")&amp;IF(OR(ISERROR(SEARCH("@itc.edu.co",J24)),SUMPRODUCT(--ISNUMBER(SEARCH({"á","é","í","ó","ú","ñ"},J24)))&gt;0),"Correo vacío o no institucional válido; ","")&amp;IF(LEN(TRIM(D24))=0,"Sin objeto contractual; ","")&amp;IF(AND(ISNUMBER(M24),N24="Mínima cuantía"),IF(M24&gt;39850000,"Mínima cuantía con valor superior al tope citado en el instructivo 2026 ($39.850.000): verificar modalidad; ",""),"")&amp;IF(AND(ISNUMBER(M24),OR(ISNUMBER(SEARCH("prestación de servicios",D24)),ISNUMBER(SEARCH("prestar servicios",D24)),ISNUMBER(SEARCH("prestar los servicios",D24)))),IF(M24&gt;=500000000,"Prestación de servicios por $500 millones o más: posible error de digitación; ",""),""))</f>
        <v/>
      </c>
    </row>
    <row r="25" ht="45.6" customHeight="1" s="23">
      <c r="A25" s="114" t="inlineStr">
        <is>
          <t>PN26-021</t>
        </is>
      </c>
      <c r="B25" s="114" t="n">
        <v>80111600</v>
      </c>
      <c r="C25" s="114" t="inlineStr">
        <is>
          <t>Oficina de relaciones interinstitucionales y de internacionalización</t>
        </is>
      </c>
      <c r="D25" s="114" t="inlineStr">
        <is>
          <t>Prestacion de servicios profesionales para desarrollar las actividades relacionadas con la movilidad académica y administrativa de la oficina de relaciones interinstitucionales y de internacionalización (orii) de la escuela tecnológica instituto técnico central.</t>
        </is>
      </c>
      <c r="E25" s="114" t="n">
        <v>11</v>
      </c>
      <c r="F25" s="114" t="inlineStr">
        <is>
          <t>DIRECTA</t>
        </is>
      </c>
      <c r="G25" s="118" t="n">
        <v>42928650</v>
      </c>
      <c r="H25" s="114" t="inlineStr">
        <is>
          <t>Profesional Especializado de la ORII</t>
        </is>
      </c>
      <c r="I25" s="114" t="inlineStr">
        <is>
          <t>3443000 Ext 154</t>
        </is>
      </c>
      <c r="J25" s="114" t="inlineStr">
        <is>
          <t>internacionalizacion@itc.edu.co</t>
        </is>
      </c>
      <c r="K25" s="114" t="n">
        <v>20</v>
      </c>
      <c r="L25" s="119" t="inlineStr">
        <is>
          <t>100 · Rectoría</t>
        </is>
      </c>
      <c r="M25" s="120" t="n">
        <v>42928650</v>
      </c>
      <c r="N25" s="119" t="inlineStr">
        <is>
          <t>Contratación directa</t>
        </is>
      </c>
      <c r="O25" s="119">
        <f>IF(LEN(IF(OR(NOT(ISNUMBER(B25)),LEN(B25)&lt;&gt;8),"UNSPSC vacío, en texto, con varios códigos o sin 8 dígitos; ","")&amp;IF(AND(ISNUMBER(B25),LEN(B25)=8),IF(MOD(B25,10000)=0,"UNSPSC a nivel de segmento o familia; ",""),"")&amp;IF(NOT(ISNUMBER(E25)),"Duración vacía o en texto; ","")&amp;IF(NOT(ISNUMBER(G25)),"Valor vacío o en texto; ","")&amp;IF(ISNUMBER(M25),IF(M25&lt;1000000,"Valor inferior a $1.000.000: verificar; ",""),"Valor no interpretable; ")&amp;IF(N25="[PENDIENTE DE VERIFICAR]","Modalidad no identificable; ","")&amp;IF(OR(ISERROR(SEARCH("@itc.edu.co",J25)),SUMPRODUCT(--ISNUMBER(SEARCH({"á","é","í","ó","ú","ñ"},J25)))&gt;0),"Correo vacío o no institucional válido; ","")&amp;IF(LEN(TRIM(D25))=0,"Sin objeto contractual; ","")&amp;IF(AND(ISNUMBER(M25),N25="Mínima cuantía"),IF(M25&gt;39850000,"Mínima cuantía con valor superior al tope citado en el instructivo 2026 ($39.850.000): verificar modalidad; ",""),"")&amp;IF(AND(ISNUMBER(M25),OR(ISNUMBER(SEARCH("prestación de servicios",D25)),ISNUMBER(SEARCH("prestar servicios",D25)),ISNUMBER(SEARCH("prestar los servicios",D25)))),IF(M25&gt;=500000000,"Prestación de servicios por $500 millones o más: posible error de digitación; ",""),""))=0,"Sin observaciones",IF(OR(NOT(ISNUMBER(B25)),LEN(B25)&lt;&gt;8),"UNSPSC vacío, en texto, con varios códigos o sin 8 dígitos; ","")&amp;IF(AND(ISNUMBER(B25),LEN(B25)=8),IF(MOD(B25,10000)=0,"UNSPSC a nivel de segmento o familia; ",""),"")&amp;IF(NOT(ISNUMBER(E25)),"Duración vacía o en texto; ","")&amp;IF(NOT(ISNUMBER(G25)),"Valor vacío o en texto; ","")&amp;IF(ISNUMBER(M25),IF(M25&lt;1000000,"Valor inferior a $1.000.000: verificar; ",""),"Valor no interpretable; ")&amp;IF(N25="[PENDIENTE DE VERIFICAR]","Modalidad no identificable; ","")&amp;IF(OR(ISERROR(SEARCH("@itc.edu.co",J25)),SUMPRODUCT(--ISNUMBER(SEARCH({"á","é","í","ó","ú","ñ"},J25)))&gt;0),"Correo vacío o no institucional válido; ","")&amp;IF(LEN(TRIM(D25))=0,"Sin objeto contractual; ","")&amp;IF(AND(ISNUMBER(M25),N25="Mínima cuantía"),IF(M25&gt;39850000,"Mínima cuantía con valor superior al tope citado en el instructivo 2026 ($39.850.000): verificar modalidad; ",""),"")&amp;IF(AND(ISNUMBER(M25),OR(ISNUMBER(SEARCH("prestación de servicios",D25)),ISNUMBER(SEARCH("prestar servicios",D25)),ISNUMBER(SEARCH("prestar los servicios",D25)))),IF(M25&gt;=500000000,"Prestación de servicios por $500 millones o más: posible error de digitación; ",""),""))</f>
        <v/>
      </c>
    </row>
    <row r="26" ht="57" customHeight="1" s="23">
      <c r="A26" s="114" t="inlineStr">
        <is>
          <t>PN26-022</t>
        </is>
      </c>
      <c r="B26" s="114" t="n">
        <v>80111600</v>
      </c>
      <c r="C26" s="114" t="inlineStr">
        <is>
          <t>Oficina de relaciones interinstitucionales y de internacionalización</t>
        </is>
      </c>
      <c r="D26" s="114" t="inlineStr">
        <is>
          <t>Prestacion de servicios profesionales con autonomía técnica y administrativa para la gestión administrativa, académica y operativa de los convenios nacionales e internacionales que desarrolla la oficina de relaciones interinstitucionales e internacionalización (orii) de la escuela tecnológica instituto técnico central.</t>
        </is>
      </c>
      <c r="E26" s="114" t="n">
        <v>11</v>
      </c>
      <c r="F26" s="114" t="inlineStr">
        <is>
          <t>DIRECTA</t>
        </is>
      </c>
      <c r="G26" s="118" t="n">
        <v>42928650</v>
      </c>
      <c r="H26" s="114" t="inlineStr">
        <is>
          <t>Profesional Especializado de la ORII</t>
        </is>
      </c>
      <c r="I26" s="114" t="inlineStr">
        <is>
          <t>3443000 Ext 154</t>
        </is>
      </c>
      <c r="J26" s="114" t="inlineStr">
        <is>
          <t>internacionalizacion@itc.edu.co</t>
        </is>
      </c>
      <c r="K26" s="114" t="n">
        <v>21</v>
      </c>
      <c r="L26" s="119" t="inlineStr">
        <is>
          <t>100 · Rectoría</t>
        </is>
      </c>
      <c r="M26" s="120" t="n">
        <v>42928650</v>
      </c>
      <c r="N26" s="119" t="inlineStr">
        <is>
          <t>Contratación directa</t>
        </is>
      </c>
      <c r="O26" s="119">
        <f>IF(LEN(IF(OR(NOT(ISNUMBER(B26)),LEN(B26)&lt;&gt;8),"UNSPSC vacío, en texto, con varios códigos o sin 8 dígitos; ","")&amp;IF(AND(ISNUMBER(B26),LEN(B26)=8),IF(MOD(B26,10000)=0,"UNSPSC a nivel de segmento o familia; ",""),"")&amp;IF(NOT(ISNUMBER(E26)),"Duración vacía o en texto; ","")&amp;IF(NOT(ISNUMBER(G26)),"Valor vacío o en texto; ","")&amp;IF(ISNUMBER(M26),IF(M26&lt;1000000,"Valor inferior a $1.000.000: verificar; ",""),"Valor no interpretable; ")&amp;IF(N26="[PENDIENTE DE VERIFICAR]","Modalidad no identificable; ","")&amp;IF(OR(ISERROR(SEARCH("@itc.edu.co",J26)),SUMPRODUCT(--ISNUMBER(SEARCH({"á","é","í","ó","ú","ñ"},J26)))&gt;0),"Correo vacío o no institucional válido; ","")&amp;IF(LEN(TRIM(D26))=0,"Sin objeto contractual; ","")&amp;IF(AND(ISNUMBER(M26),N26="Mínima cuantía"),IF(M26&gt;39850000,"Mínima cuantía con valor superior al tope citado en el instructivo 2026 ($39.850.000): verificar modalidad; ",""),"")&amp;IF(AND(ISNUMBER(M26),OR(ISNUMBER(SEARCH("prestación de servicios",D26)),ISNUMBER(SEARCH("prestar servicios",D26)),ISNUMBER(SEARCH("prestar los servicios",D26)))),IF(M26&gt;=500000000,"Prestación de servicios por $500 millones o más: posible error de digitación; ",""),""))=0,"Sin observaciones",IF(OR(NOT(ISNUMBER(B26)),LEN(B26)&lt;&gt;8),"UNSPSC vacío, en texto, con varios códigos o sin 8 dígitos; ","")&amp;IF(AND(ISNUMBER(B26),LEN(B26)=8),IF(MOD(B26,10000)=0,"UNSPSC a nivel de segmento o familia; ",""),"")&amp;IF(NOT(ISNUMBER(E26)),"Duración vacía o en texto; ","")&amp;IF(NOT(ISNUMBER(G26)),"Valor vacío o en texto; ","")&amp;IF(ISNUMBER(M26),IF(M26&lt;1000000,"Valor inferior a $1.000.000: verificar; ",""),"Valor no interpretable; ")&amp;IF(N26="[PENDIENTE DE VERIFICAR]","Modalidad no identificable; ","")&amp;IF(OR(ISERROR(SEARCH("@itc.edu.co",J26)),SUMPRODUCT(--ISNUMBER(SEARCH({"á","é","í","ó","ú","ñ"},J26)))&gt;0),"Correo vacío o no institucional válido; ","")&amp;IF(LEN(TRIM(D26))=0,"Sin objeto contractual; ","")&amp;IF(AND(ISNUMBER(M26),N26="Mínima cuantía"),IF(M26&gt;39850000,"Mínima cuantía con valor superior al tope citado en el instructivo 2026 ($39.850.000): verificar modalidad; ",""),"")&amp;IF(AND(ISNUMBER(M26),OR(ISNUMBER(SEARCH("prestación de servicios",D26)),ISNUMBER(SEARCH("prestar servicios",D26)),ISNUMBER(SEARCH("prestar los servicios",D26)))),IF(M26&gt;=500000000,"Prestación de servicios por $500 millones o más: posible error de digitación; ",""),""))</f>
        <v/>
      </c>
    </row>
    <row r="27" ht="57" customHeight="1" s="23">
      <c r="A27" s="114" t="inlineStr">
        <is>
          <t>PN26-023</t>
        </is>
      </c>
      <c r="B27" s="114" t="n">
        <v>80111600</v>
      </c>
      <c r="C27" s="114" t="inlineStr">
        <is>
          <t>Oficina de relaciones interinstitucionales y de internacionalización</t>
        </is>
      </c>
      <c r="D27" s="114" t="inlineStr">
        <is>
          <t>Prestación de servicios técnicos y tecnológicos para la gestión administrativa, operativa y de marketing relacionada con la internacionalización, y atención integral a estudiantes, docentes y administrativos en la oficina de relaciones interinstitucionales e internacionalización (orii) de la escuela tecnológica instituto técnico central.</t>
        </is>
      </c>
      <c r="E27" s="114" t="n">
        <v>5</v>
      </c>
      <c r="F27" s="114" t="inlineStr">
        <is>
          <t>DIRECTA</t>
        </is>
      </c>
      <c r="G27" s="118" t="n">
        <v>27514657</v>
      </c>
      <c r="H27" s="114" t="inlineStr">
        <is>
          <t>Profesional Especializado de la ORII</t>
        </is>
      </c>
      <c r="I27" s="114" t="inlineStr">
        <is>
          <t>3443000 Ext 154</t>
        </is>
      </c>
      <c r="J27" s="114" t="inlineStr">
        <is>
          <t>internacionalizacion@itc.edu.co</t>
        </is>
      </c>
      <c r="K27" s="114" t="n">
        <v>22</v>
      </c>
      <c r="L27" s="119" t="inlineStr">
        <is>
          <t>100 · Rectoría</t>
        </is>
      </c>
      <c r="M27" s="120" t="n">
        <v>27514657</v>
      </c>
      <c r="N27" s="119" t="inlineStr">
        <is>
          <t>Contratación directa</t>
        </is>
      </c>
      <c r="O27" s="119">
        <f>IF(LEN(IF(OR(NOT(ISNUMBER(B27)),LEN(B27)&lt;&gt;8),"UNSPSC vacío, en texto, con varios códigos o sin 8 dígitos; ","")&amp;IF(AND(ISNUMBER(B27),LEN(B27)=8),IF(MOD(B27,10000)=0,"UNSPSC a nivel de segmento o familia; ",""),"")&amp;IF(NOT(ISNUMBER(E27)),"Duración vacía o en texto; ","")&amp;IF(NOT(ISNUMBER(G27)),"Valor vacío o en texto; ","")&amp;IF(ISNUMBER(M27),IF(M27&lt;1000000,"Valor inferior a $1.000.000: verificar; ",""),"Valor no interpretable; ")&amp;IF(N27="[PENDIENTE DE VERIFICAR]","Modalidad no identificable; ","")&amp;IF(OR(ISERROR(SEARCH("@itc.edu.co",J27)),SUMPRODUCT(--ISNUMBER(SEARCH({"á","é","í","ó","ú","ñ"},J27)))&gt;0),"Correo vacío o no institucional válido; ","")&amp;IF(LEN(TRIM(D27))=0,"Sin objeto contractual; ","")&amp;IF(AND(ISNUMBER(M27),N27="Mínima cuantía"),IF(M27&gt;39850000,"Mínima cuantía con valor superior al tope citado en el instructivo 2026 ($39.850.000): verificar modalidad; ",""),"")&amp;IF(AND(ISNUMBER(M27),OR(ISNUMBER(SEARCH("prestación de servicios",D27)),ISNUMBER(SEARCH("prestar servicios",D27)),ISNUMBER(SEARCH("prestar los servicios",D27)))),IF(M27&gt;=500000000,"Prestación de servicios por $500 millones o más: posible error de digitación; ",""),""))=0,"Sin observaciones",IF(OR(NOT(ISNUMBER(B27)),LEN(B27)&lt;&gt;8),"UNSPSC vacío, en texto, con varios códigos o sin 8 dígitos; ","")&amp;IF(AND(ISNUMBER(B27),LEN(B27)=8),IF(MOD(B27,10000)=0,"UNSPSC a nivel de segmento o familia; ",""),"")&amp;IF(NOT(ISNUMBER(E27)),"Duración vacía o en texto; ","")&amp;IF(NOT(ISNUMBER(G27)),"Valor vacío o en texto; ","")&amp;IF(ISNUMBER(M27),IF(M27&lt;1000000,"Valor inferior a $1.000.000: verificar; ",""),"Valor no interpretable; ")&amp;IF(N27="[PENDIENTE DE VERIFICAR]","Modalidad no identificable; ","")&amp;IF(OR(ISERROR(SEARCH("@itc.edu.co",J27)),SUMPRODUCT(--ISNUMBER(SEARCH({"á","é","í","ó","ú","ñ"},J27)))&gt;0),"Correo vacío o no institucional válido; ","")&amp;IF(LEN(TRIM(D27))=0,"Sin objeto contractual; ","")&amp;IF(AND(ISNUMBER(M27),N27="Mínima cuantía"),IF(M27&gt;39850000,"Mínima cuantía con valor superior al tope citado en el instructivo 2026 ($39.850.000): verificar modalidad; ",""),"")&amp;IF(AND(ISNUMBER(M27),OR(ISNUMBER(SEARCH("prestación de servicios",D27)),ISNUMBER(SEARCH("prestar servicios",D27)),ISNUMBER(SEARCH("prestar los servicios",D27)))),IF(M27&gt;=500000000,"Prestación de servicios por $500 millones o más: posible error de digitación; ",""),""))</f>
        <v/>
      </c>
    </row>
    <row r="28" ht="34.2" customHeight="1" s="23">
      <c r="A28" s="114" t="inlineStr">
        <is>
          <t>PN26-024</t>
        </is>
      </c>
      <c r="B28" s="114" t="n">
        <v>80111600</v>
      </c>
      <c r="C28" s="114" t="inlineStr">
        <is>
          <t>Oficina de Comunicaciones -  Multimedia</t>
        </is>
      </c>
      <c r="D28" s="114" t="inlineStr">
        <is>
          <t>Prestación de servicios profesionales para apoyar al área de comunicaciones en el desarrollo proyectos estratégicos de comunicación visual de la escuela tecnológica instituto técnico central</t>
        </is>
      </c>
      <c r="E28" s="114" t="n">
        <v>11</v>
      </c>
      <c r="F28" s="114" t="inlineStr">
        <is>
          <t>DIRECTA</t>
        </is>
      </c>
      <c r="G28" s="118" t="n">
        <v>37827272</v>
      </c>
      <c r="H28" s="114" t="inlineStr">
        <is>
          <t>Jefe de la oficina asesora de planeacion</t>
        </is>
      </c>
      <c r="I28" s="114" t="n"/>
      <c r="J28" s="114" t="inlineStr">
        <is>
          <t xml:space="preserve">planeacion@itc.edu.co </t>
        </is>
      </c>
      <c r="K28" s="114" t="n">
        <v>23</v>
      </c>
      <c r="L28" s="119" t="inlineStr">
        <is>
          <t>101 · Oficina Asesora de Planeación y Desarrollo Institucional</t>
        </is>
      </c>
      <c r="M28" s="120" t="n">
        <v>37827272</v>
      </c>
      <c r="N28" s="119" t="inlineStr">
        <is>
          <t>Contratación directa</t>
        </is>
      </c>
      <c r="O28" s="119">
        <f>IF(LEN(IF(OR(NOT(ISNUMBER(B28)),LEN(B28)&lt;&gt;8),"UNSPSC vacío, en texto, con varios códigos o sin 8 dígitos; ","")&amp;IF(AND(ISNUMBER(B28),LEN(B28)=8),IF(MOD(B28,10000)=0,"UNSPSC a nivel de segmento o familia; ",""),"")&amp;IF(NOT(ISNUMBER(E28)),"Duración vacía o en texto; ","")&amp;IF(NOT(ISNUMBER(G28)),"Valor vacío o en texto; ","")&amp;IF(ISNUMBER(M28),IF(M28&lt;1000000,"Valor inferior a $1.000.000: verificar; ",""),"Valor no interpretable; ")&amp;IF(N28="[PENDIENTE DE VERIFICAR]","Modalidad no identificable; ","")&amp;IF(OR(ISERROR(SEARCH("@itc.edu.co",J28)),SUMPRODUCT(--ISNUMBER(SEARCH({"á","é","í","ó","ú","ñ"},J28)))&gt;0),"Correo vacío o no institucional válido; ","")&amp;IF(LEN(TRIM(D28))=0,"Sin objeto contractual; ","")&amp;IF(AND(ISNUMBER(M28),N28="Mínima cuantía"),IF(M28&gt;39850000,"Mínima cuantía con valor superior al tope citado en el instructivo 2026 ($39.850.000): verificar modalidad; ",""),"")&amp;IF(AND(ISNUMBER(M28),OR(ISNUMBER(SEARCH("prestación de servicios",D28)),ISNUMBER(SEARCH("prestar servicios",D28)),ISNUMBER(SEARCH("prestar los servicios",D28)))),IF(M28&gt;=500000000,"Prestación de servicios por $500 millones o más: posible error de digitación; ",""),""))=0,"Sin observaciones",IF(OR(NOT(ISNUMBER(B28)),LEN(B28)&lt;&gt;8),"UNSPSC vacío, en texto, con varios códigos o sin 8 dígitos; ","")&amp;IF(AND(ISNUMBER(B28),LEN(B28)=8),IF(MOD(B28,10000)=0,"UNSPSC a nivel de segmento o familia; ",""),"")&amp;IF(NOT(ISNUMBER(E28)),"Duración vacía o en texto; ","")&amp;IF(NOT(ISNUMBER(G28)),"Valor vacío o en texto; ","")&amp;IF(ISNUMBER(M28),IF(M28&lt;1000000,"Valor inferior a $1.000.000: verificar; ",""),"Valor no interpretable; ")&amp;IF(N28="[PENDIENTE DE VERIFICAR]","Modalidad no identificable; ","")&amp;IF(OR(ISERROR(SEARCH("@itc.edu.co",J28)),SUMPRODUCT(--ISNUMBER(SEARCH({"á","é","í","ó","ú","ñ"},J28)))&gt;0),"Correo vacío o no institucional válido; ","")&amp;IF(LEN(TRIM(D28))=0,"Sin objeto contractual; ","")&amp;IF(AND(ISNUMBER(M28),N28="Mínima cuantía"),IF(M28&gt;39850000,"Mínima cuantía con valor superior al tope citado en el instructivo 2026 ($39.850.000): verificar modalidad; ",""),"")&amp;IF(AND(ISNUMBER(M28),OR(ISNUMBER(SEARCH("prestación de servicios",D28)),ISNUMBER(SEARCH("prestar servicios",D28)),ISNUMBER(SEARCH("prestar los servicios",D28)))),IF(M28&gt;=500000000,"Prestación de servicios por $500 millones o más: posible error de digitación; ",""),""))</f>
        <v/>
      </c>
    </row>
    <row r="29" ht="45.6" customHeight="1" s="23">
      <c r="A29" s="114" t="inlineStr">
        <is>
          <t>PN26-025</t>
        </is>
      </c>
      <c r="B29" s="114" t="n">
        <v>80111600</v>
      </c>
      <c r="C29" s="114" t="inlineStr">
        <is>
          <t>Oficina de Comunicaciones - Comunicadora</t>
        </is>
      </c>
      <c r="D29" s="114" t="inlineStr">
        <is>
          <t xml:space="preserve">Prestación de servicios profesionales en comunicación social para el desarrollo de estrategias de comunicación institucional, generación de contenidos, manejo de prensa y apoyo a los procesos de divulgación de la de la escuela tecnológica instituto técnico central </t>
        </is>
      </c>
      <c r="E29" s="114" t="n">
        <v>11</v>
      </c>
      <c r="F29" s="114" t="inlineStr">
        <is>
          <t>DIRECTA</t>
        </is>
      </c>
      <c r="G29" s="118" t="n">
        <v>44405902</v>
      </c>
      <c r="H29" s="114" t="inlineStr">
        <is>
          <t>Jefe de la oficina asesora de planeacion</t>
        </is>
      </c>
      <c r="I29" s="114" t="n"/>
      <c r="J29" s="114" t="inlineStr">
        <is>
          <t xml:space="preserve">planeacion@itc.edu.co </t>
        </is>
      </c>
      <c r="K29" s="114" t="n">
        <v>24</v>
      </c>
      <c r="L29" s="119" t="inlineStr">
        <is>
          <t>101 · Oficina Asesora de Planeación y Desarrollo Institucional</t>
        </is>
      </c>
      <c r="M29" s="120" t="n">
        <v>44405902</v>
      </c>
      <c r="N29" s="119" t="inlineStr">
        <is>
          <t>Contratación directa</t>
        </is>
      </c>
      <c r="O29" s="119">
        <f>IF(LEN(IF(OR(NOT(ISNUMBER(B29)),LEN(B29)&lt;&gt;8),"UNSPSC vacío, en texto, con varios códigos o sin 8 dígitos; ","")&amp;IF(AND(ISNUMBER(B29),LEN(B29)=8),IF(MOD(B29,10000)=0,"UNSPSC a nivel de segmento o familia; ",""),"")&amp;IF(NOT(ISNUMBER(E29)),"Duración vacía o en texto; ","")&amp;IF(NOT(ISNUMBER(G29)),"Valor vacío o en texto; ","")&amp;IF(ISNUMBER(M29),IF(M29&lt;1000000,"Valor inferior a $1.000.000: verificar; ",""),"Valor no interpretable; ")&amp;IF(N29="[PENDIENTE DE VERIFICAR]","Modalidad no identificable; ","")&amp;IF(OR(ISERROR(SEARCH("@itc.edu.co",J29)),SUMPRODUCT(--ISNUMBER(SEARCH({"á","é","í","ó","ú","ñ"},J29)))&gt;0),"Correo vacío o no institucional válido; ","")&amp;IF(LEN(TRIM(D29))=0,"Sin objeto contractual; ","")&amp;IF(AND(ISNUMBER(M29),N29="Mínima cuantía"),IF(M29&gt;39850000,"Mínima cuantía con valor superior al tope citado en el instructivo 2026 ($39.850.000): verificar modalidad; ",""),"")&amp;IF(AND(ISNUMBER(M29),OR(ISNUMBER(SEARCH("prestación de servicios",D29)),ISNUMBER(SEARCH("prestar servicios",D29)),ISNUMBER(SEARCH("prestar los servicios",D29)))),IF(M29&gt;=500000000,"Prestación de servicios por $500 millones o más: posible error de digitación; ",""),""))=0,"Sin observaciones",IF(OR(NOT(ISNUMBER(B29)),LEN(B29)&lt;&gt;8),"UNSPSC vacío, en texto, con varios códigos o sin 8 dígitos; ","")&amp;IF(AND(ISNUMBER(B29),LEN(B29)=8),IF(MOD(B29,10000)=0,"UNSPSC a nivel de segmento o familia; ",""),"")&amp;IF(NOT(ISNUMBER(E29)),"Duración vacía o en texto; ","")&amp;IF(NOT(ISNUMBER(G29)),"Valor vacío o en texto; ","")&amp;IF(ISNUMBER(M29),IF(M29&lt;1000000,"Valor inferior a $1.000.000: verificar; ",""),"Valor no interpretable; ")&amp;IF(N29="[PENDIENTE DE VERIFICAR]","Modalidad no identificable; ","")&amp;IF(OR(ISERROR(SEARCH("@itc.edu.co",J29)),SUMPRODUCT(--ISNUMBER(SEARCH({"á","é","í","ó","ú","ñ"},J29)))&gt;0),"Correo vacío o no institucional válido; ","")&amp;IF(LEN(TRIM(D29))=0,"Sin objeto contractual; ","")&amp;IF(AND(ISNUMBER(M29),N29="Mínima cuantía"),IF(M29&gt;39850000,"Mínima cuantía con valor superior al tope citado en el instructivo 2026 ($39.850.000): verificar modalidad; ",""),"")&amp;IF(AND(ISNUMBER(M29),OR(ISNUMBER(SEARCH("prestación de servicios",D29)),ISNUMBER(SEARCH("prestar servicios",D29)),ISNUMBER(SEARCH("prestar los servicios",D29)))),IF(M29&gt;=500000000,"Prestación de servicios por $500 millones o más: posible error de digitación; ",""),""))</f>
        <v/>
      </c>
    </row>
    <row r="30" ht="34.2" customHeight="1" s="23">
      <c r="A30" s="114" t="inlineStr">
        <is>
          <t>PN26-026</t>
        </is>
      </c>
      <c r="B30" s="114" t="n">
        <v>80111600</v>
      </c>
      <c r="C30" s="114" t="inlineStr">
        <is>
          <t>Oficina de Comunicaciones - Periodista</t>
        </is>
      </c>
      <c r="D30" s="114" t="inlineStr">
        <is>
          <t xml:space="preserve">Prestación de servicios profesionales como periodista de la emisora institucional emtic, para fortalecer los medios educativos que aportan al proceso formativo de la comunidad académica ​de la escuela tecnológica instituto técnico central </t>
        </is>
      </c>
      <c r="E30" s="114" t="n">
        <v>11</v>
      </c>
      <c r="F30" s="114" t="inlineStr">
        <is>
          <t>DIRECTA</t>
        </is>
      </c>
      <c r="G30" s="118" t="n">
        <v>44405902</v>
      </c>
      <c r="H30" s="114" t="inlineStr">
        <is>
          <t>Jefe de la oficina asesora de planeacion</t>
        </is>
      </c>
      <c r="I30" s="114" t="n"/>
      <c r="J30" s="114" t="inlineStr">
        <is>
          <t xml:space="preserve">planeacion@itc.edu.co </t>
        </is>
      </c>
      <c r="K30" s="114" t="n">
        <v>25</v>
      </c>
      <c r="L30" s="119" t="inlineStr">
        <is>
          <t>101 · Oficina Asesora de Planeación y Desarrollo Institucional</t>
        </is>
      </c>
      <c r="M30" s="120" t="n">
        <v>44405902</v>
      </c>
      <c r="N30" s="119" t="inlineStr">
        <is>
          <t>Contratación directa</t>
        </is>
      </c>
      <c r="O30" s="119">
        <f>IF(LEN(IF(OR(NOT(ISNUMBER(B30)),LEN(B30)&lt;&gt;8),"UNSPSC vacío, en texto, con varios códigos o sin 8 dígitos; ","")&amp;IF(AND(ISNUMBER(B30),LEN(B30)=8),IF(MOD(B30,10000)=0,"UNSPSC a nivel de segmento o familia; ",""),"")&amp;IF(NOT(ISNUMBER(E30)),"Duración vacía o en texto; ","")&amp;IF(NOT(ISNUMBER(G30)),"Valor vacío o en texto; ","")&amp;IF(ISNUMBER(M30),IF(M30&lt;1000000,"Valor inferior a $1.000.000: verificar; ",""),"Valor no interpretable; ")&amp;IF(N30="[PENDIENTE DE VERIFICAR]","Modalidad no identificable; ","")&amp;IF(OR(ISERROR(SEARCH("@itc.edu.co",J30)),SUMPRODUCT(--ISNUMBER(SEARCH({"á","é","í","ó","ú","ñ"},J30)))&gt;0),"Correo vacío o no institucional válido; ","")&amp;IF(LEN(TRIM(D30))=0,"Sin objeto contractual; ","")&amp;IF(AND(ISNUMBER(M30),N30="Mínima cuantía"),IF(M30&gt;39850000,"Mínima cuantía con valor superior al tope citado en el instructivo 2026 ($39.850.000): verificar modalidad; ",""),"")&amp;IF(AND(ISNUMBER(M30),OR(ISNUMBER(SEARCH("prestación de servicios",D30)),ISNUMBER(SEARCH("prestar servicios",D30)),ISNUMBER(SEARCH("prestar los servicios",D30)))),IF(M30&gt;=500000000,"Prestación de servicios por $500 millones o más: posible error de digitación; ",""),""))=0,"Sin observaciones",IF(OR(NOT(ISNUMBER(B30)),LEN(B30)&lt;&gt;8),"UNSPSC vacío, en texto, con varios códigos o sin 8 dígitos; ","")&amp;IF(AND(ISNUMBER(B30),LEN(B30)=8),IF(MOD(B30,10000)=0,"UNSPSC a nivel de segmento o familia; ",""),"")&amp;IF(NOT(ISNUMBER(E30)),"Duración vacía o en texto; ","")&amp;IF(NOT(ISNUMBER(G30)),"Valor vacío o en texto; ","")&amp;IF(ISNUMBER(M30),IF(M30&lt;1000000,"Valor inferior a $1.000.000: verificar; ",""),"Valor no interpretable; ")&amp;IF(N30="[PENDIENTE DE VERIFICAR]","Modalidad no identificable; ","")&amp;IF(OR(ISERROR(SEARCH("@itc.edu.co",J30)),SUMPRODUCT(--ISNUMBER(SEARCH({"á","é","í","ó","ú","ñ"},J30)))&gt;0),"Correo vacío o no institucional válido; ","")&amp;IF(LEN(TRIM(D30))=0,"Sin objeto contractual; ","")&amp;IF(AND(ISNUMBER(M30),N30="Mínima cuantía"),IF(M30&gt;39850000,"Mínima cuantía con valor superior al tope citado en el instructivo 2026 ($39.850.000): verificar modalidad; ",""),"")&amp;IF(AND(ISNUMBER(M30),OR(ISNUMBER(SEARCH("prestación de servicios",D30)),ISNUMBER(SEARCH("prestar servicios",D30)),ISNUMBER(SEARCH("prestar los servicios",D30)))),IF(M30&gt;=500000000,"Prestación de servicios por $500 millones o más: posible error de digitación; ",""),""))</f>
        <v/>
      </c>
    </row>
    <row r="31" ht="45.6" customHeight="1" s="23">
      <c r="A31" s="114" t="inlineStr">
        <is>
          <t>PN26-027</t>
        </is>
      </c>
      <c r="B31" s="114" t="n">
        <v>80111600</v>
      </c>
      <c r="C31" s="114" t="inlineStr">
        <is>
          <t>Oficina de Comunicaciones - Fotografía y video</t>
        </is>
      </c>
      <c r="D31" s="114" t="inlineStr">
        <is>
          <t xml:space="preserve">Prestación de servicios profesionales para la realización y producción de contenido audiovisual y multimedia con el fin de promover los objetivos estrategicos y lograr un impacto positivo en la audiencia de la escuela tecnológica instituto técnico central </t>
        </is>
      </c>
      <c r="E31" s="114" t="n">
        <v>11</v>
      </c>
      <c r="F31" s="114" t="inlineStr">
        <is>
          <t>DIRECTA</t>
        </is>
      </c>
      <c r="G31" s="118" t="n">
        <v>41527766</v>
      </c>
      <c r="H31" s="114" t="inlineStr">
        <is>
          <t>Jefe de la oficina asesora de planeacion</t>
        </is>
      </c>
      <c r="I31" s="114" t="n"/>
      <c r="J31" s="114" t="inlineStr">
        <is>
          <t xml:space="preserve">planeacion@itc.edu.co </t>
        </is>
      </c>
      <c r="K31" s="114" t="n">
        <v>26</v>
      </c>
      <c r="L31" s="119" t="inlineStr">
        <is>
          <t>101 · Oficina Asesora de Planeación y Desarrollo Institucional</t>
        </is>
      </c>
      <c r="M31" s="120" t="n">
        <v>41527766</v>
      </c>
      <c r="N31" s="119" t="inlineStr">
        <is>
          <t>Contratación directa</t>
        </is>
      </c>
      <c r="O31" s="119">
        <f>IF(LEN(IF(OR(NOT(ISNUMBER(B31)),LEN(B31)&lt;&gt;8),"UNSPSC vacío, en texto, con varios códigos o sin 8 dígitos; ","")&amp;IF(AND(ISNUMBER(B31),LEN(B31)=8),IF(MOD(B31,10000)=0,"UNSPSC a nivel de segmento o familia; ",""),"")&amp;IF(NOT(ISNUMBER(E31)),"Duración vacía o en texto; ","")&amp;IF(NOT(ISNUMBER(G31)),"Valor vacío o en texto; ","")&amp;IF(ISNUMBER(M31),IF(M31&lt;1000000,"Valor inferior a $1.000.000: verificar; ",""),"Valor no interpretable; ")&amp;IF(N31="[PENDIENTE DE VERIFICAR]","Modalidad no identificable; ","")&amp;IF(OR(ISERROR(SEARCH("@itc.edu.co",J31)),SUMPRODUCT(--ISNUMBER(SEARCH({"á","é","í","ó","ú","ñ"},J31)))&gt;0),"Correo vacío o no institucional válido; ","")&amp;IF(LEN(TRIM(D31))=0,"Sin objeto contractual; ","")&amp;IF(AND(ISNUMBER(M31),N31="Mínima cuantía"),IF(M31&gt;39850000,"Mínima cuantía con valor superior al tope citado en el instructivo 2026 ($39.850.000): verificar modalidad; ",""),"")&amp;IF(AND(ISNUMBER(M31),OR(ISNUMBER(SEARCH("prestación de servicios",D31)),ISNUMBER(SEARCH("prestar servicios",D31)),ISNUMBER(SEARCH("prestar los servicios",D31)))),IF(M31&gt;=500000000,"Prestación de servicios por $500 millones o más: posible error de digitación; ",""),""))=0,"Sin observaciones",IF(OR(NOT(ISNUMBER(B31)),LEN(B31)&lt;&gt;8),"UNSPSC vacío, en texto, con varios códigos o sin 8 dígitos; ","")&amp;IF(AND(ISNUMBER(B31),LEN(B31)=8),IF(MOD(B31,10000)=0,"UNSPSC a nivel de segmento o familia; ",""),"")&amp;IF(NOT(ISNUMBER(E31)),"Duración vacía o en texto; ","")&amp;IF(NOT(ISNUMBER(G31)),"Valor vacío o en texto; ","")&amp;IF(ISNUMBER(M31),IF(M31&lt;1000000,"Valor inferior a $1.000.000: verificar; ",""),"Valor no interpretable; ")&amp;IF(N31="[PENDIENTE DE VERIFICAR]","Modalidad no identificable; ","")&amp;IF(OR(ISERROR(SEARCH("@itc.edu.co",J31)),SUMPRODUCT(--ISNUMBER(SEARCH({"á","é","í","ó","ú","ñ"},J31)))&gt;0),"Correo vacío o no institucional válido; ","")&amp;IF(LEN(TRIM(D31))=0,"Sin objeto contractual; ","")&amp;IF(AND(ISNUMBER(M31),N31="Mínima cuantía"),IF(M31&gt;39850000,"Mínima cuantía con valor superior al tope citado en el instructivo 2026 ($39.850.000): verificar modalidad; ",""),"")&amp;IF(AND(ISNUMBER(M31),OR(ISNUMBER(SEARCH("prestación de servicios",D31)),ISNUMBER(SEARCH("prestar servicios",D31)),ISNUMBER(SEARCH("prestar los servicios",D31)))),IF(M31&gt;=500000000,"Prestación de servicios por $500 millones o más: posible error de digitación; ",""),""))</f>
        <v/>
      </c>
    </row>
    <row r="32" ht="34.2" customHeight="1" s="23">
      <c r="A32" s="114" t="inlineStr">
        <is>
          <t>PN26-028</t>
        </is>
      </c>
      <c r="B32" s="114" t="n">
        <v>80111600</v>
      </c>
      <c r="C32" s="114" t="inlineStr">
        <is>
          <t>Oficina de Comunicaciones - Presentación emisora</t>
        </is>
      </c>
      <c r="D32" s="114" t="inlineStr">
        <is>
          <t>Prestación de servicios como apoyo a la gestión para la operación de la emisora web, la rectoría y el área de comunicaciones de la escuela tecnológica instituto técnico central</t>
        </is>
      </c>
      <c r="E32" s="114" t="n">
        <v>11</v>
      </c>
      <c r="F32" s="114" t="inlineStr">
        <is>
          <t>DIRECTA</t>
        </is>
      </c>
      <c r="G32" s="118" t="n">
        <v>31103320</v>
      </c>
      <c r="H32" s="114" t="inlineStr">
        <is>
          <t>Jefe de la oficina asesora de planeacion</t>
        </is>
      </c>
      <c r="I32" s="114" t="n"/>
      <c r="J32" s="114" t="inlineStr">
        <is>
          <t xml:space="preserve">planeacion@itc.edu.co </t>
        </is>
      </c>
      <c r="K32" s="114" t="n">
        <v>27</v>
      </c>
      <c r="L32" s="119" t="inlineStr">
        <is>
          <t>101 · Oficina Asesora de Planeación y Desarrollo Institucional</t>
        </is>
      </c>
      <c r="M32" s="120" t="n">
        <v>31103320</v>
      </c>
      <c r="N32" s="119" t="inlineStr">
        <is>
          <t>Contratación directa</t>
        </is>
      </c>
      <c r="O32" s="119">
        <f>IF(LEN(IF(OR(NOT(ISNUMBER(B32)),LEN(B32)&lt;&gt;8),"UNSPSC vacío, en texto, con varios códigos o sin 8 dígitos; ","")&amp;IF(AND(ISNUMBER(B32),LEN(B32)=8),IF(MOD(B32,10000)=0,"UNSPSC a nivel de segmento o familia; ",""),"")&amp;IF(NOT(ISNUMBER(E32)),"Duración vacía o en texto; ","")&amp;IF(NOT(ISNUMBER(G32)),"Valor vacío o en texto; ","")&amp;IF(ISNUMBER(M32),IF(M32&lt;1000000,"Valor inferior a $1.000.000: verificar; ",""),"Valor no interpretable; ")&amp;IF(N32="[PENDIENTE DE VERIFICAR]","Modalidad no identificable; ","")&amp;IF(OR(ISERROR(SEARCH("@itc.edu.co",J32)),SUMPRODUCT(--ISNUMBER(SEARCH({"á","é","í","ó","ú","ñ"},J32)))&gt;0),"Correo vacío o no institucional válido; ","")&amp;IF(LEN(TRIM(D32))=0,"Sin objeto contractual; ","")&amp;IF(AND(ISNUMBER(M32),N32="Mínima cuantía"),IF(M32&gt;39850000,"Mínima cuantía con valor superior al tope citado en el instructivo 2026 ($39.850.000): verificar modalidad; ",""),"")&amp;IF(AND(ISNUMBER(M32),OR(ISNUMBER(SEARCH("prestación de servicios",D32)),ISNUMBER(SEARCH("prestar servicios",D32)),ISNUMBER(SEARCH("prestar los servicios",D32)))),IF(M32&gt;=500000000,"Prestación de servicios por $500 millones o más: posible error de digitación; ",""),""))=0,"Sin observaciones",IF(OR(NOT(ISNUMBER(B32)),LEN(B32)&lt;&gt;8),"UNSPSC vacío, en texto, con varios códigos o sin 8 dígitos; ","")&amp;IF(AND(ISNUMBER(B32),LEN(B32)=8),IF(MOD(B32,10000)=0,"UNSPSC a nivel de segmento o familia; ",""),"")&amp;IF(NOT(ISNUMBER(E32)),"Duración vacía o en texto; ","")&amp;IF(NOT(ISNUMBER(G32)),"Valor vacío o en texto; ","")&amp;IF(ISNUMBER(M32),IF(M32&lt;1000000,"Valor inferior a $1.000.000: verificar; ",""),"Valor no interpretable; ")&amp;IF(N32="[PENDIENTE DE VERIFICAR]","Modalidad no identificable; ","")&amp;IF(OR(ISERROR(SEARCH("@itc.edu.co",J32)),SUMPRODUCT(--ISNUMBER(SEARCH({"á","é","í","ó","ú","ñ"},J32)))&gt;0),"Correo vacío o no institucional válido; ","")&amp;IF(LEN(TRIM(D32))=0,"Sin objeto contractual; ","")&amp;IF(AND(ISNUMBER(M32),N32="Mínima cuantía"),IF(M32&gt;39850000,"Mínima cuantía con valor superior al tope citado en el instructivo 2026 ($39.850.000): verificar modalidad; ",""),"")&amp;IF(AND(ISNUMBER(M32),OR(ISNUMBER(SEARCH("prestación de servicios",D32)),ISNUMBER(SEARCH("prestar servicios",D32)),ISNUMBER(SEARCH("prestar los servicios",D32)))),IF(M32&gt;=500000000,"Prestación de servicios por $500 millones o más: posible error de digitación; ",""),""))</f>
        <v/>
      </c>
    </row>
    <row r="33" ht="34.2" customHeight="1" s="23">
      <c r="A33" s="114" t="inlineStr">
        <is>
          <t>PN26-029</t>
        </is>
      </c>
      <c r="B33" s="114" t="n">
        <v>80111600</v>
      </c>
      <c r="C33" s="114" t="inlineStr">
        <is>
          <t>Oficina de Comunicaciones - Mercadeo y admisiones</t>
        </is>
      </c>
      <c r="D33" s="114" t="inlineStr">
        <is>
          <t xml:space="preserve">Prestación de servicios profesionales para el diseño y ejecución de estrategias de promoción académica y posicionamiento de la oferta institucional de la escuela tecnológica instituto técnico central </t>
        </is>
      </c>
      <c r="E33" s="114" t="n">
        <v>11</v>
      </c>
      <c r="F33" s="114" t="inlineStr">
        <is>
          <t>DIRECTA</t>
        </is>
      </c>
      <c r="G33" s="118" t="n"/>
      <c r="H33" s="114" t="inlineStr">
        <is>
          <t>Jefe de la oficina asesora de planeacion</t>
        </is>
      </c>
      <c r="I33" s="114" t="n"/>
      <c r="J33" s="114" t="inlineStr">
        <is>
          <t xml:space="preserve">planeacion@itc.edu.co </t>
        </is>
      </c>
      <c r="K33" s="114" t="n">
        <v>28</v>
      </c>
      <c r="L33" s="119" t="inlineStr">
        <is>
          <t>101 · Oficina Asesora de Planeación y Desarrollo Institucional</t>
        </is>
      </c>
      <c r="M33" s="120" t="n"/>
      <c r="N33" s="119" t="inlineStr">
        <is>
          <t>Contratación directa</t>
        </is>
      </c>
      <c r="O33" s="119">
        <f>IF(LEN(IF(OR(NOT(ISNUMBER(B33)),LEN(B33)&lt;&gt;8),"UNSPSC vacío, en texto, con varios códigos o sin 8 dígitos; ","")&amp;IF(AND(ISNUMBER(B33),LEN(B33)=8),IF(MOD(B33,10000)=0,"UNSPSC a nivel de segmento o familia; ",""),"")&amp;IF(NOT(ISNUMBER(E33)),"Duración vacía o en texto; ","")&amp;IF(NOT(ISNUMBER(G33)),"Valor vacío o en texto; ","")&amp;IF(ISNUMBER(M33),IF(M33&lt;1000000,"Valor inferior a $1.000.000: verificar; ",""),"Valor no interpretable; ")&amp;IF(N33="[PENDIENTE DE VERIFICAR]","Modalidad no identificable; ","")&amp;IF(OR(ISERROR(SEARCH("@itc.edu.co",J33)),SUMPRODUCT(--ISNUMBER(SEARCH({"á","é","í","ó","ú","ñ"},J33)))&gt;0),"Correo vacío o no institucional válido; ","")&amp;IF(LEN(TRIM(D33))=0,"Sin objeto contractual; ","")&amp;IF(AND(ISNUMBER(M33),N33="Mínima cuantía"),IF(M33&gt;39850000,"Mínima cuantía con valor superior al tope citado en el instructivo 2026 ($39.850.000): verificar modalidad; ",""),"")&amp;IF(AND(ISNUMBER(M33),OR(ISNUMBER(SEARCH("prestación de servicios",D33)),ISNUMBER(SEARCH("prestar servicios",D33)),ISNUMBER(SEARCH("prestar los servicios",D33)))),IF(M33&gt;=500000000,"Prestación de servicios por $500 millones o más: posible error de digitación; ",""),""))=0,"Sin observaciones",IF(OR(NOT(ISNUMBER(B33)),LEN(B33)&lt;&gt;8),"UNSPSC vacío, en texto, con varios códigos o sin 8 dígitos; ","")&amp;IF(AND(ISNUMBER(B33),LEN(B33)=8),IF(MOD(B33,10000)=0,"UNSPSC a nivel de segmento o familia; ",""),"")&amp;IF(NOT(ISNUMBER(E33)),"Duración vacía o en texto; ","")&amp;IF(NOT(ISNUMBER(G33)),"Valor vacío o en texto; ","")&amp;IF(ISNUMBER(M33),IF(M33&lt;1000000,"Valor inferior a $1.000.000: verificar; ",""),"Valor no interpretable; ")&amp;IF(N33="[PENDIENTE DE VERIFICAR]","Modalidad no identificable; ","")&amp;IF(OR(ISERROR(SEARCH("@itc.edu.co",J33)),SUMPRODUCT(--ISNUMBER(SEARCH({"á","é","í","ó","ú","ñ"},J33)))&gt;0),"Correo vacío o no institucional válido; ","")&amp;IF(LEN(TRIM(D33))=0,"Sin objeto contractual; ","")&amp;IF(AND(ISNUMBER(M33),N33="Mínima cuantía"),IF(M33&gt;39850000,"Mínima cuantía con valor superior al tope citado en el instructivo 2026 ($39.850.000): verificar modalidad; ",""),"")&amp;IF(AND(ISNUMBER(M33),OR(ISNUMBER(SEARCH("prestación de servicios",D33)),ISNUMBER(SEARCH("prestar servicios",D33)),ISNUMBER(SEARCH("prestar los servicios",D33)))),IF(M33&gt;=500000000,"Prestación de servicios por $500 millones o más: posible error de digitación; ",""),""))</f>
        <v/>
      </c>
    </row>
    <row r="34" ht="45.6" customHeight="1" s="23">
      <c r="A34" s="114" t="inlineStr">
        <is>
          <t>PN26-030</t>
        </is>
      </c>
      <c r="B34" s="114" t="n">
        <v>80111600</v>
      </c>
      <c r="C34" s="114" t="inlineStr">
        <is>
          <t>Oficina de Comunicaciones - Redes sociales</t>
        </is>
      </c>
      <c r="D34" s="114" t="inlineStr">
        <is>
          <t xml:space="preserve">Prestación de servicios profesionales para administrar los contenidos de los medios digitales (portal web, redes sociales, carteleras digitales, carnetización digital) y coordinar la emisora web de la escuela tecnológica instituto técnico central </t>
        </is>
      </c>
      <c r="E34" s="114" t="n">
        <v>11</v>
      </c>
      <c r="F34" s="114" t="inlineStr">
        <is>
          <t>DIRECTA</t>
        </is>
      </c>
      <c r="G34" s="118" t="n">
        <v>54209616</v>
      </c>
      <c r="H34" s="114" t="inlineStr">
        <is>
          <t>Jefe de la oficina asesora de planeacion</t>
        </is>
      </c>
      <c r="I34" s="114" t="n"/>
      <c r="J34" s="114" t="inlineStr">
        <is>
          <t xml:space="preserve">planeacion@itc.edu.co </t>
        </is>
      </c>
      <c r="K34" s="114" t="n">
        <v>29</v>
      </c>
      <c r="L34" s="119" t="inlineStr">
        <is>
          <t>101 · Oficina Asesora de Planeación y Desarrollo Institucional</t>
        </is>
      </c>
      <c r="M34" s="120" t="n">
        <v>54209616</v>
      </c>
      <c r="N34" s="119" t="inlineStr">
        <is>
          <t>Contratación directa</t>
        </is>
      </c>
      <c r="O34" s="119">
        <f>IF(LEN(IF(OR(NOT(ISNUMBER(B34)),LEN(B34)&lt;&gt;8),"UNSPSC vacío, en texto, con varios códigos o sin 8 dígitos; ","")&amp;IF(AND(ISNUMBER(B34),LEN(B34)=8),IF(MOD(B34,10000)=0,"UNSPSC a nivel de segmento o familia; ",""),"")&amp;IF(NOT(ISNUMBER(E34)),"Duración vacía o en texto; ","")&amp;IF(NOT(ISNUMBER(G34)),"Valor vacío o en texto; ","")&amp;IF(ISNUMBER(M34),IF(M34&lt;1000000,"Valor inferior a $1.000.000: verificar; ",""),"Valor no interpretable; ")&amp;IF(N34="[PENDIENTE DE VERIFICAR]","Modalidad no identificable; ","")&amp;IF(OR(ISERROR(SEARCH("@itc.edu.co",J34)),SUMPRODUCT(--ISNUMBER(SEARCH({"á","é","í","ó","ú","ñ"},J34)))&gt;0),"Correo vacío o no institucional válido; ","")&amp;IF(LEN(TRIM(D34))=0,"Sin objeto contractual; ","")&amp;IF(AND(ISNUMBER(M34),N34="Mínima cuantía"),IF(M34&gt;39850000,"Mínima cuantía con valor superior al tope citado en el instructivo 2026 ($39.850.000): verificar modalidad; ",""),"")&amp;IF(AND(ISNUMBER(M34),OR(ISNUMBER(SEARCH("prestación de servicios",D34)),ISNUMBER(SEARCH("prestar servicios",D34)),ISNUMBER(SEARCH("prestar los servicios",D34)))),IF(M34&gt;=500000000,"Prestación de servicios por $500 millones o más: posible error de digitación; ",""),""))=0,"Sin observaciones",IF(OR(NOT(ISNUMBER(B34)),LEN(B34)&lt;&gt;8),"UNSPSC vacío, en texto, con varios códigos o sin 8 dígitos; ","")&amp;IF(AND(ISNUMBER(B34),LEN(B34)=8),IF(MOD(B34,10000)=0,"UNSPSC a nivel de segmento o familia; ",""),"")&amp;IF(NOT(ISNUMBER(E34)),"Duración vacía o en texto; ","")&amp;IF(NOT(ISNUMBER(G34)),"Valor vacío o en texto; ","")&amp;IF(ISNUMBER(M34),IF(M34&lt;1000000,"Valor inferior a $1.000.000: verificar; ",""),"Valor no interpretable; ")&amp;IF(N34="[PENDIENTE DE VERIFICAR]","Modalidad no identificable; ","")&amp;IF(OR(ISERROR(SEARCH("@itc.edu.co",J34)),SUMPRODUCT(--ISNUMBER(SEARCH({"á","é","í","ó","ú","ñ"},J34)))&gt;0),"Correo vacío o no institucional válido; ","")&amp;IF(LEN(TRIM(D34))=0,"Sin objeto contractual; ","")&amp;IF(AND(ISNUMBER(M34),N34="Mínima cuantía"),IF(M34&gt;39850000,"Mínima cuantía con valor superior al tope citado en el instructivo 2026 ($39.850.000): verificar modalidad; ",""),"")&amp;IF(AND(ISNUMBER(M34),OR(ISNUMBER(SEARCH("prestación de servicios",D34)),ISNUMBER(SEARCH("prestar servicios",D34)),ISNUMBER(SEARCH("prestar los servicios",D34)))),IF(M34&gt;=500000000,"Prestación de servicios por $500 millones o más: posible error de digitación; ",""),""))</f>
        <v/>
      </c>
    </row>
    <row r="35" ht="57" customHeight="1" s="23">
      <c r="A35" s="114" t="inlineStr">
        <is>
          <t>PN26-031</t>
        </is>
      </c>
      <c r="B35" s="114" t="n">
        <v>80111600</v>
      </c>
      <c r="C35" s="114" t="inlineStr">
        <is>
          <t>Oficina de Comunicaciones - Lider Comunicaciones</t>
        </is>
      </c>
      <c r="D35" s="114" t="inlineStr">
        <is>
          <t xml:space="preserve">Prestación de servicios profesionales para la planeación, dirección y seguimiento estratégico de las acciones de comunicación institucional, garantizando la articulación entre las áreas, la ejecución del plan estratégico de comunicación y el posicionamiento de la escuela tecnológica instituto técnico central </t>
        </is>
      </c>
      <c r="E35" s="114" t="n">
        <v>11</v>
      </c>
      <c r="F35" s="114" t="inlineStr">
        <is>
          <t>DIRECTA</t>
        </is>
      </c>
      <c r="G35" s="118" t="n">
        <v>54209616</v>
      </c>
      <c r="H35" s="114" t="inlineStr">
        <is>
          <t>Jefe de la oficina asesora de planeacion</t>
        </is>
      </c>
      <c r="I35" s="114" t="n"/>
      <c r="J35" s="114" t="inlineStr">
        <is>
          <t xml:space="preserve">planeacion@itc.edu.co </t>
        </is>
      </c>
      <c r="K35" s="114" t="n">
        <v>30</v>
      </c>
      <c r="L35" s="119" t="inlineStr">
        <is>
          <t>101 · Oficina Asesora de Planeación y Desarrollo Institucional</t>
        </is>
      </c>
      <c r="M35" s="120" t="n">
        <v>54209616</v>
      </c>
      <c r="N35" s="119" t="inlineStr">
        <is>
          <t>Contratación directa</t>
        </is>
      </c>
      <c r="O35" s="119">
        <f>IF(LEN(IF(OR(NOT(ISNUMBER(B35)),LEN(B35)&lt;&gt;8),"UNSPSC vacío, en texto, con varios códigos o sin 8 dígitos; ","")&amp;IF(AND(ISNUMBER(B35),LEN(B35)=8),IF(MOD(B35,10000)=0,"UNSPSC a nivel de segmento o familia; ",""),"")&amp;IF(NOT(ISNUMBER(E35)),"Duración vacía o en texto; ","")&amp;IF(NOT(ISNUMBER(G35)),"Valor vacío o en texto; ","")&amp;IF(ISNUMBER(M35),IF(M35&lt;1000000,"Valor inferior a $1.000.000: verificar; ",""),"Valor no interpretable; ")&amp;IF(N35="[PENDIENTE DE VERIFICAR]","Modalidad no identificable; ","")&amp;IF(OR(ISERROR(SEARCH("@itc.edu.co",J35)),SUMPRODUCT(--ISNUMBER(SEARCH({"á","é","í","ó","ú","ñ"},J35)))&gt;0),"Correo vacío o no institucional válido; ","")&amp;IF(LEN(TRIM(D35))=0,"Sin objeto contractual; ","")&amp;IF(AND(ISNUMBER(M35),N35="Mínima cuantía"),IF(M35&gt;39850000,"Mínima cuantía con valor superior al tope citado en el instructivo 2026 ($39.850.000): verificar modalidad; ",""),"")&amp;IF(AND(ISNUMBER(M35),OR(ISNUMBER(SEARCH("prestación de servicios",D35)),ISNUMBER(SEARCH("prestar servicios",D35)),ISNUMBER(SEARCH("prestar los servicios",D35)))),IF(M35&gt;=500000000,"Prestación de servicios por $500 millones o más: posible error de digitación; ",""),""))=0,"Sin observaciones",IF(OR(NOT(ISNUMBER(B35)),LEN(B35)&lt;&gt;8),"UNSPSC vacío, en texto, con varios códigos o sin 8 dígitos; ","")&amp;IF(AND(ISNUMBER(B35),LEN(B35)=8),IF(MOD(B35,10000)=0,"UNSPSC a nivel de segmento o familia; ",""),"")&amp;IF(NOT(ISNUMBER(E35)),"Duración vacía o en texto; ","")&amp;IF(NOT(ISNUMBER(G35)),"Valor vacío o en texto; ","")&amp;IF(ISNUMBER(M35),IF(M35&lt;1000000,"Valor inferior a $1.000.000: verificar; ",""),"Valor no interpretable; ")&amp;IF(N35="[PENDIENTE DE VERIFICAR]","Modalidad no identificable; ","")&amp;IF(OR(ISERROR(SEARCH("@itc.edu.co",J35)),SUMPRODUCT(--ISNUMBER(SEARCH({"á","é","í","ó","ú","ñ"},J35)))&gt;0),"Correo vacío o no institucional válido; ","")&amp;IF(LEN(TRIM(D35))=0,"Sin objeto contractual; ","")&amp;IF(AND(ISNUMBER(M35),N35="Mínima cuantía"),IF(M35&gt;39850000,"Mínima cuantía con valor superior al tope citado en el instructivo 2026 ($39.850.000): verificar modalidad; ",""),"")&amp;IF(AND(ISNUMBER(M35),OR(ISNUMBER(SEARCH("prestación de servicios",D35)),ISNUMBER(SEARCH("prestar servicios",D35)),ISNUMBER(SEARCH("prestar los servicios",D35)))),IF(M35&gt;=500000000,"Prestación de servicios por $500 millones o más: posible error de digitación; ",""),""))</f>
        <v/>
      </c>
    </row>
    <row r="36" ht="45.6" customHeight="1" s="23">
      <c r="A36" s="114" t="inlineStr">
        <is>
          <t>PN26-032</t>
        </is>
      </c>
      <c r="B36" s="114" t="n">
        <v>80111600</v>
      </c>
      <c r="C36" s="114" t="inlineStr">
        <is>
          <t>Control interno - aspectos generales.</t>
        </is>
      </c>
      <c r="D36" s="114" t="inlineStr">
        <is>
          <t>Prestacion de servicios profesionales para desarrollar las actividades contables y fiancieras del proceso de control interno, con autonomia tecnica y administrativa, de acuerdo con el plan anual de auditoria de control interno 2026 para la escuela tecnologica instituto tecnico central</t>
        </is>
      </c>
      <c r="E36" s="114" t="n">
        <v>11</v>
      </c>
      <c r="F36" s="114" t="inlineStr">
        <is>
          <t>DIRECTA</t>
        </is>
      </c>
      <c r="G36" s="118" t="n">
        <v>52800000</v>
      </c>
      <c r="H36" s="114" t="inlineStr">
        <is>
          <t>Profesional especializado 2028-15</t>
        </is>
      </c>
      <c r="I36" s="114" t="n"/>
      <c r="J36" s="114" t="n"/>
      <c r="K36" s="114" t="n">
        <v>31</v>
      </c>
      <c r="L36" s="119" t="inlineStr">
        <is>
          <t>102 · Control Interno</t>
        </is>
      </c>
      <c r="M36" s="120" t="n">
        <v>52800000</v>
      </c>
      <c r="N36" s="119" t="inlineStr">
        <is>
          <t>Contratación directa</t>
        </is>
      </c>
      <c r="O36" s="119">
        <f>IF(LEN(IF(OR(NOT(ISNUMBER(B36)),LEN(B36)&lt;&gt;8),"UNSPSC vacío, en texto, con varios códigos o sin 8 dígitos; ","")&amp;IF(AND(ISNUMBER(B36),LEN(B36)=8),IF(MOD(B36,10000)=0,"UNSPSC a nivel de segmento o familia; ",""),"")&amp;IF(NOT(ISNUMBER(E36)),"Duración vacía o en texto; ","")&amp;IF(NOT(ISNUMBER(G36)),"Valor vacío o en texto; ","")&amp;IF(ISNUMBER(M36),IF(M36&lt;1000000,"Valor inferior a $1.000.000: verificar; ",""),"Valor no interpretable; ")&amp;IF(N36="[PENDIENTE DE VERIFICAR]","Modalidad no identificable; ","")&amp;IF(OR(ISERROR(SEARCH("@itc.edu.co",J36)),SUMPRODUCT(--ISNUMBER(SEARCH({"á","é","í","ó","ú","ñ"},J36)))&gt;0),"Correo vacío o no institucional válido; ","")&amp;IF(LEN(TRIM(D36))=0,"Sin objeto contractual; ","")&amp;IF(AND(ISNUMBER(M36),N36="Mínima cuantía"),IF(M36&gt;39850000,"Mínima cuantía con valor superior al tope citado en el instructivo 2026 ($39.850.000): verificar modalidad; ",""),"")&amp;IF(AND(ISNUMBER(M36),OR(ISNUMBER(SEARCH("prestación de servicios",D36)),ISNUMBER(SEARCH("prestar servicios",D36)),ISNUMBER(SEARCH("prestar los servicios",D36)))),IF(M36&gt;=500000000,"Prestación de servicios por $500 millones o más: posible error de digitación; ",""),""))=0,"Sin observaciones",IF(OR(NOT(ISNUMBER(B36)),LEN(B36)&lt;&gt;8),"UNSPSC vacío, en texto, con varios códigos o sin 8 dígitos; ","")&amp;IF(AND(ISNUMBER(B36),LEN(B36)=8),IF(MOD(B36,10000)=0,"UNSPSC a nivel de segmento o familia; ",""),"")&amp;IF(NOT(ISNUMBER(E36)),"Duración vacía o en texto; ","")&amp;IF(NOT(ISNUMBER(G36)),"Valor vacío o en texto; ","")&amp;IF(ISNUMBER(M36),IF(M36&lt;1000000,"Valor inferior a $1.000.000: verificar; ",""),"Valor no interpretable; ")&amp;IF(N36="[PENDIENTE DE VERIFICAR]","Modalidad no identificable; ","")&amp;IF(OR(ISERROR(SEARCH("@itc.edu.co",J36)),SUMPRODUCT(--ISNUMBER(SEARCH({"á","é","í","ó","ú","ñ"},J36)))&gt;0),"Correo vacío o no institucional válido; ","")&amp;IF(LEN(TRIM(D36))=0,"Sin objeto contractual; ","")&amp;IF(AND(ISNUMBER(M36),N36="Mínima cuantía"),IF(M36&gt;39850000,"Mínima cuantía con valor superior al tope citado en el instructivo 2026 ($39.850.000): verificar modalidad; ",""),"")&amp;IF(AND(ISNUMBER(M36),OR(ISNUMBER(SEARCH("prestación de servicios",D36)),ISNUMBER(SEARCH("prestar servicios",D36)),ISNUMBER(SEARCH("prestar los servicios",D36)))),IF(M36&gt;=500000000,"Prestación de servicios por $500 millones o más: posible error de digitación; ",""),""))</f>
        <v/>
      </c>
    </row>
    <row r="37" ht="79.8" customHeight="1" s="23">
      <c r="A37" s="114" t="inlineStr">
        <is>
          <t>PN26-033</t>
        </is>
      </c>
      <c r="B37" s="114" t="n">
        <v>80111600</v>
      </c>
      <c r="C37" s="114" t="inlineStr">
        <is>
          <t>Control interno - financiero</t>
        </is>
      </c>
      <c r="D37" s="114" t="inlineStr">
        <is>
          <t>Prestacion de servicios profesionales para el desarrollo de las actividades del proceso de control interno, con autonomia tecnica y administrativa, orientadas a la ejecucion del plan anual de auditoria incluyendo seguimientos, informes de ley, evaluación del modelo integrado de planeación y gestión (mipg), la aplicación del modelo estándar de control interno (meci), la verificación de los planes de mejoramiento y la gestión de riesgos de la escuela tecnológica instituto técnico central.</t>
        </is>
      </c>
      <c r="E37" s="114" t="n">
        <v>11</v>
      </c>
      <c r="F37" s="114" t="inlineStr">
        <is>
          <t>DIRECTA</t>
        </is>
      </c>
      <c r="G37" s="118" t="n">
        <v>52800000</v>
      </c>
      <c r="H37" s="114" t="inlineStr">
        <is>
          <t>Profesional especializado 2028-15</t>
        </is>
      </c>
      <c r="I37" s="114" t="n"/>
      <c r="J37" s="114" t="n"/>
      <c r="K37" s="114" t="n">
        <v>32</v>
      </c>
      <c r="L37" s="119" t="inlineStr">
        <is>
          <t>102 · Control Interno</t>
        </is>
      </c>
      <c r="M37" s="120" t="n">
        <v>52800000</v>
      </c>
      <c r="N37" s="119" t="inlineStr">
        <is>
          <t>Contratación directa</t>
        </is>
      </c>
      <c r="O37" s="119">
        <f>IF(LEN(IF(OR(NOT(ISNUMBER(B37)),LEN(B37)&lt;&gt;8),"UNSPSC vacío, en texto, con varios códigos o sin 8 dígitos; ","")&amp;IF(AND(ISNUMBER(B37),LEN(B37)=8),IF(MOD(B37,10000)=0,"UNSPSC a nivel de segmento o familia; ",""),"")&amp;IF(NOT(ISNUMBER(E37)),"Duración vacía o en texto; ","")&amp;IF(NOT(ISNUMBER(G37)),"Valor vacío o en texto; ","")&amp;IF(ISNUMBER(M37),IF(M37&lt;1000000,"Valor inferior a $1.000.000: verificar; ",""),"Valor no interpretable; ")&amp;IF(N37="[PENDIENTE DE VERIFICAR]","Modalidad no identificable; ","")&amp;IF(OR(ISERROR(SEARCH("@itc.edu.co",J37)),SUMPRODUCT(--ISNUMBER(SEARCH({"á","é","í","ó","ú","ñ"},J37)))&gt;0),"Correo vacío o no institucional válido; ","")&amp;IF(LEN(TRIM(D37))=0,"Sin objeto contractual; ","")&amp;IF(AND(ISNUMBER(M37),N37="Mínima cuantía"),IF(M37&gt;39850000,"Mínima cuantía con valor superior al tope citado en el instructivo 2026 ($39.850.000): verificar modalidad; ",""),"")&amp;IF(AND(ISNUMBER(M37),OR(ISNUMBER(SEARCH("prestación de servicios",D37)),ISNUMBER(SEARCH("prestar servicios",D37)),ISNUMBER(SEARCH("prestar los servicios",D37)))),IF(M37&gt;=500000000,"Prestación de servicios por $500 millones o más: posible error de digitación; ",""),""))=0,"Sin observaciones",IF(OR(NOT(ISNUMBER(B37)),LEN(B37)&lt;&gt;8),"UNSPSC vacío, en texto, con varios códigos o sin 8 dígitos; ","")&amp;IF(AND(ISNUMBER(B37),LEN(B37)=8),IF(MOD(B37,10000)=0,"UNSPSC a nivel de segmento o familia; ",""),"")&amp;IF(NOT(ISNUMBER(E37)),"Duración vacía o en texto; ","")&amp;IF(NOT(ISNUMBER(G37)),"Valor vacío o en texto; ","")&amp;IF(ISNUMBER(M37),IF(M37&lt;1000000,"Valor inferior a $1.000.000: verificar; ",""),"Valor no interpretable; ")&amp;IF(N37="[PENDIENTE DE VERIFICAR]","Modalidad no identificable; ","")&amp;IF(OR(ISERROR(SEARCH("@itc.edu.co",J37)),SUMPRODUCT(--ISNUMBER(SEARCH({"á","é","í","ó","ú","ñ"},J37)))&gt;0),"Correo vacío o no institucional válido; ","")&amp;IF(LEN(TRIM(D37))=0,"Sin objeto contractual; ","")&amp;IF(AND(ISNUMBER(M37),N37="Mínima cuantía"),IF(M37&gt;39850000,"Mínima cuantía con valor superior al tope citado en el instructivo 2026 ($39.850.000): verificar modalidad; ",""),"")&amp;IF(AND(ISNUMBER(M37),OR(ISNUMBER(SEARCH("prestación de servicios",D37)),ISNUMBER(SEARCH("prestar servicios",D37)),ISNUMBER(SEARCH("prestar los servicios",D37)))),IF(M37&gt;=500000000,"Prestación de servicios por $500 millones o más: posible error de digitación; ",""),""))</f>
        <v/>
      </c>
    </row>
    <row r="38" ht="45.6" customHeight="1" s="23">
      <c r="A38" s="114" t="inlineStr">
        <is>
          <t>PN26-034</t>
        </is>
      </c>
      <c r="B38" s="114" t="n">
        <v>80111600</v>
      </c>
      <c r="C38" s="114" t="inlineStr">
        <is>
          <t>Apoyo registros calificados</t>
        </is>
      </c>
      <c r="D38" s="114" t="inlineStr">
        <is>
          <t>Apoyar el sistema integrado de aseguramiento de la calidad con procesos de calidad nacional y regional para los programas de educación superior vigentes y la institución, y en obtención de ofertas académicas en diversas áreas de formación.</t>
        </is>
      </c>
      <c r="E38" s="114" t="n">
        <v>11</v>
      </c>
      <c r="F38" s="114" t="inlineStr">
        <is>
          <t>DIRECTA</t>
        </is>
      </c>
      <c r="G38" s="118" t="n">
        <v>52800000</v>
      </c>
      <c r="H38" s="114" t="inlineStr">
        <is>
          <t>Autoevaluación Institucional</t>
        </is>
      </c>
      <c r="I38" s="114" t="n"/>
      <c r="J38" s="114" t="inlineStr">
        <is>
          <t>autoevaluacion@itc.edu.co</t>
        </is>
      </c>
      <c r="K38" s="114" t="n">
        <v>33</v>
      </c>
      <c r="L38" s="119" t="inlineStr">
        <is>
          <t>101 · Oficina Asesora de Planeación y Desarrollo Institucional</t>
        </is>
      </c>
      <c r="M38" s="120" t="n">
        <v>52800000</v>
      </c>
      <c r="N38" s="119" t="inlineStr">
        <is>
          <t>Contratación directa</t>
        </is>
      </c>
      <c r="O38" s="119">
        <f>IF(LEN(IF(OR(NOT(ISNUMBER(B38)),LEN(B38)&lt;&gt;8),"UNSPSC vacío, en texto, con varios códigos o sin 8 dígitos; ","")&amp;IF(AND(ISNUMBER(B38),LEN(B38)=8),IF(MOD(B38,10000)=0,"UNSPSC a nivel de segmento o familia; ",""),"")&amp;IF(NOT(ISNUMBER(E38)),"Duración vacía o en texto; ","")&amp;IF(NOT(ISNUMBER(G38)),"Valor vacío o en texto; ","")&amp;IF(ISNUMBER(M38),IF(M38&lt;1000000,"Valor inferior a $1.000.000: verificar; ",""),"Valor no interpretable; ")&amp;IF(N38="[PENDIENTE DE VERIFICAR]","Modalidad no identificable; ","")&amp;IF(OR(ISERROR(SEARCH("@itc.edu.co",J38)),SUMPRODUCT(--ISNUMBER(SEARCH({"á","é","í","ó","ú","ñ"},J38)))&gt;0),"Correo vacío o no institucional válido; ","")&amp;IF(LEN(TRIM(D38))=0,"Sin objeto contractual; ","")&amp;IF(AND(ISNUMBER(M38),N38="Mínima cuantía"),IF(M38&gt;39850000,"Mínima cuantía con valor superior al tope citado en el instructivo 2026 ($39.850.000): verificar modalidad; ",""),"")&amp;IF(AND(ISNUMBER(M38),OR(ISNUMBER(SEARCH("prestación de servicios",D38)),ISNUMBER(SEARCH("prestar servicios",D38)),ISNUMBER(SEARCH("prestar los servicios",D38)))),IF(M38&gt;=500000000,"Prestación de servicios por $500 millones o más: posible error de digitación; ",""),""))=0,"Sin observaciones",IF(OR(NOT(ISNUMBER(B38)),LEN(B38)&lt;&gt;8),"UNSPSC vacío, en texto, con varios códigos o sin 8 dígitos; ","")&amp;IF(AND(ISNUMBER(B38),LEN(B38)=8),IF(MOD(B38,10000)=0,"UNSPSC a nivel de segmento o familia; ",""),"")&amp;IF(NOT(ISNUMBER(E38)),"Duración vacía o en texto; ","")&amp;IF(NOT(ISNUMBER(G38)),"Valor vacío o en texto; ","")&amp;IF(ISNUMBER(M38),IF(M38&lt;1000000,"Valor inferior a $1.000.000: verificar; ",""),"Valor no interpretable; ")&amp;IF(N38="[PENDIENTE DE VERIFICAR]","Modalidad no identificable; ","")&amp;IF(OR(ISERROR(SEARCH("@itc.edu.co",J38)),SUMPRODUCT(--ISNUMBER(SEARCH({"á","é","í","ó","ú","ñ"},J38)))&gt;0),"Correo vacío o no institucional válido; ","")&amp;IF(LEN(TRIM(D38))=0,"Sin objeto contractual; ","")&amp;IF(AND(ISNUMBER(M38),N38="Mínima cuantía"),IF(M38&gt;39850000,"Mínima cuantía con valor superior al tope citado en el instructivo 2026 ($39.850.000): verificar modalidad; ",""),"")&amp;IF(AND(ISNUMBER(M38),OR(ISNUMBER(SEARCH("prestación de servicios",D38)),ISNUMBER(SEARCH("prestar servicios",D38)),ISNUMBER(SEARCH("prestar los servicios",D38)))),IF(M38&gt;=500000000,"Prestación de servicios por $500 millones o más: posible error de digitación; ",""),""))</f>
        <v/>
      </c>
    </row>
    <row r="39" ht="45.6" customHeight="1" s="23">
      <c r="A39" s="114" t="inlineStr">
        <is>
          <t>PN26-035</t>
        </is>
      </c>
      <c r="B39" s="114" t="n">
        <v>80111600</v>
      </c>
      <c r="C39" s="114" t="inlineStr">
        <is>
          <t>Apoyo proceso de articulacion</t>
        </is>
      </c>
      <c r="D39" s="114" t="inlineStr">
        <is>
          <t>Apoyar el sistema integrado de aseguramiento de la calidad con procesos de articulación de condiciones de calidad de programas e institucional, factores de alta calidad y lineamientos internacionales en coherencia con la información estadística de la escuela.</t>
        </is>
      </c>
      <c r="E39" s="114" t="n">
        <v>11</v>
      </c>
      <c r="F39" s="114" t="inlineStr">
        <is>
          <t>DIRECTA</t>
        </is>
      </c>
      <c r="G39" s="118" t="n">
        <v>52800000</v>
      </c>
      <c r="H39" s="114" t="inlineStr">
        <is>
          <t>Autoevaluación Institucional</t>
        </is>
      </c>
      <c r="I39" s="114" t="n"/>
      <c r="J39" s="114" t="inlineStr">
        <is>
          <t>autoevaluacion@itc.edu.co</t>
        </is>
      </c>
      <c r="K39" s="114" t="n">
        <v>34</v>
      </c>
      <c r="L39" s="119" t="inlineStr">
        <is>
          <t>101 · Oficina Asesora de Planeación y Desarrollo Institucional</t>
        </is>
      </c>
      <c r="M39" s="120" t="n">
        <v>52800000</v>
      </c>
      <c r="N39" s="119" t="inlineStr">
        <is>
          <t>Contratación directa</t>
        </is>
      </c>
      <c r="O39" s="119">
        <f>IF(LEN(IF(OR(NOT(ISNUMBER(B39)),LEN(B39)&lt;&gt;8),"UNSPSC vacío, en texto, con varios códigos o sin 8 dígitos; ","")&amp;IF(AND(ISNUMBER(B39),LEN(B39)=8),IF(MOD(B39,10000)=0,"UNSPSC a nivel de segmento o familia; ",""),"")&amp;IF(NOT(ISNUMBER(E39)),"Duración vacía o en texto; ","")&amp;IF(NOT(ISNUMBER(G39)),"Valor vacío o en texto; ","")&amp;IF(ISNUMBER(M39),IF(M39&lt;1000000,"Valor inferior a $1.000.000: verificar; ",""),"Valor no interpretable; ")&amp;IF(N39="[PENDIENTE DE VERIFICAR]","Modalidad no identificable; ","")&amp;IF(OR(ISERROR(SEARCH("@itc.edu.co",J39)),SUMPRODUCT(--ISNUMBER(SEARCH({"á","é","í","ó","ú","ñ"},J39)))&gt;0),"Correo vacío o no institucional válido; ","")&amp;IF(LEN(TRIM(D39))=0,"Sin objeto contractual; ","")&amp;IF(AND(ISNUMBER(M39),N39="Mínima cuantía"),IF(M39&gt;39850000,"Mínima cuantía con valor superior al tope citado en el instructivo 2026 ($39.850.000): verificar modalidad; ",""),"")&amp;IF(AND(ISNUMBER(M39),OR(ISNUMBER(SEARCH("prestación de servicios",D39)),ISNUMBER(SEARCH("prestar servicios",D39)),ISNUMBER(SEARCH("prestar los servicios",D39)))),IF(M39&gt;=500000000,"Prestación de servicios por $500 millones o más: posible error de digitación; ",""),""))=0,"Sin observaciones",IF(OR(NOT(ISNUMBER(B39)),LEN(B39)&lt;&gt;8),"UNSPSC vacío, en texto, con varios códigos o sin 8 dígitos; ","")&amp;IF(AND(ISNUMBER(B39),LEN(B39)=8),IF(MOD(B39,10000)=0,"UNSPSC a nivel de segmento o familia; ",""),"")&amp;IF(NOT(ISNUMBER(E39)),"Duración vacía o en texto; ","")&amp;IF(NOT(ISNUMBER(G39)),"Valor vacío o en texto; ","")&amp;IF(ISNUMBER(M39),IF(M39&lt;1000000,"Valor inferior a $1.000.000: verificar; ",""),"Valor no interpretable; ")&amp;IF(N39="[PENDIENTE DE VERIFICAR]","Modalidad no identificable; ","")&amp;IF(OR(ISERROR(SEARCH("@itc.edu.co",J39)),SUMPRODUCT(--ISNUMBER(SEARCH({"á","é","í","ó","ú","ñ"},J39)))&gt;0),"Correo vacío o no institucional válido; ","")&amp;IF(LEN(TRIM(D39))=0,"Sin objeto contractual; ","")&amp;IF(AND(ISNUMBER(M39),N39="Mínima cuantía"),IF(M39&gt;39850000,"Mínima cuantía con valor superior al tope citado en el instructivo 2026 ($39.850.000): verificar modalidad; ",""),"")&amp;IF(AND(ISNUMBER(M39),OR(ISNUMBER(SEARCH("prestación de servicios",D39)),ISNUMBER(SEARCH("prestar servicios",D39)),ISNUMBER(SEARCH("prestar los servicios",D39)))),IF(M39&gt;=500000000,"Prestación de servicios por $500 millones o más: posible error de digitación; ",""),""))</f>
        <v/>
      </c>
    </row>
    <row r="40" ht="34.2" customHeight="1" s="23">
      <c r="A40" s="114" t="inlineStr">
        <is>
          <t>PN26-036</t>
        </is>
      </c>
      <c r="B40" s="114" t="n">
        <v>80111600</v>
      </c>
      <c r="C40" s="114" t="inlineStr">
        <is>
          <t>Apoyo proceso de acreditacion</t>
        </is>
      </c>
      <c r="D40" s="114" t="inlineStr">
        <is>
          <t>Apoyar el sistema integrado de aseguramiento de la calidad con procesos de alta calidad nacional e internacional para los programas de educación superior vigentes y la institución, y en obtención de ofertas académicas.</t>
        </is>
      </c>
      <c r="E40" s="114" t="n">
        <v>11</v>
      </c>
      <c r="F40" s="114" t="inlineStr">
        <is>
          <t>DIRECTA</t>
        </is>
      </c>
      <c r="G40" s="118" t="n">
        <v>52800000</v>
      </c>
      <c r="H40" s="114" t="inlineStr">
        <is>
          <t>Autoevaluación Institucional</t>
        </is>
      </c>
      <c r="I40" s="114" t="n"/>
      <c r="J40" s="114" t="inlineStr">
        <is>
          <t>autoevaluacion@itc.edu.co</t>
        </is>
      </c>
      <c r="K40" s="114" t="n">
        <v>35</v>
      </c>
      <c r="L40" s="119" t="inlineStr">
        <is>
          <t>101 · Oficina Asesora de Planeación y Desarrollo Institucional</t>
        </is>
      </c>
      <c r="M40" s="120" t="n">
        <v>52800000</v>
      </c>
      <c r="N40" s="119" t="inlineStr">
        <is>
          <t>Contratación directa</t>
        </is>
      </c>
      <c r="O40" s="119">
        <f>IF(LEN(IF(OR(NOT(ISNUMBER(B40)),LEN(B40)&lt;&gt;8),"UNSPSC vacío, en texto, con varios códigos o sin 8 dígitos; ","")&amp;IF(AND(ISNUMBER(B40),LEN(B40)=8),IF(MOD(B40,10000)=0,"UNSPSC a nivel de segmento o familia; ",""),"")&amp;IF(NOT(ISNUMBER(E40)),"Duración vacía o en texto; ","")&amp;IF(NOT(ISNUMBER(G40)),"Valor vacío o en texto; ","")&amp;IF(ISNUMBER(M40),IF(M40&lt;1000000,"Valor inferior a $1.000.000: verificar; ",""),"Valor no interpretable; ")&amp;IF(N40="[PENDIENTE DE VERIFICAR]","Modalidad no identificable; ","")&amp;IF(OR(ISERROR(SEARCH("@itc.edu.co",J40)),SUMPRODUCT(--ISNUMBER(SEARCH({"á","é","í","ó","ú","ñ"},J40)))&gt;0),"Correo vacío o no institucional válido; ","")&amp;IF(LEN(TRIM(D40))=0,"Sin objeto contractual; ","")&amp;IF(AND(ISNUMBER(M40),N40="Mínima cuantía"),IF(M40&gt;39850000,"Mínima cuantía con valor superior al tope citado en el instructivo 2026 ($39.850.000): verificar modalidad; ",""),"")&amp;IF(AND(ISNUMBER(M40),OR(ISNUMBER(SEARCH("prestación de servicios",D40)),ISNUMBER(SEARCH("prestar servicios",D40)),ISNUMBER(SEARCH("prestar los servicios",D40)))),IF(M40&gt;=500000000,"Prestación de servicios por $500 millones o más: posible error de digitación; ",""),""))=0,"Sin observaciones",IF(OR(NOT(ISNUMBER(B40)),LEN(B40)&lt;&gt;8),"UNSPSC vacío, en texto, con varios códigos o sin 8 dígitos; ","")&amp;IF(AND(ISNUMBER(B40),LEN(B40)=8),IF(MOD(B40,10000)=0,"UNSPSC a nivel de segmento o familia; ",""),"")&amp;IF(NOT(ISNUMBER(E40)),"Duración vacía o en texto; ","")&amp;IF(NOT(ISNUMBER(G40)),"Valor vacío o en texto; ","")&amp;IF(ISNUMBER(M40),IF(M40&lt;1000000,"Valor inferior a $1.000.000: verificar; ",""),"Valor no interpretable; ")&amp;IF(N40="[PENDIENTE DE VERIFICAR]","Modalidad no identificable; ","")&amp;IF(OR(ISERROR(SEARCH("@itc.edu.co",J40)),SUMPRODUCT(--ISNUMBER(SEARCH({"á","é","í","ó","ú","ñ"},J40)))&gt;0),"Correo vacío o no institucional válido; ","")&amp;IF(LEN(TRIM(D40))=0,"Sin objeto contractual; ","")&amp;IF(AND(ISNUMBER(M40),N40="Mínima cuantía"),IF(M40&gt;39850000,"Mínima cuantía con valor superior al tope citado en el instructivo 2026 ($39.850.000): verificar modalidad; ",""),"")&amp;IF(AND(ISNUMBER(M40),OR(ISNUMBER(SEARCH("prestación de servicios",D40)),ISNUMBER(SEARCH("prestar servicios",D40)),ISNUMBER(SEARCH("prestar los servicios",D40)))),IF(M40&gt;=500000000,"Prestación de servicios por $500 millones o más: posible error de digitación; ",""),""))</f>
        <v/>
      </c>
    </row>
    <row r="41" ht="68.40000000000001" customHeight="1" s="23">
      <c r="A41" s="114" t="inlineStr">
        <is>
          <t>PN26-037</t>
        </is>
      </c>
      <c r="B41" s="114" t="n">
        <v>80111600</v>
      </c>
      <c r="C41" s="114" t="inlineStr">
        <is>
          <t xml:space="preserve">Laboratorio inteligente </t>
        </is>
      </c>
      <c r="D41" s="114" t="inlineStr">
        <is>
          <t>Prestación de servicios profesionales para el desarrollo de actividades del laboratorio inteligente de ciencia, tencología, innovación y emprendimiento, formulación y ejecución de proyectos de emprendimiento del centro de pensamiento y desarrollo tecnológico para la vicerrectoría de investigación, extensión y transferencia de la escuela tecnológica instituto técnico central y sus sedes.</t>
        </is>
      </c>
      <c r="E41" s="114" t="n">
        <v>11</v>
      </c>
      <c r="F41" s="114" t="inlineStr">
        <is>
          <t>DIRECTA</t>
        </is>
      </c>
      <c r="G41" s="118" t="n">
        <v>39504668</v>
      </c>
      <c r="H41" s="114" t="inlineStr">
        <is>
          <t>Vicerrector de Investigación 0065-09</t>
        </is>
      </c>
      <c r="I41" s="114" t="n"/>
      <c r="J41" s="114" t="inlineStr">
        <is>
          <t>viceinvestigacion@itc.edu.co</t>
        </is>
      </c>
      <c r="K41" s="114" t="n">
        <v>36</v>
      </c>
      <c r="L41" s="119" t="inlineStr">
        <is>
          <t>140 · Vicerrectoría de Investigación, Extensión y Transferencia</t>
        </is>
      </c>
      <c r="M41" s="120" t="n">
        <v>39504668</v>
      </c>
      <c r="N41" s="119" t="inlineStr">
        <is>
          <t>Contratación directa</t>
        </is>
      </c>
      <c r="O41" s="119">
        <f>IF(LEN(IF(OR(NOT(ISNUMBER(B41)),LEN(B41)&lt;&gt;8),"UNSPSC vacío, en texto, con varios códigos o sin 8 dígitos; ","")&amp;IF(AND(ISNUMBER(B41),LEN(B41)=8),IF(MOD(B41,10000)=0,"UNSPSC a nivel de segmento o familia; ",""),"")&amp;IF(NOT(ISNUMBER(E41)),"Duración vacía o en texto; ","")&amp;IF(NOT(ISNUMBER(G41)),"Valor vacío o en texto; ","")&amp;IF(ISNUMBER(M41),IF(M41&lt;1000000,"Valor inferior a $1.000.000: verificar; ",""),"Valor no interpretable; ")&amp;IF(N41="[PENDIENTE DE VERIFICAR]","Modalidad no identificable; ","")&amp;IF(OR(ISERROR(SEARCH("@itc.edu.co",J41)),SUMPRODUCT(--ISNUMBER(SEARCH({"á","é","í","ó","ú","ñ"},J41)))&gt;0),"Correo vacío o no institucional válido; ","")&amp;IF(LEN(TRIM(D41))=0,"Sin objeto contractual; ","")&amp;IF(AND(ISNUMBER(M41),N41="Mínima cuantía"),IF(M41&gt;39850000,"Mínima cuantía con valor superior al tope citado en el instructivo 2026 ($39.850.000): verificar modalidad; ",""),"")&amp;IF(AND(ISNUMBER(M41),OR(ISNUMBER(SEARCH("prestación de servicios",D41)),ISNUMBER(SEARCH("prestar servicios",D41)),ISNUMBER(SEARCH("prestar los servicios",D41)))),IF(M41&gt;=500000000,"Prestación de servicios por $500 millones o más: posible error de digitación; ",""),""))=0,"Sin observaciones",IF(OR(NOT(ISNUMBER(B41)),LEN(B41)&lt;&gt;8),"UNSPSC vacío, en texto, con varios códigos o sin 8 dígitos; ","")&amp;IF(AND(ISNUMBER(B41),LEN(B41)=8),IF(MOD(B41,10000)=0,"UNSPSC a nivel de segmento o familia; ",""),"")&amp;IF(NOT(ISNUMBER(E41)),"Duración vacía o en texto; ","")&amp;IF(NOT(ISNUMBER(G41)),"Valor vacío o en texto; ","")&amp;IF(ISNUMBER(M41),IF(M41&lt;1000000,"Valor inferior a $1.000.000: verificar; ",""),"Valor no interpretable; ")&amp;IF(N41="[PENDIENTE DE VERIFICAR]","Modalidad no identificable; ","")&amp;IF(OR(ISERROR(SEARCH("@itc.edu.co",J41)),SUMPRODUCT(--ISNUMBER(SEARCH({"á","é","í","ó","ú","ñ"},J41)))&gt;0),"Correo vacío o no institucional válido; ","")&amp;IF(LEN(TRIM(D41))=0,"Sin objeto contractual; ","")&amp;IF(AND(ISNUMBER(M41),N41="Mínima cuantía"),IF(M41&gt;39850000,"Mínima cuantía con valor superior al tope citado en el instructivo 2026 ($39.850.000): verificar modalidad; ",""),"")&amp;IF(AND(ISNUMBER(M41),OR(ISNUMBER(SEARCH("prestación de servicios",D41)),ISNUMBER(SEARCH("prestar servicios",D41)),ISNUMBER(SEARCH("prestar los servicios",D41)))),IF(M41&gt;=500000000,"Prestación de servicios por $500 millones o más: posible error de digitación; ",""),""))</f>
        <v/>
      </c>
    </row>
    <row r="42" ht="34.2" customHeight="1" s="23">
      <c r="A42" s="114" t="inlineStr">
        <is>
          <t>PN26-038</t>
        </is>
      </c>
      <c r="B42" s="114" t="n">
        <v>80111600</v>
      </c>
      <c r="C42" s="114" t="inlineStr">
        <is>
          <t xml:space="preserve">Proceso de innovacion desarrollo y transferencia tecnologica </t>
        </is>
      </c>
      <c r="D42" s="114" t="inlineStr">
        <is>
          <t>Prestación de servicios profesionales para liderar el proceso de innovación, desarrollo y transferencia tecnológica de la escuela tecnológica instituto técnico central y sus sedes.</t>
        </is>
      </c>
      <c r="E42" s="114" t="n">
        <v>11</v>
      </c>
      <c r="F42" s="114" t="inlineStr">
        <is>
          <t>DIRECTA</t>
        </is>
      </c>
      <c r="G42" s="118" t="n">
        <v>45672007</v>
      </c>
      <c r="H42" s="114" t="inlineStr">
        <is>
          <t>Vicerrector de Investigación 0065-09</t>
        </is>
      </c>
      <c r="I42" s="114" t="n"/>
      <c r="J42" s="114" t="inlineStr">
        <is>
          <t>viceinvestigacion@itc.edu.co</t>
        </is>
      </c>
      <c r="K42" s="114" t="n">
        <v>37</v>
      </c>
      <c r="L42" s="119" t="inlineStr">
        <is>
          <t>140 · Vicerrectoría de Investigación, Extensión y Transferencia</t>
        </is>
      </c>
      <c r="M42" s="120" t="n">
        <v>45672007</v>
      </c>
      <c r="N42" s="119" t="inlineStr">
        <is>
          <t>Contratación directa</t>
        </is>
      </c>
      <c r="O42" s="119">
        <f>IF(LEN(IF(OR(NOT(ISNUMBER(B42)),LEN(B42)&lt;&gt;8),"UNSPSC vacío, en texto, con varios códigos o sin 8 dígitos; ","")&amp;IF(AND(ISNUMBER(B42),LEN(B42)=8),IF(MOD(B42,10000)=0,"UNSPSC a nivel de segmento o familia; ",""),"")&amp;IF(NOT(ISNUMBER(E42)),"Duración vacía o en texto; ","")&amp;IF(NOT(ISNUMBER(G42)),"Valor vacío o en texto; ","")&amp;IF(ISNUMBER(M42),IF(M42&lt;1000000,"Valor inferior a $1.000.000: verificar; ",""),"Valor no interpretable; ")&amp;IF(N42="[PENDIENTE DE VERIFICAR]","Modalidad no identificable; ","")&amp;IF(OR(ISERROR(SEARCH("@itc.edu.co",J42)),SUMPRODUCT(--ISNUMBER(SEARCH({"á","é","í","ó","ú","ñ"},J42)))&gt;0),"Correo vacío o no institucional válido; ","")&amp;IF(LEN(TRIM(D42))=0,"Sin objeto contractual; ","")&amp;IF(AND(ISNUMBER(M42),N42="Mínima cuantía"),IF(M42&gt;39850000,"Mínima cuantía con valor superior al tope citado en el instructivo 2026 ($39.850.000): verificar modalidad; ",""),"")&amp;IF(AND(ISNUMBER(M42),OR(ISNUMBER(SEARCH("prestación de servicios",D42)),ISNUMBER(SEARCH("prestar servicios",D42)),ISNUMBER(SEARCH("prestar los servicios",D42)))),IF(M42&gt;=500000000,"Prestación de servicios por $500 millones o más: posible error de digitación; ",""),""))=0,"Sin observaciones",IF(OR(NOT(ISNUMBER(B42)),LEN(B42)&lt;&gt;8),"UNSPSC vacío, en texto, con varios códigos o sin 8 dígitos; ","")&amp;IF(AND(ISNUMBER(B42),LEN(B42)=8),IF(MOD(B42,10000)=0,"UNSPSC a nivel de segmento o familia; ",""),"")&amp;IF(NOT(ISNUMBER(E42)),"Duración vacía o en texto; ","")&amp;IF(NOT(ISNUMBER(G42)),"Valor vacío o en texto; ","")&amp;IF(ISNUMBER(M42),IF(M42&lt;1000000,"Valor inferior a $1.000.000: verificar; ",""),"Valor no interpretable; ")&amp;IF(N42="[PENDIENTE DE VERIFICAR]","Modalidad no identificable; ","")&amp;IF(OR(ISERROR(SEARCH("@itc.edu.co",J42)),SUMPRODUCT(--ISNUMBER(SEARCH({"á","é","í","ó","ú","ñ"},J42)))&gt;0),"Correo vacío o no institucional válido; ","")&amp;IF(LEN(TRIM(D42))=0,"Sin objeto contractual; ","")&amp;IF(AND(ISNUMBER(M42),N42="Mínima cuantía"),IF(M42&gt;39850000,"Mínima cuantía con valor superior al tope citado en el instructivo 2026 ($39.850.000): verificar modalidad; ",""),"")&amp;IF(AND(ISNUMBER(M42),OR(ISNUMBER(SEARCH("prestación de servicios",D42)),ISNUMBER(SEARCH("prestar servicios",D42)),ISNUMBER(SEARCH("prestar los servicios",D42)))),IF(M42&gt;=500000000,"Prestación de servicios por $500 millones o más: posible error de digitación; ",""),""))</f>
        <v/>
      </c>
    </row>
    <row r="43" ht="68.40000000000001" customHeight="1" s="23">
      <c r="A43" s="114" t="inlineStr">
        <is>
          <t>PN26-039</t>
        </is>
      </c>
      <c r="B43" s="114" t="n">
        <v>80111600</v>
      </c>
      <c r="C43" s="114" t="inlineStr">
        <is>
          <t>Apoyo investigacion</t>
        </is>
      </c>
      <c r="D43" s="114" t="inlineStr">
        <is>
          <t>Prestación de servicios profesionales para apoyar la categorización de grupos de investigación e investigadores de la escuela tecnológica instituto técnico central, mediante la gestión y registro de productos en plataformas cvlac y gruplac, el análisis estadístico y documental de la producción académica, y la elaboración de reportes e informes que respalden los procesos de reconocimiento y visibilidad institucional conforme a la normatividad vigente.</t>
        </is>
      </c>
      <c r="E43" s="114" t="n">
        <v>11</v>
      </c>
      <c r="F43" s="114" t="inlineStr">
        <is>
          <t>DIRECTA</t>
        </is>
      </c>
      <c r="G43" s="118" t="n">
        <v>49181250</v>
      </c>
      <c r="H43" s="114" t="inlineStr">
        <is>
          <t>Vicerrector de Investigación 0065-09</t>
        </is>
      </c>
      <c r="I43" s="114" t="n"/>
      <c r="J43" s="114" t="inlineStr">
        <is>
          <t>viceinvestigacion@itc.edu.co</t>
        </is>
      </c>
      <c r="K43" s="114" t="n">
        <v>38</v>
      </c>
      <c r="L43" s="119" t="inlineStr">
        <is>
          <t>140 · Vicerrectoría de Investigación, Extensión y Transferencia</t>
        </is>
      </c>
      <c r="M43" s="120" t="n">
        <v>49181250</v>
      </c>
      <c r="N43" s="119" t="inlineStr">
        <is>
          <t>Contratación directa</t>
        </is>
      </c>
      <c r="O43" s="119">
        <f>IF(LEN(IF(OR(NOT(ISNUMBER(B43)),LEN(B43)&lt;&gt;8),"UNSPSC vacío, en texto, con varios códigos o sin 8 dígitos; ","")&amp;IF(AND(ISNUMBER(B43),LEN(B43)=8),IF(MOD(B43,10000)=0,"UNSPSC a nivel de segmento o familia; ",""),"")&amp;IF(NOT(ISNUMBER(E43)),"Duración vacía o en texto; ","")&amp;IF(NOT(ISNUMBER(G43)),"Valor vacío o en texto; ","")&amp;IF(ISNUMBER(M43),IF(M43&lt;1000000,"Valor inferior a $1.000.000: verificar; ",""),"Valor no interpretable; ")&amp;IF(N43="[PENDIENTE DE VERIFICAR]","Modalidad no identificable; ","")&amp;IF(OR(ISERROR(SEARCH("@itc.edu.co",J43)),SUMPRODUCT(--ISNUMBER(SEARCH({"á","é","í","ó","ú","ñ"},J43)))&gt;0),"Correo vacío o no institucional válido; ","")&amp;IF(LEN(TRIM(D43))=0,"Sin objeto contractual; ","")&amp;IF(AND(ISNUMBER(M43),N43="Mínima cuantía"),IF(M43&gt;39850000,"Mínima cuantía con valor superior al tope citado en el instructivo 2026 ($39.850.000): verificar modalidad; ",""),"")&amp;IF(AND(ISNUMBER(M43),OR(ISNUMBER(SEARCH("prestación de servicios",D43)),ISNUMBER(SEARCH("prestar servicios",D43)),ISNUMBER(SEARCH("prestar los servicios",D43)))),IF(M43&gt;=500000000,"Prestación de servicios por $500 millones o más: posible error de digitación; ",""),""))=0,"Sin observaciones",IF(OR(NOT(ISNUMBER(B43)),LEN(B43)&lt;&gt;8),"UNSPSC vacío, en texto, con varios códigos o sin 8 dígitos; ","")&amp;IF(AND(ISNUMBER(B43),LEN(B43)=8),IF(MOD(B43,10000)=0,"UNSPSC a nivel de segmento o familia; ",""),"")&amp;IF(NOT(ISNUMBER(E43)),"Duración vacía o en texto; ","")&amp;IF(NOT(ISNUMBER(G43)),"Valor vacío o en texto; ","")&amp;IF(ISNUMBER(M43),IF(M43&lt;1000000,"Valor inferior a $1.000.000: verificar; ",""),"Valor no interpretable; ")&amp;IF(N43="[PENDIENTE DE VERIFICAR]","Modalidad no identificable; ","")&amp;IF(OR(ISERROR(SEARCH("@itc.edu.co",J43)),SUMPRODUCT(--ISNUMBER(SEARCH({"á","é","í","ó","ú","ñ"},J43)))&gt;0),"Correo vacío o no institucional válido; ","")&amp;IF(LEN(TRIM(D43))=0,"Sin objeto contractual; ","")&amp;IF(AND(ISNUMBER(M43),N43="Mínima cuantía"),IF(M43&gt;39850000,"Mínima cuantía con valor superior al tope citado en el instructivo 2026 ($39.850.000): verificar modalidad; ",""),"")&amp;IF(AND(ISNUMBER(M43),OR(ISNUMBER(SEARCH("prestación de servicios",D43)),ISNUMBER(SEARCH("prestar servicios",D43)),ISNUMBER(SEARCH("prestar los servicios",D43)))),IF(M43&gt;=500000000,"Prestación de servicios por $500 millones o más: posible error de digitación; ",""),""))</f>
        <v/>
      </c>
    </row>
    <row r="44" ht="45.6" customHeight="1" s="23">
      <c r="A44" s="114" t="inlineStr">
        <is>
          <t>PN26-040</t>
        </is>
      </c>
      <c r="B44" s="114" t="n">
        <v>80111600</v>
      </c>
      <c r="C44" s="114" t="inlineStr">
        <is>
          <t xml:space="preserve">Centro de pensamiento </t>
        </is>
      </c>
      <c r="D44" s="114" t="inlineStr">
        <is>
          <t>Prestación de servicios profesionales para liderar el proyecto del centro de pensamiento y desarrollo tecnológico de la vicerrectoría de investigación, extensión y transferencia de la escuela tecnologica instituto tecnico central y sus sedes, de acuerdo con los requerimientos establecidos.</t>
        </is>
      </c>
      <c r="E44" s="114" t="n">
        <v>11</v>
      </c>
      <c r="F44" s="114" t="inlineStr">
        <is>
          <t>DIRECTA</t>
        </is>
      </c>
      <c r="G44" s="118" t="n">
        <v>49181250</v>
      </c>
      <c r="H44" s="114" t="inlineStr">
        <is>
          <t>Vicerrector de Investigación 0065-09</t>
        </is>
      </c>
      <c r="I44" s="114" t="n"/>
      <c r="J44" s="114" t="inlineStr">
        <is>
          <t>viceinvestigacion@itc.edu.co</t>
        </is>
      </c>
      <c r="K44" s="114" t="n">
        <v>39</v>
      </c>
      <c r="L44" s="119" t="inlineStr">
        <is>
          <t>140 · Vicerrectoría de Investigación, Extensión y Transferencia</t>
        </is>
      </c>
      <c r="M44" s="120" t="n">
        <v>49181250</v>
      </c>
      <c r="N44" s="119" t="inlineStr">
        <is>
          <t>Contratación directa</t>
        </is>
      </c>
      <c r="O44" s="119">
        <f>IF(LEN(IF(OR(NOT(ISNUMBER(B44)),LEN(B44)&lt;&gt;8),"UNSPSC vacío, en texto, con varios códigos o sin 8 dígitos; ","")&amp;IF(AND(ISNUMBER(B44),LEN(B44)=8),IF(MOD(B44,10000)=0,"UNSPSC a nivel de segmento o familia; ",""),"")&amp;IF(NOT(ISNUMBER(E44)),"Duración vacía o en texto; ","")&amp;IF(NOT(ISNUMBER(G44)),"Valor vacío o en texto; ","")&amp;IF(ISNUMBER(M44),IF(M44&lt;1000000,"Valor inferior a $1.000.000: verificar; ",""),"Valor no interpretable; ")&amp;IF(N44="[PENDIENTE DE VERIFICAR]","Modalidad no identificable; ","")&amp;IF(OR(ISERROR(SEARCH("@itc.edu.co",J44)),SUMPRODUCT(--ISNUMBER(SEARCH({"á","é","í","ó","ú","ñ"},J44)))&gt;0),"Correo vacío o no institucional válido; ","")&amp;IF(LEN(TRIM(D44))=0,"Sin objeto contractual; ","")&amp;IF(AND(ISNUMBER(M44),N44="Mínima cuantía"),IF(M44&gt;39850000,"Mínima cuantía con valor superior al tope citado en el instructivo 2026 ($39.850.000): verificar modalidad; ",""),"")&amp;IF(AND(ISNUMBER(M44),OR(ISNUMBER(SEARCH("prestación de servicios",D44)),ISNUMBER(SEARCH("prestar servicios",D44)),ISNUMBER(SEARCH("prestar los servicios",D44)))),IF(M44&gt;=500000000,"Prestación de servicios por $500 millones o más: posible error de digitación; ",""),""))=0,"Sin observaciones",IF(OR(NOT(ISNUMBER(B44)),LEN(B44)&lt;&gt;8),"UNSPSC vacío, en texto, con varios códigos o sin 8 dígitos; ","")&amp;IF(AND(ISNUMBER(B44),LEN(B44)=8),IF(MOD(B44,10000)=0,"UNSPSC a nivel de segmento o familia; ",""),"")&amp;IF(NOT(ISNUMBER(E44)),"Duración vacía o en texto; ","")&amp;IF(NOT(ISNUMBER(G44)),"Valor vacío o en texto; ","")&amp;IF(ISNUMBER(M44),IF(M44&lt;1000000,"Valor inferior a $1.000.000: verificar; ",""),"Valor no interpretable; ")&amp;IF(N44="[PENDIENTE DE VERIFICAR]","Modalidad no identificable; ","")&amp;IF(OR(ISERROR(SEARCH("@itc.edu.co",J44)),SUMPRODUCT(--ISNUMBER(SEARCH({"á","é","í","ó","ú","ñ"},J44)))&gt;0),"Correo vacío o no institucional válido; ","")&amp;IF(LEN(TRIM(D44))=0,"Sin objeto contractual; ","")&amp;IF(AND(ISNUMBER(M44),N44="Mínima cuantía"),IF(M44&gt;39850000,"Mínima cuantía con valor superior al tope citado en el instructivo 2026 ($39.850.000): verificar modalidad; ",""),"")&amp;IF(AND(ISNUMBER(M44),OR(ISNUMBER(SEARCH("prestación de servicios",D44)),ISNUMBER(SEARCH("prestar servicios",D44)),ISNUMBER(SEARCH("prestar los servicios",D44)))),IF(M44&gt;=500000000,"Prestación de servicios por $500 millones o más: posible error de digitación; ",""),""))</f>
        <v/>
      </c>
    </row>
    <row r="45" ht="45.6" customHeight="1" s="23">
      <c r="A45" s="114" t="inlineStr">
        <is>
          <t>PN26-041</t>
        </is>
      </c>
      <c r="B45" s="114" t="n">
        <v>80111600</v>
      </c>
      <c r="C45" s="114" t="inlineStr">
        <is>
          <t xml:space="preserve">Apoyo semilleros </t>
        </is>
      </c>
      <c r="D45" s="114" t="inlineStr">
        <is>
          <t>Prestación de servicios profesionales para gestionar y promover los diferentes procesos relacionados con la investigación de los estudiantes, garantizando la calidad académica y generando transferencia del conocimiento a través de la investigación formativa en la escuela tecnológica instituto técnico central.</t>
        </is>
      </c>
      <c r="E45" s="114" t="n">
        <v>11</v>
      </c>
      <c r="F45" s="114" t="inlineStr">
        <is>
          <t>DIRECTA</t>
        </is>
      </c>
      <c r="G45" s="118" t="n">
        <v>49181250</v>
      </c>
      <c r="H45" s="114" t="inlineStr">
        <is>
          <t>Vicerrector de Investigación 0065-09</t>
        </is>
      </c>
      <c r="I45" s="114" t="n"/>
      <c r="J45" s="114" t="inlineStr">
        <is>
          <t>viceinvestigacion@itc.edu.co</t>
        </is>
      </c>
      <c r="K45" s="114" t="n">
        <v>40</v>
      </c>
      <c r="L45" s="119" t="inlineStr">
        <is>
          <t>140 · Vicerrectoría de Investigación, Extensión y Transferencia</t>
        </is>
      </c>
      <c r="M45" s="120" t="n">
        <v>49181250</v>
      </c>
      <c r="N45" s="119" t="inlineStr">
        <is>
          <t>Contratación directa</t>
        </is>
      </c>
      <c r="O45" s="119">
        <f>IF(LEN(IF(OR(NOT(ISNUMBER(B45)),LEN(B45)&lt;&gt;8),"UNSPSC vacío, en texto, con varios códigos o sin 8 dígitos; ","")&amp;IF(AND(ISNUMBER(B45),LEN(B45)=8),IF(MOD(B45,10000)=0,"UNSPSC a nivel de segmento o familia; ",""),"")&amp;IF(NOT(ISNUMBER(E45)),"Duración vacía o en texto; ","")&amp;IF(NOT(ISNUMBER(G45)),"Valor vacío o en texto; ","")&amp;IF(ISNUMBER(M45),IF(M45&lt;1000000,"Valor inferior a $1.000.000: verificar; ",""),"Valor no interpretable; ")&amp;IF(N45="[PENDIENTE DE VERIFICAR]","Modalidad no identificable; ","")&amp;IF(OR(ISERROR(SEARCH("@itc.edu.co",J45)),SUMPRODUCT(--ISNUMBER(SEARCH({"á","é","í","ó","ú","ñ"},J45)))&gt;0),"Correo vacío o no institucional válido; ","")&amp;IF(LEN(TRIM(D45))=0,"Sin objeto contractual; ","")&amp;IF(AND(ISNUMBER(M45),N45="Mínima cuantía"),IF(M45&gt;39850000,"Mínima cuantía con valor superior al tope citado en el instructivo 2026 ($39.850.000): verificar modalidad; ",""),"")&amp;IF(AND(ISNUMBER(M45),OR(ISNUMBER(SEARCH("prestación de servicios",D45)),ISNUMBER(SEARCH("prestar servicios",D45)),ISNUMBER(SEARCH("prestar los servicios",D45)))),IF(M45&gt;=500000000,"Prestación de servicios por $500 millones o más: posible error de digitación; ",""),""))=0,"Sin observaciones",IF(OR(NOT(ISNUMBER(B45)),LEN(B45)&lt;&gt;8),"UNSPSC vacío, en texto, con varios códigos o sin 8 dígitos; ","")&amp;IF(AND(ISNUMBER(B45),LEN(B45)=8),IF(MOD(B45,10000)=0,"UNSPSC a nivel de segmento o familia; ",""),"")&amp;IF(NOT(ISNUMBER(E45)),"Duración vacía o en texto; ","")&amp;IF(NOT(ISNUMBER(G45)),"Valor vacío o en texto; ","")&amp;IF(ISNUMBER(M45),IF(M45&lt;1000000,"Valor inferior a $1.000.000: verificar; ",""),"Valor no interpretable; ")&amp;IF(N45="[PENDIENTE DE VERIFICAR]","Modalidad no identificable; ","")&amp;IF(OR(ISERROR(SEARCH("@itc.edu.co",J45)),SUMPRODUCT(--ISNUMBER(SEARCH({"á","é","í","ó","ú","ñ"},J45)))&gt;0),"Correo vacío o no institucional válido; ","")&amp;IF(LEN(TRIM(D45))=0,"Sin objeto contractual; ","")&amp;IF(AND(ISNUMBER(M45),N45="Mínima cuantía"),IF(M45&gt;39850000,"Mínima cuantía con valor superior al tope citado en el instructivo 2026 ($39.850.000): verificar modalidad; ",""),"")&amp;IF(AND(ISNUMBER(M45),OR(ISNUMBER(SEARCH("prestación de servicios",D45)),ISNUMBER(SEARCH("prestar servicios",D45)),ISNUMBER(SEARCH("prestar los servicios",D45)))),IF(M45&gt;=500000000,"Prestación de servicios por $500 millones o más: posible error de digitación; ",""),""))</f>
        <v/>
      </c>
    </row>
    <row r="46" ht="57" customHeight="1" s="23">
      <c r="A46" s="114" t="inlineStr">
        <is>
          <t>PN26-042</t>
        </is>
      </c>
      <c r="B46" s="114" t="n">
        <v>80111600</v>
      </c>
      <c r="C46" s="114" t="inlineStr">
        <is>
          <t xml:space="preserve">Revista letras </t>
        </is>
      </c>
      <c r="D46" s="114" t="inlineStr">
        <is>
          <t xml:space="preserve">Prestación de servicios profesionales para apoyar la gestión del proceso editorial, garantizando la calidad académica y generando transferencia del conocimiento a través de los productos editoriales en cumplimiento de los criterios de clidad científica de conformidad con la normatividad vigente en la escuela tecnológica instituto técnico central. </t>
        </is>
      </c>
      <c r="E46" s="114" t="n">
        <v>11</v>
      </c>
      <c r="F46" s="114" t="inlineStr">
        <is>
          <t>DIRECTA</t>
        </is>
      </c>
      <c r="G46" s="118" t="n">
        <v>42525357</v>
      </c>
      <c r="H46" s="114" t="inlineStr">
        <is>
          <t>Vicerrector de Investigación 0065-09</t>
        </is>
      </c>
      <c r="I46" s="114" t="n"/>
      <c r="J46" s="114" t="inlineStr">
        <is>
          <t>viceinvestigacion@itc.edu.co</t>
        </is>
      </c>
      <c r="K46" s="114" t="n">
        <v>41</v>
      </c>
      <c r="L46" s="119" t="inlineStr">
        <is>
          <t>140 · Vicerrectoría de Investigación, Extensión y Transferencia</t>
        </is>
      </c>
      <c r="M46" s="120" t="n">
        <v>42525357</v>
      </c>
      <c r="N46" s="119" t="inlineStr">
        <is>
          <t>Contratación directa</t>
        </is>
      </c>
      <c r="O46" s="119">
        <f>IF(LEN(IF(OR(NOT(ISNUMBER(B46)),LEN(B46)&lt;&gt;8),"UNSPSC vacío, en texto, con varios códigos o sin 8 dígitos; ","")&amp;IF(AND(ISNUMBER(B46),LEN(B46)=8),IF(MOD(B46,10000)=0,"UNSPSC a nivel de segmento o familia; ",""),"")&amp;IF(NOT(ISNUMBER(E46)),"Duración vacía o en texto; ","")&amp;IF(NOT(ISNUMBER(G46)),"Valor vacío o en texto; ","")&amp;IF(ISNUMBER(M46),IF(M46&lt;1000000,"Valor inferior a $1.000.000: verificar; ",""),"Valor no interpretable; ")&amp;IF(N46="[PENDIENTE DE VERIFICAR]","Modalidad no identificable; ","")&amp;IF(OR(ISERROR(SEARCH("@itc.edu.co",J46)),SUMPRODUCT(--ISNUMBER(SEARCH({"á","é","í","ó","ú","ñ"},J46)))&gt;0),"Correo vacío o no institucional válido; ","")&amp;IF(LEN(TRIM(D46))=0,"Sin objeto contractual; ","")&amp;IF(AND(ISNUMBER(M46),N46="Mínima cuantía"),IF(M46&gt;39850000,"Mínima cuantía con valor superior al tope citado en el instructivo 2026 ($39.850.000): verificar modalidad; ",""),"")&amp;IF(AND(ISNUMBER(M46),OR(ISNUMBER(SEARCH("prestación de servicios",D46)),ISNUMBER(SEARCH("prestar servicios",D46)),ISNUMBER(SEARCH("prestar los servicios",D46)))),IF(M46&gt;=500000000,"Prestación de servicios por $500 millones o más: posible error de digitación; ",""),""))=0,"Sin observaciones",IF(OR(NOT(ISNUMBER(B46)),LEN(B46)&lt;&gt;8),"UNSPSC vacío, en texto, con varios códigos o sin 8 dígitos; ","")&amp;IF(AND(ISNUMBER(B46),LEN(B46)=8),IF(MOD(B46,10000)=0,"UNSPSC a nivel de segmento o familia; ",""),"")&amp;IF(NOT(ISNUMBER(E46)),"Duración vacía o en texto; ","")&amp;IF(NOT(ISNUMBER(G46)),"Valor vacío o en texto; ","")&amp;IF(ISNUMBER(M46),IF(M46&lt;1000000,"Valor inferior a $1.000.000: verificar; ",""),"Valor no interpretable; ")&amp;IF(N46="[PENDIENTE DE VERIFICAR]","Modalidad no identificable; ","")&amp;IF(OR(ISERROR(SEARCH("@itc.edu.co",J46)),SUMPRODUCT(--ISNUMBER(SEARCH({"á","é","í","ó","ú","ñ"},J46)))&gt;0),"Correo vacío o no institucional válido; ","")&amp;IF(LEN(TRIM(D46))=0,"Sin objeto contractual; ","")&amp;IF(AND(ISNUMBER(M46),N46="Mínima cuantía"),IF(M46&gt;39850000,"Mínima cuantía con valor superior al tope citado en el instructivo 2026 ($39.850.000): verificar modalidad; ",""),"")&amp;IF(AND(ISNUMBER(M46),OR(ISNUMBER(SEARCH("prestación de servicios",D46)),ISNUMBER(SEARCH("prestar servicios",D46)),ISNUMBER(SEARCH("prestar los servicios",D46)))),IF(M46&gt;=500000000,"Prestación de servicios por $500 millones o más: posible error de digitación; ",""),""))</f>
        <v/>
      </c>
    </row>
    <row r="47" ht="68.40000000000001" customHeight="1" s="23">
      <c r="A47" s="114" t="inlineStr">
        <is>
          <t>PN26-043</t>
        </is>
      </c>
      <c r="B47" s="114" t="n">
        <v>81111600</v>
      </c>
      <c r="C47" s="114" t="inlineStr">
        <is>
          <t>Proyección social</t>
        </is>
      </c>
      <c r="D47" s="114" t="inlineStr">
        <is>
          <t xml:space="preserve">Prestación de servicios profesionales para la gestión del giteps desarrollando acciones dirigidas a la proyección social a través de articulación de la comunidad con la institución durante la vigencia 2026. </t>
        </is>
      </c>
      <c r="E47" s="114" t="n">
        <v>11</v>
      </c>
      <c r="F47" s="114" t="inlineStr">
        <is>
          <t>DIRECTA</t>
        </is>
      </c>
      <c r="G47" s="118" t="n">
        <v>48337317</v>
      </c>
      <c r="H47" s="114" t="inlineStr">
        <is>
          <t>Profesional de Gestión Coordinador del Grupo Interno de
Trabajo de Extensión y Proyección social 2165-13</t>
        </is>
      </c>
      <c r="I47" s="114" t="n"/>
      <c r="J47" s="114" t="n"/>
      <c r="K47" s="114" t="n">
        <v>42</v>
      </c>
      <c r="L47" s="119" t="inlineStr">
        <is>
          <t>141 · GIT Extensión y Proyección Social</t>
        </is>
      </c>
      <c r="M47" s="120" t="n">
        <v>48337317</v>
      </c>
      <c r="N47" s="119" t="inlineStr">
        <is>
          <t>Contratación directa</t>
        </is>
      </c>
      <c r="O47" s="119">
        <f>IF(LEN(IF(OR(NOT(ISNUMBER(B47)),LEN(B47)&lt;&gt;8),"UNSPSC vacío, en texto, con varios códigos o sin 8 dígitos; ","")&amp;IF(AND(ISNUMBER(B47),LEN(B47)=8),IF(MOD(B47,10000)=0,"UNSPSC a nivel de segmento o familia; ",""),"")&amp;IF(NOT(ISNUMBER(E47)),"Duración vacía o en texto; ","")&amp;IF(NOT(ISNUMBER(G47)),"Valor vacío o en texto; ","")&amp;IF(ISNUMBER(M47),IF(M47&lt;1000000,"Valor inferior a $1.000.000: verificar; ",""),"Valor no interpretable; ")&amp;IF(N47="[PENDIENTE DE VERIFICAR]","Modalidad no identificable; ","")&amp;IF(OR(ISERROR(SEARCH("@itc.edu.co",J47)),SUMPRODUCT(--ISNUMBER(SEARCH({"á","é","í","ó","ú","ñ"},J47)))&gt;0),"Correo vacío o no institucional válido; ","")&amp;IF(LEN(TRIM(D47))=0,"Sin objeto contractual; ","")&amp;IF(AND(ISNUMBER(M47),N47="Mínima cuantía"),IF(M47&gt;39850000,"Mínima cuantía con valor superior al tope citado en el instructivo 2026 ($39.850.000): verificar modalidad; ",""),"")&amp;IF(AND(ISNUMBER(M47),OR(ISNUMBER(SEARCH("prestación de servicios",D47)),ISNUMBER(SEARCH("prestar servicios",D47)),ISNUMBER(SEARCH("prestar los servicios",D47)))),IF(M47&gt;=500000000,"Prestación de servicios por $500 millones o más: posible error de digitación; ",""),""))=0,"Sin observaciones",IF(OR(NOT(ISNUMBER(B47)),LEN(B47)&lt;&gt;8),"UNSPSC vacío, en texto, con varios códigos o sin 8 dígitos; ","")&amp;IF(AND(ISNUMBER(B47),LEN(B47)=8),IF(MOD(B47,10000)=0,"UNSPSC a nivel de segmento o familia; ",""),"")&amp;IF(NOT(ISNUMBER(E47)),"Duración vacía o en texto; ","")&amp;IF(NOT(ISNUMBER(G47)),"Valor vacío o en texto; ","")&amp;IF(ISNUMBER(M47),IF(M47&lt;1000000,"Valor inferior a $1.000.000: verificar; ",""),"Valor no interpretable; ")&amp;IF(N47="[PENDIENTE DE VERIFICAR]","Modalidad no identificable; ","")&amp;IF(OR(ISERROR(SEARCH("@itc.edu.co",J47)),SUMPRODUCT(--ISNUMBER(SEARCH({"á","é","í","ó","ú","ñ"},J47)))&gt;0),"Correo vacío o no institucional válido; ","")&amp;IF(LEN(TRIM(D47))=0,"Sin objeto contractual; ","")&amp;IF(AND(ISNUMBER(M47),N47="Mínima cuantía"),IF(M47&gt;39850000,"Mínima cuantía con valor superior al tope citado en el instructivo 2026 ($39.850.000): verificar modalidad; ",""),"")&amp;IF(AND(ISNUMBER(M47),OR(ISNUMBER(SEARCH("prestación de servicios",D47)),ISNUMBER(SEARCH("prestar servicios",D47)),ISNUMBER(SEARCH("prestar los servicios",D47)))),IF(M47&gt;=500000000,"Prestación de servicios por $500 millones o más: posible error de digitación; ",""),""))</f>
        <v/>
      </c>
    </row>
    <row r="48" ht="68.40000000000001" customHeight="1" s="23">
      <c r="A48" s="114" t="inlineStr">
        <is>
          <t>PN26-044</t>
        </is>
      </c>
      <c r="B48" s="114" t="n">
        <v>81111600</v>
      </c>
      <c r="C48" s="114" t="inlineStr">
        <is>
          <t xml:space="preserve">Apoyo profesional centro de lenguas </t>
        </is>
      </c>
      <c r="D48" s="114" t="inlineStr">
        <is>
          <t xml:space="preserve">Prestación de servicios profesionales especializado para apoyar las actividades del centro de extensión y proyección social y centro de lenguas, en el marco de la gestion de visibilidad institucional y oferta de servicios a nivel oficial y privado. </t>
        </is>
      </c>
      <c r="E48" s="114" t="n">
        <v>11</v>
      </c>
      <c r="F48" s="114" t="inlineStr">
        <is>
          <t>DIRECTA</t>
        </is>
      </c>
      <c r="G48" s="118" t="n">
        <v>7150000000</v>
      </c>
      <c r="H48" s="114" t="inlineStr">
        <is>
          <t>Profesional de Gestión Coordinador del Grupo Interno de
Trabajo de Extensión y Proyección social 2165-13</t>
        </is>
      </c>
      <c r="I48" s="114" t="n"/>
      <c r="J48" s="114" t="n"/>
      <c r="K48" s="114" t="n">
        <v>43</v>
      </c>
      <c r="L48" s="119" t="inlineStr">
        <is>
          <t>141 · GIT Extensión y Proyección Social</t>
        </is>
      </c>
      <c r="M48" s="120" t="n">
        <v>7150000000</v>
      </c>
      <c r="N48" s="119" t="inlineStr">
        <is>
          <t>Contratación directa</t>
        </is>
      </c>
      <c r="O48" s="119">
        <f>IF(LEN(IF(OR(NOT(ISNUMBER(B48)),LEN(B48)&lt;&gt;8),"UNSPSC vacío, en texto, con varios códigos o sin 8 dígitos; ","")&amp;IF(AND(ISNUMBER(B48),LEN(B48)=8),IF(MOD(B48,10000)=0,"UNSPSC a nivel de segmento o familia; ",""),"")&amp;IF(NOT(ISNUMBER(E48)),"Duración vacía o en texto; ","")&amp;IF(NOT(ISNUMBER(G48)),"Valor vacío o en texto; ","")&amp;IF(ISNUMBER(M48),IF(M48&lt;1000000,"Valor inferior a $1.000.000: verificar; ",""),"Valor no interpretable; ")&amp;IF(N48="[PENDIENTE DE VERIFICAR]","Modalidad no identificable; ","")&amp;IF(OR(ISERROR(SEARCH("@itc.edu.co",J48)),SUMPRODUCT(--ISNUMBER(SEARCH({"á","é","í","ó","ú","ñ"},J48)))&gt;0),"Correo vacío o no institucional válido; ","")&amp;IF(LEN(TRIM(D48))=0,"Sin objeto contractual; ","")&amp;IF(AND(ISNUMBER(M48),N48="Mínima cuantía"),IF(M48&gt;39850000,"Mínima cuantía con valor superior al tope citado en el instructivo 2026 ($39.850.000): verificar modalidad; ",""),"")&amp;IF(AND(ISNUMBER(M48),OR(ISNUMBER(SEARCH("prestación de servicios",D48)),ISNUMBER(SEARCH("prestar servicios",D48)),ISNUMBER(SEARCH("prestar los servicios",D48)))),IF(M48&gt;=500000000,"Prestación de servicios por $500 millones o más: posible error de digitación; ",""),""))=0,"Sin observaciones",IF(OR(NOT(ISNUMBER(B48)),LEN(B48)&lt;&gt;8),"UNSPSC vacío, en texto, con varios códigos o sin 8 dígitos; ","")&amp;IF(AND(ISNUMBER(B48),LEN(B48)=8),IF(MOD(B48,10000)=0,"UNSPSC a nivel de segmento o familia; ",""),"")&amp;IF(NOT(ISNUMBER(E48)),"Duración vacía o en texto; ","")&amp;IF(NOT(ISNUMBER(G48)),"Valor vacío o en texto; ","")&amp;IF(ISNUMBER(M48),IF(M48&lt;1000000,"Valor inferior a $1.000.000: verificar; ",""),"Valor no interpretable; ")&amp;IF(N48="[PENDIENTE DE VERIFICAR]","Modalidad no identificable; ","")&amp;IF(OR(ISERROR(SEARCH("@itc.edu.co",J48)),SUMPRODUCT(--ISNUMBER(SEARCH({"á","é","í","ó","ú","ñ"},J48)))&gt;0),"Correo vacío o no institucional válido; ","")&amp;IF(LEN(TRIM(D48))=0,"Sin objeto contractual; ","")&amp;IF(AND(ISNUMBER(M48),N48="Mínima cuantía"),IF(M48&gt;39850000,"Mínima cuantía con valor superior al tope citado en el instructivo 2026 ($39.850.000): verificar modalidad; ",""),"")&amp;IF(AND(ISNUMBER(M48),OR(ISNUMBER(SEARCH("prestación de servicios",D48)),ISNUMBER(SEARCH("prestar servicios",D48)),ISNUMBER(SEARCH("prestar los servicios",D48)))),IF(M48&gt;=500000000,"Prestación de servicios por $500 millones o más: posible error de digitación; ",""),""))</f>
        <v/>
      </c>
    </row>
    <row r="49" ht="68.40000000000001" customHeight="1" s="23">
      <c r="A49" s="114" t="inlineStr">
        <is>
          <t>PN26-045</t>
        </is>
      </c>
      <c r="B49" s="114" t="n">
        <v>81111600</v>
      </c>
      <c r="C49" s="114" t="inlineStr">
        <is>
          <t>Etdh</t>
        </is>
      </c>
      <c r="D49" s="114" t="inlineStr">
        <is>
          <t>Prestación de servicios profesionales especializados para apoyar las actividades del grupo interno de trabajo extensión y proyección social – giteps, en el marco de la constitución, organización, y registro de la oferta académica de educación para el trabajo y el desarrollo humano - etdh, gestionando de esta forma visibilidad institucional y oferta de servicios para el sector público y privado</t>
        </is>
      </c>
      <c r="E49" s="114" t="n">
        <v>11</v>
      </c>
      <c r="F49" s="114" t="inlineStr">
        <is>
          <t>DIRECTA</t>
        </is>
      </c>
      <c r="G49" s="118" t="n">
        <v>58283333</v>
      </c>
      <c r="H49" s="114" t="inlineStr">
        <is>
          <t>Profesional de Gestión Coordinador del Grupo Interno de
Trabajo de Extensión y Proyección social 2165-13</t>
        </is>
      </c>
      <c r="I49" s="114" t="n"/>
      <c r="J49" s="114" t="n"/>
      <c r="K49" s="114" t="n">
        <v>44</v>
      </c>
      <c r="L49" s="119" t="inlineStr">
        <is>
          <t>141 · GIT Extensión y Proyección Social</t>
        </is>
      </c>
      <c r="M49" s="120" t="n">
        <v>58283333</v>
      </c>
      <c r="N49" s="119" t="inlineStr">
        <is>
          <t>Contratación directa</t>
        </is>
      </c>
      <c r="O49" s="119">
        <f>IF(LEN(IF(OR(NOT(ISNUMBER(B49)),LEN(B49)&lt;&gt;8),"UNSPSC vacío, en texto, con varios códigos o sin 8 dígitos; ","")&amp;IF(AND(ISNUMBER(B49),LEN(B49)=8),IF(MOD(B49,10000)=0,"UNSPSC a nivel de segmento o familia; ",""),"")&amp;IF(NOT(ISNUMBER(E49)),"Duración vacía o en texto; ","")&amp;IF(NOT(ISNUMBER(G49)),"Valor vacío o en texto; ","")&amp;IF(ISNUMBER(M49),IF(M49&lt;1000000,"Valor inferior a $1.000.000: verificar; ",""),"Valor no interpretable; ")&amp;IF(N49="[PENDIENTE DE VERIFICAR]","Modalidad no identificable; ","")&amp;IF(OR(ISERROR(SEARCH("@itc.edu.co",J49)),SUMPRODUCT(--ISNUMBER(SEARCH({"á","é","í","ó","ú","ñ"},J49)))&gt;0),"Correo vacío o no institucional válido; ","")&amp;IF(LEN(TRIM(D49))=0,"Sin objeto contractual; ","")&amp;IF(AND(ISNUMBER(M49),N49="Mínima cuantía"),IF(M49&gt;39850000,"Mínima cuantía con valor superior al tope citado en el instructivo 2026 ($39.850.000): verificar modalidad; ",""),"")&amp;IF(AND(ISNUMBER(M49),OR(ISNUMBER(SEARCH("prestación de servicios",D49)),ISNUMBER(SEARCH("prestar servicios",D49)),ISNUMBER(SEARCH("prestar los servicios",D49)))),IF(M49&gt;=500000000,"Prestación de servicios por $500 millones o más: posible error de digitación; ",""),""))=0,"Sin observaciones",IF(OR(NOT(ISNUMBER(B49)),LEN(B49)&lt;&gt;8),"UNSPSC vacío, en texto, con varios códigos o sin 8 dígitos; ","")&amp;IF(AND(ISNUMBER(B49),LEN(B49)=8),IF(MOD(B49,10000)=0,"UNSPSC a nivel de segmento o familia; ",""),"")&amp;IF(NOT(ISNUMBER(E49)),"Duración vacía o en texto; ","")&amp;IF(NOT(ISNUMBER(G49)),"Valor vacío o en texto; ","")&amp;IF(ISNUMBER(M49),IF(M49&lt;1000000,"Valor inferior a $1.000.000: verificar; ",""),"Valor no interpretable; ")&amp;IF(N49="[PENDIENTE DE VERIFICAR]","Modalidad no identificable; ","")&amp;IF(OR(ISERROR(SEARCH("@itc.edu.co",J49)),SUMPRODUCT(--ISNUMBER(SEARCH({"á","é","í","ó","ú","ñ"},J49)))&gt;0),"Correo vacío o no institucional válido; ","")&amp;IF(LEN(TRIM(D49))=0,"Sin objeto contractual; ","")&amp;IF(AND(ISNUMBER(M49),N49="Mínima cuantía"),IF(M49&gt;39850000,"Mínima cuantía con valor superior al tope citado en el instructivo 2026 ($39.850.000): verificar modalidad; ",""),"")&amp;IF(AND(ISNUMBER(M49),OR(ISNUMBER(SEARCH("prestación de servicios",D49)),ISNUMBER(SEARCH("prestar servicios",D49)),ISNUMBER(SEARCH("prestar los servicios",D49)))),IF(M49&gt;=500000000,"Prestación de servicios por $500 millones o más: posible error de digitación; ",""),""))</f>
        <v/>
      </c>
    </row>
    <row r="50" ht="68.40000000000001" customHeight="1" s="23">
      <c r="A50" s="114" t="inlineStr">
        <is>
          <t>PN26-046</t>
        </is>
      </c>
      <c r="B50" s="114" t="n">
        <v>81111600</v>
      </c>
      <c r="C50" s="114" t="inlineStr">
        <is>
          <t xml:space="preserve">Profesional de apoyo extension </t>
        </is>
      </c>
      <c r="D50" s="114" t="inlineStr">
        <is>
          <t xml:space="preserve">Prestación de servicios profesionales para realizar apoyo administrativo del área, seguimiento a la ejecución de los programas y coordinacion de la oferta académica del giteps en la escuela tecnologica instituto tecnico central durante la vigencia 2026. </t>
        </is>
      </c>
      <c r="E50" s="114" t="n">
        <v>11</v>
      </c>
      <c r="F50" s="114" t="inlineStr">
        <is>
          <t>DIRECTA</t>
        </is>
      </c>
      <c r="G50" s="118" t="n">
        <v>40098480</v>
      </c>
      <c r="H50" s="114" t="inlineStr">
        <is>
          <t>Profesional de Gestión Coordinador del Grupo Interno de
Trabajo de Extensión y Proyección social 2165-13</t>
        </is>
      </c>
      <c r="I50" s="114" t="n"/>
      <c r="J50" s="114" t="n"/>
      <c r="K50" s="114" t="n">
        <v>45</v>
      </c>
      <c r="L50" s="119" t="inlineStr">
        <is>
          <t>141 · GIT Extensión y Proyección Social</t>
        </is>
      </c>
      <c r="M50" s="120" t="n">
        <v>40098480</v>
      </c>
      <c r="N50" s="119" t="inlineStr">
        <is>
          <t>Contratación directa</t>
        </is>
      </c>
      <c r="O50" s="119">
        <f>IF(LEN(IF(OR(NOT(ISNUMBER(B50)),LEN(B50)&lt;&gt;8),"UNSPSC vacío, en texto, con varios códigos o sin 8 dígitos; ","")&amp;IF(AND(ISNUMBER(B50),LEN(B50)=8),IF(MOD(B50,10000)=0,"UNSPSC a nivel de segmento o familia; ",""),"")&amp;IF(NOT(ISNUMBER(E50)),"Duración vacía o en texto; ","")&amp;IF(NOT(ISNUMBER(G50)),"Valor vacío o en texto; ","")&amp;IF(ISNUMBER(M50),IF(M50&lt;1000000,"Valor inferior a $1.000.000: verificar; ",""),"Valor no interpretable; ")&amp;IF(N50="[PENDIENTE DE VERIFICAR]","Modalidad no identificable; ","")&amp;IF(OR(ISERROR(SEARCH("@itc.edu.co",J50)),SUMPRODUCT(--ISNUMBER(SEARCH({"á","é","í","ó","ú","ñ"},J50)))&gt;0),"Correo vacío o no institucional válido; ","")&amp;IF(LEN(TRIM(D50))=0,"Sin objeto contractual; ","")&amp;IF(AND(ISNUMBER(M50),N50="Mínima cuantía"),IF(M50&gt;39850000,"Mínima cuantía con valor superior al tope citado en el instructivo 2026 ($39.850.000): verificar modalidad; ",""),"")&amp;IF(AND(ISNUMBER(M50),OR(ISNUMBER(SEARCH("prestación de servicios",D50)),ISNUMBER(SEARCH("prestar servicios",D50)),ISNUMBER(SEARCH("prestar los servicios",D50)))),IF(M50&gt;=500000000,"Prestación de servicios por $500 millones o más: posible error de digitación; ",""),""))=0,"Sin observaciones",IF(OR(NOT(ISNUMBER(B50)),LEN(B50)&lt;&gt;8),"UNSPSC vacío, en texto, con varios códigos o sin 8 dígitos; ","")&amp;IF(AND(ISNUMBER(B50),LEN(B50)=8),IF(MOD(B50,10000)=0,"UNSPSC a nivel de segmento o familia; ",""),"")&amp;IF(NOT(ISNUMBER(E50)),"Duración vacía o en texto; ","")&amp;IF(NOT(ISNUMBER(G50)),"Valor vacío o en texto; ","")&amp;IF(ISNUMBER(M50),IF(M50&lt;1000000,"Valor inferior a $1.000.000: verificar; ",""),"Valor no interpretable; ")&amp;IF(N50="[PENDIENTE DE VERIFICAR]","Modalidad no identificable; ","")&amp;IF(OR(ISERROR(SEARCH("@itc.edu.co",J50)),SUMPRODUCT(--ISNUMBER(SEARCH({"á","é","í","ó","ú","ñ"},J50)))&gt;0),"Correo vacío o no institucional válido; ","")&amp;IF(LEN(TRIM(D50))=0,"Sin objeto contractual; ","")&amp;IF(AND(ISNUMBER(M50),N50="Mínima cuantía"),IF(M50&gt;39850000,"Mínima cuantía con valor superior al tope citado en el instructivo 2026 ($39.850.000): verificar modalidad; ",""),"")&amp;IF(AND(ISNUMBER(M50),OR(ISNUMBER(SEARCH("prestación de servicios",D50)),ISNUMBER(SEARCH("prestar servicios",D50)),ISNUMBER(SEARCH("prestar los servicios",D50)))),IF(M50&gt;=500000000,"Prestación de servicios por $500 millones o más: posible error de digitación; ",""),""))</f>
        <v/>
      </c>
    </row>
    <row r="51" ht="68.40000000000001" customHeight="1" s="23">
      <c r="A51" s="114" t="inlineStr">
        <is>
          <t>PN26-047</t>
        </is>
      </c>
      <c r="B51" s="114" t="n">
        <v>81111600</v>
      </c>
      <c r="C51" s="114" t="inlineStr">
        <is>
          <t>Apoyo tecnico centro de lenguas</t>
        </is>
      </c>
      <c r="D51" s="114" t="inlineStr">
        <is>
          <t xml:space="preserve">Prestación de servicios de apoyo técnico a la gestión para realizar actividades administrativas y de seguimiento a la oferta académica del giteps y del centro de lenguas en la escuela tecnologica instituto tecnico central durante la vigencia 2026. </t>
        </is>
      </c>
      <c r="E51" s="114" t="n">
        <v>11</v>
      </c>
      <c r="F51" s="114" t="inlineStr">
        <is>
          <t>DIRECTA</t>
        </is>
      </c>
      <c r="G51" s="118" t="n">
        <v>25514657</v>
      </c>
      <c r="H51" s="114" t="inlineStr">
        <is>
          <t>Profesional de Gestión Coordinador del Grupo Interno de
Trabajo de Extensión y Proyección social 2165-13</t>
        </is>
      </c>
      <c r="I51" s="114" t="n"/>
      <c r="J51" s="114" t="n"/>
      <c r="K51" s="114" t="n">
        <v>46</v>
      </c>
      <c r="L51" s="119" t="inlineStr">
        <is>
          <t>141 · GIT Extensión y Proyección Social</t>
        </is>
      </c>
      <c r="M51" s="120" t="n">
        <v>25514657</v>
      </c>
      <c r="N51" s="119" t="inlineStr">
        <is>
          <t>Contratación directa</t>
        </is>
      </c>
      <c r="O51" s="119">
        <f>IF(LEN(IF(OR(NOT(ISNUMBER(B51)),LEN(B51)&lt;&gt;8),"UNSPSC vacío, en texto, con varios códigos o sin 8 dígitos; ","")&amp;IF(AND(ISNUMBER(B51),LEN(B51)=8),IF(MOD(B51,10000)=0,"UNSPSC a nivel de segmento o familia; ",""),"")&amp;IF(NOT(ISNUMBER(E51)),"Duración vacía o en texto; ","")&amp;IF(NOT(ISNUMBER(G51)),"Valor vacío o en texto; ","")&amp;IF(ISNUMBER(M51),IF(M51&lt;1000000,"Valor inferior a $1.000.000: verificar; ",""),"Valor no interpretable; ")&amp;IF(N51="[PENDIENTE DE VERIFICAR]","Modalidad no identificable; ","")&amp;IF(OR(ISERROR(SEARCH("@itc.edu.co",J51)),SUMPRODUCT(--ISNUMBER(SEARCH({"á","é","í","ó","ú","ñ"},J51)))&gt;0),"Correo vacío o no institucional válido; ","")&amp;IF(LEN(TRIM(D51))=0,"Sin objeto contractual; ","")&amp;IF(AND(ISNUMBER(M51),N51="Mínima cuantía"),IF(M51&gt;39850000,"Mínima cuantía con valor superior al tope citado en el instructivo 2026 ($39.850.000): verificar modalidad; ",""),"")&amp;IF(AND(ISNUMBER(M51),OR(ISNUMBER(SEARCH("prestación de servicios",D51)),ISNUMBER(SEARCH("prestar servicios",D51)),ISNUMBER(SEARCH("prestar los servicios",D51)))),IF(M51&gt;=500000000,"Prestación de servicios por $500 millones o más: posible error de digitación; ",""),""))=0,"Sin observaciones",IF(OR(NOT(ISNUMBER(B51)),LEN(B51)&lt;&gt;8),"UNSPSC vacío, en texto, con varios códigos o sin 8 dígitos; ","")&amp;IF(AND(ISNUMBER(B51),LEN(B51)=8),IF(MOD(B51,10000)=0,"UNSPSC a nivel de segmento o familia; ",""),"")&amp;IF(NOT(ISNUMBER(E51)),"Duración vacía o en texto; ","")&amp;IF(NOT(ISNUMBER(G51)),"Valor vacío o en texto; ","")&amp;IF(ISNUMBER(M51),IF(M51&lt;1000000,"Valor inferior a $1.000.000: verificar; ",""),"Valor no interpretable; ")&amp;IF(N51="[PENDIENTE DE VERIFICAR]","Modalidad no identificable; ","")&amp;IF(OR(ISERROR(SEARCH("@itc.edu.co",J51)),SUMPRODUCT(--ISNUMBER(SEARCH({"á","é","í","ó","ú","ñ"},J51)))&gt;0),"Correo vacío o no institucional válido; ","")&amp;IF(LEN(TRIM(D51))=0,"Sin objeto contractual; ","")&amp;IF(AND(ISNUMBER(M51),N51="Mínima cuantía"),IF(M51&gt;39850000,"Mínima cuantía con valor superior al tope citado en el instructivo 2026 ($39.850.000): verificar modalidad; ",""),"")&amp;IF(AND(ISNUMBER(M51),OR(ISNUMBER(SEARCH("prestación de servicios",D51)),ISNUMBER(SEARCH("prestar servicios",D51)),ISNUMBER(SEARCH("prestar los servicios",D51)))),IF(M51&gt;=500000000,"Prestación de servicios por $500 millones o más: posible error de digitación; ",""),""))</f>
        <v/>
      </c>
    </row>
    <row r="52" ht="68.40000000000001" customHeight="1" s="23">
      <c r="A52" s="114" t="inlineStr">
        <is>
          <t>PN26-048</t>
        </is>
      </c>
      <c r="B52" s="114" t="n">
        <v>81111600</v>
      </c>
      <c r="C52" s="114" t="inlineStr">
        <is>
          <t xml:space="preserve">Visibilizacion </t>
        </is>
      </c>
      <c r="D52" s="114" t="inlineStr">
        <is>
          <t>Prestación de servicios profesionales para apoyar las actividades de visibilidad, estrategias de comunicación, organización de eventos, marketing y apoyo en la elaboración de documentos e informes para la acreditación institucional, colaboración en las presentaciones de informes de gestión de giteps y de la etitc durante la vigencia 2026</t>
        </is>
      </c>
      <c r="E52" s="114" t="n">
        <v>11</v>
      </c>
      <c r="F52" s="114" t="inlineStr">
        <is>
          <t>DIRECTA</t>
        </is>
      </c>
      <c r="G52" s="118" t="n">
        <v>39471936</v>
      </c>
      <c r="H52" s="114" t="inlineStr">
        <is>
          <t>Profesional de Gestión Coordinador del Grupo Interno de
Trabajo de Extensión y Proyección social 2165-13</t>
        </is>
      </c>
      <c r="I52" s="114" t="n"/>
      <c r="J52" s="114" t="n"/>
      <c r="K52" s="114" t="n">
        <v>47</v>
      </c>
      <c r="L52" s="119" t="inlineStr">
        <is>
          <t>141 · GIT Extensión y Proyección Social</t>
        </is>
      </c>
      <c r="M52" s="120" t="n">
        <v>39471936</v>
      </c>
      <c r="N52" s="119" t="inlineStr">
        <is>
          <t>Contratación directa</t>
        </is>
      </c>
      <c r="O52" s="119">
        <f>IF(LEN(IF(OR(NOT(ISNUMBER(B52)),LEN(B52)&lt;&gt;8),"UNSPSC vacío, en texto, con varios códigos o sin 8 dígitos; ","")&amp;IF(AND(ISNUMBER(B52),LEN(B52)=8),IF(MOD(B52,10000)=0,"UNSPSC a nivel de segmento o familia; ",""),"")&amp;IF(NOT(ISNUMBER(E52)),"Duración vacía o en texto; ","")&amp;IF(NOT(ISNUMBER(G52)),"Valor vacío o en texto; ","")&amp;IF(ISNUMBER(M52),IF(M52&lt;1000000,"Valor inferior a $1.000.000: verificar; ",""),"Valor no interpretable; ")&amp;IF(N52="[PENDIENTE DE VERIFICAR]","Modalidad no identificable; ","")&amp;IF(OR(ISERROR(SEARCH("@itc.edu.co",J52)),SUMPRODUCT(--ISNUMBER(SEARCH({"á","é","í","ó","ú","ñ"},J52)))&gt;0),"Correo vacío o no institucional válido; ","")&amp;IF(LEN(TRIM(D52))=0,"Sin objeto contractual; ","")&amp;IF(AND(ISNUMBER(M52),N52="Mínima cuantía"),IF(M52&gt;39850000,"Mínima cuantía con valor superior al tope citado en el instructivo 2026 ($39.850.000): verificar modalidad; ",""),"")&amp;IF(AND(ISNUMBER(M52),OR(ISNUMBER(SEARCH("prestación de servicios",D52)),ISNUMBER(SEARCH("prestar servicios",D52)),ISNUMBER(SEARCH("prestar los servicios",D52)))),IF(M52&gt;=500000000,"Prestación de servicios por $500 millones o más: posible error de digitación; ",""),""))=0,"Sin observaciones",IF(OR(NOT(ISNUMBER(B52)),LEN(B52)&lt;&gt;8),"UNSPSC vacío, en texto, con varios códigos o sin 8 dígitos; ","")&amp;IF(AND(ISNUMBER(B52),LEN(B52)=8),IF(MOD(B52,10000)=0,"UNSPSC a nivel de segmento o familia; ",""),"")&amp;IF(NOT(ISNUMBER(E52)),"Duración vacía o en texto; ","")&amp;IF(NOT(ISNUMBER(G52)),"Valor vacío o en texto; ","")&amp;IF(ISNUMBER(M52),IF(M52&lt;1000000,"Valor inferior a $1.000.000: verificar; ",""),"Valor no interpretable; ")&amp;IF(N52="[PENDIENTE DE VERIFICAR]","Modalidad no identificable; ","")&amp;IF(OR(ISERROR(SEARCH("@itc.edu.co",J52)),SUMPRODUCT(--ISNUMBER(SEARCH({"á","é","í","ó","ú","ñ"},J52)))&gt;0),"Correo vacío o no institucional válido; ","")&amp;IF(LEN(TRIM(D52))=0,"Sin objeto contractual; ","")&amp;IF(AND(ISNUMBER(M52),N52="Mínima cuantía"),IF(M52&gt;39850000,"Mínima cuantía con valor superior al tope citado en el instructivo 2026 ($39.850.000): verificar modalidad; ",""),"")&amp;IF(AND(ISNUMBER(M52),OR(ISNUMBER(SEARCH("prestación de servicios",D52)),ISNUMBER(SEARCH("prestar servicios",D52)),ISNUMBER(SEARCH("prestar los servicios",D52)))),IF(M52&gt;=500000000,"Prestación de servicios por $500 millones o más: posible error de digitación; ",""),""))</f>
        <v/>
      </c>
    </row>
    <row r="53" ht="68.40000000000001" customHeight="1" s="23">
      <c r="A53" s="114" t="inlineStr">
        <is>
          <t>PN26-049</t>
        </is>
      </c>
      <c r="B53" s="114" t="n">
        <v>81111600</v>
      </c>
      <c r="C53" s="114" t="inlineStr">
        <is>
          <t xml:space="preserve">Profesor ingles c1-b2a centro de lenguas </t>
        </is>
      </c>
      <c r="D53" s="114" t="inlineStr">
        <is>
          <t>Prestación de servicios profesionales para apoyar las actividades del grupo interno de trabajo de extensión y proyección social - giteps durante el 2026 como instructor de inglés proficiency c1 y high intermediate b2a (200 horas)</t>
        </is>
      </c>
      <c r="E53" s="114" t="n">
        <v>11</v>
      </c>
      <c r="F53" s="114" t="inlineStr">
        <is>
          <t>DIRECTA</t>
        </is>
      </c>
      <c r="G53" s="118" t="n">
        <v>7200000</v>
      </c>
      <c r="H53" s="114" t="inlineStr">
        <is>
          <t>Profesional de Gestión Coordinador del Grupo Interno de
Trabajo de Extensión y Proyección social 2165-13</t>
        </is>
      </c>
      <c r="I53" s="114" t="n"/>
      <c r="J53" s="114" t="n"/>
      <c r="K53" s="114" t="n">
        <v>48</v>
      </c>
      <c r="L53" s="119" t="inlineStr">
        <is>
          <t>141 · GIT Extensión y Proyección Social</t>
        </is>
      </c>
      <c r="M53" s="120" t="n">
        <v>7200000</v>
      </c>
      <c r="N53" s="119" t="inlineStr">
        <is>
          <t>Contratación directa</t>
        </is>
      </c>
      <c r="O53" s="119">
        <f>IF(LEN(IF(OR(NOT(ISNUMBER(B53)),LEN(B53)&lt;&gt;8),"UNSPSC vacío, en texto, con varios códigos o sin 8 dígitos; ","")&amp;IF(AND(ISNUMBER(B53),LEN(B53)=8),IF(MOD(B53,10000)=0,"UNSPSC a nivel de segmento o familia; ",""),"")&amp;IF(NOT(ISNUMBER(E53)),"Duración vacía o en texto; ","")&amp;IF(NOT(ISNUMBER(G53)),"Valor vacío o en texto; ","")&amp;IF(ISNUMBER(M53),IF(M53&lt;1000000,"Valor inferior a $1.000.000: verificar; ",""),"Valor no interpretable; ")&amp;IF(N53="[PENDIENTE DE VERIFICAR]","Modalidad no identificable; ","")&amp;IF(OR(ISERROR(SEARCH("@itc.edu.co",J53)),SUMPRODUCT(--ISNUMBER(SEARCH({"á","é","í","ó","ú","ñ"},J53)))&gt;0),"Correo vacío o no institucional válido; ","")&amp;IF(LEN(TRIM(D53))=0,"Sin objeto contractual; ","")&amp;IF(AND(ISNUMBER(M53),N53="Mínima cuantía"),IF(M53&gt;39850000,"Mínima cuantía con valor superior al tope citado en el instructivo 2026 ($39.850.000): verificar modalidad; ",""),"")&amp;IF(AND(ISNUMBER(M53),OR(ISNUMBER(SEARCH("prestación de servicios",D53)),ISNUMBER(SEARCH("prestar servicios",D53)),ISNUMBER(SEARCH("prestar los servicios",D53)))),IF(M53&gt;=500000000,"Prestación de servicios por $500 millones o más: posible error de digitación; ",""),""))=0,"Sin observaciones",IF(OR(NOT(ISNUMBER(B53)),LEN(B53)&lt;&gt;8),"UNSPSC vacío, en texto, con varios códigos o sin 8 dígitos; ","")&amp;IF(AND(ISNUMBER(B53),LEN(B53)=8),IF(MOD(B53,10000)=0,"UNSPSC a nivel de segmento o familia; ",""),"")&amp;IF(NOT(ISNUMBER(E53)),"Duración vacía o en texto; ","")&amp;IF(NOT(ISNUMBER(G53)),"Valor vacío o en texto; ","")&amp;IF(ISNUMBER(M53),IF(M53&lt;1000000,"Valor inferior a $1.000.000: verificar; ",""),"Valor no interpretable; ")&amp;IF(N53="[PENDIENTE DE VERIFICAR]","Modalidad no identificable; ","")&amp;IF(OR(ISERROR(SEARCH("@itc.edu.co",J53)),SUMPRODUCT(--ISNUMBER(SEARCH({"á","é","í","ó","ú","ñ"},J53)))&gt;0),"Correo vacío o no institucional válido; ","")&amp;IF(LEN(TRIM(D53))=0,"Sin objeto contractual; ","")&amp;IF(AND(ISNUMBER(M53),N53="Mínima cuantía"),IF(M53&gt;39850000,"Mínima cuantía con valor superior al tope citado en el instructivo 2026 ($39.850.000): verificar modalidad; ",""),"")&amp;IF(AND(ISNUMBER(M53),OR(ISNUMBER(SEARCH("prestación de servicios",D53)),ISNUMBER(SEARCH("prestar servicios",D53)),ISNUMBER(SEARCH("prestar los servicios",D53)))),IF(M53&gt;=500000000,"Prestación de servicios por $500 millones o más: posible error de digitación; ",""),""))</f>
        <v/>
      </c>
    </row>
    <row r="54" ht="68.40000000000001" customHeight="1" s="23">
      <c r="A54" s="114" t="inlineStr">
        <is>
          <t>PN26-050</t>
        </is>
      </c>
      <c r="B54" s="114" t="n">
        <v>81111600</v>
      </c>
      <c r="C54" s="114" t="inlineStr">
        <is>
          <t xml:space="preserve">Extencion </t>
        </is>
      </c>
      <c r="D54" s="114" t="inlineStr">
        <is>
          <t xml:space="preserve">Prestación de servicios profesionales para apoyar las actividades del grupo interno de trabajo de extensión y proyección social - giteps durante el 2026 como instructor de francés (200 horas). </t>
        </is>
      </c>
      <c r="E54" s="114" t="n">
        <v>11</v>
      </c>
      <c r="F54" s="114" t="inlineStr">
        <is>
          <t>DIRECTA</t>
        </is>
      </c>
      <c r="G54" s="118" t="n"/>
      <c r="H54" s="114" t="inlineStr">
        <is>
          <t>Profesional de Gestión Coordinador del Grupo Interno de
Trabajo de Extensión y Proyección social 2165-13</t>
        </is>
      </c>
      <c r="I54" s="114" t="n"/>
      <c r="J54" s="114" t="n"/>
      <c r="K54" s="114" t="n">
        <v>49</v>
      </c>
      <c r="L54" s="119" t="inlineStr">
        <is>
          <t>141 · GIT Extensión y Proyección Social</t>
        </is>
      </c>
      <c r="M54" s="120" t="n"/>
      <c r="N54" s="119" t="inlineStr">
        <is>
          <t>Contratación directa</t>
        </is>
      </c>
      <c r="O54" s="119">
        <f>IF(LEN(IF(OR(NOT(ISNUMBER(B54)),LEN(B54)&lt;&gt;8),"UNSPSC vacío, en texto, con varios códigos o sin 8 dígitos; ","")&amp;IF(AND(ISNUMBER(B54),LEN(B54)=8),IF(MOD(B54,10000)=0,"UNSPSC a nivel de segmento o familia; ",""),"")&amp;IF(NOT(ISNUMBER(E54)),"Duración vacía o en texto; ","")&amp;IF(NOT(ISNUMBER(G54)),"Valor vacío o en texto; ","")&amp;IF(ISNUMBER(M54),IF(M54&lt;1000000,"Valor inferior a $1.000.000: verificar; ",""),"Valor no interpretable; ")&amp;IF(N54="[PENDIENTE DE VERIFICAR]","Modalidad no identificable; ","")&amp;IF(OR(ISERROR(SEARCH("@itc.edu.co",J54)),SUMPRODUCT(--ISNUMBER(SEARCH({"á","é","í","ó","ú","ñ"},J54)))&gt;0),"Correo vacío o no institucional válido; ","")&amp;IF(LEN(TRIM(D54))=0,"Sin objeto contractual; ","")&amp;IF(AND(ISNUMBER(M54),N54="Mínima cuantía"),IF(M54&gt;39850000,"Mínima cuantía con valor superior al tope citado en el instructivo 2026 ($39.850.000): verificar modalidad; ",""),"")&amp;IF(AND(ISNUMBER(M54),OR(ISNUMBER(SEARCH("prestación de servicios",D54)),ISNUMBER(SEARCH("prestar servicios",D54)),ISNUMBER(SEARCH("prestar los servicios",D54)))),IF(M54&gt;=500000000,"Prestación de servicios por $500 millones o más: posible error de digitación; ",""),""))=0,"Sin observaciones",IF(OR(NOT(ISNUMBER(B54)),LEN(B54)&lt;&gt;8),"UNSPSC vacío, en texto, con varios códigos o sin 8 dígitos; ","")&amp;IF(AND(ISNUMBER(B54),LEN(B54)=8),IF(MOD(B54,10000)=0,"UNSPSC a nivel de segmento o familia; ",""),"")&amp;IF(NOT(ISNUMBER(E54)),"Duración vacía o en texto; ","")&amp;IF(NOT(ISNUMBER(G54)),"Valor vacío o en texto; ","")&amp;IF(ISNUMBER(M54),IF(M54&lt;1000000,"Valor inferior a $1.000.000: verificar; ",""),"Valor no interpretable; ")&amp;IF(N54="[PENDIENTE DE VERIFICAR]","Modalidad no identificable; ","")&amp;IF(OR(ISERROR(SEARCH("@itc.edu.co",J54)),SUMPRODUCT(--ISNUMBER(SEARCH({"á","é","í","ó","ú","ñ"},J54)))&gt;0),"Correo vacío o no institucional válido; ","")&amp;IF(LEN(TRIM(D54))=0,"Sin objeto contractual; ","")&amp;IF(AND(ISNUMBER(M54),N54="Mínima cuantía"),IF(M54&gt;39850000,"Mínima cuantía con valor superior al tope citado en el instructivo 2026 ($39.850.000): verificar modalidad; ",""),"")&amp;IF(AND(ISNUMBER(M54),OR(ISNUMBER(SEARCH("prestación de servicios",D54)),ISNUMBER(SEARCH("prestar servicios",D54)),ISNUMBER(SEARCH("prestar los servicios",D54)))),IF(M54&gt;=500000000,"Prestación de servicios por $500 millones o más: posible error de digitación; ",""),""))</f>
        <v/>
      </c>
    </row>
    <row r="55" ht="34.2" customHeight="1" s="23">
      <c r="A55" s="114" t="inlineStr">
        <is>
          <t>PN26-051</t>
        </is>
      </c>
      <c r="B55" s="114" t="n">
        <v>81111600</v>
      </c>
      <c r="C55" s="114" t="inlineStr">
        <is>
          <t xml:space="preserve">Profesor ingles a1-b1a centro de lenguas </t>
        </is>
      </c>
      <c r="D55" s="114" t="inlineStr">
        <is>
          <t>Prestación de servicios profesionales para apoyar las actividades del grupo interno de trabajo de extensión y proyección social - giteps durante el 2026 como instructor de inglés beginner a1 y lower intermediate b1a (200 horas).</t>
        </is>
      </c>
      <c r="E55" s="114" t="n">
        <v>11</v>
      </c>
      <c r="F55" s="114" t="inlineStr">
        <is>
          <t>DIRECTA</t>
        </is>
      </c>
      <c r="G55" s="118" t="n">
        <v>6000000</v>
      </c>
      <c r="H55" s="114" t="inlineStr">
        <is>
          <t>Profesional Especializado 2028-13</t>
        </is>
      </c>
      <c r="I55" s="114" t="n"/>
      <c r="J55" s="114" t="inlineStr">
        <is>
          <t>extension@itc.edu.co</t>
        </is>
      </c>
      <c r="K55" s="114" t="n">
        <v>50</v>
      </c>
      <c r="L55" s="119" t="inlineStr">
        <is>
          <t>141 · GIT Extensión y Proyección Social</t>
        </is>
      </c>
      <c r="M55" s="120" t="n">
        <v>6000000</v>
      </c>
      <c r="N55" s="119" t="inlineStr">
        <is>
          <t>Contratación directa</t>
        </is>
      </c>
      <c r="O55" s="119">
        <f>IF(LEN(IF(OR(NOT(ISNUMBER(B55)),LEN(B55)&lt;&gt;8),"UNSPSC vacío, en texto, con varios códigos o sin 8 dígitos; ","")&amp;IF(AND(ISNUMBER(B55),LEN(B55)=8),IF(MOD(B55,10000)=0,"UNSPSC a nivel de segmento o familia; ",""),"")&amp;IF(NOT(ISNUMBER(E55)),"Duración vacía o en texto; ","")&amp;IF(NOT(ISNUMBER(G55)),"Valor vacío o en texto; ","")&amp;IF(ISNUMBER(M55),IF(M55&lt;1000000,"Valor inferior a $1.000.000: verificar; ",""),"Valor no interpretable; ")&amp;IF(N55="[PENDIENTE DE VERIFICAR]","Modalidad no identificable; ","")&amp;IF(OR(ISERROR(SEARCH("@itc.edu.co",J55)),SUMPRODUCT(--ISNUMBER(SEARCH({"á","é","í","ó","ú","ñ"},J55)))&gt;0),"Correo vacío o no institucional válido; ","")&amp;IF(LEN(TRIM(D55))=0,"Sin objeto contractual; ","")&amp;IF(AND(ISNUMBER(M55),N55="Mínima cuantía"),IF(M55&gt;39850000,"Mínima cuantía con valor superior al tope citado en el instructivo 2026 ($39.850.000): verificar modalidad; ",""),"")&amp;IF(AND(ISNUMBER(M55),OR(ISNUMBER(SEARCH("prestación de servicios",D55)),ISNUMBER(SEARCH("prestar servicios",D55)),ISNUMBER(SEARCH("prestar los servicios",D55)))),IF(M55&gt;=500000000,"Prestación de servicios por $500 millones o más: posible error de digitación; ",""),""))=0,"Sin observaciones",IF(OR(NOT(ISNUMBER(B55)),LEN(B55)&lt;&gt;8),"UNSPSC vacío, en texto, con varios códigos o sin 8 dígitos; ","")&amp;IF(AND(ISNUMBER(B55),LEN(B55)=8),IF(MOD(B55,10000)=0,"UNSPSC a nivel de segmento o familia; ",""),"")&amp;IF(NOT(ISNUMBER(E55)),"Duración vacía o en texto; ","")&amp;IF(NOT(ISNUMBER(G55)),"Valor vacío o en texto; ","")&amp;IF(ISNUMBER(M55),IF(M55&lt;1000000,"Valor inferior a $1.000.000: verificar; ",""),"Valor no interpretable; ")&amp;IF(N55="[PENDIENTE DE VERIFICAR]","Modalidad no identificable; ","")&amp;IF(OR(ISERROR(SEARCH("@itc.edu.co",J55)),SUMPRODUCT(--ISNUMBER(SEARCH({"á","é","í","ó","ú","ñ"},J55)))&gt;0),"Correo vacío o no institucional válido; ","")&amp;IF(LEN(TRIM(D55))=0,"Sin objeto contractual; ","")&amp;IF(AND(ISNUMBER(M55),N55="Mínima cuantía"),IF(M55&gt;39850000,"Mínima cuantía con valor superior al tope citado en el instructivo 2026 ($39.850.000): verificar modalidad; ",""),"")&amp;IF(AND(ISNUMBER(M55),OR(ISNUMBER(SEARCH("prestación de servicios",D55)),ISNUMBER(SEARCH("prestar servicios",D55)),ISNUMBER(SEARCH("prestar los servicios",D55)))),IF(M55&gt;=500000000,"Prestación de servicios por $500 millones o más: posible error de digitación; ",""),""))</f>
        <v/>
      </c>
    </row>
    <row r="56" ht="34.2" customHeight="1" s="23">
      <c r="A56" s="114" t="inlineStr">
        <is>
          <t>PN26-052</t>
        </is>
      </c>
      <c r="B56" s="114" t="n">
        <v>81111600</v>
      </c>
      <c r="C56" s="114" t="inlineStr">
        <is>
          <t xml:space="preserve">Profesor ingles b2a-a1 centro de lenguas </t>
        </is>
      </c>
      <c r="D56" s="114" t="inlineStr">
        <is>
          <t>Prestación de servicios profesionales para apoyar las actividades del grupo interno de trabajo de extensión y proyección social - giteps durante el 2026 como instructor de inglés high intermediate b2a y beginner a1 (200 horas).</t>
        </is>
      </c>
      <c r="E56" s="114" t="n">
        <v>11</v>
      </c>
      <c r="F56" s="114" t="inlineStr">
        <is>
          <t>DIRECTA</t>
        </is>
      </c>
      <c r="G56" s="118" t="n">
        <v>6000000</v>
      </c>
      <c r="H56" s="114" t="inlineStr">
        <is>
          <t>Profesional Especializado 2028-13</t>
        </is>
      </c>
      <c r="I56" s="114" t="n"/>
      <c r="J56" s="114" t="inlineStr">
        <is>
          <t>extension@itc.edu.co</t>
        </is>
      </c>
      <c r="K56" s="114" t="n">
        <v>51</v>
      </c>
      <c r="L56" s="119" t="inlineStr">
        <is>
          <t>141 · GIT Extensión y Proyección Social</t>
        </is>
      </c>
      <c r="M56" s="120" t="n">
        <v>6000000</v>
      </c>
      <c r="N56" s="119" t="inlineStr">
        <is>
          <t>Contratación directa</t>
        </is>
      </c>
      <c r="O56" s="119">
        <f>IF(LEN(IF(OR(NOT(ISNUMBER(B56)),LEN(B56)&lt;&gt;8),"UNSPSC vacío, en texto, con varios códigos o sin 8 dígitos; ","")&amp;IF(AND(ISNUMBER(B56),LEN(B56)=8),IF(MOD(B56,10000)=0,"UNSPSC a nivel de segmento o familia; ",""),"")&amp;IF(NOT(ISNUMBER(E56)),"Duración vacía o en texto; ","")&amp;IF(NOT(ISNUMBER(G56)),"Valor vacío o en texto; ","")&amp;IF(ISNUMBER(M56),IF(M56&lt;1000000,"Valor inferior a $1.000.000: verificar; ",""),"Valor no interpretable; ")&amp;IF(N56="[PENDIENTE DE VERIFICAR]","Modalidad no identificable; ","")&amp;IF(OR(ISERROR(SEARCH("@itc.edu.co",J56)),SUMPRODUCT(--ISNUMBER(SEARCH({"á","é","í","ó","ú","ñ"},J56)))&gt;0),"Correo vacío o no institucional válido; ","")&amp;IF(LEN(TRIM(D56))=0,"Sin objeto contractual; ","")&amp;IF(AND(ISNUMBER(M56),N56="Mínima cuantía"),IF(M56&gt;39850000,"Mínima cuantía con valor superior al tope citado en el instructivo 2026 ($39.850.000): verificar modalidad; ",""),"")&amp;IF(AND(ISNUMBER(M56),OR(ISNUMBER(SEARCH("prestación de servicios",D56)),ISNUMBER(SEARCH("prestar servicios",D56)),ISNUMBER(SEARCH("prestar los servicios",D56)))),IF(M56&gt;=500000000,"Prestación de servicios por $500 millones o más: posible error de digitación; ",""),""))=0,"Sin observaciones",IF(OR(NOT(ISNUMBER(B56)),LEN(B56)&lt;&gt;8),"UNSPSC vacío, en texto, con varios códigos o sin 8 dígitos; ","")&amp;IF(AND(ISNUMBER(B56),LEN(B56)=8),IF(MOD(B56,10000)=0,"UNSPSC a nivel de segmento o familia; ",""),"")&amp;IF(NOT(ISNUMBER(E56)),"Duración vacía o en texto; ","")&amp;IF(NOT(ISNUMBER(G56)),"Valor vacío o en texto; ","")&amp;IF(ISNUMBER(M56),IF(M56&lt;1000000,"Valor inferior a $1.000.000: verificar; ",""),"Valor no interpretable; ")&amp;IF(N56="[PENDIENTE DE VERIFICAR]","Modalidad no identificable; ","")&amp;IF(OR(ISERROR(SEARCH("@itc.edu.co",J56)),SUMPRODUCT(--ISNUMBER(SEARCH({"á","é","í","ó","ú","ñ"},J56)))&gt;0),"Correo vacío o no institucional válido; ","")&amp;IF(LEN(TRIM(D56))=0,"Sin objeto contractual; ","")&amp;IF(AND(ISNUMBER(M56),N56="Mínima cuantía"),IF(M56&gt;39850000,"Mínima cuantía con valor superior al tope citado en el instructivo 2026 ($39.850.000): verificar modalidad; ",""),"")&amp;IF(AND(ISNUMBER(M56),OR(ISNUMBER(SEARCH("prestación de servicios",D56)),ISNUMBER(SEARCH("prestar servicios",D56)),ISNUMBER(SEARCH("prestar los servicios",D56)))),IF(M56&gt;=500000000,"Prestación de servicios por $500 millones o más: posible error de digitación; ",""),""))</f>
        <v/>
      </c>
    </row>
    <row r="57" ht="34.2" customHeight="1" s="23">
      <c r="A57" s="114" t="inlineStr">
        <is>
          <t>PN26-053</t>
        </is>
      </c>
      <c r="B57" s="114" t="n">
        <v>81111600</v>
      </c>
      <c r="C57" s="114" t="inlineStr">
        <is>
          <t xml:space="preserve">Profesor aleman e ingles centro de lenguas </t>
        </is>
      </c>
      <c r="D57" s="114" t="inlineStr">
        <is>
          <t>Prestación de servicios profesionales para apoyar las actividades del grupo interno de trabajo de extensión y proyección social - giteps durante el 2026 como instructor de alemán e inglés (300 horas).</t>
        </is>
      </c>
      <c r="E57" s="114" t="n">
        <v>11</v>
      </c>
      <c r="F57" s="114" t="inlineStr">
        <is>
          <t>DIRECTA</t>
        </is>
      </c>
      <c r="G57" s="118" t="n">
        <v>6000000</v>
      </c>
      <c r="H57" s="114" t="inlineStr">
        <is>
          <t>Profesional Especializado 2028-13</t>
        </is>
      </c>
      <c r="I57" s="114" t="n"/>
      <c r="J57" s="114" t="inlineStr">
        <is>
          <t>extension@itc.edu.co</t>
        </is>
      </c>
      <c r="K57" s="114" t="n">
        <v>52</v>
      </c>
      <c r="L57" s="119" t="inlineStr">
        <is>
          <t>141 · GIT Extensión y Proyección Social</t>
        </is>
      </c>
      <c r="M57" s="120" t="n">
        <v>6000000</v>
      </c>
      <c r="N57" s="119" t="inlineStr">
        <is>
          <t>Contratación directa</t>
        </is>
      </c>
      <c r="O57" s="119">
        <f>IF(LEN(IF(OR(NOT(ISNUMBER(B57)),LEN(B57)&lt;&gt;8),"UNSPSC vacío, en texto, con varios códigos o sin 8 dígitos; ","")&amp;IF(AND(ISNUMBER(B57),LEN(B57)=8),IF(MOD(B57,10000)=0,"UNSPSC a nivel de segmento o familia; ",""),"")&amp;IF(NOT(ISNUMBER(E57)),"Duración vacía o en texto; ","")&amp;IF(NOT(ISNUMBER(G57)),"Valor vacío o en texto; ","")&amp;IF(ISNUMBER(M57),IF(M57&lt;1000000,"Valor inferior a $1.000.000: verificar; ",""),"Valor no interpretable; ")&amp;IF(N57="[PENDIENTE DE VERIFICAR]","Modalidad no identificable; ","")&amp;IF(OR(ISERROR(SEARCH("@itc.edu.co",J57)),SUMPRODUCT(--ISNUMBER(SEARCH({"á","é","í","ó","ú","ñ"},J57)))&gt;0),"Correo vacío o no institucional válido; ","")&amp;IF(LEN(TRIM(D57))=0,"Sin objeto contractual; ","")&amp;IF(AND(ISNUMBER(M57),N57="Mínima cuantía"),IF(M57&gt;39850000,"Mínima cuantía con valor superior al tope citado en el instructivo 2026 ($39.850.000): verificar modalidad; ",""),"")&amp;IF(AND(ISNUMBER(M57),OR(ISNUMBER(SEARCH("prestación de servicios",D57)),ISNUMBER(SEARCH("prestar servicios",D57)),ISNUMBER(SEARCH("prestar los servicios",D57)))),IF(M57&gt;=500000000,"Prestación de servicios por $500 millones o más: posible error de digitación; ",""),""))=0,"Sin observaciones",IF(OR(NOT(ISNUMBER(B57)),LEN(B57)&lt;&gt;8),"UNSPSC vacío, en texto, con varios códigos o sin 8 dígitos; ","")&amp;IF(AND(ISNUMBER(B57),LEN(B57)=8),IF(MOD(B57,10000)=0,"UNSPSC a nivel de segmento o familia; ",""),"")&amp;IF(NOT(ISNUMBER(E57)),"Duración vacía o en texto; ","")&amp;IF(NOT(ISNUMBER(G57)),"Valor vacío o en texto; ","")&amp;IF(ISNUMBER(M57),IF(M57&lt;1000000,"Valor inferior a $1.000.000: verificar; ",""),"Valor no interpretable; ")&amp;IF(N57="[PENDIENTE DE VERIFICAR]","Modalidad no identificable; ","")&amp;IF(OR(ISERROR(SEARCH("@itc.edu.co",J57)),SUMPRODUCT(--ISNUMBER(SEARCH({"á","é","í","ó","ú","ñ"},J57)))&gt;0),"Correo vacío o no institucional válido; ","")&amp;IF(LEN(TRIM(D57))=0,"Sin objeto contractual; ","")&amp;IF(AND(ISNUMBER(M57),N57="Mínima cuantía"),IF(M57&gt;39850000,"Mínima cuantía con valor superior al tope citado en el instructivo 2026 ($39.850.000): verificar modalidad; ",""),"")&amp;IF(AND(ISNUMBER(M57),OR(ISNUMBER(SEARCH("prestación de servicios",D57)),ISNUMBER(SEARCH("prestar servicios",D57)),ISNUMBER(SEARCH("prestar los servicios",D57)))),IF(M57&gt;=500000000,"Prestación de servicios por $500 millones o más: posible error de digitación; ",""),""))</f>
        <v/>
      </c>
    </row>
    <row r="58" ht="34.2" customHeight="1" s="23">
      <c r="A58" s="114" t="inlineStr">
        <is>
          <t>PN26-054</t>
        </is>
      </c>
      <c r="B58" s="114" t="n">
        <v>81111600</v>
      </c>
      <c r="C58" s="114" t="inlineStr">
        <is>
          <t xml:space="preserve">Profesor ingles b2b-b1b centro de lenguas </t>
        </is>
      </c>
      <c r="D58" s="114" t="inlineStr">
        <is>
          <t>Prestación de servicios profesionales para apoyar las actividades del grupo interno de trabajo de extensión y proyección social - giteps durante el 2026 como instructor de inglés upper intermediate b2b e intermediate b1b (200 horas).</t>
        </is>
      </c>
      <c r="E58" s="114" t="n">
        <v>11</v>
      </c>
      <c r="F58" s="114" t="inlineStr">
        <is>
          <t>DIRECTA</t>
        </is>
      </c>
      <c r="G58" s="118" t="n">
        <v>10750000</v>
      </c>
      <c r="H58" s="114" t="inlineStr">
        <is>
          <t>Profesional Especializado 2028-13</t>
        </is>
      </c>
      <c r="I58" s="114" t="n"/>
      <c r="J58" s="114" t="inlineStr">
        <is>
          <t>extension@itc.edu.co</t>
        </is>
      </c>
      <c r="K58" s="114" t="n">
        <v>53</v>
      </c>
      <c r="L58" s="119" t="inlineStr">
        <is>
          <t>141 · GIT Extensión y Proyección Social</t>
        </is>
      </c>
      <c r="M58" s="120" t="n">
        <v>10750000</v>
      </c>
      <c r="N58" s="119" t="inlineStr">
        <is>
          <t>Contratación directa</t>
        </is>
      </c>
      <c r="O58" s="119">
        <f>IF(LEN(IF(OR(NOT(ISNUMBER(B58)),LEN(B58)&lt;&gt;8),"UNSPSC vacío, en texto, con varios códigos o sin 8 dígitos; ","")&amp;IF(AND(ISNUMBER(B58),LEN(B58)=8),IF(MOD(B58,10000)=0,"UNSPSC a nivel de segmento o familia; ",""),"")&amp;IF(NOT(ISNUMBER(E58)),"Duración vacía o en texto; ","")&amp;IF(NOT(ISNUMBER(G58)),"Valor vacío o en texto; ","")&amp;IF(ISNUMBER(M58),IF(M58&lt;1000000,"Valor inferior a $1.000.000: verificar; ",""),"Valor no interpretable; ")&amp;IF(N58="[PENDIENTE DE VERIFICAR]","Modalidad no identificable; ","")&amp;IF(OR(ISERROR(SEARCH("@itc.edu.co",J58)),SUMPRODUCT(--ISNUMBER(SEARCH({"á","é","í","ó","ú","ñ"},J58)))&gt;0),"Correo vacío o no institucional válido; ","")&amp;IF(LEN(TRIM(D58))=0,"Sin objeto contractual; ","")&amp;IF(AND(ISNUMBER(M58),N58="Mínima cuantía"),IF(M58&gt;39850000,"Mínima cuantía con valor superior al tope citado en el instructivo 2026 ($39.850.000): verificar modalidad; ",""),"")&amp;IF(AND(ISNUMBER(M58),OR(ISNUMBER(SEARCH("prestación de servicios",D58)),ISNUMBER(SEARCH("prestar servicios",D58)),ISNUMBER(SEARCH("prestar los servicios",D58)))),IF(M58&gt;=500000000,"Prestación de servicios por $500 millones o más: posible error de digitación; ",""),""))=0,"Sin observaciones",IF(OR(NOT(ISNUMBER(B58)),LEN(B58)&lt;&gt;8),"UNSPSC vacío, en texto, con varios códigos o sin 8 dígitos; ","")&amp;IF(AND(ISNUMBER(B58),LEN(B58)=8),IF(MOD(B58,10000)=0,"UNSPSC a nivel de segmento o familia; ",""),"")&amp;IF(NOT(ISNUMBER(E58)),"Duración vacía o en texto; ","")&amp;IF(NOT(ISNUMBER(G58)),"Valor vacío o en texto; ","")&amp;IF(ISNUMBER(M58),IF(M58&lt;1000000,"Valor inferior a $1.000.000: verificar; ",""),"Valor no interpretable; ")&amp;IF(N58="[PENDIENTE DE VERIFICAR]","Modalidad no identificable; ","")&amp;IF(OR(ISERROR(SEARCH("@itc.edu.co",J58)),SUMPRODUCT(--ISNUMBER(SEARCH({"á","é","í","ó","ú","ñ"},J58)))&gt;0),"Correo vacío o no institucional válido; ","")&amp;IF(LEN(TRIM(D58))=0,"Sin objeto contractual; ","")&amp;IF(AND(ISNUMBER(M58),N58="Mínima cuantía"),IF(M58&gt;39850000,"Mínima cuantía con valor superior al tope citado en el instructivo 2026 ($39.850.000): verificar modalidad; ",""),"")&amp;IF(AND(ISNUMBER(M58),OR(ISNUMBER(SEARCH("prestación de servicios",D58)),ISNUMBER(SEARCH("prestar servicios",D58)),ISNUMBER(SEARCH("prestar los servicios",D58)))),IF(M58&gt;=500000000,"Prestación de servicios por $500 millones o más: posible error de digitación; ",""),""))</f>
        <v/>
      </c>
    </row>
    <row r="59" ht="34.2" customHeight="1" s="23">
      <c r="A59" s="114" t="inlineStr">
        <is>
          <t>PN26-055</t>
        </is>
      </c>
      <c r="B59" s="114" t="n">
        <v>81111600</v>
      </c>
      <c r="C59" s="114" t="inlineStr">
        <is>
          <t xml:space="preserve">Profesor ingles b1b-b2b centro de lenguas </t>
        </is>
      </c>
      <c r="D59" s="114" t="inlineStr">
        <is>
          <t>Prestación de servicios profesionales para apoyar las actividades del grupo interno de trabajo de extensión y proyección social - giteps durante el 2026 como instructor de inglés intermediate b1b y upper intermediate b2b (200 horas).</t>
        </is>
      </c>
      <c r="E59" s="114" t="n">
        <v>11</v>
      </c>
      <c r="F59" s="114" t="inlineStr">
        <is>
          <t>DIRECTA</t>
        </is>
      </c>
      <c r="G59" s="118" t="n">
        <v>12000000</v>
      </c>
      <c r="H59" s="114" t="inlineStr">
        <is>
          <t>Profesional Especializado 2028-13</t>
        </is>
      </c>
      <c r="I59" s="114" t="n"/>
      <c r="J59" s="114" t="inlineStr">
        <is>
          <t>extension@itc.edu.co</t>
        </is>
      </c>
      <c r="K59" s="114" t="n">
        <v>54</v>
      </c>
      <c r="L59" s="119" t="inlineStr">
        <is>
          <t>141 · GIT Extensión y Proyección Social</t>
        </is>
      </c>
      <c r="M59" s="120" t="n">
        <v>12000000</v>
      </c>
      <c r="N59" s="119" t="inlineStr">
        <is>
          <t>Contratación directa</t>
        </is>
      </c>
      <c r="O59" s="119">
        <f>IF(LEN(IF(OR(NOT(ISNUMBER(B59)),LEN(B59)&lt;&gt;8),"UNSPSC vacío, en texto, con varios códigos o sin 8 dígitos; ","")&amp;IF(AND(ISNUMBER(B59),LEN(B59)=8),IF(MOD(B59,10000)=0,"UNSPSC a nivel de segmento o familia; ",""),"")&amp;IF(NOT(ISNUMBER(E59)),"Duración vacía o en texto; ","")&amp;IF(NOT(ISNUMBER(G59)),"Valor vacío o en texto; ","")&amp;IF(ISNUMBER(M59),IF(M59&lt;1000000,"Valor inferior a $1.000.000: verificar; ",""),"Valor no interpretable; ")&amp;IF(N59="[PENDIENTE DE VERIFICAR]","Modalidad no identificable; ","")&amp;IF(OR(ISERROR(SEARCH("@itc.edu.co",J59)),SUMPRODUCT(--ISNUMBER(SEARCH({"á","é","í","ó","ú","ñ"},J59)))&gt;0),"Correo vacío o no institucional válido; ","")&amp;IF(LEN(TRIM(D59))=0,"Sin objeto contractual; ","")&amp;IF(AND(ISNUMBER(M59),N59="Mínima cuantía"),IF(M59&gt;39850000,"Mínima cuantía con valor superior al tope citado en el instructivo 2026 ($39.850.000): verificar modalidad; ",""),"")&amp;IF(AND(ISNUMBER(M59),OR(ISNUMBER(SEARCH("prestación de servicios",D59)),ISNUMBER(SEARCH("prestar servicios",D59)),ISNUMBER(SEARCH("prestar los servicios",D59)))),IF(M59&gt;=500000000,"Prestación de servicios por $500 millones o más: posible error de digitación; ",""),""))=0,"Sin observaciones",IF(OR(NOT(ISNUMBER(B59)),LEN(B59)&lt;&gt;8),"UNSPSC vacío, en texto, con varios códigos o sin 8 dígitos; ","")&amp;IF(AND(ISNUMBER(B59),LEN(B59)=8),IF(MOD(B59,10000)=0,"UNSPSC a nivel de segmento o familia; ",""),"")&amp;IF(NOT(ISNUMBER(E59)),"Duración vacía o en texto; ","")&amp;IF(NOT(ISNUMBER(G59)),"Valor vacío o en texto; ","")&amp;IF(ISNUMBER(M59),IF(M59&lt;1000000,"Valor inferior a $1.000.000: verificar; ",""),"Valor no interpretable; ")&amp;IF(N59="[PENDIENTE DE VERIFICAR]","Modalidad no identificable; ","")&amp;IF(OR(ISERROR(SEARCH("@itc.edu.co",J59)),SUMPRODUCT(--ISNUMBER(SEARCH({"á","é","í","ó","ú","ñ"},J59)))&gt;0),"Correo vacío o no institucional válido; ","")&amp;IF(LEN(TRIM(D59))=0,"Sin objeto contractual; ","")&amp;IF(AND(ISNUMBER(M59),N59="Mínima cuantía"),IF(M59&gt;39850000,"Mínima cuantía con valor superior al tope citado en el instructivo 2026 ($39.850.000): verificar modalidad; ",""),"")&amp;IF(AND(ISNUMBER(M59),OR(ISNUMBER(SEARCH("prestación de servicios",D59)),ISNUMBER(SEARCH("prestar servicios",D59)),ISNUMBER(SEARCH("prestar los servicios",D59)))),IF(M59&gt;=500000000,"Prestación de servicios por $500 millones o más: posible error de digitación; ",""),""))</f>
        <v/>
      </c>
    </row>
    <row r="60" ht="68.40000000000001" customHeight="1" s="23">
      <c r="A60" s="114" t="inlineStr">
        <is>
          <t>PN26-056</t>
        </is>
      </c>
      <c r="B60" s="114" t="n">
        <v>81111600</v>
      </c>
      <c r="C60" s="114" t="inlineStr">
        <is>
          <t xml:space="preserve">Profesor ingles a2 centro de lenguas </t>
        </is>
      </c>
      <c r="D60" s="114" t="inlineStr">
        <is>
          <t xml:space="preserve">Prestación de servicios profesionales para apoyar las actividades del grupo interno de trabajo de extensión y proyección social - giteps durante el 2026 como instructor de inglés elementary a2 (240 horas). </t>
        </is>
      </c>
      <c r="E60" s="114" t="n">
        <v>11</v>
      </c>
      <c r="F60" s="114" t="inlineStr">
        <is>
          <t>DIRECTA</t>
        </is>
      </c>
      <c r="G60" s="118" t="n"/>
      <c r="H60" s="114" t="inlineStr">
        <is>
          <t>Profesional de Gestión Coordinador del Grupo Interno de
Trabajo de Extensión y Proyección social 2165-13</t>
        </is>
      </c>
      <c r="I60" s="114" t="n"/>
      <c r="J60" s="114" t="n"/>
      <c r="K60" s="114" t="n">
        <v>55</v>
      </c>
      <c r="L60" s="119" t="inlineStr">
        <is>
          <t>141 · GIT Extensión y Proyección Social</t>
        </is>
      </c>
      <c r="M60" s="120" t="n"/>
      <c r="N60" s="119" t="inlineStr">
        <is>
          <t>Contratación directa</t>
        </is>
      </c>
      <c r="O60" s="119">
        <f>IF(LEN(IF(OR(NOT(ISNUMBER(B60)),LEN(B60)&lt;&gt;8),"UNSPSC vacío, en texto, con varios códigos o sin 8 dígitos; ","")&amp;IF(AND(ISNUMBER(B60),LEN(B60)=8),IF(MOD(B60,10000)=0,"UNSPSC a nivel de segmento o familia; ",""),"")&amp;IF(NOT(ISNUMBER(E60)),"Duración vacía o en texto; ","")&amp;IF(NOT(ISNUMBER(G60)),"Valor vacío o en texto; ","")&amp;IF(ISNUMBER(M60),IF(M60&lt;1000000,"Valor inferior a $1.000.000: verificar; ",""),"Valor no interpretable; ")&amp;IF(N60="[PENDIENTE DE VERIFICAR]","Modalidad no identificable; ","")&amp;IF(OR(ISERROR(SEARCH("@itc.edu.co",J60)),SUMPRODUCT(--ISNUMBER(SEARCH({"á","é","í","ó","ú","ñ"},J60)))&gt;0),"Correo vacío o no institucional válido; ","")&amp;IF(LEN(TRIM(D60))=0,"Sin objeto contractual; ","")&amp;IF(AND(ISNUMBER(M60),N60="Mínima cuantía"),IF(M60&gt;39850000,"Mínima cuantía con valor superior al tope citado en el instructivo 2026 ($39.850.000): verificar modalidad; ",""),"")&amp;IF(AND(ISNUMBER(M60),OR(ISNUMBER(SEARCH("prestación de servicios",D60)),ISNUMBER(SEARCH("prestar servicios",D60)),ISNUMBER(SEARCH("prestar los servicios",D60)))),IF(M60&gt;=500000000,"Prestación de servicios por $500 millones o más: posible error de digitación; ",""),""))=0,"Sin observaciones",IF(OR(NOT(ISNUMBER(B60)),LEN(B60)&lt;&gt;8),"UNSPSC vacío, en texto, con varios códigos o sin 8 dígitos; ","")&amp;IF(AND(ISNUMBER(B60),LEN(B60)=8),IF(MOD(B60,10000)=0,"UNSPSC a nivel de segmento o familia; ",""),"")&amp;IF(NOT(ISNUMBER(E60)),"Duración vacía o en texto; ","")&amp;IF(NOT(ISNUMBER(G60)),"Valor vacío o en texto; ","")&amp;IF(ISNUMBER(M60),IF(M60&lt;1000000,"Valor inferior a $1.000.000: verificar; ",""),"Valor no interpretable; ")&amp;IF(N60="[PENDIENTE DE VERIFICAR]","Modalidad no identificable; ","")&amp;IF(OR(ISERROR(SEARCH("@itc.edu.co",J60)),SUMPRODUCT(--ISNUMBER(SEARCH({"á","é","í","ó","ú","ñ"},J60)))&gt;0),"Correo vacío o no institucional válido; ","")&amp;IF(LEN(TRIM(D60))=0,"Sin objeto contractual; ","")&amp;IF(AND(ISNUMBER(M60),N60="Mínima cuantía"),IF(M60&gt;39850000,"Mínima cuantía con valor superior al tope citado en el instructivo 2026 ($39.850.000): verificar modalidad; ",""),"")&amp;IF(AND(ISNUMBER(M60),OR(ISNUMBER(SEARCH("prestación de servicios",D60)),ISNUMBER(SEARCH("prestar servicios",D60)),ISNUMBER(SEARCH("prestar los servicios",D60)))),IF(M60&gt;=500000000,"Prestación de servicios por $500 millones o más: posible error de digitación; ",""),""))</f>
        <v/>
      </c>
    </row>
    <row r="61" ht="34.2" customHeight="1" s="23">
      <c r="A61" s="114" t="inlineStr">
        <is>
          <t>PN26-057</t>
        </is>
      </c>
      <c r="B61" s="114" t="n">
        <v>81111600</v>
      </c>
      <c r="C61" s="114" t="inlineStr">
        <is>
          <t xml:space="preserve">Profesor ingles b1a - c1 centro de lenguas </t>
        </is>
      </c>
      <c r="D61" s="114" t="inlineStr">
        <is>
          <t>Prestación de servicios profesionales para apoyar las actividades del grupo interno de trabajo de extensión y proyección social - giteps durante el 2026 como instructor de inglés lower intermediate b1a y proficiency c1 (200 horas).</t>
        </is>
      </c>
      <c r="E61" s="114" t="n">
        <v>11</v>
      </c>
      <c r="F61" s="114" t="inlineStr">
        <is>
          <t>DIRECTA</t>
        </is>
      </c>
      <c r="G61" s="118" t="n"/>
      <c r="H61" s="114" t="inlineStr">
        <is>
          <t>Profesional Especializado 2028-13</t>
        </is>
      </c>
      <c r="I61" s="114" t="n"/>
      <c r="J61" s="114" t="inlineStr">
        <is>
          <t>extension@itc.edu.co</t>
        </is>
      </c>
      <c r="K61" s="114" t="n">
        <v>56</v>
      </c>
      <c r="L61" s="119" t="inlineStr">
        <is>
          <t>141 · GIT Extensión y Proyección Social</t>
        </is>
      </c>
      <c r="M61" s="120" t="n"/>
      <c r="N61" s="119" t="inlineStr">
        <is>
          <t>Contratación directa</t>
        </is>
      </c>
      <c r="O61" s="119">
        <f>IF(LEN(IF(OR(NOT(ISNUMBER(B61)),LEN(B61)&lt;&gt;8),"UNSPSC vacío, en texto, con varios códigos o sin 8 dígitos; ","")&amp;IF(AND(ISNUMBER(B61),LEN(B61)=8),IF(MOD(B61,10000)=0,"UNSPSC a nivel de segmento o familia; ",""),"")&amp;IF(NOT(ISNUMBER(E61)),"Duración vacía o en texto; ","")&amp;IF(NOT(ISNUMBER(G61)),"Valor vacío o en texto; ","")&amp;IF(ISNUMBER(M61),IF(M61&lt;1000000,"Valor inferior a $1.000.000: verificar; ",""),"Valor no interpretable; ")&amp;IF(N61="[PENDIENTE DE VERIFICAR]","Modalidad no identificable; ","")&amp;IF(OR(ISERROR(SEARCH("@itc.edu.co",J61)),SUMPRODUCT(--ISNUMBER(SEARCH({"á","é","í","ó","ú","ñ"},J61)))&gt;0),"Correo vacío o no institucional válido; ","")&amp;IF(LEN(TRIM(D61))=0,"Sin objeto contractual; ","")&amp;IF(AND(ISNUMBER(M61),N61="Mínima cuantía"),IF(M61&gt;39850000,"Mínima cuantía con valor superior al tope citado en el instructivo 2026 ($39.850.000): verificar modalidad; ",""),"")&amp;IF(AND(ISNUMBER(M61),OR(ISNUMBER(SEARCH("prestación de servicios",D61)),ISNUMBER(SEARCH("prestar servicios",D61)),ISNUMBER(SEARCH("prestar los servicios",D61)))),IF(M61&gt;=500000000,"Prestación de servicios por $500 millones o más: posible error de digitación; ",""),""))=0,"Sin observaciones",IF(OR(NOT(ISNUMBER(B61)),LEN(B61)&lt;&gt;8),"UNSPSC vacío, en texto, con varios códigos o sin 8 dígitos; ","")&amp;IF(AND(ISNUMBER(B61),LEN(B61)=8),IF(MOD(B61,10000)=0,"UNSPSC a nivel de segmento o familia; ",""),"")&amp;IF(NOT(ISNUMBER(E61)),"Duración vacía o en texto; ","")&amp;IF(NOT(ISNUMBER(G61)),"Valor vacío o en texto; ","")&amp;IF(ISNUMBER(M61),IF(M61&lt;1000000,"Valor inferior a $1.000.000: verificar; ",""),"Valor no interpretable; ")&amp;IF(N61="[PENDIENTE DE VERIFICAR]","Modalidad no identificable; ","")&amp;IF(OR(ISERROR(SEARCH("@itc.edu.co",J61)),SUMPRODUCT(--ISNUMBER(SEARCH({"á","é","í","ó","ú","ñ"},J61)))&gt;0),"Correo vacío o no institucional válido; ","")&amp;IF(LEN(TRIM(D61))=0,"Sin objeto contractual; ","")&amp;IF(AND(ISNUMBER(M61),N61="Mínima cuantía"),IF(M61&gt;39850000,"Mínima cuantía con valor superior al tope citado en el instructivo 2026 ($39.850.000): verificar modalidad; ",""),"")&amp;IF(AND(ISNUMBER(M61),OR(ISNUMBER(SEARCH("prestación de servicios",D61)),ISNUMBER(SEARCH("prestar servicios",D61)),ISNUMBER(SEARCH("prestar los servicios",D61)))),IF(M61&gt;=500000000,"Prestación de servicios por $500 millones o más: posible error de digitación; ",""),""))</f>
        <v/>
      </c>
    </row>
    <row r="62" ht="45.6" customHeight="1" s="23">
      <c r="A62" s="114" t="inlineStr">
        <is>
          <t>PN26-058</t>
        </is>
      </c>
      <c r="B62" s="114" t="n">
        <v>80111614</v>
      </c>
      <c r="C62" s="114" t="inlineStr">
        <is>
          <t>Pendiente</t>
        </is>
      </c>
      <c r="D62" s="114" t="inlineStr">
        <is>
          <t xml:space="preserve">Prestación de servicios profesionales para la vicerrectoría administrativa y financiera frente al seguimiento, la planeación y ejecución del desarrollo de los proyectos de la infraestructura fisica, electrica y servicios prioritarios tercerizados de la escuela tecnológica instituto técnico central. </t>
        </is>
      </c>
      <c r="E62" s="114" t="n">
        <v>11</v>
      </c>
      <c r="F62" s="114" t="inlineStr">
        <is>
          <t>DIRECTA</t>
        </is>
      </c>
      <c r="G62" s="118" t="n"/>
      <c r="H62" s="114" t="inlineStr">
        <is>
          <t>Vicerrector grado 0065-09 vicerrector
administrativo y financiero</t>
        </is>
      </c>
      <c r="I62" s="114" t="n"/>
      <c r="J62" s="114" t="inlineStr">
        <is>
          <t>viceadministrativa@itc.edu.co</t>
        </is>
      </c>
      <c r="K62" s="114" t="n">
        <v>57</v>
      </c>
      <c r="L62" s="119" t="inlineStr">
        <is>
          <t>130 · Vicerrectoría Administrativa y Financiera</t>
        </is>
      </c>
      <c r="M62" s="120" t="n"/>
      <c r="N62" s="119" t="inlineStr">
        <is>
          <t>Contratación directa</t>
        </is>
      </c>
      <c r="O62" s="119">
        <f>IF(LEN(IF(OR(NOT(ISNUMBER(B62)),LEN(B62)&lt;&gt;8),"UNSPSC vacío, en texto, con varios códigos o sin 8 dígitos; ","")&amp;IF(AND(ISNUMBER(B62),LEN(B62)=8),IF(MOD(B62,10000)=0,"UNSPSC a nivel de segmento o familia; ",""),"")&amp;IF(NOT(ISNUMBER(E62)),"Duración vacía o en texto; ","")&amp;IF(NOT(ISNUMBER(G62)),"Valor vacío o en texto; ","")&amp;IF(ISNUMBER(M62),IF(M62&lt;1000000,"Valor inferior a $1.000.000: verificar; ",""),"Valor no interpretable; ")&amp;IF(N62="[PENDIENTE DE VERIFICAR]","Modalidad no identificable; ","")&amp;IF(OR(ISERROR(SEARCH("@itc.edu.co",J62)),SUMPRODUCT(--ISNUMBER(SEARCH({"á","é","í","ó","ú","ñ"},J62)))&gt;0),"Correo vacío o no institucional válido; ","")&amp;IF(LEN(TRIM(D62))=0,"Sin objeto contractual; ","")&amp;IF(AND(ISNUMBER(M62),N62="Mínima cuantía"),IF(M62&gt;39850000,"Mínima cuantía con valor superior al tope citado en el instructivo 2026 ($39.850.000): verificar modalidad; ",""),"")&amp;IF(AND(ISNUMBER(M62),OR(ISNUMBER(SEARCH("prestación de servicios",D62)),ISNUMBER(SEARCH("prestar servicios",D62)),ISNUMBER(SEARCH("prestar los servicios",D62)))),IF(M62&gt;=500000000,"Prestación de servicios por $500 millones o más: posible error de digitación; ",""),""))=0,"Sin observaciones",IF(OR(NOT(ISNUMBER(B62)),LEN(B62)&lt;&gt;8),"UNSPSC vacío, en texto, con varios códigos o sin 8 dígitos; ","")&amp;IF(AND(ISNUMBER(B62),LEN(B62)=8),IF(MOD(B62,10000)=0,"UNSPSC a nivel de segmento o familia; ",""),"")&amp;IF(NOT(ISNUMBER(E62)),"Duración vacía o en texto; ","")&amp;IF(NOT(ISNUMBER(G62)),"Valor vacío o en texto; ","")&amp;IF(ISNUMBER(M62),IF(M62&lt;1000000,"Valor inferior a $1.000.000: verificar; ",""),"Valor no interpretable; ")&amp;IF(N62="[PENDIENTE DE VERIFICAR]","Modalidad no identificable; ","")&amp;IF(OR(ISERROR(SEARCH("@itc.edu.co",J62)),SUMPRODUCT(--ISNUMBER(SEARCH({"á","é","í","ó","ú","ñ"},J62)))&gt;0),"Correo vacío o no institucional válido; ","")&amp;IF(LEN(TRIM(D62))=0,"Sin objeto contractual; ","")&amp;IF(AND(ISNUMBER(M62),N62="Mínima cuantía"),IF(M62&gt;39850000,"Mínima cuantía con valor superior al tope citado en el instructivo 2026 ($39.850.000): verificar modalidad; ",""),"")&amp;IF(AND(ISNUMBER(M62),OR(ISNUMBER(SEARCH("prestación de servicios",D62)),ISNUMBER(SEARCH("prestar servicios",D62)),ISNUMBER(SEARCH("prestar los servicios",D62)))),IF(M62&gt;=500000000,"Prestación de servicios por $500 millones o más: posible error de digitación; ",""),""))</f>
        <v/>
      </c>
    </row>
    <row r="63" ht="45.6" customHeight="1" s="23">
      <c r="A63" s="114" t="inlineStr">
        <is>
          <t>PN26-059</t>
        </is>
      </c>
      <c r="B63" s="114" t="n">
        <v>80111601</v>
      </c>
      <c r="C63" s="114" t="inlineStr">
        <is>
          <t>Pendiente</t>
        </is>
      </c>
      <c r="D63" s="114" t="inlineStr">
        <is>
          <t xml:space="preserve">Prestación de servicios de apoyo a la gestión para realizar la gestión administrativa y logística de las actividades relacionadas con el seguimiento y la ejecución de los contratos a cargo de la vicerrectoría administrativa y financiera de la escuela tecnológica instituto técnico central. </t>
        </is>
      </c>
      <c r="E63" s="114" t="n">
        <v>11</v>
      </c>
      <c r="F63" s="114" t="inlineStr">
        <is>
          <t>DIRECTA</t>
        </is>
      </c>
      <c r="G63" s="118" t="n"/>
      <c r="H63" s="114" t="inlineStr">
        <is>
          <t>Vicerrector grado 0065-09 vicerrector
administrativo y financiero</t>
        </is>
      </c>
      <c r="I63" s="114" t="n"/>
      <c r="J63" s="114" t="inlineStr">
        <is>
          <t>viceadministrativa@itc.edu.co</t>
        </is>
      </c>
      <c r="K63" s="114" t="n">
        <v>58</v>
      </c>
      <c r="L63" s="119" t="inlineStr">
        <is>
          <t>130 · Vicerrectoría Administrativa y Financiera</t>
        </is>
      </c>
      <c r="M63" s="120" t="n"/>
      <c r="N63" s="119" t="inlineStr">
        <is>
          <t>Contratación directa</t>
        </is>
      </c>
      <c r="O63" s="119">
        <f>IF(LEN(IF(OR(NOT(ISNUMBER(B63)),LEN(B63)&lt;&gt;8),"UNSPSC vacío, en texto, con varios códigos o sin 8 dígitos; ","")&amp;IF(AND(ISNUMBER(B63),LEN(B63)=8),IF(MOD(B63,10000)=0,"UNSPSC a nivel de segmento o familia; ",""),"")&amp;IF(NOT(ISNUMBER(E63)),"Duración vacía o en texto; ","")&amp;IF(NOT(ISNUMBER(G63)),"Valor vacío o en texto; ","")&amp;IF(ISNUMBER(M63),IF(M63&lt;1000000,"Valor inferior a $1.000.000: verificar; ",""),"Valor no interpretable; ")&amp;IF(N63="[PENDIENTE DE VERIFICAR]","Modalidad no identificable; ","")&amp;IF(OR(ISERROR(SEARCH("@itc.edu.co",J63)),SUMPRODUCT(--ISNUMBER(SEARCH({"á","é","í","ó","ú","ñ"},J63)))&gt;0),"Correo vacío o no institucional válido; ","")&amp;IF(LEN(TRIM(D63))=0,"Sin objeto contractual; ","")&amp;IF(AND(ISNUMBER(M63),N63="Mínima cuantía"),IF(M63&gt;39850000,"Mínima cuantía con valor superior al tope citado en el instructivo 2026 ($39.850.000): verificar modalidad; ",""),"")&amp;IF(AND(ISNUMBER(M63),OR(ISNUMBER(SEARCH("prestación de servicios",D63)),ISNUMBER(SEARCH("prestar servicios",D63)),ISNUMBER(SEARCH("prestar los servicios",D63)))),IF(M63&gt;=500000000,"Prestación de servicios por $500 millones o más: posible error de digitación; ",""),""))=0,"Sin observaciones",IF(OR(NOT(ISNUMBER(B63)),LEN(B63)&lt;&gt;8),"UNSPSC vacío, en texto, con varios códigos o sin 8 dígitos; ","")&amp;IF(AND(ISNUMBER(B63),LEN(B63)=8),IF(MOD(B63,10000)=0,"UNSPSC a nivel de segmento o familia; ",""),"")&amp;IF(NOT(ISNUMBER(E63)),"Duración vacía o en texto; ","")&amp;IF(NOT(ISNUMBER(G63)),"Valor vacío o en texto; ","")&amp;IF(ISNUMBER(M63),IF(M63&lt;1000000,"Valor inferior a $1.000.000: verificar; ",""),"Valor no interpretable; ")&amp;IF(N63="[PENDIENTE DE VERIFICAR]","Modalidad no identificable; ","")&amp;IF(OR(ISERROR(SEARCH("@itc.edu.co",J63)),SUMPRODUCT(--ISNUMBER(SEARCH({"á","é","í","ó","ú","ñ"},J63)))&gt;0),"Correo vacío o no institucional válido; ","")&amp;IF(LEN(TRIM(D63))=0,"Sin objeto contractual; ","")&amp;IF(AND(ISNUMBER(M63),N63="Mínima cuantía"),IF(M63&gt;39850000,"Mínima cuantía con valor superior al tope citado en el instructivo 2026 ($39.850.000): verificar modalidad; ",""),"")&amp;IF(AND(ISNUMBER(M63),OR(ISNUMBER(SEARCH("prestación de servicios",D63)),ISNUMBER(SEARCH("prestar servicios",D63)),ISNUMBER(SEARCH("prestar los servicios",D63)))),IF(M63&gt;=500000000,"Prestación de servicios por $500 millones o más: posible error de digitación; ",""),""))</f>
        <v/>
      </c>
    </row>
    <row r="64" ht="68.40000000000001" customHeight="1" s="23">
      <c r="A64" s="114" t="inlineStr">
        <is>
          <t>PN26-060</t>
        </is>
      </c>
      <c r="B64" s="114" t="n">
        <v>80111600</v>
      </c>
      <c r="C64" s="114" t="inlineStr">
        <is>
          <t xml:space="preserve">Adquisiciones </t>
        </is>
      </c>
      <c r="D64" s="114" t="inlineStr">
        <is>
          <t xml:space="preserve">Prestación de servicios profesionales en el area de adquisiciones para dar tramite a las diferentes etapas de los procesos de contratación que se adelantan en la vicerrectoria administrativa y financiera de la escuela tecnológica instituto tecnico central. </t>
        </is>
      </c>
      <c r="E64" s="114" t="n">
        <v>11</v>
      </c>
      <c r="F64" s="114" t="inlineStr">
        <is>
          <t>DIRECTA</t>
        </is>
      </c>
      <c r="G64" s="118" t="n"/>
      <c r="H64" s="114" t="inlineStr">
        <is>
          <t>Profesional Especializado 2028 grado 15 del área de
adquisiciones de la Vicerrectoría Administrativa y Financiera de la ETITC</t>
        </is>
      </c>
      <c r="I64" s="114" t="n"/>
      <c r="J64" s="114" t="n"/>
      <c r="K64" s="114" t="n">
        <v>59</v>
      </c>
      <c r="L64" s="119" t="inlineStr">
        <is>
          <t>130 · Vicerrectoría Administrativa y Financiera</t>
        </is>
      </c>
      <c r="M64" s="120" t="n"/>
      <c r="N64" s="119" t="inlineStr">
        <is>
          <t>Contratación directa</t>
        </is>
      </c>
      <c r="O64" s="119">
        <f>IF(LEN(IF(OR(NOT(ISNUMBER(B64)),LEN(B64)&lt;&gt;8),"UNSPSC vacío, en texto, con varios códigos o sin 8 dígitos; ","")&amp;IF(AND(ISNUMBER(B64),LEN(B64)=8),IF(MOD(B64,10000)=0,"UNSPSC a nivel de segmento o familia; ",""),"")&amp;IF(NOT(ISNUMBER(E64)),"Duración vacía o en texto; ","")&amp;IF(NOT(ISNUMBER(G64)),"Valor vacío o en texto; ","")&amp;IF(ISNUMBER(M64),IF(M64&lt;1000000,"Valor inferior a $1.000.000: verificar; ",""),"Valor no interpretable; ")&amp;IF(N64="[PENDIENTE DE VERIFICAR]","Modalidad no identificable; ","")&amp;IF(OR(ISERROR(SEARCH("@itc.edu.co",J64)),SUMPRODUCT(--ISNUMBER(SEARCH({"á","é","í","ó","ú","ñ"},J64)))&gt;0),"Correo vacío o no institucional válido; ","")&amp;IF(LEN(TRIM(D64))=0,"Sin objeto contractual; ","")&amp;IF(AND(ISNUMBER(M64),N64="Mínima cuantía"),IF(M64&gt;39850000,"Mínima cuantía con valor superior al tope citado en el instructivo 2026 ($39.850.000): verificar modalidad; ",""),"")&amp;IF(AND(ISNUMBER(M64),OR(ISNUMBER(SEARCH("prestación de servicios",D64)),ISNUMBER(SEARCH("prestar servicios",D64)),ISNUMBER(SEARCH("prestar los servicios",D64)))),IF(M64&gt;=500000000,"Prestación de servicios por $500 millones o más: posible error de digitación; ",""),""))=0,"Sin observaciones",IF(OR(NOT(ISNUMBER(B64)),LEN(B64)&lt;&gt;8),"UNSPSC vacío, en texto, con varios códigos o sin 8 dígitos; ","")&amp;IF(AND(ISNUMBER(B64),LEN(B64)=8),IF(MOD(B64,10000)=0,"UNSPSC a nivel de segmento o familia; ",""),"")&amp;IF(NOT(ISNUMBER(E64)),"Duración vacía o en texto; ","")&amp;IF(NOT(ISNUMBER(G64)),"Valor vacío o en texto; ","")&amp;IF(ISNUMBER(M64),IF(M64&lt;1000000,"Valor inferior a $1.000.000: verificar; ",""),"Valor no interpretable; ")&amp;IF(N64="[PENDIENTE DE VERIFICAR]","Modalidad no identificable; ","")&amp;IF(OR(ISERROR(SEARCH("@itc.edu.co",J64)),SUMPRODUCT(--ISNUMBER(SEARCH({"á","é","í","ó","ú","ñ"},J64)))&gt;0),"Correo vacío o no institucional válido; ","")&amp;IF(LEN(TRIM(D64))=0,"Sin objeto contractual; ","")&amp;IF(AND(ISNUMBER(M64),N64="Mínima cuantía"),IF(M64&gt;39850000,"Mínima cuantía con valor superior al tope citado en el instructivo 2026 ($39.850.000): verificar modalidad; ",""),"")&amp;IF(AND(ISNUMBER(M64),OR(ISNUMBER(SEARCH("prestación de servicios",D64)),ISNUMBER(SEARCH("prestar servicios",D64)),ISNUMBER(SEARCH("prestar los servicios",D64)))),IF(M64&gt;=500000000,"Prestación de servicios por $500 millones o más: posible error de digitación; ",""),""))</f>
        <v/>
      </c>
    </row>
    <row r="65" ht="45.6" customHeight="1" s="23">
      <c r="A65" s="114" t="inlineStr">
        <is>
          <t>PN26-061</t>
        </is>
      </c>
      <c r="B65" s="114" t="n">
        <v>80111600</v>
      </c>
      <c r="C65" s="114" t="inlineStr">
        <is>
          <t>Apoyo almacen</t>
        </is>
      </c>
      <c r="D65" s="114" t="inlineStr">
        <is>
          <t xml:space="preserve">Prestación de servicios como apoyo a la gestión en el area de almacén para el desarrollo de las actividades que permitan realizar todos los registros en la plataforma tecnológica mantum de la escuela tecnologica instituto tecnico central y sus sedes. </t>
        </is>
      </c>
      <c r="E65" s="114" t="n">
        <v>11</v>
      </c>
      <c r="F65" s="114" t="inlineStr">
        <is>
          <t>DIRECTA</t>
        </is>
      </c>
      <c r="G65" s="118" t="n">
        <v>30729326</v>
      </c>
      <c r="H65" s="114" t="inlineStr">
        <is>
          <t>Profesional del area de almacen general</t>
        </is>
      </c>
      <c r="I65" s="114" t="n"/>
      <c r="J65" s="114" t="inlineStr">
        <is>
          <t>almacen@itc.edu.co</t>
        </is>
      </c>
      <c r="K65" s="114" t="n">
        <v>60</v>
      </c>
      <c r="L65" s="119" t="inlineStr">
        <is>
          <t>130 · Vicerrectoría Administrativa y Financiera</t>
        </is>
      </c>
      <c r="M65" s="120" t="n">
        <v>30729326</v>
      </c>
      <c r="N65" s="119" t="inlineStr">
        <is>
          <t>Contratación directa</t>
        </is>
      </c>
      <c r="O65" s="119">
        <f>IF(LEN(IF(OR(NOT(ISNUMBER(B65)),LEN(B65)&lt;&gt;8),"UNSPSC vacío, en texto, con varios códigos o sin 8 dígitos; ","")&amp;IF(AND(ISNUMBER(B65),LEN(B65)=8),IF(MOD(B65,10000)=0,"UNSPSC a nivel de segmento o familia; ",""),"")&amp;IF(NOT(ISNUMBER(E65)),"Duración vacía o en texto; ","")&amp;IF(NOT(ISNUMBER(G65)),"Valor vacío o en texto; ","")&amp;IF(ISNUMBER(M65),IF(M65&lt;1000000,"Valor inferior a $1.000.000: verificar; ",""),"Valor no interpretable; ")&amp;IF(N65="[PENDIENTE DE VERIFICAR]","Modalidad no identificable; ","")&amp;IF(OR(ISERROR(SEARCH("@itc.edu.co",J65)),SUMPRODUCT(--ISNUMBER(SEARCH({"á","é","í","ó","ú","ñ"},J65)))&gt;0),"Correo vacío o no institucional válido; ","")&amp;IF(LEN(TRIM(D65))=0,"Sin objeto contractual; ","")&amp;IF(AND(ISNUMBER(M65),N65="Mínima cuantía"),IF(M65&gt;39850000,"Mínima cuantía con valor superior al tope citado en el instructivo 2026 ($39.850.000): verificar modalidad; ",""),"")&amp;IF(AND(ISNUMBER(M65),OR(ISNUMBER(SEARCH("prestación de servicios",D65)),ISNUMBER(SEARCH("prestar servicios",D65)),ISNUMBER(SEARCH("prestar los servicios",D65)))),IF(M65&gt;=500000000,"Prestación de servicios por $500 millones o más: posible error de digitación; ",""),""))=0,"Sin observaciones",IF(OR(NOT(ISNUMBER(B65)),LEN(B65)&lt;&gt;8),"UNSPSC vacío, en texto, con varios códigos o sin 8 dígitos; ","")&amp;IF(AND(ISNUMBER(B65),LEN(B65)=8),IF(MOD(B65,10000)=0,"UNSPSC a nivel de segmento o familia; ",""),"")&amp;IF(NOT(ISNUMBER(E65)),"Duración vacía o en texto; ","")&amp;IF(NOT(ISNUMBER(G65)),"Valor vacío o en texto; ","")&amp;IF(ISNUMBER(M65),IF(M65&lt;1000000,"Valor inferior a $1.000.000: verificar; ",""),"Valor no interpretable; ")&amp;IF(N65="[PENDIENTE DE VERIFICAR]","Modalidad no identificable; ","")&amp;IF(OR(ISERROR(SEARCH("@itc.edu.co",J65)),SUMPRODUCT(--ISNUMBER(SEARCH({"á","é","í","ó","ú","ñ"},J65)))&gt;0),"Correo vacío o no institucional válido; ","")&amp;IF(LEN(TRIM(D65))=0,"Sin objeto contractual; ","")&amp;IF(AND(ISNUMBER(M65),N65="Mínima cuantía"),IF(M65&gt;39850000,"Mínima cuantía con valor superior al tope citado en el instructivo 2026 ($39.850.000): verificar modalidad; ",""),"")&amp;IF(AND(ISNUMBER(M65),OR(ISNUMBER(SEARCH("prestación de servicios",D65)),ISNUMBER(SEARCH("prestar servicios",D65)),ISNUMBER(SEARCH("prestar los servicios",D65)))),IF(M65&gt;=500000000,"Prestación de servicios por $500 millones o más: posible error de digitación; ",""),""))</f>
        <v/>
      </c>
    </row>
    <row r="66" ht="45.6" customHeight="1" s="23">
      <c r="A66" s="114" t="inlineStr">
        <is>
          <t>PN26-062</t>
        </is>
      </c>
      <c r="B66" s="114" t="n">
        <v>80111600</v>
      </c>
      <c r="C66" s="114" t="inlineStr">
        <is>
          <t>Profesional almacen</t>
        </is>
      </c>
      <c r="D66" s="114" t="inlineStr">
        <is>
          <t xml:space="preserve">Prestación de servicios profesionales para la vicerrectoria administrativoa y financiera como apoyo para el proeso de gestion de recursos fisicios - almacén general en las actividadades administrativas de la escuela tecnologica instituto tecnico central – etitc. </t>
        </is>
      </c>
      <c r="E66" s="114" t="n">
        <v>11</v>
      </c>
      <c r="F66" s="114" t="inlineStr">
        <is>
          <t>DIRECTA</t>
        </is>
      </c>
      <c r="G66" s="118" t="n">
        <v>60146667</v>
      </c>
      <c r="H66" s="114" t="inlineStr">
        <is>
          <t>Vicerrector administrativo y financiero
y/o quien haga sus veces</t>
        </is>
      </c>
      <c r="I66" s="114" t="n"/>
      <c r="J66" s="114" t="inlineStr">
        <is>
          <t>viceadministrativa@itc.edu.co</t>
        </is>
      </c>
      <c r="K66" s="114" t="n">
        <v>61</v>
      </c>
      <c r="L66" s="119" t="inlineStr">
        <is>
          <t>130 · Vicerrectoría Administrativa y Financiera</t>
        </is>
      </c>
      <c r="M66" s="120" t="n">
        <v>60146667</v>
      </c>
      <c r="N66" s="119" t="inlineStr">
        <is>
          <t>Contratación directa</t>
        </is>
      </c>
      <c r="O66" s="119">
        <f>IF(LEN(IF(OR(NOT(ISNUMBER(B66)),LEN(B66)&lt;&gt;8),"UNSPSC vacío, en texto, con varios códigos o sin 8 dígitos; ","")&amp;IF(AND(ISNUMBER(B66),LEN(B66)=8),IF(MOD(B66,10000)=0,"UNSPSC a nivel de segmento o familia; ",""),"")&amp;IF(NOT(ISNUMBER(E66)),"Duración vacía o en texto; ","")&amp;IF(NOT(ISNUMBER(G66)),"Valor vacío o en texto; ","")&amp;IF(ISNUMBER(M66),IF(M66&lt;1000000,"Valor inferior a $1.000.000: verificar; ",""),"Valor no interpretable; ")&amp;IF(N66="[PENDIENTE DE VERIFICAR]","Modalidad no identificable; ","")&amp;IF(OR(ISERROR(SEARCH("@itc.edu.co",J66)),SUMPRODUCT(--ISNUMBER(SEARCH({"á","é","í","ó","ú","ñ"},J66)))&gt;0),"Correo vacío o no institucional válido; ","")&amp;IF(LEN(TRIM(D66))=0,"Sin objeto contractual; ","")&amp;IF(AND(ISNUMBER(M66),N66="Mínima cuantía"),IF(M66&gt;39850000,"Mínima cuantía con valor superior al tope citado en el instructivo 2026 ($39.850.000): verificar modalidad; ",""),"")&amp;IF(AND(ISNUMBER(M66),OR(ISNUMBER(SEARCH("prestación de servicios",D66)),ISNUMBER(SEARCH("prestar servicios",D66)),ISNUMBER(SEARCH("prestar los servicios",D66)))),IF(M66&gt;=500000000,"Prestación de servicios por $500 millones o más: posible error de digitación; ",""),""))=0,"Sin observaciones",IF(OR(NOT(ISNUMBER(B66)),LEN(B66)&lt;&gt;8),"UNSPSC vacío, en texto, con varios códigos o sin 8 dígitos; ","")&amp;IF(AND(ISNUMBER(B66),LEN(B66)=8),IF(MOD(B66,10000)=0,"UNSPSC a nivel de segmento o familia; ",""),"")&amp;IF(NOT(ISNUMBER(E66)),"Duración vacía o en texto; ","")&amp;IF(NOT(ISNUMBER(G66)),"Valor vacío o en texto; ","")&amp;IF(ISNUMBER(M66),IF(M66&lt;1000000,"Valor inferior a $1.000.000: verificar; ",""),"Valor no interpretable; ")&amp;IF(N66="[PENDIENTE DE VERIFICAR]","Modalidad no identificable; ","")&amp;IF(OR(ISERROR(SEARCH("@itc.edu.co",J66)),SUMPRODUCT(--ISNUMBER(SEARCH({"á","é","í","ó","ú","ñ"},J66)))&gt;0),"Correo vacío o no institucional válido; ","")&amp;IF(LEN(TRIM(D66))=0,"Sin objeto contractual; ","")&amp;IF(AND(ISNUMBER(M66),N66="Mínima cuantía"),IF(M66&gt;39850000,"Mínima cuantía con valor superior al tope citado en el instructivo 2026 ($39.850.000): verificar modalidad; ",""),"")&amp;IF(AND(ISNUMBER(M66),OR(ISNUMBER(SEARCH("prestación de servicios",D66)),ISNUMBER(SEARCH("prestar servicios",D66)),ISNUMBER(SEARCH("prestar los servicios",D66)))),IF(M66&gt;=500000000,"Prestación de servicios por $500 millones o más: posible error de digitación; ",""),""))</f>
        <v/>
      </c>
    </row>
    <row r="67" ht="45.6" customHeight="1" s="23">
      <c r="A67" s="114" t="inlineStr">
        <is>
          <t>PN26-063</t>
        </is>
      </c>
      <c r="B67" s="114" t="n">
        <v>81111600</v>
      </c>
      <c r="C67" s="114" t="inlineStr">
        <is>
          <t>Auxiliar tesoreria</t>
        </is>
      </c>
      <c r="D67" s="114" t="inlineStr">
        <is>
          <t xml:space="preserve">prestación de servicios profesionales como apoyo a la gestión por sus propios medios y con plena autonomía para apoyar el área de tesorería de la escuela tecnológica instituto técnico central en los servicios y actividades que allí se adelantan. </t>
        </is>
      </c>
      <c r="E67" s="114" t="n">
        <v>11</v>
      </c>
      <c r="F67" s="114" t="inlineStr">
        <is>
          <t>DIRECTA</t>
        </is>
      </c>
      <c r="G67" s="118" t="n"/>
      <c r="H67" s="114" t="inlineStr">
        <is>
          <t>Tesorera de la ETITC</t>
        </is>
      </c>
      <c r="I67" s="114" t="n"/>
      <c r="J67" s="114" t="inlineStr">
        <is>
          <t>tesoreria@itc.edu.co</t>
        </is>
      </c>
      <c r="K67" s="114" t="n">
        <v>62</v>
      </c>
      <c r="L67" s="119" t="inlineStr">
        <is>
          <t>130 · Vicerrectoría Administrativa y Financiera</t>
        </is>
      </c>
      <c r="M67" s="120" t="n"/>
      <c r="N67" s="119" t="inlineStr">
        <is>
          <t>Contratación directa</t>
        </is>
      </c>
      <c r="O67" s="119">
        <f>IF(LEN(IF(OR(NOT(ISNUMBER(B67)),LEN(B67)&lt;&gt;8),"UNSPSC vacío, en texto, con varios códigos o sin 8 dígitos; ","")&amp;IF(AND(ISNUMBER(B67),LEN(B67)=8),IF(MOD(B67,10000)=0,"UNSPSC a nivel de segmento o familia; ",""),"")&amp;IF(NOT(ISNUMBER(E67)),"Duración vacía o en texto; ","")&amp;IF(NOT(ISNUMBER(G67)),"Valor vacío o en texto; ","")&amp;IF(ISNUMBER(M67),IF(M67&lt;1000000,"Valor inferior a $1.000.000: verificar; ",""),"Valor no interpretable; ")&amp;IF(N67="[PENDIENTE DE VERIFICAR]","Modalidad no identificable; ","")&amp;IF(OR(ISERROR(SEARCH("@itc.edu.co",J67)),SUMPRODUCT(--ISNUMBER(SEARCH({"á","é","í","ó","ú","ñ"},J67)))&gt;0),"Correo vacío o no institucional válido; ","")&amp;IF(LEN(TRIM(D67))=0,"Sin objeto contractual; ","")&amp;IF(AND(ISNUMBER(M67),N67="Mínima cuantía"),IF(M67&gt;39850000,"Mínima cuantía con valor superior al tope citado en el instructivo 2026 ($39.850.000): verificar modalidad; ",""),"")&amp;IF(AND(ISNUMBER(M67),OR(ISNUMBER(SEARCH("prestación de servicios",D67)),ISNUMBER(SEARCH("prestar servicios",D67)),ISNUMBER(SEARCH("prestar los servicios",D67)))),IF(M67&gt;=500000000,"Prestación de servicios por $500 millones o más: posible error de digitación; ",""),""))=0,"Sin observaciones",IF(OR(NOT(ISNUMBER(B67)),LEN(B67)&lt;&gt;8),"UNSPSC vacío, en texto, con varios códigos o sin 8 dígitos; ","")&amp;IF(AND(ISNUMBER(B67),LEN(B67)=8),IF(MOD(B67,10000)=0,"UNSPSC a nivel de segmento o familia; ",""),"")&amp;IF(NOT(ISNUMBER(E67)),"Duración vacía o en texto; ","")&amp;IF(NOT(ISNUMBER(G67)),"Valor vacío o en texto; ","")&amp;IF(ISNUMBER(M67),IF(M67&lt;1000000,"Valor inferior a $1.000.000: verificar; ",""),"Valor no interpretable; ")&amp;IF(N67="[PENDIENTE DE VERIFICAR]","Modalidad no identificable; ","")&amp;IF(OR(ISERROR(SEARCH("@itc.edu.co",J67)),SUMPRODUCT(--ISNUMBER(SEARCH({"á","é","í","ó","ú","ñ"},J67)))&gt;0),"Correo vacío o no institucional válido; ","")&amp;IF(LEN(TRIM(D67))=0,"Sin objeto contractual; ","")&amp;IF(AND(ISNUMBER(M67),N67="Mínima cuantía"),IF(M67&gt;39850000,"Mínima cuantía con valor superior al tope citado en el instructivo 2026 ($39.850.000): verificar modalidad; ",""),"")&amp;IF(AND(ISNUMBER(M67),OR(ISNUMBER(SEARCH("prestación de servicios",D67)),ISNUMBER(SEARCH("prestar servicios",D67)),ISNUMBER(SEARCH("prestar los servicios",D67)))),IF(M67&gt;=500000000,"Prestación de servicios por $500 millones o más: posible error de digitación; ",""),""))</f>
        <v/>
      </c>
    </row>
    <row r="68" ht="45.6" customHeight="1" s="23">
      <c r="A68" s="114" t="inlineStr">
        <is>
          <t>PN26-064</t>
        </is>
      </c>
      <c r="B68" s="114" t="n">
        <v>81111600</v>
      </c>
      <c r="C68" s="114" t="inlineStr">
        <is>
          <t>Apoyo tecnico</t>
        </is>
      </c>
      <c r="D68" s="114" t="inlineStr">
        <is>
          <t xml:space="preserve">Prestación de servicios en la vicerrectoría administrativa y financiera para apoyar las actividades y el desarrollo de labores de la cadena financiera en la escuela tecnologica instituto técnico central y sus sedes para la vigencia 2026, de acuerdo con las normas vigentes. </t>
        </is>
      </c>
      <c r="E68" s="114" t="n">
        <v>11</v>
      </c>
      <c r="F68" s="114" t="inlineStr">
        <is>
          <t>DIRECTA</t>
        </is>
      </c>
      <c r="G68" s="118" t="n">
        <v>4013333</v>
      </c>
      <c r="H68" s="114" t="inlineStr">
        <is>
          <t>Vicerrector administrativo y financiero</t>
        </is>
      </c>
      <c r="I68" s="114" t="n"/>
      <c r="J68" s="114" t="inlineStr">
        <is>
          <t>viceadministrativa@itc.edu.co</t>
        </is>
      </c>
      <c r="K68" s="114" t="n">
        <v>63</v>
      </c>
      <c r="L68" s="119" t="inlineStr">
        <is>
          <t>130 · Vicerrectoría Administrativa y Financiera</t>
        </is>
      </c>
      <c r="M68" s="120" t="n">
        <v>4013333</v>
      </c>
      <c r="N68" s="119" t="inlineStr">
        <is>
          <t>Contratación directa</t>
        </is>
      </c>
      <c r="O68" s="119">
        <f>IF(LEN(IF(OR(NOT(ISNUMBER(B68)),LEN(B68)&lt;&gt;8),"UNSPSC vacío, en texto, con varios códigos o sin 8 dígitos; ","")&amp;IF(AND(ISNUMBER(B68),LEN(B68)=8),IF(MOD(B68,10000)=0,"UNSPSC a nivel de segmento o familia; ",""),"")&amp;IF(NOT(ISNUMBER(E68)),"Duración vacía o en texto; ","")&amp;IF(NOT(ISNUMBER(G68)),"Valor vacío o en texto; ","")&amp;IF(ISNUMBER(M68),IF(M68&lt;1000000,"Valor inferior a $1.000.000: verificar; ",""),"Valor no interpretable; ")&amp;IF(N68="[PENDIENTE DE VERIFICAR]","Modalidad no identificable; ","")&amp;IF(OR(ISERROR(SEARCH("@itc.edu.co",J68)),SUMPRODUCT(--ISNUMBER(SEARCH({"á","é","í","ó","ú","ñ"},J68)))&gt;0),"Correo vacío o no institucional válido; ","")&amp;IF(LEN(TRIM(D68))=0,"Sin objeto contractual; ","")&amp;IF(AND(ISNUMBER(M68),N68="Mínima cuantía"),IF(M68&gt;39850000,"Mínima cuantía con valor superior al tope citado en el instructivo 2026 ($39.850.000): verificar modalidad; ",""),"")&amp;IF(AND(ISNUMBER(M68),OR(ISNUMBER(SEARCH("prestación de servicios",D68)),ISNUMBER(SEARCH("prestar servicios",D68)),ISNUMBER(SEARCH("prestar los servicios",D68)))),IF(M68&gt;=500000000,"Prestación de servicios por $500 millones o más: posible error de digitación; ",""),""))=0,"Sin observaciones",IF(OR(NOT(ISNUMBER(B68)),LEN(B68)&lt;&gt;8),"UNSPSC vacío, en texto, con varios códigos o sin 8 dígitos; ","")&amp;IF(AND(ISNUMBER(B68),LEN(B68)=8),IF(MOD(B68,10000)=0,"UNSPSC a nivel de segmento o familia; ",""),"")&amp;IF(NOT(ISNUMBER(E68)),"Duración vacía o en texto; ","")&amp;IF(NOT(ISNUMBER(G68)),"Valor vacío o en texto; ","")&amp;IF(ISNUMBER(M68),IF(M68&lt;1000000,"Valor inferior a $1.000.000: verificar; ",""),"Valor no interpretable; ")&amp;IF(N68="[PENDIENTE DE VERIFICAR]","Modalidad no identificable; ","")&amp;IF(OR(ISERROR(SEARCH("@itc.edu.co",J68)),SUMPRODUCT(--ISNUMBER(SEARCH({"á","é","í","ó","ú","ñ"},J68)))&gt;0),"Correo vacío o no institucional válido; ","")&amp;IF(LEN(TRIM(D68))=0,"Sin objeto contractual; ","")&amp;IF(AND(ISNUMBER(M68),N68="Mínima cuantía"),IF(M68&gt;39850000,"Mínima cuantía con valor superior al tope citado en el instructivo 2026 ($39.850.000): verificar modalidad; ",""),"")&amp;IF(AND(ISNUMBER(M68),OR(ISNUMBER(SEARCH("prestación de servicios",D68)),ISNUMBER(SEARCH("prestar servicios",D68)),ISNUMBER(SEARCH("prestar los servicios",D68)))),IF(M68&gt;=500000000,"Prestación de servicios por $500 millones o más: posible error de digitación; ",""),""))</f>
        <v/>
      </c>
    </row>
    <row r="69" ht="22.8" customHeight="1" s="23">
      <c r="A69" s="114" t="inlineStr">
        <is>
          <t>PN26-065</t>
        </is>
      </c>
      <c r="B69" s="114" t="n">
        <v>81111600</v>
      </c>
      <c r="C69" s="114" t="inlineStr">
        <is>
          <t>Apoyo profesional</t>
        </is>
      </c>
      <c r="D69" s="114" t="inlineStr">
        <is>
          <t xml:space="preserve">Prestación de servicios profesionales especializados para apoyar el proceso de gestion financiera de la escuela tecnologica instituto tecnico central </t>
        </is>
      </c>
      <c r="E69" s="114" t="n">
        <v>11</v>
      </c>
      <c r="F69" s="114" t="inlineStr">
        <is>
          <t>DIRECTA</t>
        </is>
      </c>
      <c r="G69" s="118" t="n">
        <v>21000000</v>
      </c>
      <c r="H69" s="114" t="inlineStr">
        <is>
          <t>Vicerrector Administrativo y Financiero de la ETITC</t>
        </is>
      </c>
      <c r="I69" s="114" t="n"/>
      <c r="J69" s="114" t="inlineStr">
        <is>
          <t>viceadministrativa@itc.edu.co</t>
        </is>
      </c>
      <c r="K69" s="114" t="n">
        <v>64</v>
      </c>
      <c r="L69" s="119" t="inlineStr">
        <is>
          <t>130 · Vicerrectoría Administrativa y Financiera</t>
        </is>
      </c>
      <c r="M69" s="120" t="n">
        <v>21000000</v>
      </c>
      <c r="N69" s="119" t="inlineStr">
        <is>
          <t>Contratación directa</t>
        </is>
      </c>
      <c r="O69" s="119">
        <f>IF(LEN(IF(OR(NOT(ISNUMBER(B69)),LEN(B69)&lt;&gt;8),"UNSPSC vacío, en texto, con varios códigos o sin 8 dígitos; ","")&amp;IF(AND(ISNUMBER(B69),LEN(B69)=8),IF(MOD(B69,10000)=0,"UNSPSC a nivel de segmento o familia; ",""),"")&amp;IF(NOT(ISNUMBER(E69)),"Duración vacía o en texto; ","")&amp;IF(NOT(ISNUMBER(G69)),"Valor vacío o en texto; ","")&amp;IF(ISNUMBER(M69),IF(M69&lt;1000000,"Valor inferior a $1.000.000: verificar; ",""),"Valor no interpretable; ")&amp;IF(N69="[PENDIENTE DE VERIFICAR]","Modalidad no identificable; ","")&amp;IF(OR(ISERROR(SEARCH("@itc.edu.co",J69)),SUMPRODUCT(--ISNUMBER(SEARCH({"á","é","í","ó","ú","ñ"},J69)))&gt;0),"Correo vacío o no institucional válido; ","")&amp;IF(LEN(TRIM(D69))=0,"Sin objeto contractual; ","")&amp;IF(AND(ISNUMBER(M69),N69="Mínima cuantía"),IF(M69&gt;39850000,"Mínima cuantía con valor superior al tope citado en el instructivo 2026 ($39.850.000): verificar modalidad; ",""),"")&amp;IF(AND(ISNUMBER(M69),OR(ISNUMBER(SEARCH("prestación de servicios",D69)),ISNUMBER(SEARCH("prestar servicios",D69)),ISNUMBER(SEARCH("prestar los servicios",D69)))),IF(M69&gt;=500000000,"Prestación de servicios por $500 millones o más: posible error de digitación; ",""),""))=0,"Sin observaciones",IF(OR(NOT(ISNUMBER(B69)),LEN(B69)&lt;&gt;8),"UNSPSC vacío, en texto, con varios códigos o sin 8 dígitos; ","")&amp;IF(AND(ISNUMBER(B69),LEN(B69)=8),IF(MOD(B69,10000)=0,"UNSPSC a nivel de segmento o familia; ",""),"")&amp;IF(NOT(ISNUMBER(E69)),"Duración vacía o en texto; ","")&amp;IF(NOT(ISNUMBER(G69)),"Valor vacío o en texto; ","")&amp;IF(ISNUMBER(M69),IF(M69&lt;1000000,"Valor inferior a $1.000.000: verificar; ",""),"Valor no interpretable; ")&amp;IF(N69="[PENDIENTE DE VERIFICAR]","Modalidad no identificable; ","")&amp;IF(OR(ISERROR(SEARCH("@itc.edu.co",J69)),SUMPRODUCT(--ISNUMBER(SEARCH({"á","é","í","ó","ú","ñ"},J69)))&gt;0),"Correo vacío o no institucional válido; ","")&amp;IF(LEN(TRIM(D69))=0,"Sin objeto contractual; ","")&amp;IF(AND(ISNUMBER(M69),N69="Mínima cuantía"),IF(M69&gt;39850000,"Mínima cuantía con valor superior al tope citado en el instructivo 2026 ($39.850.000): verificar modalidad; ",""),"")&amp;IF(AND(ISNUMBER(M69),OR(ISNUMBER(SEARCH("prestación de servicios",D69)),ISNUMBER(SEARCH("prestar servicios",D69)),ISNUMBER(SEARCH("prestar los servicios",D69)))),IF(M69&gt;=500000000,"Prestación de servicios por $500 millones o más: posible error de digitación; ",""),""))</f>
        <v/>
      </c>
    </row>
    <row r="70" ht="68.40000000000001" customHeight="1" s="23">
      <c r="A70" s="114" t="inlineStr">
        <is>
          <t>PN26-066</t>
        </is>
      </c>
      <c r="B70" s="114" t="n">
        <v>81111600</v>
      </c>
      <c r="C70" s="114" t="inlineStr">
        <is>
          <t xml:space="preserve">Apoyo oficina de personal </t>
        </is>
      </c>
      <c r="D70" s="114" t="inlineStr">
        <is>
          <t>Prestación de servicios profesionales, por sus propios medios y con plena autonomía técnica, administrativa para el desarrollo de las actividades del área de talento humano, en la expedicion de certificaciones con fines pensionales, revision de nomina, depuracion de deudas de fondos pensionales, eps y arl, diligenciamiento archivo y cargue de informacion docentes en la plataforma snies</t>
        </is>
      </c>
      <c r="E70" s="114" t="n">
        <v>11</v>
      </c>
      <c r="F70" s="114" t="inlineStr">
        <is>
          <t>DIRECTA</t>
        </is>
      </c>
      <c r="G70" s="118" t="n">
        <v>43494594</v>
      </c>
      <c r="H70" s="114" t="inlineStr">
        <is>
          <t>Profesional de Talento Humano de la ETITC</t>
        </is>
      </c>
      <c r="I70" s="114" t="n"/>
      <c r="J70" s="114" t="n"/>
      <c r="K70" s="114" t="n">
        <v>65</v>
      </c>
      <c r="L70" s="119" t="inlineStr">
        <is>
          <t>133 · GIT Gestión de Talento Humano</t>
        </is>
      </c>
      <c r="M70" s="120" t="n">
        <v>43494594</v>
      </c>
      <c r="N70" s="119" t="inlineStr">
        <is>
          <t>Contratación directa</t>
        </is>
      </c>
      <c r="O70" s="119">
        <f>IF(LEN(IF(OR(NOT(ISNUMBER(B70)),LEN(B70)&lt;&gt;8),"UNSPSC vacío, en texto, con varios códigos o sin 8 dígitos; ","")&amp;IF(AND(ISNUMBER(B70),LEN(B70)=8),IF(MOD(B70,10000)=0,"UNSPSC a nivel de segmento o familia; ",""),"")&amp;IF(NOT(ISNUMBER(E70)),"Duración vacía o en texto; ","")&amp;IF(NOT(ISNUMBER(G70)),"Valor vacío o en texto; ","")&amp;IF(ISNUMBER(M70),IF(M70&lt;1000000,"Valor inferior a $1.000.000: verificar; ",""),"Valor no interpretable; ")&amp;IF(N70="[PENDIENTE DE VERIFICAR]","Modalidad no identificable; ","")&amp;IF(OR(ISERROR(SEARCH("@itc.edu.co",J70)),SUMPRODUCT(--ISNUMBER(SEARCH({"á","é","í","ó","ú","ñ"},J70)))&gt;0),"Correo vacío o no institucional válido; ","")&amp;IF(LEN(TRIM(D70))=0,"Sin objeto contractual; ","")&amp;IF(AND(ISNUMBER(M70),N70="Mínima cuantía"),IF(M70&gt;39850000,"Mínima cuantía con valor superior al tope citado en el instructivo 2026 ($39.850.000): verificar modalidad; ",""),"")&amp;IF(AND(ISNUMBER(M70),OR(ISNUMBER(SEARCH("prestación de servicios",D70)),ISNUMBER(SEARCH("prestar servicios",D70)),ISNUMBER(SEARCH("prestar los servicios",D70)))),IF(M70&gt;=500000000,"Prestación de servicios por $500 millones o más: posible error de digitación; ",""),""))=0,"Sin observaciones",IF(OR(NOT(ISNUMBER(B70)),LEN(B70)&lt;&gt;8),"UNSPSC vacío, en texto, con varios códigos o sin 8 dígitos; ","")&amp;IF(AND(ISNUMBER(B70),LEN(B70)=8),IF(MOD(B70,10000)=0,"UNSPSC a nivel de segmento o familia; ",""),"")&amp;IF(NOT(ISNUMBER(E70)),"Duración vacía o en texto; ","")&amp;IF(NOT(ISNUMBER(G70)),"Valor vacío o en texto; ","")&amp;IF(ISNUMBER(M70),IF(M70&lt;1000000,"Valor inferior a $1.000.000: verificar; ",""),"Valor no interpretable; ")&amp;IF(N70="[PENDIENTE DE VERIFICAR]","Modalidad no identificable; ","")&amp;IF(OR(ISERROR(SEARCH("@itc.edu.co",J70)),SUMPRODUCT(--ISNUMBER(SEARCH({"á","é","í","ó","ú","ñ"},J70)))&gt;0),"Correo vacío o no institucional válido; ","")&amp;IF(LEN(TRIM(D70))=0,"Sin objeto contractual; ","")&amp;IF(AND(ISNUMBER(M70),N70="Mínima cuantía"),IF(M70&gt;39850000,"Mínima cuantía con valor superior al tope citado en el instructivo 2026 ($39.850.000): verificar modalidad; ",""),"")&amp;IF(AND(ISNUMBER(M70),OR(ISNUMBER(SEARCH("prestación de servicios",D70)),ISNUMBER(SEARCH("prestar servicios",D70)),ISNUMBER(SEARCH("prestar los servicios",D70)))),IF(M70&gt;=500000000,"Prestación de servicios por $500 millones o más: posible error de digitación; ",""),""))</f>
        <v/>
      </c>
    </row>
    <row r="71" ht="45.6" customHeight="1" s="23">
      <c r="A71" s="114" t="inlineStr">
        <is>
          <t>PN26-067</t>
        </is>
      </c>
      <c r="B71" s="114" t="n">
        <v>81111600</v>
      </c>
      <c r="C71" s="114" t="inlineStr">
        <is>
          <t xml:space="preserve">Infraestructura  electrica </t>
        </is>
      </c>
      <c r="D71" s="114" t="inlineStr">
        <is>
          <t xml:space="preserve">Prestación de servicios como apoyo a la gestión del área de infraestructura eléctrica para desarrollar las actividades de adecuación de sistemas eléctricos normalizados y especiales de la escuela tecnológica instituto técnico central y sus sedes y/o extensiones y/o convenios interinstitucionales a nivel nacional. </t>
        </is>
      </c>
      <c r="E71" s="114" t="n">
        <v>11</v>
      </c>
      <c r="F71" s="114" t="inlineStr">
        <is>
          <t>DIRECTA</t>
        </is>
      </c>
      <c r="G71" s="118" t="n">
        <v>36862031</v>
      </c>
      <c r="H71" s="114" t="inlineStr">
        <is>
          <t>Técnico operativo 3232 grado 09</t>
        </is>
      </c>
      <c r="I71" s="114" t="n"/>
      <c r="J71" s="114" t="n"/>
      <c r="K71" s="114" t="n">
        <v>66</v>
      </c>
      <c r="L71" s="119" t="inlineStr">
        <is>
          <t>130 · Vicerrectoría Administrativa y Financiera</t>
        </is>
      </c>
      <c r="M71" s="120" t="n">
        <v>36862031</v>
      </c>
      <c r="N71" s="119" t="inlineStr">
        <is>
          <t>Contratación directa</t>
        </is>
      </c>
      <c r="O71" s="119">
        <f>IF(LEN(IF(OR(NOT(ISNUMBER(B71)),LEN(B71)&lt;&gt;8),"UNSPSC vacío, en texto, con varios códigos o sin 8 dígitos; ","")&amp;IF(AND(ISNUMBER(B71),LEN(B71)=8),IF(MOD(B71,10000)=0,"UNSPSC a nivel de segmento o familia; ",""),"")&amp;IF(NOT(ISNUMBER(E71)),"Duración vacía o en texto; ","")&amp;IF(NOT(ISNUMBER(G71)),"Valor vacío o en texto; ","")&amp;IF(ISNUMBER(M71),IF(M71&lt;1000000,"Valor inferior a $1.000.000: verificar; ",""),"Valor no interpretable; ")&amp;IF(N71="[PENDIENTE DE VERIFICAR]","Modalidad no identificable; ","")&amp;IF(OR(ISERROR(SEARCH("@itc.edu.co",J71)),SUMPRODUCT(--ISNUMBER(SEARCH({"á","é","í","ó","ú","ñ"},J71)))&gt;0),"Correo vacío o no institucional válido; ","")&amp;IF(LEN(TRIM(D71))=0,"Sin objeto contractual; ","")&amp;IF(AND(ISNUMBER(M71),N71="Mínima cuantía"),IF(M71&gt;39850000,"Mínima cuantía con valor superior al tope citado en el instructivo 2026 ($39.850.000): verificar modalidad; ",""),"")&amp;IF(AND(ISNUMBER(M71),OR(ISNUMBER(SEARCH("prestación de servicios",D71)),ISNUMBER(SEARCH("prestar servicios",D71)),ISNUMBER(SEARCH("prestar los servicios",D71)))),IF(M71&gt;=500000000,"Prestación de servicios por $500 millones o más: posible error de digitación; ",""),""))=0,"Sin observaciones",IF(OR(NOT(ISNUMBER(B71)),LEN(B71)&lt;&gt;8),"UNSPSC vacío, en texto, con varios códigos o sin 8 dígitos; ","")&amp;IF(AND(ISNUMBER(B71),LEN(B71)=8),IF(MOD(B71,10000)=0,"UNSPSC a nivel de segmento o familia; ",""),"")&amp;IF(NOT(ISNUMBER(E71)),"Duración vacía o en texto; ","")&amp;IF(NOT(ISNUMBER(G71)),"Valor vacío o en texto; ","")&amp;IF(ISNUMBER(M71),IF(M71&lt;1000000,"Valor inferior a $1.000.000: verificar; ",""),"Valor no interpretable; ")&amp;IF(N71="[PENDIENTE DE VERIFICAR]","Modalidad no identificable; ","")&amp;IF(OR(ISERROR(SEARCH("@itc.edu.co",J71)),SUMPRODUCT(--ISNUMBER(SEARCH({"á","é","í","ó","ú","ñ"},J71)))&gt;0),"Correo vacío o no institucional válido; ","")&amp;IF(LEN(TRIM(D71))=0,"Sin objeto contractual; ","")&amp;IF(AND(ISNUMBER(M71),N71="Mínima cuantía"),IF(M71&gt;39850000,"Mínima cuantía con valor superior al tope citado en el instructivo 2026 ($39.850.000): verificar modalidad; ",""),"")&amp;IF(AND(ISNUMBER(M71),OR(ISNUMBER(SEARCH("prestación de servicios",D71)),ISNUMBER(SEARCH("prestar servicios",D71)),ISNUMBER(SEARCH("prestar los servicios",D71)))),IF(M71&gt;=500000000,"Prestación de servicios por $500 millones o más: posible error de digitación; ",""),""))</f>
        <v/>
      </c>
    </row>
    <row r="72" ht="45.6" customHeight="1" s="23">
      <c r="A72" s="114" t="inlineStr">
        <is>
          <t>PN26-068</t>
        </is>
      </c>
      <c r="B72" s="114" t="n">
        <v>81111600</v>
      </c>
      <c r="C72" s="114" t="inlineStr">
        <is>
          <t xml:space="preserve">Infraestructura  electrica </t>
        </is>
      </c>
      <c r="D72" s="114" t="inlineStr">
        <is>
          <t xml:space="preserve">Prestación de servicios como apoyo a la gestión del área de infraestructura eléctrica para desarrollar las actividades de adecuación de sistemas eléctricos normalizados y especiales de la escuela tecnológica instituto técnico central y sus sedes y/o extensiones y/o convenios interinstitucionales a nivel nacional. </t>
        </is>
      </c>
      <c r="E72" s="114" t="n">
        <v>11</v>
      </c>
      <c r="F72" s="114" t="inlineStr">
        <is>
          <t>DIRECTA</t>
        </is>
      </c>
      <c r="G72" s="118" t="n">
        <v>36862031</v>
      </c>
      <c r="H72" s="114" t="inlineStr">
        <is>
          <t>Técnico operativo 3232 grado 09</t>
        </is>
      </c>
      <c r="I72" s="114" t="n"/>
      <c r="J72" s="114" t="n"/>
      <c r="K72" s="114" t="n">
        <v>67</v>
      </c>
      <c r="L72" s="119" t="inlineStr">
        <is>
          <t>130 · Vicerrectoría Administrativa y Financiera</t>
        </is>
      </c>
      <c r="M72" s="120" t="n">
        <v>36862031</v>
      </c>
      <c r="N72" s="119" t="inlineStr">
        <is>
          <t>Contratación directa</t>
        </is>
      </c>
      <c r="O72" s="119">
        <f>IF(LEN(IF(OR(NOT(ISNUMBER(B72)),LEN(B72)&lt;&gt;8),"UNSPSC vacío, en texto, con varios códigos o sin 8 dígitos; ","")&amp;IF(AND(ISNUMBER(B72),LEN(B72)=8),IF(MOD(B72,10000)=0,"UNSPSC a nivel de segmento o familia; ",""),"")&amp;IF(NOT(ISNUMBER(E72)),"Duración vacía o en texto; ","")&amp;IF(NOT(ISNUMBER(G72)),"Valor vacío o en texto; ","")&amp;IF(ISNUMBER(M72),IF(M72&lt;1000000,"Valor inferior a $1.000.000: verificar; ",""),"Valor no interpretable; ")&amp;IF(N72="[PENDIENTE DE VERIFICAR]","Modalidad no identificable; ","")&amp;IF(OR(ISERROR(SEARCH("@itc.edu.co",J72)),SUMPRODUCT(--ISNUMBER(SEARCH({"á","é","í","ó","ú","ñ"},J72)))&gt;0),"Correo vacío o no institucional válido; ","")&amp;IF(LEN(TRIM(D72))=0,"Sin objeto contractual; ","")&amp;IF(AND(ISNUMBER(M72),N72="Mínima cuantía"),IF(M72&gt;39850000,"Mínima cuantía con valor superior al tope citado en el instructivo 2026 ($39.850.000): verificar modalidad; ",""),"")&amp;IF(AND(ISNUMBER(M72),OR(ISNUMBER(SEARCH("prestación de servicios",D72)),ISNUMBER(SEARCH("prestar servicios",D72)),ISNUMBER(SEARCH("prestar los servicios",D72)))),IF(M72&gt;=500000000,"Prestación de servicios por $500 millones o más: posible error de digitación; ",""),""))=0,"Sin observaciones",IF(OR(NOT(ISNUMBER(B72)),LEN(B72)&lt;&gt;8),"UNSPSC vacío, en texto, con varios códigos o sin 8 dígitos; ","")&amp;IF(AND(ISNUMBER(B72),LEN(B72)=8),IF(MOD(B72,10000)=0,"UNSPSC a nivel de segmento o familia; ",""),"")&amp;IF(NOT(ISNUMBER(E72)),"Duración vacía o en texto; ","")&amp;IF(NOT(ISNUMBER(G72)),"Valor vacío o en texto; ","")&amp;IF(ISNUMBER(M72),IF(M72&lt;1000000,"Valor inferior a $1.000.000: verificar; ",""),"Valor no interpretable; ")&amp;IF(N72="[PENDIENTE DE VERIFICAR]","Modalidad no identificable; ","")&amp;IF(OR(ISERROR(SEARCH("@itc.edu.co",J72)),SUMPRODUCT(--ISNUMBER(SEARCH({"á","é","í","ó","ú","ñ"},J72)))&gt;0),"Correo vacío o no institucional válido; ","")&amp;IF(LEN(TRIM(D72))=0,"Sin objeto contractual; ","")&amp;IF(AND(ISNUMBER(M72),N72="Mínima cuantía"),IF(M72&gt;39850000,"Mínima cuantía con valor superior al tope citado en el instructivo 2026 ($39.850.000): verificar modalidad; ",""),"")&amp;IF(AND(ISNUMBER(M72),OR(ISNUMBER(SEARCH("prestación de servicios",D72)),ISNUMBER(SEARCH("prestar servicios",D72)),ISNUMBER(SEARCH("prestar los servicios",D72)))),IF(M72&gt;=500000000,"Prestación de servicios por $500 millones o más: posible error de digitación; ",""),""))</f>
        <v/>
      </c>
    </row>
    <row r="73" ht="45.6" customHeight="1" s="23">
      <c r="A73" s="114" t="inlineStr">
        <is>
          <t>PN26-069</t>
        </is>
      </c>
      <c r="B73" s="114" t="n">
        <v>81111600</v>
      </c>
      <c r="C73" s="114" t="inlineStr">
        <is>
          <t xml:space="preserve">Infraestructura  electrica </t>
        </is>
      </c>
      <c r="D73" s="114" t="inlineStr">
        <is>
          <t xml:space="preserve">Prestación de servicios como apoyo a la gestión del área de infraestructura eléctrica para desarrollar las actividades de adecuación de sistemas eléctricos normalizados y especiales de la escuela tecnológica instituto técnico central y sus sedes y/o extensiones y/o convenios interinstitucionales a nivel nacional. </t>
        </is>
      </c>
      <c r="E73" s="114" t="n">
        <v>11</v>
      </c>
      <c r="F73" s="114" t="inlineStr">
        <is>
          <t>DIRECTA</t>
        </is>
      </c>
      <c r="G73" s="118" t="n">
        <v>36862031</v>
      </c>
      <c r="H73" s="114" t="inlineStr">
        <is>
          <t>Técnico operativo 3232 grado 09</t>
        </is>
      </c>
      <c r="I73" s="114" t="n"/>
      <c r="J73" s="114" t="n"/>
      <c r="K73" s="114" t="n">
        <v>68</v>
      </c>
      <c r="L73" s="119" t="inlineStr">
        <is>
          <t>130 · Vicerrectoría Administrativa y Financiera</t>
        </is>
      </c>
      <c r="M73" s="120" t="n">
        <v>36862031</v>
      </c>
      <c r="N73" s="119" t="inlineStr">
        <is>
          <t>Contratación directa</t>
        </is>
      </c>
      <c r="O73" s="119">
        <f>IF(LEN(IF(OR(NOT(ISNUMBER(B73)),LEN(B73)&lt;&gt;8),"UNSPSC vacío, en texto, con varios códigos o sin 8 dígitos; ","")&amp;IF(AND(ISNUMBER(B73),LEN(B73)=8),IF(MOD(B73,10000)=0,"UNSPSC a nivel de segmento o familia; ",""),"")&amp;IF(NOT(ISNUMBER(E73)),"Duración vacía o en texto; ","")&amp;IF(NOT(ISNUMBER(G73)),"Valor vacío o en texto; ","")&amp;IF(ISNUMBER(M73),IF(M73&lt;1000000,"Valor inferior a $1.000.000: verificar; ",""),"Valor no interpretable; ")&amp;IF(N73="[PENDIENTE DE VERIFICAR]","Modalidad no identificable; ","")&amp;IF(OR(ISERROR(SEARCH("@itc.edu.co",J73)),SUMPRODUCT(--ISNUMBER(SEARCH({"á","é","í","ó","ú","ñ"},J73)))&gt;0),"Correo vacío o no institucional válido; ","")&amp;IF(LEN(TRIM(D73))=0,"Sin objeto contractual; ","")&amp;IF(AND(ISNUMBER(M73),N73="Mínima cuantía"),IF(M73&gt;39850000,"Mínima cuantía con valor superior al tope citado en el instructivo 2026 ($39.850.000): verificar modalidad; ",""),"")&amp;IF(AND(ISNUMBER(M73),OR(ISNUMBER(SEARCH("prestación de servicios",D73)),ISNUMBER(SEARCH("prestar servicios",D73)),ISNUMBER(SEARCH("prestar los servicios",D73)))),IF(M73&gt;=500000000,"Prestación de servicios por $500 millones o más: posible error de digitación; ",""),""))=0,"Sin observaciones",IF(OR(NOT(ISNUMBER(B73)),LEN(B73)&lt;&gt;8),"UNSPSC vacío, en texto, con varios códigos o sin 8 dígitos; ","")&amp;IF(AND(ISNUMBER(B73),LEN(B73)=8),IF(MOD(B73,10000)=0,"UNSPSC a nivel de segmento o familia; ",""),"")&amp;IF(NOT(ISNUMBER(E73)),"Duración vacía o en texto; ","")&amp;IF(NOT(ISNUMBER(G73)),"Valor vacío o en texto; ","")&amp;IF(ISNUMBER(M73),IF(M73&lt;1000000,"Valor inferior a $1.000.000: verificar; ",""),"Valor no interpretable; ")&amp;IF(N73="[PENDIENTE DE VERIFICAR]","Modalidad no identificable; ","")&amp;IF(OR(ISERROR(SEARCH("@itc.edu.co",J73)),SUMPRODUCT(--ISNUMBER(SEARCH({"á","é","í","ó","ú","ñ"},J73)))&gt;0),"Correo vacío o no institucional válido; ","")&amp;IF(LEN(TRIM(D73))=0,"Sin objeto contractual; ","")&amp;IF(AND(ISNUMBER(M73),N73="Mínima cuantía"),IF(M73&gt;39850000,"Mínima cuantía con valor superior al tope citado en el instructivo 2026 ($39.850.000): verificar modalidad; ",""),"")&amp;IF(AND(ISNUMBER(M73),OR(ISNUMBER(SEARCH("prestación de servicios",D73)),ISNUMBER(SEARCH("prestar servicios",D73)),ISNUMBER(SEARCH("prestar los servicios",D73)))),IF(M73&gt;=500000000,"Prestación de servicios por $500 millones o más: posible error de digitación; ",""),""))</f>
        <v/>
      </c>
    </row>
    <row r="74" ht="45.6" customHeight="1" s="23">
      <c r="A74" s="114" t="inlineStr">
        <is>
          <t>PN26-070</t>
        </is>
      </c>
      <c r="B74" s="114" t="n">
        <v>81111600</v>
      </c>
      <c r="C74" s="114" t="inlineStr">
        <is>
          <t xml:space="preserve">Infraestructura  electrica </t>
        </is>
      </c>
      <c r="D74" s="114" t="inlineStr">
        <is>
          <t xml:space="preserve">Prestación de servicios como apoyo a la gestión del área de infraestructura eléctrica para desarrollar las actividades de adecuación de sistemas eléctricos normalizados y especiales de la escuela tecnológica instituto técnico central y sus sedes y/o extensiones y/o convenios interinstitucionales a nivel nacional. </t>
        </is>
      </c>
      <c r="E74" s="114" t="n">
        <v>11</v>
      </c>
      <c r="F74" s="114" t="inlineStr">
        <is>
          <t>DIRECTA</t>
        </is>
      </c>
      <c r="G74" s="118" t="n">
        <v>29721428</v>
      </c>
      <c r="H74" s="114" t="inlineStr">
        <is>
          <t>Técnico operativo 3232 grado 09</t>
        </is>
      </c>
      <c r="I74" s="114" t="n"/>
      <c r="J74" s="114" t="n"/>
      <c r="K74" s="114" t="n">
        <v>69</v>
      </c>
      <c r="L74" s="119" t="inlineStr">
        <is>
          <t>130 · Vicerrectoría Administrativa y Financiera</t>
        </is>
      </c>
      <c r="M74" s="120" t="n">
        <v>29721428</v>
      </c>
      <c r="N74" s="119" t="inlineStr">
        <is>
          <t>Contratación directa</t>
        </is>
      </c>
      <c r="O74" s="119">
        <f>IF(LEN(IF(OR(NOT(ISNUMBER(B74)),LEN(B74)&lt;&gt;8),"UNSPSC vacío, en texto, con varios códigos o sin 8 dígitos; ","")&amp;IF(AND(ISNUMBER(B74),LEN(B74)=8),IF(MOD(B74,10000)=0,"UNSPSC a nivel de segmento o familia; ",""),"")&amp;IF(NOT(ISNUMBER(E74)),"Duración vacía o en texto; ","")&amp;IF(NOT(ISNUMBER(G74)),"Valor vacío o en texto; ","")&amp;IF(ISNUMBER(M74),IF(M74&lt;1000000,"Valor inferior a $1.000.000: verificar; ",""),"Valor no interpretable; ")&amp;IF(N74="[PENDIENTE DE VERIFICAR]","Modalidad no identificable; ","")&amp;IF(OR(ISERROR(SEARCH("@itc.edu.co",J74)),SUMPRODUCT(--ISNUMBER(SEARCH({"á","é","í","ó","ú","ñ"},J74)))&gt;0),"Correo vacío o no institucional válido; ","")&amp;IF(LEN(TRIM(D74))=0,"Sin objeto contractual; ","")&amp;IF(AND(ISNUMBER(M74),N74="Mínima cuantía"),IF(M74&gt;39850000,"Mínima cuantía con valor superior al tope citado en el instructivo 2026 ($39.850.000): verificar modalidad; ",""),"")&amp;IF(AND(ISNUMBER(M74),OR(ISNUMBER(SEARCH("prestación de servicios",D74)),ISNUMBER(SEARCH("prestar servicios",D74)),ISNUMBER(SEARCH("prestar los servicios",D74)))),IF(M74&gt;=500000000,"Prestación de servicios por $500 millones o más: posible error de digitación; ",""),""))=0,"Sin observaciones",IF(OR(NOT(ISNUMBER(B74)),LEN(B74)&lt;&gt;8),"UNSPSC vacío, en texto, con varios códigos o sin 8 dígitos; ","")&amp;IF(AND(ISNUMBER(B74),LEN(B74)=8),IF(MOD(B74,10000)=0,"UNSPSC a nivel de segmento o familia; ",""),"")&amp;IF(NOT(ISNUMBER(E74)),"Duración vacía o en texto; ","")&amp;IF(NOT(ISNUMBER(G74)),"Valor vacío o en texto; ","")&amp;IF(ISNUMBER(M74),IF(M74&lt;1000000,"Valor inferior a $1.000.000: verificar; ",""),"Valor no interpretable; ")&amp;IF(N74="[PENDIENTE DE VERIFICAR]","Modalidad no identificable; ","")&amp;IF(OR(ISERROR(SEARCH("@itc.edu.co",J74)),SUMPRODUCT(--ISNUMBER(SEARCH({"á","é","í","ó","ú","ñ"},J74)))&gt;0),"Correo vacío o no institucional válido; ","")&amp;IF(LEN(TRIM(D74))=0,"Sin objeto contractual; ","")&amp;IF(AND(ISNUMBER(M74),N74="Mínima cuantía"),IF(M74&gt;39850000,"Mínima cuantía con valor superior al tope citado en el instructivo 2026 ($39.850.000): verificar modalidad; ",""),"")&amp;IF(AND(ISNUMBER(M74),OR(ISNUMBER(SEARCH("prestación de servicios",D74)),ISNUMBER(SEARCH("prestar servicios",D74)),ISNUMBER(SEARCH("prestar los servicios",D74)))),IF(M74&gt;=500000000,"Prestación de servicios por $500 millones o más: posible error de digitación; ",""),""))</f>
        <v/>
      </c>
    </row>
    <row r="75" ht="45.6" customHeight="1" s="23">
      <c r="A75" s="114" t="inlineStr">
        <is>
          <t>PN26-071</t>
        </is>
      </c>
      <c r="B75" s="114" t="n">
        <v>81111600</v>
      </c>
      <c r="C75" s="114" t="inlineStr">
        <is>
          <t xml:space="preserve">Infraestructura  electrica </t>
        </is>
      </c>
      <c r="D75" s="114" t="inlineStr">
        <is>
          <t xml:space="preserve">Prestación de servicios como apoyo a la gestión del área de infraestructura eléctrica para desarrollar las actividades de adecuación de sistemas eléctricos normalizados y especiales de la escuela tecnológica instituto técnico central y sus sedes y/o extensiones y/o convenios interinstitucionales a nivel nacional. </t>
        </is>
      </c>
      <c r="E75" s="114" t="n">
        <v>11</v>
      </c>
      <c r="F75" s="114" t="inlineStr">
        <is>
          <t>DIRECTA</t>
        </is>
      </c>
      <c r="G75" s="118" t="n">
        <v>29721428</v>
      </c>
      <c r="H75" s="114" t="inlineStr">
        <is>
          <t>Técnico operativo 3232 grado 09</t>
        </is>
      </c>
      <c r="I75" s="114" t="n"/>
      <c r="J75" s="114" t="n"/>
      <c r="K75" s="114" t="n">
        <v>70</v>
      </c>
      <c r="L75" s="119" t="inlineStr">
        <is>
          <t>130 · Vicerrectoría Administrativa y Financiera</t>
        </is>
      </c>
      <c r="M75" s="120" t="n">
        <v>29721428</v>
      </c>
      <c r="N75" s="119" t="inlineStr">
        <is>
          <t>Contratación directa</t>
        </is>
      </c>
      <c r="O75" s="119">
        <f>IF(LEN(IF(OR(NOT(ISNUMBER(B75)),LEN(B75)&lt;&gt;8),"UNSPSC vacío, en texto, con varios códigos o sin 8 dígitos; ","")&amp;IF(AND(ISNUMBER(B75),LEN(B75)=8),IF(MOD(B75,10000)=0,"UNSPSC a nivel de segmento o familia; ",""),"")&amp;IF(NOT(ISNUMBER(E75)),"Duración vacía o en texto; ","")&amp;IF(NOT(ISNUMBER(G75)),"Valor vacío o en texto; ","")&amp;IF(ISNUMBER(M75),IF(M75&lt;1000000,"Valor inferior a $1.000.000: verificar; ",""),"Valor no interpretable; ")&amp;IF(N75="[PENDIENTE DE VERIFICAR]","Modalidad no identificable; ","")&amp;IF(OR(ISERROR(SEARCH("@itc.edu.co",J75)),SUMPRODUCT(--ISNUMBER(SEARCH({"á","é","í","ó","ú","ñ"},J75)))&gt;0),"Correo vacío o no institucional válido; ","")&amp;IF(LEN(TRIM(D75))=0,"Sin objeto contractual; ","")&amp;IF(AND(ISNUMBER(M75),N75="Mínima cuantía"),IF(M75&gt;39850000,"Mínima cuantía con valor superior al tope citado en el instructivo 2026 ($39.850.000): verificar modalidad; ",""),"")&amp;IF(AND(ISNUMBER(M75),OR(ISNUMBER(SEARCH("prestación de servicios",D75)),ISNUMBER(SEARCH("prestar servicios",D75)),ISNUMBER(SEARCH("prestar los servicios",D75)))),IF(M75&gt;=500000000,"Prestación de servicios por $500 millones o más: posible error de digitación; ",""),""))=0,"Sin observaciones",IF(OR(NOT(ISNUMBER(B75)),LEN(B75)&lt;&gt;8),"UNSPSC vacío, en texto, con varios códigos o sin 8 dígitos; ","")&amp;IF(AND(ISNUMBER(B75),LEN(B75)=8),IF(MOD(B75,10000)=0,"UNSPSC a nivel de segmento o familia; ",""),"")&amp;IF(NOT(ISNUMBER(E75)),"Duración vacía o en texto; ","")&amp;IF(NOT(ISNUMBER(G75)),"Valor vacío o en texto; ","")&amp;IF(ISNUMBER(M75),IF(M75&lt;1000000,"Valor inferior a $1.000.000: verificar; ",""),"Valor no interpretable; ")&amp;IF(N75="[PENDIENTE DE VERIFICAR]","Modalidad no identificable; ","")&amp;IF(OR(ISERROR(SEARCH("@itc.edu.co",J75)),SUMPRODUCT(--ISNUMBER(SEARCH({"á","é","í","ó","ú","ñ"},J75)))&gt;0),"Correo vacío o no institucional válido; ","")&amp;IF(LEN(TRIM(D75))=0,"Sin objeto contractual; ","")&amp;IF(AND(ISNUMBER(M75),N75="Mínima cuantía"),IF(M75&gt;39850000,"Mínima cuantía con valor superior al tope citado en el instructivo 2026 ($39.850.000): verificar modalidad; ",""),"")&amp;IF(AND(ISNUMBER(M75),OR(ISNUMBER(SEARCH("prestación de servicios",D75)),ISNUMBER(SEARCH("prestar servicios",D75)),ISNUMBER(SEARCH("prestar los servicios",D75)))),IF(M75&gt;=500000000,"Prestación de servicios por $500 millones o más: posible error de digitación; ",""),""))</f>
        <v/>
      </c>
    </row>
    <row r="76" ht="57" customHeight="1" s="23">
      <c r="A76" s="114" t="inlineStr">
        <is>
          <t>PN26-072</t>
        </is>
      </c>
      <c r="B76" s="114" t="n">
        <v>80111614</v>
      </c>
      <c r="C76" s="114" t="inlineStr">
        <is>
          <t xml:space="preserve">Infraestructura  electrica </t>
        </is>
      </c>
      <c r="D76" s="114" t="inlineStr">
        <is>
          <t xml:space="preserve">Prestación de servicios profesionales en el área de infraestructura eléctrica de la etitc para realizar adecuación, soporte de sistemas eléctricos, redes de datos normalizados, especiales, implementación, mantenimiento a todo nivel de sistemas de iluminación, protección y soporte en la preparación de documentos de redes de datos y comunicaciones </t>
        </is>
      </c>
      <c r="E76" s="114" t="n">
        <v>11</v>
      </c>
      <c r="F76" s="114" t="inlineStr">
        <is>
          <t>DIRECTA</t>
        </is>
      </c>
      <c r="G76" s="118" t="n">
        <v>42668764</v>
      </c>
      <c r="H76" s="114" t="inlineStr">
        <is>
          <t>Técnico operativo 3232 grado 09</t>
        </is>
      </c>
      <c r="I76" s="114" t="n"/>
      <c r="J76" s="114" t="n"/>
      <c r="K76" s="114" t="n">
        <v>71</v>
      </c>
      <c r="L76" s="119" t="inlineStr">
        <is>
          <t>130 · Vicerrectoría Administrativa y Financiera</t>
        </is>
      </c>
      <c r="M76" s="120" t="n">
        <v>42668764</v>
      </c>
      <c r="N76" s="119" t="inlineStr">
        <is>
          <t>Contratación directa</t>
        </is>
      </c>
      <c r="O76" s="119">
        <f>IF(LEN(IF(OR(NOT(ISNUMBER(B76)),LEN(B76)&lt;&gt;8),"UNSPSC vacío, en texto, con varios códigos o sin 8 dígitos; ","")&amp;IF(AND(ISNUMBER(B76),LEN(B76)=8),IF(MOD(B76,10000)=0,"UNSPSC a nivel de segmento o familia; ",""),"")&amp;IF(NOT(ISNUMBER(E76)),"Duración vacía o en texto; ","")&amp;IF(NOT(ISNUMBER(G76)),"Valor vacío o en texto; ","")&amp;IF(ISNUMBER(M76),IF(M76&lt;1000000,"Valor inferior a $1.000.000: verificar; ",""),"Valor no interpretable; ")&amp;IF(N76="[PENDIENTE DE VERIFICAR]","Modalidad no identificable; ","")&amp;IF(OR(ISERROR(SEARCH("@itc.edu.co",J76)),SUMPRODUCT(--ISNUMBER(SEARCH({"á","é","í","ó","ú","ñ"},J76)))&gt;0),"Correo vacío o no institucional válido; ","")&amp;IF(LEN(TRIM(D76))=0,"Sin objeto contractual; ","")&amp;IF(AND(ISNUMBER(M76),N76="Mínima cuantía"),IF(M76&gt;39850000,"Mínima cuantía con valor superior al tope citado en el instructivo 2026 ($39.850.000): verificar modalidad; ",""),"")&amp;IF(AND(ISNUMBER(M76),OR(ISNUMBER(SEARCH("prestación de servicios",D76)),ISNUMBER(SEARCH("prestar servicios",D76)),ISNUMBER(SEARCH("prestar los servicios",D76)))),IF(M76&gt;=500000000,"Prestación de servicios por $500 millones o más: posible error de digitación; ",""),""))=0,"Sin observaciones",IF(OR(NOT(ISNUMBER(B76)),LEN(B76)&lt;&gt;8),"UNSPSC vacío, en texto, con varios códigos o sin 8 dígitos; ","")&amp;IF(AND(ISNUMBER(B76),LEN(B76)=8),IF(MOD(B76,10000)=0,"UNSPSC a nivel de segmento o familia; ",""),"")&amp;IF(NOT(ISNUMBER(E76)),"Duración vacía o en texto; ","")&amp;IF(NOT(ISNUMBER(G76)),"Valor vacío o en texto; ","")&amp;IF(ISNUMBER(M76),IF(M76&lt;1000000,"Valor inferior a $1.000.000: verificar; ",""),"Valor no interpretable; ")&amp;IF(N76="[PENDIENTE DE VERIFICAR]","Modalidad no identificable; ","")&amp;IF(OR(ISERROR(SEARCH("@itc.edu.co",J76)),SUMPRODUCT(--ISNUMBER(SEARCH({"á","é","í","ó","ú","ñ"},J76)))&gt;0),"Correo vacío o no institucional válido; ","")&amp;IF(LEN(TRIM(D76))=0,"Sin objeto contractual; ","")&amp;IF(AND(ISNUMBER(M76),N76="Mínima cuantía"),IF(M76&gt;39850000,"Mínima cuantía con valor superior al tope citado en el instructivo 2026 ($39.850.000): verificar modalidad; ",""),"")&amp;IF(AND(ISNUMBER(M76),OR(ISNUMBER(SEARCH("prestación de servicios",D76)),ISNUMBER(SEARCH("prestar servicios",D76)),ISNUMBER(SEARCH("prestar los servicios",D76)))),IF(M76&gt;=500000000,"Prestación de servicios por $500 millones o más: posible error de digitación; ",""),""))</f>
        <v/>
      </c>
    </row>
    <row r="77" ht="45.6" customHeight="1" s="23">
      <c r="A77" s="114" t="inlineStr">
        <is>
          <t>PN26-073</t>
        </is>
      </c>
      <c r="B77" s="114" t="n">
        <v>81111600</v>
      </c>
      <c r="C77" s="114" t="inlineStr">
        <is>
          <t xml:space="preserve">Infraestructura  electrica </t>
        </is>
      </c>
      <c r="D77" s="114" t="inlineStr">
        <is>
          <t xml:space="preserve">Prestación de servicios como apoyo a la gestión del área de infraestructura eléctrica para desarrollar las actividades de adecuación de sistemas eléctricos normalizados y especiales de la escuela tecnológica instituto técnico central y sus sedes y/o extensiones y/o convenios interinstitucionales a nivel nacional. </t>
        </is>
      </c>
      <c r="E77" s="114" t="n">
        <v>11</v>
      </c>
      <c r="F77" s="114" t="inlineStr">
        <is>
          <t>DIRECTA</t>
        </is>
      </c>
      <c r="G77" s="118" t="n">
        <v>29721428</v>
      </c>
      <c r="H77" s="114" t="inlineStr">
        <is>
          <t>Técnico operativo 3232 grado 09</t>
        </is>
      </c>
      <c r="I77" s="114" t="n"/>
      <c r="J77" s="114" t="n"/>
      <c r="K77" s="114" t="n">
        <v>72</v>
      </c>
      <c r="L77" s="119" t="inlineStr">
        <is>
          <t>130 · Vicerrectoría Administrativa y Financiera</t>
        </is>
      </c>
      <c r="M77" s="120" t="n">
        <v>29721428</v>
      </c>
      <c r="N77" s="119" t="inlineStr">
        <is>
          <t>Contratación directa</t>
        </is>
      </c>
      <c r="O77" s="119">
        <f>IF(LEN(IF(OR(NOT(ISNUMBER(B77)),LEN(B77)&lt;&gt;8),"UNSPSC vacío, en texto, con varios códigos o sin 8 dígitos; ","")&amp;IF(AND(ISNUMBER(B77),LEN(B77)=8),IF(MOD(B77,10000)=0,"UNSPSC a nivel de segmento o familia; ",""),"")&amp;IF(NOT(ISNUMBER(E77)),"Duración vacía o en texto; ","")&amp;IF(NOT(ISNUMBER(G77)),"Valor vacío o en texto; ","")&amp;IF(ISNUMBER(M77),IF(M77&lt;1000000,"Valor inferior a $1.000.000: verificar; ",""),"Valor no interpretable; ")&amp;IF(N77="[PENDIENTE DE VERIFICAR]","Modalidad no identificable; ","")&amp;IF(OR(ISERROR(SEARCH("@itc.edu.co",J77)),SUMPRODUCT(--ISNUMBER(SEARCH({"á","é","í","ó","ú","ñ"},J77)))&gt;0),"Correo vacío o no institucional válido; ","")&amp;IF(LEN(TRIM(D77))=0,"Sin objeto contractual; ","")&amp;IF(AND(ISNUMBER(M77),N77="Mínima cuantía"),IF(M77&gt;39850000,"Mínima cuantía con valor superior al tope citado en el instructivo 2026 ($39.850.000): verificar modalidad; ",""),"")&amp;IF(AND(ISNUMBER(M77),OR(ISNUMBER(SEARCH("prestación de servicios",D77)),ISNUMBER(SEARCH("prestar servicios",D77)),ISNUMBER(SEARCH("prestar los servicios",D77)))),IF(M77&gt;=500000000,"Prestación de servicios por $500 millones o más: posible error de digitación; ",""),""))=0,"Sin observaciones",IF(OR(NOT(ISNUMBER(B77)),LEN(B77)&lt;&gt;8),"UNSPSC vacío, en texto, con varios códigos o sin 8 dígitos; ","")&amp;IF(AND(ISNUMBER(B77),LEN(B77)=8),IF(MOD(B77,10000)=0,"UNSPSC a nivel de segmento o familia; ",""),"")&amp;IF(NOT(ISNUMBER(E77)),"Duración vacía o en texto; ","")&amp;IF(NOT(ISNUMBER(G77)),"Valor vacío o en texto; ","")&amp;IF(ISNUMBER(M77),IF(M77&lt;1000000,"Valor inferior a $1.000.000: verificar; ",""),"Valor no interpretable; ")&amp;IF(N77="[PENDIENTE DE VERIFICAR]","Modalidad no identificable; ","")&amp;IF(OR(ISERROR(SEARCH("@itc.edu.co",J77)),SUMPRODUCT(--ISNUMBER(SEARCH({"á","é","í","ó","ú","ñ"},J77)))&gt;0),"Correo vacío o no institucional válido; ","")&amp;IF(LEN(TRIM(D77))=0,"Sin objeto contractual; ","")&amp;IF(AND(ISNUMBER(M77),N77="Mínima cuantía"),IF(M77&gt;39850000,"Mínima cuantía con valor superior al tope citado en el instructivo 2026 ($39.850.000): verificar modalidad; ",""),"")&amp;IF(AND(ISNUMBER(M77),OR(ISNUMBER(SEARCH("prestación de servicios",D77)),ISNUMBER(SEARCH("prestar servicios",D77)),ISNUMBER(SEARCH("prestar los servicios",D77)))),IF(M77&gt;=500000000,"Prestación de servicios por $500 millones o más: posible error de digitación; ",""),""))</f>
        <v/>
      </c>
    </row>
    <row r="78" ht="45.6" customHeight="1" s="23">
      <c r="A78" s="114" t="inlineStr">
        <is>
          <t>PN26-074</t>
        </is>
      </c>
      <c r="B78" s="114" t="n">
        <v>81111600</v>
      </c>
      <c r="C78" s="114" t="inlineStr">
        <is>
          <t xml:space="preserve">Infraestructura  electrica </t>
        </is>
      </c>
      <c r="D78" s="114" t="inlineStr">
        <is>
          <t xml:space="preserve">Prestación de servicios como apoyo a la gestión del área de infraestructura eléctrica para desarrollar las actividades de adecuación de sistemas eléctricos normalizados y especiales de la escuela tecnológica instituto técnico central y sus sedes y/o extensiones y/o convenios interinstitucionales a nivel nacional. </t>
        </is>
      </c>
      <c r="E78" s="114" t="n">
        <v>11</v>
      </c>
      <c r="F78" s="114" t="inlineStr">
        <is>
          <t>DIRECTA</t>
        </is>
      </c>
      <c r="G78" s="118" t="n">
        <v>29721428</v>
      </c>
      <c r="H78" s="114" t="inlineStr">
        <is>
          <t>Técnico operativo 3232 grado 09</t>
        </is>
      </c>
      <c r="I78" s="114" t="n"/>
      <c r="J78" s="114" t="n"/>
      <c r="K78" s="114" t="n">
        <v>73</v>
      </c>
      <c r="L78" s="119" t="inlineStr">
        <is>
          <t>130 · Vicerrectoría Administrativa y Financiera</t>
        </is>
      </c>
      <c r="M78" s="120" t="n">
        <v>29721428</v>
      </c>
      <c r="N78" s="119" t="inlineStr">
        <is>
          <t>Contratación directa</t>
        </is>
      </c>
      <c r="O78" s="119">
        <f>IF(LEN(IF(OR(NOT(ISNUMBER(B78)),LEN(B78)&lt;&gt;8),"UNSPSC vacío, en texto, con varios códigos o sin 8 dígitos; ","")&amp;IF(AND(ISNUMBER(B78),LEN(B78)=8),IF(MOD(B78,10000)=0,"UNSPSC a nivel de segmento o familia; ",""),"")&amp;IF(NOT(ISNUMBER(E78)),"Duración vacía o en texto; ","")&amp;IF(NOT(ISNUMBER(G78)),"Valor vacío o en texto; ","")&amp;IF(ISNUMBER(M78),IF(M78&lt;1000000,"Valor inferior a $1.000.000: verificar; ",""),"Valor no interpretable; ")&amp;IF(N78="[PENDIENTE DE VERIFICAR]","Modalidad no identificable; ","")&amp;IF(OR(ISERROR(SEARCH("@itc.edu.co",J78)),SUMPRODUCT(--ISNUMBER(SEARCH({"á","é","í","ó","ú","ñ"},J78)))&gt;0),"Correo vacío o no institucional válido; ","")&amp;IF(LEN(TRIM(D78))=0,"Sin objeto contractual; ","")&amp;IF(AND(ISNUMBER(M78),N78="Mínima cuantía"),IF(M78&gt;39850000,"Mínima cuantía con valor superior al tope citado en el instructivo 2026 ($39.850.000): verificar modalidad; ",""),"")&amp;IF(AND(ISNUMBER(M78),OR(ISNUMBER(SEARCH("prestación de servicios",D78)),ISNUMBER(SEARCH("prestar servicios",D78)),ISNUMBER(SEARCH("prestar los servicios",D78)))),IF(M78&gt;=500000000,"Prestación de servicios por $500 millones o más: posible error de digitación; ",""),""))=0,"Sin observaciones",IF(OR(NOT(ISNUMBER(B78)),LEN(B78)&lt;&gt;8),"UNSPSC vacío, en texto, con varios códigos o sin 8 dígitos; ","")&amp;IF(AND(ISNUMBER(B78),LEN(B78)=8),IF(MOD(B78,10000)=0,"UNSPSC a nivel de segmento o familia; ",""),"")&amp;IF(NOT(ISNUMBER(E78)),"Duración vacía o en texto; ","")&amp;IF(NOT(ISNUMBER(G78)),"Valor vacío o en texto; ","")&amp;IF(ISNUMBER(M78),IF(M78&lt;1000000,"Valor inferior a $1.000.000: verificar; ",""),"Valor no interpretable; ")&amp;IF(N78="[PENDIENTE DE VERIFICAR]","Modalidad no identificable; ","")&amp;IF(OR(ISERROR(SEARCH("@itc.edu.co",J78)),SUMPRODUCT(--ISNUMBER(SEARCH({"á","é","í","ó","ú","ñ"},J78)))&gt;0),"Correo vacío o no institucional válido; ","")&amp;IF(LEN(TRIM(D78))=0,"Sin objeto contractual; ","")&amp;IF(AND(ISNUMBER(M78),N78="Mínima cuantía"),IF(M78&gt;39850000,"Mínima cuantía con valor superior al tope citado en el instructivo 2026 ($39.850.000): verificar modalidad; ",""),"")&amp;IF(AND(ISNUMBER(M78),OR(ISNUMBER(SEARCH("prestación de servicios",D78)),ISNUMBER(SEARCH("prestar servicios",D78)),ISNUMBER(SEARCH("prestar los servicios",D78)))),IF(M78&gt;=500000000,"Prestación de servicios por $500 millones o más: posible error de digitación; ",""),""))</f>
        <v/>
      </c>
    </row>
    <row r="79" ht="57" customHeight="1" s="23">
      <c r="A79" s="114" t="inlineStr">
        <is>
          <t>PN26-075</t>
        </is>
      </c>
      <c r="B79" s="114" t="n">
        <v>80111614</v>
      </c>
      <c r="C79" s="114" t="inlineStr">
        <is>
          <t xml:space="preserve">Infraestructura  electrica </t>
        </is>
      </c>
      <c r="D79" s="114" t="inlineStr">
        <is>
          <t xml:space="preserve">Prestación de servicios profesionales en el área de infraestructura eléctrica de la etitc para realizar adecuación, soporte de sistemas eléctricos, redes de datos normalizados, especiales, implementación, mantenimiento a todo nivel de sistemas de iluminación, protección y soporte en la preparación de documentos de redes de datos y comunicaciones </t>
        </is>
      </c>
      <c r="E79" s="114" t="n">
        <v>11</v>
      </c>
      <c r="F79" s="114" t="inlineStr">
        <is>
          <t>DIRECTA</t>
        </is>
      </c>
      <c r="G79" s="118" t="n">
        <v>42668764</v>
      </c>
      <c r="H79" s="114" t="inlineStr">
        <is>
          <t>Técnico operativo grado 3132-09</t>
        </is>
      </c>
      <c r="I79" s="114" t="n"/>
      <c r="J79" s="114" t="n"/>
      <c r="K79" s="114" t="n">
        <v>74</v>
      </c>
      <c r="L79" s="119" t="inlineStr">
        <is>
          <t>130 · Vicerrectoría Administrativa y Financiera</t>
        </is>
      </c>
      <c r="M79" s="120" t="n">
        <v>42668764</v>
      </c>
      <c r="N79" s="119" t="inlineStr">
        <is>
          <t>Contratación directa</t>
        </is>
      </c>
      <c r="O79" s="119">
        <f>IF(LEN(IF(OR(NOT(ISNUMBER(B79)),LEN(B79)&lt;&gt;8),"UNSPSC vacío, en texto, con varios códigos o sin 8 dígitos; ","")&amp;IF(AND(ISNUMBER(B79),LEN(B79)=8),IF(MOD(B79,10000)=0,"UNSPSC a nivel de segmento o familia; ",""),"")&amp;IF(NOT(ISNUMBER(E79)),"Duración vacía o en texto; ","")&amp;IF(NOT(ISNUMBER(G79)),"Valor vacío o en texto; ","")&amp;IF(ISNUMBER(M79),IF(M79&lt;1000000,"Valor inferior a $1.000.000: verificar; ",""),"Valor no interpretable; ")&amp;IF(N79="[PENDIENTE DE VERIFICAR]","Modalidad no identificable; ","")&amp;IF(OR(ISERROR(SEARCH("@itc.edu.co",J79)),SUMPRODUCT(--ISNUMBER(SEARCH({"á","é","í","ó","ú","ñ"},J79)))&gt;0),"Correo vacío o no institucional válido; ","")&amp;IF(LEN(TRIM(D79))=0,"Sin objeto contractual; ","")&amp;IF(AND(ISNUMBER(M79),N79="Mínima cuantía"),IF(M79&gt;39850000,"Mínima cuantía con valor superior al tope citado en el instructivo 2026 ($39.850.000): verificar modalidad; ",""),"")&amp;IF(AND(ISNUMBER(M79),OR(ISNUMBER(SEARCH("prestación de servicios",D79)),ISNUMBER(SEARCH("prestar servicios",D79)),ISNUMBER(SEARCH("prestar los servicios",D79)))),IF(M79&gt;=500000000,"Prestación de servicios por $500 millones o más: posible error de digitación; ",""),""))=0,"Sin observaciones",IF(OR(NOT(ISNUMBER(B79)),LEN(B79)&lt;&gt;8),"UNSPSC vacío, en texto, con varios códigos o sin 8 dígitos; ","")&amp;IF(AND(ISNUMBER(B79),LEN(B79)=8),IF(MOD(B79,10000)=0,"UNSPSC a nivel de segmento o familia; ",""),"")&amp;IF(NOT(ISNUMBER(E79)),"Duración vacía o en texto; ","")&amp;IF(NOT(ISNUMBER(G79)),"Valor vacío o en texto; ","")&amp;IF(ISNUMBER(M79),IF(M79&lt;1000000,"Valor inferior a $1.000.000: verificar; ",""),"Valor no interpretable; ")&amp;IF(N79="[PENDIENTE DE VERIFICAR]","Modalidad no identificable; ","")&amp;IF(OR(ISERROR(SEARCH("@itc.edu.co",J79)),SUMPRODUCT(--ISNUMBER(SEARCH({"á","é","í","ó","ú","ñ"},J79)))&gt;0),"Correo vacío o no institucional válido; ","")&amp;IF(LEN(TRIM(D79))=0,"Sin objeto contractual; ","")&amp;IF(AND(ISNUMBER(M79),N79="Mínima cuantía"),IF(M79&gt;39850000,"Mínima cuantía con valor superior al tope citado en el instructivo 2026 ($39.850.000): verificar modalidad; ",""),"")&amp;IF(AND(ISNUMBER(M79),OR(ISNUMBER(SEARCH("prestación de servicios",D79)),ISNUMBER(SEARCH("prestar servicios",D79)),ISNUMBER(SEARCH("prestar los servicios",D79)))),IF(M79&gt;=500000000,"Prestación de servicios por $500 millones o más: posible error de digitación; ",""),""))</f>
        <v/>
      </c>
    </row>
    <row r="80" ht="45.6" customHeight="1" s="23">
      <c r="A80" s="114" t="inlineStr">
        <is>
          <t>PN26-076</t>
        </is>
      </c>
      <c r="B80" s="114" t="n">
        <v>80111600</v>
      </c>
      <c r="C80" s="114" t="inlineStr">
        <is>
          <t>Admin campus virtual</t>
        </is>
      </c>
      <c r="D80" s="114" t="inlineStr">
        <is>
          <t xml:space="preserve">Prestación de servicios profesionales especializados en el área de informática y telecomunicaciones para administrar y garantizar la disponibilidad de la plataforma moodle lms (campus virtual) y todos sus componentes como apoyo a las actividades académicas y administrativas de la etitc. </t>
        </is>
      </c>
      <c r="E80" s="114" t="n">
        <v>11</v>
      </c>
      <c r="F80" s="114" t="inlineStr">
        <is>
          <t>DIRECTA</t>
        </is>
      </c>
      <c r="G80" s="118" t="n">
        <v>61944912</v>
      </c>
      <c r="H80" s="114" t="inlineStr">
        <is>
          <t xml:space="preserve">Profesional de informática y telecomunicaciones </t>
        </is>
      </c>
      <c r="I80" s="114" t="n"/>
      <c r="J80" s="114" t="inlineStr">
        <is>
          <t>gestionit@itc.edu.co</t>
        </is>
      </c>
      <c r="K80" s="114" t="n">
        <v>75</v>
      </c>
      <c r="L80" s="119" t="inlineStr">
        <is>
          <t>132 · GIT Gestión de Informática y Telecomunicaciones</t>
        </is>
      </c>
      <c r="M80" s="120" t="n">
        <v>61944912</v>
      </c>
      <c r="N80" s="119" t="inlineStr">
        <is>
          <t>Contratación directa</t>
        </is>
      </c>
      <c r="O80" s="119">
        <f>IF(LEN(IF(OR(NOT(ISNUMBER(B80)),LEN(B80)&lt;&gt;8),"UNSPSC vacío, en texto, con varios códigos o sin 8 dígitos; ","")&amp;IF(AND(ISNUMBER(B80),LEN(B80)=8),IF(MOD(B80,10000)=0,"UNSPSC a nivel de segmento o familia; ",""),"")&amp;IF(NOT(ISNUMBER(E80)),"Duración vacía o en texto; ","")&amp;IF(NOT(ISNUMBER(G80)),"Valor vacío o en texto; ","")&amp;IF(ISNUMBER(M80),IF(M80&lt;1000000,"Valor inferior a $1.000.000: verificar; ",""),"Valor no interpretable; ")&amp;IF(N80="[PENDIENTE DE VERIFICAR]","Modalidad no identificable; ","")&amp;IF(OR(ISERROR(SEARCH("@itc.edu.co",J80)),SUMPRODUCT(--ISNUMBER(SEARCH({"á","é","í","ó","ú","ñ"},J80)))&gt;0),"Correo vacío o no institucional válido; ","")&amp;IF(LEN(TRIM(D80))=0,"Sin objeto contractual; ","")&amp;IF(AND(ISNUMBER(M80),N80="Mínima cuantía"),IF(M80&gt;39850000,"Mínima cuantía con valor superior al tope citado en el instructivo 2026 ($39.850.000): verificar modalidad; ",""),"")&amp;IF(AND(ISNUMBER(M80),OR(ISNUMBER(SEARCH("prestación de servicios",D80)),ISNUMBER(SEARCH("prestar servicios",D80)),ISNUMBER(SEARCH("prestar los servicios",D80)))),IF(M80&gt;=500000000,"Prestación de servicios por $500 millones o más: posible error de digitación; ",""),""))=0,"Sin observaciones",IF(OR(NOT(ISNUMBER(B80)),LEN(B80)&lt;&gt;8),"UNSPSC vacío, en texto, con varios códigos o sin 8 dígitos; ","")&amp;IF(AND(ISNUMBER(B80),LEN(B80)=8),IF(MOD(B80,10000)=0,"UNSPSC a nivel de segmento o familia; ",""),"")&amp;IF(NOT(ISNUMBER(E80)),"Duración vacía o en texto; ","")&amp;IF(NOT(ISNUMBER(G80)),"Valor vacío o en texto; ","")&amp;IF(ISNUMBER(M80),IF(M80&lt;1000000,"Valor inferior a $1.000.000: verificar; ",""),"Valor no interpretable; ")&amp;IF(N80="[PENDIENTE DE VERIFICAR]","Modalidad no identificable; ","")&amp;IF(OR(ISERROR(SEARCH("@itc.edu.co",J80)),SUMPRODUCT(--ISNUMBER(SEARCH({"á","é","í","ó","ú","ñ"},J80)))&gt;0),"Correo vacío o no institucional válido; ","")&amp;IF(LEN(TRIM(D80))=0,"Sin objeto contractual; ","")&amp;IF(AND(ISNUMBER(M80),N80="Mínima cuantía"),IF(M80&gt;39850000,"Mínima cuantía con valor superior al tope citado en el instructivo 2026 ($39.850.000): verificar modalidad; ",""),"")&amp;IF(AND(ISNUMBER(M80),OR(ISNUMBER(SEARCH("prestación de servicios",D80)),ISNUMBER(SEARCH("prestar servicios",D80)),ISNUMBER(SEARCH("prestar los servicios",D80)))),IF(M80&gt;=500000000,"Prestación de servicios por $500 millones o más: posible error de digitación; ",""),""))</f>
        <v/>
      </c>
    </row>
    <row r="81" ht="45.6" customHeight="1" s="23">
      <c r="A81" s="114" t="inlineStr">
        <is>
          <t>PN26-077</t>
        </is>
      </c>
      <c r="B81" s="114" t="n">
        <v>80111600</v>
      </c>
      <c r="C81" s="114" t="inlineStr">
        <is>
          <t>Técnico aulas alternancia bto</t>
        </is>
      </c>
      <c r="D81" s="114" t="inlineStr">
        <is>
          <t xml:space="preserve">Prestación de servicios como técnico en el área de informática y telecomunicaciones para brindar soporte de primer nivel, ejecutar planes de mantenimiento y asesoria a usuarios de los equipos relacionados al sistema de las aulas para la alternancia del bachillerato de la etitc. </t>
        </is>
      </c>
      <c r="E81" s="114" t="n">
        <v>11</v>
      </c>
      <c r="F81" s="114" t="inlineStr">
        <is>
          <t>DIRECTA</t>
        </is>
      </c>
      <c r="G81" s="118" t="n">
        <v>28704000</v>
      </c>
      <c r="H81" s="114" t="inlineStr">
        <is>
          <t xml:space="preserve">Profesional de informática y telecomunicaciones </t>
        </is>
      </c>
      <c r="I81" s="114" t="n"/>
      <c r="J81" s="114" t="inlineStr">
        <is>
          <t>gestionit@itc.edu.co</t>
        </is>
      </c>
      <c r="K81" s="114" t="n">
        <v>76</v>
      </c>
      <c r="L81" s="119" t="inlineStr">
        <is>
          <t>132 · GIT Gestión de Informática y Telecomunicaciones</t>
        </is>
      </c>
      <c r="M81" s="120" t="n">
        <v>28704000</v>
      </c>
      <c r="N81" s="119" t="inlineStr">
        <is>
          <t>Contratación directa</t>
        </is>
      </c>
      <c r="O81" s="119">
        <f>IF(LEN(IF(OR(NOT(ISNUMBER(B81)),LEN(B81)&lt;&gt;8),"UNSPSC vacío, en texto, con varios códigos o sin 8 dígitos; ","")&amp;IF(AND(ISNUMBER(B81),LEN(B81)=8),IF(MOD(B81,10000)=0,"UNSPSC a nivel de segmento o familia; ",""),"")&amp;IF(NOT(ISNUMBER(E81)),"Duración vacía o en texto; ","")&amp;IF(NOT(ISNUMBER(G81)),"Valor vacío o en texto; ","")&amp;IF(ISNUMBER(M81),IF(M81&lt;1000000,"Valor inferior a $1.000.000: verificar; ",""),"Valor no interpretable; ")&amp;IF(N81="[PENDIENTE DE VERIFICAR]","Modalidad no identificable; ","")&amp;IF(OR(ISERROR(SEARCH("@itc.edu.co",J81)),SUMPRODUCT(--ISNUMBER(SEARCH({"á","é","í","ó","ú","ñ"},J81)))&gt;0),"Correo vacío o no institucional válido; ","")&amp;IF(LEN(TRIM(D81))=0,"Sin objeto contractual; ","")&amp;IF(AND(ISNUMBER(M81),N81="Mínima cuantía"),IF(M81&gt;39850000,"Mínima cuantía con valor superior al tope citado en el instructivo 2026 ($39.850.000): verificar modalidad; ",""),"")&amp;IF(AND(ISNUMBER(M81),OR(ISNUMBER(SEARCH("prestación de servicios",D81)),ISNUMBER(SEARCH("prestar servicios",D81)),ISNUMBER(SEARCH("prestar los servicios",D81)))),IF(M81&gt;=500000000,"Prestación de servicios por $500 millones o más: posible error de digitación; ",""),""))=0,"Sin observaciones",IF(OR(NOT(ISNUMBER(B81)),LEN(B81)&lt;&gt;8),"UNSPSC vacío, en texto, con varios códigos o sin 8 dígitos; ","")&amp;IF(AND(ISNUMBER(B81),LEN(B81)=8),IF(MOD(B81,10000)=0,"UNSPSC a nivel de segmento o familia; ",""),"")&amp;IF(NOT(ISNUMBER(E81)),"Duración vacía o en texto; ","")&amp;IF(NOT(ISNUMBER(G81)),"Valor vacío o en texto; ","")&amp;IF(ISNUMBER(M81),IF(M81&lt;1000000,"Valor inferior a $1.000.000: verificar; ",""),"Valor no interpretable; ")&amp;IF(N81="[PENDIENTE DE VERIFICAR]","Modalidad no identificable; ","")&amp;IF(OR(ISERROR(SEARCH("@itc.edu.co",J81)),SUMPRODUCT(--ISNUMBER(SEARCH({"á","é","í","ó","ú","ñ"},J81)))&gt;0),"Correo vacío o no institucional válido; ","")&amp;IF(LEN(TRIM(D81))=0,"Sin objeto contractual; ","")&amp;IF(AND(ISNUMBER(M81),N81="Mínima cuantía"),IF(M81&gt;39850000,"Mínima cuantía con valor superior al tope citado en el instructivo 2026 ($39.850.000): verificar modalidad; ",""),"")&amp;IF(AND(ISNUMBER(M81),OR(ISNUMBER(SEARCH("prestación de servicios",D81)),ISNUMBER(SEARCH("prestar servicios",D81)),ISNUMBER(SEARCH("prestar los servicios",D81)))),IF(M81&gt;=500000000,"Prestación de servicios por $500 millones o más: posible error de digitación; ",""),""))</f>
        <v/>
      </c>
    </row>
    <row r="82" ht="45.6" customHeight="1" s="23">
      <c r="A82" s="114" t="inlineStr">
        <is>
          <t>PN26-078</t>
        </is>
      </c>
      <c r="B82" s="114" t="n">
        <v>80111600</v>
      </c>
      <c r="C82" s="114" t="inlineStr">
        <is>
          <t>Apoyo gestion IT</t>
        </is>
      </c>
      <c r="D82" s="114" t="inlineStr">
        <is>
          <t xml:space="preserve">Prestación de servicios profesionales en el área de informática y telecomunicaciones para ejecutar actividades de seguimiento y documentación para garantizar el cumplimiento de la normativa vigente en la infraestructura tecnológica de la escuela tecnológica instituto técnico central y sus sedes. </t>
        </is>
      </c>
      <c r="E82" s="114" t="n">
        <v>11</v>
      </c>
      <c r="F82" s="114" t="inlineStr">
        <is>
          <t>DIRECTA</t>
        </is>
      </c>
      <c r="G82" s="118" t="n">
        <v>47346876</v>
      </c>
      <c r="H82" s="114" t="inlineStr">
        <is>
          <t xml:space="preserve">Profesional de informática y telecomunicaciones </t>
        </is>
      </c>
      <c r="I82" s="114" t="n"/>
      <c r="J82" s="114" t="inlineStr">
        <is>
          <t>gestionit@itc.edu.co</t>
        </is>
      </c>
      <c r="K82" s="114" t="n">
        <v>77</v>
      </c>
      <c r="L82" s="119" t="inlineStr">
        <is>
          <t>132 · GIT Gestión de Informática y Telecomunicaciones</t>
        </is>
      </c>
      <c r="M82" s="120" t="n">
        <v>47346876</v>
      </c>
      <c r="N82" s="119" t="inlineStr">
        <is>
          <t>Contratación directa</t>
        </is>
      </c>
      <c r="O82" s="119">
        <f>IF(LEN(IF(OR(NOT(ISNUMBER(B82)),LEN(B82)&lt;&gt;8),"UNSPSC vacío, en texto, con varios códigos o sin 8 dígitos; ","")&amp;IF(AND(ISNUMBER(B82),LEN(B82)=8),IF(MOD(B82,10000)=0,"UNSPSC a nivel de segmento o familia; ",""),"")&amp;IF(NOT(ISNUMBER(E82)),"Duración vacía o en texto; ","")&amp;IF(NOT(ISNUMBER(G82)),"Valor vacío o en texto; ","")&amp;IF(ISNUMBER(M82),IF(M82&lt;1000000,"Valor inferior a $1.000.000: verificar; ",""),"Valor no interpretable; ")&amp;IF(N82="[PENDIENTE DE VERIFICAR]","Modalidad no identificable; ","")&amp;IF(OR(ISERROR(SEARCH("@itc.edu.co",J82)),SUMPRODUCT(--ISNUMBER(SEARCH({"á","é","í","ó","ú","ñ"},J82)))&gt;0),"Correo vacío o no institucional válido; ","")&amp;IF(LEN(TRIM(D82))=0,"Sin objeto contractual; ","")&amp;IF(AND(ISNUMBER(M82),N82="Mínima cuantía"),IF(M82&gt;39850000,"Mínima cuantía con valor superior al tope citado en el instructivo 2026 ($39.850.000): verificar modalidad; ",""),"")&amp;IF(AND(ISNUMBER(M82),OR(ISNUMBER(SEARCH("prestación de servicios",D82)),ISNUMBER(SEARCH("prestar servicios",D82)),ISNUMBER(SEARCH("prestar los servicios",D82)))),IF(M82&gt;=500000000,"Prestación de servicios por $500 millones o más: posible error de digitación; ",""),""))=0,"Sin observaciones",IF(OR(NOT(ISNUMBER(B82)),LEN(B82)&lt;&gt;8),"UNSPSC vacío, en texto, con varios códigos o sin 8 dígitos; ","")&amp;IF(AND(ISNUMBER(B82),LEN(B82)=8),IF(MOD(B82,10000)=0,"UNSPSC a nivel de segmento o familia; ",""),"")&amp;IF(NOT(ISNUMBER(E82)),"Duración vacía o en texto; ","")&amp;IF(NOT(ISNUMBER(G82)),"Valor vacío o en texto; ","")&amp;IF(ISNUMBER(M82),IF(M82&lt;1000000,"Valor inferior a $1.000.000: verificar; ",""),"Valor no interpretable; ")&amp;IF(N82="[PENDIENTE DE VERIFICAR]","Modalidad no identificable; ","")&amp;IF(OR(ISERROR(SEARCH("@itc.edu.co",J82)),SUMPRODUCT(--ISNUMBER(SEARCH({"á","é","í","ó","ú","ñ"},J82)))&gt;0),"Correo vacío o no institucional válido; ","")&amp;IF(LEN(TRIM(D82))=0,"Sin objeto contractual; ","")&amp;IF(AND(ISNUMBER(M82),N82="Mínima cuantía"),IF(M82&gt;39850000,"Mínima cuantía con valor superior al tope citado en el instructivo 2026 ($39.850.000): verificar modalidad; ",""),"")&amp;IF(AND(ISNUMBER(M82),OR(ISNUMBER(SEARCH("prestación de servicios",D82)),ISNUMBER(SEARCH("prestar servicios",D82)),ISNUMBER(SEARCH("prestar los servicios",D82)))),IF(M82&gt;=500000000,"Prestación de servicios por $500 millones o más: posible error de digitación; ",""),""))</f>
        <v/>
      </c>
    </row>
    <row r="83" ht="45.6" customHeight="1" s="23">
      <c r="A83" s="114" t="inlineStr">
        <is>
          <t>PN26-079</t>
        </is>
      </c>
      <c r="B83" s="114" t="n">
        <v>80111600</v>
      </c>
      <c r="C83" s="114" t="inlineStr">
        <is>
          <t>Admin mesa de ayuda</t>
        </is>
      </c>
      <c r="D83" s="114" t="inlineStr">
        <is>
          <t xml:space="preserve">Prestación de servicios profesionales en el área de informática y telecomunicaciones para administrar la mesa de ayuda y las plataformas microsoft 365, azure ad, azure microsoft cloud services y la integración con otras plataformas de la escuela tecnológica instituto técnico central. </t>
        </is>
      </c>
      <c r="E83" s="114" t="n">
        <v>11</v>
      </c>
      <c r="F83" s="114" t="inlineStr">
        <is>
          <t>DIRECTA</t>
        </is>
      </c>
      <c r="G83" s="118" t="n">
        <v>51029316</v>
      </c>
      <c r="H83" s="114" t="inlineStr">
        <is>
          <t xml:space="preserve">Profesional de informática y telecomunicaciones </t>
        </is>
      </c>
      <c r="I83" s="114" t="n"/>
      <c r="J83" s="114" t="inlineStr">
        <is>
          <t>gestionit@itc.edu.co</t>
        </is>
      </c>
      <c r="K83" s="114" t="n">
        <v>78</v>
      </c>
      <c r="L83" s="119" t="inlineStr">
        <is>
          <t>132 · GIT Gestión de Informática y Telecomunicaciones</t>
        </is>
      </c>
      <c r="M83" s="120" t="n">
        <v>51029316</v>
      </c>
      <c r="N83" s="119" t="inlineStr">
        <is>
          <t>Contratación directa</t>
        </is>
      </c>
      <c r="O83" s="119">
        <f>IF(LEN(IF(OR(NOT(ISNUMBER(B83)),LEN(B83)&lt;&gt;8),"UNSPSC vacío, en texto, con varios códigos o sin 8 dígitos; ","")&amp;IF(AND(ISNUMBER(B83),LEN(B83)=8),IF(MOD(B83,10000)=0,"UNSPSC a nivel de segmento o familia; ",""),"")&amp;IF(NOT(ISNUMBER(E83)),"Duración vacía o en texto; ","")&amp;IF(NOT(ISNUMBER(G83)),"Valor vacío o en texto; ","")&amp;IF(ISNUMBER(M83),IF(M83&lt;1000000,"Valor inferior a $1.000.000: verificar; ",""),"Valor no interpretable; ")&amp;IF(N83="[PENDIENTE DE VERIFICAR]","Modalidad no identificable; ","")&amp;IF(OR(ISERROR(SEARCH("@itc.edu.co",J83)),SUMPRODUCT(--ISNUMBER(SEARCH({"á","é","í","ó","ú","ñ"},J83)))&gt;0),"Correo vacío o no institucional válido; ","")&amp;IF(LEN(TRIM(D83))=0,"Sin objeto contractual; ","")&amp;IF(AND(ISNUMBER(M83),N83="Mínima cuantía"),IF(M83&gt;39850000,"Mínima cuantía con valor superior al tope citado en el instructivo 2026 ($39.850.000): verificar modalidad; ",""),"")&amp;IF(AND(ISNUMBER(M83),OR(ISNUMBER(SEARCH("prestación de servicios",D83)),ISNUMBER(SEARCH("prestar servicios",D83)),ISNUMBER(SEARCH("prestar los servicios",D83)))),IF(M83&gt;=500000000,"Prestación de servicios por $500 millones o más: posible error de digitación; ",""),""))=0,"Sin observaciones",IF(OR(NOT(ISNUMBER(B83)),LEN(B83)&lt;&gt;8),"UNSPSC vacío, en texto, con varios códigos o sin 8 dígitos; ","")&amp;IF(AND(ISNUMBER(B83),LEN(B83)=8),IF(MOD(B83,10000)=0,"UNSPSC a nivel de segmento o familia; ",""),"")&amp;IF(NOT(ISNUMBER(E83)),"Duración vacía o en texto; ","")&amp;IF(NOT(ISNUMBER(G83)),"Valor vacío o en texto; ","")&amp;IF(ISNUMBER(M83),IF(M83&lt;1000000,"Valor inferior a $1.000.000: verificar; ",""),"Valor no interpretable; ")&amp;IF(N83="[PENDIENTE DE VERIFICAR]","Modalidad no identificable; ","")&amp;IF(OR(ISERROR(SEARCH("@itc.edu.co",J83)),SUMPRODUCT(--ISNUMBER(SEARCH({"á","é","í","ó","ú","ñ"},J83)))&gt;0),"Correo vacío o no institucional válido; ","")&amp;IF(LEN(TRIM(D83))=0,"Sin objeto contractual; ","")&amp;IF(AND(ISNUMBER(M83),N83="Mínima cuantía"),IF(M83&gt;39850000,"Mínima cuantía con valor superior al tope citado en el instructivo 2026 ($39.850.000): verificar modalidad; ",""),"")&amp;IF(AND(ISNUMBER(M83),OR(ISNUMBER(SEARCH("prestación de servicios",D83)),ISNUMBER(SEARCH("prestar servicios",D83)),ISNUMBER(SEARCH("prestar los servicios",D83)))),IF(M83&gt;=500000000,"Prestación de servicios por $500 millones o más: posible error de digitación; ",""),""))</f>
        <v/>
      </c>
    </row>
    <row r="84" ht="45.6" customHeight="1" s="23">
      <c r="A84" s="114" t="inlineStr">
        <is>
          <t>PN26-080</t>
        </is>
      </c>
      <c r="B84" s="114" t="n">
        <v>80111600</v>
      </c>
      <c r="C84" s="114" t="inlineStr">
        <is>
          <t>Técnico aulas alternancia pes</t>
        </is>
      </c>
      <c r="D84" s="114" t="inlineStr">
        <is>
          <t xml:space="preserve">Prestación de servicios como tecnologo en el área de informática y telecomunicaciones para brindar soporte de primer nivel, ejecutar planes de mantenimiento y asesoria a usuarios de los equipos relacionados al sistema de las aulas para la alternancia de los programas de educación superior de la etitc. </t>
        </is>
      </c>
      <c r="E84" s="114" t="n">
        <v>11</v>
      </c>
      <c r="F84" s="114" t="inlineStr">
        <is>
          <t>DIRECTA</t>
        </is>
      </c>
      <c r="G84" s="118" t="n">
        <v>33376740</v>
      </c>
      <c r="H84" s="114" t="inlineStr">
        <is>
          <t xml:space="preserve">Profesional de informática y telecomunicaciones </t>
        </is>
      </c>
      <c r="I84" s="114" t="n"/>
      <c r="J84" s="114" t="inlineStr">
        <is>
          <t>gestionit@itc.edu.co</t>
        </is>
      </c>
      <c r="K84" s="114" t="n">
        <v>79</v>
      </c>
      <c r="L84" s="119" t="inlineStr">
        <is>
          <t>132 · GIT Gestión de Informática y Telecomunicaciones</t>
        </is>
      </c>
      <c r="M84" s="120" t="n">
        <v>33376740</v>
      </c>
      <c r="N84" s="119" t="inlineStr">
        <is>
          <t>Contratación directa</t>
        </is>
      </c>
      <c r="O84" s="119">
        <f>IF(LEN(IF(OR(NOT(ISNUMBER(B84)),LEN(B84)&lt;&gt;8),"UNSPSC vacío, en texto, con varios códigos o sin 8 dígitos; ","")&amp;IF(AND(ISNUMBER(B84),LEN(B84)=8),IF(MOD(B84,10000)=0,"UNSPSC a nivel de segmento o familia; ",""),"")&amp;IF(NOT(ISNUMBER(E84)),"Duración vacía o en texto; ","")&amp;IF(NOT(ISNUMBER(G84)),"Valor vacío o en texto; ","")&amp;IF(ISNUMBER(M84),IF(M84&lt;1000000,"Valor inferior a $1.000.000: verificar; ",""),"Valor no interpretable; ")&amp;IF(N84="[PENDIENTE DE VERIFICAR]","Modalidad no identificable; ","")&amp;IF(OR(ISERROR(SEARCH("@itc.edu.co",J84)),SUMPRODUCT(--ISNUMBER(SEARCH({"á","é","í","ó","ú","ñ"},J84)))&gt;0),"Correo vacío o no institucional válido; ","")&amp;IF(LEN(TRIM(D84))=0,"Sin objeto contractual; ","")&amp;IF(AND(ISNUMBER(M84),N84="Mínima cuantía"),IF(M84&gt;39850000,"Mínima cuantía con valor superior al tope citado en el instructivo 2026 ($39.850.000): verificar modalidad; ",""),"")&amp;IF(AND(ISNUMBER(M84),OR(ISNUMBER(SEARCH("prestación de servicios",D84)),ISNUMBER(SEARCH("prestar servicios",D84)),ISNUMBER(SEARCH("prestar los servicios",D84)))),IF(M84&gt;=500000000,"Prestación de servicios por $500 millones o más: posible error de digitación; ",""),""))=0,"Sin observaciones",IF(OR(NOT(ISNUMBER(B84)),LEN(B84)&lt;&gt;8),"UNSPSC vacío, en texto, con varios códigos o sin 8 dígitos; ","")&amp;IF(AND(ISNUMBER(B84),LEN(B84)=8),IF(MOD(B84,10000)=0,"UNSPSC a nivel de segmento o familia; ",""),"")&amp;IF(NOT(ISNUMBER(E84)),"Duración vacía o en texto; ","")&amp;IF(NOT(ISNUMBER(G84)),"Valor vacío o en texto; ","")&amp;IF(ISNUMBER(M84),IF(M84&lt;1000000,"Valor inferior a $1.000.000: verificar; ",""),"Valor no interpretable; ")&amp;IF(N84="[PENDIENTE DE VERIFICAR]","Modalidad no identificable; ","")&amp;IF(OR(ISERROR(SEARCH("@itc.edu.co",J84)),SUMPRODUCT(--ISNUMBER(SEARCH({"á","é","í","ó","ú","ñ"},J84)))&gt;0),"Correo vacío o no institucional válido; ","")&amp;IF(LEN(TRIM(D84))=0,"Sin objeto contractual; ","")&amp;IF(AND(ISNUMBER(M84),N84="Mínima cuantía"),IF(M84&gt;39850000,"Mínima cuantía con valor superior al tope citado en el instructivo 2026 ($39.850.000): verificar modalidad; ",""),"")&amp;IF(AND(ISNUMBER(M84),OR(ISNUMBER(SEARCH("prestación de servicios",D84)),ISNUMBER(SEARCH("prestar servicios",D84)),ISNUMBER(SEARCH("prestar los servicios",D84)))),IF(M84&gt;=500000000,"Prestación de servicios por $500 millones o más: posible error de digitación; ",""),""))</f>
        <v/>
      </c>
    </row>
    <row r="85" ht="34.2" customHeight="1" s="23">
      <c r="A85" s="114" t="inlineStr">
        <is>
          <t>PN26-081</t>
        </is>
      </c>
      <c r="B85" s="114" t="n">
        <v>80111600</v>
      </c>
      <c r="C85" s="114" t="inlineStr">
        <is>
          <t>Apoyo gestión</t>
        </is>
      </c>
      <c r="D85" s="114" t="inlineStr">
        <is>
          <t xml:space="preserve">Prestación de servicios profesionales especializados para asesorar y apoyar los procesos técnicos y administrativos del área de informática y telecomunicaciones de la etitc. </t>
        </is>
      </c>
      <c r="E85" s="114" t="n">
        <v>11</v>
      </c>
      <c r="F85" s="114" t="inlineStr">
        <is>
          <t>DIRECTA</t>
        </is>
      </c>
      <c r="G85" s="118" t="n">
        <v>63437040</v>
      </c>
      <c r="H85" s="114" t="inlineStr">
        <is>
          <t xml:space="preserve">Profesional de informática y telecomunicaciones </t>
        </is>
      </c>
      <c r="I85" s="114" t="n"/>
      <c r="J85" s="114" t="inlineStr">
        <is>
          <t>gestionit@itc.edu.co</t>
        </is>
      </c>
      <c r="K85" s="114" t="n">
        <v>80</v>
      </c>
      <c r="L85" s="119" t="inlineStr">
        <is>
          <t>132 · GIT Gestión de Informática y Telecomunicaciones</t>
        </is>
      </c>
      <c r="M85" s="120" t="n">
        <v>63437040</v>
      </c>
      <c r="N85" s="119" t="inlineStr">
        <is>
          <t>Contratación directa</t>
        </is>
      </c>
      <c r="O85" s="119">
        <f>IF(LEN(IF(OR(NOT(ISNUMBER(B85)),LEN(B85)&lt;&gt;8),"UNSPSC vacío, en texto, con varios códigos o sin 8 dígitos; ","")&amp;IF(AND(ISNUMBER(B85),LEN(B85)=8),IF(MOD(B85,10000)=0,"UNSPSC a nivel de segmento o familia; ",""),"")&amp;IF(NOT(ISNUMBER(E85)),"Duración vacía o en texto; ","")&amp;IF(NOT(ISNUMBER(G85)),"Valor vacío o en texto; ","")&amp;IF(ISNUMBER(M85),IF(M85&lt;1000000,"Valor inferior a $1.000.000: verificar; ",""),"Valor no interpretable; ")&amp;IF(N85="[PENDIENTE DE VERIFICAR]","Modalidad no identificable; ","")&amp;IF(OR(ISERROR(SEARCH("@itc.edu.co",J85)),SUMPRODUCT(--ISNUMBER(SEARCH({"á","é","í","ó","ú","ñ"},J85)))&gt;0),"Correo vacío o no institucional válido; ","")&amp;IF(LEN(TRIM(D85))=0,"Sin objeto contractual; ","")&amp;IF(AND(ISNUMBER(M85),N85="Mínima cuantía"),IF(M85&gt;39850000,"Mínima cuantía con valor superior al tope citado en el instructivo 2026 ($39.850.000): verificar modalidad; ",""),"")&amp;IF(AND(ISNUMBER(M85),OR(ISNUMBER(SEARCH("prestación de servicios",D85)),ISNUMBER(SEARCH("prestar servicios",D85)),ISNUMBER(SEARCH("prestar los servicios",D85)))),IF(M85&gt;=500000000,"Prestación de servicios por $500 millones o más: posible error de digitación; ",""),""))=0,"Sin observaciones",IF(OR(NOT(ISNUMBER(B85)),LEN(B85)&lt;&gt;8),"UNSPSC vacío, en texto, con varios códigos o sin 8 dígitos; ","")&amp;IF(AND(ISNUMBER(B85),LEN(B85)=8),IF(MOD(B85,10000)=0,"UNSPSC a nivel de segmento o familia; ",""),"")&amp;IF(NOT(ISNUMBER(E85)),"Duración vacía o en texto; ","")&amp;IF(NOT(ISNUMBER(G85)),"Valor vacío o en texto; ","")&amp;IF(ISNUMBER(M85),IF(M85&lt;1000000,"Valor inferior a $1.000.000: verificar; ",""),"Valor no interpretable; ")&amp;IF(N85="[PENDIENTE DE VERIFICAR]","Modalidad no identificable; ","")&amp;IF(OR(ISERROR(SEARCH("@itc.edu.co",J85)),SUMPRODUCT(--ISNUMBER(SEARCH({"á","é","í","ó","ú","ñ"},J85)))&gt;0),"Correo vacío o no institucional válido; ","")&amp;IF(LEN(TRIM(D85))=0,"Sin objeto contractual; ","")&amp;IF(AND(ISNUMBER(M85),N85="Mínima cuantía"),IF(M85&gt;39850000,"Mínima cuantía con valor superior al tope citado en el instructivo 2026 ($39.850.000): verificar modalidad; ",""),"")&amp;IF(AND(ISNUMBER(M85),OR(ISNUMBER(SEARCH("prestación de servicios",D85)),ISNUMBER(SEARCH("prestar servicios",D85)),ISNUMBER(SEARCH("prestar los servicios",D85)))),IF(M85&gt;=500000000,"Prestación de servicios por $500 millones o más: posible error de digitación; ",""),""))</f>
        <v/>
      </c>
    </row>
    <row r="86" ht="45.6" customHeight="1" s="23">
      <c r="A86" s="114" t="inlineStr">
        <is>
          <t>PN26-082</t>
        </is>
      </c>
      <c r="B86" s="114" t="n">
        <v>80111600</v>
      </c>
      <c r="C86" s="114" t="inlineStr">
        <is>
          <t>Técnico mesa de ayuda (sedes por definir)</t>
        </is>
      </c>
      <c r="D86" s="114" t="inlineStr">
        <is>
          <t xml:space="preserve">Prestación de servicios como técnico en el área de informática y telecomunicaciones para brindar el soporte de primer nivel para dar respuesta y solución a los incidentes, requerimientos y solicitudes registradas en la mesa de servicios de ti de las sedes anexas de la etitc. </t>
        </is>
      </c>
      <c r="E86" s="114" t="n">
        <v>11</v>
      </c>
      <c r="F86" s="114" t="inlineStr">
        <is>
          <t>DIRECTA</t>
        </is>
      </c>
      <c r="G86" s="118" t="n">
        <v>32400000</v>
      </c>
      <c r="H86" s="114" t="inlineStr">
        <is>
          <t xml:space="preserve">Profesional de informática y telecomunicaciones </t>
        </is>
      </c>
      <c r="I86" s="114" t="n"/>
      <c r="J86" s="114" t="inlineStr">
        <is>
          <t>gestionit@itc.edu.co</t>
        </is>
      </c>
      <c r="K86" s="114" t="n">
        <v>81</v>
      </c>
      <c r="L86" s="119" t="inlineStr">
        <is>
          <t>132 · GIT Gestión de Informática y Telecomunicaciones</t>
        </is>
      </c>
      <c r="M86" s="120" t="n">
        <v>32400000</v>
      </c>
      <c r="N86" s="119" t="inlineStr">
        <is>
          <t>Contratación directa</t>
        </is>
      </c>
      <c r="O86" s="119">
        <f>IF(LEN(IF(OR(NOT(ISNUMBER(B86)),LEN(B86)&lt;&gt;8),"UNSPSC vacío, en texto, con varios códigos o sin 8 dígitos; ","")&amp;IF(AND(ISNUMBER(B86),LEN(B86)=8),IF(MOD(B86,10000)=0,"UNSPSC a nivel de segmento o familia; ",""),"")&amp;IF(NOT(ISNUMBER(E86)),"Duración vacía o en texto; ","")&amp;IF(NOT(ISNUMBER(G86)),"Valor vacío o en texto; ","")&amp;IF(ISNUMBER(M86),IF(M86&lt;1000000,"Valor inferior a $1.000.000: verificar; ",""),"Valor no interpretable; ")&amp;IF(N86="[PENDIENTE DE VERIFICAR]","Modalidad no identificable; ","")&amp;IF(OR(ISERROR(SEARCH("@itc.edu.co",J86)),SUMPRODUCT(--ISNUMBER(SEARCH({"á","é","í","ó","ú","ñ"},J86)))&gt;0),"Correo vacío o no institucional válido; ","")&amp;IF(LEN(TRIM(D86))=0,"Sin objeto contractual; ","")&amp;IF(AND(ISNUMBER(M86),N86="Mínima cuantía"),IF(M86&gt;39850000,"Mínima cuantía con valor superior al tope citado en el instructivo 2026 ($39.850.000): verificar modalidad; ",""),"")&amp;IF(AND(ISNUMBER(M86),OR(ISNUMBER(SEARCH("prestación de servicios",D86)),ISNUMBER(SEARCH("prestar servicios",D86)),ISNUMBER(SEARCH("prestar los servicios",D86)))),IF(M86&gt;=500000000,"Prestación de servicios por $500 millones o más: posible error de digitación; ",""),""))=0,"Sin observaciones",IF(OR(NOT(ISNUMBER(B86)),LEN(B86)&lt;&gt;8),"UNSPSC vacío, en texto, con varios códigos o sin 8 dígitos; ","")&amp;IF(AND(ISNUMBER(B86),LEN(B86)=8),IF(MOD(B86,10000)=0,"UNSPSC a nivel de segmento o familia; ",""),"")&amp;IF(NOT(ISNUMBER(E86)),"Duración vacía o en texto; ","")&amp;IF(NOT(ISNUMBER(G86)),"Valor vacío o en texto; ","")&amp;IF(ISNUMBER(M86),IF(M86&lt;1000000,"Valor inferior a $1.000.000: verificar; ",""),"Valor no interpretable; ")&amp;IF(N86="[PENDIENTE DE VERIFICAR]","Modalidad no identificable; ","")&amp;IF(OR(ISERROR(SEARCH("@itc.edu.co",J86)),SUMPRODUCT(--ISNUMBER(SEARCH({"á","é","í","ó","ú","ñ"},J86)))&gt;0),"Correo vacío o no institucional válido; ","")&amp;IF(LEN(TRIM(D86))=0,"Sin objeto contractual; ","")&amp;IF(AND(ISNUMBER(M86),N86="Mínima cuantía"),IF(M86&gt;39850000,"Mínima cuantía con valor superior al tope citado en el instructivo 2026 ($39.850.000): verificar modalidad; ",""),"")&amp;IF(AND(ISNUMBER(M86),OR(ISNUMBER(SEARCH("prestación de servicios",D86)),ISNUMBER(SEARCH("prestar servicios",D86)),ISNUMBER(SEARCH("prestar los servicios",D86)))),IF(M86&gt;=500000000,"Prestación de servicios por $500 millones o más: posible error de digitación; ",""),""))</f>
        <v/>
      </c>
    </row>
    <row r="87" ht="34.2" customHeight="1" s="23">
      <c r="A87" s="114" t="inlineStr">
        <is>
          <t>PN26-083</t>
        </is>
      </c>
      <c r="B87" s="114" t="n">
        <v>80111600</v>
      </c>
      <c r="C87" s="114" t="inlineStr">
        <is>
          <t>Admin sistemas info</t>
        </is>
      </c>
      <c r="D87" s="114" t="inlineStr">
        <is>
          <t xml:space="preserve">Prestación de servicios profesionales en el área de informática y telecomunicaciones para la administración de los sistemas de información y las bases de datos de la etitc. </t>
        </is>
      </c>
      <c r="E87" s="114" t="n">
        <v>11</v>
      </c>
      <c r="F87" s="114" t="inlineStr">
        <is>
          <t>DIRECTA</t>
        </is>
      </c>
      <c r="G87" s="118" t="n">
        <v>51029316</v>
      </c>
      <c r="H87" s="114" t="inlineStr">
        <is>
          <t xml:space="preserve">Profesional de informática y telecomunicaciones </t>
        </is>
      </c>
      <c r="I87" s="114" t="n"/>
      <c r="J87" s="114" t="inlineStr">
        <is>
          <t>gestionit@itc.edu.co</t>
        </is>
      </c>
      <c r="K87" s="114" t="n">
        <v>82</v>
      </c>
      <c r="L87" s="119" t="inlineStr">
        <is>
          <t>132 · GIT Gestión de Informática y Telecomunicaciones</t>
        </is>
      </c>
      <c r="M87" s="120" t="n">
        <v>51029316</v>
      </c>
      <c r="N87" s="119" t="inlineStr">
        <is>
          <t>Contratación directa</t>
        </is>
      </c>
      <c r="O87" s="119">
        <f>IF(LEN(IF(OR(NOT(ISNUMBER(B87)),LEN(B87)&lt;&gt;8),"UNSPSC vacío, en texto, con varios códigos o sin 8 dígitos; ","")&amp;IF(AND(ISNUMBER(B87),LEN(B87)=8),IF(MOD(B87,10000)=0,"UNSPSC a nivel de segmento o familia; ",""),"")&amp;IF(NOT(ISNUMBER(E87)),"Duración vacía o en texto; ","")&amp;IF(NOT(ISNUMBER(G87)),"Valor vacío o en texto; ","")&amp;IF(ISNUMBER(M87),IF(M87&lt;1000000,"Valor inferior a $1.000.000: verificar; ",""),"Valor no interpretable; ")&amp;IF(N87="[PENDIENTE DE VERIFICAR]","Modalidad no identificable; ","")&amp;IF(OR(ISERROR(SEARCH("@itc.edu.co",J87)),SUMPRODUCT(--ISNUMBER(SEARCH({"á","é","í","ó","ú","ñ"},J87)))&gt;0),"Correo vacío o no institucional válido; ","")&amp;IF(LEN(TRIM(D87))=0,"Sin objeto contractual; ","")&amp;IF(AND(ISNUMBER(M87),N87="Mínima cuantía"),IF(M87&gt;39850000,"Mínima cuantía con valor superior al tope citado en el instructivo 2026 ($39.850.000): verificar modalidad; ",""),"")&amp;IF(AND(ISNUMBER(M87),OR(ISNUMBER(SEARCH("prestación de servicios",D87)),ISNUMBER(SEARCH("prestar servicios",D87)),ISNUMBER(SEARCH("prestar los servicios",D87)))),IF(M87&gt;=500000000,"Prestación de servicios por $500 millones o más: posible error de digitación; ",""),""))=0,"Sin observaciones",IF(OR(NOT(ISNUMBER(B87)),LEN(B87)&lt;&gt;8),"UNSPSC vacío, en texto, con varios códigos o sin 8 dígitos; ","")&amp;IF(AND(ISNUMBER(B87),LEN(B87)=8),IF(MOD(B87,10000)=0,"UNSPSC a nivel de segmento o familia; ",""),"")&amp;IF(NOT(ISNUMBER(E87)),"Duración vacía o en texto; ","")&amp;IF(NOT(ISNUMBER(G87)),"Valor vacío o en texto; ","")&amp;IF(ISNUMBER(M87),IF(M87&lt;1000000,"Valor inferior a $1.000.000: verificar; ",""),"Valor no interpretable; ")&amp;IF(N87="[PENDIENTE DE VERIFICAR]","Modalidad no identificable; ","")&amp;IF(OR(ISERROR(SEARCH("@itc.edu.co",J87)),SUMPRODUCT(--ISNUMBER(SEARCH({"á","é","í","ó","ú","ñ"},J87)))&gt;0),"Correo vacío o no institucional válido; ","")&amp;IF(LEN(TRIM(D87))=0,"Sin objeto contractual; ","")&amp;IF(AND(ISNUMBER(M87),N87="Mínima cuantía"),IF(M87&gt;39850000,"Mínima cuantía con valor superior al tope citado en el instructivo 2026 ($39.850.000): verificar modalidad; ",""),"")&amp;IF(AND(ISNUMBER(M87),OR(ISNUMBER(SEARCH("prestación de servicios",D87)),ISNUMBER(SEARCH("prestar servicios",D87)),ISNUMBER(SEARCH("prestar los servicios",D87)))),IF(M87&gt;=500000000,"Prestación de servicios por $500 millones o más: posible error de digitación; ",""),""))</f>
        <v/>
      </c>
    </row>
    <row r="88" ht="45.6" customHeight="1" s="23">
      <c r="A88" s="114" t="inlineStr">
        <is>
          <t>PN26-084</t>
        </is>
      </c>
      <c r="B88" s="114" t="n">
        <v>80111600</v>
      </c>
      <c r="C88" s="114" t="inlineStr">
        <is>
          <t>Coord mesa de ayuda</t>
        </is>
      </c>
      <c r="D88" s="114" t="inlineStr">
        <is>
          <t xml:space="preserve">Prestación de servicios profesionales en el área de informática y telecomunicaciones para coordinar el soporte de primer nivel con el propósito de brindar respuesta y solución a los incidentes, requerimientos y solicitudes registradas en la mesa de servicios de ti de la etitc y sus sedes. </t>
        </is>
      </c>
      <c r="E88" s="114" t="n">
        <v>11</v>
      </c>
      <c r="F88" s="114" t="inlineStr">
        <is>
          <t>DIRECTA</t>
        </is>
      </c>
      <c r="G88" s="118" t="n">
        <v>47469132</v>
      </c>
      <c r="H88" s="114" t="inlineStr">
        <is>
          <t xml:space="preserve">Profesional de informática y telecomunicaciones </t>
        </is>
      </c>
      <c r="I88" s="114" t="n"/>
      <c r="J88" s="114" t="inlineStr">
        <is>
          <t>gestionit@itc.edu.co</t>
        </is>
      </c>
      <c r="K88" s="114" t="n">
        <v>83</v>
      </c>
      <c r="L88" s="119" t="inlineStr">
        <is>
          <t>132 · GIT Gestión de Informática y Telecomunicaciones</t>
        </is>
      </c>
      <c r="M88" s="120" t="n">
        <v>47469132</v>
      </c>
      <c r="N88" s="119" t="inlineStr">
        <is>
          <t>Contratación directa</t>
        </is>
      </c>
      <c r="O88" s="119">
        <f>IF(LEN(IF(OR(NOT(ISNUMBER(B88)),LEN(B88)&lt;&gt;8),"UNSPSC vacío, en texto, con varios códigos o sin 8 dígitos; ","")&amp;IF(AND(ISNUMBER(B88),LEN(B88)=8),IF(MOD(B88,10000)=0,"UNSPSC a nivel de segmento o familia; ",""),"")&amp;IF(NOT(ISNUMBER(E88)),"Duración vacía o en texto; ","")&amp;IF(NOT(ISNUMBER(G88)),"Valor vacío o en texto; ","")&amp;IF(ISNUMBER(M88),IF(M88&lt;1000000,"Valor inferior a $1.000.000: verificar; ",""),"Valor no interpretable; ")&amp;IF(N88="[PENDIENTE DE VERIFICAR]","Modalidad no identificable; ","")&amp;IF(OR(ISERROR(SEARCH("@itc.edu.co",J88)),SUMPRODUCT(--ISNUMBER(SEARCH({"á","é","í","ó","ú","ñ"},J88)))&gt;0),"Correo vacío o no institucional válido; ","")&amp;IF(LEN(TRIM(D88))=0,"Sin objeto contractual; ","")&amp;IF(AND(ISNUMBER(M88),N88="Mínima cuantía"),IF(M88&gt;39850000,"Mínima cuantía con valor superior al tope citado en el instructivo 2026 ($39.850.000): verificar modalidad; ",""),"")&amp;IF(AND(ISNUMBER(M88),OR(ISNUMBER(SEARCH("prestación de servicios",D88)),ISNUMBER(SEARCH("prestar servicios",D88)),ISNUMBER(SEARCH("prestar los servicios",D88)))),IF(M88&gt;=500000000,"Prestación de servicios por $500 millones o más: posible error de digitación; ",""),""))=0,"Sin observaciones",IF(OR(NOT(ISNUMBER(B88)),LEN(B88)&lt;&gt;8),"UNSPSC vacío, en texto, con varios códigos o sin 8 dígitos; ","")&amp;IF(AND(ISNUMBER(B88),LEN(B88)=8),IF(MOD(B88,10000)=0,"UNSPSC a nivel de segmento o familia; ",""),"")&amp;IF(NOT(ISNUMBER(E88)),"Duración vacía o en texto; ","")&amp;IF(NOT(ISNUMBER(G88)),"Valor vacío o en texto; ","")&amp;IF(ISNUMBER(M88),IF(M88&lt;1000000,"Valor inferior a $1.000.000: verificar; ",""),"Valor no interpretable; ")&amp;IF(N88="[PENDIENTE DE VERIFICAR]","Modalidad no identificable; ","")&amp;IF(OR(ISERROR(SEARCH("@itc.edu.co",J88)),SUMPRODUCT(--ISNUMBER(SEARCH({"á","é","í","ó","ú","ñ"},J88)))&gt;0),"Correo vacío o no institucional válido; ","")&amp;IF(LEN(TRIM(D88))=0,"Sin objeto contractual; ","")&amp;IF(AND(ISNUMBER(M88),N88="Mínima cuantía"),IF(M88&gt;39850000,"Mínima cuantía con valor superior al tope citado en el instructivo 2026 ($39.850.000): verificar modalidad; ",""),"")&amp;IF(AND(ISNUMBER(M88),OR(ISNUMBER(SEARCH("prestación de servicios",D88)),ISNUMBER(SEARCH("prestar servicios",D88)),ISNUMBER(SEARCH("prestar los servicios",D88)))),IF(M88&gt;=500000000,"Prestación de servicios por $500 millones o más: posible error de digitación; ",""),""))</f>
        <v/>
      </c>
    </row>
    <row r="89" ht="45.6" customHeight="1" s="23">
      <c r="A89" s="114" t="inlineStr">
        <is>
          <t>PN26-085</t>
        </is>
      </c>
      <c r="B89" s="114" t="n">
        <v>80111600</v>
      </c>
      <c r="C89" s="114" t="inlineStr">
        <is>
          <t>Tecnologo mesa de ayuda mañana</t>
        </is>
      </c>
      <c r="D89" s="114" t="inlineStr">
        <is>
          <t xml:space="preserve">Prestación de servicios como tecnologo en el área de informática y telecomunicaciones para brindar el soporte de primer nivel con el propósito de brindar respuesta y solución a los incidentes, requerimientos y solicitudes registradas en la mesa de servicios de ti de la etitc. </t>
        </is>
      </c>
      <c r="E89" s="114" t="n">
        <v>11</v>
      </c>
      <c r="F89" s="114" t="inlineStr">
        <is>
          <t>DIRECTA</t>
        </is>
      </c>
      <c r="G89" s="118" t="n">
        <v>33376740</v>
      </c>
      <c r="H89" s="114" t="inlineStr">
        <is>
          <t xml:space="preserve">Profesional de informática y telecomunicaciones </t>
        </is>
      </c>
      <c r="I89" s="114" t="n"/>
      <c r="J89" s="114" t="inlineStr">
        <is>
          <t>gestionit@itc.edu.co</t>
        </is>
      </c>
      <c r="K89" s="114" t="n">
        <v>84</v>
      </c>
      <c r="L89" s="119" t="inlineStr">
        <is>
          <t>132 · GIT Gestión de Informática y Telecomunicaciones</t>
        </is>
      </c>
      <c r="M89" s="120" t="n">
        <v>33376740</v>
      </c>
      <c r="N89" s="119" t="inlineStr">
        <is>
          <t>Contratación directa</t>
        </is>
      </c>
      <c r="O89" s="119">
        <f>IF(LEN(IF(OR(NOT(ISNUMBER(B89)),LEN(B89)&lt;&gt;8),"UNSPSC vacío, en texto, con varios códigos o sin 8 dígitos; ","")&amp;IF(AND(ISNUMBER(B89),LEN(B89)=8),IF(MOD(B89,10000)=0,"UNSPSC a nivel de segmento o familia; ",""),"")&amp;IF(NOT(ISNUMBER(E89)),"Duración vacía o en texto; ","")&amp;IF(NOT(ISNUMBER(G89)),"Valor vacío o en texto; ","")&amp;IF(ISNUMBER(M89),IF(M89&lt;1000000,"Valor inferior a $1.000.000: verificar; ",""),"Valor no interpretable; ")&amp;IF(N89="[PENDIENTE DE VERIFICAR]","Modalidad no identificable; ","")&amp;IF(OR(ISERROR(SEARCH("@itc.edu.co",J89)),SUMPRODUCT(--ISNUMBER(SEARCH({"á","é","í","ó","ú","ñ"},J89)))&gt;0),"Correo vacío o no institucional válido; ","")&amp;IF(LEN(TRIM(D89))=0,"Sin objeto contractual; ","")&amp;IF(AND(ISNUMBER(M89),N89="Mínima cuantía"),IF(M89&gt;39850000,"Mínima cuantía con valor superior al tope citado en el instructivo 2026 ($39.850.000): verificar modalidad; ",""),"")&amp;IF(AND(ISNUMBER(M89),OR(ISNUMBER(SEARCH("prestación de servicios",D89)),ISNUMBER(SEARCH("prestar servicios",D89)),ISNUMBER(SEARCH("prestar los servicios",D89)))),IF(M89&gt;=500000000,"Prestación de servicios por $500 millones o más: posible error de digitación; ",""),""))=0,"Sin observaciones",IF(OR(NOT(ISNUMBER(B89)),LEN(B89)&lt;&gt;8),"UNSPSC vacío, en texto, con varios códigos o sin 8 dígitos; ","")&amp;IF(AND(ISNUMBER(B89),LEN(B89)=8),IF(MOD(B89,10000)=0,"UNSPSC a nivel de segmento o familia; ",""),"")&amp;IF(NOT(ISNUMBER(E89)),"Duración vacía o en texto; ","")&amp;IF(NOT(ISNUMBER(G89)),"Valor vacío o en texto; ","")&amp;IF(ISNUMBER(M89),IF(M89&lt;1000000,"Valor inferior a $1.000.000: verificar; ",""),"Valor no interpretable; ")&amp;IF(N89="[PENDIENTE DE VERIFICAR]","Modalidad no identificable; ","")&amp;IF(OR(ISERROR(SEARCH("@itc.edu.co",J89)),SUMPRODUCT(--ISNUMBER(SEARCH({"á","é","í","ó","ú","ñ"},J89)))&gt;0),"Correo vacío o no institucional válido; ","")&amp;IF(LEN(TRIM(D89))=0,"Sin objeto contractual; ","")&amp;IF(AND(ISNUMBER(M89),N89="Mínima cuantía"),IF(M89&gt;39850000,"Mínima cuantía con valor superior al tope citado en el instructivo 2026 ($39.850.000): verificar modalidad; ",""),"")&amp;IF(AND(ISNUMBER(M89),OR(ISNUMBER(SEARCH("prestación de servicios",D89)),ISNUMBER(SEARCH("prestar servicios",D89)),ISNUMBER(SEARCH("prestar los servicios",D89)))),IF(M89&gt;=500000000,"Prestación de servicios por $500 millones o más: posible error de digitación; ",""),""))</f>
        <v/>
      </c>
    </row>
    <row r="90" ht="45.6" customHeight="1" s="23">
      <c r="A90" s="114" t="inlineStr">
        <is>
          <t>PN26-086</t>
        </is>
      </c>
      <c r="B90" s="114" t="n">
        <v>80111600</v>
      </c>
      <c r="C90" s="114" t="inlineStr">
        <is>
          <t>Admin TI</t>
        </is>
      </c>
      <c r="D90" s="114" t="inlineStr">
        <is>
          <t xml:space="preserve">Prestación de servicios profesionales con disponibilidad 7 x 24 en el área de informática y telecomunicaciones para garantizar la disponibilidad de la infraestructura tecnológica y de los servicios académicos y administrativos de la etitc. </t>
        </is>
      </c>
      <c r="E90" s="114" t="n">
        <v>11</v>
      </c>
      <c r="F90" s="114" t="inlineStr">
        <is>
          <t>DIRECTA</t>
        </is>
      </c>
      <c r="G90" s="118" t="n">
        <v>61944912</v>
      </c>
      <c r="H90" s="114" t="inlineStr">
        <is>
          <t xml:space="preserve">Profesional de informática y telecomunicaciones </t>
        </is>
      </c>
      <c r="I90" s="114" t="n"/>
      <c r="J90" s="114" t="inlineStr">
        <is>
          <t>gestionit@itc.edu.co</t>
        </is>
      </c>
      <c r="K90" s="114" t="n">
        <v>85</v>
      </c>
      <c r="L90" s="119" t="inlineStr">
        <is>
          <t>132 · GIT Gestión de Informática y Telecomunicaciones</t>
        </is>
      </c>
      <c r="M90" s="120" t="n">
        <v>61944912</v>
      </c>
      <c r="N90" s="119" t="inlineStr">
        <is>
          <t>Contratación directa</t>
        </is>
      </c>
      <c r="O90" s="119">
        <f>IF(LEN(IF(OR(NOT(ISNUMBER(B90)),LEN(B90)&lt;&gt;8),"UNSPSC vacío, en texto, con varios códigos o sin 8 dígitos; ","")&amp;IF(AND(ISNUMBER(B90),LEN(B90)=8),IF(MOD(B90,10000)=0,"UNSPSC a nivel de segmento o familia; ",""),"")&amp;IF(NOT(ISNUMBER(E90)),"Duración vacía o en texto; ","")&amp;IF(NOT(ISNUMBER(G90)),"Valor vacío o en texto; ","")&amp;IF(ISNUMBER(M90),IF(M90&lt;1000000,"Valor inferior a $1.000.000: verificar; ",""),"Valor no interpretable; ")&amp;IF(N90="[PENDIENTE DE VERIFICAR]","Modalidad no identificable; ","")&amp;IF(OR(ISERROR(SEARCH("@itc.edu.co",J90)),SUMPRODUCT(--ISNUMBER(SEARCH({"á","é","í","ó","ú","ñ"},J90)))&gt;0),"Correo vacío o no institucional válido; ","")&amp;IF(LEN(TRIM(D90))=0,"Sin objeto contractual; ","")&amp;IF(AND(ISNUMBER(M90),N90="Mínima cuantía"),IF(M90&gt;39850000,"Mínima cuantía con valor superior al tope citado en el instructivo 2026 ($39.850.000): verificar modalidad; ",""),"")&amp;IF(AND(ISNUMBER(M90),OR(ISNUMBER(SEARCH("prestación de servicios",D90)),ISNUMBER(SEARCH("prestar servicios",D90)),ISNUMBER(SEARCH("prestar los servicios",D90)))),IF(M90&gt;=500000000,"Prestación de servicios por $500 millones o más: posible error de digitación; ",""),""))=0,"Sin observaciones",IF(OR(NOT(ISNUMBER(B90)),LEN(B90)&lt;&gt;8),"UNSPSC vacío, en texto, con varios códigos o sin 8 dígitos; ","")&amp;IF(AND(ISNUMBER(B90),LEN(B90)=8),IF(MOD(B90,10000)=0,"UNSPSC a nivel de segmento o familia; ",""),"")&amp;IF(NOT(ISNUMBER(E90)),"Duración vacía o en texto; ","")&amp;IF(NOT(ISNUMBER(G90)),"Valor vacío o en texto; ","")&amp;IF(ISNUMBER(M90),IF(M90&lt;1000000,"Valor inferior a $1.000.000: verificar; ",""),"Valor no interpretable; ")&amp;IF(N90="[PENDIENTE DE VERIFICAR]","Modalidad no identificable; ","")&amp;IF(OR(ISERROR(SEARCH("@itc.edu.co",J90)),SUMPRODUCT(--ISNUMBER(SEARCH({"á","é","í","ó","ú","ñ"},J90)))&gt;0),"Correo vacío o no institucional válido; ","")&amp;IF(LEN(TRIM(D90))=0,"Sin objeto contractual; ","")&amp;IF(AND(ISNUMBER(M90),N90="Mínima cuantía"),IF(M90&gt;39850000,"Mínima cuantía con valor superior al tope citado en el instructivo 2026 ($39.850.000): verificar modalidad; ",""),"")&amp;IF(AND(ISNUMBER(M90),OR(ISNUMBER(SEARCH("prestación de servicios",D90)),ISNUMBER(SEARCH("prestar servicios",D90)),ISNUMBER(SEARCH("prestar los servicios",D90)))),IF(M90&gt;=500000000,"Prestación de servicios por $500 millones o más: posible error de digitación; ",""),""))</f>
        <v/>
      </c>
    </row>
    <row r="91" ht="45.6" customHeight="1" s="23">
      <c r="A91" s="114" t="inlineStr">
        <is>
          <t>PN26-087</t>
        </is>
      </c>
      <c r="B91" s="114" t="n">
        <v>80111600</v>
      </c>
      <c r="C91" s="114" t="inlineStr">
        <is>
          <t>Técnico audiovisuales</t>
        </is>
      </c>
      <c r="D91" s="114" t="inlineStr">
        <is>
          <t xml:space="preserve">Prestación de servicios como técnico en el área de informática y telecomunicaciones para realizar apoyo en la atención, funcionamiento, configuración, soporte y ejecución de planes mantenimiento de los espacios a cargo de audiovisuales de la sede centro de la etitc. </t>
        </is>
      </c>
      <c r="E91" s="114" t="n">
        <v>11</v>
      </c>
      <c r="F91" s="114" t="inlineStr">
        <is>
          <t>DIRECTA</t>
        </is>
      </c>
      <c r="G91" s="118" t="n">
        <v>28704000</v>
      </c>
      <c r="H91" s="114" t="inlineStr">
        <is>
          <t xml:space="preserve">Profesional de informática y telecomunicaciones </t>
        </is>
      </c>
      <c r="I91" s="114" t="n"/>
      <c r="J91" s="114" t="inlineStr">
        <is>
          <t>gestionit@itc.edu.co</t>
        </is>
      </c>
      <c r="K91" s="114" t="n">
        <v>86</v>
      </c>
      <c r="L91" s="119" t="inlineStr">
        <is>
          <t>132 · GIT Gestión de Informática y Telecomunicaciones</t>
        </is>
      </c>
      <c r="M91" s="120" t="n">
        <v>28704000</v>
      </c>
      <c r="N91" s="119" t="inlineStr">
        <is>
          <t>Contratación directa</t>
        </is>
      </c>
      <c r="O91" s="119">
        <f>IF(LEN(IF(OR(NOT(ISNUMBER(B91)),LEN(B91)&lt;&gt;8),"UNSPSC vacío, en texto, con varios códigos o sin 8 dígitos; ","")&amp;IF(AND(ISNUMBER(B91),LEN(B91)=8),IF(MOD(B91,10000)=0,"UNSPSC a nivel de segmento o familia; ",""),"")&amp;IF(NOT(ISNUMBER(E91)),"Duración vacía o en texto; ","")&amp;IF(NOT(ISNUMBER(G91)),"Valor vacío o en texto; ","")&amp;IF(ISNUMBER(M91),IF(M91&lt;1000000,"Valor inferior a $1.000.000: verificar; ",""),"Valor no interpretable; ")&amp;IF(N91="[PENDIENTE DE VERIFICAR]","Modalidad no identificable; ","")&amp;IF(OR(ISERROR(SEARCH("@itc.edu.co",J91)),SUMPRODUCT(--ISNUMBER(SEARCH({"á","é","í","ó","ú","ñ"},J91)))&gt;0),"Correo vacío o no institucional válido; ","")&amp;IF(LEN(TRIM(D91))=0,"Sin objeto contractual; ","")&amp;IF(AND(ISNUMBER(M91),N91="Mínima cuantía"),IF(M91&gt;39850000,"Mínima cuantía con valor superior al tope citado en el instructivo 2026 ($39.850.000): verificar modalidad; ",""),"")&amp;IF(AND(ISNUMBER(M91),OR(ISNUMBER(SEARCH("prestación de servicios",D91)),ISNUMBER(SEARCH("prestar servicios",D91)),ISNUMBER(SEARCH("prestar los servicios",D91)))),IF(M91&gt;=500000000,"Prestación de servicios por $500 millones o más: posible error de digitación; ",""),""))=0,"Sin observaciones",IF(OR(NOT(ISNUMBER(B91)),LEN(B91)&lt;&gt;8),"UNSPSC vacío, en texto, con varios códigos o sin 8 dígitos; ","")&amp;IF(AND(ISNUMBER(B91),LEN(B91)=8),IF(MOD(B91,10000)=0,"UNSPSC a nivel de segmento o familia; ",""),"")&amp;IF(NOT(ISNUMBER(E91)),"Duración vacía o en texto; ","")&amp;IF(NOT(ISNUMBER(G91)),"Valor vacío o en texto; ","")&amp;IF(ISNUMBER(M91),IF(M91&lt;1000000,"Valor inferior a $1.000.000: verificar; ",""),"Valor no interpretable; ")&amp;IF(N91="[PENDIENTE DE VERIFICAR]","Modalidad no identificable; ","")&amp;IF(OR(ISERROR(SEARCH("@itc.edu.co",J91)),SUMPRODUCT(--ISNUMBER(SEARCH({"á","é","í","ó","ú","ñ"},J91)))&gt;0),"Correo vacío o no institucional válido; ","")&amp;IF(LEN(TRIM(D91))=0,"Sin objeto contractual; ","")&amp;IF(AND(ISNUMBER(M91),N91="Mínima cuantía"),IF(M91&gt;39850000,"Mínima cuantía con valor superior al tope citado en el instructivo 2026 ($39.850.000): verificar modalidad; ",""),"")&amp;IF(AND(ISNUMBER(M91),OR(ISNUMBER(SEARCH("prestación de servicios",D91)),ISNUMBER(SEARCH("prestar servicios",D91)),ISNUMBER(SEARCH("prestar los servicios",D91)))),IF(M91&gt;=500000000,"Prestación de servicios por $500 millones o más: posible error de digitación; ",""),""))</f>
        <v/>
      </c>
    </row>
    <row r="92" ht="34.2" customHeight="1" s="23">
      <c r="A92" s="114" t="inlineStr">
        <is>
          <t>PN26-088</t>
        </is>
      </c>
      <c r="B92" s="114" t="n">
        <v>80111600</v>
      </c>
      <c r="C92" s="114" t="inlineStr">
        <is>
          <t>Ingeniera</t>
        </is>
      </c>
      <c r="D92" s="114" t="inlineStr">
        <is>
          <t>Prestación de servicios profesionales de apoyo a la gestión como ingeniero para el área de infraestructura de planta fisica de la escuela tecnológica instituto técnico central y sus sedes.</t>
        </is>
      </c>
      <c r="E92" s="114" t="n">
        <v>11</v>
      </c>
      <c r="F92" s="114" t="inlineStr">
        <is>
          <t>DIRECTA</t>
        </is>
      </c>
      <c r="G92" s="118" t="n">
        <v>54254244</v>
      </c>
      <c r="H92" s="114" t="inlineStr">
        <is>
          <t>Vicerrector administrativo y financiero</t>
        </is>
      </c>
      <c r="I92" s="114" t="n"/>
      <c r="J92" s="114" t="inlineStr">
        <is>
          <t>viceadministrativa@itc.edu.co</t>
        </is>
      </c>
      <c r="K92" s="114" t="n">
        <v>87</v>
      </c>
      <c r="L92" s="119" t="inlineStr">
        <is>
          <t>130 · Vicerrectoría Administrativa y Financiera</t>
        </is>
      </c>
      <c r="M92" s="120" t="n">
        <v>54254244</v>
      </c>
      <c r="N92" s="119" t="inlineStr">
        <is>
          <t>Contratación directa</t>
        </is>
      </c>
      <c r="O92" s="119">
        <f>IF(LEN(IF(OR(NOT(ISNUMBER(B92)),LEN(B92)&lt;&gt;8),"UNSPSC vacío, en texto, con varios códigos o sin 8 dígitos; ","")&amp;IF(AND(ISNUMBER(B92),LEN(B92)=8),IF(MOD(B92,10000)=0,"UNSPSC a nivel de segmento o familia; ",""),"")&amp;IF(NOT(ISNUMBER(E92)),"Duración vacía o en texto; ","")&amp;IF(NOT(ISNUMBER(G92)),"Valor vacío o en texto; ","")&amp;IF(ISNUMBER(M92),IF(M92&lt;1000000,"Valor inferior a $1.000.000: verificar; ",""),"Valor no interpretable; ")&amp;IF(N92="[PENDIENTE DE VERIFICAR]","Modalidad no identificable; ","")&amp;IF(OR(ISERROR(SEARCH("@itc.edu.co",J92)),SUMPRODUCT(--ISNUMBER(SEARCH({"á","é","í","ó","ú","ñ"},J92)))&gt;0),"Correo vacío o no institucional válido; ","")&amp;IF(LEN(TRIM(D92))=0,"Sin objeto contractual; ","")&amp;IF(AND(ISNUMBER(M92),N92="Mínima cuantía"),IF(M92&gt;39850000,"Mínima cuantía con valor superior al tope citado en el instructivo 2026 ($39.850.000): verificar modalidad; ",""),"")&amp;IF(AND(ISNUMBER(M92),OR(ISNUMBER(SEARCH("prestación de servicios",D92)),ISNUMBER(SEARCH("prestar servicios",D92)),ISNUMBER(SEARCH("prestar los servicios",D92)))),IF(M92&gt;=500000000,"Prestación de servicios por $500 millones o más: posible error de digitación; ",""),""))=0,"Sin observaciones",IF(OR(NOT(ISNUMBER(B92)),LEN(B92)&lt;&gt;8),"UNSPSC vacío, en texto, con varios códigos o sin 8 dígitos; ","")&amp;IF(AND(ISNUMBER(B92),LEN(B92)=8),IF(MOD(B92,10000)=0,"UNSPSC a nivel de segmento o familia; ",""),"")&amp;IF(NOT(ISNUMBER(E92)),"Duración vacía o en texto; ","")&amp;IF(NOT(ISNUMBER(G92)),"Valor vacío o en texto; ","")&amp;IF(ISNUMBER(M92),IF(M92&lt;1000000,"Valor inferior a $1.000.000: verificar; ",""),"Valor no interpretable; ")&amp;IF(N92="[PENDIENTE DE VERIFICAR]","Modalidad no identificable; ","")&amp;IF(OR(ISERROR(SEARCH("@itc.edu.co",J92)),SUMPRODUCT(--ISNUMBER(SEARCH({"á","é","í","ó","ú","ñ"},J92)))&gt;0),"Correo vacío o no institucional válido; ","")&amp;IF(LEN(TRIM(D92))=0,"Sin objeto contractual; ","")&amp;IF(AND(ISNUMBER(M92),N92="Mínima cuantía"),IF(M92&gt;39850000,"Mínima cuantía con valor superior al tope citado en el instructivo 2026 ($39.850.000): verificar modalidad; ",""),"")&amp;IF(AND(ISNUMBER(M92),OR(ISNUMBER(SEARCH("prestación de servicios",D92)),ISNUMBER(SEARCH("prestar servicios",D92)),ISNUMBER(SEARCH("prestar los servicios",D92)))),IF(M92&gt;=500000000,"Prestación de servicios por $500 millones o más: posible error de digitación; ",""),""))</f>
        <v/>
      </c>
    </row>
    <row r="93" ht="34.2" customHeight="1" s="23">
      <c r="A93" s="114" t="inlineStr">
        <is>
          <t>PN26-089</t>
        </is>
      </c>
      <c r="B93" s="114" t="n"/>
      <c r="C93" s="114" t="inlineStr">
        <is>
          <t>Gestion bic v1</t>
        </is>
      </c>
      <c r="D93" s="114" t="inlineStr">
        <is>
          <t>Prestación de servicios profesionales como arquitecto en conservacion del patrimonio para el área de infraestructura de la escuela tecnológica instituto técnico central y sus sedes.</t>
        </is>
      </c>
      <c r="E93" s="114" t="n">
        <v>11</v>
      </c>
      <c r="F93" s="114" t="inlineStr">
        <is>
          <t>DIRECTA</t>
        </is>
      </c>
      <c r="G93" s="118" t="n">
        <v>54266124</v>
      </c>
      <c r="H93" s="114" t="inlineStr">
        <is>
          <t>Vicerrector administrativo y financiero</t>
        </is>
      </c>
      <c r="I93" s="114" t="n"/>
      <c r="J93" s="114" t="inlineStr">
        <is>
          <t>viceadministrativa@itc.edu.co</t>
        </is>
      </c>
      <c r="K93" s="114" t="n">
        <v>88</v>
      </c>
      <c r="L93" s="119" t="inlineStr">
        <is>
          <t>130 · Vicerrectoría Administrativa y Financiera</t>
        </is>
      </c>
      <c r="M93" s="120" t="n">
        <v>54266124</v>
      </c>
      <c r="N93" s="119" t="inlineStr">
        <is>
          <t>Contratación directa</t>
        </is>
      </c>
      <c r="O93" s="119">
        <f>IF(LEN(IF(OR(NOT(ISNUMBER(B93)),LEN(B93)&lt;&gt;8),"UNSPSC vacío, en texto, con varios códigos o sin 8 dígitos; ","")&amp;IF(AND(ISNUMBER(B93),LEN(B93)=8),IF(MOD(B93,10000)=0,"UNSPSC a nivel de segmento o familia; ",""),"")&amp;IF(NOT(ISNUMBER(E93)),"Duración vacía o en texto; ","")&amp;IF(NOT(ISNUMBER(G93)),"Valor vacío o en texto; ","")&amp;IF(ISNUMBER(M93),IF(M93&lt;1000000,"Valor inferior a $1.000.000: verificar; ",""),"Valor no interpretable; ")&amp;IF(N93="[PENDIENTE DE VERIFICAR]","Modalidad no identificable; ","")&amp;IF(OR(ISERROR(SEARCH("@itc.edu.co",J93)),SUMPRODUCT(--ISNUMBER(SEARCH({"á","é","í","ó","ú","ñ"},J93)))&gt;0),"Correo vacío o no institucional válido; ","")&amp;IF(LEN(TRIM(D93))=0,"Sin objeto contractual; ","")&amp;IF(AND(ISNUMBER(M93),N93="Mínima cuantía"),IF(M93&gt;39850000,"Mínima cuantía con valor superior al tope citado en el instructivo 2026 ($39.850.000): verificar modalidad; ",""),"")&amp;IF(AND(ISNUMBER(M93),OR(ISNUMBER(SEARCH("prestación de servicios",D93)),ISNUMBER(SEARCH("prestar servicios",D93)),ISNUMBER(SEARCH("prestar los servicios",D93)))),IF(M93&gt;=500000000,"Prestación de servicios por $500 millones o más: posible error de digitación; ",""),""))=0,"Sin observaciones",IF(OR(NOT(ISNUMBER(B93)),LEN(B93)&lt;&gt;8),"UNSPSC vacío, en texto, con varios códigos o sin 8 dígitos; ","")&amp;IF(AND(ISNUMBER(B93),LEN(B93)=8),IF(MOD(B93,10000)=0,"UNSPSC a nivel de segmento o familia; ",""),"")&amp;IF(NOT(ISNUMBER(E93)),"Duración vacía o en texto; ","")&amp;IF(NOT(ISNUMBER(G93)),"Valor vacío o en texto; ","")&amp;IF(ISNUMBER(M93),IF(M93&lt;1000000,"Valor inferior a $1.000.000: verificar; ",""),"Valor no interpretable; ")&amp;IF(N93="[PENDIENTE DE VERIFICAR]","Modalidad no identificable; ","")&amp;IF(OR(ISERROR(SEARCH("@itc.edu.co",J93)),SUMPRODUCT(--ISNUMBER(SEARCH({"á","é","í","ó","ú","ñ"},J93)))&gt;0),"Correo vacío o no institucional válido; ","")&amp;IF(LEN(TRIM(D93))=0,"Sin objeto contractual; ","")&amp;IF(AND(ISNUMBER(M93),N93="Mínima cuantía"),IF(M93&gt;39850000,"Mínima cuantía con valor superior al tope citado en el instructivo 2026 ($39.850.000): verificar modalidad; ",""),"")&amp;IF(AND(ISNUMBER(M93),OR(ISNUMBER(SEARCH("prestación de servicios",D93)),ISNUMBER(SEARCH("prestar servicios",D93)),ISNUMBER(SEARCH("prestar los servicios",D93)))),IF(M93&gt;=500000000,"Prestación de servicios por $500 millones o más: posible error de digitación; ",""),""))</f>
        <v/>
      </c>
    </row>
    <row r="94" ht="34.2" customHeight="1" s="23">
      <c r="A94" s="114" t="inlineStr">
        <is>
          <t>PN26-090</t>
        </is>
      </c>
      <c r="B94" s="114" t="n"/>
      <c r="C94" s="114" t="inlineStr">
        <is>
          <t>Auxiliar arquitectura v1</t>
        </is>
      </c>
      <c r="D94" s="114" t="inlineStr">
        <is>
          <t>Prestación de servicios de apoyo a la gestión como auxiliar del área de infraestructura física de la escuela tecnológica instituto técnico central y sus sedes.</t>
        </is>
      </c>
      <c r="E94" s="114" t="n">
        <v>11</v>
      </c>
      <c r="F94" s="114" t="inlineStr">
        <is>
          <t>DIRECTA</t>
        </is>
      </c>
      <c r="G94" s="118" t="n">
        <v>27900000</v>
      </c>
      <c r="H94" s="114" t="inlineStr">
        <is>
          <t>Vicerrector administrativo y financiero</t>
        </is>
      </c>
      <c r="I94" s="114" t="n"/>
      <c r="J94" s="114" t="inlineStr">
        <is>
          <t>viceadministrativa@itc.edu.co</t>
        </is>
      </c>
      <c r="K94" s="114" t="n">
        <v>89</v>
      </c>
      <c r="L94" s="119" t="inlineStr">
        <is>
          <t>130 · Vicerrectoría Administrativa y Financiera</t>
        </is>
      </c>
      <c r="M94" s="120" t="n">
        <v>27900000</v>
      </c>
      <c r="N94" s="119" t="inlineStr">
        <is>
          <t>Contratación directa</t>
        </is>
      </c>
      <c r="O94" s="119">
        <f>IF(LEN(IF(OR(NOT(ISNUMBER(B94)),LEN(B94)&lt;&gt;8),"UNSPSC vacío, en texto, con varios códigos o sin 8 dígitos; ","")&amp;IF(AND(ISNUMBER(B94),LEN(B94)=8),IF(MOD(B94,10000)=0,"UNSPSC a nivel de segmento o familia; ",""),"")&amp;IF(NOT(ISNUMBER(E94)),"Duración vacía o en texto; ","")&amp;IF(NOT(ISNUMBER(G94)),"Valor vacío o en texto; ","")&amp;IF(ISNUMBER(M94),IF(M94&lt;1000000,"Valor inferior a $1.000.000: verificar; ",""),"Valor no interpretable; ")&amp;IF(N94="[PENDIENTE DE VERIFICAR]","Modalidad no identificable; ","")&amp;IF(OR(ISERROR(SEARCH("@itc.edu.co",J94)),SUMPRODUCT(--ISNUMBER(SEARCH({"á","é","í","ó","ú","ñ"},J94)))&gt;0),"Correo vacío o no institucional válido; ","")&amp;IF(LEN(TRIM(D94))=0,"Sin objeto contractual; ","")&amp;IF(AND(ISNUMBER(M94),N94="Mínima cuantía"),IF(M94&gt;39850000,"Mínima cuantía con valor superior al tope citado en el instructivo 2026 ($39.850.000): verificar modalidad; ",""),"")&amp;IF(AND(ISNUMBER(M94),OR(ISNUMBER(SEARCH("prestación de servicios",D94)),ISNUMBER(SEARCH("prestar servicios",D94)),ISNUMBER(SEARCH("prestar los servicios",D94)))),IF(M94&gt;=500000000,"Prestación de servicios por $500 millones o más: posible error de digitación; ",""),""))=0,"Sin observaciones",IF(OR(NOT(ISNUMBER(B94)),LEN(B94)&lt;&gt;8),"UNSPSC vacío, en texto, con varios códigos o sin 8 dígitos; ","")&amp;IF(AND(ISNUMBER(B94),LEN(B94)=8),IF(MOD(B94,10000)=0,"UNSPSC a nivel de segmento o familia; ",""),"")&amp;IF(NOT(ISNUMBER(E94)),"Duración vacía o en texto; ","")&amp;IF(NOT(ISNUMBER(G94)),"Valor vacío o en texto; ","")&amp;IF(ISNUMBER(M94),IF(M94&lt;1000000,"Valor inferior a $1.000.000: verificar; ",""),"Valor no interpretable; ")&amp;IF(N94="[PENDIENTE DE VERIFICAR]","Modalidad no identificable; ","")&amp;IF(OR(ISERROR(SEARCH("@itc.edu.co",J94)),SUMPRODUCT(--ISNUMBER(SEARCH({"á","é","í","ó","ú","ñ"},J94)))&gt;0),"Correo vacío o no institucional válido; ","")&amp;IF(LEN(TRIM(D94))=0,"Sin objeto contractual; ","")&amp;IF(AND(ISNUMBER(M94),N94="Mínima cuantía"),IF(M94&gt;39850000,"Mínima cuantía con valor superior al tope citado en el instructivo 2026 ($39.850.000): verificar modalidad; ",""),"")&amp;IF(AND(ISNUMBER(M94),OR(ISNUMBER(SEARCH("prestación de servicios",D94)),ISNUMBER(SEARCH("prestar servicios",D94)),ISNUMBER(SEARCH("prestar los servicios",D94)))),IF(M94&gt;=500000000,"Prestación de servicios por $500 millones o más: posible error de digitación; ",""),""))</f>
        <v/>
      </c>
    </row>
    <row r="95" ht="34.2" customHeight="1" s="23">
      <c r="A95" s="114" t="inlineStr">
        <is>
          <t>PN26-091</t>
        </is>
      </c>
      <c r="B95" s="114" t="n"/>
      <c r="C95" s="114" t="inlineStr">
        <is>
          <t>Mantenimiento v1</t>
        </is>
      </c>
      <c r="D95" s="114" t="inlineStr">
        <is>
          <t>Prestación de servicios de apoyo a la gestión para cumplimiento y ejecucion del plan de mantenimiento para el área de infraestructura física de la escuela tecnológica instituto técnico central y sus sedes</t>
        </is>
      </c>
      <c r="E95" s="114" t="n">
        <v>11</v>
      </c>
      <c r="F95" s="114" t="inlineStr">
        <is>
          <t>DIRECTA</t>
        </is>
      </c>
      <c r="G95" s="118" t="n">
        <v>32802290</v>
      </c>
      <c r="H95" s="114" t="inlineStr">
        <is>
          <t>Vicerrector administrativo y financiero</t>
        </is>
      </c>
      <c r="I95" s="114" t="n"/>
      <c r="J95" s="114" t="inlineStr">
        <is>
          <t>viceadministrativa@itc.edu.co</t>
        </is>
      </c>
      <c r="K95" s="114" t="n">
        <v>90</v>
      </c>
      <c r="L95" s="119" t="inlineStr">
        <is>
          <t>130 · Vicerrectoría Administrativa y Financiera</t>
        </is>
      </c>
      <c r="M95" s="120" t="n">
        <v>32802290</v>
      </c>
      <c r="N95" s="119" t="inlineStr">
        <is>
          <t>Contratación directa</t>
        </is>
      </c>
      <c r="O95" s="119">
        <f>IF(LEN(IF(OR(NOT(ISNUMBER(B95)),LEN(B95)&lt;&gt;8),"UNSPSC vacío, en texto, con varios códigos o sin 8 dígitos; ","")&amp;IF(AND(ISNUMBER(B95),LEN(B95)=8),IF(MOD(B95,10000)=0,"UNSPSC a nivel de segmento o familia; ",""),"")&amp;IF(NOT(ISNUMBER(E95)),"Duración vacía o en texto; ","")&amp;IF(NOT(ISNUMBER(G95)),"Valor vacío o en texto; ","")&amp;IF(ISNUMBER(M95),IF(M95&lt;1000000,"Valor inferior a $1.000.000: verificar; ",""),"Valor no interpretable; ")&amp;IF(N95="[PENDIENTE DE VERIFICAR]","Modalidad no identificable; ","")&amp;IF(OR(ISERROR(SEARCH("@itc.edu.co",J95)),SUMPRODUCT(--ISNUMBER(SEARCH({"á","é","í","ó","ú","ñ"},J95)))&gt;0),"Correo vacío o no institucional válido; ","")&amp;IF(LEN(TRIM(D95))=0,"Sin objeto contractual; ","")&amp;IF(AND(ISNUMBER(M95),N95="Mínima cuantía"),IF(M95&gt;39850000,"Mínima cuantía con valor superior al tope citado en el instructivo 2026 ($39.850.000): verificar modalidad; ",""),"")&amp;IF(AND(ISNUMBER(M95),OR(ISNUMBER(SEARCH("prestación de servicios",D95)),ISNUMBER(SEARCH("prestar servicios",D95)),ISNUMBER(SEARCH("prestar los servicios",D95)))),IF(M95&gt;=500000000,"Prestación de servicios por $500 millones o más: posible error de digitación; ",""),""))=0,"Sin observaciones",IF(OR(NOT(ISNUMBER(B95)),LEN(B95)&lt;&gt;8),"UNSPSC vacío, en texto, con varios códigos o sin 8 dígitos; ","")&amp;IF(AND(ISNUMBER(B95),LEN(B95)=8),IF(MOD(B95,10000)=0,"UNSPSC a nivel de segmento o familia; ",""),"")&amp;IF(NOT(ISNUMBER(E95)),"Duración vacía o en texto; ","")&amp;IF(NOT(ISNUMBER(G95)),"Valor vacío o en texto; ","")&amp;IF(ISNUMBER(M95),IF(M95&lt;1000000,"Valor inferior a $1.000.000: verificar; ",""),"Valor no interpretable; ")&amp;IF(N95="[PENDIENTE DE VERIFICAR]","Modalidad no identificable; ","")&amp;IF(OR(ISERROR(SEARCH("@itc.edu.co",J95)),SUMPRODUCT(--ISNUMBER(SEARCH({"á","é","í","ó","ú","ñ"},J95)))&gt;0),"Correo vacío o no institucional válido; ","")&amp;IF(LEN(TRIM(D95))=0,"Sin objeto contractual; ","")&amp;IF(AND(ISNUMBER(M95),N95="Mínima cuantía"),IF(M95&gt;39850000,"Mínima cuantía con valor superior al tope citado en el instructivo 2026 ($39.850.000): verificar modalidad; ",""),"")&amp;IF(AND(ISNUMBER(M95),OR(ISNUMBER(SEARCH("prestación de servicios",D95)),ISNUMBER(SEARCH("prestar servicios",D95)),ISNUMBER(SEARCH("prestar los servicios",D95)))),IF(M95&gt;=500000000,"Prestación de servicios por $500 millones o más: posible error de digitación; ",""),""))</f>
        <v/>
      </c>
    </row>
    <row r="96" ht="34.2" customHeight="1" s="23">
      <c r="A96" s="114" t="inlineStr">
        <is>
          <t>PN26-092</t>
        </is>
      </c>
      <c r="B96" s="114" t="n"/>
      <c r="C96" s="114" t="inlineStr">
        <is>
          <t>Auxiliar de mantenimiento</t>
        </is>
      </c>
      <c r="D96" s="114" t="inlineStr">
        <is>
          <t>Prestación de servicios de apoyo a la gestión como auxiliar de mantenimiento para el área de infraestructura fisica de la escuela tecnológica instituto técnico central y sus sedes.</t>
        </is>
      </c>
      <c r="E96" s="114" t="n">
        <v>11</v>
      </c>
      <c r="F96" s="114" t="inlineStr">
        <is>
          <t>DIRECTA</t>
        </is>
      </c>
      <c r="G96" s="118" t="n">
        <v>32802290</v>
      </c>
      <c r="H96" s="114" t="inlineStr">
        <is>
          <t>Vicerrector administrativo y financiero</t>
        </is>
      </c>
      <c r="I96" s="114" t="n"/>
      <c r="J96" s="114" t="inlineStr">
        <is>
          <t>viceadministrativa@itc.edu.co</t>
        </is>
      </c>
      <c r="K96" s="114" t="n">
        <v>91</v>
      </c>
      <c r="L96" s="119" t="inlineStr">
        <is>
          <t>130 · Vicerrectoría Administrativa y Financiera</t>
        </is>
      </c>
      <c r="M96" s="120" t="n">
        <v>32802290</v>
      </c>
      <c r="N96" s="119" t="inlineStr">
        <is>
          <t>Contratación directa</t>
        </is>
      </c>
      <c r="O96" s="119">
        <f>IF(LEN(IF(OR(NOT(ISNUMBER(B96)),LEN(B96)&lt;&gt;8),"UNSPSC vacío, en texto, con varios códigos o sin 8 dígitos; ","")&amp;IF(AND(ISNUMBER(B96),LEN(B96)=8),IF(MOD(B96,10000)=0,"UNSPSC a nivel de segmento o familia; ",""),"")&amp;IF(NOT(ISNUMBER(E96)),"Duración vacía o en texto; ","")&amp;IF(NOT(ISNUMBER(G96)),"Valor vacío o en texto; ","")&amp;IF(ISNUMBER(M96),IF(M96&lt;1000000,"Valor inferior a $1.000.000: verificar; ",""),"Valor no interpretable; ")&amp;IF(N96="[PENDIENTE DE VERIFICAR]","Modalidad no identificable; ","")&amp;IF(OR(ISERROR(SEARCH("@itc.edu.co",J96)),SUMPRODUCT(--ISNUMBER(SEARCH({"á","é","í","ó","ú","ñ"},J96)))&gt;0),"Correo vacío o no institucional válido; ","")&amp;IF(LEN(TRIM(D96))=0,"Sin objeto contractual; ","")&amp;IF(AND(ISNUMBER(M96),N96="Mínima cuantía"),IF(M96&gt;39850000,"Mínima cuantía con valor superior al tope citado en el instructivo 2026 ($39.850.000): verificar modalidad; ",""),"")&amp;IF(AND(ISNUMBER(M96),OR(ISNUMBER(SEARCH("prestación de servicios",D96)),ISNUMBER(SEARCH("prestar servicios",D96)),ISNUMBER(SEARCH("prestar los servicios",D96)))),IF(M96&gt;=500000000,"Prestación de servicios por $500 millones o más: posible error de digitación; ",""),""))=0,"Sin observaciones",IF(OR(NOT(ISNUMBER(B96)),LEN(B96)&lt;&gt;8),"UNSPSC vacío, en texto, con varios códigos o sin 8 dígitos; ","")&amp;IF(AND(ISNUMBER(B96),LEN(B96)=8),IF(MOD(B96,10000)=0,"UNSPSC a nivel de segmento o familia; ",""),"")&amp;IF(NOT(ISNUMBER(E96)),"Duración vacía o en texto; ","")&amp;IF(NOT(ISNUMBER(G96)),"Valor vacío o en texto; ","")&amp;IF(ISNUMBER(M96),IF(M96&lt;1000000,"Valor inferior a $1.000.000: verificar; ",""),"Valor no interpretable; ")&amp;IF(N96="[PENDIENTE DE VERIFICAR]","Modalidad no identificable; ","")&amp;IF(OR(ISERROR(SEARCH("@itc.edu.co",J96)),SUMPRODUCT(--ISNUMBER(SEARCH({"á","é","í","ó","ú","ñ"},J96)))&gt;0),"Correo vacío o no institucional válido; ","")&amp;IF(LEN(TRIM(D96))=0,"Sin objeto contractual; ","")&amp;IF(AND(ISNUMBER(M96),N96="Mínima cuantía"),IF(M96&gt;39850000,"Mínima cuantía con valor superior al tope citado en el instructivo 2026 ($39.850.000): verificar modalidad; ",""),"")&amp;IF(AND(ISNUMBER(M96),OR(ISNUMBER(SEARCH("prestación de servicios",D96)),ISNUMBER(SEARCH("prestar servicios",D96)),ISNUMBER(SEARCH("prestar los servicios",D96)))),IF(M96&gt;=500000000,"Prestación de servicios por $500 millones o más: posible error de digitación; ",""),""))</f>
        <v/>
      </c>
    </row>
    <row r="97" ht="34.2" customHeight="1" s="23">
      <c r="A97" s="114" t="inlineStr">
        <is>
          <t>PN26-093</t>
        </is>
      </c>
      <c r="B97" s="114" t="n">
        <v>80111600</v>
      </c>
      <c r="C97" s="114" t="inlineStr">
        <is>
          <t>Plomero v1</t>
        </is>
      </c>
      <c r="D97" s="114" t="inlineStr">
        <is>
          <t>Prestación de servicios de apoyo a la gestión como plomero para el área de infraestructra física de la escuela tecnológica instituto técnico central y sus sedes</t>
        </is>
      </c>
      <c r="E97" s="114" t="n">
        <v>11</v>
      </c>
      <c r="F97" s="114" t="inlineStr">
        <is>
          <t>DIRECTA</t>
        </is>
      </c>
      <c r="G97" s="118" t="n">
        <v>32802290</v>
      </c>
      <c r="H97" s="114" t="inlineStr">
        <is>
          <t>Vicerrector administrativo y financiero</t>
        </is>
      </c>
      <c r="I97" s="114" t="n"/>
      <c r="J97" s="114" t="inlineStr">
        <is>
          <t>viceadministrativa@itc.edu.co</t>
        </is>
      </c>
      <c r="K97" s="114" t="n">
        <v>92</v>
      </c>
      <c r="L97" s="119" t="inlineStr">
        <is>
          <t>130 · Vicerrectoría Administrativa y Financiera</t>
        </is>
      </c>
      <c r="M97" s="120" t="n">
        <v>32802290</v>
      </c>
      <c r="N97" s="119" t="inlineStr">
        <is>
          <t>Contratación directa</t>
        </is>
      </c>
      <c r="O97" s="119">
        <f>IF(LEN(IF(OR(NOT(ISNUMBER(B97)),LEN(B97)&lt;&gt;8),"UNSPSC vacío, en texto, con varios códigos o sin 8 dígitos; ","")&amp;IF(AND(ISNUMBER(B97),LEN(B97)=8),IF(MOD(B97,10000)=0,"UNSPSC a nivel de segmento o familia; ",""),"")&amp;IF(NOT(ISNUMBER(E97)),"Duración vacía o en texto; ","")&amp;IF(NOT(ISNUMBER(G97)),"Valor vacío o en texto; ","")&amp;IF(ISNUMBER(M97),IF(M97&lt;1000000,"Valor inferior a $1.000.000: verificar; ",""),"Valor no interpretable; ")&amp;IF(N97="[PENDIENTE DE VERIFICAR]","Modalidad no identificable; ","")&amp;IF(OR(ISERROR(SEARCH("@itc.edu.co",J97)),SUMPRODUCT(--ISNUMBER(SEARCH({"á","é","í","ó","ú","ñ"},J97)))&gt;0),"Correo vacío o no institucional válido; ","")&amp;IF(LEN(TRIM(D97))=0,"Sin objeto contractual; ","")&amp;IF(AND(ISNUMBER(M97),N97="Mínima cuantía"),IF(M97&gt;39850000,"Mínima cuantía con valor superior al tope citado en el instructivo 2026 ($39.850.000): verificar modalidad; ",""),"")&amp;IF(AND(ISNUMBER(M97),OR(ISNUMBER(SEARCH("prestación de servicios",D97)),ISNUMBER(SEARCH("prestar servicios",D97)),ISNUMBER(SEARCH("prestar los servicios",D97)))),IF(M97&gt;=500000000,"Prestación de servicios por $500 millones o más: posible error de digitación; ",""),""))=0,"Sin observaciones",IF(OR(NOT(ISNUMBER(B97)),LEN(B97)&lt;&gt;8),"UNSPSC vacío, en texto, con varios códigos o sin 8 dígitos; ","")&amp;IF(AND(ISNUMBER(B97),LEN(B97)=8),IF(MOD(B97,10000)=0,"UNSPSC a nivel de segmento o familia; ",""),"")&amp;IF(NOT(ISNUMBER(E97)),"Duración vacía o en texto; ","")&amp;IF(NOT(ISNUMBER(G97)),"Valor vacío o en texto; ","")&amp;IF(ISNUMBER(M97),IF(M97&lt;1000000,"Valor inferior a $1.000.000: verificar; ",""),"Valor no interpretable; ")&amp;IF(N97="[PENDIENTE DE VERIFICAR]","Modalidad no identificable; ","")&amp;IF(OR(ISERROR(SEARCH("@itc.edu.co",J97)),SUMPRODUCT(--ISNUMBER(SEARCH({"á","é","í","ó","ú","ñ"},J97)))&gt;0),"Correo vacío o no institucional válido; ","")&amp;IF(LEN(TRIM(D97))=0,"Sin objeto contractual; ","")&amp;IF(AND(ISNUMBER(M97),N97="Mínima cuantía"),IF(M97&gt;39850000,"Mínima cuantía con valor superior al tope citado en el instructivo 2026 ($39.850.000): verificar modalidad; ",""),"")&amp;IF(AND(ISNUMBER(M97),OR(ISNUMBER(SEARCH("prestación de servicios",D97)),ISNUMBER(SEARCH("prestar servicios",D97)),ISNUMBER(SEARCH("prestar los servicios",D97)))),IF(M97&gt;=500000000,"Prestación de servicios por $500 millones o más: posible error de digitación; ",""),""))</f>
        <v/>
      </c>
    </row>
    <row r="98" ht="34.2" customHeight="1" s="23">
      <c r="A98" s="114" t="inlineStr">
        <is>
          <t>PN26-094</t>
        </is>
      </c>
      <c r="B98" s="114" t="n"/>
      <c r="C98" s="114" t="inlineStr">
        <is>
          <t>Pintor</t>
        </is>
      </c>
      <c r="D98" s="114" t="inlineStr">
        <is>
          <t>Prestación de servicios de apoyo a la gestión como pintor para el área de infraestructura física de la escuela tecnológica instituto técnico central y sus sedes</t>
        </is>
      </c>
      <c r="E98" s="114" t="n">
        <v>11</v>
      </c>
      <c r="F98" s="114" t="inlineStr">
        <is>
          <t>DIRECTA</t>
        </is>
      </c>
      <c r="G98" s="118" t="n">
        <v>32802290</v>
      </c>
      <c r="H98" s="114" t="inlineStr">
        <is>
          <t>Vicerrector administrativo y financiero</t>
        </is>
      </c>
      <c r="I98" s="114" t="n"/>
      <c r="J98" s="114" t="inlineStr">
        <is>
          <t>viceadministrativa@itc.edu.co</t>
        </is>
      </c>
      <c r="K98" s="114" t="n">
        <v>93</v>
      </c>
      <c r="L98" s="119" t="inlineStr">
        <is>
          <t>130 · Vicerrectoría Administrativa y Financiera</t>
        </is>
      </c>
      <c r="M98" s="120" t="n">
        <v>32802290</v>
      </c>
      <c r="N98" s="119" t="inlineStr">
        <is>
          <t>Contratación directa</t>
        </is>
      </c>
      <c r="O98" s="119">
        <f>IF(LEN(IF(OR(NOT(ISNUMBER(B98)),LEN(B98)&lt;&gt;8),"UNSPSC vacío, en texto, con varios códigos o sin 8 dígitos; ","")&amp;IF(AND(ISNUMBER(B98),LEN(B98)=8),IF(MOD(B98,10000)=0,"UNSPSC a nivel de segmento o familia; ",""),"")&amp;IF(NOT(ISNUMBER(E98)),"Duración vacía o en texto; ","")&amp;IF(NOT(ISNUMBER(G98)),"Valor vacío o en texto; ","")&amp;IF(ISNUMBER(M98),IF(M98&lt;1000000,"Valor inferior a $1.000.000: verificar; ",""),"Valor no interpretable; ")&amp;IF(N98="[PENDIENTE DE VERIFICAR]","Modalidad no identificable; ","")&amp;IF(OR(ISERROR(SEARCH("@itc.edu.co",J98)),SUMPRODUCT(--ISNUMBER(SEARCH({"á","é","í","ó","ú","ñ"},J98)))&gt;0),"Correo vacío o no institucional válido; ","")&amp;IF(LEN(TRIM(D98))=0,"Sin objeto contractual; ","")&amp;IF(AND(ISNUMBER(M98),N98="Mínima cuantía"),IF(M98&gt;39850000,"Mínima cuantía con valor superior al tope citado en el instructivo 2026 ($39.850.000): verificar modalidad; ",""),"")&amp;IF(AND(ISNUMBER(M98),OR(ISNUMBER(SEARCH("prestación de servicios",D98)),ISNUMBER(SEARCH("prestar servicios",D98)),ISNUMBER(SEARCH("prestar los servicios",D98)))),IF(M98&gt;=500000000,"Prestación de servicios por $500 millones o más: posible error de digitación; ",""),""))=0,"Sin observaciones",IF(OR(NOT(ISNUMBER(B98)),LEN(B98)&lt;&gt;8),"UNSPSC vacío, en texto, con varios códigos o sin 8 dígitos; ","")&amp;IF(AND(ISNUMBER(B98),LEN(B98)=8),IF(MOD(B98,10000)=0,"UNSPSC a nivel de segmento o familia; ",""),"")&amp;IF(NOT(ISNUMBER(E98)),"Duración vacía o en texto; ","")&amp;IF(NOT(ISNUMBER(G98)),"Valor vacío o en texto; ","")&amp;IF(ISNUMBER(M98),IF(M98&lt;1000000,"Valor inferior a $1.000.000: verificar; ",""),"Valor no interpretable; ")&amp;IF(N98="[PENDIENTE DE VERIFICAR]","Modalidad no identificable; ","")&amp;IF(OR(ISERROR(SEARCH("@itc.edu.co",J98)),SUMPRODUCT(--ISNUMBER(SEARCH({"á","é","í","ó","ú","ñ"},J98)))&gt;0),"Correo vacío o no institucional válido; ","")&amp;IF(LEN(TRIM(D98))=0,"Sin objeto contractual; ","")&amp;IF(AND(ISNUMBER(M98),N98="Mínima cuantía"),IF(M98&gt;39850000,"Mínima cuantía con valor superior al tope citado en el instructivo 2026 ($39.850.000): verificar modalidad; ",""),"")&amp;IF(AND(ISNUMBER(M98),OR(ISNUMBER(SEARCH("prestación de servicios",D98)),ISNUMBER(SEARCH("prestar servicios",D98)),ISNUMBER(SEARCH("prestar los servicios",D98)))),IF(M98&gt;=500000000,"Prestación de servicios por $500 millones o más: posible error de digitación; ",""),""))</f>
        <v/>
      </c>
    </row>
    <row r="99" ht="34.2" customHeight="1" s="23">
      <c r="A99" s="114" t="inlineStr">
        <is>
          <t>PN26-095</t>
        </is>
      </c>
      <c r="B99" s="114" t="n"/>
      <c r="C99" s="114" t="inlineStr">
        <is>
          <t>Fontanero</t>
        </is>
      </c>
      <c r="D99" s="114" t="inlineStr">
        <is>
          <t>Prestación de servicios de apoyo a la gestión como fontanero para el área de infraestructura física de la escuela tecnológica instituto técnico central y sus sedes</t>
        </is>
      </c>
      <c r="E99" s="114" t="n">
        <v>11</v>
      </c>
      <c r="F99" s="114" t="inlineStr">
        <is>
          <t>DIRECTA</t>
        </is>
      </c>
      <c r="G99" s="118" t="n">
        <v>32802290</v>
      </c>
      <c r="H99" s="114" t="inlineStr">
        <is>
          <t>Vicerrector administrativo y financiero</t>
        </is>
      </c>
      <c r="I99" s="114" t="n"/>
      <c r="J99" s="114" t="inlineStr">
        <is>
          <t>viceadministrativa@itc.edu.co</t>
        </is>
      </c>
      <c r="K99" s="114" t="n">
        <v>94</v>
      </c>
      <c r="L99" s="119" t="inlineStr">
        <is>
          <t>130 · Vicerrectoría Administrativa y Financiera</t>
        </is>
      </c>
      <c r="M99" s="120" t="n">
        <v>32802290</v>
      </c>
      <c r="N99" s="119" t="inlineStr">
        <is>
          <t>Contratación directa</t>
        </is>
      </c>
      <c r="O99" s="119">
        <f>IF(LEN(IF(OR(NOT(ISNUMBER(B99)),LEN(B99)&lt;&gt;8),"UNSPSC vacío, en texto, con varios códigos o sin 8 dígitos; ","")&amp;IF(AND(ISNUMBER(B99),LEN(B99)=8),IF(MOD(B99,10000)=0,"UNSPSC a nivel de segmento o familia; ",""),"")&amp;IF(NOT(ISNUMBER(E99)),"Duración vacía o en texto; ","")&amp;IF(NOT(ISNUMBER(G99)),"Valor vacío o en texto; ","")&amp;IF(ISNUMBER(M99),IF(M99&lt;1000000,"Valor inferior a $1.000.000: verificar; ",""),"Valor no interpretable; ")&amp;IF(N99="[PENDIENTE DE VERIFICAR]","Modalidad no identificable; ","")&amp;IF(OR(ISERROR(SEARCH("@itc.edu.co",J99)),SUMPRODUCT(--ISNUMBER(SEARCH({"á","é","í","ó","ú","ñ"},J99)))&gt;0),"Correo vacío o no institucional válido; ","")&amp;IF(LEN(TRIM(D99))=0,"Sin objeto contractual; ","")&amp;IF(AND(ISNUMBER(M99),N99="Mínima cuantía"),IF(M99&gt;39850000,"Mínima cuantía con valor superior al tope citado en el instructivo 2026 ($39.850.000): verificar modalidad; ",""),"")&amp;IF(AND(ISNUMBER(M99),OR(ISNUMBER(SEARCH("prestación de servicios",D99)),ISNUMBER(SEARCH("prestar servicios",D99)),ISNUMBER(SEARCH("prestar los servicios",D99)))),IF(M99&gt;=500000000,"Prestación de servicios por $500 millones o más: posible error de digitación; ",""),""))=0,"Sin observaciones",IF(OR(NOT(ISNUMBER(B99)),LEN(B99)&lt;&gt;8),"UNSPSC vacío, en texto, con varios códigos o sin 8 dígitos; ","")&amp;IF(AND(ISNUMBER(B99),LEN(B99)=8),IF(MOD(B99,10000)=0,"UNSPSC a nivel de segmento o familia; ",""),"")&amp;IF(NOT(ISNUMBER(E99)),"Duración vacía o en texto; ","")&amp;IF(NOT(ISNUMBER(G99)),"Valor vacío o en texto; ","")&amp;IF(ISNUMBER(M99),IF(M99&lt;1000000,"Valor inferior a $1.000.000: verificar; ",""),"Valor no interpretable; ")&amp;IF(N99="[PENDIENTE DE VERIFICAR]","Modalidad no identificable; ","")&amp;IF(OR(ISERROR(SEARCH("@itc.edu.co",J99)),SUMPRODUCT(--ISNUMBER(SEARCH({"á","é","í","ó","ú","ñ"},J99)))&gt;0),"Correo vacío o no institucional válido; ","")&amp;IF(LEN(TRIM(D99))=0,"Sin objeto contractual; ","")&amp;IF(AND(ISNUMBER(M99),N99="Mínima cuantía"),IF(M99&gt;39850000,"Mínima cuantía con valor superior al tope citado en el instructivo 2026 ($39.850.000): verificar modalidad; ",""),"")&amp;IF(AND(ISNUMBER(M99),OR(ISNUMBER(SEARCH("prestación de servicios",D99)),ISNUMBER(SEARCH("prestar servicios",D99)),ISNUMBER(SEARCH("prestar los servicios",D99)))),IF(M99&gt;=500000000,"Prestación de servicios por $500 millones o más: posible error de digitación; ",""),""))</f>
        <v/>
      </c>
    </row>
    <row r="100" ht="34.2" customHeight="1" s="23">
      <c r="A100" s="114" t="inlineStr">
        <is>
          <t>PN26-096</t>
        </is>
      </c>
      <c r="B100" s="114" t="n"/>
      <c r="C100" s="114" t="inlineStr">
        <is>
          <t>Albañil v1</t>
        </is>
      </c>
      <c r="D100" s="114" t="inlineStr">
        <is>
          <t>Prestación de servicios de apoyo a la gestión como albañil para el área de infraestructura física de la escuela tecnológica instituto técnico central y sus sedes</t>
        </is>
      </c>
      <c r="E100" s="114" t="n">
        <v>11</v>
      </c>
      <c r="F100" s="114" t="inlineStr">
        <is>
          <t>DIRECTA</t>
        </is>
      </c>
      <c r="G100" s="118" t="n">
        <v>32802290</v>
      </c>
      <c r="H100" s="114" t="inlineStr">
        <is>
          <t>Vicerrector administrativo y financiero</t>
        </is>
      </c>
      <c r="I100" s="114" t="n"/>
      <c r="J100" s="114" t="inlineStr">
        <is>
          <t>viceadministrativa@itc.edu.co</t>
        </is>
      </c>
      <c r="K100" s="114" t="n">
        <v>95</v>
      </c>
      <c r="L100" s="119" t="inlineStr">
        <is>
          <t>130 · Vicerrectoría Administrativa y Financiera</t>
        </is>
      </c>
      <c r="M100" s="120" t="n">
        <v>32802290</v>
      </c>
      <c r="N100" s="119" t="inlineStr">
        <is>
          <t>Contratación directa</t>
        </is>
      </c>
      <c r="O100" s="119">
        <f>IF(LEN(IF(OR(NOT(ISNUMBER(B100)),LEN(B100)&lt;&gt;8),"UNSPSC vacío, en texto, con varios códigos o sin 8 dígitos; ","")&amp;IF(AND(ISNUMBER(B100),LEN(B100)=8),IF(MOD(B100,10000)=0,"UNSPSC a nivel de segmento o familia; ",""),"")&amp;IF(NOT(ISNUMBER(E100)),"Duración vacía o en texto; ","")&amp;IF(NOT(ISNUMBER(G100)),"Valor vacío o en texto; ","")&amp;IF(ISNUMBER(M100),IF(M100&lt;1000000,"Valor inferior a $1.000.000: verificar; ",""),"Valor no interpretable; ")&amp;IF(N100="[PENDIENTE DE VERIFICAR]","Modalidad no identificable; ","")&amp;IF(OR(ISERROR(SEARCH("@itc.edu.co",J100)),SUMPRODUCT(--ISNUMBER(SEARCH({"á","é","í","ó","ú","ñ"},J100)))&gt;0),"Correo vacío o no institucional válido; ","")&amp;IF(LEN(TRIM(D100))=0,"Sin objeto contractual; ","")&amp;IF(AND(ISNUMBER(M100),N100="Mínima cuantía"),IF(M100&gt;39850000,"Mínima cuantía con valor superior al tope citado en el instructivo 2026 ($39.850.000): verificar modalidad; ",""),"")&amp;IF(AND(ISNUMBER(M100),OR(ISNUMBER(SEARCH("prestación de servicios",D100)),ISNUMBER(SEARCH("prestar servicios",D100)),ISNUMBER(SEARCH("prestar los servicios",D100)))),IF(M100&gt;=500000000,"Prestación de servicios por $500 millones o más: posible error de digitación; ",""),""))=0,"Sin observaciones",IF(OR(NOT(ISNUMBER(B100)),LEN(B100)&lt;&gt;8),"UNSPSC vacío, en texto, con varios códigos o sin 8 dígitos; ","")&amp;IF(AND(ISNUMBER(B100),LEN(B100)=8),IF(MOD(B100,10000)=0,"UNSPSC a nivel de segmento o familia; ",""),"")&amp;IF(NOT(ISNUMBER(E100)),"Duración vacía o en texto; ","")&amp;IF(NOT(ISNUMBER(G100)),"Valor vacío o en texto; ","")&amp;IF(ISNUMBER(M100),IF(M100&lt;1000000,"Valor inferior a $1.000.000: verificar; ",""),"Valor no interpretable; ")&amp;IF(N100="[PENDIENTE DE VERIFICAR]","Modalidad no identificable; ","")&amp;IF(OR(ISERROR(SEARCH("@itc.edu.co",J100)),SUMPRODUCT(--ISNUMBER(SEARCH({"á","é","í","ó","ú","ñ"},J100)))&gt;0),"Correo vacío o no institucional válido; ","")&amp;IF(LEN(TRIM(D100))=0,"Sin objeto contractual; ","")&amp;IF(AND(ISNUMBER(M100),N100="Mínima cuantía"),IF(M100&gt;39850000,"Mínima cuantía con valor superior al tope citado en el instructivo 2026 ($39.850.000): verificar modalidad; ",""),"")&amp;IF(AND(ISNUMBER(M100),OR(ISNUMBER(SEARCH("prestación de servicios",D100)),ISNUMBER(SEARCH("prestar servicios",D100)),ISNUMBER(SEARCH("prestar los servicios",D100)))),IF(M100&gt;=500000000,"Prestación de servicios por $500 millones o más: posible error de digitación; ",""),""))</f>
        <v/>
      </c>
    </row>
    <row r="101" ht="34.2" customHeight="1" s="23">
      <c r="A101" s="114" t="inlineStr">
        <is>
          <t>PN26-097</t>
        </is>
      </c>
      <c r="B101" s="114" t="n"/>
      <c r="C101" s="114" t="inlineStr">
        <is>
          <t>Carpintero v1</t>
        </is>
      </c>
      <c r="D101" s="114" t="inlineStr">
        <is>
          <t>Prestación de servicios de apoyo a la gestión como carpintero para el área de infraestructura física de la escuela tecnológica instituto técnico central y sus sedes</t>
        </is>
      </c>
      <c r="E101" s="114" t="n">
        <v>11</v>
      </c>
      <c r="F101" s="114" t="inlineStr">
        <is>
          <t>DIRECTA</t>
        </is>
      </c>
      <c r="G101" s="118" t="n">
        <v>32802290</v>
      </c>
      <c r="H101" s="114" t="inlineStr">
        <is>
          <t>Vicerrector administrativo y financiero</t>
        </is>
      </c>
      <c r="I101" s="114" t="n"/>
      <c r="J101" s="114" t="inlineStr">
        <is>
          <t>viceadministrativa@itc.edu.co</t>
        </is>
      </c>
      <c r="K101" s="114" t="n">
        <v>96</v>
      </c>
      <c r="L101" s="119" t="inlineStr">
        <is>
          <t>130 · Vicerrectoría Administrativa y Financiera</t>
        </is>
      </c>
      <c r="M101" s="120" t="n">
        <v>32802290</v>
      </c>
      <c r="N101" s="119" t="inlineStr">
        <is>
          <t>Contratación directa</t>
        </is>
      </c>
      <c r="O101" s="119">
        <f>IF(LEN(IF(OR(NOT(ISNUMBER(B101)),LEN(B101)&lt;&gt;8),"UNSPSC vacío, en texto, con varios códigos o sin 8 dígitos; ","")&amp;IF(AND(ISNUMBER(B101),LEN(B101)=8),IF(MOD(B101,10000)=0,"UNSPSC a nivel de segmento o familia; ",""),"")&amp;IF(NOT(ISNUMBER(E101)),"Duración vacía o en texto; ","")&amp;IF(NOT(ISNUMBER(G101)),"Valor vacío o en texto; ","")&amp;IF(ISNUMBER(M101),IF(M101&lt;1000000,"Valor inferior a $1.000.000: verificar; ",""),"Valor no interpretable; ")&amp;IF(N101="[PENDIENTE DE VERIFICAR]","Modalidad no identificable; ","")&amp;IF(OR(ISERROR(SEARCH("@itc.edu.co",J101)),SUMPRODUCT(--ISNUMBER(SEARCH({"á","é","í","ó","ú","ñ"},J101)))&gt;0),"Correo vacío o no institucional válido; ","")&amp;IF(LEN(TRIM(D101))=0,"Sin objeto contractual; ","")&amp;IF(AND(ISNUMBER(M101),N101="Mínima cuantía"),IF(M101&gt;39850000,"Mínima cuantía con valor superior al tope citado en el instructivo 2026 ($39.850.000): verificar modalidad; ",""),"")&amp;IF(AND(ISNUMBER(M101),OR(ISNUMBER(SEARCH("prestación de servicios",D101)),ISNUMBER(SEARCH("prestar servicios",D101)),ISNUMBER(SEARCH("prestar los servicios",D101)))),IF(M101&gt;=500000000,"Prestación de servicios por $500 millones o más: posible error de digitación; ",""),""))=0,"Sin observaciones",IF(OR(NOT(ISNUMBER(B101)),LEN(B101)&lt;&gt;8),"UNSPSC vacío, en texto, con varios códigos o sin 8 dígitos; ","")&amp;IF(AND(ISNUMBER(B101),LEN(B101)=8),IF(MOD(B101,10000)=0,"UNSPSC a nivel de segmento o familia; ",""),"")&amp;IF(NOT(ISNUMBER(E101)),"Duración vacía o en texto; ","")&amp;IF(NOT(ISNUMBER(G101)),"Valor vacío o en texto; ","")&amp;IF(ISNUMBER(M101),IF(M101&lt;1000000,"Valor inferior a $1.000.000: verificar; ",""),"Valor no interpretable; ")&amp;IF(N101="[PENDIENTE DE VERIFICAR]","Modalidad no identificable; ","")&amp;IF(OR(ISERROR(SEARCH("@itc.edu.co",J101)),SUMPRODUCT(--ISNUMBER(SEARCH({"á","é","í","ó","ú","ñ"},J101)))&gt;0),"Correo vacío o no institucional válido; ","")&amp;IF(LEN(TRIM(D101))=0,"Sin objeto contractual; ","")&amp;IF(AND(ISNUMBER(M101),N101="Mínima cuantía"),IF(M101&gt;39850000,"Mínima cuantía con valor superior al tope citado en el instructivo 2026 ($39.850.000): verificar modalidad; ",""),"")&amp;IF(AND(ISNUMBER(M101),OR(ISNUMBER(SEARCH("prestación de servicios",D101)),ISNUMBER(SEARCH("prestar servicios",D101)),ISNUMBER(SEARCH("prestar los servicios",D101)))),IF(M101&gt;=500000000,"Prestación de servicios por $500 millones o más: posible error de digitación; ",""),""))</f>
        <v/>
      </c>
    </row>
    <row r="102" ht="34.2" customHeight="1" s="23">
      <c r="A102" s="114" t="inlineStr">
        <is>
          <t>PN26-098</t>
        </is>
      </c>
      <c r="B102" s="114" t="n"/>
      <c r="C102" s="114" t="inlineStr">
        <is>
          <t>Carpintero metalico</t>
        </is>
      </c>
      <c r="D102" s="114" t="inlineStr">
        <is>
          <t>Prestación de servicios de apoyo a la gestión como carpintero metalico para el área de infraestructura física de la escuela tecnológica instituto técnico central y sus sedes</t>
        </is>
      </c>
      <c r="E102" s="114" t="n">
        <v>11</v>
      </c>
      <c r="F102" s="114" t="inlineStr">
        <is>
          <t>DIRECTA</t>
        </is>
      </c>
      <c r="G102" s="118" t="n">
        <v>32802290</v>
      </c>
      <c r="H102" s="114" t="inlineStr">
        <is>
          <t>Vicerrector administrativo y financiero</t>
        </is>
      </c>
      <c r="I102" s="114" t="n"/>
      <c r="J102" s="114" t="inlineStr">
        <is>
          <t>viceadministrativa@itc.edu.co</t>
        </is>
      </c>
      <c r="K102" s="114" t="n">
        <v>97</v>
      </c>
      <c r="L102" s="119" t="inlineStr">
        <is>
          <t>130 · Vicerrectoría Administrativa y Financiera</t>
        </is>
      </c>
      <c r="M102" s="120" t="n">
        <v>32802290</v>
      </c>
      <c r="N102" s="119" t="inlineStr">
        <is>
          <t>Contratación directa</t>
        </is>
      </c>
      <c r="O102" s="119">
        <f>IF(LEN(IF(OR(NOT(ISNUMBER(B102)),LEN(B102)&lt;&gt;8),"UNSPSC vacío, en texto, con varios códigos o sin 8 dígitos; ","")&amp;IF(AND(ISNUMBER(B102),LEN(B102)=8),IF(MOD(B102,10000)=0,"UNSPSC a nivel de segmento o familia; ",""),"")&amp;IF(NOT(ISNUMBER(E102)),"Duración vacía o en texto; ","")&amp;IF(NOT(ISNUMBER(G102)),"Valor vacío o en texto; ","")&amp;IF(ISNUMBER(M102),IF(M102&lt;1000000,"Valor inferior a $1.000.000: verificar; ",""),"Valor no interpretable; ")&amp;IF(N102="[PENDIENTE DE VERIFICAR]","Modalidad no identificable; ","")&amp;IF(OR(ISERROR(SEARCH("@itc.edu.co",J102)),SUMPRODUCT(--ISNUMBER(SEARCH({"á","é","í","ó","ú","ñ"},J102)))&gt;0),"Correo vacío o no institucional válido; ","")&amp;IF(LEN(TRIM(D102))=0,"Sin objeto contractual; ","")&amp;IF(AND(ISNUMBER(M102),N102="Mínima cuantía"),IF(M102&gt;39850000,"Mínima cuantía con valor superior al tope citado en el instructivo 2026 ($39.850.000): verificar modalidad; ",""),"")&amp;IF(AND(ISNUMBER(M102),OR(ISNUMBER(SEARCH("prestación de servicios",D102)),ISNUMBER(SEARCH("prestar servicios",D102)),ISNUMBER(SEARCH("prestar los servicios",D102)))),IF(M102&gt;=500000000,"Prestación de servicios por $500 millones o más: posible error de digitación; ",""),""))=0,"Sin observaciones",IF(OR(NOT(ISNUMBER(B102)),LEN(B102)&lt;&gt;8),"UNSPSC vacío, en texto, con varios códigos o sin 8 dígitos; ","")&amp;IF(AND(ISNUMBER(B102),LEN(B102)=8),IF(MOD(B102,10000)=0,"UNSPSC a nivel de segmento o familia; ",""),"")&amp;IF(NOT(ISNUMBER(E102)),"Duración vacía o en texto; ","")&amp;IF(NOT(ISNUMBER(G102)),"Valor vacío o en texto; ","")&amp;IF(ISNUMBER(M102),IF(M102&lt;1000000,"Valor inferior a $1.000.000: verificar; ",""),"Valor no interpretable; ")&amp;IF(N102="[PENDIENTE DE VERIFICAR]","Modalidad no identificable; ","")&amp;IF(OR(ISERROR(SEARCH("@itc.edu.co",J102)),SUMPRODUCT(--ISNUMBER(SEARCH({"á","é","í","ó","ú","ñ"},J102)))&gt;0),"Correo vacío o no institucional válido; ","")&amp;IF(LEN(TRIM(D102))=0,"Sin objeto contractual; ","")&amp;IF(AND(ISNUMBER(M102),N102="Mínima cuantía"),IF(M102&gt;39850000,"Mínima cuantía con valor superior al tope citado en el instructivo 2026 ($39.850.000): verificar modalidad; ",""),"")&amp;IF(AND(ISNUMBER(M102),OR(ISNUMBER(SEARCH("prestación de servicios",D102)),ISNUMBER(SEARCH("prestar servicios",D102)),ISNUMBER(SEARCH("prestar los servicios",D102)))),IF(M102&gt;=500000000,"Prestación de servicios por $500 millones o más: posible error de digitación; ",""),""))</f>
        <v/>
      </c>
    </row>
    <row r="103" ht="34.2" customHeight="1" s="23">
      <c r="A103" s="114" t="inlineStr">
        <is>
          <t>PN26-099</t>
        </is>
      </c>
      <c r="B103" s="114" t="n"/>
      <c r="C103" s="114" t="inlineStr">
        <is>
          <t>Jardinero v1</t>
        </is>
      </c>
      <c r="D103" s="114" t="inlineStr">
        <is>
          <t>Prestación de servicios de apoyo a la gestión como jardinero para el área de infraestructura física de la escuela tecnológica instituto técnico central y sus sedes</t>
        </is>
      </c>
      <c r="E103" s="114" t="n">
        <v>11</v>
      </c>
      <c r="F103" s="114" t="inlineStr">
        <is>
          <t>DIRECTA</t>
        </is>
      </c>
      <c r="G103" s="118" t="n">
        <v>32802290</v>
      </c>
      <c r="H103" s="114" t="inlineStr">
        <is>
          <t>Vicerrector administrativo y financiero</t>
        </is>
      </c>
      <c r="I103" s="114" t="n"/>
      <c r="J103" s="114" t="inlineStr">
        <is>
          <t>viceadministrativa@itc.edu.co</t>
        </is>
      </c>
      <c r="K103" s="114" t="n">
        <v>98</v>
      </c>
      <c r="L103" s="119" t="inlineStr">
        <is>
          <t>130 · Vicerrectoría Administrativa y Financiera</t>
        </is>
      </c>
      <c r="M103" s="120" t="n">
        <v>32802290</v>
      </c>
      <c r="N103" s="119" t="inlineStr">
        <is>
          <t>Contratación directa</t>
        </is>
      </c>
      <c r="O103" s="119">
        <f>IF(LEN(IF(OR(NOT(ISNUMBER(B103)),LEN(B103)&lt;&gt;8),"UNSPSC vacío, en texto, con varios códigos o sin 8 dígitos; ","")&amp;IF(AND(ISNUMBER(B103),LEN(B103)=8),IF(MOD(B103,10000)=0,"UNSPSC a nivel de segmento o familia; ",""),"")&amp;IF(NOT(ISNUMBER(E103)),"Duración vacía o en texto; ","")&amp;IF(NOT(ISNUMBER(G103)),"Valor vacío o en texto; ","")&amp;IF(ISNUMBER(M103),IF(M103&lt;1000000,"Valor inferior a $1.000.000: verificar; ",""),"Valor no interpretable; ")&amp;IF(N103="[PENDIENTE DE VERIFICAR]","Modalidad no identificable; ","")&amp;IF(OR(ISERROR(SEARCH("@itc.edu.co",J103)),SUMPRODUCT(--ISNUMBER(SEARCH({"á","é","í","ó","ú","ñ"},J103)))&gt;0),"Correo vacío o no institucional válido; ","")&amp;IF(LEN(TRIM(D103))=0,"Sin objeto contractual; ","")&amp;IF(AND(ISNUMBER(M103),N103="Mínima cuantía"),IF(M103&gt;39850000,"Mínima cuantía con valor superior al tope citado en el instructivo 2026 ($39.850.000): verificar modalidad; ",""),"")&amp;IF(AND(ISNUMBER(M103),OR(ISNUMBER(SEARCH("prestación de servicios",D103)),ISNUMBER(SEARCH("prestar servicios",D103)),ISNUMBER(SEARCH("prestar los servicios",D103)))),IF(M103&gt;=500000000,"Prestación de servicios por $500 millones o más: posible error de digitación; ",""),""))=0,"Sin observaciones",IF(OR(NOT(ISNUMBER(B103)),LEN(B103)&lt;&gt;8),"UNSPSC vacío, en texto, con varios códigos o sin 8 dígitos; ","")&amp;IF(AND(ISNUMBER(B103),LEN(B103)=8),IF(MOD(B103,10000)=0,"UNSPSC a nivel de segmento o familia; ",""),"")&amp;IF(NOT(ISNUMBER(E103)),"Duración vacía o en texto; ","")&amp;IF(NOT(ISNUMBER(G103)),"Valor vacío o en texto; ","")&amp;IF(ISNUMBER(M103),IF(M103&lt;1000000,"Valor inferior a $1.000.000: verificar; ",""),"Valor no interpretable; ")&amp;IF(N103="[PENDIENTE DE VERIFICAR]","Modalidad no identificable; ","")&amp;IF(OR(ISERROR(SEARCH("@itc.edu.co",J103)),SUMPRODUCT(--ISNUMBER(SEARCH({"á","é","í","ó","ú","ñ"},J103)))&gt;0),"Correo vacío o no institucional válido; ","")&amp;IF(LEN(TRIM(D103))=0,"Sin objeto contractual; ","")&amp;IF(AND(ISNUMBER(M103),N103="Mínima cuantía"),IF(M103&gt;39850000,"Mínima cuantía con valor superior al tope citado en el instructivo 2026 ($39.850.000): verificar modalidad; ",""),"")&amp;IF(AND(ISNUMBER(M103),OR(ISNUMBER(SEARCH("prestación de servicios",D103)),ISNUMBER(SEARCH("prestar servicios",D103)),ISNUMBER(SEARCH("prestar los servicios",D103)))),IF(M103&gt;=500000000,"Prestación de servicios por $500 millones o más: posible error de digitación; ",""),""))</f>
        <v/>
      </c>
    </row>
    <row r="104" ht="34.2" customHeight="1" s="23">
      <c r="A104" s="114" t="inlineStr">
        <is>
          <t>PN26-100</t>
        </is>
      </c>
      <c r="B104" s="114" t="n"/>
      <c r="C104" s="114" t="inlineStr">
        <is>
          <t>Todero guaymaral</t>
        </is>
      </c>
      <c r="D104" s="114" t="inlineStr">
        <is>
          <t>Prestación de servicios de apoyo a la gestión como todero guaymaral para el área de infraestructura física de la escuela tecnológica instituto técnico central y sus sedes</t>
        </is>
      </c>
      <c r="E104" s="114" t="n">
        <v>11</v>
      </c>
      <c r="F104" s="114" t="inlineStr">
        <is>
          <t>DIRECTA</t>
        </is>
      </c>
      <c r="G104" s="118" t="n">
        <v>32802290</v>
      </c>
      <c r="H104" s="114" t="inlineStr">
        <is>
          <t>Vicerrector administrativo y financiero</t>
        </is>
      </c>
      <c r="I104" s="114" t="n"/>
      <c r="J104" s="114" t="inlineStr">
        <is>
          <t>viceadministrativa@itc.edu.co</t>
        </is>
      </c>
      <c r="K104" s="114" t="n">
        <v>99</v>
      </c>
      <c r="L104" s="119" t="inlineStr">
        <is>
          <t>130 · Vicerrectoría Administrativa y Financiera</t>
        </is>
      </c>
      <c r="M104" s="120" t="n">
        <v>32802290</v>
      </c>
      <c r="N104" s="119" t="inlineStr">
        <is>
          <t>Contratación directa</t>
        </is>
      </c>
      <c r="O104" s="119">
        <f>IF(LEN(IF(OR(NOT(ISNUMBER(B104)),LEN(B104)&lt;&gt;8),"UNSPSC vacío, en texto, con varios códigos o sin 8 dígitos; ","")&amp;IF(AND(ISNUMBER(B104),LEN(B104)=8),IF(MOD(B104,10000)=0,"UNSPSC a nivel de segmento o familia; ",""),"")&amp;IF(NOT(ISNUMBER(E104)),"Duración vacía o en texto; ","")&amp;IF(NOT(ISNUMBER(G104)),"Valor vacío o en texto; ","")&amp;IF(ISNUMBER(M104),IF(M104&lt;1000000,"Valor inferior a $1.000.000: verificar; ",""),"Valor no interpretable; ")&amp;IF(N104="[PENDIENTE DE VERIFICAR]","Modalidad no identificable; ","")&amp;IF(OR(ISERROR(SEARCH("@itc.edu.co",J104)),SUMPRODUCT(--ISNUMBER(SEARCH({"á","é","í","ó","ú","ñ"},J104)))&gt;0),"Correo vacío o no institucional válido; ","")&amp;IF(LEN(TRIM(D104))=0,"Sin objeto contractual; ","")&amp;IF(AND(ISNUMBER(M104),N104="Mínima cuantía"),IF(M104&gt;39850000,"Mínima cuantía con valor superior al tope citado en el instructivo 2026 ($39.850.000): verificar modalidad; ",""),"")&amp;IF(AND(ISNUMBER(M104),OR(ISNUMBER(SEARCH("prestación de servicios",D104)),ISNUMBER(SEARCH("prestar servicios",D104)),ISNUMBER(SEARCH("prestar los servicios",D104)))),IF(M104&gt;=500000000,"Prestación de servicios por $500 millones o más: posible error de digitación; ",""),""))=0,"Sin observaciones",IF(OR(NOT(ISNUMBER(B104)),LEN(B104)&lt;&gt;8),"UNSPSC vacío, en texto, con varios códigos o sin 8 dígitos; ","")&amp;IF(AND(ISNUMBER(B104),LEN(B104)=8),IF(MOD(B104,10000)=0,"UNSPSC a nivel de segmento o familia; ",""),"")&amp;IF(NOT(ISNUMBER(E104)),"Duración vacía o en texto; ","")&amp;IF(NOT(ISNUMBER(G104)),"Valor vacío o en texto; ","")&amp;IF(ISNUMBER(M104),IF(M104&lt;1000000,"Valor inferior a $1.000.000: verificar; ",""),"Valor no interpretable; ")&amp;IF(N104="[PENDIENTE DE VERIFICAR]","Modalidad no identificable; ","")&amp;IF(OR(ISERROR(SEARCH("@itc.edu.co",J104)),SUMPRODUCT(--ISNUMBER(SEARCH({"á","é","í","ó","ú","ñ"},J104)))&gt;0),"Correo vacío o no institucional válido; ","")&amp;IF(LEN(TRIM(D104))=0,"Sin objeto contractual; ","")&amp;IF(AND(ISNUMBER(M104),N104="Mínima cuantía"),IF(M104&gt;39850000,"Mínima cuantía con valor superior al tope citado en el instructivo 2026 ($39.850.000): verificar modalidad; ",""),"")&amp;IF(AND(ISNUMBER(M104),OR(ISNUMBER(SEARCH("prestación de servicios",D104)),ISNUMBER(SEARCH("prestar servicios",D104)),ISNUMBER(SEARCH("prestar los servicios",D104)))),IF(M104&gt;=500000000,"Prestación de servicios por $500 millones o más: posible error de digitación; ",""),""))</f>
        <v/>
      </c>
    </row>
    <row r="105" ht="79.8" customHeight="1" s="23">
      <c r="A105" s="114" t="inlineStr">
        <is>
          <t>PN26-101</t>
        </is>
      </c>
      <c r="B105" s="114" t="n">
        <v>80111600</v>
      </c>
      <c r="C105" s="114" t="inlineStr">
        <is>
          <t>Apoyo como tecnólogo en gestión documental</t>
        </is>
      </c>
      <c r="D105" s="114" t="inlineStr">
        <is>
          <t>Prestación de servicios de apoyo a la gestión como tecnólogo en gestión documental, para desarrollar actividades técnicas relacionadas con la elaboración, actualización, seguimiento y control de los instrumentos archivísticos de la etitc, tablas de valoración documental (tvd) plan institucional de archivos (pinar), programa de gestión documental (pgd), y aplicación de tablas de retención documental (trd) en cumplimiento del acuerdo 001 de 2024, ley 594 del 2000 -ley general de archivos, y decreto 1080 del 2015.</t>
        </is>
      </c>
      <c r="E105" s="114" t="n">
        <v>11</v>
      </c>
      <c r="F105" s="114" t="inlineStr">
        <is>
          <t>DIRECTA</t>
        </is>
      </c>
      <c r="G105" s="118" t="n">
        <v>3023221000</v>
      </c>
      <c r="H105" s="114" t="inlineStr">
        <is>
          <t>Profesional universitario grado 2044-04,
del área de gestión documental y atención al ciudadano</t>
        </is>
      </c>
      <c r="I105" s="114" t="n"/>
      <c r="J105" s="114" t="n"/>
      <c r="K105" s="114" t="n">
        <v>100</v>
      </c>
      <c r="L105" s="119" t="inlineStr">
        <is>
          <t>131 · GIT Gestión Documental y Atención al Ciudadano</t>
        </is>
      </c>
      <c r="M105" s="120" t="n">
        <v>3023221000</v>
      </c>
      <c r="N105" s="119" t="inlineStr">
        <is>
          <t>Contratación directa</t>
        </is>
      </c>
      <c r="O105" s="119">
        <f>IF(LEN(IF(OR(NOT(ISNUMBER(B105)),LEN(B105)&lt;&gt;8),"UNSPSC vacío, en texto, con varios códigos o sin 8 dígitos; ","")&amp;IF(AND(ISNUMBER(B105),LEN(B105)=8),IF(MOD(B105,10000)=0,"UNSPSC a nivel de segmento o familia; ",""),"")&amp;IF(NOT(ISNUMBER(E105)),"Duración vacía o en texto; ","")&amp;IF(NOT(ISNUMBER(G105)),"Valor vacío o en texto; ","")&amp;IF(ISNUMBER(M105),IF(M105&lt;1000000,"Valor inferior a $1.000.000: verificar; ",""),"Valor no interpretable; ")&amp;IF(N105="[PENDIENTE DE VERIFICAR]","Modalidad no identificable; ","")&amp;IF(OR(ISERROR(SEARCH("@itc.edu.co",J105)),SUMPRODUCT(--ISNUMBER(SEARCH({"á","é","í","ó","ú","ñ"},J105)))&gt;0),"Correo vacío o no institucional válido; ","")&amp;IF(LEN(TRIM(D105))=0,"Sin objeto contractual; ","")&amp;IF(AND(ISNUMBER(M105),N105="Mínima cuantía"),IF(M105&gt;39850000,"Mínima cuantía con valor superior al tope citado en el instructivo 2026 ($39.850.000): verificar modalidad; ",""),"")&amp;IF(AND(ISNUMBER(M105),OR(ISNUMBER(SEARCH("prestación de servicios",D105)),ISNUMBER(SEARCH("prestar servicios",D105)),ISNUMBER(SEARCH("prestar los servicios",D105)))),IF(M105&gt;=500000000,"Prestación de servicios por $500 millones o más: posible error de digitación; ",""),""))=0,"Sin observaciones",IF(OR(NOT(ISNUMBER(B105)),LEN(B105)&lt;&gt;8),"UNSPSC vacío, en texto, con varios códigos o sin 8 dígitos; ","")&amp;IF(AND(ISNUMBER(B105),LEN(B105)=8),IF(MOD(B105,10000)=0,"UNSPSC a nivel de segmento o familia; ",""),"")&amp;IF(NOT(ISNUMBER(E105)),"Duración vacía o en texto; ","")&amp;IF(NOT(ISNUMBER(G105)),"Valor vacío o en texto; ","")&amp;IF(ISNUMBER(M105),IF(M105&lt;1000000,"Valor inferior a $1.000.000: verificar; ",""),"Valor no interpretable; ")&amp;IF(N105="[PENDIENTE DE VERIFICAR]","Modalidad no identificable; ","")&amp;IF(OR(ISERROR(SEARCH("@itc.edu.co",J105)),SUMPRODUCT(--ISNUMBER(SEARCH({"á","é","í","ó","ú","ñ"},J105)))&gt;0),"Correo vacío o no institucional válido; ","")&amp;IF(LEN(TRIM(D105))=0,"Sin objeto contractual; ","")&amp;IF(AND(ISNUMBER(M105),N105="Mínima cuantía"),IF(M105&gt;39850000,"Mínima cuantía con valor superior al tope citado en el instructivo 2026 ($39.850.000): verificar modalidad; ",""),"")&amp;IF(AND(ISNUMBER(M105),OR(ISNUMBER(SEARCH("prestación de servicios",D105)),ISNUMBER(SEARCH("prestar servicios",D105)),ISNUMBER(SEARCH("prestar los servicios",D105)))),IF(M105&gt;=500000000,"Prestación de servicios por $500 millones o más: posible error de digitación; ",""),""))</f>
        <v/>
      </c>
    </row>
    <row r="106" ht="68.40000000000001" customHeight="1" s="23">
      <c r="A106" s="114" t="inlineStr">
        <is>
          <t>PN26-102</t>
        </is>
      </c>
      <c r="B106" s="114" t="n">
        <v>80111600</v>
      </c>
      <c r="C106" s="114" t="inlineStr">
        <is>
          <t>Apoyo como profesional en gestión documental - actividades técnicas archivísticas</t>
        </is>
      </c>
      <c r="D106" s="114" t="inlineStr">
        <is>
          <t>Prestación de servicios profesionales especializados para liderar y ejecutar las actividades técnicas necesarias para la formulación, actualización, implementación y evaluación de los instrumentos archivísticos de la etitc, incluyendo el pinar, trd, tvd, sic, pgd, tca y sgdea, garantizando el cumplimiento de la ley 594 de 2000, el decreto 1080 de 2015, el acuerdo 001 de 2024 del agn y la normativa vigente en materia de gestión documental y archivos</t>
        </is>
      </c>
      <c r="E106" s="114" t="n">
        <v>11</v>
      </c>
      <c r="F106" s="114" t="inlineStr">
        <is>
          <t>DIRECTA</t>
        </is>
      </c>
      <c r="G106" s="118" t="n"/>
      <c r="H106" s="114" t="inlineStr">
        <is>
          <t>Profesional universitario grado 2044-04,
del área de gestión documental y atención al ciudadano</t>
        </is>
      </c>
      <c r="I106" s="114" t="n"/>
      <c r="J106" s="114" t="n"/>
      <c r="K106" s="114" t="n">
        <v>101</v>
      </c>
      <c r="L106" s="119" t="inlineStr">
        <is>
          <t>131 · GIT Gestión Documental y Atención al Ciudadano</t>
        </is>
      </c>
      <c r="M106" s="120" t="n"/>
      <c r="N106" s="119" t="inlineStr">
        <is>
          <t>Contratación directa</t>
        </is>
      </c>
      <c r="O106" s="119">
        <f>IF(LEN(IF(OR(NOT(ISNUMBER(B106)),LEN(B106)&lt;&gt;8),"UNSPSC vacío, en texto, con varios códigos o sin 8 dígitos; ","")&amp;IF(AND(ISNUMBER(B106),LEN(B106)=8),IF(MOD(B106,10000)=0,"UNSPSC a nivel de segmento o familia; ",""),"")&amp;IF(NOT(ISNUMBER(E106)),"Duración vacía o en texto; ","")&amp;IF(NOT(ISNUMBER(G106)),"Valor vacío o en texto; ","")&amp;IF(ISNUMBER(M106),IF(M106&lt;1000000,"Valor inferior a $1.000.000: verificar; ",""),"Valor no interpretable; ")&amp;IF(N106="[PENDIENTE DE VERIFICAR]","Modalidad no identificable; ","")&amp;IF(OR(ISERROR(SEARCH("@itc.edu.co",J106)),SUMPRODUCT(--ISNUMBER(SEARCH({"á","é","í","ó","ú","ñ"},J106)))&gt;0),"Correo vacío o no institucional válido; ","")&amp;IF(LEN(TRIM(D106))=0,"Sin objeto contractual; ","")&amp;IF(AND(ISNUMBER(M106),N106="Mínima cuantía"),IF(M106&gt;39850000,"Mínima cuantía con valor superior al tope citado en el instructivo 2026 ($39.850.000): verificar modalidad; ",""),"")&amp;IF(AND(ISNUMBER(M106),OR(ISNUMBER(SEARCH("prestación de servicios",D106)),ISNUMBER(SEARCH("prestar servicios",D106)),ISNUMBER(SEARCH("prestar los servicios",D106)))),IF(M106&gt;=500000000,"Prestación de servicios por $500 millones o más: posible error de digitación; ",""),""))=0,"Sin observaciones",IF(OR(NOT(ISNUMBER(B106)),LEN(B106)&lt;&gt;8),"UNSPSC vacío, en texto, con varios códigos o sin 8 dígitos; ","")&amp;IF(AND(ISNUMBER(B106),LEN(B106)=8),IF(MOD(B106,10000)=0,"UNSPSC a nivel de segmento o familia; ",""),"")&amp;IF(NOT(ISNUMBER(E106)),"Duración vacía o en texto; ","")&amp;IF(NOT(ISNUMBER(G106)),"Valor vacío o en texto; ","")&amp;IF(ISNUMBER(M106),IF(M106&lt;1000000,"Valor inferior a $1.000.000: verificar; ",""),"Valor no interpretable; ")&amp;IF(N106="[PENDIENTE DE VERIFICAR]","Modalidad no identificable; ","")&amp;IF(OR(ISERROR(SEARCH("@itc.edu.co",J106)),SUMPRODUCT(--ISNUMBER(SEARCH({"á","é","í","ó","ú","ñ"},J106)))&gt;0),"Correo vacío o no institucional válido; ","")&amp;IF(LEN(TRIM(D106))=0,"Sin objeto contractual; ","")&amp;IF(AND(ISNUMBER(M106),N106="Mínima cuantía"),IF(M106&gt;39850000,"Mínima cuantía con valor superior al tope citado en el instructivo 2026 ($39.850.000): verificar modalidad; ",""),"")&amp;IF(AND(ISNUMBER(M106),OR(ISNUMBER(SEARCH("prestación de servicios",D106)),ISNUMBER(SEARCH("prestar servicios",D106)),ISNUMBER(SEARCH("prestar los servicios",D106)))),IF(M106&gt;=500000000,"Prestación de servicios por $500 millones o más: posible error de digitación; ",""),""))</f>
        <v/>
      </c>
    </row>
    <row r="107" ht="57" customHeight="1" s="23">
      <c r="A107" s="114" t="inlineStr">
        <is>
          <t>PN26-103</t>
        </is>
      </c>
      <c r="B107" s="114" t="n">
        <v>80111600</v>
      </c>
      <c r="C107" s="114" t="inlineStr">
        <is>
          <t>Apoyo como técnico en gestión documental</t>
        </is>
      </c>
      <c r="D107" s="114" t="inlineStr">
        <is>
          <t xml:space="preserve">Prestación de servicios de apoyo como técnico en gestión documental para el desarrollo de actividades operativas organización, digitalización y consulta y levantamiento de inventario de la etitc, en cumplimiento de la ley 594 de 2000-ley general de archivos, el decreto 1080 de 2015 y el acuerdo 001 de 2024 del archivo general de la nación. </t>
        </is>
      </c>
      <c r="E107" s="114" t="n">
        <v>11</v>
      </c>
      <c r="F107" s="114" t="inlineStr">
        <is>
          <t>DIRECTA</t>
        </is>
      </c>
      <c r="G107" s="118" t="n">
        <v>2410606400</v>
      </c>
      <c r="H107" s="114" t="inlineStr">
        <is>
          <t>Profesional universitario grado 2044-04,
del área de gestión documental y atención al ciudadano</t>
        </is>
      </c>
      <c r="I107" s="114" t="n"/>
      <c r="J107" s="114" t="n"/>
      <c r="K107" s="114" t="n">
        <v>102</v>
      </c>
      <c r="L107" s="119" t="inlineStr">
        <is>
          <t>131 · GIT Gestión Documental y Atención al Ciudadano</t>
        </is>
      </c>
      <c r="M107" s="120" t="n">
        <v>2410606400</v>
      </c>
      <c r="N107" s="119" t="inlineStr">
        <is>
          <t>Contratación directa</t>
        </is>
      </c>
      <c r="O107" s="119">
        <f>IF(LEN(IF(OR(NOT(ISNUMBER(B107)),LEN(B107)&lt;&gt;8),"UNSPSC vacío, en texto, con varios códigos o sin 8 dígitos; ","")&amp;IF(AND(ISNUMBER(B107),LEN(B107)=8),IF(MOD(B107,10000)=0,"UNSPSC a nivel de segmento o familia; ",""),"")&amp;IF(NOT(ISNUMBER(E107)),"Duración vacía o en texto; ","")&amp;IF(NOT(ISNUMBER(G107)),"Valor vacío o en texto; ","")&amp;IF(ISNUMBER(M107),IF(M107&lt;1000000,"Valor inferior a $1.000.000: verificar; ",""),"Valor no interpretable; ")&amp;IF(N107="[PENDIENTE DE VERIFICAR]","Modalidad no identificable; ","")&amp;IF(OR(ISERROR(SEARCH("@itc.edu.co",J107)),SUMPRODUCT(--ISNUMBER(SEARCH({"á","é","í","ó","ú","ñ"},J107)))&gt;0),"Correo vacío o no institucional válido; ","")&amp;IF(LEN(TRIM(D107))=0,"Sin objeto contractual; ","")&amp;IF(AND(ISNUMBER(M107),N107="Mínima cuantía"),IF(M107&gt;39850000,"Mínima cuantía con valor superior al tope citado en el instructivo 2026 ($39.850.000): verificar modalidad; ",""),"")&amp;IF(AND(ISNUMBER(M107),OR(ISNUMBER(SEARCH("prestación de servicios",D107)),ISNUMBER(SEARCH("prestar servicios",D107)),ISNUMBER(SEARCH("prestar los servicios",D107)))),IF(M107&gt;=500000000,"Prestación de servicios por $500 millones o más: posible error de digitación; ",""),""))=0,"Sin observaciones",IF(OR(NOT(ISNUMBER(B107)),LEN(B107)&lt;&gt;8),"UNSPSC vacío, en texto, con varios códigos o sin 8 dígitos; ","")&amp;IF(AND(ISNUMBER(B107),LEN(B107)=8),IF(MOD(B107,10000)=0,"UNSPSC a nivel de segmento o familia; ",""),"")&amp;IF(NOT(ISNUMBER(E107)),"Duración vacía o en texto; ","")&amp;IF(NOT(ISNUMBER(G107)),"Valor vacío o en texto; ","")&amp;IF(ISNUMBER(M107),IF(M107&lt;1000000,"Valor inferior a $1.000.000: verificar; ",""),"Valor no interpretable; ")&amp;IF(N107="[PENDIENTE DE VERIFICAR]","Modalidad no identificable; ","")&amp;IF(OR(ISERROR(SEARCH("@itc.edu.co",J107)),SUMPRODUCT(--ISNUMBER(SEARCH({"á","é","í","ó","ú","ñ"},J107)))&gt;0),"Correo vacío o no institucional válido; ","")&amp;IF(LEN(TRIM(D107))=0,"Sin objeto contractual; ","")&amp;IF(AND(ISNUMBER(M107),N107="Mínima cuantía"),IF(M107&gt;39850000,"Mínima cuantía con valor superior al tope citado en el instructivo 2026 ($39.850.000): verificar modalidad; ",""),"")&amp;IF(AND(ISNUMBER(M107),OR(ISNUMBER(SEARCH("prestación de servicios",D107)),ISNUMBER(SEARCH("prestar servicios",D107)),ISNUMBER(SEARCH("prestar los servicios",D107)))),IF(M107&gt;=500000000,"Prestación de servicios por $500 millones o más: posible error de digitación; ",""),""))</f>
        <v/>
      </c>
    </row>
    <row r="108" ht="34.2" customHeight="1" s="23">
      <c r="A108" s="114" t="inlineStr">
        <is>
          <t>PN26-104</t>
        </is>
      </c>
      <c r="B108" s="114" t="n">
        <v>81111801</v>
      </c>
      <c r="C108" s="114" t="inlineStr">
        <is>
          <t>Planeación - Seguridad de la Información</t>
        </is>
      </c>
      <c r="D108" s="114" t="inlineStr">
        <is>
          <t>Prestar servicio de Centro de operaciones de Ciberseguridad SOC 24x7, adaptado a la infraestructura tecnológica crítica y sistemas informáticos productivos de la ETITC</t>
        </is>
      </c>
      <c r="E108" s="114" t="n">
        <v>11</v>
      </c>
      <c r="F108" s="114" t="inlineStr">
        <is>
          <t>MENOR CUANTIA</t>
        </is>
      </c>
      <c r="G108" s="118" t="n">
        <v>195000000</v>
      </c>
      <c r="H108" s="114" t="inlineStr">
        <is>
          <t>profesional universitario 2044-11 en Seguridad de la Información</t>
        </is>
      </c>
      <c r="I108" s="114" t="n"/>
      <c r="J108" s="114" t="inlineStr">
        <is>
          <t>seguridaddigital@itc.edu.co</t>
        </is>
      </c>
      <c r="K108" s="114" t="n">
        <v>104</v>
      </c>
      <c r="L108" s="119" t="inlineStr">
        <is>
          <t>132 · GIT Gestión de Informática y Telecomunicaciones</t>
        </is>
      </c>
      <c r="M108" s="120" t="n">
        <v>195000000</v>
      </c>
      <c r="N108" s="119" t="inlineStr">
        <is>
          <t>Selección abreviada de menor cuantía</t>
        </is>
      </c>
      <c r="O108" s="119">
        <f>IF(LEN(IF(OR(NOT(ISNUMBER(B108)),LEN(B108)&lt;&gt;8),"UNSPSC vacío, en texto, con varios códigos o sin 8 dígitos; ","")&amp;IF(AND(ISNUMBER(B108),LEN(B108)=8),IF(MOD(B108,10000)=0,"UNSPSC a nivel de segmento o familia; ",""),"")&amp;IF(NOT(ISNUMBER(E108)),"Duración vacía o en texto; ","")&amp;IF(NOT(ISNUMBER(G108)),"Valor vacío o en texto; ","")&amp;IF(ISNUMBER(M108),IF(M108&lt;1000000,"Valor inferior a $1.000.000: verificar; ",""),"Valor no interpretable; ")&amp;IF(N108="[PENDIENTE DE VERIFICAR]","Modalidad no identificable; ","")&amp;IF(OR(ISERROR(SEARCH("@itc.edu.co",J108)),SUMPRODUCT(--ISNUMBER(SEARCH({"á","é","í","ó","ú","ñ"},J108)))&gt;0),"Correo vacío o no institucional válido; ","")&amp;IF(LEN(TRIM(D108))=0,"Sin objeto contractual; ","")&amp;IF(AND(ISNUMBER(M108),N108="Mínima cuantía"),IF(M108&gt;39850000,"Mínima cuantía con valor superior al tope citado en el instructivo 2026 ($39.850.000): verificar modalidad; ",""),"")&amp;IF(AND(ISNUMBER(M108),OR(ISNUMBER(SEARCH("prestación de servicios",D108)),ISNUMBER(SEARCH("prestar servicios",D108)),ISNUMBER(SEARCH("prestar los servicios",D108)))),IF(M108&gt;=500000000,"Prestación de servicios por $500 millones o más: posible error de digitación; ",""),""))=0,"Sin observaciones",IF(OR(NOT(ISNUMBER(B108)),LEN(B108)&lt;&gt;8),"UNSPSC vacío, en texto, con varios códigos o sin 8 dígitos; ","")&amp;IF(AND(ISNUMBER(B108),LEN(B108)=8),IF(MOD(B108,10000)=0,"UNSPSC a nivel de segmento o familia; ",""),"")&amp;IF(NOT(ISNUMBER(E108)),"Duración vacía o en texto; ","")&amp;IF(NOT(ISNUMBER(G108)),"Valor vacío o en texto; ","")&amp;IF(ISNUMBER(M108),IF(M108&lt;1000000,"Valor inferior a $1.000.000: verificar; ",""),"Valor no interpretable; ")&amp;IF(N108="[PENDIENTE DE VERIFICAR]","Modalidad no identificable; ","")&amp;IF(OR(ISERROR(SEARCH("@itc.edu.co",J108)),SUMPRODUCT(--ISNUMBER(SEARCH({"á","é","í","ó","ú","ñ"},J108)))&gt;0),"Correo vacío o no institucional válido; ","")&amp;IF(LEN(TRIM(D108))=0,"Sin objeto contractual; ","")&amp;IF(AND(ISNUMBER(M108),N108="Mínima cuantía"),IF(M108&gt;39850000,"Mínima cuantía con valor superior al tope citado en el instructivo 2026 ($39.850.000): verificar modalidad; ",""),"")&amp;IF(AND(ISNUMBER(M108),OR(ISNUMBER(SEARCH("prestación de servicios",D108)),ISNUMBER(SEARCH("prestar servicios",D108)),ISNUMBER(SEARCH("prestar los servicios",D108)))),IF(M108&gt;=500000000,"Prestación de servicios por $500 millones o más: posible error de digitación; ",""),""))</f>
        <v/>
      </c>
    </row>
    <row r="109" ht="45.6" customHeight="1" s="23">
      <c r="A109" s="114" t="inlineStr">
        <is>
          <t>PN26-105</t>
        </is>
      </c>
      <c r="B109" s="114" t="n">
        <v>81112501</v>
      </c>
      <c r="C109" s="114" t="inlineStr">
        <is>
          <t>Planeación - Seguridad de la Información</t>
        </is>
      </c>
      <c r="D109" s="114" t="inlineStr">
        <is>
          <t>Renovación de licenciamiento LevelBlue AlienVault USM Anywhere (Unified Security Management) &amp; Threat Intelligent durante doce meses para el servicio de monitoreo de estado de compromisos e inteligencia de amenazas como apoyo a la Gestión y Eficiencia de la Ciberseguridad</t>
        </is>
      </c>
      <c r="E109" s="114" t="n">
        <v>12</v>
      </c>
      <c r="F109" s="114" t="inlineStr">
        <is>
          <t>MENOR CUANTIA</t>
        </is>
      </c>
      <c r="G109" s="118" t="n">
        <v>81620000</v>
      </c>
      <c r="H109" s="114" t="inlineStr">
        <is>
          <t>profesional universitario 2044-11 en Seguridad de la Información</t>
        </is>
      </c>
      <c r="I109" s="114" t="n"/>
      <c r="J109" s="114" t="inlineStr">
        <is>
          <t>seguridaddigital@itc.edu.co</t>
        </is>
      </c>
      <c r="K109" s="114" t="n">
        <v>105</v>
      </c>
      <c r="L109" s="119" t="inlineStr">
        <is>
          <t>132 · GIT Gestión de Informática y Telecomunicaciones</t>
        </is>
      </c>
      <c r="M109" s="120" t="n">
        <v>81620000</v>
      </c>
      <c r="N109" s="119" t="inlineStr">
        <is>
          <t>Selección abreviada de menor cuantía</t>
        </is>
      </c>
      <c r="O109" s="119">
        <f>IF(LEN(IF(OR(NOT(ISNUMBER(B109)),LEN(B109)&lt;&gt;8),"UNSPSC vacío, en texto, con varios códigos o sin 8 dígitos; ","")&amp;IF(AND(ISNUMBER(B109),LEN(B109)=8),IF(MOD(B109,10000)=0,"UNSPSC a nivel de segmento o familia; ",""),"")&amp;IF(NOT(ISNUMBER(E109)),"Duración vacía o en texto; ","")&amp;IF(NOT(ISNUMBER(G109)),"Valor vacío o en texto; ","")&amp;IF(ISNUMBER(M109),IF(M109&lt;1000000,"Valor inferior a $1.000.000: verificar; ",""),"Valor no interpretable; ")&amp;IF(N109="[PENDIENTE DE VERIFICAR]","Modalidad no identificable; ","")&amp;IF(OR(ISERROR(SEARCH("@itc.edu.co",J109)),SUMPRODUCT(--ISNUMBER(SEARCH({"á","é","í","ó","ú","ñ"},J109)))&gt;0),"Correo vacío o no institucional válido; ","")&amp;IF(LEN(TRIM(D109))=0,"Sin objeto contractual; ","")&amp;IF(AND(ISNUMBER(M109),N109="Mínima cuantía"),IF(M109&gt;39850000,"Mínima cuantía con valor superior al tope citado en el instructivo 2026 ($39.850.000): verificar modalidad; ",""),"")&amp;IF(AND(ISNUMBER(M109),OR(ISNUMBER(SEARCH("prestación de servicios",D109)),ISNUMBER(SEARCH("prestar servicios",D109)),ISNUMBER(SEARCH("prestar los servicios",D109)))),IF(M109&gt;=500000000,"Prestación de servicios por $500 millones o más: posible error de digitación; ",""),""))=0,"Sin observaciones",IF(OR(NOT(ISNUMBER(B109)),LEN(B109)&lt;&gt;8),"UNSPSC vacío, en texto, con varios códigos o sin 8 dígitos; ","")&amp;IF(AND(ISNUMBER(B109),LEN(B109)=8),IF(MOD(B109,10000)=0,"UNSPSC a nivel de segmento o familia; ",""),"")&amp;IF(NOT(ISNUMBER(E109)),"Duración vacía o en texto; ","")&amp;IF(NOT(ISNUMBER(G109)),"Valor vacío o en texto; ","")&amp;IF(ISNUMBER(M109),IF(M109&lt;1000000,"Valor inferior a $1.000.000: verificar; ",""),"Valor no interpretable; ")&amp;IF(N109="[PENDIENTE DE VERIFICAR]","Modalidad no identificable; ","")&amp;IF(OR(ISERROR(SEARCH("@itc.edu.co",J109)),SUMPRODUCT(--ISNUMBER(SEARCH({"á","é","í","ó","ú","ñ"},J109)))&gt;0),"Correo vacío o no institucional válido; ","")&amp;IF(LEN(TRIM(D109))=0,"Sin objeto contractual; ","")&amp;IF(AND(ISNUMBER(M109),N109="Mínima cuantía"),IF(M109&gt;39850000,"Mínima cuantía con valor superior al tope citado en el instructivo 2026 ($39.850.000): verificar modalidad; ",""),"")&amp;IF(AND(ISNUMBER(M109),OR(ISNUMBER(SEARCH("prestación de servicios",D109)),ISNUMBER(SEARCH("prestar servicios",D109)),ISNUMBER(SEARCH("prestar los servicios",D109)))),IF(M109&gt;=500000000,"Prestación de servicios por $500 millones o más: posible error de digitación; ",""),""))</f>
        <v/>
      </c>
    </row>
    <row r="110" ht="34.2" customHeight="1" s="23">
      <c r="A110" s="114" t="inlineStr">
        <is>
          <t>PN26-106</t>
        </is>
      </c>
      <c r="B110" s="114" t="n">
        <v>81112501</v>
      </c>
      <c r="C110" s="114" t="inlineStr">
        <is>
          <t>Planeación - Seguridad de la Información</t>
        </is>
      </c>
      <c r="D110" s="114" t="inlineStr">
        <is>
          <t>Adquirir una licencia por 1 año de una herramienta de software para análisis de vulnerabilidades de infraestructura de TI, que permita la gestión de vulnerabilidades técnicas como parte de la estrategia de ciberseguridad</t>
        </is>
      </c>
      <c r="E110" s="114" t="n">
        <v>12</v>
      </c>
      <c r="F110" s="114" t="inlineStr">
        <is>
          <t>MENOR CUANTIA</t>
        </is>
      </c>
      <c r="G110" s="118" t="n">
        <v>35000000</v>
      </c>
      <c r="H110" s="114" t="inlineStr">
        <is>
          <t>profesional universitario 2044-11 en Seguridad de la Información</t>
        </is>
      </c>
      <c r="I110" s="114" t="n"/>
      <c r="J110" s="114" t="inlineStr">
        <is>
          <t>seguridaddigital@itc.edu.co</t>
        </is>
      </c>
      <c r="K110" s="114" t="n">
        <v>106</v>
      </c>
      <c r="L110" s="119" t="inlineStr">
        <is>
          <t>132 · GIT Gestión de Informática y Telecomunicaciones</t>
        </is>
      </c>
      <c r="M110" s="120" t="n">
        <v>35000000</v>
      </c>
      <c r="N110" s="119" t="inlineStr">
        <is>
          <t>Selección abreviada de menor cuantía</t>
        </is>
      </c>
      <c r="O110" s="119">
        <f>IF(LEN(IF(OR(NOT(ISNUMBER(B110)),LEN(B110)&lt;&gt;8),"UNSPSC vacío, en texto, con varios códigos o sin 8 dígitos; ","")&amp;IF(AND(ISNUMBER(B110),LEN(B110)=8),IF(MOD(B110,10000)=0,"UNSPSC a nivel de segmento o familia; ",""),"")&amp;IF(NOT(ISNUMBER(E110)),"Duración vacía o en texto; ","")&amp;IF(NOT(ISNUMBER(G110)),"Valor vacío o en texto; ","")&amp;IF(ISNUMBER(M110),IF(M110&lt;1000000,"Valor inferior a $1.000.000: verificar; ",""),"Valor no interpretable; ")&amp;IF(N110="[PENDIENTE DE VERIFICAR]","Modalidad no identificable; ","")&amp;IF(OR(ISERROR(SEARCH("@itc.edu.co",J110)),SUMPRODUCT(--ISNUMBER(SEARCH({"á","é","í","ó","ú","ñ"},J110)))&gt;0),"Correo vacío o no institucional válido; ","")&amp;IF(LEN(TRIM(D110))=0,"Sin objeto contractual; ","")&amp;IF(AND(ISNUMBER(M110),N110="Mínima cuantía"),IF(M110&gt;39850000,"Mínima cuantía con valor superior al tope citado en el instructivo 2026 ($39.850.000): verificar modalidad; ",""),"")&amp;IF(AND(ISNUMBER(M110),OR(ISNUMBER(SEARCH("prestación de servicios",D110)),ISNUMBER(SEARCH("prestar servicios",D110)),ISNUMBER(SEARCH("prestar los servicios",D110)))),IF(M110&gt;=500000000,"Prestación de servicios por $500 millones o más: posible error de digitación; ",""),""))=0,"Sin observaciones",IF(OR(NOT(ISNUMBER(B110)),LEN(B110)&lt;&gt;8),"UNSPSC vacío, en texto, con varios códigos o sin 8 dígitos; ","")&amp;IF(AND(ISNUMBER(B110),LEN(B110)=8),IF(MOD(B110,10000)=0,"UNSPSC a nivel de segmento o familia; ",""),"")&amp;IF(NOT(ISNUMBER(E110)),"Duración vacía o en texto; ","")&amp;IF(NOT(ISNUMBER(G110)),"Valor vacío o en texto; ","")&amp;IF(ISNUMBER(M110),IF(M110&lt;1000000,"Valor inferior a $1.000.000: verificar; ",""),"Valor no interpretable; ")&amp;IF(N110="[PENDIENTE DE VERIFICAR]","Modalidad no identificable; ","")&amp;IF(OR(ISERROR(SEARCH("@itc.edu.co",J110)),SUMPRODUCT(--ISNUMBER(SEARCH({"á","é","í","ó","ú","ñ"},J110)))&gt;0),"Correo vacío o no institucional válido; ","")&amp;IF(LEN(TRIM(D110))=0,"Sin objeto contractual; ","")&amp;IF(AND(ISNUMBER(M110),N110="Mínima cuantía"),IF(M110&gt;39850000,"Mínima cuantía con valor superior al tope citado en el instructivo 2026 ($39.850.000): verificar modalidad; ",""),"")&amp;IF(AND(ISNUMBER(M110),OR(ISNUMBER(SEARCH("prestación de servicios",D110)),ISNUMBER(SEARCH("prestar servicios",D110)),ISNUMBER(SEARCH("prestar los servicios",D110)))),IF(M110&gt;=500000000,"Prestación de servicios por $500 millones o más: posible error de digitación; ",""),""))</f>
        <v/>
      </c>
    </row>
    <row r="111" ht="34.2" customHeight="1" s="23">
      <c r="A111" s="114" t="inlineStr">
        <is>
          <t>PN26-107</t>
        </is>
      </c>
      <c r="B111" s="114" t="n">
        <v>81111801</v>
      </c>
      <c r="C111" s="114" t="inlineStr">
        <is>
          <t>Planeación - Seguridad de la Información</t>
        </is>
      </c>
      <c r="D111" s="114" t="inlineStr">
        <is>
          <t xml:space="preserve"> Prestar servicio de pruebas de Pentesting (Ethical Hacking) del tipo Black Box &amp; Grey Box, para identificar vulnerabilidades reales antes que actores maliciosos las exploten</t>
        </is>
      </c>
      <c r="E111" s="114" t="n">
        <v>2</v>
      </c>
      <c r="F111" s="114" t="inlineStr">
        <is>
          <t>MENOR CUANTIA</t>
        </is>
      </c>
      <c r="G111" s="118" t="n">
        <v>28000000</v>
      </c>
      <c r="H111" s="114" t="inlineStr">
        <is>
          <t>profesional universitario 2044-11 en Seguridad de la Información</t>
        </is>
      </c>
      <c r="I111" s="114" t="n"/>
      <c r="J111" s="114" t="inlineStr">
        <is>
          <t>seguridaddigital@itc.edu.co</t>
        </is>
      </c>
      <c r="K111" s="114" t="n">
        <v>107</v>
      </c>
      <c r="L111" s="119" t="inlineStr">
        <is>
          <t>132 · GIT Gestión de Informática y Telecomunicaciones</t>
        </is>
      </c>
      <c r="M111" s="120" t="n">
        <v>28000000</v>
      </c>
      <c r="N111" s="119" t="inlineStr">
        <is>
          <t>Selección abreviada de menor cuantía</t>
        </is>
      </c>
      <c r="O111" s="119">
        <f>IF(LEN(IF(OR(NOT(ISNUMBER(B111)),LEN(B111)&lt;&gt;8),"UNSPSC vacío, en texto, con varios códigos o sin 8 dígitos; ","")&amp;IF(AND(ISNUMBER(B111),LEN(B111)=8),IF(MOD(B111,10000)=0,"UNSPSC a nivel de segmento o familia; ",""),"")&amp;IF(NOT(ISNUMBER(E111)),"Duración vacía o en texto; ","")&amp;IF(NOT(ISNUMBER(G111)),"Valor vacío o en texto; ","")&amp;IF(ISNUMBER(M111),IF(M111&lt;1000000,"Valor inferior a $1.000.000: verificar; ",""),"Valor no interpretable; ")&amp;IF(N111="[PENDIENTE DE VERIFICAR]","Modalidad no identificable; ","")&amp;IF(OR(ISERROR(SEARCH("@itc.edu.co",J111)),SUMPRODUCT(--ISNUMBER(SEARCH({"á","é","í","ó","ú","ñ"},J111)))&gt;0),"Correo vacío o no institucional válido; ","")&amp;IF(LEN(TRIM(D111))=0,"Sin objeto contractual; ","")&amp;IF(AND(ISNUMBER(M111),N111="Mínima cuantía"),IF(M111&gt;39850000,"Mínima cuantía con valor superior al tope citado en el instructivo 2026 ($39.850.000): verificar modalidad; ",""),"")&amp;IF(AND(ISNUMBER(M111),OR(ISNUMBER(SEARCH("prestación de servicios",D111)),ISNUMBER(SEARCH("prestar servicios",D111)),ISNUMBER(SEARCH("prestar los servicios",D111)))),IF(M111&gt;=500000000,"Prestación de servicios por $500 millones o más: posible error de digitación; ",""),""))=0,"Sin observaciones",IF(OR(NOT(ISNUMBER(B111)),LEN(B111)&lt;&gt;8),"UNSPSC vacío, en texto, con varios códigos o sin 8 dígitos; ","")&amp;IF(AND(ISNUMBER(B111),LEN(B111)=8),IF(MOD(B111,10000)=0,"UNSPSC a nivel de segmento o familia; ",""),"")&amp;IF(NOT(ISNUMBER(E111)),"Duración vacía o en texto; ","")&amp;IF(NOT(ISNUMBER(G111)),"Valor vacío o en texto; ","")&amp;IF(ISNUMBER(M111),IF(M111&lt;1000000,"Valor inferior a $1.000.000: verificar; ",""),"Valor no interpretable; ")&amp;IF(N111="[PENDIENTE DE VERIFICAR]","Modalidad no identificable; ","")&amp;IF(OR(ISERROR(SEARCH("@itc.edu.co",J111)),SUMPRODUCT(--ISNUMBER(SEARCH({"á","é","í","ó","ú","ñ"},J111)))&gt;0),"Correo vacío o no institucional válido; ","")&amp;IF(LEN(TRIM(D111))=0,"Sin objeto contractual; ","")&amp;IF(AND(ISNUMBER(M111),N111="Mínima cuantía"),IF(M111&gt;39850000,"Mínima cuantía con valor superior al tope citado en el instructivo 2026 ($39.850.000): verificar modalidad; ",""),"")&amp;IF(AND(ISNUMBER(M111),OR(ISNUMBER(SEARCH("prestación de servicios",D111)),ISNUMBER(SEARCH("prestar servicios",D111)),ISNUMBER(SEARCH("prestar los servicios",D111)))),IF(M111&gt;=500000000,"Prestación de servicios por $500 millones o más: posible error de digitación; ",""),""))</f>
        <v/>
      </c>
    </row>
    <row r="112" ht="68.40000000000001" customHeight="1" s="23">
      <c r="A112" s="114" t="inlineStr">
        <is>
          <t>PN26-108</t>
        </is>
      </c>
      <c r="B112" s="114" t="inlineStr">
        <is>
          <t>72151800
72103300</t>
        </is>
      </c>
      <c r="C112" s="114" t="inlineStr">
        <is>
          <t xml:space="preserve">Infraestructura  electrica </t>
        </is>
      </c>
      <c r="D112" s="114" t="inlineStr">
        <is>
          <t>PRESTACIÓN DE SERVICIOS PARA REALIZAR EL MANTENIMIENTO PREVENTIVO Y CORRECTIVO A TODO COSTO DE LOS EQUIPOS DE MISIÓN CRITICA (GRUPO MOTOR, TRANSFERENCIAS AUTOMÁTICAS, UPS, REGULADORES) A NIVEL DE INFRAESTRUCTURA ELÉCTRICA DE LA ESCUELA TECNOLÓGICA INSTITUTO TÉCNICO CENTRAL Y SUS EXTENSIONES (MANTENIMIENTO ESPECIALIZADO)</t>
        </is>
      </c>
      <c r="E112" s="114" t="n">
        <v>7</v>
      </c>
      <c r="F112" s="114" t="inlineStr">
        <is>
          <t>MENOR CUANTIA</t>
        </is>
      </c>
      <c r="G112" s="118" t="n">
        <v>200000000</v>
      </c>
      <c r="H112" s="114" t="inlineStr">
        <is>
          <t>Técnico operativo 3132 grado 09</t>
        </is>
      </c>
      <c r="I112" s="114" t="n"/>
      <c r="J112" s="114" t="inlineStr">
        <is>
          <t>gestioninfraestructura@itc.edu.co</t>
        </is>
      </c>
      <c r="K112" s="114" t="n">
        <v>108</v>
      </c>
      <c r="L112" s="119" t="inlineStr">
        <is>
          <t>130 · Vicerrectoría Administrativa y Financiera</t>
        </is>
      </c>
      <c r="M112" s="120" t="n">
        <v>200000000</v>
      </c>
      <c r="N112" s="119" t="inlineStr">
        <is>
          <t>Selección abreviada de menor cuantía</t>
        </is>
      </c>
      <c r="O112" s="119">
        <f>IF(LEN(IF(OR(NOT(ISNUMBER(B112)),LEN(B112)&lt;&gt;8),"UNSPSC vacío, en texto, con varios códigos o sin 8 dígitos; ","")&amp;IF(AND(ISNUMBER(B112),LEN(B112)=8),IF(MOD(B112,10000)=0,"UNSPSC a nivel de segmento o familia; ",""),"")&amp;IF(NOT(ISNUMBER(E112)),"Duración vacía o en texto; ","")&amp;IF(NOT(ISNUMBER(G112)),"Valor vacío o en texto; ","")&amp;IF(ISNUMBER(M112),IF(M112&lt;1000000,"Valor inferior a $1.000.000: verificar; ",""),"Valor no interpretable; ")&amp;IF(N112="[PENDIENTE DE VERIFICAR]","Modalidad no identificable; ","")&amp;IF(OR(ISERROR(SEARCH("@itc.edu.co",J112)),SUMPRODUCT(--ISNUMBER(SEARCH({"á","é","í","ó","ú","ñ"},J112)))&gt;0),"Correo vacío o no institucional válido; ","")&amp;IF(LEN(TRIM(D112))=0,"Sin objeto contractual; ","")&amp;IF(AND(ISNUMBER(M112),N112="Mínima cuantía"),IF(M112&gt;39850000,"Mínima cuantía con valor superior al tope citado en el instructivo 2026 ($39.850.000): verificar modalidad; ",""),"")&amp;IF(AND(ISNUMBER(M112),OR(ISNUMBER(SEARCH("prestación de servicios",D112)),ISNUMBER(SEARCH("prestar servicios",D112)),ISNUMBER(SEARCH("prestar los servicios",D112)))),IF(M112&gt;=500000000,"Prestación de servicios por $500 millones o más: posible error de digitación; ",""),""))=0,"Sin observaciones",IF(OR(NOT(ISNUMBER(B112)),LEN(B112)&lt;&gt;8),"UNSPSC vacío, en texto, con varios códigos o sin 8 dígitos; ","")&amp;IF(AND(ISNUMBER(B112),LEN(B112)=8),IF(MOD(B112,10000)=0,"UNSPSC a nivel de segmento o familia; ",""),"")&amp;IF(NOT(ISNUMBER(E112)),"Duración vacía o en texto; ","")&amp;IF(NOT(ISNUMBER(G112)),"Valor vacío o en texto; ","")&amp;IF(ISNUMBER(M112),IF(M112&lt;1000000,"Valor inferior a $1.000.000: verificar; ",""),"Valor no interpretable; ")&amp;IF(N112="[PENDIENTE DE VERIFICAR]","Modalidad no identificable; ","")&amp;IF(OR(ISERROR(SEARCH("@itc.edu.co",J112)),SUMPRODUCT(--ISNUMBER(SEARCH({"á","é","í","ó","ú","ñ"},J112)))&gt;0),"Correo vacío o no institucional válido; ","")&amp;IF(LEN(TRIM(D112))=0,"Sin objeto contractual; ","")&amp;IF(AND(ISNUMBER(M112),N112="Mínima cuantía"),IF(M112&gt;39850000,"Mínima cuantía con valor superior al tope citado en el instructivo 2026 ($39.850.000): verificar modalidad; ",""),"")&amp;IF(AND(ISNUMBER(M112),OR(ISNUMBER(SEARCH("prestación de servicios",D112)),ISNUMBER(SEARCH("prestar servicios",D112)),ISNUMBER(SEARCH("prestar los servicios",D112)))),IF(M112&gt;=500000000,"Prestación de servicios por $500 millones o más: posible error de digitación; ",""),""))</f>
        <v/>
      </c>
    </row>
    <row r="113" ht="45.6" customHeight="1" s="23">
      <c r="A113" s="114" t="inlineStr">
        <is>
          <t>PN26-109</t>
        </is>
      </c>
      <c r="B113" s="114" t="n">
        <v>39121300</v>
      </c>
      <c r="C113" s="114" t="inlineStr">
        <is>
          <t xml:space="preserve">Infraestructura  electrica </t>
        </is>
      </c>
      <c r="D113" s="114" t="inlineStr">
        <is>
          <t xml:space="preserve">MANTENIMIENTO PREVENTIVO Y CORRECTIVO (INCLUIDA MANO DE OBRA Y REPUESTOS) DE LOS AIRES ACONDICIONADOS DE LA ESCUELA TECNOLÓGICA INSTITUTO TÉCNICO CENTRAL SEDE CENTRO E INSTALACIONES UPK - TINTAL (MANTENIMIENTO ESPECIALIZADO) </t>
        </is>
      </c>
      <c r="E113" s="114" t="n">
        <v>4</v>
      </c>
      <c r="F113" s="114" t="inlineStr">
        <is>
          <t>MINIMA CUANTIA</t>
        </is>
      </c>
      <c r="G113" s="118" t="n">
        <v>40000000</v>
      </c>
      <c r="H113" s="114" t="inlineStr">
        <is>
          <t>Técnico operativo 3132 grado 09</t>
        </is>
      </c>
      <c r="I113" s="114" t="n"/>
      <c r="J113" s="114" t="inlineStr">
        <is>
          <t>gestioninfraestructura@itc.edu.co</t>
        </is>
      </c>
      <c r="K113" s="114" t="n">
        <v>109</v>
      </c>
      <c r="L113" s="119" t="inlineStr">
        <is>
          <t>130 · Vicerrectoría Administrativa y Financiera</t>
        </is>
      </c>
      <c r="M113" s="120" t="n">
        <v>40000000</v>
      </c>
      <c r="N113" s="119" t="inlineStr">
        <is>
          <t>Mínima cuantía</t>
        </is>
      </c>
      <c r="O113" s="119">
        <f>IF(LEN(IF(OR(NOT(ISNUMBER(B113)),LEN(B113)&lt;&gt;8),"UNSPSC vacío, en texto, con varios códigos o sin 8 dígitos; ","")&amp;IF(AND(ISNUMBER(B113),LEN(B113)=8),IF(MOD(B113,10000)=0,"UNSPSC a nivel de segmento o familia; ",""),"")&amp;IF(NOT(ISNUMBER(E113)),"Duración vacía o en texto; ","")&amp;IF(NOT(ISNUMBER(G113)),"Valor vacío o en texto; ","")&amp;IF(ISNUMBER(M113),IF(M113&lt;1000000,"Valor inferior a $1.000.000: verificar; ",""),"Valor no interpretable; ")&amp;IF(N113="[PENDIENTE DE VERIFICAR]","Modalidad no identificable; ","")&amp;IF(OR(ISERROR(SEARCH("@itc.edu.co",J113)),SUMPRODUCT(--ISNUMBER(SEARCH({"á","é","í","ó","ú","ñ"},J113)))&gt;0),"Correo vacío o no institucional válido; ","")&amp;IF(LEN(TRIM(D113))=0,"Sin objeto contractual; ","")&amp;IF(AND(ISNUMBER(M113),N113="Mínima cuantía"),IF(M113&gt;39850000,"Mínima cuantía con valor superior al tope citado en el instructivo 2026 ($39.850.000): verificar modalidad; ",""),"")&amp;IF(AND(ISNUMBER(M113),OR(ISNUMBER(SEARCH("prestación de servicios",D113)),ISNUMBER(SEARCH("prestar servicios",D113)),ISNUMBER(SEARCH("prestar los servicios",D113)))),IF(M113&gt;=500000000,"Prestación de servicios por $500 millones o más: posible error de digitación; ",""),""))=0,"Sin observaciones",IF(OR(NOT(ISNUMBER(B113)),LEN(B113)&lt;&gt;8),"UNSPSC vacío, en texto, con varios códigos o sin 8 dígitos; ","")&amp;IF(AND(ISNUMBER(B113),LEN(B113)=8),IF(MOD(B113,10000)=0,"UNSPSC a nivel de segmento o familia; ",""),"")&amp;IF(NOT(ISNUMBER(E113)),"Duración vacía o en texto; ","")&amp;IF(NOT(ISNUMBER(G113)),"Valor vacío o en texto; ","")&amp;IF(ISNUMBER(M113),IF(M113&lt;1000000,"Valor inferior a $1.000.000: verificar; ",""),"Valor no interpretable; ")&amp;IF(N113="[PENDIENTE DE VERIFICAR]","Modalidad no identificable; ","")&amp;IF(OR(ISERROR(SEARCH("@itc.edu.co",J113)),SUMPRODUCT(--ISNUMBER(SEARCH({"á","é","í","ó","ú","ñ"},J113)))&gt;0),"Correo vacío o no institucional válido; ","")&amp;IF(LEN(TRIM(D113))=0,"Sin objeto contractual; ","")&amp;IF(AND(ISNUMBER(M113),N113="Mínima cuantía"),IF(M113&gt;39850000,"Mínima cuantía con valor superior al tope citado en el instructivo 2026 ($39.850.000): verificar modalidad; ",""),"")&amp;IF(AND(ISNUMBER(M113),OR(ISNUMBER(SEARCH("prestación de servicios",D113)),ISNUMBER(SEARCH("prestar servicios",D113)),ISNUMBER(SEARCH("prestar los servicios",D113)))),IF(M113&gt;=500000000,"Prestación de servicios por $500 millones o más: posible error de digitación; ",""),""))</f>
        <v/>
      </c>
    </row>
    <row r="114" ht="57" customHeight="1" s="23">
      <c r="A114" s="114" t="inlineStr">
        <is>
          <t>PN26-110</t>
        </is>
      </c>
      <c r="B114" s="114" t="n">
        <v>72101511</v>
      </c>
      <c r="C114" s="114" t="inlineStr">
        <is>
          <t xml:space="preserve">Infraestructura  electrica </t>
        </is>
      </c>
      <c r="D114" s="114" t="inlineStr">
        <is>
          <t>PRESTACIÓN DE SERVICIO PARA REALIZAR EL MANTENIMIENTO PREVENTIVO Y CORRECTIVO (REPOTENCIACION) A TODO COSTO DEL SISTEMA DE CIRCUITO CERRADO DE TELEVISIÓN – CCTV, DE LA SEDE PRINCIPAL CENTRO Y EXTENSIONES DE LA ESCUELA TECNOLÓGICA INSTITUTO TÉCNICO CENTRAL (MANTENIMIENTO ESPECIALIZADO)</t>
        </is>
      </c>
      <c r="E114" s="114" t="n">
        <v>4</v>
      </c>
      <c r="F114" s="114" t="inlineStr">
        <is>
          <t>MENOR CUANTIA</t>
        </is>
      </c>
      <c r="G114" s="118" t="n">
        <v>70000000</v>
      </c>
      <c r="H114" s="114" t="inlineStr">
        <is>
          <t>Técnico operativo 3132 grado 09</t>
        </is>
      </c>
      <c r="I114" s="114" t="n"/>
      <c r="J114" s="114" t="inlineStr">
        <is>
          <t>gestioninfraestructura@itc.edu.co</t>
        </is>
      </c>
      <c r="K114" s="114" t="n">
        <v>110</v>
      </c>
      <c r="L114" s="119" t="inlineStr">
        <is>
          <t>130 · Vicerrectoría Administrativa y Financiera</t>
        </is>
      </c>
      <c r="M114" s="120" t="n">
        <v>70000000</v>
      </c>
      <c r="N114" s="119" t="inlineStr">
        <is>
          <t>Selección abreviada de menor cuantía</t>
        </is>
      </c>
      <c r="O114" s="119">
        <f>IF(LEN(IF(OR(NOT(ISNUMBER(B114)),LEN(B114)&lt;&gt;8),"UNSPSC vacío, en texto, con varios códigos o sin 8 dígitos; ","")&amp;IF(AND(ISNUMBER(B114),LEN(B114)=8),IF(MOD(B114,10000)=0,"UNSPSC a nivel de segmento o familia; ",""),"")&amp;IF(NOT(ISNUMBER(E114)),"Duración vacía o en texto; ","")&amp;IF(NOT(ISNUMBER(G114)),"Valor vacío o en texto; ","")&amp;IF(ISNUMBER(M114),IF(M114&lt;1000000,"Valor inferior a $1.000.000: verificar; ",""),"Valor no interpretable; ")&amp;IF(N114="[PENDIENTE DE VERIFICAR]","Modalidad no identificable; ","")&amp;IF(OR(ISERROR(SEARCH("@itc.edu.co",J114)),SUMPRODUCT(--ISNUMBER(SEARCH({"á","é","í","ó","ú","ñ"},J114)))&gt;0),"Correo vacío o no institucional válido; ","")&amp;IF(LEN(TRIM(D114))=0,"Sin objeto contractual; ","")&amp;IF(AND(ISNUMBER(M114),N114="Mínima cuantía"),IF(M114&gt;39850000,"Mínima cuantía con valor superior al tope citado en el instructivo 2026 ($39.850.000): verificar modalidad; ",""),"")&amp;IF(AND(ISNUMBER(M114),OR(ISNUMBER(SEARCH("prestación de servicios",D114)),ISNUMBER(SEARCH("prestar servicios",D114)),ISNUMBER(SEARCH("prestar los servicios",D114)))),IF(M114&gt;=500000000,"Prestación de servicios por $500 millones o más: posible error de digitación; ",""),""))=0,"Sin observaciones",IF(OR(NOT(ISNUMBER(B114)),LEN(B114)&lt;&gt;8),"UNSPSC vacío, en texto, con varios códigos o sin 8 dígitos; ","")&amp;IF(AND(ISNUMBER(B114),LEN(B114)=8),IF(MOD(B114,10000)=0,"UNSPSC a nivel de segmento o familia; ",""),"")&amp;IF(NOT(ISNUMBER(E114)),"Duración vacía o en texto; ","")&amp;IF(NOT(ISNUMBER(G114)),"Valor vacío o en texto; ","")&amp;IF(ISNUMBER(M114),IF(M114&lt;1000000,"Valor inferior a $1.000.000: verificar; ",""),"Valor no interpretable; ")&amp;IF(N114="[PENDIENTE DE VERIFICAR]","Modalidad no identificable; ","")&amp;IF(OR(ISERROR(SEARCH("@itc.edu.co",J114)),SUMPRODUCT(--ISNUMBER(SEARCH({"á","é","í","ó","ú","ñ"},J114)))&gt;0),"Correo vacío o no institucional válido; ","")&amp;IF(LEN(TRIM(D114))=0,"Sin objeto contractual; ","")&amp;IF(AND(ISNUMBER(M114),N114="Mínima cuantía"),IF(M114&gt;39850000,"Mínima cuantía con valor superior al tope citado en el instructivo 2026 ($39.850.000): verificar modalidad; ",""),"")&amp;IF(AND(ISNUMBER(M114),OR(ISNUMBER(SEARCH("prestación de servicios",D114)),ISNUMBER(SEARCH("prestar servicios",D114)),ISNUMBER(SEARCH("prestar los servicios",D114)))),IF(M114&gt;=500000000,"Prestación de servicios por $500 millones o más: posible error de digitación; ",""),""))</f>
        <v/>
      </c>
    </row>
    <row r="115" ht="68.40000000000001" customHeight="1" s="23">
      <c r="A115" s="114" t="inlineStr">
        <is>
          <t>PN26-111</t>
        </is>
      </c>
      <c r="B115" s="114" t="n">
        <v>72151500</v>
      </c>
      <c r="C115" s="114" t="inlineStr">
        <is>
          <t xml:space="preserve">Infraestructura  electrica </t>
        </is>
      </c>
      <c r="D115" s="114" t="inlineStr">
        <is>
          <t>PRESTACIÓN DE SERVICIO PARA REALIZAR EL MANTENIMIENTO PREVENTIVO Y CORRECTIVO A TODO COSTO DEL SISTEMA FOTOVOLTAICO UBICADO EN EL AREA DEL TALLER DE FUNDICION, DE LA SEDE PRINCIPAL CENTRO Y EXTENSIONES DE LA ESCUELA TECNOLÓGICA INSTITUTO TÉCNICO CENTRAL (MANTENIMIENTO ESPECIALIZADO)</t>
        </is>
      </c>
      <c r="E115" s="114" t="n">
        <v>3</v>
      </c>
      <c r="F115" s="114" t="inlineStr">
        <is>
          <t>MINIMA CUANTIA</t>
        </is>
      </c>
      <c r="G115" s="118" t="n">
        <v>25000000</v>
      </c>
      <c r="H115" s="114" t="inlineStr">
        <is>
          <t>Técnico operativo 3132 grado 09</t>
        </is>
      </c>
      <c r="I115" s="114" t="n"/>
      <c r="J115" s="114" t="inlineStr">
        <is>
          <t>gestioninfraestructura@itc.edu.co</t>
        </is>
      </c>
      <c r="K115" s="114" t="n">
        <v>111</v>
      </c>
      <c r="L115" s="119" t="inlineStr">
        <is>
          <t>130 · Vicerrectoría Administrativa y Financiera</t>
        </is>
      </c>
      <c r="M115" s="120" t="n">
        <v>25000000</v>
      </c>
      <c r="N115" s="119" t="inlineStr">
        <is>
          <t>Mínima cuantía</t>
        </is>
      </c>
      <c r="O115" s="119">
        <f>IF(LEN(IF(OR(NOT(ISNUMBER(B115)),LEN(B115)&lt;&gt;8),"UNSPSC vacío, en texto, con varios códigos o sin 8 dígitos; ","")&amp;IF(AND(ISNUMBER(B115),LEN(B115)=8),IF(MOD(B115,10000)=0,"UNSPSC a nivel de segmento o familia; ",""),"")&amp;IF(NOT(ISNUMBER(E115)),"Duración vacía o en texto; ","")&amp;IF(NOT(ISNUMBER(G115)),"Valor vacío o en texto; ","")&amp;IF(ISNUMBER(M115),IF(M115&lt;1000000,"Valor inferior a $1.000.000: verificar; ",""),"Valor no interpretable; ")&amp;IF(N115="[PENDIENTE DE VERIFICAR]","Modalidad no identificable; ","")&amp;IF(OR(ISERROR(SEARCH("@itc.edu.co",J115)),SUMPRODUCT(--ISNUMBER(SEARCH({"á","é","í","ó","ú","ñ"},J115)))&gt;0),"Correo vacío o no institucional válido; ","")&amp;IF(LEN(TRIM(D115))=0,"Sin objeto contractual; ","")&amp;IF(AND(ISNUMBER(M115),N115="Mínima cuantía"),IF(M115&gt;39850000,"Mínima cuantía con valor superior al tope citado en el instructivo 2026 ($39.850.000): verificar modalidad; ",""),"")&amp;IF(AND(ISNUMBER(M115),OR(ISNUMBER(SEARCH("prestación de servicios",D115)),ISNUMBER(SEARCH("prestar servicios",D115)),ISNUMBER(SEARCH("prestar los servicios",D115)))),IF(M115&gt;=500000000,"Prestación de servicios por $500 millones o más: posible error de digitación; ",""),""))=0,"Sin observaciones",IF(OR(NOT(ISNUMBER(B115)),LEN(B115)&lt;&gt;8),"UNSPSC vacío, en texto, con varios códigos o sin 8 dígitos; ","")&amp;IF(AND(ISNUMBER(B115),LEN(B115)=8),IF(MOD(B115,10000)=0,"UNSPSC a nivel de segmento o familia; ",""),"")&amp;IF(NOT(ISNUMBER(E115)),"Duración vacía o en texto; ","")&amp;IF(NOT(ISNUMBER(G115)),"Valor vacío o en texto; ","")&amp;IF(ISNUMBER(M115),IF(M115&lt;1000000,"Valor inferior a $1.000.000: verificar; ",""),"Valor no interpretable; ")&amp;IF(N115="[PENDIENTE DE VERIFICAR]","Modalidad no identificable; ","")&amp;IF(OR(ISERROR(SEARCH("@itc.edu.co",J115)),SUMPRODUCT(--ISNUMBER(SEARCH({"á","é","í","ó","ú","ñ"},J115)))&gt;0),"Correo vacío o no institucional válido; ","")&amp;IF(LEN(TRIM(D115))=0,"Sin objeto contractual; ","")&amp;IF(AND(ISNUMBER(M115),N115="Mínima cuantía"),IF(M115&gt;39850000,"Mínima cuantía con valor superior al tope citado en el instructivo 2026 ($39.850.000): verificar modalidad; ",""),"")&amp;IF(AND(ISNUMBER(M115),OR(ISNUMBER(SEARCH("prestación de servicios",D115)),ISNUMBER(SEARCH("prestar servicios",D115)),ISNUMBER(SEARCH("prestar los servicios",D115)))),IF(M115&gt;=500000000,"Prestación de servicios por $500 millones o más: posible error de digitación; ",""),""))</f>
        <v/>
      </c>
    </row>
    <row r="116" ht="45.6" customHeight="1" s="23">
      <c r="A116" s="114" t="inlineStr">
        <is>
          <t>PN26-112</t>
        </is>
      </c>
      <c r="B116" s="114" t="n">
        <v>72151500</v>
      </c>
      <c r="C116" s="114" t="inlineStr">
        <is>
          <t xml:space="preserve">Infraestructura  electrica </t>
        </is>
      </c>
      <c r="D116" s="114" t="inlineStr">
        <is>
          <t xml:space="preserve">SERVICIO DE MANTENIMIENTO PREVENTIVO Y CORRECTIVO DE DOS (2) SISTEMAS DE TRANSPORTE VERTICAL - ASCENSORES, UBICADOS EN LAS INSTALACIONES  DE LA UPK – SEDE TINTAL
(MANTENIMIENTO ESPECIALIZADO) </t>
        </is>
      </c>
      <c r="E116" s="114" t="n">
        <v>6</v>
      </c>
      <c r="F116" s="114" t="inlineStr">
        <is>
          <t>MINIMA CUANTIA</t>
        </is>
      </c>
      <c r="G116" s="118" t="n">
        <v>15000000</v>
      </c>
      <c r="H116" s="114" t="inlineStr">
        <is>
          <t>Técnico operativo 3132 grado 09</t>
        </is>
      </c>
      <c r="I116" s="114" t="n"/>
      <c r="J116" s="114" t="inlineStr">
        <is>
          <t>gestioninfraestructura@itc.edu.co</t>
        </is>
      </c>
      <c r="K116" s="114" t="n">
        <v>112</v>
      </c>
      <c r="L116" s="119" t="inlineStr">
        <is>
          <t>130 · Vicerrectoría Administrativa y Financiera</t>
        </is>
      </c>
      <c r="M116" s="120" t="n">
        <v>15000000</v>
      </c>
      <c r="N116" s="119" t="inlineStr">
        <is>
          <t>Mínima cuantía</t>
        </is>
      </c>
      <c r="O116" s="119">
        <f>IF(LEN(IF(OR(NOT(ISNUMBER(B116)),LEN(B116)&lt;&gt;8),"UNSPSC vacío, en texto, con varios códigos o sin 8 dígitos; ","")&amp;IF(AND(ISNUMBER(B116),LEN(B116)=8),IF(MOD(B116,10000)=0,"UNSPSC a nivel de segmento o familia; ",""),"")&amp;IF(NOT(ISNUMBER(E116)),"Duración vacía o en texto; ","")&amp;IF(NOT(ISNUMBER(G116)),"Valor vacío o en texto; ","")&amp;IF(ISNUMBER(M116),IF(M116&lt;1000000,"Valor inferior a $1.000.000: verificar; ",""),"Valor no interpretable; ")&amp;IF(N116="[PENDIENTE DE VERIFICAR]","Modalidad no identificable; ","")&amp;IF(OR(ISERROR(SEARCH("@itc.edu.co",J116)),SUMPRODUCT(--ISNUMBER(SEARCH({"á","é","í","ó","ú","ñ"},J116)))&gt;0),"Correo vacío o no institucional válido; ","")&amp;IF(LEN(TRIM(D116))=0,"Sin objeto contractual; ","")&amp;IF(AND(ISNUMBER(M116),N116="Mínima cuantía"),IF(M116&gt;39850000,"Mínima cuantía con valor superior al tope citado en el instructivo 2026 ($39.850.000): verificar modalidad; ",""),"")&amp;IF(AND(ISNUMBER(M116),OR(ISNUMBER(SEARCH("prestación de servicios",D116)),ISNUMBER(SEARCH("prestar servicios",D116)),ISNUMBER(SEARCH("prestar los servicios",D116)))),IF(M116&gt;=500000000,"Prestación de servicios por $500 millones o más: posible error de digitación; ",""),""))=0,"Sin observaciones",IF(OR(NOT(ISNUMBER(B116)),LEN(B116)&lt;&gt;8),"UNSPSC vacío, en texto, con varios códigos o sin 8 dígitos; ","")&amp;IF(AND(ISNUMBER(B116),LEN(B116)=8),IF(MOD(B116,10000)=0,"UNSPSC a nivel de segmento o familia; ",""),"")&amp;IF(NOT(ISNUMBER(E116)),"Duración vacía o en texto; ","")&amp;IF(NOT(ISNUMBER(G116)),"Valor vacío o en texto; ","")&amp;IF(ISNUMBER(M116),IF(M116&lt;1000000,"Valor inferior a $1.000.000: verificar; ",""),"Valor no interpretable; ")&amp;IF(N116="[PENDIENTE DE VERIFICAR]","Modalidad no identificable; ","")&amp;IF(OR(ISERROR(SEARCH("@itc.edu.co",J116)),SUMPRODUCT(--ISNUMBER(SEARCH({"á","é","í","ó","ú","ñ"},J116)))&gt;0),"Correo vacío o no institucional válido; ","")&amp;IF(LEN(TRIM(D116))=0,"Sin objeto contractual; ","")&amp;IF(AND(ISNUMBER(M116),N116="Mínima cuantía"),IF(M116&gt;39850000,"Mínima cuantía con valor superior al tope citado en el instructivo 2026 ($39.850.000): verificar modalidad; ",""),"")&amp;IF(AND(ISNUMBER(M116),OR(ISNUMBER(SEARCH("prestación de servicios",D116)),ISNUMBER(SEARCH("prestar servicios",D116)),ISNUMBER(SEARCH("prestar los servicios",D116)))),IF(M116&gt;=500000000,"Prestación de servicios por $500 millones o más: posible error de digitación; ",""),""))</f>
        <v/>
      </c>
    </row>
    <row r="117" ht="34.2" customHeight="1" s="23">
      <c r="A117" s="114" t="inlineStr">
        <is>
          <t>PN26-113</t>
        </is>
      </c>
      <c r="B117" s="114" t="inlineStr">
        <is>
          <t xml:space="preserve">39120000
39121700 
</t>
        </is>
      </c>
      <c r="C117" s="114" t="inlineStr">
        <is>
          <t xml:space="preserve">Infraestructura  electrica </t>
        </is>
      </c>
      <c r="D117" s="114" t="inlineStr">
        <is>
          <t>SUMINISTRO DE EQUIPOS, HERRAMIENTAS Y MATERIALES ELÉCTRICOS PARA LA ESCUELA TECNOLÓGICA INSTITUTO TÉCNICO CENTRAL Y EXTENSIONES (SUMINISTRO - ADQUISICIÓN)</t>
        </is>
      </c>
      <c r="E117" s="114" t="n">
        <v>4</v>
      </c>
      <c r="F117" s="114" t="inlineStr">
        <is>
          <t>MENOR CUANTIA</t>
        </is>
      </c>
      <c r="G117" s="118" t="n">
        <v>220000000</v>
      </c>
      <c r="H117" s="114" t="inlineStr">
        <is>
          <t>Técnico operativo 3132 grado 09</t>
        </is>
      </c>
      <c r="I117" s="114" t="n"/>
      <c r="J117" s="114" t="inlineStr">
        <is>
          <t>gestioninfraestructura@itc.edu.co</t>
        </is>
      </c>
      <c r="K117" s="114" t="n">
        <v>113</v>
      </c>
      <c r="L117" s="119" t="inlineStr">
        <is>
          <t>130 · Vicerrectoría Administrativa y Financiera</t>
        </is>
      </c>
      <c r="M117" s="120" t="n">
        <v>220000000</v>
      </c>
      <c r="N117" s="119" t="inlineStr">
        <is>
          <t>Selección abreviada de menor cuantía</t>
        </is>
      </c>
      <c r="O117" s="119">
        <f>IF(LEN(IF(OR(NOT(ISNUMBER(B117)),LEN(B117)&lt;&gt;8),"UNSPSC vacío, en texto, con varios códigos o sin 8 dígitos; ","")&amp;IF(AND(ISNUMBER(B117),LEN(B117)=8),IF(MOD(B117,10000)=0,"UNSPSC a nivel de segmento o familia; ",""),"")&amp;IF(NOT(ISNUMBER(E117)),"Duración vacía o en texto; ","")&amp;IF(NOT(ISNUMBER(G117)),"Valor vacío o en texto; ","")&amp;IF(ISNUMBER(M117),IF(M117&lt;1000000,"Valor inferior a $1.000.000: verificar; ",""),"Valor no interpretable; ")&amp;IF(N117="[PENDIENTE DE VERIFICAR]","Modalidad no identificable; ","")&amp;IF(OR(ISERROR(SEARCH("@itc.edu.co",J117)),SUMPRODUCT(--ISNUMBER(SEARCH({"á","é","í","ó","ú","ñ"},J117)))&gt;0),"Correo vacío o no institucional válido; ","")&amp;IF(LEN(TRIM(D117))=0,"Sin objeto contractual; ","")&amp;IF(AND(ISNUMBER(M117),N117="Mínima cuantía"),IF(M117&gt;39850000,"Mínima cuantía con valor superior al tope citado en el instructivo 2026 ($39.850.000): verificar modalidad; ",""),"")&amp;IF(AND(ISNUMBER(M117),OR(ISNUMBER(SEARCH("prestación de servicios",D117)),ISNUMBER(SEARCH("prestar servicios",D117)),ISNUMBER(SEARCH("prestar los servicios",D117)))),IF(M117&gt;=500000000,"Prestación de servicios por $500 millones o más: posible error de digitación; ",""),""))=0,"Sin observaciones",IF(OR(NOT(ISNUMBER(B117)),LEN(B117)&lt;&gt;8),"UNSPSC vacío, en texto, con varios códigos o sin 8 dígitos; ","")&amp;IF(AND(ISNUMBER(B117),LEN(B117)=8),IF(MOD(B117,10000)=0,"UNSPSC a nivel de segmento o familia; ",""),"")&amp;IF(NOT(ISNUMBER(E117)),"Duración vacía o en texto; ","")&amp;IF(NOT(ISNUMBER(G117)),"Valor vacío o en texto; ","")&amp;IF(ISNUMBER(M117),IF(M117&lt;1000000,"Valor inferior a $1.000.000: verificar; ",""),"Valor no interpretable; ")&amp;IF(N117="[PENDIENTE DE VERIFICAR]","Modalidad no identificable; ","")&amp;IF(OR(ISERROR(SEARCH("@itc.edu.co",J117)),SUMPRODUCT(--ISNUMBER(SEARCH({"á","é","í","ó","ú","ñ"},J117)))&gt;0),"Correo vacío o no institucional válido; ","")&amp;IF(LEN(TRIM(D117))=0,"Sin objeto contractual; ","")&amp;IF(AND(ISNUMBER(M117),N117="Mínima cuantía"),IF(M117&gt;39850000,"Mínima cuantía con valor superior al tope citado en el instructivo 2026 ($39.850.000): verificar modalidad; ",""),"")&amp;IF(AND(ISNUMBER(M117),OR(ISNUMBER(SEARCH("prestación de servicios",D117)),ISNUMBER(SEARCH("prestar servicios",D117)),ISNUMBER(SEARCH("prestar los servicios",D117)))),IF(M117&gt;=500000000,"Prestación de servicios por $500 millones o más: posible error de digitación; ",""),""))</f>
        <v/>
      </c>
    </row>
    <row r="118" ht="57" customHeight="1" s="23">
      <c r="A118" s="114" t="inlineStr">
        <is>
          <t>PN26-114</t>
        </is>
      </c>
      <c r="B118" s="114" t="inlineStr">
        <is>
          <t xml:space="preserve">39120000
39121700 
</t>
        </is>
      </c>
      <c r="C118" s="114" t="inlineStr">
        <is>
          <t xml:space="preserve">Infraestructura  electrica </t>
        </is>
      </c>
      <c r="D118" s="114" t="inlineStr">
        <is>
          <t>SUMINISTRO E INSTALACIÓN DE TABLERO GENERAL DE DISTRIBUCIÓN - TGA, TRANSFERENCIA AUTOMÁTICA TRIFÁSICA Y BANCO DE COMPENSACIÓN/FILTRADO PARA LA SEDE CENTRO DE LA ESCUELA TECNOLÓGICA INSTITUTO TÉCNICO CENTRAL. (PROYECTO - MODERNIZACIÓN)</t>
        </is>
      </c>
      <c r="E118" s="114" t="n">
        <v>3</v>
      </c>
      <c r="F118" s="114" t="inlineStr">
        <is>
          <t>MENOR CUANTIA</t>
        </is>
      </c>
      <c r="G118" s="118" t="n">
        <v>300000000</v>
      </c>
      <c r="H118" s="114" t="inlineStr">
        <is>
          <t>Técnico operativo 3132 grado 09</t>
        </is>
      </c>
      <c r="I118" s="114" t="n"/>
      <c r="J118" s="114" t="inlineStr">
        <is>
          <t>gestioninfraestructura@itc.edu.co</t>
        </is>
      </c>
      <c r="K118" s="114" t="n">
        <v>114</v>
      </c>
      <c r="L118" s="119" t="inlineStr">
        <is>
          <t>130 · Vicerrectoría Administrativa y Financiera</t>
        </is>
      </c>
      <c r="M118" s="120" t="n">
        <v>300000000</v>
      </c>
      <c r="N118" s="119" t="inlineStr">
        <is>
          <t>Selección abreviada de menor cuantía</t>
        </is>
      </c>
      <c r="O118" s="119">
        <f>IF(LEN(IF(OR(NOT(ISNUMBER(B118)),LEN(B118)&lt;&gt;8),"UNSPSC vacío, en texto, con varios códigos o sin 8 dígitos; ","")&amp;IF(AND(ISNUMBER(B118),LEN(B118)=8),IF(MOD(B118,10000)=0,"UNSPSC a nivel de segmento o familia; ",""),"")&amp;IF(NOT(ISNUMBER(E118)),"Duración vacía o en texto; ","")&amp;IF(NOT(ISNUMBER(G118)),"Valor vacío o en texto; ","")&amp;IF(ISNUMBER(M118),IF(M118&lt;1000000,"Valor inferior a $1.000.000: verificar; ",""),"Valor no interpretable; ")&amp;IF(N118="[PENDIENTE DE VERIFICAR]","Modalidad no identificable; ","")&amp;IF(OR(ISERROR(SEARCH("@itc.edu.co",J118)),SUMPRODUCT(--ISNUMBER(SEARCH({"á","é","í","ó","ú","ñ"},J118)))&gt;0),"Correo vacío o no institucional válido; ","")&amp;IF(LEN(TRIM(D118))=0,"Sin objeto contractual; ","")&amp;IF(AND(ISNUMBER(M118),N118="Mínima cuantía"),IF(M118&gt;39850000,"Mínima cuantía con valor superior al tope citado en el instructivo 2026 ($39.850.000): verificar modalidad; ",""),"")&amp;IF(AND(ISNUMBER(M118),OR(ISNUMBER(SEARCH("prestación de servicios",D118)),ISNUMBER(SEARCH("prestar servicios",D118)),ISNUMBER(SEARCH("prestar los servicios",D118)))),IF(M118&gt;=500000000,"Prestación de servicios por $500 millones o más: posible error de digitación; ",""),""))=0,"Sin observaciones",IF(OR(NOT(ISNUMBER(B118)),LEN(B118)&lt;&gt;8),"UNSPSC vacío, en texto, con varios códigos o sin 8 dígitos; ","")&amp;IF(AND(ISNUMBER(B118),LEN(B118)=8),IF(MOD(B118,10000)=0,"UNSPSC a nivel de segmento o familia; ",""),"")&amp;IF(NOT(ISNUMBER(E118)),"Duración vacía o en texto; ","")&amp;IF(NOT(ISNUMBER(G118)),"Valor vacío o en texto; ","")&amp;IF(ISNUMBER(M118),IF(M118&lt;1000000,"Valor inferior a $1.000.000: verificar; ",""),"Valor no interpretable; ")&amp;IF(N118="[PENDIENTE DE VERIFICAR]","Modalidad no identificable; ","")&amp;IF(OR(ISERROR(SEARCH("@itc.edu.co",J118)),SUMPRODUCT(--ISNUMBER(SEARCH({"á","é","í","ó","ú","ñ"},J118)))&gt;0),"Correo vacío o no institucional válido; ","")&amp;IF(LEN(TRIM(D118))=0,"Sin objeto contractual; ","")&amp;IF(AND(ISNUMBER(M118),N118="Mínima cuantía"),IF(M118&gt;39850000,"Mínima cuantía con valor superior al tope citado en el instructivo 2026 ($39.850.000): verificar modalidad; ",""),"")&amp;IF(AND(ISNUMBER(M118),OR(ISNUMBER(SEARCH("prestación de servicios",D118)),ISNUMBER(SEARCH("prestar servicios",D118)),ISNUMBER(SEARCH("prestar los servicios",D118)))),IF(M118&gt;=500000000,"Prestación de servicios por $500 millones o más: posible error de digitación; ",""),""))</f>
        <v/>
      </c>
    </row>
    <row r="119" ht="45.6" customHeight="1" s="23">
      <c r="A119" s="114" t="inlineStr">
        <is>
          <t>PN26-115</t>
        </is>
      </c>
      <c r="B119" s="114" t="inlineStr">
        <is>
          <t xml:space="preserve">39120000
39121700 
</t>
        </is>
      </c>
      <c r="C119" s="114" t="inlineStr">
        <is>
          <t xml:space="preserve">Infraestructura  electrica </t>
        </is>
      </c>
      <c r="D119" s="114" t="inlineStr">
        <is>
          <t>SUMINISTRO, INSTALACIÓN Y PUESTA EN MARCHA (LLAVE EN MANO), DEL CONTROL DE  ACCESO VEHICULAR Y PEATONAL DE LA SEDE CENTRO DE LA ESCUELA TECNOLÓGICA INSTITUTO TÉCNICO CENTRAL (PROYECTO - MODERNIZACIÓN)</t>
        </is>
      </c>
      <c r="E119" s="114" t="n">
        <v>4</v>
      </c>
      <c r="F119" s="114" t="inlineStr">
        <is>
          <t>MENOR CUANTIA</t>
        </is>
      </c>
      <c r="G119" s="118" t="n">
        <v>450000000</v>
      </c>
      <c r="H119" s="114" t="inlineStr">
        <is>
          <t>Técnico operativo 3132 grado 09</t>
        </is>
      </c>
      <c r="I119" s="114" t="n"/>
      <c r="J119" s="114" t="inlineStr">
        <is>
          <t>gestioninfraestructura@itc.edu.co</t>
        </is>
      </c>
      <c r="K119" s="114" t="n">
        <v>115</v>
      </c>
      <c r="L119" s="119" t="inlineStr">
        <is>
          <t>130 · Vicerrectoría Administrativa y Financiera</t>
        </is>
      </c>
      <c r="M119" s="120" t="n">
        <v>450000000</v>
      </c>
      <c r="N119" s="119" t="inlineStr">
        <is>
          <t>Selección abreviada de menor cuantía</t>
        </is>
      </c>
      <c r="O119" s="119">
        <f>IF(LEN(IF(OR(NOT(ISNUMBER(B119)),LEN(B119)&lt;&gt;8),"UNSPSC vacío, en texto, con varios códigos o sin 8 dígitos; ","")&amp;IF(AND(ISNUMBER(B119),LEN(B119)=8),IF(MOD(B119,10000)=0,"UNSPSC a nivel de segmento o familia; ",""),"")&amp;IF(NOT(ISNUMBER(E119)),"Duración vacía o en texto; ","")&amp;IF(NOT(ISNUMBER(G119)),"Valor vacío o en texto; ","")&amp;IF(ISNUMBER(M119),IF(M119&lt;1000000,"Valor inferior a $1.000.000: verificar; ",""),"Valor no interpretable; ")&amp;IF(N119="[PENDIENTE DE VERIFICAR]","Modalidad no identificable; ","")&amp;IF(OR(ISERROR(SEARCH("@itc.edu.co",J119)),SUMPRODUCT(--ISNUMBER(SEARCH({"á","é","í","ó","ú","ñ"},J119)))&gt;0),"Correo vacío o no institucional válido; ","")&amp;IF(LEN(TRIM(D119))=0,"Sin objeto contractual; ","")&amp;IF(AND(ISNUMBER(M119),N119="Mínima cuantía"),IF(M119&gt;39850000,"Mínima cuantía con valor superior al tope citado en el instructivo 2026 ($39.850.000): verificar modalidad; ",""),"")&amp;IF(AND(ISNUMBER(M119),OR(ISNUMBER(SEARCH("prestación de servicios",D119)),ISNUMBER(SEARCH("prestar servicios",D119)),ISNUMBER(SEARCH("prestar los servicios",D119)))),IF(M119&gt;=500000000,"Prestación de servicios por $500 millones o más: posible error de digitación; ",""),""))=0,"Sin observaciones",IF(OR(NOT(ISNUMBER(B119)),LEN(B119)&lt;&gt;8),"UNSPSC vacío, en texto, con varios códigos o sin 8 dígitos; ","")&amp;IF(AND(ISNUMBER(B119),LEN(B119)=8),IF(MOD(B119,10000)=0,"UNSPSC a nivel de segmento o familia; ",""),"")&amp;IF(NOT(ISNUMBER(E119)),"Duración vacía o en texto; ","")&amp;IF(NOT(ISNUMBER(G119)),"Valor vacío o en texto; ","")&amp;IF(ISNUMBER(M119),IF(M119&lt;1000000,"Valor inferior a $1.000.000: verificar; ",""),"Valor no interpretable; ")&amp;IF(N119="[PENDIENTE DE VERIFICAR]","Modalidad no identificable; ","")&amp;IF(OR(ISERROR(SEARCH("@itc.edu.co",J119)),SUMPRODUCT(--ISNUMBER(SEARCH({"á","é","í","ó","ú","ñ"},J119)))&gt;0),"Correo vacío o no institucional válido; ","")&amp;IF(LEN(TRIM(D119))=0,"Sin objeto contractual; ","")&amp;IF(AND(ISNUMBER(M119),N119="Mínima cuantía"),IF(M119&gt;39850000,"Mínima cuantía con valor superior al tope citado en el instructivo 2026 ($39.850.000): verificar modalidad; ",""),"")&amp;IF(AND(ISNUMBER(M119),OR(ISNUMBER(SEARCH("prestación de servicios",D119)),ISNUMBER(SEARCH("prestar servicios",D119)),ISNUMBER(SEARCH("prestar los servicios",D119)))),IF(M119&gt;=500000000,"Prestación de servicios por $500 millones o más: posible error de digitación; ",""),""))</f>
        <v/>
      </c>
    </row>
    <row r="120" ht="45.6" customHeight="1" s="23">
      <c r="A120" s="114" t="inlineStr">
        <is>
          <t>PN26-116</t>
        </is>
      </c>
      <c r="B120" s="114" t="inlineStr">
        <is>
          <t xml:space="preserve">39120000
39121700 
</t>
        </is>
      </c>
      <c r="C120" s="114" t="inlineStr">
        <is>
          <t xml:space="preserve">Infraestructura  electrica </t>
        </is>
      </c>
      <c r="D120" s="114" t="inlineStr">
        <is>
          <t>SUMINISTRO, INSTALACIÓN Y PUESTA EN MARCHA (LLAVE EN MANO), DE LA SEGUNDA FASE DEL SISTEMA CERRADO DE TELEVISIÓN CCTV, PERTENECIENTE A AS INSTALACIONES DE LA EXTENSIÓN DE LA UPK-TINTAL (PROYECTO - MODERNIZACIÓN)</t>
        </is>
      </c>
      <c r="E120" s="114" t="n">
        <v>4</v>
      </c>
      <c r="F120" s="114" t="inlineStr">
        <is>
          <t>MENOR CUANTIA</t>
        </is>
      </c>
      <c r="G120" s="118" t="n">
        <v>50000000</v>
      </c>
      <c r="H120" s="114" t="inlineStr">
        <is>
          <t>Técnico operativo 3132 grado 09</t>
        </is>
      </c>
      <c r="I120" s="114" t="n"/>
      <c r="J120" s="114" t="inlineStr">
        <is>
          <t>gestioninfraestructura@itc.edu.co</t>
        </is>
      </c>
      <c r="K120" s="114" t="n">
        <v>116</v>
      </c>
      <c r="L120" s="119" t="inlineStr">
        <is>
          <t>130 · Vicerrectoría Administrativa y Financiera</t>
        </is>
      </c>
      <c r="M120" s="120" t="n">
        <v>50000000</v>
      </c>
      <c r="N120" s="119" t="inlineStr">
        <is>
          <t>Selección abreviada de menor cuantía</t>
        </is>
      </c>
      <c r="O120" s="119">
        <f>IF(LEN(IF(OR(NOT(ISNUMBER(B120)),LEN(B120)&lt;&gt;8),"UNSPSC vacío, en texto, con varios códigos o sin 8 dígitos; ","")&amp;IF(AND(ISNUMBER(B120),LEN(B120)=8),IF(MOD(B120,10000)=0,"UNSPSC a nivel de segmento o familia; ",""),"")&amp;IF(NOT(ISNUMBER(E120)),"Duración vacía o en texto; ","")&amp;IF(NOT(ISNUMBER(G120)),"Valor vacío o en texto; ","")&amp;IF(ISNUMBER(M120),IF(M120&lt;1000000,"Valor inferior a $1.000.000: verificar; ",""),"Valor no interpretable; ")&amp;IF(N120="[PENDIENTE DE VERIFICAR]","Modalidad no identificable; ","")&amp;IF(OR(ISERROR(SEARCH("@itc.edu.co",J120)),SUMPRODUCT(--ISNUMBER(SEARCH({"á","é","í","ó","ú","ñ"},J120)))&gt;0),"Correo vacío o no institucional válido; ","")&amp;IF(LEN(TRIM(D120))=0,"Sin objeto contractual; ","")&amp;IF(AND(ISNUMBER(M120),N120="Mínima cuantía"),IF(M120&gt;39850000,"Mínima cuantía con valor superior al tope citado en el instructivo 2026 ($39.850.000): verificar modalidad; ",""),"")&amp;IF(AND(ISNUMBER(M120),OR(ISNUMBER(SEARCH("prestación de servicios",D120)),ISNUMBER(SEARCH("prestar servicios",D120)),ISNUMBER(SEARCH("prestar los servicios",D120)))),IF(M120&gt;=500000000,"Prestación de servicios por $500 millones o más: posible error de digitación; ",""),""))=0,"Sin observaciones",IF(OR(NOT(ISNUMBER(B120)),LEN(B120)&lt;&gt;8),"UNSPSC vacío, en texto, con varios códigos o sin 8 dígitos; ","")&amp;IF(AND(ISNUMBER(B120),LEN(B120)=8),IF(MOD(B120,10000)=0,"UNSPSC a nivel de segmento o familia; ",""),"")&amp;IF(NOT(ISNUMBER(E120)),"Duración vacía o en texto; ","")&amp;IF(NOT(ISNUMBER(G120)),"Valor vacío o en texto; ","")&amp;IF(ISNUMBER(M120),IF(M120&lt;1000000,"Valor inferior a $1.000.000: verificar; ",""),"Valor no interpretable; ")&amp;IF(N120="[PENDIENTE DE VERIFICAR]","Modalidad no identificable; ","")&amp;IF(OR(ISERROR(SEARCH("@itc.edu.co",J120)),SUMPRODUCT(--ISNUMBER(SEARCH({"á","é","í","ó","ú","ñ"},J120)))&gt;0),"Correo vacío o no institucional válido; ","")&amp;IF(LEN(TRIM(D120))=0,"Sin objeto contractual; ","")&amp;IF(AND(ISNUMBER(M120),N120="Mínima cuantía"),IF(M120&gt;39850000,"Mínima cuantía con valor superior al tope citado en el instructivo 2026 ($39.850.000): verificar modalidad; ",""),"")&amp;IF(AND(ISNUMBER(M120),OR(ISNUMBER(SEARCH("prestación de servicios",D120)),ISNUMBER(SEARCH("prestar servicios",D120)),ISNUMBER(SEARCH("prestar los servicios",D120)))),IF(M120&gt;=500000000,"Prestación de servicios por $500 millones o más: posible error de digitación; ",""),""))</f>
        <v/>
      </c>
    </row>
    <row r="121" ht="45.6" customHeight="1" s="23">
      <c r="A121" s="114" t="inlineStr">
        <is>
          <t>PN26-117</t>
        </is>
      </c>
      <c r="B121" s="114" t="n">
        <v>95122306</v>
      </c>
      <c r="C121" s="114" t="inlineStr">
        <is>
          <t>Bienestar Universitario</t>
        </is>
      </c>
      <c r="D121" s="114" t="inlineStr">
        <is>
          <t>Adecuación del gimnasio  en sustitución e instalación de nuevos espejos, renovación del sistema de iluminación, instalación y/o reemplazo de lockers,  colocación de percheros, cambiar  o mejor  puertas,  incorporación o renovación de muebles, actualización del sistema de sonido.</t>
        </is>
      </c>
      <c r="E121" s="114" t="n">
        <v>6</v>
      </c>
      <c r="F121" s="114" t="inlineStr">
        <is>
          <t>MENOR CUANTIA</t>
        </is>
      </c>
      <c r="G121" s="118" t="n"/>
      <c r="H121" s="114" t="inlineStr">
        <is>
          <t xml:space="preserve">VICERRECTOR ACADEMICO </t>
        </is>
      </c>
      <c r="I121" s="114" t="n"/>
      <c r="J121" s="114" t="n"/>
      <c r="K121" s="114" t="n"/>
      <c r="L121" s="119" t="inlineStr">
        <is>
          <t>122 · GIT Bienestar Universitario</t>
        </is>
      </c>
      <c r="M121" s="120" t="n"/>
      <c r="N121" s="119" t="inlineStr">
        <is>
          <t>Selección abreviada de menor cuantía</t>
        </is>
      </c>
      <c r="O121" s="119">
        <f>IF(LEN(IF(OR(NOT(ISNUMBER(B121)),LEN(B121)&lt;&gt;8),"UNSPSC vacío, en texto, con varios códigos o sin 8 dígitos; ","")&amp;IF(AND(ISNUMBER(B121),LEN(B121)=8),IF(MOD(B121,10000)=0,"UNSPSC a nivel de segmento o familia; ",""),"")&amp;IF(NOT(ISNUMBER(E121)),"Duración vacía o en texto; ","")&amp;IF(NOT(ISNUMBER(G121)),"Valor vacío o en texto; ","")&amp;IF(ISNUMBER(M121),IF(M121&lt;1000000,"Valor inferior a $1.000.000: verificar; ",""),"Valor no interpretable; ")&amp;IF(N121="[PENDIENTE DE VERIFICAR]","Modalidad no identificable; ","")&amp;IF(OR(ISERROR(SEARCH("@itc.edu.co",J121)),SUMPRODUCT(--ISNUMBER(SEARCH({"á","é","í","ó","ú","ñ"},J121)))&gt;0),"Correo vacío o no institucional válido; ","")&amp;IF(LEN(TRIM(D121))=0,"Sin objeto contractual; ","")&amp;IF(AND(ISNUMBER(M121),N121="Mínima cuantía"),IF(M121&gt;39850000,"Mínima cuantía con valor superior al tope citado en el instructivo 2026 ($39.850.000): verificar modalidad; ",""),"")&amp;IF(AND(ISNUMBER(M121),OR(ISNUMBER(SEARCH("prestación de servicios",D121)),ISNUMBER(SEARCH("prestar servicios",D121)),ISNUMBER(SEARCH("prestar los servicios",D121)))),IF(M121&gt;=500000000,"Prestación de servicios por $500 millones o más: posible error de digitación; ",""),""))=0,"Sin observaciones",IF(OR(NOT(ISNUMBER(B121)),LEN(B121)&lt;&gt;8),"UNSPSC vacío, en texto, con varios códigos o sin 8 dígitos; ","")&amp;IF(AND(ISNUMBER(B121),LEN(B121)=8),IF(MOD(B121,10000)=0,"UNSPSC a nivel de segmento o familia; ",""),"")&amp;IF(NOT(ISNUMBER(E121)),"Duración vacía o en texto; ","")&amp;IF(NOT(ISNUMBER(G121)),"Valor vacío o en texto; ","")&amp;IF(ISNUMBER(M121),IF(M121&lt;1000000,"Valor inferior a $1.000.000: verificar; ",""),"Valor no interpretable; ")&amp;IF(N121="[PENDIENTE DE VERIFICAR]","Modalidad no identificable; ","")&amp;IF(OR(ISERROR(SEARCH("@itc.edu.co",J121)),SUMPRODUCT(--ISNUMBER(SEARCH({"á","é","í","ó","ú","ñ"},J121)))&gt;0),"Correo vacío o no institucional válido; ","")&amp;IF(LEN(TRIM(D121))=0,"Sin objeto contractual; ","")&amp;IF(AND(ISNUMBER(M121),N121="Mínima cuantía"),IF(M121&gt;39850000,"Mínima cuantía con valor superior al tope citado en el instructivo 2026 ($39.850.000): verificar modalidad; ",""),"")&amp;IF(AND(ISNUMBER(M121),OR(ISNUMBER(SEARCH("prestación de servicios",D121)),ISNUMBER(SEARCH("prestar servicios",D121)),ISNUMBER(SEARCH("prestar los servicios",D121)))),IF(M121&gt;=500000000,"Prestación de servicios por $500 millones o más: posible error de digitación; ",""),""))</f>
        <v/>
      </c>
    </row>
    <row r="122" ht="22.8" customHeight="1" s="23">
      <c r="A122" s="114" t="inlineStr">
        <is>
          <t>PN26-118</t>
        </is>
      </c>
      <c r="B122" s="114" t="n">
        <v>80122001</v>
      </c>
      <c r="C122" s="114" t="inlineStr">
        <is>
          <t>Bienestar Universitario</t>
        </is>
      </c>
      <c r="D122" s="114" t="inlineStr">
        <is>
          <t>Contratación  de servicio de arbitrajes para torneos internos deportivos  del área de deportes de Bienestar Universitario</t>
        </is>
      </c>
      <c r="E122" s="114" t="n">
        <v>6</v>
      </c>
      <c r="F122" s="114" t="inlineStr">
        <is>
          <t>MENOR CUANTIA</t>
        </is>
      </c>
      <c r="G122" s="118" t="n"/>
      <c r="H122" s="114" t="inlineStr">
        <is>
          <t xml:space="preserve">VICERRECTOR ACADEMICO </t>
        </is>
      </c>
      <c r="I122" s="114" t="n"/>
      <c r="J122" s="114" t="n"/>
      <c r="K122" s="114" t="n"/>
      <c r="L122" s="119" t="inlineStr">
        <is>
          <t>122 · GIT Bienestar Universitario</t>
        </is>
      </c>
      <c r="M122" s="120" t="n"/>
      <c r="N122" s="119" t="inlineStr">
        <is>
          <t>Selección abreviada de menor cuantía</t>
        </is>
      </c>
      <c r="O122" s="119">
        <f>IF(LEN(IF(OR(NOT(ISNUMBER(B122)),LEN(B122)&lt;&gt;8),"UNSPSC vacío, en texto, con varios códigos o sin 8 dígitos; ","")&amp;IF(AND(ISNUMBER(B122),LEN(B122)=8),IF(MOD(B122,10000)=0,"UNSPSC a nivel de segmento o familia; ",""),"")&amp;IF(NOT(ISNUMBER(E122)),"Duración vacía o en texto; ","")&amp;IF(NOT(ISNUMBER(G122)),"Valor vacío o en texto; ","")&amp;IF(ISNUMBER(M122),IF(M122&lt;1000000,"Valor inferior a $1.000.000: verificar; ",""),"Valor no interpretable; ")&amp;IF(N122="[PENDIENTE DE VERIFICAR]","Modalidad no identificable; ","")&amp;IF(OR(ISERROR(SEARCH("@itc.edu.co",J122)),SUMPRODUCT(--ISNUMBER(SEARCH({"á","é","í","ó","ú","ñ"},J122)))&gt;0),"Correo vacío o no institucional válido; ","")&amp;IF(LEN(TRIM(D122))=0,"Sin objeto contractual; ","")&amp;IF(AND(ISNUMBER(M122),N122="Mínima cuantía"),IF(M122&gt;39850000,"Mínima cuantía con valor superior al tope citado en el instructivo 2026 ($39.850.000): verificar modalidad; ",""),"")&amp;IF(AND(ISNUMBER(M122),OR(ISNUMBER(SEARCH("prestación de servicios",D122)),ISNUMBER(SEARCH("prestar servicios",D122)),ISNUMBER(SEARCH("prestar los servicios",D122)))),IF(M122&gt;=500000000,"Prestación de servicios por $500 millones o más: posible error de digitación; ",""),""))=0,"Sin observaciones",IF(OR(NOT(ISNUMBER(B122)),LEN(B122)&lt;&gt;8),"UNSPSC vacío, en texto, con varios códigos o sin 8 dígitos; ","")&amp;IF(AND(ISNUMBER(B122),LEN(B122)=8),IF(MOD(B122,10000)=0,"UNSPSC a nivel de segmento o familia; ",""),"")&amp;IF(NOT(ISNUMBER(E122)),"Duración vacía o en texto; ","")&amp;IF(NOT(ISNUMBER(G122)),"Valor vacío o en texto; ","")&amp;IF(ISNUMBER(M122),IF(M122&lt;1000000,"Valor inferior a $1.000.000: verificar; ",""),"Valor no interpretable; ")&amp;IF(N122="[PENDIENTE DE VERIFICAR]","Modalidad no identificable; ","")&amp;IF(OR(ISERROR(SEARCH("@itc.edu.co",J122)),SUMPRODUCT(--ISNUMBER(SEARCH({"á","é","í","ó","ú","ñ"},J122)))&gt;0),"Correo vacío o no institucional válido; ","")&amp;IF(LEN(TRIM(D122))=0,"Sin objeto contractual; ","")&amp;IF(AND(ISNUMBER(M122),N122="Mínima cuantía"),IF(M122&gt;39850000,"Mínima cuantía con valor superior al tope citado en el instructivo 2026 ($39.850.000): verificar modalidad; ",""),"")&amp;IF(AND(ISNUMBER(M122),OR(ISNUMBER(SEARCH("prestación de servicios",D122)),ISNUMBER(SEARCH("prestar servicios",D122)),ISNUMBER(SEARCH("prestar los servicios",D122)))),IF(M122&gt;=500000000,"Prestación de servicios por $500 millones o más: posible error de digitación; ",""),""))</f>
        <v/>
      </c>
    </row>
    <row r="123" ht="22.8" customHeight="1" s="23">
      <c r="A123" s="114" t="inlineStr">
        <is>
          <t>PN26-119</t>
        </is>
      </c>
      <c r="B123" s="114" t="n">
        <v>94121510</v>
      </c>
      <c r="C123" s="114" t="inlineStr">
        <is>
          <t>Bienestar Universitario</t>
        </is>
      </c>
      <c r="D123" s="114" t="inlineStr">
        <is>
          <t xml:space="preserve">Inscripciones a carreras atleticas que se seleccionan los estudiantes desde el área de deportes </t>
        </is>
      </c>
      <c r="E123" s="114" t="n">
        <v>4</v>
      </c>
      <c r="F123" s="114" t="inlineStr">
        <is>
          <t>MENOR CUANTIA</t>
        </is>
      </c>
      <c r="G123" s="118" t="inlineStr">
        <is>
          <t>$50.000.000</t>
        </is>
      </c>
      <c r="H123" s="114" t="inlineStr">
        <is>
          <t xml:space="preserve">VICERRECTOR ACADEMICO </t>
        </is>
      </c>
      <c r="I123" s="114" t="n"/>
      <c r="J123" s="114" t="inlineStr">
        <is>
          <t>viceacademica@itc.edu.co</t>
        </is>
      </c>
      <c r="K123" s="114" t="n"/>
      <c r="L123" s="119" t="inlineStr">
        <is>
          <t>120 · Vicerrectoría Académica</t>
        </is>
      </c>
      <c r="M123" s="120" t="n">
        <v>50000000</v>
      </c>
      <c r="N123" s="119" t="inlineStr">
        <is>
          <t>Selección abreviada de menor cuantía</t>
        </is>
      </c>
      <c r="O123" s="119">
        <f>IF(LEN(IF(OR(NOT(ISNUMBER(B123)),LEN(B123)&lt;&gt;8),"UNSPSC vacío, en texto, con varios códigos o sin 8 dígitos; ","")&amp;IF(AND(ISNUMBER(B123),LEN(B123)=8),IF(MOD(B123,10000)=0,"UNSPSC a nivel de segmento o familia; ",""),"")&amp;IF(NOT(ISNUMBER(E123)),"Duración vacía o en texto; ","")&amp;IF(NOT(ISNUMBER(G123)),"Valor vacío o en texto; ","")&amp;IF(ISNUMBER(M123),IF(M123&lt;1000000,"Valor inferior a $1.000.000: verificar; ",""),"Valor no interpretable; ")&amp;IF(N123="[PENDIENTE DE VERIFICAR]","Modalidad no identificable; ","")&amp;IF(OR(ISERROR(SEARCH("@itc.edu.co",J123)),SUMPRODUCT(--ISNUMBER(SEARCH({"á","é","í","ó","ú","ñ"},J123)))&gt;0),"Correo vacío o no institucional válido; ","")&amp;IF(LEN(TRIM(D123))=0,"Sin objeto contractual; ","")&amp;IF(AND(ISNUMBER(M123),N123="Mínima cuantía"),IF(M123&gt;39850000,"Mínima cuantía con valor superior al tope citado en el instructivo 2026 ($39.850.000): verificar modalidad; ",""),"")&amp;IF(AND(ISNUMBER(M123),OR(ISNUMBER(SEARCH("prestación de servicios",D123)),ISNUMBER(SEARCH("prestar servicios",D123)),ISNUMBER(SEARCH("prestar los servicios",D123)))),IF(M123&gt;=500000000,"Prestación de servicios por $500 millones o más: posible error de digitación; ",""),""))=0,"Sin observaciones",IF(OR(NOT(ISNUMBER(B123)),LEN(B123)&lt;&gt;8),"UNSPSC vacío, en texto, con varios códigos o sin 8 dígitos; ","")&amp;IF(AND(ISNUMBER(B123),LEN(B123)=8),IF(MOD(B123,10000)=0,"UNSPSC a nivel de segmento o familia; ",""),"")&amp;IF(NOT(ISNUMBER(E123)),"Duración vacía o en texto; ","")&amp;IF(NOT(ISNUMBER(G123)),"Valor vacío o en texto; ","")&amp;IF(ISNUMBER(M123),IF(M123&lt;1000000,"Valor inferior a $1.000.000: verificar; ",""),"Valor no interpretable; ")&amp;IF(N123="[PENDIENTE DE VERIFICAR]","Modalidad no identificable; ","")&amp;IF(OR(ISERROR(SEARCH("@itc.edu.co",J123)),SUMPRODUCT(--ISNUMBER(SEARCH({"á","é","í","ó","ú","ñ"},J123)))&gt;0),"Correo vacío o no institucional válido; ","")&amp;IF(LEN(TRIM(D123))=0,"Sin objeto contractual; ","")&amp;IF(AND(ISNUMBER(M123),N123="Mínima cuantía"),IF(M123&gt;39850000,"Mínima cuantía con valor superior al tope citado en el instructivo 2026 ($39.850.000): verificar modalidad; ",""),"")&amp;IF(AND(ISNUMBER(M123),OR(ISNUMBER(SEARCH("prestación de servicios",D123)),ISNUMBER(SEARCH("prestar servicios",D123)),ISNUMBER(SEARCH("prestar los servicios",D123)))),IF(M123&gt;=500000000,"Prestación de servicios por $500 millones o más: posible error de digitación; ",""),""))</f>
        <v/>
      </c>
    </row>
    <row r="124" ht="22.8" customHeight="1" s="23">
      <c r="A124" s="114" t="inlineStr">
        <is>
          <t>PN26-120</t>
        </is>
      </c>
      <c r="B124" s="114" t="n">
        <v>95122306</v>
      </c>
      <c r="C124" s="114" t="inlineStr">
        <is>
          <t>Bienestar Universitario</t>
        </is>
      </c>
      <c r="D124" s="114" t="inlineStr">
        <is>
          <t>Adquisición de máqinas complementarias para el gimnasio de la ETITC en pro de la excelente prestación del servicio a la comunidad institucional</t>
        </is>
      </c>
      <c r="E124" s="114" t="n">
        <v>6</v>
      </c>
      <c r="F124" s="114" t="inlineStr">
        <is>
          <t>MENOR CUANTIA</t>
        </is>
      </c>
      <c r="G124" s="118" t="inlineStr">
        <is>
          <t>$15.000.000</t>
        </is>
      </c>
      <c r="H124" s="114" t="inlineStr">
        <is>
          <t xml:space="preserve">VICERRECTOR ACADEMICO </t>
        </is>
      </c>
      <c r="I124" s="114" t="n"/>
      <c r="J124" s="114" t="inlineStr">
        <is>
          <t>viceacademica@itc.edu.co</t>
        </is>
      </c>
      <c r="K124" s="114" t="n"/>
      <c r="L124" s="119" t="inlineStr">
        <is>
          <t>120 · Vicerrectoría Académica</t>
        </is>
      </c>
      <c r="M124" s="120" t="n">
        <v>15000000</v>
      </c>
      <c r="N124" s="119" t="inlineStr">
        <is>
          <t>Selección abreviada de menor cuantía</t>
        </is>
      </c>
      <c r="O124" s="119">
        <f>IF(LEN(IF(OR(NOT(ISNUMBER(B124)),LEN(B124)&lt;&gt;8),"UNSPSC vacío, en texto, con varios códigos o sin 8 dígitos; ","")&amp;IF(AND(ISNUMBER(B124),LEN(B124)=8),IF(MOD(B124,10000)=0,"UNSPSC a nivel de segmento o familia; ",""),"")&amp;IF(NOT(ISNUMBER(E124)),"Duración vacía o en texto; ","")&amp;IF(NOT(ISNUMBER(G124)),"Valor vacío o en texto; ","")&amp;IF(ISNUMBER(M124),IF(M124&lt;1000000,"Valor inferior a $1.000.000: verificar; ",""),"Valor no interpretable; ")&amp;IF(N124="[PENDIENTE DE VERIFICAR]","Modalidad no identificable; ","")&amp;IF(OR(ISERROR(SEARCH("@itc.edu.co",J124)),SUMPRODUCT(--ISNUMBER(SEARCH({"á","é","í","ó","ú","ñ"},J124)))&gt;0),"Correo vacío o no institucional válido; ","")&amp;IF(LEN(TRIM(D124))=0,"Sin objeto contractual; ","")&amp;IF(AND(ISNUMBER(M124),N124="Mínima cuantía"),IF(M124&gt;39850000,"Mínima cuantía con valor superior al tope citado en el instructivo 2026 ($39.850.000): verificar modalidad; ",""),"")&amp;IF(AND(ISNUMBER(M124),OR(ISNUMBER(SEARCH("prestación de servicios",D124)),ISNUMBER(SEARCH("prestar servicios",D124)),ISNUMBER(SEARCH("prestar los servicios",D124)))),IF(M124&gt;=500000000,"Prestación de servicios por $500 millones o más: posible error de digitación; ",""),""))=0,"Sin observaciones",IF(OR(NOT(ISNUMBER(B124)),LEN(B124)&lt;&gt;8),"UNSPSC vacío, en texto, con varios códigos o sin 8 dígitos; ","")&amp;IF(AND(ISNUMBER(B124),LEN(B124)=8),IF(MOD(B124,10000)=0,"UNSPSC a nivel de segmento o familia; ",""),"")&amp;IF(NOT(ISNUMBER(E124)),"Duración vacía o en texto; ","")&amp;IF(NOT(ISNUMBER(G124)),"Valor vacío o en texto; ","")&amp;IF(ISNUMBER(M124),IF(M124&lt;1000000,"Valor inferior a $1.000.000: verificar; ",""),"Valor no interpretable; ")&amp;IF(N124="[PENDIENTE DE VERIFICAR]","Modalidad no identificable; ","")&amp;IF(OR(ISERROR(SEARCH("@itc.edu.co",J124)),SUMPRODUCT(--ISNUMBER(SEARCH({"á","é","í","ó","ú","ñ"},J124)))&gt;0),"Correo vacío o no institucional válido; ","")&amp;IF(LEN(TRIM(D124))=0,"Sin objeto contractual; ","")&amp;IF(AND(ISNUMBER(M124),N124="Mínima cuantía"),IF(M124&gt;39850000,"Mínima cuantía con valor superior al tope citado en el instructivo 2026 ($39.850.000): verificar modalidad; ",""),"")&amp;IF(AND(ISNUMBER(M124),OR(ISNUMBER(SEARCH("prestación de servicios",D124)),ISNUMBER(SEARCH("prestar servicios",D124)),ISNUMBER(SEARCH("prestar los servicios",D124)))),IF(M124&gt;=500000000,"Prestación de servicios por $500 millones o más: posible error de digitación; ",""),""))</f>
        <v/>
      </c>
    </row>
    <row r="125" ht="22.8" customHeight="1" s="23">
      <c r="A125" s="114" t="inlineStr">
        <is>
          <t>PN26-121</t>
        </is>
      </c>
      <c r="B125" s="114" t="n">
        <v>95122306</v>
      </c>
      <c r="C125" s="114" t="inlineStr">
        <is>
          <t>Bienestar Universitario</t>
        </is>
      </c>
      <c r="D125" s="114" t="inlineStr">
        <is>
          <t>Adquisición de mantenimiento equipos y máquinas que se encuentran en el gimnasio de la ETITC</t>
        </is>
      </c>
      <c r="E125" s="114" t="n">
        <v>6</v>
      </c>
      <c r="F125" s="114" t="inlineStr">
        <is>
          <t>MENOR CUANTIA</t>
        </is>
      </c>
      <c r="G125" s="118" t="inlineStr">
        <is>
          <t>15.000.000</t>
        </is>
      </c>
      <c r="H125" s="114" t="inlineStr">
        <is>
          <t xml:space="preserve">VICERRECTOR ACADEMICO </t>
        </is>
      </c>
      <c r="I125" s="114" t="n"/>
      <c r="J125" s="114" t="inlineStr">
        <is>
          <t>viceacademica@itc.edu.co</t>
        </is>
      </c>
      <c r="K125" s="114" t="n"/>
      <c r="L125" s="119" t="inlineStr">
        <is>
          <t>120 · Vicerrectoría Académica</t>
        </is>
      </c>
      <c r="M125" s="120" t="n">
        <v>15000000</v>
      </c>
      <c r="N125" s="119" t="inlineStr">
        <is>
          <t>Selección abreviada de menor cuantía</t>
        </is>
      </c>
      <c r="O125" s="119">
        <f>IF(LEN(IF(OR(NOT(ISNUMBER(B125)),LEN(B125)&lt;&gt;8),"UNSPSC vacío, en texto, con varios códigos o sin 8 dígitos; ","")&amp;IF(AND(ISNUMBER(B125),LEN(B125)=8),IF(MOD(B125,10000)=0,"UNSPSC a nivel de segmento o familia; ",""),"")&amp;IF(NOT(ISNUMBER(E125)),"Duración vacía o en texto; ","")&amp;IF(NOT(ISNUMBER(G125)),"Valor vacío o en texto; ","")&amp;IF(ISNUMBER(M125),IF(M125&lt;1000000,"Valor inferior a $1.000.000: verificar; ",""),"Valor no interpretable; ")&amp;IF(N125="[PENDIENTE DE VERIFICAR]","Modalidad no identificable; ","")&amp;IF(OR(ISERROR(SEARCH("@itc.edu.co",J125)),SUMPRODUCT(--ISNUMBER(SEARCH({"á","é","í","ó","ú","ñ"},J125)))&gt;0),"Correo vacío o no institucional válido; ","")&amp;IF(LEN(TRIM(D125))=0,"Sin objeto contractual; ","")&amp;IF(AND(ISNUMBER(M125),N125="Mínima cuantía"),IF(M125&gt;39850000,"Mínima cuantía con valor superior al tope citado en el instructivo 2026 ($39.850.000): verificar modalidad; ",""),"")&amp;IF(AND(ISNUMBER(M125),OR(ISNUMBER(SEARCH("prestación de servicios",D125)),ISNUMBER(SEARCH("prestar servicios",D125)),ISNUMBER(SEARCH("prestar los servicios",D125)))),IF(M125&gt;=500000000,"Prestación de servicios por $500 millones o más: posible error de digitación; ",""),""))=0,"Sin observaciones",IF(OR(NOT(ISNUMBER(B125)),LEN(B125)&lt;&gt;8),"UNSPSC vacío, en texto, con varios códigos o sin 8 dígitos; ","")&amp;IF(AND(ISNUMBER(B125),LEN(B125)=8),IF(MOD(B125,10000)=0,"UNSPSC a nivel de segmento o familia; ",""),"")&amp;IF(NOT(ISNUMBER(E125)),"Duración vacía o en texto; ","")&amp;IF(NOT(ISNUMBER(G125)),"Valor vacío o en texto; ","")&amp;IF(ISNUMBER(M125),IF(M125&lt;1000000,"Valor inferior a $1.000.000: verificar; ",""),"Valor no interpretable; ")&amp;IF(N125="[PENDIENTE DE VERIFICAR]","Modalidad no identificable; ","")&amp;IF(OR(ISERROR(SEARCH("@itc.edu.co",J125)),SUMPRODUCT(--ISNUMBER(SEARCH({"á","é","í","ó","ú","ñ"},J125)))&gt;0),"Correo vacío o no institucional válido; ","")&amp;IF(LEN(TRIM(D125))=0,"Sin objeto contractual; ","")&amp;IF(AND(ISNUMBER(M125),N125="Mínima cuantía"),IF(M125&gt;39850000,"Mínima cuantía con valor superior al tope citado en el instructivo 2026 ($39.850.000): verificar modalidad; ",""),"")&amp;IF(AND(ISNUMBER(M125),OR(ISNUMBER(SEARCH("prestación de servicios",D125)),ISNUMBER(SEARCH("prestar servicios",D125)),ISNUMBER(SEARCH("prestar los servicios",D125)))),IF(M125&gt;=500000000,"Prestación de servicios por $500 millones o más: posible error de digitación; ",""),""))</f>
        <v/>
      </c>
    </row>
    <row r="126" ht="57" customHeight="1" s="23">
      <c r="A126" s="114" t="inlineStr">
        <is>
          <t>PN26-122</t>
        </is>
      </c>
      <c r="B126" s="114" t="n">
        <v>95101807</v>
      </c>
      <c r="C126" s="114" t="inlineStr">
        <is>
          <t>Bienestar Universitario</t>
        </is>
      </c>
      <c r="D126" s="114" t="inlineStr">
        <is>
          <t xml:space="preserve">Contratación del mantenimiento y adecuaciones de los escenarios deportivos (canchas)  en los patios realizando mantenimiento general, reparación y adecuación de superficies de juego, ajustes necesarios para asegurar condiciones óptimas de uso por parte de la comunidad educativa.
</t>
        </is>
      </c>
      <c r="E126" s="114" t="n">
        <v>11</v>
      </c>
      <c r="F126" s="114" t="inlineStr">
        <is>
          <t>MENOR CUANTIA</t>
        </is>
      </c>
      <c r="G126" s="118" t="inlineStr">
        <is>
          <t>$ 30.000.000</t>
        </is>
      </c>
      <c r="H126" s="114" t="inlineStr">
        <is>
          <t xml:space="preserve">VICERRECTOR ACADEMICO </t>
        </is>
      </c>
      <c r="I126" s="114" t="n"/>
      <c r="J126" s="114" t="inlineStr">
        <is>
          <t>viceacademica@itc.edu.co</t>
        </is>
      </c>
      <c r="K126" s="114" t="n"/>
      <c r="L126" s="119" t="inlineStr">
        <is>
          <t>120 · Vicerrectoría Académica</t>
        </is>
      </c>
      <c r="M126" s="120" t="n">
        <v>30000000</v>
      </c>
      <c r="N126" s="119" t="inlineStr">
        <is>
          <t>Selección abreviada de menor cuantía</t>
        </is>
      </c>
      <c r="O126" s="119">
        <f>IF(LEN(IF(OR(NOT(ISNUMBER(B126)),LEN(B126)&lt;&gt;8),"UNSPSC vacío, en texto, con varios códigos o sin 8 dígitos; ","")&amp;IF(AND(ISNUMBER(B126),LEN(B126)=8),IF(MOD(B126,10000)=0,"UNSPSC a nivel de segmento o familia; ",""),"")&amp;IF(NOT(ISNUMBER(E126)),"Duración vacía o en texto; ","")&amp;IF(NOT(ISNUMBER(G126)),"Valor vacío o en texto; ","")&amp;IF(ISNUMBER(M126),IF(M126&lt;1000000,"Valor inferior a $1.000.000: verificar; ",""),"Valor no interpretable; ")&amp;IF(N126="[PENDIENTE DE VERIFICAR]","Modalidad no identificable; ","")&amp;IF(OR(ISERROR(SEARCH("@itc.edu.co",J126)),SUMPRODUCT(--ISNUMBER(SEARCH({"á","é","í","ó","ú","ñ"},J126)))&gt;0),"Correo vacío o no institucional válido; ","")&amp;IF(LEN(TRIM(D126))=0,"Sin objeto contractual; ","")&amp;IF(AND(ISNUMBER(M126),N126="Mínima cuantía"),IF(M126&gt;39850000,"Mínima cuantía con valor superior al tope citado en el instructivo 2026 ($39.850.000): verificar modalidad; ",""),"")&amp;IF(AND(ISNUMBER(M126),OR(ISNUMBER(SEARCH("prestación de servicios",D126)),ISNUMBER(SEARCH("prestar servicios",D126)),ISNUMBER(SEARCH("prestar los servicios",D126)))),IF(M126&gt;=500000000,"Prestación de servicios por $500 millones o más: posible error de digitación; ",""),""))=0,"Sin observaciones",IF(OR(NOT(ISNUMBER(B126)),LEN(B126)&lt;&gt;8),"UNSPSC vacío, en texto, con varios códigos o sin 8 dígitos; ","")&amp;IF(AND(ISNUMBER(B126),LEN(B126)=8),IF(MOD(B126,10000)=0,"UNSPSC a nivel de segmento o familia; ",""),"")&amp;IF(NOT(ISNUMBER(E126)),"Duración vacía o en texto; ","")&amp;IF(NOT(ISNUMBER(G126)),"Valor vacío o en texto; ","")&amp;IF(ISNUMBER(M126),IF(M126&lt;1000000,"Valor inferior a $1.000.000: verificar; ",""),"Valor no interpretable; ")&amp;IF(N126="[PENDIENTE DE VERIFICAR]","Modalidad no identificable; ","")&amp;IF(OR(ISERROR(SEARCH("@itc.edu.co",J126)),SUMPRODUCT(--ISNUMBER(SEARCH({"á","é","í","ó","ú","ñ"},J126)))&gt;0),"Correo vacío o no institucional válido; ","")&amp;IF(LEN(TRIM(D126))=0,"Sin objeto contractual; ","")&amp;IF(AND(ISNUMBER(M126),N126="Mínima cuantía"),IF(M126&gt;39850000,"Mínima cuantía con valor superior al tope citado en el instructivo 2026 ($39.850.000): verificar modalidad; ",""),"")&amp;IF(AND(ISNUMBER(M126),OR(ISNUMBER(SEARCH("prestación de servicios",D126)),ISNUMBER(SEARCH("prestar servicios",D126)),ISNUMBER(SEARCH("prestar los servicios",D126)))),IF(M126&gt;=500000000,"Prestación de servicios por $500 millones o más: posible error de digitación; ",""),""))</f>
        <v/>
      </c>
    </row>
    <row r="127" ht="22.8" customHeight="1" s="23">
      <c r="A127" s="114" t="inlineStr">
        <is>
          <t>PN26-123</t>
        </is>
      </c>
      <c r="B127" s="114" t="n">
        <v>90141500</v>
      </c>
      <c r="C127" s="114" t="inlineStr">
        <is>
          <t>Bienestar Universitario</t>
        </is>
      </c>
      <c r="D127" s="114" t="inlineStr">
        <is>
          <t>Contratación de logística e inscripción de campeonatos externos del área de deportes</t>
        </is>
      </c>
      <c r="E127" s="114" t="n">
        <v>6</v>
      </c>
      <c r="F127" s="114" t="inlineStr">
        <is>
          <t>MENOR CUANTIA</t>
        </is>
      </c>
      <c r="G127" s="118" t="inlineStr">
        <is>
          <t>$30.000.000</t>
        </is>
      </c>
      <c r="H127" s="114" t="inlineStr">
        <is>
          <t xml:space="preserve">VICERRECTOR ACADEMICO </t>
        </is>
      </c>
      <c r="I127" s="114" t="n"/>
      <c r="J127" s="114" t="inlineStr">
        <is>
          <t>viceacademica@itc.edu.co</t>
        </is>
      </c>
      <c r="K127" s="114" t="n"/>
      <c r="L127" s="119" t="inlineStr">
        <is>
          <t>120 · Vicerrectoría Académica</t>
        </is>
      </c>
      <c r="M127" s="120" t="n">
        <v>30000000</v>
      </c>
      <c r="N127" s="119" t="inlineStr">
        <is>
          <t>Selección abreviada de menor cuantía</t>
        </is>
      </c>
      <c r="O127" s="119">
        <f>IF(LEN(IF(OR(NOT(ISNUMBER(B127)),LEN(B127)&lt;&gt;8),"UNSPSC vacío, en texto, con varios códigos o sin 8 dígitos; ","")&amp;IF(AND(ISNUMBER(B127),LEN(B127)=8),IF(MOD(B127,10000)=0,"UNSPSC a nivel de segmento o familia; ",""),"")&amp;IF(NOT(ISNUMBER(E127)),"Duración vacía o en texto; ","")&amp;IF(NOT(ISNUMBER(G127)),"Valor vacío o en texto; ","")&amp;IF(ISNUMBER(M127),IF(M127&lt;1000000,"Valor inferior a $1.000.000: verificar; ",""),"Valor no interpretable; ")&amp;IF(N127="[PENDIENTE DE VERIFICAR]","Modalidad no identificable; ","")&amp;IF(OR(ISERROR(SEARCH("@itc.edu.co",J127)),SUMPRODUCT(--ISNUMBER(SEARCH({"á","é","í","ó","ú","ñ"},J127)))&gt;0),"Correo vacío o no institucional válido; ","")&amp;IF(LEN(TRIM(D127))=0,"Sin objeto contractual; ","")&amp;IF(AND(ISNUMBER(M127),N127="Mínima cuantía"),IF(M127&gt;39850000,"Mínima cuantía con valor superior al tope citado en el instructivo 2026 ($39.850.000): verificar modalidad; ",""),"")&amp;IF(AND(ISNUMBER(M127),OR(ISNUMBER(SEARCH("prestación de servicios",D127)),ISNUMBER(SEARCH("prestar servicios",D127)),ISNUMBER(SEARCH("prestar los servicios",D127)))),IF(M127&gt;=500000000,"Prestación de servicios por $500 millones o más: posible error de digitación; ",""),""))=0,"Sin observaciones",IF(OR(NOT(ISNUMBER(B127)),LEN(B127)&lt;&gt;8),"UNSPSC vacío, en texto, con varios códigos o sin 8 dígitos; ","")&amp;IF(AND(ISNUMBER(B127),LEN(B127)=8),IF(MOD(B127,10000)=0,"UNSPSC a nivel de segmento o familia; ",""),"")&amp;IF(NOT(ISNUMBER(E127)),"Duración vacía o en texto; ","")&amp;IF(NOT(ISNUMBER(G127)),"Valor vacío o en texto; ","")&amp;IF(ISNUMBER(M127),IF(M127&lt;1000000,"Valor inferior a $1.000.000: verificar; ",""),"Valor no interpretable; ")&amp;IF(N127="[PENDIENTE DE VERIFICAR]","Modalidad no identificable; ","")&amp;IF(OR(ISERROR(SEARCH("@itc.edu.co",J127)),SUMPRODUCT(--ISNUMBER(SEARCH({"á","é","í","ó","ú","ñ"},J127)))&gt;0),"Correo vacío o no institucional válido; ","")&amp;IF(LEN(TRIM(D127))=0,"Sin objeto contractual; ","")&amp;IF(AND(ISNUMBER(M127),N127="Mínima cuantía"),IF(M127&gt;39850000,"Mínima cuantía con valor superior al tope citado en el instructivo 2026 ($39.850.000): verificar modalidad; ",""),"")&amp;IF(AND(ISNUMBER(M127),OR(ISNUMBER(SEARCH("prestación de servicios",D127)),ISNUMBER(SEARCH("prestar servicios",D127)),ISNUMBER(SEARCH("prestar los servicios",D127)))),IF(M127&gt;=500000000,"Prestación de servicios por $500 millones o más: posible error de digitación; ",""),""))</f>
        <v/>
      </c>
    </row>
    <row r="128" ht="22.8" customHeight="1" s="23">
      <c r="A128" s="114" t="inlineStr">
        <is>
          <t>PN26-124</t>
        </is>
      </c>
      <c r="B128" s="114" t="n">
        <v>49101701</v>
      </c>
      <c r="C128" s="114" t="inlineStr">
        <is>
          <t>Bienestar Universitario</t>
        </is>
      </c>
      <c r="D128" s="114" t="inlineStr">
        <is>
          <t>Contratación de proveedor para la elaboración de medallas y trofeos para premiar campeonatos de modalidades deportivas del área de deportes</t>
        </is>
      </c>
      <c r="E128" s="114" t="n">
        <v>4</v>
      </c>
      <c r="F128" s="114" t="inlineStr">
        <is>
          <t>MENOR CUANTIA</t>
        </is>
      </c>
      <c r="G128" s="118" t="inlineStr">
        <is>
          <t>$200.000.000</t>
        </is>
      </c>
      <c r="H128" s="114" t="inlineStr">
        <is>
          <t xml:space="preserve">VICERRECTOR ACADEMICO </t>
        </is>
      </c>
      <c r="I128" s="114" t="n"/>
      <c r="J128" s="114" t="inlineStr">
        <is>
          <t>viceacademica@itc.edu.co</t>
        </is>
      </c>
      <c r="K128" s="114" t="n"/>
      <c r="L128" s="119" t="inlineStr">
        <is>
          <t>120 · Vicerrectoría Académica</t>
        </is>
      </c>
      <c r="M128" s="120" t="n">
        <v>200000000</v>
      </c>
      <c r="N128" s="119" t="inlineStr">
        <is>
          <t>Selección abreviada de menor cuantía</t>
        </is>
      </c>
      <c r="O128" s="119">
        <f>IF(LEN(IF(OR(NOT(ISNUMBER(B128)),LEN(B128)&lt;&gt;8),"UNSPSC vacío, en texto, con varios códigos o sin 8 dígitos; ","")&amp;IF(AND(ISNUMBER(B128),LEN(B128)=8),IF(MOD(B128,10000)=0,"UNSPSC a nivel de segmento o familia; ",""),"")&amp;IF(NOT(ISNUMBER(E128)),"Duración vacía o en texto; ","")&amp;IF(NOT(ISNUMBER(G128)),"Valor vacío o en texto; ","")&amp;IF(ISNUMBER(M128),IF(M128&lt;1000000,"Valor inferior a $1.000.000: verificar; ",""),"Valor no interpretable; ")&amp;IF(N128="[PENDIENTE DE VERIFICAR]","Modalidad no identificable; ","")&amp;IF(OR(ISERROR(SEARCH("@itc.edu.co",J128)),SUMPRODUCT(--ISNUMBER(SEARCH({"á","é","í","ó","ú","ñ"},J128)))&gt;0),"Correo vacío o no institucional válido; ","")&amp;IF(LEN(TRIM(D128))=0,"Sin objeto contractual; ","")&amp;IF(AND(ISNUMBER(M128),N128="Mínima cuantía"),IF(M128&gt;39850000,"Mínima cuantía con valor superior al tope citado en el instructivo 2026 ($39.850.000): verificar modalidad; ",""),"")&amp;IF(AND(ISNUMBER(M128),OR(ISNUMBER(SEARCH("prestación de servicios",D128)),ISNUMBER(SEARCH("prestar servicios",D128)),ISNUMBER(SEARCH("prestar los servicios",D128)))),IF(M128&gt;=500000000,"Prestación de servicios por $500 millones o más: posible error de digitación; ",""),""))=0,"Sin observaciones",IF(OR(NOT(ISNUMBER(B128)),LEN(B128)&lt;&gt;8),"UNSPSC vacío, en texto, con varios códigos o sin 8 dígitos; ","")&amp;IF(AND(ISNUMBER(B128),LEN(B128)=8),IF(MOD(B128,10000)=0,"UNSPSC a nivel de segmento o familia; ",""),"")&amp;IF(NOT(ISNUMBER(E128)),"Duración vacía o en texto; ","")&amp;IF(NOT(ISNUMBER(G128)),"Valor vacío o en texto; ","")&amp;IF(ISNUMBER(M128),IF(M128&lt;1000000,"Valor inferior a $1.000.000: verificar; ",""),"Valor no interpretable; ")&amp;IF(N128="[PENDIENTE DE VERIFICAR]","Modalidad no identificable; ","")&amp;IF(OR(ISERROR(SEARCH("@itc.edu.co",J128)),SUMPRODUCT(--ISNUMBER(SEARCH({"á","é","í","ó","ú","ñ"},J128)))&gt;0),"Correo vacío o no institucional válido; ","")&amp;IF(LEN(TRIM(D128))=0,"Sin objeto contractual; ","")&amp;IF(AND(ISNUMBER(M128),N128="Mínima cuantía"),IF(M128&gt;39850000,"Mínima cuantía con valor superior al tope citado en el instructivo 2026 ($39.850.000): verificar modalidad; ",""),"")&amp;IF(AND(ISNUMBER(M128),OR(ISNUMBER(SEARCH("prestación de servicios",D128)),ISNUMBER(SEARCH("prestar servicios",D128)),ISNUMBER(SEARCH("prestar los servicios",D128)))),IF(M128&gt;=500000000,"Prestación de servicios por $500 millones o más: posible error de digitación; ",""),""))</f>
        <v/>
      </c>
    </row>
    <row r="129" ht="22.8" customHeight="1" s="23">
      <c r="A129" s="114" t="inlineStr">
        <is>
          <t>PN26-125</t>
        </is>
      </c>
      <c r="B129" s="114" t="n">
        <v>53102700</v>
      </c>
      <c r="C129" s="114" t="inlineStr">
        <is>
          <t>Bienestar Universitario</t>
        </is>
      </c>
      <c r="D129" s="114" t="inlineStr">
        <is>
          <t>Diseño y elaboración de uniformes seleciones deportivas de Bienestar Universitario, IBTI, Bienestar Laboral y comunicaciones</t>
        </is>
      </c>
      <c r="E129" s="114" t="n">
        <v>4</v>
      </c>
      <c r="F129" s="114" t="inlineStr">
        <is>
          <t>MENOR CUANTIA</t>
        </is>
      </c>
      <c r="G129" s="118" t="n">
        <v>62000000</v>
      </c>
      <c r="H129" s="114" t="inlineStr">
        <is>
          <t xml:space="preserve">VICERRECTOR ACADEMICO </t>
        </is>
      </c>
      <c r="I129" s="114" t="n"/>
      <c r="J129" s="114" t="inlineStr">
        <is>
          <t>viceacademica@itc.edu.co</t>
        </is>
      </c>
      <c r="K129" s="114" t="n"/>
      <c r="L129" s="119" t="inlineStr">
        <is>
          <t>120 · Vicerrectoría Académica</t>
        </is>
      </c>
      <c r="M129" s="120" t="n">
        <v>62000000</v>
      </c>
      <c r="N129" s="119" t="inlineStr">
        <is>
          <t>Selección abreviada de menor cuantía</t>
        </is>
      </c>
      <c r="O129" s="119">
        <f>IF(LEN(IF(OR(NOT(ISNUMBER(B129)),LEN(B129)&lt;&gt;8),"UNSPSC vacío, en texto, con varios códigos o sin 8 dígitos; ","")&amp;IF(AND(ISNUMBER(B129),LEN(B129)=8),IF(MOD(B129,10000)=0,"UNSPSC a nivel de segmento o familia; ",""),"")&amp;IF(NOT(ISNUMBER(E129)),"Duración vacía o en texto; ","")&amp;IF(NOT(ISNUMBER(G129)),"Valor vacío o en texto; ","")&amp;IF(ISNUMBER(M129),IF(M129&lt;1000000,"Valor inferior a $1.000.000: verificar; ",""),"Valor no interpretable; ")&amp;IF(N129="[PENDIENTE DE VERIFICAR]","Modalidad no identificable; ","")&amp;IF(OR(ISERROR(SEARCH("@itc.edu.co",J129)),SUMPRODUCT(--ISNUMBER(SEARCH({"á","é","í","ó","ú","ñ"},J129)))&gt;0),"Correo vacío o no institucional válido; ","")&amp;IF(LEN(TRIM(D129))=0,"Sin objeto contractual; ","")&amp;IF(AND(ISNUMBER(M129),N129="Mínima cuantía"),IF(M129&gt;39850000,"Mínima cuantía con valor superior al tope citado en el instructivo 2026 ($39.850.000): verificar modalidad; ",""),"")&amp;IF(AND(ISNUMBER(M129),OR(ISNUMBER(SEARCH("prestación de servicios",D129)),ISNUMBER(SEARCH("prestar servicios",D129)),ISNUMBER(SEARCH("prestar los servicios",D129)))),IF(M129&gt;=500000000,"Prestación de servicios por $500 millones o más: posible error de digitación; ",""),""))=0,"Sin observaciones",IF(OR(NOT(ISNUMBER(B129)),LEN(B129)&lt;&gt;8),"UNSPSC vacío, en texto, con varios códigos o sin 8 dígitos; ","")&amp;IF(AND(ISNUMBER(B129),LEN(B129)=8),IF(MOD(B129,10000)=0,"UNSPSC a nivel de segmento o familia; ",""),"")&amp;IF(NOT(ISNUMBER(E129)),"Duración vacía o en texto; ","")&amp;IF(NOT(ISNUMBER(G129)),"Valor vacío o en texto; ","")&amp;IF(ISNUMBER(M129),IF(M129&lt;1000000,"Valor inferior a $1.000.000: verificar; ",""),"Valor no interpretable; ")&amp;IF(N129="[PENDIENTE DE VERIFICAR]","Modalidad no identificable; ","")&amp;IF(OR(ISERROR(SEARCH("@itc.edu.co",J129)),SUMPRODUCT(--ISNUMBER(SEARCH({"á","é","í","ó","ú","ñ"},J129)))&gt;0),"Correo vacío o no institucional válido; ","")&amp;IF(LEN(TRIM(D129))=0,"Sin objeto contractual; ","")&amp;IF(AND(ISNUMBER(M129),N129="Mínima cuantía"),IF(M129&gt;39850000,"Mínima cuantía con valor superior al tope citado en el instructivo 2026 ($39.850.000): verificar modalidad; ",""),"")&amp;IF(AND(ISNUMBER(M129),OR(ISNUMBER(SEARCH("prestación de servicios",D129)),ISNUMBER(SEARCH("prestar servicios",D129)),ISNUMBER(SEARCH("prestar los servicios",D129)))),IF(M129&gt;=500000000,"Prestación de servicios por $500 millones o más: posible error de digitación; ",""),""))</f>
        <v/>
      </c>
    </row>
    <row r="130" ht="22.8" customHeight="1" s="23">
      <c r="A130" s="114" t="inlineStr">
        <is>
          <t>PN26-126</t>
        </is>
      </c>
      <c r="B130" s="114" t="n">
        <v>53102717</v>
      </c>
      <c r="C130" s="114" t="inlineStr">
        <is>
          <t>Bienestar Universitario</t>
        </is>
      </c>
      <c r="D130" s="114" t="inlineStr">
        <is>
          <t>Adquisición de elementos deportivos para las modalidades de voleibol, baloncesto, futsal y tenis de mesa</t>
        </is>
      </c>
      <c r="E130" s="114" t="n">
        <v>4</v>
      </c>
      <c r="F130" s="114" t="inlineStr">
        <is>
          <t>MENOR CUANTIA</t>
        </is>
      </c>
      <c r="G130" s="118" t="inlineStr">
        <is>
          <t>$ 40.000.000</t>
        </is>
      </c>
      <c r="H130" s="114" t="inlineStr">
        <is>
          <t xml:space="preserve">VICERRECTOR ACADEMICO </t>
        </is>
      </c>
      <c r="I130" s="114" t="n"/>
      <c r="J130" s="114" t="inlineStr">
        <is>
          <t>viceacademica@itc.edu.co</t>
        </is>
      </c>
      <c r="K130" s="114" t="n"/>
      <c r="L130" s="119" t="inlineStr">
        <is>
          <t>120 · Vicerrectoría Académica</t>
        </is>
      </c>
      <c r="M130" s="120" t="n">
        <v>40000000</v>
      </c>
      <c r="N130" s="119" t="inlineStr">
        <is>
          <t>Selección abreviada de menor cuantía</t>
        </is>
      </c>
      <c r="O130" s="119">
        <f>IF(LEN(IF(OR(NOT(ISNUMBER(B130)),LEN(B130)&lt;&gt;8),"UNSPSC vacío, en texto, con varios códigos o sin 8 dígitos; ","")&amp;IF(AND(ISNUMBER(B130),LEN(B130)=8),IF(MOD(B130,10000)=0,"UNSPSC a nivel de segmento o familia; ",""),"")&amp;IF(NOT(ISNUMBER(E130)),"Duración vacía o en texto; ","")&amp;IF(NOT(ISNUMBER(G130)),"Valor vacío o en texto; ","")&amp;IF(ISNUMBER(M130),IF(M130&lt;1000000,"Valor inferior a $1.000.000: verificar; ",""),"Valor no interpretable; ")&amp;IF(N130="[PENDIENTE DE VERIFICAR]","Modalidad no identificable; ","")&amp;IF(OR(ISERROR(SEARCH("@itc.edu.co",J130)),SUMPRODUCT(--ISNUMBER(SEARCH({"á","é","í","ó","ú","ñ"},J130)))&gt;0),"Correo vacío o no institucional válido; ","")&amp;IF(LEN(TRIM(D130))=0,"Sin objeto contractual; ","")&amp;IF(AND(ISNUMBER(M130),N130="Mínima cuantía"),IF(M130&gt;39850000,"Mínima cuantía con valor superior al tope citado en el instructivo 2026 ($39.850.000): verificar modalidad; ",""),"")&amp;IF(AND(ISNUMBER(M130),OR(ISNUMBER(SEARCH("prestación de servicios",D130)),ISNUMBER(SEARCH("prestar servicios",D130)),ISNUMBER(SEARCH("prestar los servicios",D130)))),IF(M130&gt;=500000000,"Prestación de servicios por $500 millones o más: posible error de digitación; ",""),""))=0,"Sin observaciones",IF(OR(NOT(ISNUMBER(B130)),LEN(B130)&lt;&gt;8),"UNSPSC vacío, en texto, con varios códigos o sin 8 dígitos; ","")&amp;IF(AND(ISNUMBER(B130),LEN(B130)=8),IF(MOD(B130,10000)=0,"UNSPSC a nivel de segmento o familia; ",""),"")&amp;IF(NOT(ISNUMBER(E130)),"Duración vacía o en texto; ","")&amp;IF(NOT(ISNUMBER(G130)),"Valor vacío o en texto; ","")&amp;IF(ISNUMBER(M130),IF(M130&lt;1000000,"Valor inferior a $1.000.000: verificar; ",""),"Valor no interpretable; ")&amp;IF(N130="[PENDIENTE DE VERIFICAR]","Modalidad no identificable; ","")&amp;IF(OR(ISERROR(SEARCH("@itc.edu.co",J130)),SUMPRODUCT(--ISNUMBER(SEARCH({"á","é","í","ó","ú","ñ"},J130)))&gt;0),"Correo vacío o no institucional válido; ","")&amp;IF(LEN(TRIM(D130))=0,"Sin objeto contractual; ","")&amp;IF(AND(ISNUMBER(M130),N130="Mínima cuantía"),IF(M130&gt;39850000,"Mínima cuantía con valor superior al tope citado en el instructivo 2026 ($39.850.000): verificar modalidad; ",""),"")&amp;IF(AND(ISNUMBER(M130),OR(ISNUMBER(SEARCH("prestación de servicios",D130)),ISNUMBER(SEARCH("prestar servicios",D130)),ISNUMBER(SEARCH("prestar los servicios",D130)))),IF(M130&gt;=500000000,"Prestación de servicios por $500 millones o más: posible error de digitación; ",""),""))</f>
        <v/>
      </c>
    </row>
    <row r="131" ht="159.6" customHeight="1" s="23">
      <c r="A131" s="114" t="inlineStr">
        <is>
          <t>PN26-127</t>
        </is>
      </c>
      <c r="B131" s="114" t="n">
        <v>44121600</v>
      </c>
      <c r="C131" s="114" t="inlineStr">
        <is>
          <t xml:space="preserve">Bienestar Universitario </t>
        </is>
      </c>
      <c r="D131" s="114" t="inlineStr">
        <is>
          <t>Adquisicion de IPP-R ( IPP-R. Inventario de Intereses y Preferencias Profesionales – Revisado (b) IPP-R. Inventario de Intereses y Preferencias Profesionales – Revisado – Juego completo (Manual, 10 Cuadernillos, Kit corrección 200 usos) Código 2H0200, y  IHE. Inventario de Hábitos de Estudio (a) Evaluación de los hábitos de trabajo y estudio mediante cuatro escalas (Condiciones ambientales del estudio, Planificación del estudio, Utilización de materiales y Asimilación de contenidos) y una adicional de sinceridad. Juego completo (Manual, 10 Cuadernillos, 200 Hojas de respuestas autocorregibles) Código : 2H0100, 4 Juegos para estimulación de la memoria SIMON, 4 juegos para estimulación del lenguaje FORMAPALABRAS 
 3 Atril para baja vision en Madera Graduable, elementos necesarios para la atención de situaciones de crisis emocionales:  Dispensador de agua, Pañuelos desechables.  Kit para primeros auxilios psicológicos, que consta de tarjetas para fortalecer la auto regulación ante situaciones de alto impacto emocional</t>
        </is>
      </c>
      <c r="E131" s="114" t="n">
        <v>6</v>
      </c>
      <c r="F131" s="114" t="inlineStr">
        <is>
          <t>MENOR CUANTIA</t>
        </is>
      </c>
      <c r="G131" s="118" t="n">
        <v>9000000</v>
      </c>
      <c r="H131" s="114" t="inlineStr">
        <is>
          <t xml:space="preserve">VICERRECTOR ACADEMICO </t>
        </is>
      </c>
      <c r="I131" s="114" t="n"/>
      <c r="J131" s="114" t="inlineStr">
        <is>
          <t>viceacademica@itc.edu.co</t>
        </is>
      </c>
      <c r="K131" s="114" t="n"/>
      <c r="L131" s="119" t="inlineStr">
        <is>
          <t>120 · Vicerrectoría Académica</t>
        </is>
      </c>
      <c r="M131" s="120" t="n">
        <v>9000000</v>
      </c>
      <c r="N131" s="119" t="inlineStr">
        <is>
          <t>Selección abreviada de menor cuantía</t>
        </is>
      </c>
      <c r="O131" s="119">
        <f>IF(LEN(IF(OR(NOT(ISNUMBER(B131)),LEN(B131)&lt;&gt;8),"UNSPSC vacío, en texto, con varios códigos o sin 8 dígitos; ","")&amp;IF(AND(ISNUMBER(B131),LEN(B131)=8),IF(MOD(B131,10000)=0,"UNSPSC a nivel de segmento o familia; ",""),"")&amp;IF(NOT(ISNUMBER(E131)),"Duración vacía o en texto; ","")&amp;IF(NOT(ISNUMBER(G131)),"Valor vacío o en texto; ","")&amp;IF(ISNUMBER(M131),IF(M131&lt;1000000,"Valor inferior a $1.000.000: verificar; ",""),"Valor no interpretable; ")&amp;IF(N131="[PENDIENTE DE VERIFICAR]","Modalidad no identificable; ","")&amp;IF(OR(ISERROR(SEARCH("@itc.edu.co",J131)),SUMPRODUCT(--ISNUMBER(SEARCH({"á","é","í","ó","ú","ñ"},J131)))&gt;0),"Correo vacío o no institucional válido; ","")&amp;IF(LEN(TRIM(D131))=0,"Sin objeto contractual; ","")&amp;IF(AND(ISNUMBER(M131),N131="Mínima cuantía"),IF(M131&gt;39850000,"Mínima cuantía con valor superior al tope citado en el instructivo 2026 ($39.850.000): verificar modalidad; ",""),"")&amp;IF(AND(ISNUMBER(M131),OR(ISNUMBER(SEARCH("prestación de servicios",D131)),ISNUMBER(SEARCH("prestar servicios",D131)),ISNUMBER(SEARCH("prestar los servicios",D131)))),IF(M131&gt;=500000000,"Prestación de servicios por $500 millones o más: posible error de digitación; ",""),""))=0,"Sin observaciones",IF(OR(NOT(ISNUMBER(B131)),LEN(B131)&lt;&gt;8),"UNSPSC vacío, en texto, con varios códigos o sin 8 dígitos; ","")&amp;IF(AND(ISNUMBER(B131),LEN(B131)=8),IF(MOD(B131,10000)=0,"UNSPSC a nivel de segmento o familia; ",""),"")&amp;IF(NOT(ISNUMBER(E131)),"Duración vacía o en texto; ","")&amp;IF(NOT(ISNUMBER(G131)),"Valor vacío o en texto; ","")&amp;IF(ISNUMBER(M131),IF(M131&lt;1000000,"Valor inferior a $1.000.000: verificar; ",""),"Valor no interpretable; ")&amp;IF(N131="[PENDIENTE DE VERIFICAR]","Modalidad no identificable; ","")&amp;IF(OR(ISERROR(SEARCH("@itc.edu.co",J131)),SUMPRODUCT(--ISNUMBER(SEARCH({"á","é","í","ó","ú","ñ"},J131)))&gt;0),"Correo vacío o no institucional válido; ","")&amp;IF(LEN(TRIM(D131))=0,"Sin objeto contractual; ","")&amp;IF(AND(ISNUMBER(M131),N131="Mínima cuantía"),IF(M131&gt;39850000,"Mínima cuantía con valor superior al tope citado en el instructivo 2026 ($39.850.000): verificar modalidad; ",""),"")&amp;IF(AND(ISNUMBER(M131),OR(ISNUMBER(SEARCH("prestación de servicios",D131)),ISNUMBER(SEARCH("prestar servicios",D131)),ISNUMBER(SEARCH("prestar los servicios",D131)))),IF(M131&gt;=500000000,"Prestación de servicios por $500 millones o más: posible error de digitación; ",""),""))</f>
        <v/>
      </c>
    </row>
    <row r="132" ht="34.2" customHeight="1" s="23">
      <c r="A132" s="114" t="inlineStr">
        <is>
          <t>PN26-128</t>
        </is>
      </c>
      <c r="B132" s="114" t="n"/>
      <c r="C132" s="114" t="n"/>
      <c r="D132" s="114" t="inlineStr">
        <is>
          <t>Adqusición de 4 toner impresora  Toner Black (High Yield) 842370 Toner Cian (High Yield) 842371 Toner Magenta (High Yield) 842372 Toner Yellow (High Yield) 842373</t>
        </is>
      </c>
      <c r="E132" s="114" t="n"/>
      <c r="F132" s="114" t="n"/>
      <c r="G132" s="118" t="inlineStr">
        <is>
          <t xml:space="preserve"> $                   4.000.000,00</t>
        </is>
      </c>
      <c r="H132" s="114" t="inlineStr">
        <is>
          <t xml:space="preserve">VICERRECTOR ACADEMICO </t>
        </is>
      </c>
      <c r="I132" s="114" t="n"/>
      <c r="J132" s="114" t="inlineStr">
        <is>
          <t>viceacademica@itc.edu.co</t>
        </is>
      </c>
      <c r="K132" s="114" t="n"/>
      <c r="L132" s="119" t="inlineStr">
        <is>
          <t>120 · Vicerrectoría Académica</t>
        </is>
      </c>
      <c r="M132" s="120" t="n">
        <v>4000000</v>
      </c>
      <c r="N132" s="119" t="inlineStr">
        <is>
          <t>[PENDIENTE DE VERIFICAR]</t>
        </is>
      </c>
      <c r="O132" s="119">
        <f>IF(LEN(IF(OR(NOT(ISNUMBER(B132)),LEN(B132)&lt;&gt;8),"UNSPSC vacío, en texto, con varios códigos o sin 8 dígitos; ","")&amp;IF(AND(ISNUMBER(B132),LEN(B132)=8),IF(MOD(B132,10000)=0,"UNSPSC a nivel de segmento o familia; ",""),"")&amp;IF(NOT(ISNUMBER(E132)),"Duración vacía o en texto; ","")&amp;IF(NOT(ISNUMBER(G132)),"Valor vacío o en texto; ","")&amp;IF(ISNUMBER(M132),IF(M132&lt;1000000,"Valor inferior a $1.000.000: verificar; ",""),"Valor no interpretable; ")&amp;IF(N132="[PENDIENTE DE VERIFICAR]","Modalidad no identificable; ","")&amp;IF(OR(ISERROR(SEARCH("@itc.edu.co",J132)),SUMPRODUCT(--ISNUMBER(SEARCH({"á","é","í","ó","ú","ñ"},J132)))&gt;0),"Correo vacío o no institucional válido; ","")&amp;IF(LEN(TRIM(D132))=0,"Sin objeto contractual; ","")&amp;IF(AND(ISNUMBER(M132),N132="Mínima cuantía"),IF(M132&gt;39850000,"Mínima cuantía con valor superior al tope citado en el instructivo 2026 ($39.850.000): verificar modalidad; ",""),"")&amp;IF(AND(ISNUMBER(M132),OR(ISNUMBER(SEARCH("prestación de servicios",D132)),ISNUMBER(SEARCH("prestar servicios",D132)),ISNUMBER(SEARCH("prestar los servicios",D132)))),IF(M132&gt;=500000000,"Prestación de servicios por $500 millones o más: posible error de digitación; ",""),""))=0,"Sin observaciones",IF(OR(NOT(ISNUMBER(B132)),LEN(B132)&lt;&gt;8),"UNSPSC vacío, en texto, con varios códigos o sin 8 dígitos; ","")&amp;IF(AND(ISNUMBER(B132),LEN(B132)=8),IF(MOD(B132,10000)=0,"UNSPSC a nivel de segmento o familia; ",""),"")&amp;IF(NOT(ISNUMBER(E132)),"Duración vacía o en texto; ","")&amp;IF(NOT(ISNUMBER(G132)),"Valor vacío o en texto; ","")&amp;IF(ISNUMBER(M132),IF(M132&lt;1000000,"Valor inferior a $1.000.000: verificar; ",""),"Valor no interpretable; ")&amp;IF(N132="[PENDIENTE DE VERIFICAR]","Modalidad no identificable; ","")&amp;IF(OR(ISERROR(SEARCH("@itc.edu.co",J132)),SUMPRODUCT(--ISNUMBER(SEARCH({"á","é","í","ó","ú","ñ"},J132)))&gt;0),"Correo vacío o no institucional válido; ","")&amp;IF(LEN(TRIM(D132))=0,"Sin objeto contractual; ","")&amp;IF(AND(ISNUMBER(M132),N132="Mínima cuantía"),IF(M132&gt;39850000,"Mínima cuantía con valor superior al tope citado en el instructivo 2026 ($39.850.000): verificar modalidad; ",""),"")&amp;IF(AND(ISNUMBER(M132),OR(ISNUMBER(SEARCH("prestación de servicios",D132)),ISNUMBER(SEARCH("prestar servicios",D132)),ISNUMBER(SEARCH("prestar los servicios",D132)))),IF(M132&gt;=500000000,"Prestación de servicios por $500 millones o más: posible error de digitación; ",""),""))</f>
        <v/>
      </c>
    </row>
    <row r="133" ht="22.8" customHeight="1" s="23">
      <c r="A133" s="114" t="inlineStr">
        <is>
          <t>PN26-129</t>
        </is>
      </c>
      <c r="B133" s="114" t="n">
        <v>44103103</v>
      </c>
      <c r="C133" s="114" t="inlineStr">
        <is>
          <t xml:space="preserve">Bienestar Universitario </t>
        </is>
      </c>
      <c r="D133" s="114" t="inlineStr">
        <is>
          <t xml:space="preserve">Adquisición de 15 Tableros de Ajedrez 42X42. Enrrollable en lona y  15 temporizador reloj de ajedrez. </t>
        </is>
      </c>
      <c r="E133" s="114" t="n">
        <v>4</v>
      </c>
      <c r="F133" s="114" t="inlineStr">
        <is>
          <t>MENOR CUANTIA</t>
        </is>
      </c>
      <c r="G133" s="118" t="inlineStr">
        <is>
          <t xml:space="preserve"> $                   2.250.000,00</t>
        </is>
      </c>
      <c r="H133" s="114" t="inlineStr">
        <is>
          <t xml:space="preserve">VICERRECTOR ACADEMICO </t>
        </is>
      </c>
      <c r="I133" s="114" t="n"/>
      <c r="J133" s="114" t="inlineStr">
        <is>
          <t>viceacademica@itc.edu.co</t>
        </is>
      </c>
      <c r="K133" s="114" t="n"/>
      <c r="L133" s="119" t="inlineStr">
        <is>
          <t>120 · Vicerrectoría Académica</t>
        </is>
      </c>
      <c r="M133" s="120" t="n">
        <v>2250000</v>
      </c>
      <c r="N133" s="119" t="inlineStr">
        <is>
          <t>Selección abreviada de menor cuantía</t>
        </is>
      </c>
      <c r="O133" s="119">
        <f>IF(LEN(IF(OR(NOT(ISNUMBER(B133)),LEN(B133)&lt;&gt;8),"UNSPSC vacío, en texto, con varios códigos o sin 8 dígitos; ","")&amp;IF(AND(ISNUMBER(B133),LEN(B133)=8),IF(MOD(B133,10000)=0,"UNSPSC a nivel de segmento o familia; ",""),"")&amp;IF(NOT(ISNUMBER(E133)),"Duración vacía o en texto; ","")&amp;IF(NOT(ISNUMBER(G133)),"Valor vacío o en texto; ","")&amp;IF(ISNUMBER(M133),IF(M133&lt;1000000,"Valor inferior a $1.000.000: verificar; ",""),"Valor no interpretable; ")&amp;IF(N133="[PENDIENTE DE VERIFICAR]","Modalidad no identificable; ","")&amp;IF(OR(ISERROR(SEARCH("@itc.edu.co",J133)),SUMPRODUCT(--ISNUMBER(SEARCH({"á","é","í","ó","ú","ñ"},J133)))&gt;0),"Correo vacío o no institucional válido; ","")&amp;IF(LEN(TRIM(D133))=0,"Sin objeto contractual; ","")&amp;IF(AND(ISNUMBER(M133),N133="Mínima cuantía"),IF(M133&gt;39850000,"Mínima cuantía con valor superior al tope citado en el instructivo 2026 ($39.850.000): verificar modalidad; ",""),"")&amp;IF(AND(ISNUMBER(M133),OR(ISNUMBER(SEARCH("prestación de servicios",D133)),ISNUMBER(SEARCH("prestar servicios",D133)),ISNUMBER(SEARCH("prestar los servicios",D133)))),IF(M133&gt;=500000000,"Prestación de servicios por $500 millones o más: posible error de digitación; ",""),""))=0,"Sin observaciones",IF(OR(NOT(ISNUMBER(B133)),LEN(B133)&lt;&gt;8),"UNSPSC vacío, en texto, con varios códigos o sin 8 dígitos; ","")&amp;IF(AND(ISNUMBER(B133),LEN(B133)=8),IF(MOD(B133,10000)=0,"UNSPSC a nivel de segmento o familia; ",""),"")&amp;IF(NOT(ISNUMBER(E133)),"Duración vacía o en texto; ","")&amp;IF(NOT(ISNUMBER(G133)),"Valor vacío o en texto; ","")&amp;IF(ISNUMBER(M133),IF(M133&lt;1000000,"Valor inferior a $1.000.000: verificar; ",""),"Valor no interpretable; ")&amp;IF(N133="[PENDIENTE DE VERIFICAR]","Modalidad no identificable; ","")&amp;IF(OR(ISERROR(SEARCH("@itc.edu.co",J133)),SUMPRODUCT(--ISNUMBER(SEARCH({"á","é","í","ó","ú","ñ"},J133)))&gt;0),"Correo vacío o no institucional válido; ","")&amp;IF(LEN(TRIM(D133))=0,"Sin objeto contractual; ","")&amp;IF(AND(ISNUMBER(M133),N133="Mínima cuantía"),IF(M133&gt;39850000,"Mínima cuantía con valor superior al tope citado en el instructivo 2026 ($39.850.000): verificar modalidad; ",""),"")&amp;IF(AND(ISNUMBER(M133),OR(ISNUMBER(SEARCH("prestación de servicios",D133)),ISNUMBER(SEARCH("prestar servicios",D133)),ISNUMBER(SEARCH("prestar los servicios",D133)))),IF(M133&gt;=500000000,"Prestación de servicios por $500 millones o más: posible error de digitación; ",""),""))</f>
        <v/>
      </c>
    </row>
    <row r="134" ht="22.8" customHeight="1" s="23">
      <c r="A134" s="114" t="inlineStr">
        <is>
          <t>PN26-130</t>
        </is>
      </c>
      <c r="B134" s="114" t="n">
        <v>44103103</v>
      </c>
      <c r="C134" s="114" t="inlineStr">
        <is>
          <t xml:space="preserve">Bienestar Universitario </t>
        </is>
      </c>
      <c r="D134" s="114" t="inlineStr">
        <is>
          <t>3 Teléfonos celulares smartphone gama media,  incluido plan ilimitado de minutos y plan de datos con acceso a redes</t>
        </is>
      </c>
      <c r="E134" s="114" t="n">
        <v>4</v>
      </c>
      <c r="F134" s="114" t="inlineStr">
        <is>
          <t>MENOR CUANTIA</t>
        </is>
      </c>
      <c r="G134" s="118" t="n">
        <v>7000000</v>
      </c>
      <c r="H134" s="114" t="inlineStr">
        <is>
          <t xml:space="preserve">VICERRECTOR ACADEMICO </t>
        </is>
      </c>
      <c r="I134" s="114" t="n"/>
      <c r="J134" s="114" t="inlineStr">
        <is>
          <t>viceacademica@itc.edu.co</t>
        </is>
      </c>
      <c r="K134" s="114" t="n"/>
      <c r="L134" s="119" t="inlineStr">
        <is>
          <t>120 · Vicerrectoría Académica</t>
        </is>
      </c>
      <c r="M134" s="120" t="n">
        <v>7000000</v>
      </c>
      <c r="N134" s="119" t="inlineStr">
        <is>
          <t>Selección abreviada de menor cuantía</t>
        </is>
      </c>
      <c r="O134" s="119">
        <f>IF(LEN(IF(OR(NOT(ISNUMBER(B134)),LEN(B134)&lt;&gt;8),"UNSPSC vacío, en texto, con varios códigos o sin 8 dígitos; ","")&amp;IF(AND(ISNUMBER(B134),LEN(B134)=8),IF(MOD(B134,10000)=0,"UNSPSC a nivel de segmento o familia; ",""),"")&amp;IF(NOT(ISNUMBER(E134)),"Duración vacía o en texto; ","")&amp;IF(NOT(ISNUMBER(G134)),"Valor vacío o en texto; ","")&amp;IF(ISNUMBER(M134),IF(M134&lt;1000000,"Valor inferior a $1.000.000: verificar; ",""),"Valor no interpretable; ")&amp;IF(N134="[PENDIENTE DE VERIFICAR]","Modalidad no identificable; ","")&amp;IF(OR(ISERROR(SEARCH("@itc.edu.co",J134)),SUMPRODUCT(--ISNUMBER(SEARCH({"á","é","í","ó","ú","ñ"},J134)))&gt;0),"Correo vacío o no institucional válido; ","")&amp;IF(LEN(TRIM(D134))=0,"Sin objeto contractual; ","")&amp;IF(AND(ISNUMBER(M134),N134="Mínima cuantía"),IF(M134&gt;39850000,"Mínima cuantía con valor superior al tope citado en el instructivo 2026 ($39.850.000): verificar modalidad; ",""),"")&amp;IF(AND(ISNUMBER(M134),OR(ISNUMBER(SEARCH("prestación de servicios",D134)),ISNUMBER(SEARCH("prestar servicios",D134)),ISNUMBER(SEARCH("prestar los servicios",D134)))),IF(M134&gt;=500000000,"Prestación de servicios por $500 millones o más: posible error de digitación; ",""),""))=0,"Sin observaciones",IF(OR(NOT(ISNUMBER(B134)),LEN(B134)&lt;&gt;8),"UNSPSC vacío, en texto, con varios códigos o sin 8 dígitos; ","")&amp;IF(AND(ISNUMBER(B134),LEN(B134)=8),IF(MOD(B134,10000)=0,"UNSPSC a nivel de segmento o familia; ",""),"")&amp;IF(NOT(ISNUMBER(E134)),"Duración vacía o en texto; ","")&amp;IF(NOT(ISNUMBER(G134)),"Valor vacío o en texto; ","")&amp;IF(ISNUMBER(M134),IF(M134&lt;1000000,"Valor inferior a $1.000.000: verificar; ",""),"Valor no interpretable; ")&amp;IF(N134="[PENDIENTE DE VERIFICAR]","Modalidad no identificable; ","")&amp;IF(OR(ISERROR(SEARCH("@itc.edu.co",J134)),SUMPRODUCT(--ISNUMBER(SEARCH({"á","é","í","ó","ú","ñ"},J134)))&gt;0),"Correo vacío o no institucional válido; ","")&amp;IF(LEN(TRIM(D134))=0,"Sin objeto contractual; ","")&amp;IF(AND(ISNUMBER(M134),N134="Mínima cuantía"),IF(M134&gt;39850000,"Mínima cuantía con valor superior al tope citado en el instructivo 2026 ($39.850.000): verificar modalidad; ",""),"")&amp;IF(AND(ISNUMBER(M134),OR(ISNUMBER(SEARCH("prestación de servicios",D134)),ISNUMBER(SEARCH("prestar servicios",D134)),ISNUMBER(SEARCH("prestar los servicios",D134)))),IF(M134&gt;=500000000,"Prestación de servicios por $500 millones o más: posible error de digitación; ",""),""))</f>
        <v/>
      </c>
    </row>
    <row r="135" ht="125.4" customHeight="1" s="23">
      <c r="A135" s="114" t="inlineStr">
        <is>
          <t>PN26-131</t>
        </is>
      </c>
      <c r="B135" s="114" t="n">
        <v>14111509</v>
      </c>
      <c r="C135" s="114" t="inlineStr">
        <is>
          <t xml:space="preserve">Bienestar Universitario </t>
        </is>
      </c>
      <c r="D135" s="114" t="inlineStr">
        <is>
          <t>Adquisición de 40 Kit de lienzo para pintar por números 30x30 , 40 Kit de lienzo para pintar por números 50x40, 10 Juego bloques magnéticos para concentración, 40 juegos de Arte 5D Diamante 50x40,  150 AGENDAS 1/2 CARTA TAPA DURA FULL COLOR 100 INTERNAS BOND ARGOLLADOS 10 INSERTOS COTE 150 GRS, batería de Evaluación Cognitiva General (CAB) de CogniFit ( 100 evaluaciones),  materiales e insumos para talleres de arte, con el fin de suministrar los recursos necesarios para la realización de actividades formativas y creativas en los diferentes programas de arte, elaboración de poster de  de 2x3 tipo araña socialización servicios  de bienestar , poster de  de 2x3 tipo araña socializacion de proyectos externos ( renta joven-icetex, ruta de bienestar)</t>
        </is>
      </c>
      <c r="E135" s="114" t="n">
        <v>6</v>
      </c>
      <c r="F135" s="114" t="inlineStr">
        <is>
          <t>MENOR CUANTIA</t>
        </is>
      </c>
      <c r="G135" s="118" t="n">
        <v>47000000</v>
      </c>
      <c r="H135" s="114" t="inlineStr">
        <is>
          <t xml:space="preserve">VICERRECTOR ACADEMICO </t>
        </is>
      </c>
      <c r="I135" s="114" t="n"/>
      <c r="J135" s="114" t="inlineStr">
        <is>
          <t>viceacademica@itc.edu.co</t>
        </is>
      </c>
      <c r="K135" s="114" t="n"/>
      <c r="L135" s="119" t="inlineStr">
        <is>
          <t>120 · Vicerrectoría Académica</t>
        </is>
      </c>
      <c r="M135" s="120" t="n">
        <v>47000000</v>
      </c>
      <c r="N135" s="119" t="inlineStr">
        <is>
          <t>Selección abreviada de menor cuantía</t>
        </is>
      </c>
      <c r="O135" s="119">
        <f>IF(LEN(IF(OR(NOT(ISNUMBER(B135)),LEN(B135)&lt;&gt;8),"UNSPSC vacío, en texto, con varios códigos o sin 8 dígitos; ","")&amp;IF(AND(ISNUMBER(B135),LEN(B135)=8),IF(MOD(B135,10000)=0,"UNSPSC a nivel de segmento o familia; ",""),"")&amp;IF(NOT(ISNUMBER(E135)),"Duración vacía o en texto; ","")&amp;IF(NOT(ISNUMBER(G135)),"Valor vacío o en texto; ","")&amp;IF(ISNUMBER(M135),IF(M135&lt;1000000,"Valor inferior a $1.000.000: verificar; ",""),"Valor no interpretable; ")&amp;IF(N135="[PENDIENTE DE VERIFICAR]","Modalidad no identificable; ","")&amp;IF(OR(ISERROR(SEARCH("@itc.edu.co",J135)),SUMPRODUCT(--ISNUMBER(SEARCH({"á","é","í","ó","ú","ñ"},J135)))&gt;0),"Correo vacío o no institucional válido; ","")&amp;IF(LEN(TRIM(D135))=0,"Sin objeto contractual; ","")&amp;IF(AND(ISNUMBER(M135),N135="Mínima cuantía"),IF(M135&gt;39850000,"Mínima cuantía con valor superior al tope citado en el instructivo 2026 ($39.850.000): verificar modalidad; ",""),"")&amp;IF(AND(ISNUMBER(M135),OR(ISNUMBER(SEARCH("prestación de servicios",D135)),ISNUMBER(SEARCH("prestar servicios",D135)),ISNUMBER(SEARCH("prestar los servicios",D135)))),IF(M135&gt;=500000000,"Prestación de servicios por $500 millones o más: posible error de digitación; ",""),""))=0,"Sin observaciones",IF(OR(NOT(ISNUMBER(B135)),LEN(B135)&lt;&gt;8),"UNSPSC vacío, en texto, con varios códigos o sin 8 dígitos; ","")&amp;IF(AND(ISNUMBER(B135),LEN(B135)=8),IF(MOD(B135,10000)=0,"UNSPSC a nivel de segmento o familia; ",""),"")&amp;IF(NOT(ISNUMBER(E135)),"Duración vacía o en texto; ","")&amp;IF(NOT(ISNUMBER(G135)),"Valor vacío o en texto; ","")&amp;IF(ISNUMBER(M135),IF(M135&lt;1000000,"Valor inferior a $1.000.000: verificar; ",""),"Valor no interpretable; ")&amp;IF(N135="[PENDIENTE DE VERIFICAR]","Modalidad no identificable; ","")&amp;IF(OR(ISERROR(SEARCH("@itc.edu.co",J135)),SUMPRODUCT(--ISNUMBER(SEARCH({"á","é","í","ó","ú","ñ"},J135)))&gt;0),"Correo vacío o no institucional válido; ","")&amp;IF(LEN(TRIM(D135))=0,"Sin objeto contractual; ","")&amp;IF(AND(ISNUMBER(M135),N135="Mínima cuantía"),IF(M135&gt;39850000,"Mínima cuantía con valor superior al tope citado en el instructivo 2026 ($39.850.000): verificar modalidad; ",""),"")&amp;IF(AND(ISNUMBER(M135),OR(ISNUMBER(SEARCH("prestación de servicios",D135)),ISNUMBER(SEARCH("prestar servicios",D135)),ISNUMBER(SEARCH("prestar los servicios",D135)))),IF(M135&gt;=500000000,"Prestación de servicios por $500 millones o más: posible error de digitación; ",""),""))</f>
        <v/>
      </c>
    </row>
    <row r="136" ht="45.6" customHeight="1" s="23">
      <c r="A136" s="114" t="inlineStr">
        <is>
          <t>PN26-132</t>
        </is>
      </c>
      <c r="B136" s="114" t="n">
        <v>25174405</v>
      </c>
      <c r="C136" s="114" t="inlineStr">
        <is>
          <t xml:space="preserve">Bienestar Universitario </t>
        </is>
      </c>
      <c r="D136" s="114" t="inlineStr">
        <is>
          <t>Adquisición de elementos e insumos musicales, destinados a la dotación, reposición y adecuado funcionamiento de los instrumentos y equipos, con el fin de apoyar las actividades formativas, prácticas y artísticas desarrolladas en el área de Arte y Cultura.</t>
        </is>
      </c>
      <c r="E136" s="114" t="n">
        <v>6</v>
      </c>
      <c r="F136" s="114" t="inlineStr">
        <is>
          <t>MENOR CUANTIA</t>
        </is>
      </c>
      <c r="G136" s="118" t="inlineStr">
        <is>
          <t xml:space="preserve"> $                 40.000.000,00</t>
        </is>
      </c>
      <c r="H136" s="114" t="n"/>
      <c r="I136" s="114" t="n"/>
      <c r="J136" s="114" t="inlineStr">
        <is>
          <t>viceacademica@itc.edu.co</t>
        </is>
      </c>
      <c r="K136" s="114" t="n"/>
      <c r="L136" s="119" t="inlineStr">
        <is>
          <t>120 · Vicerrectoría Académica</t>
        </is>
      </c>
      <c r="M136" s="120" t="n">
        <v>40000000</v>
      </c>
      <c r="N136" s="119" t="inlineStr">
        <is>
          <t>Selección abreviada de menor cuantía</t>
        </is>
      </c>
      <c r="O136" s="119">
        <f>IF(LEN(IF(OR(NOT(ISNUMBER(B136)),LEN(B136)&lt;&gt;8),"UNSPSC vacío, en texto, con varios códigos o sin 8 dígitos; ","")&amp;IF(AND(ISNUMBER(B136),LEN(B136)=8),IF(MOD(B136,10000)=0,"UNSPSC a nivel de segmento o familia; ",""),"")&amp;IF(NOT(ISNUMBER(E136)),"Duración vacía o en texto; ","")&amp;IF(NOT(ISNUMBER(G136)),"Valor vacío o en texto; ","")&amp;IF(ISNUMBER(M136),IF(M136&lt;1000000,"Valor inferior a $1.000.000: verificar; ",""),"Valor no interpretable; ")&amp;IF(N136="[PENDIENTE DE VERIFICAR]","Modalidad no identificable; ","")&amp;IF(OR(ISERROR(SEARCH("@itc.edu.co",J136)),SUMPRODUCT(--ISNUMBER(SEARCH({"á","é","í","ó","ú","ñ"},J136)))&gt;0),"Correo vacío o no institucional válido; ","")&amp;IF(LEN(TRIM(D136))=0,"Sin objeto contractual; ","")&amp;IF(AND(ISNUMBER(M136),N136="Mínima cuantía"),IF(M136&gt;39850000,"Mínima cuantía con valor superior al tope citado en el instructivo 2026 ($39.850.000): verificar modalidad; ",""),"")&amp;IF(AND(ISNUMBER(M136),OR(ISNUMBER(SEARCH("prestación de servicios",D136)),ISNUMBER(SEARCH("prestar servicios",D136)),ISNUMBER(SEARCH("prestar los servicios",D136)))),IF(M136&gt;=500000000,"Prestación de servicios por $500 millones o más: posible error de digitación; ",""),""))=0,"Sin observaciones",IF(OR(NOT(ISNUMBER(B136)),LEN(B136)&lt;&gt;8),"UNSPSC vacío, en texto, con varios códigos o sin 8 dígitos; ","")&amp;IF(AND(ISNUMBER(B136),LEN(B136)=8),IF(MOD(B136,10000)=0,"UNSPSC a nivel de segmento o familia; ",""),"")&amp;IF(NOT(ISNUMBER(E136)),"Duración vacía o en texto; ","")&amp;IF(NOT(ISNUMBER(G136)),"Valor vacío o en texto; ","")&amp;IF(ISNUMBER(M136),IF(M136&lt;1000000,"Valor inferior a $1.000.000: verificar; ",""),"Valor no interpretable; ")&amp;IF(N136="[PENDIENTE DE VERIFICAR]","Modalidad no identificable; ","")&amp;IF(OR(ISERROR(SEARCH("@itc.edu.co",J136)),SUMPRODUCT(--ISNUMBER(SEARCH({"á","é","í","ó","ú","ñ"},J136)))&gt;0),"Correo vacío o no institucional válido; ","")&amp;IF(LEN(TRIM(D136))=0,"Sin objeto contractual; ","")&amp;IF(AND(ISNUMBER(M136),N136="Mínima cuantía"),IF(M136&gt;39850000,"Mínima cuantía con valor superior al tope citado en el instructivo 2026 ($39.850.000): verificar modalidad; ",""),"")&amp;IF(AND(ISNUMBER(M136),OR(ISNUMBER(SEARCH("prestación de servicios",D136)),ISNUMBER(SEARCH("prestar servicios",D136)),ISNUMBER(SEARCH("prestar los servicios",D136)))),IF(M136&gt;=500000000,"Prestación de servicios por $500 millones o más: posible error de digitación; ",""),""))</f>
        <v/>
      </c>
    </row>
    <row r="137" ht="34.2" customHeight="1" s="23">
      <c r="A137" s="114" t="inlineStr">
        <is>
          <t>PN26-133</t>
        </is>
      </c>
      <c r="B137" s="114" t="n">
        <v>60131000</v>
      </c>
      <c r="C137" s="114" t="inlineStr">
        <is>
          <t xml:space="preserve">Bienestar Universitario </t>
        </is>
      </c>
      <c r="D137" s="114" t="inlineStr">
        <is>
          <t>Adquisición de instrumentos musicales e insumos asociados para el área de Arte y Cultura, con el fin de fortalecer los procesos formativos, artísticos y culturales desarrollados en las actividades y talleres programados.</t>
        </is>
      </c>
      <c r="E137" s="114" t="n">
        <v>6</v>
      </c>
      <c r="F137" s="114" t="inlineStr">
        <is>
          <t>MENOR CUANTIA</t>
        </is>
      </c>
      <c r="G137" s="118" t="inlineStr">
        <is>
          <t xml:space="preserve"> $                 20.000.000,00</t>
        </is>
      </c>
      <c r="H137" s="114" t="n"/>
      <c r="I137" s="114" t="n"/>
      <c r="J137" s="114" t="inlineStr">
        <is>
          <t>viceacademica@itc.edu.co</t>
        </is>
      </c>
      <c r="K137" s="114" t="n"/>
      <c r="L137" s="119" t="inlineStr">
        <is>
          <t>120 · Vicerrectoría Académica</t>
        </is>
      </c>
      <c r="M137" s="120" t="n">
        <v>20000000</v>
      </c>
      <c r="N137" s="119" t="inlineStr">
        <is>
          <t>Selección abreviada de menor cuantía</t>
        </is>
      </c>
      <c r="O137" s="119">
        <f>IF(LEN(IF(OR(NOT(ISNUMBER(B137)),LEN(B137)&lt;&gt;8),"UNSPSC vacío, en texto, con varios códigos o sin 8 dígitos; ","")&amp;IF(AND(ISNUMBER(B137),LEN(B137)=8),IF(MOD(B137,10000)=0,"UNSPSC a nivel de segmento o familia; ",""),"")&amp;IF(NOT(ISNUMBER(E137)),"Duración vacía o en texto; ","")&amp;IF(NOT(ISNUMBER(G137)),"Valor vacío o en texto; ","")&amp;IF(ISNUMBER(M137),IF(M137&lt;1000000,"Valor inferior a $1.000.000: verificar; ",""),"Valor no interpretable; ")&amp;IF(N137="[PENDIENTE DE VERIFICAR]","Modalidad no identificable; ","")&amp;IF(OR(ISERROR(SEARCH("@itc.edu.co",J137)),SUMPRODUCT(--ISNUMBER(SEARCH({"á","é","í","ó","ú","ñ"},J137)))&gt;0),"Correo vacío o no institucional válido; ","")&amp;IF(LEN(TRIM(D137))=0,"Sin objeto contractual; ","")&amp;IF(AND(ISNUMBER(M137),N137="Mínima cuantía"),IF(M137&gt;39850000,"Mínima cuantía con valor superior al tope citado en el instructivo 2026 ($39.850.000): verificar modalidad; ",""),"")&amp;IF(AND(ISNUMBER(M137),OR(ISNUMBER(SEARCH("prestación de servicios",D137)),ISNUMBER(SEARCH("prestar servicios",D137)),ISNUMBER(SEARCH("prestar los servicios",D137)))),IF(M137&gt;=500000000,"Prestación de servicios por $500 millones o más: posible error de digitación; ",""),""))=0,"Sin observaciones",IF(OR(NOT(ISNUMBER(B137)),LEN(B137)&lt;&gt;8),"UNSPSC vacío, en texto, con varios códigos o sin 8 dígitos; ","")&amp;IF(AND(ISNUMBER(B137),LEN(B137)=8),IF(MOD(B137,10000)=0,"UNSPSC a nivel de segmento o familia; ",""),"")&amp;IF(NOT(ISNUMBER(E137)),"Duración vacía o en texto; ","")&amp;IF(NOT(ISNUMBER(G137)),"Valor vacío o en texto; ","")&amp;IF(ISNUMBER(M137),IF(M137&lt;1000000,"Valor inferior a $1.000.000: verificar; ",""),"Valor no interpretable; ")&amp;IF(N137="[PENDIENTE DE VERIFICAR]","Modalidad no identificable; ","")&amp;IF(OR(ISERROR(SEARCH("@itc.edu.co",J137)),SUMPRODUCT(--ISNUMBER(SEARCH({"á","é","í","ó","ú","ñ"},J137)))&gt;0),"Correo vacío o no institucional válido; ","")&amp;IF(LEN(TRIM(D137))=0,"Sin objeto contractual; ","")&amp;IF(AND(ISNUMBER(M137),N137="Mínima cuantía"),IF(M137&gt;39850000,"Mínima cuantía con valor superior al tope citado en el instructivo 2026 ($39.850.000): verificar modalidad; ",""),"")&amp;IF(AND(ISNUMBER(M137),OR(ISNUMBER(SEARCH("prestación de servicios",D137)),ISNUMBER(SEARCH("prestar servicios",D137)),ISNUMBER(SEARCH("prestar los servicios",D137)))),IF(M137&gt;=500000000,"Prestación de servicios por $500 millones o más: posible error de digitación; ",""),""))</f>
        <v/>
      </c>
    </row>
    <row r="138" ht="34.2" customHeight="1" s="23">
      <c r="A138" s="114" t="inlineStr">
        <is>
          <t>PN26-134</t>
        </is>
      </c>
      <c r="B138" s="114" t="n">
        <v>60131303</v>
      </c>
      <c r="C138" s="114" t="inlineStr">
        <is>
          <t xml:space="preserve">Bienestar Universitario </t>
        </is>
      </c>
      <c r="D138" s="114" t="inlineStr">
        <is>
          <t>Adquisición de servicios de mantenimiento para instrumentos musicales, con el fin de asegurar su adecuado estado, funcionamiento y uso en actividades formativas y artísticas.</t>
        </is>
      </c>
      <c r="E138" s="114" t="n">
        <v>6</v>
      </c>
      <c r="F138" s="114" t="inlineStr">
        <is>
          <t>MENOR CUANTIA</t>
        </is>
      </c>
      <c r="G138" s="118" t="inlineStr">
        <is>
          <t xml:space="preserve"> $                 20.000.000,00</t>
        </is>
      </c>
      <c r="H138" s="114" t="n"/>
      <c r="I138" s="114" t="n"/>
      <c r="J138" s="114" t="inlineStr">
        <is>
          <t>viceacademica@itc.edu.co</t>
        </is>
      </c>
      <c r="K138" s="114" t="n"/>
      <c r="L138" s="119" t="inlineStr">
        <is>
          <t>120 · Vicerrectoría Académica</t>
        </is>
      </c>
      <c r="M138" s="120" t="n">
        <v>20000000</v>
      </c>
      <c r="N138" s="119" t="inlineStr">
        <is>
          <t>Selección abreviada de menor cuantía</t>
        </is>
      </c>
      <c r="O138" s="119">
        <f>IF(LEN(IF(OR(NOT(ISNUMBER(B138)),LEN(B138)&lt;&gt;8),"UNSPSC vacío, en texto, con varios códigos o sin 8 dígitos; ","")&amp;IF(AND(ISNUMBER(B138),LEN(B138)=8),IF(MOD(B138,10000)=0,"UNSPSC a nivel de segmento o familia; ",""),"")&amp;IF(NOT(ISNUMBER(E138)),"Duración vacía o en texto; ","")&amp;IF(NOT(ISNUMBER(G138)),"Valor vacío o en texto; ","")&amp;IF(ISNUMBER(M138),IF(M138&lt;1000000,"Valor inferior a $1.000.000: verificar; ",""),"Valor no interpretable; ")&amp;IF(N138="[PENDIENTE DE VERIFICAR]","Modalidad no identificable; ","")&amp;IF(OR(ISERROR(SEARCH("@itc.edu.co",J138)),SUMPRODUCT(--ISNUMBER(SEARCH({"á","é","í","ó","ú","ñ"},J138)))&gt;0),"Correo vacío o no institucional válido; ","")&amp;IF(LEN(TRIM(D138))=0,"Sin objeto contractual; ","")&amp;IF(AND(ISNUMBER(M138),N138="Mínima cuantía"),IF(M138&gt;39850000,"Mínima cuantía con valor superior al tope citado en el instructivo 2026 ($39.850.000): verificar modalidad; ",""),"")&amp;IF(AND(ISNUMBER(M138),OR(ISNUMBER(SEARCH("prestación de servicios",D138)),ISNUMBER(SEARCH("prestar servicios",D138)),ISNUMBER(SEARCH("prestar los servicios",D138)))),IF(M138&gt;=500000000,"Prestación de servicios por $500 millones o más: posible error de digitación; ",""),""))=0,"Sin observaciones",IF(OR(NOT(ISNUMBER(B138)),LEN(B138)&lt;&gt;8),"UNSPSC vacío, en texto, con varios códigos o sin 8 dígitos; ","")&amp;IF(AND(ISNUMBER(B138),LEN(B138)=8),IF(MOD(B138,10000)=0,"UNSPSC a nivel de segmento o familia; ",""),"")&amp;IF(NOT(ISNUMBER(E138)),"Duración vacía o en texto; ","")&amp;IF(NOT(ISNUMBER(G138)),"Valor vacío o en texto; ","")&amp;IF(ISNUMBER(M138),IF(M138&lt;1000000,"Valor inferior a $1.000.000: verificar; ",""),"Valor no interpretable; ")&amp;IF(N138="[PENDIENTE DE VERIFICAR]","Modalidad no identificable; ","")&amp;IF(OR(ISERROR(SEARCH("@itc.edu.co",J138)),SUMPRODUCT(--ISNUMBER(SEARCH({"á","é","í","ó","ú","ñ"},J138)))&gt;0),"Correo vacío o no institucional válido; ","")&amp;IF(LEN(TRIM(D138))=0,"Sin objeto contractual; ","")&amp;IF(AND(ISNUMBER(M138),N138="Mínima cuantía"),IF(M138&gt;39850000,"Mínima cuantía con valor superior al tope citado en el instructivo 2026 ($39.850.000): verificar modalidad; ",""),"")&amp;IF(AND(ISNUMBER(M138),OR(ISNUMBER(SEARCH("prestación de servicios",D138)),ISNUMBER(SEARCH("prestar servicios",D138)),ISNUMBER(SEARCH("prestar los servicios",D138)))),IF(M138&gt;=500000000,"Prestación de servicios por $500 millones o más: posible error de digitación; ",""),""))</f>
        <v/>
      </c>
    </row>
    <row r="139" ht="45.6" customHeight="1" s="23">
      <c r="A139" s="114" t="inlineStr">
        <is>
          <t>PN26-135</t>
        </is>
      </c>
      <c r="B139" s="114" t="n">
        <v>42191611</v>
      </c>
      <c r="C139" s="114" t="inlineStr">
        <is>
          <t xml:space="preserve">Bienestar Universitario </t>
        </is>
      </c>
      <c r="D139" s="114" t="inlineStr">
        <is>
          <t>Suministro de elementos, dotación y mobiliario para el área de enfermería en la prestación de servicios de atención primaria en salud a los estudiantes, docentes, personal administrativo y visitantes de la Escuela Tecnológica Instituto Técnico Central  y sus otras instalaciones para la vigencia 2026</t>
        </is>
      </c>
      <c r="E139" s="114" t="n">
        <v>6</v>
      </c>
      <c r="F139" s="114" t="inlineStr">
        <is>
          <t>MENOR CUANTIA</t>
        </is>
      </c>
      <c r="G139" s="118" t="n">
        <v>60000000</v>
      </c>
      <c r="H139" s="114" t="n"/>
      <c r="I139" s="114" t="n"/>
      <c r="J139" s="114" t="inlineStr">
        <is>
          <t>viceacademica@itc.edu.co</t>
        </is>
      </c>
      <c r="K139" s="114" t="n"/>
      <c r="L139" s="119" t="inlineStr">
        <is>
          <t>120 · Vicerrectoría Académica</t>
        </is>
      </c>
      <c r="M139" s="120" t="n">
        <v>60000000</v>
      </c>
      <c r="N139" s="119" t="inlineStr">
        <is>
          <t>Selección abreviada de menor cuantía</t>
        </is>
      </c>
      <c r="O139" s="119">
        <f>IF(LEN(IF(OR(NOT(ISNUMBER(B139)),LEN(B139)&lt;&gt;8),"UNSPSC vacío, en texto, con varios códigos o sin 8 dígitos; ","")&amp;IF(AND(ISNUMBER(B139),LEN(B139)=8),IF(MOD(B139,10000)=0,"UNSPSC a nivel de segmento o familia; ",""),"")&amp;IF(NOT(ISNUMBER(E139)),"Duración vacía o en texto; ","")&amp;IF(NOT(ISNUMBER(G139)),"Valor vacío o en texto; ","")&amp;IF(ISNUMBER(M139),IF(M139&lt;1000000,"Valor inferior a $1.000.000: verificar; ",""),"Valor no interpretable; ")&amp;IF(N139="[PENDIENTE DE VERIFICAR]","Modalidad no identificable; ","")&amp;IF(OR(ISERROR(SEARCH("@itc.edu.co",J139)),SUMPRODUCT(--ISNUMBER(SEARCH({"á","é","í","ó","ú","ñ"},J139)))&gt;0),"Correo vacío o no institucional válido; ","")&amp;IF(LEN(TRIM(D139))=0,"Sin objeto contractual; ","")&amp;IF(AND(ISNUMBER(M139),N139="Mínima cuantía"),IF(M139&gt;39850000,"Mínima cuantía con valor superior al tope citado en el instructivo 2026 ($39.850.000): verificar modalidad; ",""),"")&amp;IF(AND(ISNUMBER(M139),OR(ISNUMBER(SEARCH("prestación de servicios",D139)),ISNUMBER(SEARCH("prestar servicios",D139)),ISNUMBER(SEARCH("prestar los servicios",D139)))),IF(M139&gt;=500000000,"Prestación de servicios por $500 millones o más: posible error de digitación; ",""),""))=0,"Sin observaciones",IF(OR(NOT(ISNUMBER(B139)),LEN(B139)&lt;&gt;8),"UNSPSC vacío, en texto, con varios códigos o sin 8 dígitos; ","")&amp;IF(AND(ISNUMBER(B139),LEN(B139)=8),IF(MOD(B139,10000)=0,"UNSPSC a nivel de segmento o familia; ",""),"")&amp;IF(NOT(ISNUMBER(E139)),"Duración vacía o en texto; ","")&amp;IF(NOT(ISNUMBER(G139)),"Valor vacío o en texto; ","")&amp;IF(ISNUMBER(M139),IF(M139&lt;1000000,"Valor inferior a $1.000.000: verificar; ",""),"Valor no interpretable; ")&amp;IF(N139="[PENDIENTE DE VERIFICAR]","Modalidad no identificable; ","")&amp;IF(OR(ISERROR(SEARCH("@itc.edu.co",J139)),SUMPRODUCT(--ISNUMBER(SEARCH({"á","é","í","ó","ú","ñ"},J139)))&gt;0),"Correo vacío o no institucional válido; ","")&amp;IF(LEN(TRIM(D139))=0,"Sin objeto contractual; ","")&amp;IF(AND(ISNUMBER(M139),N139="Mínima cuantía"),IF(M139&gt;39850000,"Mínima cuantía con valor superior al tope citado en el instructivo 2026 ($39.850.000): verificar modalidad; ",""),"")&amp;IF(AND(ISNUMBER(M139),OR(ISNUMBER(SEARCH("prestación de servicios",D139)),ISNUMBER(SEARCH("prestar servicios",D139)),ISNUMBER(SEARCH("prestar los servicios",D139)))),IF(M139&gt;=500000000,"Prestación de servicios por $500 millones o más: posible error de digitación; ",""),""))</f>
        <v/>
      </c>
    </row>
    <row r="140" ht="45.6" customHeight="1" s="23">
      <c r="A140" s="114" t="inlineStr">
        <is>
          <t>PN26-136</t>
        </is>
      </c>
      <c r="B140" s="114" t="n">
        <v>85161500</v>
      </c>
      <c r="C140" s="114" t="inlineStr">
        <is>
          <t xml:space="preserve">Bienestar Universitario </t>
        </is>
      </c>
      <c r="D140" s="114" t="inlineStr">
        <is>
          <t>Mantenimiento de tres desfibriladores externos automáticos y adquisición de electrodos para garantizar su funcionamiento óptimo en la prestación de primeros auxilios en caso de paro cardiorrespiratorio en la Escuela Tecnológica Instituto Técnico Central para la vigencia 2026.</t>
        </is>
      </c>
      <c r="E140" s="114" t="n">
        <v>6</v>
      </c>
      <c r="F140" s="114" t="inlineStr">
        <is>
          <t>MENOR CUANTIA</t>
        </is>
      </c>
      <c r="G140" s="118" t="inlineStr">
        <is>
          <t>$ 10.000.000</t>
        </is>
      </c>
      <c r="H140" s="114" t="n"/>
      <c r="I140" s="114" t="n"/>
      <c r="J140" s="114" t="inlineStr">
        <is>
          <t>viceacademica@itc.edu.co</t>
        </is>
      </c>
      <c r="K140" s="114" t="n"/>
      <c r="L140" s="119" t="inlineStr">
        <is>
          <t>120 · Vicerrectoría Académica</t>
        </is>
      </c>
      <c r="M140" s="120" t="n">
        <v>10000000</v>
      </c>
      <c r="N140" s="119" t="inlineStr">
        <is>
          <t>Selección abreviada de menor cuantía</t>
        </is>
      </c>
      <c r="O140" s="119">
        <f>IF(LEN(IF(OR(NOT(ISNUMBER(B140)),LEN(B140)&lt;&gt;8),"UNSPSC vacío, en texto, con varios códigos o sin 8 dígitos; ","")&amp;IF(AND(ISNUMBER(B140),LEN(B140)=8),IF(MOD(B140,10000)=0,"UNSPSC a nivel de segmento o familia; ",""),"")&amp;IF(NOT(ISNUMBER(E140)),"Duración vacía o en texto; ","")&amp;IF(NOT(ISNUMBER(G140)),"Valor vacío o en texto; ","")&amp;IF(ISNUMBER(M140),IF(M140&lt;1000000,"Valor inferior a $1.000.000: verificar; ",""),"Valor no interpretable; ")&amp;IF(N140="[PENDIENTE DE VERIFICAR]","Modalidad no identificable; ","")&amp;IF(OR(ISERROR(SEARCH("@itc.edu.co",J140)),SUMPRODUCT(--ISNUMBER(SEARCH({"á","é","í","ó","ú","ñ"},J140)))&gt;0),"Correo vacío o no institucional válido; ","")&amp;IF(LEN(TRIM(D140))=0,"Sin objeto contractual; ","")&amp;IF(AND(ISNUMBER(M140),N140="Mínima cuantía"),IF(M140&gt;39850000,"Mínima cuantía con valor superior al tope citado en el instructivo 2026 ($39.850.000): verificar modalidad; ",""),"")&amp;IF(AND(ISNUMBER(M140),OR(ISNUMBER(SEARCH("prestación de servicios",D140)),ISNUMBER(SEARCH("prestar servicios",D140)),ISNUMBER(SEARCH("prestar los servicios",D140)))),IF(M140&gt;=500000000,"Prestación de servicios por $500 millones o más: posible error de digitación; ",""),""))=0,"Sin observaciones",IF(OR(NOT(ISNUMBER(B140)),LEN(B140)&lt;&gt;8),"UNSPSC vacío, en texto, con varios códigos o sin 8 dígitos; ","")&amp;IF(AND(ISNUMBER(B140),LEN(B140)=8),IF(MOD(B140,10000)=0,"UNSPSC a nivel de segmento o familia; ",""),"")&amp;IF(NOT(ISNUMBER(E140)),"Duración vacía o en texto; ","")&amp;IF(NOT(ISNUMBER(G140)),"Valor vacío o en texto; ","")&amp;IF(ISNUMBER(M140),IF(M140&lt;1000000,"Valor inferior a $1.000.000: verificar; ",""),"Valor no interpretable; ")&amp;IF(N140="[PENDIENTE DE VERIFICAR]","Modalidad no identificable; ","")&amp;IF(OR(ISERROR(SEARCH("@itc.edu.co",J140)),SUMPRODUCT(--ISNUMBER(SEARCH({"á","é","í","ó","ú","ñ"},J140)))&gt;0),"Correo vacío o no institucional válido; ","")&amp;IF(LEN(TRIM(D140))=0,"Sin objeto contractual; ","")&amp;IF(AND(ISNUMBER(M140),N140="Mínima cuantía"),IF(M140&gt;39850000,"Mínima cuantía con valor superior al tope citado en el instructivo 2026 ($39.850.000): verificar modalidad; ",""),"")&amp;IF(AND(ISNUMBER(M140),OR(ISNUMBER(SEARCH("prestación de servicios",D140)),ISNUMBER(SEARCH("prestar servicios",D140)),ISNUMBER(SEARCH("prestar los servicios",D140)))),IF(M140&gt;=500000000,"Prestación de servicios por $500 millones o más: posible error de digitación; ",""),""))</f>
        <v/>
      </c>
    </row>
    <row r="141" ht="45.6" customHeight="1" s="23">
      <c r="A141" s="114" t="inlineStr">
        <is>
          <t>PN26-137</t>
        </is>
      </c>
      <c r="B141" s="114" t="n">
        <v>42191611</v>
      </c>
      <c r="C141" s="114" t="inlineStr">
        <is>
          <t xml:space="preserve">Bienestar Universitario </t>
        </is>
      </c>
      <c r="D141" s="114" t="inlineStr">
        <is>
          <t>Adquisición de Desfibrilador Externo Automático (DEA) para las sedes de Viotá y Zipaquirá, el cual es un dispositivo que se utiliza en situaciones de emergencia, especialmente aquellas que involucran riesgos cardíacos. Así como los electrodos parche desechables para adultos que se usan con este equipo.</t>
        </is>
      </c>
      <c r="E141" s="114" t="n">
        <v>4</v>
      </c>
      <c r="F141" s="114" t="inlineStr">
        <is>
          <t>MENOR CUANTIA</t>
        </is>
      </c>
      <c r="G141" s="118" t="inlineStr">
        <is>
          <t>$18.000.000</t>
        </is>
      </c>
      <c r="H141" s="114" t="inlineStr">
        <is>
          <t xml:space="preserve">VICERRECTOR ACADEMICO </t>
        </is>
      </c>
      <c r="I141" s="114" t="n"/>
      <c r="J141" s="114" t="inlineStr">
        <is>
          <t>viceacademica@itc.edu.co</t>
        </is>
      </c>
      <c r="K141" s="114" t="n"/>
      <c r="L141" s="119" t="inlineStr">
        <is>
          <t>120 · Vicerrectoría Académica</t>
        </is>
      </c>
      <c r="M141" s="120" t="n">
        <v>18000000</v>
      </c>
      <c r="N141" s="119" t="inlineStr">
        <is>
          <t>Selección abreviada de menor cuantía</t>
        </is>
      </c>
      <c r="O141" s="119">
        <f>IF(LEN(IF(OR(NOT(ISNUMBER(B141)),LEN(B141)&lt;&gt;8),"UNSPSC vacío, en texto, con varios códigos o sin 8 dígitos; ","")&amp;IF(AND(ISNUMBER(B141),LEN(B141)=8),IF(MOD(B141,10000)=0,"UNSPSC a nivel de segmento o familia; ",""),"")&amp;IF(NOT(ISNUMBER(E141)),"Duración vacía o en texto; ","")&amp;IF(NOT(ISNUMBER(G141)),"Valor vacío o en texto; ","")&amp;IF(ISNUMBER(M141),IF(M141&lt;1000000,"Valor inferior a $1.000.000: verificar; ",""),"Valor no interpretable; ")&amp;IF(N141="[PENDIENTE DE VERIFICAR]","Modalidad no identificable; ","")&amp;IF(OR(ISERROR(SEARCH("@itc.edu.co",J141)),SUMPRODUCT(--ISNUMBER(SEARCH({"á","é","í","ó","ú","ñ"},J141)))&gt;0),"Correo vacío o no institucional válido; ","")&amp;IF(LEN(TRIM(D141))=0,"Sin objeto contractual; ","")&amp;IF(AND(ISNUMBER(M141),N141="Mínima cuantía"),IF(M141&gt;39850000,"Mínima cuantía con valor superior al tope citado en el instructivo 2026 ($39.850.000): verificar modalidad; ",""),"")&amp;IF(AND(ISNUMBER(M141),OR(ISNUMBER(SEARCH("prestación de servicios",D141)),ISNUMBER(SEARCH("prestar servicios",D141)),ISNUMBER(SEARCH("prestar los servicios",D141)))),IF(M141&gt;=500000000,"Prestación de servicios por $500 millones o más: posible error de digitación; ",""),""))=0,"Sin observaciones",IF(OR(NOT(ISNUMBER(B141)),LEN(B141)&lt;&gt;8),"UNSPSC vacío, en texto, con varios códigos o sin 8 dígitos; ","")&amp;IF(AND(ISNUMBER(B141),LEN(B141)=8),IF(MOD(B141,10000)=0,"UNSPSC a nivel de segmento o familia; ",""),"")&amp;IF(NOT(ISNUMBER(E141)),"Duración vacía o en texto; ","")&amp;IF(NOT(ISNUMBER(G141)),"Valor vacío o en texto; ","")&amp;IF(ISNUMBER(M141),IF(M141&lt;1000000,"Valor inferior a $1.000.000: verificar; ",""),"Valor no interpretable; ")&amp;IF(N141="[PENDIENTE DE VERIFICAR]","Modalidad no identificable; ","")&amp;IF(OR(ISERROR(SEARCH("@itc.edu.co",J141)),SUMPRODUCT(--ISNUMBER(SEARCH({"á","é","í","ó","ú","ñ"},J141)))&gt;0),"Correo vacío o no institucional válido; ","")&amp;IF(LEN(TRIM(D141))=0,"Sin objeto contractual; ","")&amp;IF(AND(ISNUMBER(M141),N141="Mínima cuantía"),IF(M141&gt;39850000,"Mínima cuantía con valor superior al tope citado en el instructivo 2026 ($39.850.000): verificar modalidad; ",""),"")&amp;IF(AND(ISNUMBER(M141),OR(ISNUMBER(SEARCH("prestación de servicios",D141)),ISNUMBER(SEARCH("prestar servicios",D141)),ISNUMBER(SEARCH("prestar los servicios",D141)))),IF(M141&gt;=500000000,"Prestación de servicios por $500 millones o más: posible error de digitación; ",""),""))</f>
        <v/>
      </c>
    </row>
    <row r="142" ht="34.2" customHeight="1" s="23">
      <c r="A142" s="114" t="inlineStr">
        <is>
          <t>PN26-138</t>
        </is>
      </c>
      <c r="B142" s="114" t="n">
        <v>85121608</v>
      </c>
      <c r="C142" s="114" t="inlineStr">
        <is>
          <t xml:space="preserve">Bienestar Universitario </t>
        </is>
      </c>
      <c r="D142" s="114" t="inlineStr">
        <is>
          <t xml:space="preserve"> Contratación con una entidad prestadora de servicios de salud mental orientada a brindar atención integral para atender los factores de riesgo asociados a  trastornos del estado del animo </t>
        </is>
      </c>
      <c r="E142" s="114" t="n">
        <v>4</v>
      </c>
      <c r="F142" s="114" t="inlineStr">
        <is>
          <t>MENOR CUANTIA</t>
        </is>
      </c>
      <c r="G142" s="118" t="inlineStr">
        <is>
          <t>$100.000.000</t>
        </is>
      </c>
      <c r="H142" s="114" t="inlineStr">
        <is>
          <t xml:space="preserve">VICERRECTOR ACADEMICO </t>
        </is>
      </c>
      <c r="I142" s="114" t="n"/>
      <c r="J142" s="114" t="inlineStr">
        <is>
          <t>viceacademica@itc.edu.co</t>
        </is>
      </c>
      <c r="K142" s="114" t="n"/>
      <c r="L142" s="119" t="inlineStr">
        <is>
          <t>120 · Vicerrectoría Académica</t>
        </is>
      </c>
      <c r="M142" s="120" t="n">
        <v>100000000</v>
      </c>
      <c r="N142" s="119" t="inlineStr">
        <is>
          <t>Selección abreviada de menor cuantía</t>
        </is>
      </c>
      <c r="O142" s="119">
        <f>IF(LEN(IF(OR(NOT(ISNUMBER(B142)),LEN(B142)&lt;&gt;8),"UNSPSC vacío, en texto, con varios códigos o sin 8 dígitos; ","")&amp;IF(AND(ISNUMBER(B142),LEN(B142)=8),IF(MOD(B142,10000)=0,"UNSPSC a nivel de segmento o familia; ",""),"")&amp;IF(NOT(ISNUMBER(E142)),"Duración vacía o en texto; ","")&amp;IF(NOT(ISNUMBER(G142)),"Valor vacío o en texto; ","")&amp;IF(ISNUMBER(M142),IF(M142&lt;1000000,"Valor inferior a $1.000.000: verificar; ",""),"Valor no interpretable; ")&amp;IF(N142="[PENDIENTE DE VERIFICAR]","Modalidad no identificable; ","")&amp;IF(OR(ISERROR(SEARCH("@itc.edu.co",J142)),SUMPRODUCT(--ISNUMBER(SEARCH({"á","é","í","ó","ú","ñ"},J142)))&gt;0),"Correo vacío o no institucional válido; ","")&amp;IF(LEN(TRIM(D142))=0,"Sin objeto contractual; ","")&amp;IF(AND(ISNUMBER(M142),N142="Mínima cuantía"),IF(M142&gt;39850000,"Mínima cuantía con valor superior al tope citado en el instructivo 2026 ($39.850.000): verificar modalidad; ",""),"")&amp;IF(AND(ISNUMBER(M142),OR(ISNUMBER(SEARCH("prestación de servicios",D142)),ISNUMBER(SEARCH("prestar servicios",D142)),ISNUMBER(SEARCH("prestar los servicios",D142)))),IF(M142&gt;=500000000,"Prestación de servicios por $500 millones o más: posible error de digitación; ",""),""))=0,"Sin observaciones",IF(OR(NOT(ISNUMBER(B142)),LEN(B142)&lt;&gt;8),"UNSPSC vacío, en texto, con varios códigos o sin 8 dígitos; ","")&amp;IF(AND(ISNUMBER(B142),LEN(B142)=8),IF(MOD(B142,10000)=0,"UNSPSC a nivel de segmento o familia; ",""),"")&amp;IF(NOT(ISNUMBER(E142)),"Duración vacía o en texto; ","")&amp;IF(NOT(ISNUMBER(G142)),"Valor vacío o en texto; ","")&amp;IF(ISNUMBER(M142),IF(M142&lt;1000000,"Valor inferior a $1.000.000: verificar; ",""),"Valor no interpretable; ")&amp;IF(N142="[PENDIENTE DE VERIFICAR]","Modalidad no identificable; ","")&amp;IF(OR(ISERROR(SEARCH("@itc.edu.co",J142)),SUMPRODUCT(--ISNUMBER(SEARCH({"á","é","í","ó","ú","ñ"},J142)))&gt;0),"Correo vacío o no institucional válido; ","")&amp;IF(LEN(TRIM(D142))=0,"Sin objeto contractual; ","")&amp;IF(AND(ISNUMBER(M142),N142="Mínima cuantía"),IF(M142&gt;39850000,"Mínima cuantía con valor superior al tope citado en el instructivo 2026 ($39.850.000): verificar modalidad; ",""),"")&amp;IF(AND(ISNUMBER(M142),OR(ISNUMBER(SEARCH("prestación de servicios",D142)),ISNUMBER(SEARCH("prestar servicios",D142)),ISNUMBER(SEARCH("prestar los servicios",D142)))),IF(M142&gt;=500000000,"Prestación de servicios por $500 millones o más: posible error de digitación; ",""),""))</f>
        <v/>
      </c>
    </row>
    <row r="143" ht="57" customHeight="1" s="23">
      <c r="A143" s="114" t="inlineStr">
        <is>
          <t>PN26-139</t>
        </is>
      </c>
      <c r="B143" s="114" t="n">
        <v>14111509</v>
      </c>
      <c r="C143" s="114" t="inlineStr">
        <is>
          <t xml:space="preserve">Bienestar Universitario </t>
        </is>
      </c>
      <c r="D143" s="114" t="inlineStr">
        <is>
          <t>Adquisición de elementos necesarios para la toma de espacios 6 Habladores en acrilico tamaño grande para la visualización de información en actividades de asistencia masiva, 3 Máquinas de boxeo por 4 musical que incluya guantes (este elemento se utilizaría para actividades de regulación emocional). 2 tapetes de baile (este elemento también se usara en actividades de regulación emocional)</t>
        </is>
      </c>
      <c r="E143" s="114" t="n">
        <v>6</v>
      </c>
      <c r="F143" s="114" t="inlineStr">
        <is>
          <t>MENOR CUANTIA</t>
        </is>
      </c>
      <c r="G143" s="118" t="n">
        <v>3000000</v>
      </c>
      <c r="H143" s="114" t="inlineStr">
        <is>
          <t xml:space="preserve">VICERRECTOR ACADEMICO </t>
        </is>
      </c>
      <c r="I143" s="114" t="n"/>
      <c r="J143" s="114" t="inlineStr">
        <is>
          <t>viceacademica@itc.edu.co</t>
        </is>
      </c>
      <c r="K143" s="114" t="n"/>
      <c r="L143" s="119" t="inlineStr">
        <is>
          <t>120 · Vicerrectoría Académica</t>
        </is>
      </c>
      <c r="M143" s="120" t="n">
        <v>3000000</v>
      </c>
      <c r="N143" s="119" t="inlineStr">
        <is>
          <t>Selección abreviada de menor cuantía</t>
        </is>
      </c>
      <c r="O143" s="119">
        <f>IF(LEN(IF(OR(NOT(ISNUMBER(B143)),LEN(B143)&lt;&gt;8),"UNSPSC vacío, en texto, con varios códigos o sin 8 dígitos; ","")&amp;IF(AND(ISNUMBER(B143),LEN(B143)=8),IF(MOD(B143,10000)=0,"UNSPSC a nivel de segmento o familia; ",""),"")&amp;IF(NOT(ISNUMBER(E143)),"Duración vacía o en texto; ","")&amp;IF(NOT(ISNUMBER(G143)),"Valor vacío o en texto; ","")&amp;IF(ISNUMBER(M143),IF(M143&lt;1000000,"Valor inferior a $1.000.000: verificar; ",""),"Valor no interpretable; ")&amp;IF(N143="[PENDIENTE DE VERIFICAR]","Modalidad no identificable; ","")&amp;IF(OR(ISERROR(SEARCH("@itc.edu.co",J143)),SUMPRODUCT(--ISNUMBER(SEARCH({"á","é","í","ó","ú","ñ"},J143)))&gt;0),"Correo vacío o no institucional válido; ","")&amp;IF(LEN(TRIM(D143))=0,"Sin objeto contractual; ","")&amp;IF(AND(ISNUMBER(M143),N143="Mínima cuantía"),IF(M143&gt;39850000,"Mínima cuantía con valor superior al tope citado en el instructivo 2026 ($39.850.000): verificar modalidad; ",""),"")&amp;IF(AND(ISNUMBER(M143),OR(ISNUMBER(SEARCH("prestación de servicios",D143)),ISNUMBER(SEARCH("prestar servicios",D143)),ISNUMBER(SEARCH("prestar los servicios",D143)))),IF(M143&gt;=500000000,"Prestación de servicios por $500 millones o más: posible error de digitación; ",""),""))=0,"Sin observaciones",IF(OR(NOT(ISNUMBER(B143)),LEN(B143)&lt;&gt;8),"UNSPSC vacío, en texto, con varios códigos o sin 8 dígitos; ","")&amp;IF(AND(ISNUMBER(B143),LEN(B143)=8),IF(MOD(B143,10000)=0,"UNSPSC a nivel de segmento o familia; ",""),"")&amp;IF(NOT(ISNUMBER(E143)),"Duración vacía o en texto; ","")&amp;IF(NOT(ISNUMBER(G143)),"Valor vacío o en texto; ","")&amp;IF(ISNUMBER(M143),IF(M143&lt;1000000,"Valor inferior a $1.000.000: verificar; ",""),"Valor no interpretable; ")&amp;IF(N143="[PENDIENTE DE VERIFICAR]","Modalidad no identificable; ","")&amp;IF(OR(ISERROR(SEARCH("@itc.edu.co",J143)),SUMPRODUCT(--ISNUMBER(SEARCH({"á","é","í","ó","ú","ñ"},J143)))&gt;0),"Correo vacío o no institucional válido; ","")&amp;IF(LEN(TRIM(D143))=0,"Sin objeto contractual; ","")&amp;IF(AND(ISNUMBER(M143),N143="Mínima cuantía"),IF(M143&gt;39850000,"Mínima cuantía con valor superior al tope citado en el instructivo 2026 ($39.850.000): verificar modalidad; ",""),"")&amp;IF(AND(ISNUMBER(M143),OR(ISNUMBER(SEARCH("prestación de servicios",D143)),ISNUMBER(SEARCH("prestar servicios",D143)),ISNUMBER(SEARCH("prestar los servicios",D143)))),IF(M143&gt;=500000000,"Prestación de servicios por $500 millones o más: posible error de digitación; ",""),""))</f>
        <v/>
      </c>
    </row>
    <row r="144" ht="45.6" customHeight="1" s="23">
      <c r="A144" s="114" t="inlineStr">
        <is>
          <t>PN26-140</t>
        </is>
      </c>
      <c r="B144" s="114" t="n">
        <v>43231512</v>
      </c>
      <c r="C144" s="114" t="inlineStr">
        <is>
          <t xml:space="preserve">Bienestar Universitario </t>
        </is>
      </c>
      <c r="D144" s="114" t="inlineStr">
        <is>
          <t xml:space="preserve">Adquisición de licencia en plataformas para descargar y/o crear recursos para las atenciones individuales y grupales, como Genially, Mensactiva entre otras; con el fin de poder brindar recursos para el aprendizaje autónomo de los procesos de psicoeducación.  </t>
        </is>
      </c>
      <c r="E144" s="114" t="n">
        <v>4</v>
      </c>
      <c r="F144" s="114" t="inlineStr">
        <is>
          <t>MENOR CUANTIA</t>
        </is>
      </c>
      <c r="G144" s="118" t="inlineStr">
        <is>
          <t>$41.800.000</t>
        </is>
      </c>
      <c r="H144" s="114" t="inlineStr">
        <is>
          <t xml:space="preserve">VICERRECTOR ACADEMICO </t>
        </is>
      </c>
      <c r="I144" s="114" t="n"/>
      <c r="J144" s="114" t="inlineStr">
        <is>
          <t>viceacademica@itc.edu.co</t>
        </is>
      </c>
      <c r="K144" s="114" t="n"/>
      <c r="L144" s="119" t="inlineStr">
        <is>
          <t>120 · Vicerrectoría Académica</t>
        </is>
      </c>
      <c r="M144" s="120" t="n">
        <v>41800000</v>
      </c>
      <c r="N144" s="119" t="inlineStr">
        <is>
          <t>Selección abreviada de menor cuantía</t>
        </is>
      </c>
      <c r="O144" s="119">
        <f>IF(LEN(IF(OR(NOT(ISNUMBER(B144)),LEN(B144)&lt;&gt;8),"UNSPSC vacío, en texto, con varios códigos o sin 8 dígitos; ","")&amp;IF(AND(ISNUMBER(B144),LEN(B144)=8),IF(MOD(B144,10000)=0,"UNSPSC a nivel de segmento o familia; ",""),"")&amp;IF(NOT(ISNUMBER(E144)),"Duración vacía o en texto; ","")&amp;IF(NOT(ISNUMBER(G144)),"Valor vacío o en texto; ","")&amp;IF(ISNUMBER(M144),IF(M144&lt;1000000,"Valor inferior a $1.000.000: verificar; ",""),"Valor no interpretable; ")&amp;IF(N144="[PENDIENTE DE VERIFICAR]","Modalidad no identificable; ","")&amp;IF(OR(ISERROR(SEARCH("@itc.edu.co",J144)),SUMPRODUCT(--ISNUMBER(SEARCH({"á","é","í","ó","ú","ñ"},J144)))&gt;0),"Correo vacío o no institucional válido; ","")&amp;IF(LEN(TRIM(D144))=0,"Sin objeto contractual; ","")&amp;IF(AND(ISNUMBER(M144),N144="Mínima cuantía"),IF(M144&gt;39850000,"Mínima cuantía con valor superior al tope citado en el instructivo 2026 ($39.850.000): verificar modalidad; ",""),"")&amp;IF(AND(ISNUMBER(M144),OR(ISNUMBER(SEARCH("prestación de servicios",D144)),ISNUMBER(SEARCH("prestar servicios",D144)),ISNUMBER(SEARCH("prestar los servicios",D144)))),IF(M144&gt;=500000000,"Prestación de servicios por $500 millones o más: posible error de digitación; ",""),""))=0,"Sin observaciones",IF(OR(NOT(ISNUMBER(B144)),LEN(B144)&lt;&gt;8),"UNSPSC vacío, en texto, con varios códigos o sin 8 dígitos; ","")&amp;IF(AND(ISNUMBER(B144),LEN(B144)=8),IF(MOD(B144,10000)=0,"UNSPSC a nivel de segmento o familia; ",""),"")&amp;IF(NOT(ISNUMBER(E144)),"Duración vacía o en texto; ","")&amp;IF(NOT(ISNUMBER(G144)),"Valor vacío o en texto; ","")&amp;IF(ISNUMBER(M144),IF(M144&lt;1000000,"Valor inferior a $1.000.000: verificar; ",""),"Valor no interpretable; ")&amp;IF(N144="[PENDIENTE DE VERIFICAR]","Modalidad no identificable; ","")&amp;IF(OR(ISERROR(SEARCH("@itc.edu.co",J144)),SUMPRODUCT(--ISNUMBER(SEARCH({"á","é","í","ó","ú","ñ"},J144)))&gt;0),"Correo vacío o no institucional válido; ","")&amp;IF(LEN(TRIM(D144))=0,"Sin objeto contractual; ","")&amp;IF(AND(ISNUMBER(M144),N144="Mínima cuantía"),IF(M144&gt;39850000,"Mínima cuantía con valor superior al tope citado en el instructivo 2026 ($39.850.000): verificar modalidad; ",""),"")&amp;IF(AND(ISNUMBER(M144),OR(ISNUMBER(SEARCH("prestación de servicios",D144)),ISNUMBER(SEARCH("prestar servicios",D144)),ISNUMBER(SEARCH("prestar los servicios",D144)))),IF(M144&gt;=500000000,"Prestación de servicios por $500 millones o más: posible error de digitación; ",""),""))</f>
        <v/>
      </c>
    </row>
    <row r="145" ht="22.8" customHeight="1" s="23">
      <c r="A145" s="114" t="inlineStr">
        <is>
          <t>PN26-141</t>
        </is>
      </c>
      <c r="B145" s="114" t="n">
        <v>43211503</v>
      </c>
      <c r="C145" s="114" t="inlineStr">
        <is>
          <t xml:space="preserve">Bienestar Universitario </t>
        </is>
      </c>
      <c r="D145" s="114" t="inlineStr">
        <is>
          <t>Compra de 6 computadores  equipos portátiles HP 512 G10, Intel Core I5 1334U, SSD 512GB, DDR4 8GB, NO DVD, Pantalla 15.6" HD.</t>
        </is>
      </c>
      <c r="E145" s="114" t="n">
        <v>4</v>
      </c>
      <c r="F145" s="114" t="inlineStr">
        <is>
          <t>MENOR CUANTIA</t>
        </is>
      </c>
      <c r="G145" s="118" t="n">
        <v>20000000</v>
      </c>
      <c r="H145" s="114" t="inlineStr">
        <is>
          <t xml:space="preserve">VICERRECTOR ACADEMICO </t>
        </is>
      </c>
      <c r="I145" s="114" t="n"/>
      <c r="J145" s="114" t="inlineStr">
        <is>
          <t>viceacademica@itc.edu.co</t>
        </is>
      </c>
      <c r="K145" s="114" t="n"/>
      <c r="L145" s="119" t="inlineStr">
        <is>
          <t>120 · Vicerrectoría Académica</t>
        </is>
      </c>
      <c r="M145" s="120" t="n">
        <v>20000000</v>
      </c>
      <c r="N145" s="119" t="inlineStr">
        <is>
          <t>Selección abreviada de menor cuantía</t>
        </is>
      </c>
      <c r="O145" s="119">
        <f>IF(LEN(IF(OR(NOT(ISNUMBER(B145)),LEN(B145)&lt;&gt;8),"UNSPSC vacío, en texto, con varios códigos o sin 8 dígitos; ","")&amp;IF(AND(ISNUMBER(B145),LEN(B145)=8),IF(MOD(B145,10000)=0,"UNSPSC a nivel de segmento o familia; ",""),"")&amp;IF(NOT(ISNUMBER(E145)),"Duración vacía o en texto; ","")&amp;IF(NOT(ISNUMBER(G145)),"Valor vacío o en texto; ","")&amp;IF(ISNUMBER(M145),IF(M145&lt;1000000,"Valor inferior a $1.000.000: verificar; ",""),"Valor no interpretable; ")&amp;IF(N145="[PENDIENTE DE VERIFICAR]","Modalidad no identificable; ","")&amp;IF(OR(ISERROR(SEARCH("@itc.edu.co",J145)),SUMPRODUCT(--ISNUMBER(SEARCH({"á","é","í","ó","ú","ñ"},J145)))&gt;0),"Correo vacío o no institucional válido; ","")&amp;IF(LEN(TRIM(D145))=0,"Sin objeto contractual; ","")&amp;IF(AND(ISNUMBER(M145),N145="Mínima cuantía"),IF(M145&gt;39850000,"Mínima cuantía con valor superior al tope citado en el instructivo 2026 ($39.850.000): verificar modalidad; ",""),"")&amp;IF(AND(ISNUMBER(M145),OR(ISNUMBER(SEARCH("prestación de servicios",D145)),ISNUMBER(SEARCH("prestar servicios",D145)),ISNUMBER(SEARCH("prestar los servicios",D145)))),IF(M145&gt;=500000000,"Prestación de servicios por $500 millones o más: posible error de digitación; ",""),""))=0,"Sin observaciones",IF(OR(NOT(ISNUMBER(B145)),LEN(B145)&lt;&gt;8),"UNSPSC vacío, en texto, con varios códigos o sin 8 dígitos; ","")&amp;IF(AND(ISNUMBER(B145),LEN(B145)=8),IF(MOD(B145,10000)=0,"UNSPSC a nivel de segmento o familia; ",""),"")&amp;IF(NOT(ISNUMBER(E145)),"Duración vacía o en texto; ","")&amp;IF(NOT(ISNUMBER(G145)),"Valor vacío o en texto; ","")&amp;IF(ISNUMBER(M145),IF(M145&lt;1000000,"Valor inferior a $1.000.000: verificar; ",""),"Valor no interpretable; ")&amp;IF(N145="[PENDIENTE DE VERIFICAR]","Modalidad no identificable; ","")&amp;IF(OR(ISERROR(SEARCH("@itc.edu.co",J145)),SUMPRODUCT(--ISNUMBER(SEARCH({"á","é","í","ó","ú","ñ"},J145)))&gt;0),"Correo vacío o no institucional válido; ","")&amp;IF(LEN(TRIM(D145))=0,"Sin objeto contractual; ","")&amp;IF(AND(ISNUMBER(M145),N145="Mínima cuantía"),IF(M145&gt;39850000,"Mínima cuantía con valor superior al tope citado en el instructivo 2026 ($39.850.000): verificar modalidad; ",""),"")&amp;IF(AND(ISNUMBER(M145),OR(ISNUMBER(SEARCH("prestación de servicios",D145)),ISNUMBER(SEARCH("prestar servicios",D145)),ISNUMBER(SEARCH("prestar los servicios",D145)))),IF(M145&gt;=500000000,"Prestación de servicios por $500 millones o más: posible error de digitación; ",""),""))</f>
        <v/>
      </c>
    </row>
    <row r="146" ht="22.8" customHeight="1" s="23">
      <c r="A146" s="114" t="inlineStr">
        <is>
          <t>PN26-142</t>
        </is>
      </c>
      <c r="B146" s="114" t="n">
        <v>52152000</v>
      </c>
      <c r="C146" s="114" t="inlineStr">
        <is>
          <t xml:space="preserve">Bienestar Universitario </t>
        </is>
      </c>
      <c r="D146" s="114" t="inlineStr">
        <is>
          <t>Compra de utensilios y menaje  necesarios para el buen funcionamiento del programa del subsidio de alimentación de la ETITC.</t>
        </is>
      </c>
      <c r="E146" s="114" t="n">
        <v>6</v>
      </c>
      <c r="F146" s="114" t="inlineStr">
        <is>
          <t>MENOR CUANTIA</t>
        </is>
      </c>
      <c r="G146" s="118" t="inlineStr">
        <is>
          <t>$20.000.000</t>
        </is>
      </c>
      <c r="H146" s="114" t="inlineStr">
        <is>
          <t xml:space="preserve">VICERRECTOR ACADEMICO </t>
        </is>
      </c>
      <c r="I146" s="114" t="n"/>
      <c r="J146" s="114" t="inlineStr">
        <is>
          <t>viceacademica@itc.edu.co</t>
        </is>
      </c>
      <c r="K146" s="114" t="n"/>
      <c r="L146" s="119" t="inlineStr">
        <is>
          <t>120 · Vicerrectoría Académica</t>
        </is>
      </c>
      <c r="M146" s="120" t="n">
        <v>20000000</v>
      </c>
      <c r="N146" s="119" t="inlineStr">
        <is>
          <t>Selección abreviada de menor cuantía</t>
        </is>
      </c>
      <c r="O146" s="119">
        <f>IF(LEN(IF(OR(NOT(ISNUMBER(B146)),LEN(B146)&lt;&gt;8),"UNSPSC vacío, en texto, con varios códigos o sin 8 dígitos; ","")&amp;IF(AND(ISNUMBER(B146),LEN(B146)=8),IF(MOD(B146,10000)=0,"UNSPSC a nivel de segmento o familia; ",""),"")&amp;IF(NOT(ISNUMBER(E146)),"Duración vacía o en texto; ","")&amp;IF(NOT(ISNUMBER(G146)),"Valor vacío o en texto; ","")&amp;IF(ISNUMBER(M146),IF(M146&lt;1000000,"Valor inferior a $1.000.000: verificar; ",""),"Valor no interpretable; ")&amp;IF(N146="[PENDIENTE DE VERIFICAR]","Modalidad no identificable; ","")&amp;IF(OR(ISERROR(SEARCH("@itc.edu.co",J146)),SUMPRODUCT(--ISNUMBER(SEARCH({"á","é","í","ó","ú","ñ"},J146)))&gt;0),"Correo vacío o no institucional válido; ","")&amp;IF(LEN(TRIM(D146))=0,"Sin objeto contractual; ","")&amp;IF(AND(ISNUMBER(M146),N146="Mínima cuantía"),IF(M146&gt;39850000,"Mínima cuantía con valor superior al tope citado en el instructivo 2026 ($39.850.000): verificar modalidad; ",""),"")&amp;IF(AND(ISNUMBER(M146),OR(ISNUMBER(SEARCH("prestación de servicios",D146)),ISNUMBER(SEARCH("prestar servicios",D146)),ISNUMBER(SEARCH("prestar los servicios",D146)))),IF(M146&gt;=500000000,"Prestación de servicios por $500 millones o más: posible error de digitación; ",""),""))=0,"Sin observaciones",IF(OR(NOT(ISNUMBER(B146)),LEN(B146)&lt;&gt;8),"UNSPSC vacío, en texto, con varios códigos o sin 8 dígitos; ","")&amp;IF(AND(ISNUMBER(B146),LEN(B146)=8),IF(MOD(B146,10000)=0,"UNSPSC a nivel de segmento o familia; ",""),"")&amp;IF(NOT(ISNUMBER(E146)),"Duración vacía o en texto; ","")&amp;IF(NOT(ISNUMBER(G146)),"Valor vacío o en texto; ","")&amp;IF(ISNUMBER(M146),IF(M146&lt;1000000,"Valor inferior a $1.000.000: verificar; ",""),"Valor no interpretable; ")&amp;IF(N146="[PENDIENTE DE VERIFICAR]","Modalidad no identificable; ","")&amp;IF(OR(ISERROR(SEARCH("@itc.edu.co",J146)),SUMPRODUCT(--ISNUMBER(SEARCH({"á","é","í","ó","ú","ñ"},J146)))&gt;0),"Correo vacío o no institucional válido; ","")&amp;IF(LEN(TRIM(D146))=0,"Sin objeto contractual; ","")&amp;IF(AND(ISNUMBER(M146),N146="Mínima cuantía"),IF(M146&gt;39850000,"Mínima cuantía con valor superior al tope citado en el instructivo 2026 ($39.850.000): verificar modalidad; ",""),"")&amp;IF(AND(ISNUMBER(M146),OR(ISNUMBER(SEARCH("prestación de servicios",D146)),ISNUMBER(SEARCH("prestar servicios",D146)),ISNUMBER(SEARCH("prestar los servicios",D146)))),IF(M146&gt;=500000000,"Prestación de servicios por $500 millones o más: posible error de digitación; ",""),""))</f>
        <v/>
      </c>
    </row>
    <row r="147" ht="22.8" customHeight="1" s="23">
      <c r="A147" s="114" t="inlineStr">
        <is>
          <t>PN26-143</t>
        </is>
      </c>
      <c r="B147" s="114" t="n">
        <v>78101500</v>
      </c>
      <c r="C147" s="114" t="inlineStr">
        <is>
          <t xml:space="preserve">Bienestar Universitario </t>
        </is>
      </c>
      <c r="D147" s="114" t="inlineStr">
        <is>
          <t>Contratar  transporte terrestre para asistir a las sedes de ZIPAQUIRÁ  y VIOTÁ desde el área de Bienestar Universitario segun indicaciones.</t>
        </is>
      </c>
      <c r="E147" s="114" t="n">
        <v>10</v>
      </c>
      <c r="F147" s="114" t="inlineStr">
        <is>
          <t>MENOR CUANTIA</t>
        </is>
      </c>
      <c r="G147" s="118" t="n">
        <v>31000000</v>
      </c>
      <c r="H147" s="114" t="inlineStr">
        <is>
          <t xml:space="preserve">VICERRECTOR ACADEMICO </t>
        </is>
      </c>
      <c r="I147" s="114" t="n"/>
      <c r="J147" s="114" t="inlineStr">
        <is>
          <t>viceacademica@itc.edu.co</t>
        </is>
      </c>
      <c r="K147" s="114" t="n"/>
      <c r="L147" s="119" t="inlineStr">
        <is>
          <t>120 · Vicerrectoría Académica</t>
        </is>
      </c>
      <c r="M147" s="120" t="n">
        <v>31000000</v>
      </c>
      <c r="N147" s="119" t="inlineStr">
        <is>
          <t>Selección abreviada de menor cuantía</t>
        </is>
      </c>
      <c r="O147" s="119">
        <f>IF(LEN(IF(OR(NOT(ISNUMBER(B147)),LEN(B147)&lt;&gt;8),"UNSPSC vacío, en texto, con varios códigos o sin 8 dígitos; ","")&amp;IF(AND(ISNUMBER(B147),LEN(B147)=8),IF(MOD(B147,10000)=0,"UNSPSC a nivel de segmento o familia; ",""),"")&amp;IF(NOT(ISNUMBER(E147)),"Duración vacía o en texto; ","")&amp;IF(NOT(ISNUMBER(G147)),"Valor vacío o en texto; ","")&amp;IF(ISNUMBER(M147),IF(M147&lt;1000000,"Valor inferior a $1.000.000: verificar; ",""),"Valor no interpretable; ")&amp;IF(N147="[PENDIENTE DE VERIFICAR]","Modalidad no identificable; ","")&amp;IF(OR(ISERROR(SEARCH("@itc.edu.co",J147)),SUMPRODUCT(--ISNUMBER(SEARCH({"á","é","í","ó","ú","ñ"},J147)))&gt;0),"Correo vacío o no institucional válido; ","")&amp;IF(LEN(TRIM(D147))=0,"Sin objeto contractual; ","")&amp;IF(AND(ISNUMBER(M147),N147="Mínima cuantía"),IF(M147&gt;39850000,"Mínima cuantía con valor superior al tope citado en el instructivo 2026 ($39.850.000): verificar modalidad; ",""),"")&amp;IF(AND(ISNUMBER(M147),OR(ISNUMBER(SEARCH("prestación de servicios",D147)),ISNUMBER(SEARCH("prestar servicios",D147)),ISNUMBER(SEARCH("prestar los servicios",D147)))),IF(M147&gt;=500000000,"Prestación de servicios por $500 millones o más: posible error de digitación; ",""),""))=0,"Sin observaciones",IF(OR(NOT(ISNUMBER(B147)),LEN(B147)&lt;&gt;8),"UNSPSC vacío, en texto, con varios códigos o sin 8 dígitos; ","")&amp;IF(AND(ISNUMBER(B147),LEN(B147)=8),IF(MOD(B147,10000)=0,"UNSPSC a nivel de segmento o familia; ",""),"")&amp;IF(NOT(ISNUMBER(E147)),"Duración vacía o en texto; ","")&amp;IF(NOT(ISNUMBER(G147)),"Valor vacío o en texto; ","")&amp;IF(ISNUMBER(M147),IF(M147&lt;1000000,"Valor inferior a $1.000.000: verificar; ",""),"Valor no interpretable; ")&amp;IF(N147="[PENDIENTE DE VERIFICAR]","Modalidad no identificable; ","")&amp;IF(OR(ISERROR(SEARCH("@itc.edu.co",J147)),SUMPRODUCT(--ISNUMBER(SEARCH({"á","é","í","ó","ú","ñ"},J147)))&gt;0),"Correo vacío o no institucional válido; ","")&amp;IF(LEN(TRIM(D147))=0,"Sin objeto contractual; ","")&amp;IF(AND(ISNUMBER(M147),N147="Mínima cuantía"),IF(M147&gt;39850000,"Mínima cuantía con valor superior al tope citado en el instructivo 2026 ($39.850.000): verificar modalidad; ",""),"")&amp;IF(AND(ISNUMBER(M147),OR(ISNUMBER(SEARCH("prestación de servicios",D147)),ISNUMBER(SEARCH("prestar servicios",D147)),ISNUMBER(SEARCH("prestar los servicios",D147)))),IF(M147&gt;=500000000,"Prestación de servicios por $500 millones o más: posible error de digitación; ",""),""))</f>
        <v/>
      </c>
    </row>
    <row r="148" ht="45.6" customHeight="1" s="23">
      <c r="A148" s="114" t="inlineStr">
        <is>
          <t>PN26-144</t>
        </is>
      </c>
      <c r="B148" s="114" t="n">
        <v>80101507</v>
      </c>
      <c r="C148" s="114" t="inlineStr">
        <is>
          <t xml:space="preserve">Bienestar Universitario </t>
        </is>
      </c>
      <c r="D148" s="114" t="inlineStr">
        <is>
          <t>Contratar la asesoria para dar inicio a la meta estrategica No. 3  del eje No. 6 de Cuidado por el Bienestar y la Vida:  estar entre las cinco universidades colombianas reconocidas por   rankings internacionales como Time Higher Education y QS World University,</t>
        </is>
      </c>
      <c r="E148" s="114" t="n">
        <v>5</v>
      </c>
      <c r="F148" s="114" t="inlineStr">
        <is>
          <t>MENOR CUANTIA</t>
        </is>
      </c>
      <c r="G148" s="118" t="n">
        <v>250000000</v>
      </c>
      <c r="H148" s="114" t="inlineStr">
        <is>
          <t xml:space="preserve">VICERRECTOR ACADEMICO </t>
        </is>
      </c>
      <c r="I148" s="114" t="n"/>
      <c r="J148" s="114" t="inlineStr">
        <is>
          <t>viceacademica@itc.edu.co</t>
        </is>
      </c>
      <c r="K148" s="114" t="n"/>
      <c r="L148" s="119" t="inlineStr">
        <is>
          <t>120 · Vicerrectoría Académica</t>
        </is>
      </c>
      <c r="M148" s="120" t="n">
        <v>250000000</v>
      </c>
      <c r="N148" s="119" t="inlineStr">
        <is>
          <t>Selección abreviada de menor cuantía</t>
        </is>
      </c>
      <c r="O148" s="119">
        <f>IF(LEN(IF(OR(NOT(ISNUMBER(B148)),LEN(B148)&lt;&gt;8),"UNSPSC vacío, en texto, con varios códigos o sin 8 dígitos; ","")&amp;IF(AND(ISNUMBER(B148),LEN(B148)=8),IF(MOD(B148,10000)=0,"UNSPSC a nivel de segmento o familia; ",""),"")&amp;IF(NOT(ISNUMBER(E148)),"Duración vacía o en texto; ","")&amp;IF(NOT(ISNUMBER(G148)),"Valor vacío o en texto; ","")&amp;IF(ISNUMBER(M148),IF(M148&lt;1000000,"Valor inferior a $1.000.000: verificar; ",""),"Valor no interpretable; ")&amp;IF(N148="[PENDIENTE DE VERIFICAR]","Modalidad no identificable; ","")&amp;IF(OR(ISERROR(SEARCH("@itc.edu.co",J148)),SUMPRODUCT(--ISNUMBER(SEARCH({"á","é","í","ó","ú","ñ"},J148)))&gt;0),"Correo vacío o no institucional válido; ","")&amp;IF(LEN(TRIM(D148))=0,"Sin objeto contractual; ","")&amp;IF(AND(ISNUMBER(M148),N148="Mínima cuantía"),IF(M148&gt;39850000,"Mínima cuantía con valor superior al tope citado en el instructivo 2026 ($39.850.000): verificar modalidad; ",""),"")&amp;IF(AND(ISNUMBER(M148),OR(ISNUMBER(SEARCH("prestación de servicios",D148)),ISNUMBER(SEARCH("prestar servicios",D148)),ISNUMBER(SEARCH("prestar los servicios",D148)))),IF(M148&gt;=500000000,"Prestación de servicios por $500 millones o más: posible error de digitación; ",""),""))=0,"Sin observaciones",IF(OR(NOT(ISNUMBER(B148)),LEN(B148)&lt;&gt;8),"UNSPSC vacío, en texto, con varios códigos o sin 8 dígitos; ","")&amp;IF(AND(ISNUMBER(B148),LEN(B148)=8),IF(MOD(B148,10000)=0,"UNSPSC a nivel de segmento o familia; ",""),"")&amp;IF(NOT(ISNUMBER(E148)),"Duración vacía o en texto; ","")&amp;IF(NOT(ISNUMBER(G148)),"Valor vacío o en texto; ","")&amp;IF(ISNUMBER(M148),IF(M148&lt;1000000,"Valor inferior a $1.000.000: verificar; ",""),"Valor no interpretable; ")&amp;IF(N148="[PENDIENTE DE VERIFICAR]","Modalidad no identificable; ","")&amp;IF(OR(ISERROR(SEARCH("@itc.edu.co",J148)),SUMPRODUCT(--ISNUMBER(SEARCH({"á","é","í","ó","ú","ñ"},J148)))&gt;0),"Correo vacío o no institucional válido; ","")&amp;IF(LEN(TRIM(D148))=0,"Sin objeto contractual; ","")&amp;IF(AND(ISNUMBER(M148),N148="Mínima cuantía"),IF(M148&gt;39850000,"Mínima cuantía con valor superior al tope citado en el instructivo 2026 ($39.850.000): verificar modalidad; ",""),"")&amp;IF(AND(ISNUMBER(M148),OR(ISNUMBER(SEARCH("prestación de servicios",D148)),ISNUMBER(SEARCH("prestar servicios",D148)),ISNUMBER(SEARCH("prestar los servicios",D148)))),IF(M148&gt;=500000000,"Prestación de servicios por $500 millones o más: posible error de digitación; ",""),""))</f>
        <v/>
      </c>
    </row>
    <row r="149" ht="22.8" customHeight="1" s="23">
      <c r="A149" s="114" t="inlineStr">
        <is>
          <t>PN26-145</t>
        </is>
      </c>
      <c r="B149" s="114" t="n">
        <v>56101500</v>
      </c>
      <c r="C149" s="114" t="inlineStr">
        <is>
          <t xml:space="preserve">Bienestar Universitario </t>
        </is>
      </c>
      <c r="D149" s="114" t="inlineStr">
        <is>
          <t>Adquisición de mobiliario para dotación de oficinas en VIOTA Y ZIPAQUIRA  de psicología</t>
        </is>
      </c>
      <c r="E149" s="114" t="n">
        <v>6</v>
      </c>
      <c r="F149" s="114" t="inlineStr">
        <is>
          <t>MENOR CUANTIA</t>
        </is>
      </c>
      <c r="G149" s="118" t="n">
        <v>6000000</v>
      </c>
      <c r="H149" s="114" t="inlineStr">
        <is>
          <t xml:space="preserve">VICERRECTOR ACADEMICO </t>
        </is>
      </c>
      <c r="I149" s="114" t="n"/>
      <c r="J149" s="114" t="inlineStr">
        <is>
          <t>viceacademica@itc.edu.co</t>
        </is>
      </c>
      <c r="K149" s="114" t="n"/>
      <c r="L149" s="119" t="inlineStr">
        <is>
          <t>120 · Vicerrectoría Académica</t>
        </is>
      </c>
      <c r="M149" s="120" t="n">
        <v>6000000</v>
      </c>
      <c r="N149" s="119" t="inlineStr">
        <is>
          <t>Selección abreviada de menor cuantía</t>
        </is>
      </c>
      <c r="O149" s="119">
        <f>IF(LEN(IF(OR(NOT(ISNUMBER(B149)),LEN(B149)&lt;&gt;8),"UNSPSC vacío, en texto, con varios códigos o sin 8 dígitos; ","")&amp;IF(AND(ISNUMBER(B149),LEN(B149)=8),IF(MOD(B149,10000)=0,"UNSPSC a nivel de segmento o familia; ",""),"")&amp;IF(NOT(ISNUMBER(E149)),"Duración vacía o en texto; ","")&amp;IF(NOT(ISNUMBER(G149)),"Valor vacío o en texto; ","")&amp;IF(ISNUMBER(M149),IF(M149&lt;1000000,"Valor inferior a $1.000.000: verificar; ",""),"Valor no interpretable; ")&amp;IF(N149="[PENDIENTE DE VERIFICAR]","Modalidad no identificable; ","")&amp;IF(OR(ISERROR(SEARCH("@itc.edu.co",J149)),SUMPRODUCT(--ISNUMBER(SEARCH({"á","é","í","ó","ú","ñ"},J149)))&gt;0),"Correo vacío o no institucional válido; ","")&amp;IF(LEN(TRIM(D149))=0,"Sin objeto contractual; ","")&amp;IF(AND(ISNUMBER(M149),N149="Mínima cuantía"),IF(M149&gt;39850000,"Mínima cuantía con valor superior al tope citado en el instructivo 2026 ($39.850.000): verificar modalidad; ",""),"")&amp;IF(AND(ISNUMBER(M149),OR(ISNUMBER(SEARCH("prestación de servicios",D149)),ISNUMBER(SEARCH("prestar servicios",D149)),ISNUMBER(SEARCH("prestar los servicios",D149)))),IF(M149&gt;=500000000,"Prestación de servicios por $500 millones o más: posible error de digitación; ",""),""))=0,"Sin observaciones",IF(OR(NOT(ISNUMBER(B149)),LEN(B149)&lt;&gt;8),"UNSPSC vacío, en texto, con varios códigos o sin 8 dígitos; ","")&amp;IF(AND(ISNUMBER(B149),LEN(B149)=8),IF(MOD(B149,10000)=0,"UNSPSC a nivel de segmento o familia; ",""),"")&amp;IF(NOT(ISNUMBER(E149)),"Duración vacía o en texto; ","")&amp;IF(NOT(ISNUMBER(G149)),"Valor vacío o en texto; ","")&amp;IF(ISNUMBER(M149),IF(M149&lt;1000000,"Valor inferior a $1.000.000: verificar; ",""),"Valor no interpretable; ")&amp;IF(N149="[PENDIENTE DE VERIFICAR]","Modalidad no identificable; ","")&amp;IF(OR(ISERROR(SEARCH("@itc.edu.co",J149)),SUMPRODUCT(--ISNUMBER(SEARCH({"á","é","í","ó","ú","ñ"},J149)))&gt;0),"Correo vacío o no institucional válido; ","")&amp;IF(LEN(TRIM(D149))=0,"Sin objeto contractual; ","")&amp;IF(AND(ISNUMBER(M149),N149="Mínima cuantía"),IF(M149&gt;39850000,"Mínima cuantía con valor superior al tope citado en el instructivo 2026 ($39.850.000): verificar modalidad; ",""),"")&amp;IF(AND(ISNUMBER(M149),OR(ISNUMBER(SEARCH("prestación de servicios",D149)),ISNUMBER(SEARCH("prestar servicios",D149)),ISNUMBER(SEARCH("prestar los servicios",D149)))),IF(M149&gt;=500000000,"Prestación de servicios por $500 millones o más: posible error de digitación; ",""),""))</f>
        <v/>
      </c>
    </row>
    <row r="150" ht="57" customHeight="1" s="23">
      <c r="A150" s="114" t="inlineStr">
        <is>
          <t>PN26-146</t>
        </is>
      </c>
      <c r="B150" s="114" t="n">
        <v>49101602</v>
      </c>
      <c r="C150" s="114" t="inlineStr">
        <is>
          <t xml:space="preserve">Bienestar Universitario </t>
        </is>
      </c>
      <c r="D150" s="114" t="inlineStr">
        <is>
          <t>Adquisición y suministro de artículos  necesarios para el desarrollo de talleres, actividades formativas, culturales, recreativas y de integración, en el marco de los programas y estrategias de Bienestar Universitario, con el fin de apoyar las acciones orientadas al fortalecimiento del desarrollo integral, la permanencia y la calidad de vida de la comunidad universitaria</t>
        </is>
      </c>
      <c r="E150" s="114" t="n">
        <v>6</v>
      </c>
      <c r="F150" s="114" t="inlineStr">
        <is>
          <t xml:space="preserve">Menor cuantía </t>
        </is>
      </c>
      <c r="G150" s="118" t="n">
        <v>30000000</v>
      </c>
      <c r="H150" s="114" t="inlineStr">
        <is>
          <t xml:space="preserve">VICERRECTOR ACADEMICO </t>
        </is>
      </c>
      <c r="I150" s="114" t="n"/>
      <c r="J150" s="114" t="inlineStr">
        <is>
          <t>viceacademica@itc.edu.co</t>
        </is>
      </c>
      <c r="K150" s="114" t="n"/>
      <c r="L150" s="119" t="inlineStr">
        <is>
          <t>120 · Vicerrectoría Académica</t>
        </is>
      </c>
      <c r="M150" s="120" t="n">
        <v>30000000</v>
      </c>
      <c r="N150" s="119" t="inlineStr">
        <is>
          <t>Selección abreviada de menor cuantía</t>
        </is>
      </c>
      <c r="O150" s="119">
        <f>IF(LEN(IF(OR(NOT(ISNUMBER(B150)),LEN(B150)&lt;&gt;8),"UNSPSC vacío, en texto, con varios códigos o sin 8 dígitos; ","")&amp;IF(AND(ISNUMBER(B150),LEN(B150)=8),IF(MOD(B150,10000)=0,"UNSPSC a nivel de segmento o familia; ",""),"")&amp;IF(NOT(ISNUMBER(E150)),"Duración vacía o en texto; ","")&amp;IF(NOT(ISNUMBER(G150)),"Valor vacío o en texto; ","")&amp;IF(ISNUMBER(M150),IF(M150&lt;1000000,"Valor inferior a $1.000.000: verificar; ",""),"Valor no interpretable; ")&amp;IF(N150="[PENDIENTE DE VERIFICAR]","Modalidad no identificable; ","")&amp;IF(OR(ISERROR(SEARCH("@itc.edu.co",J150)),SUMPRODUCT(--ISNUMBER(SEARCH({"á","é","í","ó","ú","ñ"},J150)))&gt;0),"Correo vacío o no institucional válido; ","")&amp;IF(LEN(TRIM(D150))=0,"Sin objeto contractual; ","")&amp;IF(AND(ISNUMBER(M150),N150="Mínima cuantía"),IF(M150&gt;39850000,"Mínima cuantía con valor superior al tope citado en el instructivo 2026 ($39.850.000): verificar modalidad; ",""),"")&amp;IF(AND(ISNUMBER(M150),OR(ISNUMBER(SEARCH("prestación de servicios",D150)),ISNUMBER(SEARCH("prestar servicios",D150)),ISNUMBER(SEARCH("prestar los servicios",D150)))),IF(M150&gt;=500000000,"Prestación de servicios por $500 millones o más: posible error de digitación; ",""),""))=0,"Sin observaciones",IF(OR(NOT(ISNUMBER(B150)),LEN(B150)&lt;&gt;8),"UNSPSC vacío, en texto, con varios códigos o sin 8 dígitos; ","")&amp;IF(AND(ISNUMBER(B150),LEN(B150)=8),IF(MOD(B150,10000)=0,"UNSPSC a nivel de segmento o familia; ",""),"")&amp;IF(NOT(ISNUMBER(E150)),"Duración vacía o en texto; ","")&amp;IF(NOT(ISNUMBER(G150)),"Valor vacío o en texto; ","")&amp;IF(ISNUMBER(M150),IF(M150&lt;1000000,"Valor inferior a $1.000.000: verificar; ",""),"Valor no interpretable; ")&amp;IF(N150="[PENDIENTE DE VERIFICAR]","Modalidad no identificable; ","")&amp;IF(OR(ISERROR(SEARCH("@itc.edu.co",J150)),SUMPRODUCT(--ISNUMBER(SEARCH({"á","é","í","ó","ú","ñ"},J150)))&gt;0),"Correo vacío o no institucional válido; ","")&amp;IF(LEN(TRIM(D150))=0,"Sin objeto contractual; ","")&amp;IF(AND(ISNUMBER(M150),N150="Mínima cuantía"),IF(M150&gt;39850000,"Mínima cuantía con valor superior al tope citado en el instructivo 2026 ($39.850.000): verificar modalidad; ",""),"")&amp;IF(AND(ISNUMBER(M150),OR(ISNUMBER(SEARCH("prestación de servicios",D150)),ISNUMBER(SEARCH("prestar servicios",D150)),ISNUMBER(SEARCH("prestar los servicios",D150)))),IF(M150&gt;=500000000,"Prestación de servicios por $500 millones o más: posible error de digitación; ",""),""))</f>
        <v/>
      </c>
    </row>
    <row r="151" ht="45.6" customHeight="1" s="23">
      <c r="A151" s="114" t="inlineStr">
        <is>
          <t>PN26-147</t>
        </is>
      </c>
      <c r="B151" s="114" t="n">
        <v>72154055</v>
      </c>
      <c r="C151" s="114" t="inlineStr">
        <is>
          <t>Gestion Ambiental</t>
        </is>
      </c>
      <c r="D151" s="114" t="inlineStr">
        <is>
          <t>Contratar  una empresa especializada en prestar servicios de saneamiento ambiental, que cuente con Concepto sanitario favorable para Lavado y desinfección de tanques de almacenamiento de agua potable, control de plagas y desinfección ambiental.</t>
        </is>
      </c>
      <c r="E151" s="114" t="n">
        <v>9</v>
      </c>
      <c r="F151" s="114" t="inlineStr">
        <is>
          <t xml:space="preserve">Menor cuantía </t>
        </is>
      </c>
      <c r="G151" s="118" t="inlineStr">
        <is>
          <t>140.000.000</t>
        </is>
      </c>
      <c r="H151" s="114" t="inlineStr">
        <is>
          <t>Jefe de la oficina asesora de planeación</t>
        </is>
      </c>
      <c r="I151" s="114" t="n"/>
      <c r="J151" s="114" t="inlineStr">
        <is>
          <t xml:space="preserve">planeacion@itc.edu.co </t>
        </is>
      </c>
      <c r="K151" s="114" t="n">
        <v>130</v>
      </c>
      <c r="L151" s="119" t="inlineStr">
        <is>
          <t>101 · Oficina Asesora de Planeación y Desarrollo Institucional</t>
        </is>
      </c>
      <c r="M151" s="120" t="n">
        <v>140000000</v>
      </c>
      <c r="N151" s="119" t="inlineStr">
        <is>
          <t>Selección abreviada de menor cuantía</t>
        </is>
      </c>
      <c r="O151" s="119">
        <f>IF(LEN(IF(OR(NOT(ISNUMBER(B151)),LEN(B151)&lt;&gt;8),"UNSPSC vacío, en texto, con varios códigos o sin 8 dígitos; ","")&amp;IF(AND(ISNUMBER(B151),LEN(B151)=8),IF(MOD(B151,10000)=0,"UNSPSC a nivel de segmento o familia; ",""),"")&amp;IF(NOT(ISNUMBER(E151)),"Duración vacía o en texto; ","")&amp;IF(NOT(ISNUMBER(G151)),"Valor vacío o en texto; ","")&amp;IF(ISNUMBER(M151),IF(M151&lt;1000000,"Valor inferior a $1.000.000: verificar; ",""),"Valor no interpretable; ")&amp;IF(N151="[PENDIENTE DE VERIFICAR]","Modalidad no identificable; ","")&amp;IF(OR(ISERROR(SEARCH("@itc.edu.co",J151)),SUMPRODUCT(--ISNUMBER(SEARCH({"á","é","í","ó","ú","ñ"},J151)))&gt;0),"Correo vacío o no institucional válido; ","")&amp;IF(LEN(TRIM(D151))=0,"Sin objeto contractual; ","")&amp;IF(AND(ISNUMBER(M151),N151="Mínima cuantía"),IF(M151&gt;39850000,"Mínima cuantía con valor superior al tope citado en el instructivo 2026 ($39.850.000): verificar modalidad; ",""),"")&amp;IF(AND(ISNUMBER(M151),OR(ISNUMBER(SEARCH("prestación de servicios",D151)),ISNUMBER(SEARCH("prestar servicios",D151)),ISNUMBER(SEARCH("prestar los servicios",D151)))),IF(M151&gt;=500000000,"Prestación de servicios por $500 millones o más: posible error de digitación; ",""),""))=0,"Sin observaciones",IF(OR(NOT(ISNUMBER(B151)),LEN(B151)&lt;&gt;8),"UNSPSC vacío, en texto, con varios códigos o sin 8 dígitos; ","")&amp;IF(AND(ISNUMBER(B151),LEN(B151)=8),IF(MOD(B151,10000)=0,"UNSPSC a nivel de segmento o familia; ",""),"")&amp;IF(NOT(ISNUMBER(E151)),"Duración vacía o en texto; ","")&amp;IF(NOT(ISNUMBER(G151)),"Valor vacío o en texto; ","")&amp;IF(ISNUMBER(M151),IF(M151&lt;1000000,"Valor inferior a $1.000.000: verificar; ",""),"Valor no interpretable; ")&amp;IF(N151="[PENDIENTE DE VERIFICAR]","Modalidad no identificable; ","")&amp;IF(OR(ISERROR(SEARCH("@itc.edu.co",J151)),SUMPRODUCT(--ISNUMBER(SEARCH({"á","é","í","ó","ú","ñ"},J151)))&gt;0),"Correo vacío o no institucional válido; ","")&amp;IF(LEN(TRIM(D151))=0,"Sin objeto contractual; ","")&amp;IF(AND(ISNUMBER(M151),N151="Mínima cuantía"),IF(M151&gt;39850000,"Mínima cuantía con valor superior al tope citado en el instructivo 2026 ($39.850.000): verificar modalidad; ",""),"")&amp;IF(AND(ISNUMBER(M151),OR(ISNUMBER(SEARCH("prestación de servicios",D151)),ISNUMBER(SEARCH("prestar servicios",D151)),ISNUMBER(SEARCH("prestar los servicios",D151)))),IF(M151&gt;=500000000,"Prestación de servicios por $500 millones o más: posible error de digitación; ",""),""))</f>
        <v/>
      </c>
    </row>
    <row r="152" ht="34.2" customHeight="1" s="23">
      <c r="A152" s="114" t="inlineStr">
        <is>
          <t>PN26-148</t>
        </is>
      </c>
      <c r="B152" s="114" t="n">
        <v>77101805</v>
      </c>
      <c r="C152" s="114" t="inlineStr">
        <is>
          <t>Gestion Ambiental</t>
        </is>
      </c>
      <c r="D152" s="114" t="inlineStr">
        <is>
          <t>Contratar laboratorio que cuente con Resolución de acreditación del IDEAM para realizar muestreo compuesto y análisis de Aguas residuales No Domesticas, según lo establecido en la Res. 631 de 2015.</t>
        </is>
      </c>
      <c r="E152" s="114" t="n">
        <v>4</v>
      </c>
      <c r="F152" s="114" t="inlineStr">
        <is>
          <t xml:space="preserve">Menor cuantía </t>
        </is>
      </c>
      <c r="G152" s="118" t="inlineStr">
        <is>
          <t>15.000.000</t>
        </is>
      </c>
      <c r="H152" s="114" t="inlineStr">
        <is>
          <t>Jefe de la oficina asesora de planeación</t>
        </is>
      </c>
      <c r="I152" s="114" t="n"/>
      <c r="J152" s="114" t="inlineStr">
        <is>
          <t xml:space="preserve">planeacion@itc.edu.co </t>
        </is>
      </c>
      <c r="K152" s="114" t="n">
        <v>131</v>
      </c>
      <c r="L152" s="119" t="inlineStr">
        <is>
          <t>101 · Oficina Asesora de Planeación y Desarrollo Institucional</t>
        </is>
      </c>
      <c r="M152" s="120" t="n">
        <v>15000000</v>
      </c>
      <c r="N152" s="119" t="inlineStr">
        <is>
          <t>Selección abreviada de menor cuantía</t>
        </is>
      </c>
      <c r="O152" s="119">
        <f>IF(LEN(IF(OR(NOT(ISNUMBER(B152)),LEN(B152)&lt;&gt;8),"UNSPSC vacío, en texto, con varios códigos o sin 8 dígitos; ","")&amp;IF(AND(ISNUMBER(B152),LEN(B152)=8),IF(MOD(B152,10000)=0,"UNSPSC a nivel de segmento o familia; ",""),"")&amp;IF(NOT(ISNUMBER(E152)),"Duración vacía o en texto; ","")&amp;IF(NOT(ISNUMBER(G152)),"Valor vacío o en texto; ","")&amp;IF(ISNUMBER(M152),IF(M152&lt;1000000,"Valor inferior a $1.000.000: verificar; ",""),"Valor no interpretable; ")&amp;IF(N152="[PENDIENTE DE VERIFICAR]","Modalidad no identificable; ","")&amp;IF(OR(ISERROR(SEARCH("@itc.edu.co",J152)),SUMPRODUCT(--ISNUMBER(SEARCH({"á","é","í","ó","ú","ñ"},J152)))&gt;0),"Correo vacío o no institucional válido; ","")&amp;IF(LEN(TRIM(D152))=0,"Sin objeto contractual; ","")&amp;IF(AND(ISNUMBER(M152),N152="Mínima cuantía"),IF(M152&gt;39850000,"Mínima cuantía con valor superior al tope citado en el instructivo 2026 ($39.850.000): verificar modalidad; ",""),"")&amp;IF(AND(ISNUMBER(M152),OR(ISNUMBER(SEARCH("prestación de servicios",D152)),ISNUMBER(SEARCH("prestar servicios",D152)),ISNUMBER(SEARCH("prestar los servicios",D152)))),IF(M152&gt;=500000000,"Prestación de servicios por $500 millones o más: posible error de digitación; ",""),""))=0,"Sin observaciones",IF(OR(NOT(ISNUMBER(B152)),LEN(B152)&lt;&gt;8),"UNSPSC vacío, en texto, con varios códigos o sin 8 dígitos; ","")&amp;IF(AND(ISNUMBER(B152),LEN(B152)=8),IF(MOD(B152,10000)=0,"UNSPSC a nivel de segmento o familia; ",""),"")&amp;IF(NOT(ISNUMBER(E152)),"Duración vacía o en texto; ","")&amp;IF(NOT(ISNUMBER(G152)),"Valor vacío o en texto; ","")&amp;IF(ISNUMBER(M152),IF(M152&lt;1000000,"Valor inferior a $1.000.000: verificar; ",""),"Valor no interpretable; ")&amp;IF(N152="[PENDIENTE DE VERIFICAR]","Modalidad no identificable; ","")&amp;IF(OR(ISERROR(SEARCH("@itc.edu.co",J152)),SUMPRODUCT(--ISNUMBER(SEARCH({"á","é","í","ó","ú","ñ"},J152)))&gt;0),"Correo vacío o no institucional válido; ","")&amp;IF(LEN(TRIM(D152))=0,"Sin objeto contractual; ","")&amp;IF(AND(ISNUMBER(M152),N152="Mínima cuantía"),IF(M152&gt;39850000,"Mínima cuantía con valor superior al tope citado en el instructivo 2026 ($39.850.000): verificar modalidad; ",""),"")&amp;IF(AND(ISNUMBER(M152),OR(ISNUMBER(SEARCH("prestación de servicios",D152)),ISNUMBER(SEARCH("prestar servicios",D152)),ISNUMBER(SEARCH("prestar los servicios",D152)))),IF(M152&gt;=500000000,"Prestación de servicios por $500 millones o más: posible error de digitación; ",""),""))</f>
        <v/>
      </c>
    </row>
    <row r="153" ht="34.2" customHeight="1" s="23">
      <c r="A153" s="114" t="inlineStr">
        <is>
          <t>PN26-149</t>
        </is>
      </c>
      <c r="B153" s="114" t="n">
        <v>76121501</v>
      </c>
      <c r="C153" s="114" t="inlineStr">
        <is>
          <t>Gestion Ambiental</t>
        </is>
      </c>
      <c r="D153" s="114" t="inlineStr">
        <is>
          <t>Contratar los servicios especializados para recolectar y gestionar los residuos de construcción y demolición que se generen en las actividades de mantenimiento locativo de la ETITC</t>
        </is>
      </c>
      <c r="E153" s="114" t="n">
        <v>9</v>
      </c>
      <c r="F153" s="114" t="inlineStr">
        <is>
          <t xml:space="preserve">Menor cuantía </t>
        </is>
      </c>
      <c r="G153" s="118" t="inlineStr">
        <is>
          <t>25.000.000</t>
        </is>
      </c>
      <c r="H153" s="114" t="inlineStr">
        <is>
          <t>Jefe de la oficina asesora de planeación</t>
        </is>
      </c>
      <c r="I153" s="114" t="n"/>
      <c r="J153" s="114" t="inlineStr">
        <is>
          <t xml:space="preserve">planeacion@itc.edu.co </t>
        </is>
      </c>
      <c r="K153" s="114" t="n">
        <v>132</v>
      </c>
      <c r="L153" s="119" t="inlineStr">
        <is>
          <t>101 · Oficina Asesora de Planeación y Desarrollo Institucional</t>
        </is>
      </c>
      <c r="M153" s="120" t="n">
        <v>25000000</v>
      </c>
      <c r="N153" s="119" t="inlineStr">
        <is>
          <t>Selección abreviada de menor cuantía</t>
        </is>
      </c>
      <c r="O153" s="119">
        <f>IF(LEN(IF(OR(NOT(ISNUMBER(B153)),LEN(B153)&lt;&gt;8),"UNSPSC vacío, en texto, con varios códigos o sin 8 dígitos; ","")&amp;IF(AND(ISNUMBER(B153),LEN(B153)=8),IF(MOD(B153,10000)=0,"UNSPSC a nivel de segmento o familia; ",""),"")&amp;IF(NOT(ISNUMBER(E153)),"Duración vacía o en texto; ","")&amp;IF(NOT(ISNUMBER(G153)),"Valor vacío o en texto; ","")&amp;IF(ISNUMBER(M153),IF(M153&lt;1000000,"Valor inferior a $1.000.000: verificar; ",""),"Valor no interpretable; ")&amp;IF(N153="[PENDIENTE DE VERIFICAR]","Modalidad no identificable; ","")&amp;IF(OR(ISERROR(SEARCH("@itc.edu.co",J153)),SUMPRODUCT(--ISNUMBER(SEARCH({"á","é","í","ó","ú","ñ"},J153)))&gt;0),"Correo vacío o no institucional válido; ","")&amp;IF(LEN(TRIM(D153))=0,"Sin objeto contractual; ","")&amp;IF(AND(ISNUMBER(M153),N153="Mínima cuantía"),IF(M153&gt;39850000,"Mínima cuantía con valor superior al tope citado en el instructivo 2026 ($39.850.000): verificar modalidad; ",""),"")&amp;IF(AND(ISNUMBER(M153),OR(ISNUMBER(SEARCH("prestación de servicios",D153)),ISNUMBER(SEARCH("prestar servicios",D153)),ISNUMBER(SEARCH("prestar los servicios",D153)))),IF(M153&gt;=500000000,"Prestación de servicios por $500 millones o más: posible error de digitación; ",""),""))=0,"Sin observaciones",IF(OR(NOT(ISNUMBER(B153)),LEN(B153)&lt;&gt;8),"UNSPSC vacío, en texto, con varios códigos o sin 8 dígitos; ","")&amp;IF(AND(ISNUMBER(B153),LEN(B153)=8),IF(MOD(B153,10000)=0,"UNSPSC a nivel de segmento o familia; ",""),"")&amp;IF(NOT(ISNUMBER(E153)),"Duración vacía o en texto; ","")&amp;IF(NOT(ISNUMBER(G153)),"Valor vacío o en texto; ","")&amp;IF(ISNUMBER(M153),IF(M153&lt;1000000,"Valor inferior a $1.000.000: verificar; ",""),"Valor no interpretable; ")&amp;IF(N153="[PENDIENTE DE VERIFICAR]","Modalidad no identificable; ","")&amp;IF(OR(ISERROR(SEARCH("@itc.edu.co",J153)),SUMPRODUCT(--ISNUMBER(SEARCH({"á","é","í","ó","ú","ñ"},J153)))&gt;0),"Correo vacío o no institucional válido; ","")&amp;IF(LEN(TRIM(D153))=0,"Sin objeto contractual; ","")&amp;IF(AND(ISNUMBER(M153),N153="Mínima cuantía"),IF(M153&gt;39850000,"Mínima cuantía con valor superior al tope citado en el instructivo 2026 ($39.850.000): verificar modalidad; ",""),"")&amp;IF(AND(ISNUMBER(M153),OR(ISNUMBER(SEARCH("prestación de servicios",D153)),ISNUMBER(SEARCH("prestar servicios",D153)),ISNUMBER(SEARCH("prestar los servicios",D153)))),IF(M153&gt;=500000000,"Prestación de servicios por $500 millones o más: posible error de digitación; ",""),""))</f>
        <v/>
      </c>
    </row>
    <row r="154" ht="22.8" customHeight="1" s="23">
      <c r="A154" s="114" t="inlineStr">
        <is>
          <t>PN26-150</t>
        </is>
      </c>
      <c r="B154" s="114" t="n">
        <v>76121900</v>
      </c>
      <c r="C154" s="114" t="inlineStr">
        <is>
          <t>Gestion Ambiental</t>
        </is>
      </c>
      <c r="D154" s="114" t="inlineStr">
        <is>
          <t xml:space="preserve">Contratar los servicios especializados para recolectar y gestionar los residuos peligrosos que se generen en todas las sedes de la ETITC. </t>
        </is>
      </c>
      <c r="E154" s="114" t="n">
        <v>9</v>
      </c>
      <c r="F154" s="114" t="inlineStr">
        <is>
          <t xml:space="preserve">Menor cuantía </t>
        </is>
      </c>
      <c r="G154" s="118" t="inlineStr">
        <is>
          <t>11.000.000</t>
        </is>
      </c>
      <c r="H154" s="114" t="inlineStr">
        <is>
          <t>Jefe de la oficina asesora de planeación</t>
        </is>
      </c>
      <c r="I154" s="114" t="n"/>
      <c r="J154" s="114" t="inlineStr">
        <is>
          <t xml:space="preserve">planeacion@itc.edu.co </t>
        </is>
      </c>
      <c r="K154" s="114" t="n">
        <v>133</v>
      </c>
      <c r="L154" s="119" t="inlineStr">
        <is>
          <t>101 · Oficina Asesora de Planeación y Desarrollo Institucional</t>
        </is>
      </c>
      <c r="M154" s="120" t="n">
        <v>11000000</v>
      </c>
      <c r="N154" s="119" t="inlineStr">
        <is>
          <t>Selección abreviada de menor cuantía</t>
        </is>
      </c>
      <c r="O154" s="119">
        <f>IF(LEN(IF(OR(NOT(ISNUMBER(B154)),LEN(B154)&lt;&gt;8),"UNSPSC vacío, en texto, con varios códigos o sin 8 dígitos; ","")&amp;IF(AND(ISNUMBER(B154),LEN(B154)=8),IF(MOD(B154,10000)=0,"UNSPSC a nivel de segmento o familia; ",""),"")&amp;IF(NOT(ISNUMBER(E154)),"Duración vacía o en texto; ","")&amp;IF(NOT(ISNUMBER(G154)),"Valor vacío o en texto; ","")&amp;IF(ISNUMBER(M154),IF(M154&lt;1000000,"Valor inferior a $1.000.000: verificar; ",""),"Valor no interpretable; ")&amp;IF(N154="[PENDIENTE DE VERIFICAR]","Modalidad no identificable; ","")&amp;IF(OR(ISERROR(SEARCH("@itc.edu.co",J154)),SUMPRODUCT(--ISNUMBER(SEARCH({"á","é","í","ó","ú","ñ"},J154)))&gt;0),"Correo vacío o no institucional válido; ","")&amp;IF(LEN(TRIM(D154))=0,"Sin objeto contractual; ","")&amp;IF(AND(ISNUMBER(M154),N154="Mínima cuantía"),IF(M154&gt;39850000,"Mínima cuantía con valor superior al tope citado en el instructivo 2026 ($39.850.000): verificar modalidad; ",""),"")&amp;IF(AND(ISNUMBER(M154),OR(ISNUMBER(SEARCH("prestación de servicios",D154)),ISNUMBER(SEARCH("prestar servicios",D154)),ISNUMBER(SEARCH("prestar los servicios",D154)))),IF(M154&gt;=500000000,"Prestación de servicios por $500 millones o más: posible error de digitación; ",""),""))=0,"Sin observaciones",IF(OR(NOT(ISNUMBER(B154)),LEN(B154)&lt;&gt;8),"UNSPSC vacío, en texto, con varios códigos o sin 8 dígitos; ","")&amp;IF(AND(ISNUMBER(B154),LEN(B154)=8),IF(MOD(B154,10000)=0,"UNSPSC a nivel de segmento o familia; ",""),"")&amp;IF(NOT(ISNUMBER(E154)),"Duración vacía o en texto; ","")&amp;IF(NOT(ISNUMBER(G154)),"Valor vacío o en texto; ","")&amp;IF(ISNUMBER(M154),IF(M154&lt;1000000,"Valor inferior a $1.000.000: verificar; ",""),"Valor no interpretable; ")&amp;IF(N154="[PENDIENTE DE VERIFICAR]","Modalidad no identificable; ","")&amp;IF(OR(ISERROR(SEARCH("@itc.edu.co",J154)),SUMPRODUCT(--ISNUMBER(SEARCH({"á","é","í","ó","ú","ñ"},J154)))&gt;0),"Correo vacío o no institucional válido; ","")&amp;IF(LEN(TRIM(D154))=0,"Sin objeto contractual; ","")&amp;IF(AND(ISNUMBER(M154),N154="Mínima cuantía"),IF(M154&gt;39850000,"Mínima cuantía con valor superior al tope citado en el instructivo 2026 ($39.850.000): verificar modalidad; ",""),"")&amp;IF(AND(ISNUMBER(M154),OR(ISNUMBER(SEARCH("prestación de servicios",D154)),ISNUMBER(SEARCH("prestar servicios",D154)),ISNUMBER(SEARCH("prestar los servicios",D154)))),IF(M154&gt;=500000000,"Prestación de servicios por $500 millones o más: posible error de digitación; ",""),""))</f>
        <v/>
      </c>
    </row>
    <row r="155" ht="22.8" customHeight="1" s="23">
      <c r="A155" s="114" t="inlineStr">
        <is>
          <t>PN26-151</t>
        </is>
      </c>
      <c r="B155" s="114" t="n">
        <v>47121700</v>
      </c>
      <c r="C155" s="114" t="inlineStr">
        <is>
          <t>Gestion Ambiental</t>
        </is>
      </c>
      <c r="D155" s="114" t="inlineStr">
        <is>
          <t>Compra de canecas y elementos para separación de residuos en la fuente que cumple con el código de colores de la Res2184 de 2019</t>
        </is>
      </c>
      <c r="E155" s="114" t="n">
        <v>3</v>
      </c>
      <c r="F155" s="114" t="inlineStr">
        <is>
          <t xml:space="preserve">Menor cuantía </t>
        </is>
      </c>
      <c r="G155" s="118" t="inlineStr">
        <is>
          <t>38.000.000</t>
        </is>
      </c>
      <c r="H155" s="114" t="inlineStr">
        <is>
          <t>Jefe de la oficina asesora de planeación</t>
        </is>
      </c>
      <c r="I155" s="114" t="n"/>
      <c r="J155" s="114" t="inlineStr">
        <is>
          <t xml:space="preserve">planeacion@itc.edu.co </t>
        </is>
      </c>
      <c r="K155" s="114" t="n">
        <v>134</v>
      </c>
      <c r="L155" s="119" t="inlineStr">
        <is>
          <t>101 · Oficina Asesora de Planeación y Desarrollo Institucional</t>
        </is>
      </c>
      <c r="M155" s="120" t="n">
        <v>38000000</v>
      </c>
      <c r="N155" s="119" t="inlineStr">
        <is>
          <t>Selección abreviada de menor cuantía</t>
        </is>
      </c>
      <c r="O155" s="119">
        <f>IF(LEN(IF(OR(NOT(ISNUMBER(B155)),LEN(B155)&lt;&gt;8),"UNSPSC vacío, en texto, con varios códigos o sin 8 dígitos; ","")&amp;IF(AND(ISNUMBER(B155),LEN(B155)=8),IF(MOD(B155,10000)=0,"UNSPSC a nivel de segmento o familia; ",""),"")&amp;IF(NOT(ISNUMBER(E155)),"Duración vacía o en texto; ","")&amp;IF(NOT(ISNUMBER(G155)),"Valor vacío o en texto; ","")&amp;IF(ISNUMBER(M155),IF(M155&lt;1000000,"Valor inferior a $1.000.000: verificar; ",""),"Valor no interpretable; ")&amp;IF(N155="[PENDIENTE DE VERIFICAR]","Modalidad no identificable; ","")&amp;IF(OR(ISERROR(SEARCH("@itc.edu.co",J155)),SUMPRODUCT(--ISNUMBER(SEARCH({"á","é","í","ó","ú","ñ"},J155)))&gt;0),"Correo vacío o no institucional válido; ","")&amp;IF(LEN(TRIM(D155))=0,"Sin objeto contractual; ","")&amp;IF(AND(ISNUMBER(M155),N155="Mínima cuantía"),IF(M155&gt;39850000,"Mínima cuantía con valor superior al tope citado en el instructivo 2026 ($39.850.000): verificar modalidad; ",""),"")&amp;IF(AND(ISNUMBER(M155),OR(ISNUMBER(SEARCH("prestación de servicios",D155)),ISNUMBER(SEARCH("prestar servicios",D155)),ISNUMBER(SEARCH("prestar los servicios",D155)))),IF(M155&gt;=500000000,"Prestación de servicios por $500 millones o más: posible error de digitación; ",""),""))=0,"Sin observaciones",IF(OR(NOT(ISNUMBER(B155)),LEN(B155)&lt;&gt;8),"UNSPSC vacío, en texto, con varios códigos o sin 8 dígitos; ","")&amp;IF(AND(ISNUMBER(B155),LEN(B155)=8),IF(MOD(B155,10000)=0,"UNSPSC a nivel de segmento o familia; ",""),"")&amp;IF(NOT(ISNUMBER(E155)),"Duración vacía o en texto; ","")&amp;IF(NOT(ISNUMBER(G155)),"Valor vacío o en texto; ","")&amp;IF(ISNUMBER(M155),IF(M155&lt;1000000,"Valor inferior a $1.000.000: verificar; ",""),"Valor no interpretable; ")&amp;IF(N155="[PENDIENTE DE VERIFICAR]","Modalidad no identificable; ","")&amp;IF(OR(ISERROR(SEARCH("@itc.edu.co",J155)),SUMPRODUCT(--ISNUMBER(SEARCH({"á","é","í","ó","ú","ñ"},J155)))&gt;0),"Correo vacío o no institucional válido; ","")&amp;IF(LEN(TRIM(D155))=0,"Sin objeto contractual; ","")&amp;IF(AND(ISNUMBER(M155),N155="Mínima cuantía"),IF(M155&gt;39850000,"Mínima cuantía con valor superior al tope citado en el instructivo 2026 ($39.850.000): verificar modalidad; ",""),"")&amp;IF(AND(ISNUMBER(M155),OR(ISNUMBER(SEARCH("prestación de servicios",D155)),ISNUMBER(SEARCH("prestar servicios",D155)),ISNUMBER(SEARCH("prestar los servicios",D155)))),IF(M155&gt;=500000000,"Prestación de servicios por $500 millones o más: posible error de digitación; ",""),""))</f>
        <v/>
      </c>
    </row>
    <row r="156" ht="68.40000000000001" customHeight="1" s="23">
      <c r="A156" s="114" t="inlineStr">
        <is>
          <t>PN26-152</t>
        </is>
      </c>
      <c r="B156" s="114" t="n">
        <v>81102501</v>
      </c>
      <c r="C156" s="114" t="inlineStr">
        <is>
          <t>Gestion Ambiental</t>
        </is>
      </c>
      <c r="D156" s="114" t="inlineStr">
        <is>
          <t>Prestación de servicio de  consultoría técnica para la realización de una auditoria energética integral en las instalaciones del ETITC,  en cumplimiento de la Resolución 40412 de 2024 del Ministerio de 
Minas y Energía, así como de lo establecido en la Ley 1715 de 2014, la Ley 274 de 2023 (Plan  Nacional de Desarrollo 2022–2026) y la metodología definida por la UPME</t>
        </is>
      </c>
      <c r="E156" s="114" t="n">
        <v>4</v>
      </c>
      <c r="F156" s="114" t="inlineStr">
        <is>
          <t xml:space="preserve">Menor cuantía </t>
        </is>
      </c>
      <c r="G156" s="118" t="inlineStr">
        <is>
          <t>70.00.000</t>
        </is>
      </c>
      <c r="H156" s="114" t="inlineStr">
        <is>
          <t>Jefe de la oficina asesora de planeación</t>
        </is>
      </c>
      <c r="I156" s="114" t="n"/>
      <c r="J156" s="114" t="inlineStr">
        <is>
          <t xml:space="preserve">planeacion@itc.edu.co </t>
        </is>
      </c>
      <c r="K156" s="114" t="n">
        <v>135</v>
      </c>
      <c r="L156" s="119" t="inlineStr">
        <is>
          <t>101 · Oficina Asesora de Planeación y Desarrollo Institucional</t>
        </is>
      </c>
      <c r="M156" s="120" t="n"/>
      <c r="N156" s="119" t="inlineStr">
        <is>
          <t>Selección abreviada de menor cuantía</t>
        </is>
      </c>
      <c r="O156" s="119">
        <f>IF(LEN(IF(OR(NOT(ISNUMBER(B156)),LEN(B156)&lt;&gt;8),"UNSPSC vacío, en texto, con varios códigos o sin 8 dígitos; ","")&amp;IF(AND(ISNUMBER(B156),LEN(B156)=8),IF(MOD(B156,10000)=0,"UNSPSC a nivel de segmento o familia; ",""),"")&amp;IF(NOT(ISNUMBER(E156)),"Duración vacía o en texto; ","")&amp;IF(NOT(ISNUMBER(G156)),"Valor vacío o en texto; ","")&amp;IF(ISNUMBER(M156),IF(M156&lt;1000000,"Valor inferior a $1.000.000: verificar; ",""),"Valor no interpretable; ")&amp;IF(N156="[PENDIENTE DE VERIFICAR]","Modalidad no identificable; ","")&amp;IF(OR(ISERROR(SEARCH("@itc.edu.co",J156)),SUMPRODUCT(--ISNUMBER(SEARCH({"á","é","í","ó","ú","ñ"},J156)))&gt;0),"Correo vacío o no institucional válido; ","")&amp;IF(LEN(TRIM(D156))=0,"Sin objeto contractual; ","")&amp;IF(AND(ISNUMBER(M156),N156="Mínima cuantía"),IF(M156&gt;39850000,"Mínima cuantía con valor superior al tope citado en el instructivo 2026 ($39.850.000): verificar modalidad; ",""),"")&amp;IF(AND(ISNUMBER(M156),OR(ISNUMBER(SEARCH("prestación de servicios",D156)),ISNUMBER(SEARCH("prestar servicios",D156)),ISNUMBER(SEARCH("prestar los servicios",D156)))),IF(M156&gt;=500000000,"Prestación de servicios por $500 millones o más: posible error de digitación; ",""),""))=0,"Sin observaciones",IF(OR(NOT(ISNUMBER(B156)),LEN(B156)&lt;&gt;8),"UNSPSC vacío, en texto, con varios códigos o sin 8 dígitos; ","")&amp;IF(AND(ISNUMBER(B156),LEN(B156)=8),IF(MOD(B156,10000)=0,"UNSPSC a nivel de segmento o familia; ",""),"")&amp;IF(NOT(ISNUMBER(E156)),"Duración vacía o en texto; ","")&amp;IF(NOT(ISNUMBER(G156)),"Valor vacío o en texto; ","")&amp;IF(ISNUMBER(M156),IF(M156&lt;1000000,"Valor inferior a $1.000.000: verificar; ",""),"Valor no interpretable; ")&amp;IF(N156="[PENDIENTE DE VERIFICAR]","Modalidad no identificable; ","")&amp;IF(OR(ISERROR(SEARCH("@itc.edu.co",J156)),SUMPRODUCT(--ISNUMBER(SEARCH({"á","é","í","ó","ú","ñ"},J156)))&gt;0),"Correo vacío o no institucional válido; ","")&amp;IF(LEN(TRIM(D156))=0,"Sin objeto contractual; ","")&amp;IF(AND(ISNUMBER(M156),N156="Mínima cuantía"),IF(M156&gt;39850000,"Mínima cuantía con valor superior al tope citado en el instructivo 2026 ($39.850.000): verificar modalidad; ",""),"")&amp;IF(AND(ISNUMBER(M156),OR(ISNUMBER(SEARCH("prestación de servicios",D156)),ISNUMBER(SEARCH("prestar servicios",D156)),ISNUMBER(SEARCH("prestar los servicios",D156)))),IF(M156&gt;=500000000,"Prestación de servicios por $500 millones o más: posible error de digitación; ",""),""))</f>
        <v/>
      </c>
    </row>
    <row r="157" ht="45.6" customHeight="1" s="23">
      <c r="A157" s="114" t="inlineStr">
        <is>
          <t>PN26-153</t>
        </is>
      </c>
      <c r="B157" s="114" t="n">
        <v>46182400</v>
      </c>
      <c r="C157" s="114" t="inlineStr">
        <is>
          <t>Gestion Ambiental</t>
        </is>
      </c>
      <c r="D157" s="114" t="inlineStr">
        <is>
          <t>Adquisición estibas y d Kits de emergencias y elementos para la atención de derrames químicos  e hidrocarburos,destinados a fortalecer la capacidad de respuesta y mitigación de impactos ambientales y de seguridad en el trabajo en el  ETITC</t>
        </is>
      </c>
      <c r="E157" s="114" t="n">
        <v>3</v>
      </c>
      <c r="F157" s="114" t="inlineStr">
        <is>
          <t xml:space="preserve">Menor cuantía </t>
        </is>
      </c>
      <c r="G157" s="118" t="inlineStr">
        <is>
          <t>30.000.000</t>
        </is>
      </c>
      <c r="H157" s="114" t="inlineStr">
        <is>
          <t>Jefe de la oficina asesora de planeación</t>
        </is>
      </c>
      <c r="I157" s="114" t="n"/>
      <c r="J157" s="114" t="inlineStr">
        <is>
          <t xml:space="preserve">planeacion@itc.edu.co </t>
        </is>
      </c>
      <c r="K157" s="114" t="n">
        <v>136</v>
      </c>
      <c r="L157" s="119" t="inlineStr">
        <is>
          <t>101 · Oficina Asesora de Planeación y Desarrollo Institucional</t>
        </is>
      </c>
      <c r="M157" s="120" t="n">
        <v>30000000</v>
      </c>
      <c r="N157" s="119" t="inlineStr">
        <is>
          <t>Selección abreviada de menor cuantía</t>
        </is>
      </c>
      <c r="O157" s="119">
        <f>IF(LEN(IF(OR(NOT(ISNUMBER(B157)),LEN(B157)&lt;&gt;8),"UNSPSC vacío, en texto, con varios códigos o sin 8 dígitos; ","")&amp;IF(AND(ISNUMBER(B157),LEN(B157)=8),IF(MOD(B157,10000)=0,"UNSPSC a nivel de segmento o familia; ",""),"")&amp;IF(NOT(ISNUMBER(E157)),"Duración vacía o en texto; ","")&amp;IF(NOT(ISNUMBER(G157)),"Valor vacío o en texto; ","")&amp;IF(ISNUMBER(M157),IF(M157&lt;1000000,"Valor inferior a $1.000.000: verificar; ",""),"Valor no interpretable; ")&amp;IF(N157="[PENDIENTE DE VERIFICAR]","Modalidad no identificable; ","")&amp;IF(OR(ISERROR(SEARCH("@itc.edu.co",J157)),SUMPRODUCT(--ISNUMBER(SEARCH({"á","é","í","ó","ú","ñ"},J157)))&gt;0),"Correo vacío o no institucional válido; ","")&amp;IF(LEN(TRIM(D157))=0,"Sin objeto contractual; ","")&amp;IF(AND(ISNUMBER(M157),N157="Mínima cuantía"),IF(M157&gt;39850000,"Mínima cuantía con valor superior al tope citado en el instructivo 2026 ($39.850.000): verificar modalidad; ",""),"")&amp;IF(AND(ISNUMBER(M157),OR(ISNUMBER(SEARCH("prestación de servicios",D157)),ISNUMBER(SEARCH("prestar servicios",D157)),ISNUMBER(SEARCH("prestar los servicios",D157)))),IF(M157&gt;=500000000,"Prestación de servicios por $500 millones o más: posible error de digitación; ",""),""))=0,"Sin observaciones",IF(OR(NOT(ISNUMBER(B157)),LEN(B157)&lt;&gt;8),"UNSPSC vacío, en texto, con varios códigos o sin 8 dígitos; ","")&amp;IF(AND(ISNUMBER(B157),LEN(B157)=8),IF(MOD(B157,10000)=0,"UNSPSC a nivel de segmento o familia; ",""),"")&amp;IF(NOT(ISNUMBER(E157)),"Duración vacía o en texto; ","")&amp;IF(NOT(ISNUMBER(G157)),"Valor vacío o en texto; ","")&amp;IF(ISNUMBER(M157),IF(M157&lt;1000000,"Valor inferior a $1.000.000: verificar; ",""),"Valor no interpretable; ")&amp;IF(N157="[PENDIENTE DE VERIFICAR]","Modalidad no identificable; ","")&amp;IF(OR(ISERROR(SEARCH("@itc.edu.co",J157)),SUMPRODUCT(--ISNUMBER(SEARCH({"á","é","í","ó","ú","ñ"},J157)))&gt;0),"Correo vacío o no institucional válido; ","")&amp;IF(LEN(TRIM(D157))=0,"Sin objeto contractual; ","")&amp;IF(AND(ISNUMBER(M157),N157="Mínima cuantía"),IF(M157&gt;39850000,"Mínima cuantía con valor superior al tope citado en el instructivo 2026 ($39.850.000): verificar modalidad; ",""),"")&amp;IF(AND(ISNUMBER(M157),OR(ISNUMBER(SEARCH("prestación de servicios",D157)),ISNUMBER(SEARCH("prestar servicios",D157)),ISNUMBER(SEARCH("prestar los servicios",D157)))),IF(M157&gt;=500000000,"Prestación de servicios por $500 millones o más: posible error de digitación; ",""),""))</f>
        <v/>
      </c>
    </row>
    <row r="158" ht="68.40000000000001" customHeight="1" s="23">
      <c r="A158" s="114" t="inlineStr">
        <is>
          <t>PN26-154</t>
        </is>
      </c>
      <c r="B158" s="114" t="n">
        <v>80111600</v>
      </c>
      <c r="C158" s="114" t="inlineStr">
        <is>
          <t>Aseguramiento de la Calidad</t>
        </is>
      </c>
      <c r="D158" s="114" t="inlineStr">
        <is>
          <t>Prestar los servicios profesionales a la Oficina Asesora de Planeación de la Escuela Tecnológica Instituto Técnico Central – ETIC, para realizar el seguimiento, verificación y mejora continua del plan de continuidad del servicio y del tratamiento de protección de datos personales, asegurando su conformidad con la normativa vigente relacionada con la continuidad del servicio, la seguridad de la información y la protección de datos personales.</t>
        </is>
      </c>
      <c r="E158" s="114" t="n">
        <v>10.5</v>
      </c>
      <c r="F158" s="114" t="inlineStr">
        <is>
          <t>DIRECTA</t>
        </is>
      </c>
      <c r="G158" s="118" t="n">
        <v>58001000</v>
      </c>
      <c r="H158" s="114" t="inlineStr">
        <is>
          <t>Profesional Especializado 2028-15 Aseguramiento de la Calidad</t>
        </is>
      </c>
      <c r="I158" s="114" t="n"/>
      <c r="J158" s="114" t="inlineStr">
        <is>
          <t>aseguramientocalidad@itc.edu.co</t>
        </is>
      </c>
      <c r="K158" s="114" t="n"/>
      <c r="L158" s="119" t="inlineStr">
        <is>
          <t>101 · Oficina Asesora de Planeación y Desarrollo Institucional</t>
        </is>
      </c>
      <c r="M158" s="120" t="n">
        <v>58001000</v>
      </c>
      <c r="N158" s="119" t="inlineStr">
        <is>
          <t>Contratación directa</t>
        </is>
      </c>
      <c r="O158" s="119">
        <f>IF(LEN(IF(OR(NOT(ISNUMBER(B158)),LEN(B158)&lt;&gt;8),"UNSPSC vacío, en texto, con varios códigos o sin 8 dígitos; ","")&amp;IF(AND(ISNUMBER(B158),LEN(B158)=8),IF(MOD(B158,10000)=0,"UNSPSC a nivel de segmento o familia; ",""),"")&amp;IF(NOT(ISNUMBER(E158)),"Duración vacía o en texto; ","")&amp;IF(NOT(ISNUMBER(G158)),"Valor vacío o en texto; ","")&amp;IF(ISNUMBER(M158),IF(M158&lt;1000000,"Valor inferior a $1.000.000: verificar; ",""),"Valor no interpretable; ")&amp;IF(N158="[PENDIENTE DE VERIFICAR]","Modalidad no identificable; ","")&amp;IF(OR(ISERROR(SEARCH("@itc.edu.co",J158)),SUMPRODUCT(--ISNUMBER(SEARCH({"á","é","í","ó","ú","ñ"},J158)))&gt;0),"Correo vacío o no institucional válido; ","")&amp;IF(LEN(TRIM(D158))=0,"Sin objeto contractual; ","")&amp;IF(AND(ISNUMBER(M158),N158="Mínima cuantía"),IF(M158&gt;39850000,"Mínima cuantía con valor superior al tope citado en el instructivo 2026 ($39.850.000): verificar modalidad; ",""),"")&amp;IF(AND(ISNUMBER(M158),OR(ISNUMBER(SEARCH("prestación de servicios",D158)),ISNUMBER(SEARCH("prestar servicios",D158)),ISNUMBER(SEARCH("prestar los servicios",D158)))),IF(M158&gt;=500000000,"Prestación de servicios por $500 millones o más: posible error de digitación; ",""),""))=0,"Sin observaciones",IF(OR(NOT(ISNUMBER(B158)),LEN(B158)&lt;&gt;8),"UNSPSC vacío, en texto, con varios códigos o sin 8 dígitos; ","")&amp;IF(AND(ISNUMBER(B158),LEN(B158)=8),IF(MOD(B158,10000)=0,"UNSPSC a nivel de segmento o familia; ",""),"")&amp;IF(NOT(ISNUMBER(E158)),"Duración vacía o en texto; ","")&amp;IF(NOT(ISNUMBER(G158)),"Valor vacío o en texto; ","")&amp;IF(ISNUMBER(M158),IF(M158&lt;1000000,"Valor inferior a $1.000.000: verificar; ",""),"Valor no interpretable; ")&amp;IF(N158="[PENDIENTE DE VERIFICAR]","Modalidad no identificable; ","")&amp;IF(OR(ISERROR(SEARCH("@itc.edu.co",J158)),SUMPRODUCT(--ISNUMBER(SEARCH({"á","é","í","ó","ú","ñ"},J158)))&gt;0),"Correo vacío o no institucional válido; ","")&amp;IF(LEN(TRIM(D158))=0,"Sin objeto contractual; ","")&amp;IF(AND(ISNUMBER(M158),N158="Mínima cuantía"),IF(M158&gt;39850000,"Mínima cuantía con valor superior al tope citado en el instructivo 2026 ($39.850.000): verificar modalidad; ",""),"")&amp;IF(AND(ISNUMBER(M158),OR(ISNUMBER(SEARCH("prestación de servicios",D158)),ISNUMBER(SEARCH("prestar servicios",D158)),ISNUMBER(SEARCH("prestar los servicios",D158)))),IF(M158&gt;=500000000,"Prestación de servicios por $500 millones o más: posible error de digitación; ",""),""))</f>
        <v/>
      </c>
    </row>
    <row r="159" ht="34.2" customHeight="1" s="23">
      <c r="A159" s="114" t="inlineStr">
        <is>
          <t>PN26-155</t>
        </is>
      </c>
      <c r="B159" s="114" t="n">
        <v>81111700</v>
      </c>
      <c r="C159" s="114" t="inlineStr">
        <is>
          <t>Aseguramiento de la Calidad</t>
        </is>
      </c>
      <c r="D159" s="114" t="inlineStr">
        <is>
          <t>Renovación de la herramienta Kawak por seis (6) meses para ejecutar actividades de la Oficina Asesora De Planeación de la Escuela Tecnológica Instituto Técnico Central</t>
        </is>
      </c>
      <c r="E159" s="114" t="n">
        <v>6</v>
      </c>
      <c r="F159" s="114" t="inlineStr">
        <is>
          <t>DIRECTA</t>
        </is>
      </c>
      <c r="G159" s="118" t="n">
        <v>6419772</v>
      </c>
      <c r="H159" s="114" t="inlineStr">
        <is>
          <t>Jefe de la oficina asesora de planeación</t>
        </is>
      </c>
      <c r="I159" s="114" t="n"/>
      <c r="J159" s="114" t="inlineStr">
        <is>
          <t xml:space="preserve">planeacion@itc.edu.co </t>
        </is>
      </c>
      <c r="K159" s="114" t="n"/>
      <c r="L159" s="119" t="inlineStr">
        <is>
          <t>101 · Oficina Asesora de Planeación y Desarrollo Institucional</t>
        </is>
      </c>
      <c r="M159" s="120" t="n">
        <v>6419772</v>
      </c>
      <c r="N159" s="119" t="inlineStr">
        <is>
          <t>Contratación directa</t>
        </is>
      </c>
      <c r="O159" s="119">
        <f>IF(LEN(IF(OR(NOT(ISNUMBER(B159)),LEN(B159)&lt;&gt;8),"UNSPSC vacío, en texto, con varios códigos o sin 8 dígitos; ","")&amp;IF(AND(ISNUMBER(B159),LEN(B159)=8),IF(MOD(B159,10000)=0,"UNSPSC a nivel de segmento o familia; ",""),"")&amp;IF(NOT(ISNUMBER(E159)),"Duración vacía o en texto; ","")&amp;IF(NOT(ISNUMBER(G159)),"Valor vacío o en texto; ","")&amp;IF(ISNUMBER(M159),IF(M159&lt;1000000,"Valor inferior a $1.000.000: verificar; ",""),"Valor no interpretable; ")&amp;IF(N159="[PENDIENTE DE VERIFICAR]","Modalidad no identificable; ","")&amp;IF(OR(ISERROR(SEARCH("@itc.edu.co",J159)),SUMPRODUCT(--ISNUMBER(SEARCH({"á","é","í","ó","ú","ñ"},J159)))&gt;0),"Correo vacío o no institucional válido; ","")&amp;IF(LEN(TRIM(D159))=0,"Sin objeto contractual; ","")&amp;IF(AND(ISNUMBER(M159),N159="Mínima cuantía"),IF(M159&gt;39850000,"Mínima cuantía con valor superior al tope citado en el instructivo 2026 ($39.850.000): verificar modalidad; ",""),"")&amp;IF(AND(ISNUMBER(M159),OR(ISNUMBER(SEARCH("prestación de servicios",D159)),ISNUMBER(SEARCH("prestar servicios",D159)),ISNUMBER(SEARCH("prestar los servicios",D159)))),IF(M159&gt;=500000000,"Prestación de servicios por $500 millones o más: posible error de digitación; ",""),""))=0,"Sin observaciones",IF(OR(NOT(ISNUMBER(B159)),LEN(B159)&lt;&gt;8),"UNSPSC vacío, en texto, con varios códigos o sin 8 dígitos; ","")&amp;IF(AND(ISNUMBER(B159),LEN(B159)=8),IF(MOD(B159,10000)=0,"UNSPSC a nivel de segmento o familia; ",""),"")&amp;IF(NOT(ISNUMBER(E159)),"Duración vacía o en texto; ","")&amp;IF(NOT(ISNUMBER(G159)),"Valor vacío o en texto; ","")&amp;IF(ISNUMBER(M159),IF(M159&lt;1000000,"Valor inferior a $1.000.000: verificar; ",""),"Valor no interpretable; ")&amp;IF(N159="[PENDIENTE DE VERIFICAR]","Modalidad no identificable; ","")&amp;IF(OR(ISERROR(SEARCH("@itc.edu.co",J159)),SUMPRODUCT(--ISNUMBER(SEARCH({"á","é","í","ó","ú","ñ"},J159)))&gt;0),"Correo vacío o no institucional válido; ","")&amp;IF(LEN(TRIM(D159))=0,"Sin objeto contractual; ","")&amp;IF(AND(ISNUMBER(M159),N159="Mínima cuantía"),IF(M159&gt;39850000,"Mínima cuantía con valor superior al tope citado en el instructivo 2026 ($39.850.000): verificar modalidad; ",""),"")&amp;IF(AND(ISNUMBER(M159),OR(ISNUMBER(SEARCH("prestación de servicios",D159)),ISNUMBER(SEARCH("prestar servicios",D159)),ISNUMBER(SEARCH("prestar los servicios",D159)))),IF(M159&gt;=500000000,"Prestación de servicios por $500 millones o más: posible error de digitación; ",""),""))</f>
        <v/>
      </c>
    </row>
    <row r="160" ht="45.6" customHeight="1" s="23">
      <c r="A160" s="114" t="inlineStr">
        <is>
          <t>PN26-156</t>
        </is>
      </c>
      <c r="B160" s="114" t="n">
        <v>84111603</v>
      </c>
      <c r="C160" s="114" t="inlineStr">
        <is>
          <t>Aseguramiento de la Calidad</t>
        </is>
      </c>
      <c r="D160" s="114" t="inlineStr">
        <is>
          <t>Prestación de servicio para la realización de Auditoría Interna Integral de los Sistemas de Gestión de Calidad NTC ISO 9001:2015, NTC ISO 14001:2015, ISO/IEC 27001:2022, Decreto 1072 de 2015 y Resolución 0312 de 2019, en la Escuela Tecnológica Instituto Técnico Central.</t>
        </is>
      </c>
      <c r="E160" s="114" t="n">
        <v>3</v>
      </c>
      <c r="F160" s="114" t="inlineStr">
        <is>
          <t>MÍNIMA CUANTÍA</t>
        </is>
      </c>
      <c r="G160" s="118" t="n">
        <v>32169667</v>
      </c>
      <c r="H160" s="114" t="inlineStr">
        <is>
          <t>Profesional Especializado 2028-15 Aseguramiento de la Calidad</t>
        </is>
      </c>
      <c r="I160" s="114" t="n"/>
      <c r="J160" s="114" t="inlineStr">
        <is>
          <t>aseguramientocalidad@itc.edu.co</t>
        </is>
      </c>
      <c r="K160" s="114" t="n"/>
      <c r="L160" s="119" t="inlineStr">
        <is>
          <t>101 · Oficina Asesora de Planeación y Desarrollo Institucional</t>
        </is>
      </c>
      <c r="M160" s="120" t="n">
        <v>32169667</v>
      </c>
      <c r="N160" s="119" t="inlineStr">
        <is>
          <t>Mínima cuantía</t>
        </is>
      </c>
      <c r="O160" s="119">
        <f>IF(LEN(IF(OR(NOT(ISNUMBER(B160)),LEN(B160)&lt;&gt;8),"UNSPSC vacío, en texto, con varios códigos o sin 8 dígitos; ","")&amp;IF(AND(ISNUMBER(B160),LEN(B160)=8),IF(MOD(B160,10000)=0,"UNSPSC a nivel de segmento o familia; ",""),"")&amp;IF(NOT(ISNUMBER(E160)),"Duración vacía o en texto; ","")&amp;IF(NOT(ISNUMBER(G160)),"Valor vacío o en texto; ","")&amp;IF(ISNUMBER(M160),IF(M160&lt;1000000,"Valor inferior a $1.000.000: verificar; ",""),"Valor no interpretable; ")&amp;IF(N160="[PENDIENTE DE VERIFICAR]","Modalidad no identificable; ","")&amp;IF(OR(ISERROR(SEARCH("@itc.edu.co",J160)),SUMPRODUCT(--ISNUMBER(SEARCH({"á","é","í","ó","ú","ñ"},J160)))&gt;0),"Correo vacío o no institucional válido; ","")&amp;IF(LEN(TRIM(D160))=0,"Sin objeto contractual; ","")&amp;IF(AND(ISNUMBER(M160),N160="Mínima cuantía"),IF(M160&gt;39850000,"Mínima cuantía con valor superior al tope citado en el instructivo 2026 ($39.850.000): verificar modalidad; ",""),"")&amp;IF(AND(ISNUMBER(M160),OR(ISNUMBER(SEARCH("prestación de servicios",D160)),ISNUMBER(SEARCH("prestar servicios",D160)),ISNUMBER(SEARCH("prestar los servicios",D160)))),IF(M160&gt;=500000000,"Prestación de servicios por $500 millones o más: posible error de digitación; ",""),""))=0,"Sin observaciones",IF(OR(NOT(ISNUMBER(B160)),LEN(B160)&lt;&gt;8),"UNSPSC vacío, en texto, con varios códigos o sin 8 dígitos; ","")&amp;IF(AND(ISNUMBER(B160),LEN(B160)=8),IF(MOD(B160,10000)=0,"UNSPSC a nivel de segmento o familia; ",""),"")&amp;IF(NOT(ISNUMBER(E160)),"Duración vacía o en texto; ","")&amp;IF(NOT(ISNUMBER(G160)),"Valor vacío o en texto; ","")&amp;IF(ISNUMBER(M160),IF(M160&lt;1000000,"Valor inferior a $1.000.000: verificar; ",""),"Valor no interpretable; ")&amp;IF(N160="[PENDIENTE DE VERIFICAR]","Modalidad no identificable; ","")&amp;IF(OR(ISERROR(SEARCH("@itc.edu.co",J160)),SUMPRODUCT(--ISNUMBER(SEARCH({"á","é","í","ó","ú","ñ"},J160)))&gt;0),"Correo vacío o no institucional válido; ","")&amp;IF(LEN(TRIM(D160))=0,"Sin objeto contractual; ","")&amp;IF(AND(ISNUMBER(M160),N160="Mínima cuantía"),IF(M160&gt;39850000,"Mínima cuantía con valor superior al tope citado en el instructivo 2026 ($39.850.000): verificar modalidad; ",""),"")&amp;IF(AND(ISNUMBER(M160),OR(ISNUMBER(SEARCH("prestación de servicios",D160)),ISNUMBER(SEARCH("prestar servicios",D160)),ISNUMBER(SEARCH("prestar los servicios",D160)))),IF(M160&gt;=500000000,"Prestación de servicios por $500 millones o más: posible error de digitación; ",""),""))</f>
        <v/>
      </c>
    </row>
    <row r="161" ht="34.2" customHeight="1" s="23">
      <c r="A161" s="114" t="inlineStr">
        <is>
          <t>PN26-157</t>
        </is>
      </c>
      <c r="B161" s="114" t="n">
        <v>64111802</v>
      </c>
      <c r="C161" s="114" t="inlineStr">
        <is>
          <t>Aseguramiento de la Calidad</t>
        </is>
      </c>
      <c r="D161" s="114" t="inlineStr">
        <is>
          <t>Afiliación al Instituto Colombiano de Normas Técnicas y Certificaciones- Icontec</t>
        </is>
      </c>
      <c r="E161" s="114" t="n">
        <v>12</v>
      </c>
      <c r="F161" s="114" t="inlineStr">
        <is>
          <t>DIRECTA</t>
        </is>
      </c>
      <c r="G161" s="118" t="n">
        <v>6000000</v>
      </c>
      <c r="H161" s="114" t="inlineStr">
        <is>
          <t>Profesional Especializado 2028-15 Aseguramiento de la Calidad</t>
        </is>
      </c>
      <c r="I161" s="114" t="n"/>
      <c r="J161" s="114" t="inlineStr">
        <is>
          <t>aseguramientocalidad@itc.edu.co</t>
        </is>
      </c>
      <c r="K161" s="114" t="n"/>
      <c r="L161" s="119" t="inlineStr">
        <is>
          <t>101 · Oficina Asesora de Planeación y Desarrollo Institucional</t>
        </is>
      </c>
      <c r="M161" s="120" t="n">
        <v>6000000</v>
      </c>
      <c r="N161" s="119" t="inlineStr">
        <is>
          <t>Contratación directa</t>
        </is>
      </c>
      <c r="O161" s="119">
        <f>IF(LEN(IF(OR(NOT(ISNUMBER(B161)),LEN(B161)&lt;&gt;8),"UNSPSC vacío, en texto, con varios códigos o sin 8 dígitos; ","")&amp;IF(AND(ISNUMBER(B161),LEN(B161)=8),IF(MOD(B161,10000)=0,"UNSPSC a nivel de segmento o familia; ",""),"")&amp;IF(NOT(ISNUMBER(E161)),"Duración vacía o en texto; ","")&amp;IF(NOT(ISNUMBER(G161)),"Valor vacío o en texto; ","")&amp;IF(ISNUMBER(M161),IF(M161&lt;1000000,"Valor inferior a $1.000.000: verificar; ",""),"Valor no interpretable; ")&amp;IF(N161="[PENDIENTE DE VERIFICAR]","Modalidad no identificable; ","")&amp;IF(OR(ISERROR(SEARCH("@itc.edu.co",J161)),SUMPRODUCT(--ISNUMBER(SEARCH({"á","é","í","ó","ú","ñ"},J161)))&gt;0),"Correo vacío o no institucional válido; ","")&amp;IF(LEN(TRIM(D161))=0,"Sin objeto contractual; ","")&amp;IF(AND(ISNUMBER(M161),N161="Mínima cuantía"),IF(M161&gt;39850000,"Mínima cuantía con valor superior al tope citado en el instructivo 2026 ($39.850.000): verificar modalidad; ",""),"")&amp;IF(AND(ISNUMBER(M161),OR(ISNUMBER(SEARCH("prestación de servicios",D161)),ISNUMBER(SEARCH("prestar servicios",D161)),ISNUMBER(SEARCH("prestar los servicios",D161)))),IF(M161&gt;=500000000,"Prestación de servicios por $500 millones o más: posible error de digitación; ",""),""))=0,"Sin observaciones",IF(OR(NOT(ISNUMBER(B161)),LEN(B161)&lt;&gt;8),"UNSPSC vacío, en texto, con varios códigos o sin 8 dígitos; ","")&amp;IF(AND(ISNUMBER(B161),LEN(B161)=8),IF(MOD(B161,10000)=0,"UNSPSC a nivel de segmento o familia; ",""),"")&amp;IF(NOT(ISNUMBER(E161)),"Duración vacía o en texto; ","")&amp;IF(NOT(ISNUMBER(G161)),"Valor vacío o en texto; ","")&amp;IF(ISNUMBER(M161),IF(M161&lt;1000000,"Valor inferior a $1.000.000: verificar; ",""),"Valor no interpretable; ")&amp;IF(N161="[PENDIENTE DE VERIFICAR]","Modalidad no identificable; ","")&amp;IF(OR(ISERROR(SEARCH("@itc.edu.co",J161)),SUMPRODUCT(--ISNUMBER(SEARCH({"á","é","í","ó","ú","ñ"},J161)))&gt;0),"Correo vacío o no institucional válido; ","")&amp;IF(LEN(TRIM(D161))=0,"Sin objeto contractual; ","")&amp;IF(AND(ISNUMBER(M161),N161="Mínima cuantía"),IF(M161&gt;39850000,"Mínima cuantía con valor superior al tope citado en el instructivo 2026 ($39.850.000): verificar modalidad; ",""),"")&amp;IF(AND(ISNUMBER(M161),OR(ISNUMBER(SEARCH("prestación de servicios",D161)),ISNUMBER(SEARCH("prestar servicios",D161)),ISNUMBER(SEARCH("prestar los servicios",D161)))),IF(M161&gt;=500000000,"Prestación de servicios por $500 millones o más: posible error de digitación; ",""),""))</f>
        <v/>
      </c>
    </row>
    <row r="162" ht="34.2" customHeight="1" s="23">
      <c r="A162" s="114" t="inlineStr">
        <is>
          <t>PN26-158</t>
        </is>
      </c>
      <c r="B162" s="114" t="n">
        <v>84111603</v>
      </c>
      <c r="C162" s="114" t="inlineStr">
        <is>
          <t>Aseguramiento de la Calidad</t>
        </is>
      </c>
      <c r="D162" s="114" t="inlineStr">
        <is>
          <t>Contratar con el Icontec el servicio de auditoría de renovación bajo las normas ISO 9001:2015, ISO/IEC 27001:2022 E ISO 14001:2015</t>
        </is>
      </c>
      <c r="E162" s="114" t="n">
        <v>6</v>
      </c>
      <c r="F162" s="114" t="inlineStr">
        <is>
          <t>DIRECTA</t>
        </is>
      </c>
      <c r="G162" s="118" t="n">
        <v>32779740</v>
      </c>
      <c r="H162" s="114" t="inlineStr">
        <is>
          <t>Profesional Especializado 2028-15 Aseguramiento de la Calidad</t>
        </is>
      </c>
      <c r="I162" s="114" t="n"/>
      <c r="J162" s="114" t="inlineStr">
        <is>
          <t>aseguramientocalidad@itc.edu.co</t>
        </is>
      </c>
      <c r="K162" s="114" t="n"/>
      <c r="L162" s="119" t="inlineStr">
        <is>
          <t>101 · Oficina Asesora de Planeación y Desarrollo Institucional</t>
        </is>
      </c>
      <c r="M162" s="120" t="n">
        <v>32779740</v>
      </c>
      <c r="N162" s="119" t="inlineStr">
        <is>
          <t>Contratación directa</t>
        </is>
      </c>
      <c r="O162" s="119">
        <f>IF(LEN(IF(OR(NOT(ISNUMBER(B162)),LEN(B162)&lt;&gt;8),"UNSPSC vacío, en texto, con varios códigos o sin 8 dígitos; ","")&amp;IF(AND(ISNUMBER(B162),LEN(B162)=8),IF(MOD(B162,10000)=0,"UNSPSC a nivel de segmento o familia; ",""),"")&amp;IF(NOT(ISNUMBER(E162)),"Duración vacía o en texto; ","")&amp;IF(NOT(ISNUMBER(G162)),"Valor vacío o en texto; ","")&amp;IF(ISNUMBER(M162),IF(M162&lt;1000000,"Valor inferior a $1.000.000: verificar; ",""),"Valor no interpretable; ")&amp;IF(N162="[PENDIENTE DE VERIFICAR]","Modalidad no identificable; ","")&amp;IF(OR(ISERROR(SEARCH("@itc.edu.co",J162)),SUMPRODUCT(--ISNUMBER(SEARCH({"á","é","í","ó","ú","ñ"},J162)))&gt;0),"Correo vacío o no institucional válido; ","")&amp;IF(LEN(TRIM(D162))=0,"Sin objeto contractual; ","")&amp;IF(AND(ISNUMBER(M162),N162="Mínima cuantía"),IF(M162&gt;39850000,"Mínima cuantía con valor superior al tope citado en el instructivo 2026 ($39.850.000): verificar modalidad; ",""),"")&amp;IF(AND(ISNUMBER(M162),OR(ISNUMBER(SEARCH("prestación de servicios",D162)),ISNUMBER(SEARCH("prestar servicios",D162)),ISNUMBER(SEARCH("prestar los servicios",D162)))),IF(M162&gt;=500000000,"Prestación de servicios por $500 millones o más: posible error de digitación; ",""),""))=0,"Sin observaciones",IF(OR(NOT(ISNUMBER(B162)),LEN(B162)&lt;&gt;8),"UNSPSC vacío, en texto, con varios códigos o sin 8 dígitos; ","")&amp;IF(AND(ISNUMBER(B162),LEN(B162)=8),IF(MOD(B162,10000)=0,"UNSPSC a nivel de segmento o familia; ",""),"")&amp;IF(NOT(ISNUMBER(E162)),"Duración vacía o en texto; ","")&amp;IF(NOT(ISNUMBER(G162)),"Valor vacío o en texto; ","")&amp;IF(ISNUMBER(M162),IF(M162&lt;1000000,"Valor inferior a $1.000.000: verificar; ",""),"Valor no interpretable; ")&amp;IF(N162="[PENDIENTE DE VERIFICAR]","Modalidad no identificable; ","")&amp;IF(OR(ISERROR(SEARCH("@itc.edu.co",J162)),SUMPRODUCT(--ISNUMBER(SEARCH({"á","é","í","ó","ú","ñ"},J162)))&gt;0),"Correo vacío o no institucional válido; ","")&amp;IF(LEN(TRIM(D162))=0,"Sin objeto contractual; ","")&amp;IF(AND(ISNUMBER(M162),N162="Mínima cuantía"),IF(M162&gt;39850000,"Mínima cuantía con valor superior al tope citado en el instructivo 2026 ($39.850.000): verificar modalidad; ",""),"")&amp;IF(AND(ISNUMBER(M162),OR(ISNUMBER(SEARCH("prestación de servicios",D162)),ISNUMBER(SEARCH("prestar servicios",D162)),ISNUMBER(SEARCH("prestar los servicios",D162)))),IF(M162&gt;=500000000,"Prestación de servicios por $500 millones o más: posible error de digitación; ",""),""))</f>
        <v/>
      </c>
    </row>
    <row r="163" ht="34.2" customHeight="1" s="23">
      <c r="A163" s="114" t="inlineStr">
        <is>
          <t>PN26-159</t>
        </is>
      </c>
      <c r="B163" s="114" t="n">
        <v>30190000</v>
      </c>
      <c r="C163" s="114" t="inlineStr">
        <is>
          <t>Vicerrectoria administrativa y financiera</t>
        </is>
      </c>
      <c r="D163" s="114" t="inlineStr">
        <is>
          <t>Ejecutar la obra civil de las soluciones arquitectónicas de la etapa 1 del plan de movilidad inclusiva y la intervención integral de las jardineras de acceso en la sede central de la escuela tecnológica instituto técnico central</t>
        </is>
      </c>
      <c r="E163" s="114" t="n">
        <v>3</v>
      </c>
      <c r="F163" s="114" t="inlineStr">
        <is>
          <t>LICITACION</t>
        </is>
      </c>
      <c r="G163" s="118" t="n">
        <v>774715012.25</v>
      </c>
      <c r="H163" s="114" t="inlineStr">
        <is>
          <t>Vicerrectoria administrativa y financiera</t>
        </is>
      </c>
      <c r="I163" s="114" t="inlineStr">
        <is>
          <t>PBX 3443000 Ext 113</t>
        </is>
      </c>
      <c r="J163" s="114" t="n"/>
      <c r="K163" s="114" t="n"/>
      <c r="L163" s="119" t="inlineStr">
        <is>
          <t>130 · Vicerrectoría Administrativa y Financiera</t>
        </is>
      </c>
      <c r="M163" s="120" t="n">
        <v>774715012.25</v>
      </c>
      <c r="N163" s="119" t="inlineStr">
        <is>
          <t>Licitación pública</t>
        </is>
      </c>
      <c r="O163" s="119">
        <f>IF(LEN(IF(OR(NOT(ISNUMBER(B163)),LEN(B163)&lt;&gt;8),"UNSPSC vacío, en texto, con varios códigos o sin 8 dígitos; ","")&amp;IF(AND(ISNUMBER(B163),LEN(B163)=8),IF(MOD(B163,10000)=0,"UNSPSC a nivel de segmento o familia; ",""),"")&amp;IF(NOT(ISNUMBER(E163)),"Duración vacía o en texto; ","")&amp;IF(NOT(ISNUMBER(G163)),"Valor vacío o en texto; ","")&amp;IF(ISNUMBER(M163),IF(M163&lt;1000000,"Valor inferior a $1.000.000: verificar; ",""),"Valor no interpretable; ")&amp;IF(N163="[PENDIENTE DE VERIFICAR]","Modalidad no identificable; ","")&amp;IF(OR(ISERROR(SEARCH("@itc.edu.co",J163)),SUMPRODUCT(--ISNUMBER(SEARCH({"á","é","í","ó","ú","ñ"},J163)))&gt;0),"Correo vacío o no institucional válido; ","")&amp;IF(LEN(TRIM(D163))=0,"Sin objeto contractual; ","")&amp;IF(AND(ISNUMBER(M163),N163="Mínima cuantía"),IF(M163&gt;39850000,"Mínima cuantía con valor superior al tope citado en el instructivo 2026 ($39.850.000): verificar modalidad; ",""),"")&amp;IF(AND(ISNUMBER(M163),OR(ISNUMBER(SEARCH("prestación de servicios",D163)),ISNUMBER(SEARCH("prestar servicios",D163)),ISNUMBER(SEARCH("prestar los servicios",D163)))),IF(M163&gt;=500000000,"Prestación de servicios por $500 millones o más: posible error de digitación; ",""),""))=0,"Sin observaciones",IF(OR(NOT(ISNUMBER(B163)),LEN(B163)&lt;&gt;8),"UNSPSC vacío, en texto, con varios códigos o sin 8 dígitos; ","")&amp;IF(AND(ISNUMBER(B163),LEN(B163)=8),IF(MOD(B163,10000)=0,"UNSPSC a nivel de segmento o familia; ",""),"")&amp;IF(NOT(ISNUMBER(E163)),"Duración vacía o en texto; ","")&amp;IF(NOT(ISNUMBER(G163)),"Valor vacío o en texto; ","")&amp;IF(ISNUMBER(M163),IF(M163&lt;1000000,"Valor inferior a $1.000.000: verificar; ",""),"Valor no interpretable; ")&amp;IF(N163="[PENDIENTE DE VERIFICAR]","Modalidad no identificable; ","")&amp;IF(OR(ISERROR(SEARCH("@itc.edu.co",J163)),SUMPRODUCT(--ISNUMBER(SEARCH({"á","é","í","ó","ú","ñ"},J163)))&gt;0),"Correo vacío o no institucional válido; ","")&amp;IF(LEN(TRIM(D163))=0,"Sin objeto contractual; ","")&amp;IF(AND(ISNUMBER(M163),N163="Mínima cuantía"),IF(M163&gt;39850000,"Mínima cuantía con valor superior al tope citado en el instructivo 2026 ($39.850.000): verificar modalidad; ",""),"")&amp;IF(AND(ISNUMBER(M163),OR(ISNUMBER(SEARCH("prestación de servicios",D163)),ISNUMBER(SEARCH("prestar servicios",D163)),ISNUMBER(SEARCH("prestar los servicios",D163)))),IF(M163&gt;=500000000,"Prestación de servicios por $500 millones o más: posible error de digitación; ",""),""))</f>
        <v/>
      </c>
    </row>
    <row r="164" ht="79.8" customHeight="1" s="23">
      <c r="A164" s="114" t="inlineStr">
        <is>
          <t>PN26-160</t>
        </is>
      </c>
      <c r="B164" s="114" t="n">
        <v>80101600</v>
      </c>
      <c r="C164" s="114" t="inlineStr">
        <is>
          <t>Vicerrectoria administrativa y financiera</t>
        </is>
      </c>
      <c r="D164" s="114" t="inlineStr">
        <is>
          <t>Realizar la interventoría técnica, administrativa y financiera al contrato cuyo objeto es ejecutar la obra civil correspondiente a las soluciones arquitectónicas de la Etapa 1 del Plan de Movilidad Inclusiva y la intervención integral de las jardineras de acceso en la sede central de la Escuela Tecnológica Instituto Técnico Central – ETITC, con el fin de verificar el cumplimiento de las condiciones contractuales, técnicas, de calidad, seguridad, plazo y presupuesto establecidos.</t>
        </is>
      </c>
      <c r="E164" s="114" t="n">
        <v>4</v>
      </c>
      <c r="F164" s="114" t="inlineStr">
        <is>
          <t>CONCURSO DE MERITOS</t>
        </is>
      </c>
      <c r="G164" s="118" t="n">
        <v>77471501.23</v>
      </c>
      <c r="H164" s="114" t="inlineStr">
        <is>
          <t>Vicerrectoria administrativa y financiera</t>
        </is>
      </c>
      <c r="I164" s="114" t="inlineStr">
        <is>
          <t>PBX 3443000 Ext 114</t>
        </is>
      </c>
      <c r="J164" s="114" t="n"/>
      <c r="K164" s="114" t="n"/>
      <c r="L164" s="119" t="inlineStr">
        <is>
          <t>130 · Vicerrectoría Administrativa y Financiera</t>
        </is>
      </c>
      <c r="M164" s="120" t="n">
        <v>77471501.23</v>
      </c>
      <c r="N164" s="119" t="inlineStr">
        <is>
          <t>Concurso de méritos</t>
        </is>
      </c>
      <c r="O164" s="119">
        <f>IF(LEN(IF(OR(NOT(ISNUMBER(B164)),LEN(B164)&lt;&gt;8),"UNSPSC vacío, en texto, con varios códigos o sin 8 dígitos; ","")&amp;IF(AND(ISNUMBER(B164),LEN(B164)=8),IF(MOD(B164,10000)=0,"UNSPSC a nivel de segmento o familia; ",""),"")&amp;IF(NOT(ISNUMBER(E164)),"Duración vacía o en texto; ","")&amp;IF(NOT(ISNUMBER(G164)),"Valor vacío o en texto; ","")&amp;IF(ISNUMBER(M164),IF(M164&lt;1000000,"Valor inferior a $1.000.000: verificar; ",""),"Valor no interpretable; ")&amp;IF(N164="[PENDIENTE DE VERIFICAR]","Modalidad no identificable; ","")&amp;IF(OR(ISERROR(SEARCH("@itc.edu.co",J164)),SUMPRODUCT(--ISNUMBER(SEARCH({"á","é","í","ó","ú","ñ"},J164)))&gt;0),"Correo vacío o no institucional válido; ","")&amp;IF(LEN(TRIM(D164))=0,"Sin objeto contractual; ","")&amp;IF(AND(ISNUMBER(M164),N164="Mínima cuantía"),IF(M164&gt;39850000,"Mínima cuantía con valor superior al tope citado en el instructivo 2026 ($39.850.000): verificar modalidad; ",""),"")&amp;IF(AND(ISNUMBER(M164),OR(ISNUMBER(SEARCH("prestación de servicios",D164)),ISNUMBER(SEARCH("prestar servicios",D164)),ISNUMBER(SEARCH("prestar los servicios",D164)))),IF(M164&gt;=500000000,"Prestación de servicios por $500 millones o más: posible error de digitación; ",""),""))=0,"Sin observaciones",IF(OR(NOT(ISNUMBER(B164)),LEN(B164)&lt;&gt;8),"UNSPSC vacío, en texto, con varios códigos o sin 8 dígitos; ","")&amp;IF(AND(ISNUMBER(B164),LEN(B164)=8),IF(MOD(B164,10000)=0,"UNSPSC a nivel de segmento o familia; ",""),"")&amp;IF(NOT(ISNUMBER(E164)),"Duración vacía o en texto; ","")&amp;IF(NOT(ISNUMBER(G164)),"Valor vacío o en texto; ","")&amp;IF(ISNUMBER(M164),IF(M164&lt;1000000,"Valor inferior a $1.000.000: verificar; ",""),"Valor no interpretable; ")&amp;IF(N164="[PENDIENTE DE VERIFICAR]","Modalidad no identificable; ","")&amp;IF(OR(ISERROR(SEARCH("@itc.edu.co",J164)),SUMPRODUCT(--ISNUMBER(SEARCH({"á","é","í","ó","ú","ñ"},J164)))&gt;0),"Correo vacío o no institucional válido; ","")&amp;IF(LEN(TRIM(D164))=0,"Sin objeto contractual; ","")&amp;IF(AND(ISNUMBER(M164),N164="Mínima cuantía"),IF(M164&gt;39850000,"Mínima cuantía con valor superior al tope citado en el instructivo 2026 ($39.850.000): verificar modalidad; ",""),"")&amp;IF(AND(ISNUMBER(M164),OR(ISNUMBER(SEARCH("prestación de servicios",D164)),ISNUMBER(SEARCH("prestar servicios",D164)),ISNUMBER(SEARCH("prestar los servicios",D164)))),IF(M164&gt;=500000000,"Prestación de servicios por $500 millones o más: posible error de digitación; ",""),""))</f>
        <v/>
      </c>
    </row>
    <row r="165" ht="57" customHeight="1" s="23">
      <c r="A165" s="114" t="inlineStr">
        <is>
          <t>PN26-161</t>
        </is>
      </c>
      <c r="B165" s="114" t="n">
        <v>81101500</v>
      </c>
      <c r="C165" s="114" t="inlineStr">
        <is>
          <t>Vicerrectoria administrativa y financiera</t>
        </is>
      </c>
      <c r="D165" s="114" t="inlineStr">
        <is>
          <t>Consultoría integral para la elaboración de estudios y diseños técnicos requeridos para la obtención de licencias de demolición y construcción en cualquiera de sus modalidades y/o licencia de urbanismo con los permisos y aprobaciones necesarios para la construcción de la nueva sede en el predio de la calle 18 de la escuela tecnológica instituto técnico central.</t>
        </is>
      </c>
      <c r="E165" s="114" t="n">
        <v>6</v>
      </c>
      <c r="F165" s="114" t="inlineStr">
        <is>
          <t>CONCURSO DE MERITOS</t>
        </is>
      </c>
      <c r="G165" s="118" t="n">
        <v>908350514</v>
      </c>
      <c r="H165" s="114" t="inlineStr">
        <is>
          <t>Vicerrectoria administrativa y financiera</t>
        </is>
      </c>
      <c r="I165" s="114" t="inlineStr">
        <is>
          <t>PBX 3443000 Ext 115</t>
        </is>
      </c>
      <c r="J165" s="114" t="n"/>
      <c r="K165" s="114" t="n"/>
      <c r="L165" s="119" t="inlineStr">
        <is>
          <t>130 · Vicerrectoría Administrativa y Financiera</t>
        </is>
      </c>
      <c r="M165" s="120" t="n">
        <v>908350514</v>
      </c>
      <c r="N165" s="119" t="inlineStr">
        <is>
          <t>Concurso de méritos</t>
        </is>
      </c>
      <c r="O165" s="119">
        <f>IF(LEN(IF(OR(NOT(ISNUMBER(B165)),LEN(B165)&lt;&gt;8),"UNSPSC vacío, en texto, con varios códigos o sin 8 dígitos; ","")&amp;IF(AND(ISNUMBER(B165),LEN(B165)=8),IF(MOD(B165,10000)=0,"UNSPSC a nivel de segmento o familia; ",""),"")&amp;IF(NOT(ISNUMBER(E165)),"Duración vacía o en texto; ","")&amp;IF(NOT(ISNUMBER(G165)),"Valor vacío o en texto; ","")&amp;IF(ISNUMBER(M165),IF(M165&lt;1000000,"Valor inferior a $1.000.000: verificar; ",""),"Valor no interpretable; ")&amp;IF(N165="[PENDIENTE DE VERIFICAR]","Modalidad no identificable; ","")&amp;IF(OR(ISERROR(SEARCH("@itc.edu.co",J165)),SUMPRODUCT(--ISNUMBER(SEARCH({"á","é","í","ó","ú","ñ"},J165)))&gt;0),"Correo vacío o no institucional válido; ","")&amp;IF(LEN(TRIM(D165))=0,"Sin objeto contractual; ","")&amp;IF(AND(ISNUMBER(M165),N165="Mínima cuantía"),IF(M165&gt;39850000,"Mínima cuantía con valor superior al tope citado en el instructivo 2026 ($39.850.000): verificar modalidad; ",""),"")&amp;IF(AND(ISNUMBER(M165),OR(ISNUMBER(SEARCH("prestación de servicios",D165)),ISNUMBER(SEARCH("prestar servicios",D165)),ISNUMBER(SEARCH("prestar los servicios",D165)))),IF(M165&gt;=500000000,"Prestación de servicios por $500 millones o más: posible error de digitación; ",""),""))=0,"Sin observaciones",IF(OR(NOT(ISNUMBER(B165)),LEN(B165)&lt;&gt;8),"UNSPSC vacío, en texto, con varios códigos o sin 8 dígitos; ","")&amp;IF(AND(ISNUMBER(B165),LEN(B165)=8),IF(MOD(B165,10000)=0,"UNSPSC a nivel de segmento o familia; ",""),"")&amp;IF(NOT(ISNUMBER(E165)),"Duración vacía o en texto; ","")&amp;IF(NOT(ISNUMBER(G165)),"Valor vacío o en texto; ","")&amp;IF(ISNUMBER(M165),IF(M165&lt;1000000,"Valor inferior a $1.000.000: verificar; ",""),"Valor no interpretable; ")&amp;IF(N165="[PENDIENTE DE VERIFICAR]","Modalidad no identificable; ","")&amp;IF(OR(ISERROR(SEARCH("@itc.edu.co",J165)),SUMPRODUCT(--ISNUMBER(SEARCH({"á","é","í","ó","ú","ñ"},J165)))&gt;0),"Correo vacío o no institucional válido; ","")&amp;IF(LEN(TRIM(D165))=0,"Sin objeto contractual; ","")&amp;IF(AND(ISNUMBER(M165),N165="Mínima cuantía"),IF(M165&gt;39850000,"Mínima cuantía con valor superior al tope citado en el instructivo 2026 ($39.850.000): verificar modalidad; ",""),"")&amp;IF(AND(ISNUMBER(M165),OR(ISNUMBER(SEARCH("prestación de servicios",D165)),ISNUMBER(SEARCH("prestar servicios",D165)),ISNUMBER(SEARCH("prestar los servicios",D165)))),IF(M165&gt;=500000000,"Prestación de servicios por $500 millones o más: posible error de digitación; ",""),""))</f>
        <v/>
      </c>
    </row>
    <row r="166" ht="102.6" customHeight="1" s="23">
      <c r="A166" s="114" t="inlineStr">
        <is>
          <t>PN26-162</t>
        </is>
      </c>
      <c r="B166" s="114" t="n">
        <v>80101600</v>
      </c>
      <c r="C166" s="114" t="inlineStr">
        <is>
          <t>Vicerrectoria administrativa y financiera</t>
        </is>
      </c>
      <c r="D166" s="114" t="inlineStr">
        <is>
          <t>Realizar la interventoría técnica, administrativa y financiera  al contrato de consultoría cuyo objeto es la elaboración de los estudios y diseños técnicos requeridos para la obtención de licencias de demolición y construcción en cualquiera de sus modalidades y/o licencia de urbanismo, así como los permisos y aprobaciones necesarios para la construcción de la nueva sede en el predio de la Calle 18 de la Escuela Tecnológica Instituto Técnico Central – ETITC, verificando el cumplimiento de las condiciones contractuales, los requisitos técnicos y normativos aplicables, y la calidad de los productos entregados.</t>
        </is>
      </c>
      <c r="E166" s="114" t="n">
        <v>7</v>
      </c>
      <c r="F166" s="114" t="inlineStr">
        <is>
          <t>CONCURSO DE MERITOS</t>
        </is>
      </c>
      <c r="G166" s="118" t="n">
        <v>90835051.40000001</v>
      </c>
      <c r="H166" s="114" t="inlineStr">
        <is>
          <t>Vicerrectoria administrativa y financiera</t>
        </is>
      </c>
      <c r="I166" s="114" t="inlineStr">
        <is>
          <t>PBX 3443000 Ext 116</t>
        </is>
      </c>
      <c r="J166" s="114" t="n"/>
      <c r="K166" s="114" t="n"/>
      <c r="L166" s="119" t="inlineStr">
        <is>
          <t>130 · Vicerrectoría Administrativa y Financiera</t>
        </is>
      </c>
      <c r="M166" s="120" t="n">
        <v>90835051.40000001</v>
      </c>
      <c r="N166" s="119" t="inlineStr">
        <is>
          <t>Concurso de méritos</t>
        </is>
      </c>
      <c r="O166" s="119">
        <f>IF(LEN(IF(OR(NOT(ISNUMBER(B166)),LEN(B166)&lt;&gt;8),"UNSPSC vacío, en texto, con varios códigos o sin 8 dígitos; ","")&amp;IF(AND(ISNUMBER(B166),LEN(B166)=8),IF(MOD(B166,10000)=0,"UNSPSC a nivel de segmento o familia; ",""),"")&amp;IF(NOT(ISNUMBER(E166)),"Duración vacía o en texto; ","")&amp;IF(NOT(ISNUMBER(G166)),"Valor vacío o en texto; ","")&amp;IF(ISNUMBER(M166),IF(M166&lt;1000000,"Valor inferior a $1.000.000: verificar; ",""),"Valor no interpretable; ")&amp;IF(N166="[PENDIENTE DE VERIFICAR]","Modalidad no identificable; ","")&amp;IF(OR(ISERROR(SEARCH("@itc.edu.co",J166)),SUMPRODUCT(--ISNUMBER(SEARCH({"á","é","í","ó","ú","ñ"},J166)))&gt;0),"Correo vacío o no institucional válido; ","")&amp;IF(LEN(TRIM(D166))=0,"Sin objeto contractual; ","")&amp;IF(AND(ISNUMBER(M166),N166="Mínima cuantía"),IF(M166&gt;39850000,"Mínima cuantía con valor superior al tope citado en el instructivo 2026 ($39.850.000): verificar modalidad; ",""),"")&amp;IF(AND(ISNUMBER(M166),OR(ISNUMBER(SEARCH("prestación de servicios",D166)),ISNUMBER(SEARCH("prestar servicios",D166)),ISNUMBER(SEARCH("prestar los servicios",D166)))),IF(M166&gt;=500000000,"Prestación de servicios por $500 millones o más: posible error de digitación; ",""),""))=0,"Sin observaciones",IF(OR(NOT(ISNUMBER(B166)),LEN(B166)&lt;&gt;8),"UNSPSC vacío, en texto, con varios códigos o sin 8 dígitos; ","")&amp;IF(AND(ISNUMBER(B166),LEN(B166)=8),IF(MOD(B166,10000)=0,"UNSPSC a nivel de segmento o familia; ",""),"")&amp;IF(NOT(ISNUMBER(E166)),"Duración vacía o en texto; ","")&amp;IF(NOT(ISNUMBER(G166)),"Valor vacío o en texto; ","")&amp;IF(ISNUMBER(M166),IF(M166&lt;1000000,"Valor inferior a $1.000.000: verificar; ",""),"Valor no interpretable; ")&amp;IF(N166="[PENDIENTE DE VERIFICAR]","Modalidad no identificable; ","")&amp;IF(OR(ISERROR(SEARCH("@itc.edu.co",J166)),SUMPRODUCT(--ISNUMBER(SEARCH({"á","é","í","ó","ú","ñ"},J166)))&gt;0),"Correo vacío o no institucional válido; ","")&amp;IF(LEN(TRIM(D166))=0,"Sin objeto contractual; ","")&amp;IF(AND(ISNUMBER(M166),N166="Mínima cuantía"),IF(M166&gt;39850000,"Mínima cuantía con valor superior al tope citado en el instructivo 2026 ($39.850.000): verificar modalidad; ",""),"")&amp;IF(AND(ISNUMBER(M166),OR(ISNUMBER(SEARCH("prestación de servicios",D166)),ISNUMBER(SEARCH("prestar servicios",D166)),ISNUMBER(SEARCH("prestar los servicios",D166)))),IF(M166&gt;=500000000,"Prestación de servicios por $500 millones o más: posible error de digitación; ",""),""))</f>
        <v/>
      </c>
    </row>
    <row r="167" ht="22.8" customHeight="1" s="23">
      <c r="A167" s="114" t="inlineStr">
        <is>
          <t>PN26-163</t>
        </is>
      </c>
      <c r="B167" s="114" t="n">
        <v>40101502</v>
      </c>
      <c r="C167" s="114" t="inlineStr">
        <is>
          <t>Vicerrectoria administrativa y financiera</t>
        </is>
      </c>
      <c r="D167" s="114" t="inlineStr">
        <is>
          <t>Suministro e instalación del sistema de ventilación y extracción mecánica de la cocina de la sede central de la etitc.</t>
        </is>
      </c>
      <c r="E167" s="114" t="n">
        <v>6</v>
      </c>
      <c r="F167" s="114" t="inlineStr">
        <is>
          <t>MENOR CUANTIA</t>
        </is>
      </c>
      <c r="G167" s="118" t="n">
        <v>223219274</v>
      </c>
      <c r="H167" s="114" t="inlineStr">
        <is>
          <t>Vicerrectoria administrativa y financiera</t>
        </is>
      </c>
      <c r="I167" s="114" t="inlineStr">
        <is>
          <t>PBX 3443000 Ext 117</t>
        </is>
      </c>
      <c r="J167" s="114" t="n"/>
      <c r="K167" s="114" t="n"/>
      <c r="L167" s="119" t="inlineStr">
        <is>
          <t>130 · Vicerrectoría Administrativa y Financiera</t>
        </is>
      </c>
      <c r="M167" s="120" t="n">
        <v>223219274</v>
      </c>
      <c r="N167" s="119" t="inlineStr">
        <is>
          <t>Selección abreviada de menor cuantía</t>
        </is>
      </c>
      <c r="O167" s="119">
        <f>IF(LEN(IF(OR(NOT(ISNUMBER(B167)),LEN(B167)&lt;&gt;8),"UNSPSC vacío, en texto, con varios códigos o sin 8 dígitos; ","")&amp;IF(AND(ISNUMBER(B167),LEN(B167)=8),IF(MOD(B167,10000)=0,"UNSPSC a nivel de segmento o familia; ",""),"")&amp;IF(NOT(ISNUMBER(E167)),"Duración vacía o en texto; ","")&amp;IF(NOT(ISNUMBER(G167)),"Valor vacío o en texto; ","")&amp;IF(ISNUMBER(M167),IF(M167&lt;1000000,"Valor inferior a $1.000.000: verificar; ",""),"Valor no interpretable; ")&amp;IF(N167="[PENDIENTE DE VERIFICAR]","Modalidad no identificable; ","")&amp;IF(OR(ISERROR(SEARCH("@itc.edu.co",J167)),SUMPRODUCT(--ISNUMBER(SEARCH({"á","é","í","ó","ú","ñ"},J167)))&gt;0),"Correo vacío o no institucional válido; ","")&amp;IF(LEN(TRIM(D167))=0,"Sin objeto contractual; ","")&amp;IF(AND(ISNUMBER(M167),N167="Mínima cuantía"),IF(M167&gt;39850000,"Mínima cuantía con valor superior al tope citado en el instructivo 2026 ($39.850.000): verificar modalidad; ",""),"")&amp;IF(AND(ISNUMBER(M167),OR(ISNUMBER(SEARCH("prestación de servicios",D167)),ISNUMBER(SEARCH("prestar servicios",D167)),ISNUMBER(SEARCH("prestar los servicios",D167)))),IF(M167&gt;=500000000,"Prestación de servicios por $500 millones o más: posible error de digitación; ",""),""))=0,"Sin observaciones",IF(OR(NOT(ISNUMBER(B167)),LEN(B167)&lt;&gt;8),"UNSPSC vacío, en texto, con varios códigos o sin 8 dígitos; ","")&amp;IF(AND(ISNUMBER(B167),LEN(B167)=8),IF(MOD(B167,10000)=0,"UNSPSC a nivel de segmento o familia; ",""),"")&amp;IF(NOT(ISNUMBER(E167)),"Duración vacía o en texto; ","")&amp;IF(NOT(ISNUMBER(G167)),"Valor vacío o en texto; ","")&amp;IF(ISNUMBER(M167),IF(M167&lt;1000000,"Valor inferior a $1.000.000: verificar; ",""),"Valor no interpretable; ")&amp;IF(N167="[PENDIENTE DE VERIFICAR]","Modalidad no identificable; ","")&amp;IF(OR(ISERROR(SEARCH("@itc.edu.co",J167)),SUMPRODUCT(--ISNUMBER(SEARCH({"á","é","í","ó","ú","ñ"},J167)))&gt;0),"Correo vacío o no institucional válido; ","")&amp;IF(LEN(TRIM(D167))=0,"Sin objeto contractual; ","")&amp;IF(AND(ISNUMBER(M167),N167="Mínima cuantía"),IF(M167&gt;39850000,"Mínima cuantía con valor superior al tope citado en el instructivo 2026 ($39.850.000): verificar modalidad; ",""),"")&amp;IF(AND(ISNUMBER(M167),OR(ISNUMBER(SEARCH("prestación de servicios",D167)),ISNUMBER(SEARCH("prestar servicios",D167)),ISNUMBER(SEARCH("prestar los servicios",D167)))),IF(M167&gt;=500000000,"Prestación de servicios por $500 millones o más: posible error de digitación; ",""),""))</f>
        <v/>
      </c>
    </row>
    <row r="168" ht="57" customHeight="1" s="23">
      <c r="A168" s="114" t="inlineStr">
        <is>
          <t>PN26-164</t>
        </is>
      </c>
      <c r="B168" s="114" t="n">
        <v>81101500</v>
      </c>
      <c r="C168" s="114" t="inlineStr">
        <is>
          <t>Vicerrectoria administrativa y financiera</t>
        </is>
      </c>
      <c r="D168" s="114" t="inlineStr">
        <is>
          <t>Consultoría integral para la elaboración de estudios y diseños técnicos requeridos para la obtención de licencia de construcción en cualquiera de sus modalidades, con los permisos y aprobaciones necesarios para el reforzamiento estructural, remodelación y dotación del bloque estructural 5 de la sede central de la escuela tecnológica instituto técnico central.</t>
        </is>
      </c>
      <c r="E168" s="114" t="n">
        <v>20</v>
      </c>
      <c r="F168" s="114" t="inlineStr">
        <is>
          <t>CONCURSO DE MERITOS</t>
        </is>
      </c>
      <c r="G168" s="118" t="n">
        <v>1047461914</v>
      </c>
      <c r="H168" s="114" t="inlineStr">
        <is>
          <t>Vicerrectoria administrativa y financiera</t>
        </is>
      </c>
      <c r="I168" s="114" t="inlineStr">
        <is>
          <t>PBX 3443000 Ext 118</t>
        </is>
      </c>
      <c r="J168" s="114" t="n"/>
      <c r="K168" s="114" t="n"/>
      <c r="L168" s="119" t="inlineStr">
        <is>
          <t>130 · Vicerrectoría Administrativa y Financiera</t>
        </is>
      </c>
      <c r="M168" s="120" t="n">
        <v>1047461914</v>
      </c>
      <c r="N168" s="119" t="inlineStr">
        <is>
          <t>Concurso de méritos</t>
        </is>
      </c>
      <c r="O168" s="119">
        <f>IF(LEN(IF(OR(NOT(ISNUMBER(B168)),LEN(B168)&lt;&gt;8),"UNSPSC vacío, en texto, con varios códigos o sin 8 dígitos; ","")&amp;IF(AND(ISNUMBER(B168),LEN(B168)=8),IF(MOD(B168,10000)=0,"UNSPSC a nivel de segmento o familia; ",""),"")&amp;IF(NOT(ISNUMBER(E168)),"Duración vacía o en texto; ","")&amp;IF(NOT(ISNUMBER(G168)),"Valor vacío o en texto; ","")&amp;IF(ISNUMBER(M168),IF(M168&lt;1000000,"Valor inferior a $1.000.000: verificar; ",""),"Valor no interpretable; ")&amp;IF(N168="[PENDIENTE DE VERIFICAR]","Modalidad no identificable; ","")&amp;IF(OR(ISERROR(SEARCH("@itc.edu.co",J168)),SUMPRODUCT(--ISNUMBER(SEARCH({"á","é","í","ó","ú","ñ"},J168)))&gt;0),"Correo vacío o no institucional válido; ","")&amp;IF(LEN(TRIM(D168))=0,"Sin objeto contractual; ","")&amp;IF(AND(ISNUMBER(M168),N168="Mínima cuantía"),IF(M168&gt;39850000,"Mínima cuantía con valor superior al tope citado en el instructivo 2026 ($39.850.000): verificar modalidad; ",""),"")&amp;IF(AND(ISNUMBER(M168),OR(ISNUMBER(SEARCH("prestación de servicios",D168)),ISNUMBER(SEARCH("prestar servicios",D168)),ISNUMBER(SEARCH("prestar los servicios",D168)))),IF(M168&gt;=500000000,"Prestación de servicios por $500 millones o más: posible error de digitación; ",""),""))=0,"Sin observaciones",IF(OR(NOT(ISNUMBER(B168)),LEN(B168)&lt;&gt;8),"UNSPSC vacío, en texto, con varios códigos o sin 8 dígitos; ","")&amp;IF(AND(ISNUMBER(B168),LEN(B168)=8),IF(MOD(B168,10000)=0,"UNSPSC a nivel de segmento o familia; ",""),"")&amp;IF(NOT(ISNUMBER(E168)),"Duración vacía o en texto; ","")&amp;IF(NOT(ISNUMBER(G168)),"Valor vacío o en texto; ","")&amp;IF(ISNUMBER(M168),IF(M168&lt;1000000,"Valor inferior a $1.000.000: verificar; ",""),"Valor no interpretable; ")&amp;IF(N168="[PENDIENTE DE VERIFICAR]","Modalidad no identificable; ","")&amp;IF(OR(ISERROR(SEARCH("@itc.edu.co",J168)),SUMPRODUCT(--ISNUMBER(SEARCH({"á","é","í","ó","ú","ñ"},J168)))&gt;0),"Correo vacío o no institucional válido; ","")&amp;IF(LEN(TRIM(D168))=0,"Sin objeto contractual; ","")&amp;IF(AND(ISNUMBER(M168),N168="Mínima cuantía"),IF(M168&gt;39850000,"Mínima cuantía con valor superior al tope citado en el instructivo 2026 ($39.850.000): verificar modalidad; ",""),"")&amp;IF(AND(ISNUMBER(M168),OR(ISNUMBER(SEARCH("prestación de servicios",D168)),ISNUMBER(SEARCH("prestar servicios",D168)),ISNUMBER(SEARCH("prestar los servicios",D168)))),IF(M168&gt;=500000000,"Prestación de servicios por $500 millones o más: posible error de digitación; ",""),""))</f>
        <v/>
      </c>
    </row>
    <row r="169" ht="68.40000000000001" customHeight="1" s="23">
      <c r="A169" s="114" t="inlineStr">
        <is>
          <t>PN26-165</t>
        </is>
      </c>
      <c r="B169" s="114" t="n">
        <v>81101500</v>
      </c>
      <c r="C169" s="114" t="inlineStr">
        <is>
          <t>Vicerrectoria administrativa y financiera</t>
        </is>
      </c>
      <c r="D169" s="114" t="inlineStr">
        <is>
          <t>Ejecutar las obras de reforzamiento estructural y las intervenciones constructivas requeridas en el Bloque C de la Escuela Tecnológica Instituto Técnico Central – ETITC, de conformidad con los estudios de diagnóstico patológico, levantamiento arquitectónico y estructural, y la propuesta de intervención previamente elaborada para la mitigación de las afectaciones identificadas en la estructura.</t>
        </is>
      </c>
      <c r="E169" s="114" t="n">
        <v>6</v>
      </c>
      <c r="F169" s="114" t="inlineStr">
        <is>
          <t>LICITACION</t>
        </is>
      </c>
      <c r="G169" s="118" t="n">
        <v>851153594.2</v>
      </c>
      <c r="H169" s="114" t="inlineStr">
        <is>
          <t>Vicerrectoria administrativa y financiera</t>
        </is>
      </c>
      <c r="I169" s="114" t="inlineStr">
        <is>
          <t>PBX 3443000 Ext 119</t>
        </is>
      </c>
      <c r="J169" s="114" t="n"/>
      <c r="K169" s="114" t="n"/>
      <c r="L169" s="119" t="inlineStr">
        <is>
          <t>130 · Vicerrectoría Administrativa y Financiera</t>
        </is>
      </c>
      <c r="M169" s="120" t="n">
        <v>851153594.2</v>
      </c>
      <c r="N169" s="119" t="inlineStr">
        <is>
          <t>Licitación pública</t>
        </is>
      </c>
      <c r="O169" s="119">
        <f>IF(LEN(IF(OR(NOT(ISNUMBER(B169)),LEN(B169)&lt;&gt;8),"UNSPSC vacío, en texto, con varios códigos o sin 8 dígitos; ","")&amp;IF(AND(ISNUMBER(B169),LEN(B169)=8),IF(MOD(B169,10000)=0,"UNSPSC a nivel de segmento o familia; ",""),"")&amp;IF(NOT(ISNUMBER(E169)),"Duración vacía o en texto; ","")&amp;IF(NOT(ISNUMBER(G169)),"Valor vacío o en texto; ","")&amp;IF(ISNUMBER(M169),IF(M169&lt;1000000,"Valor inferior a $1.000.000: verificar; ",""),"Valor no interpretable; ")&amp;IF(N169="[PENDIENTE DE VERIFICAR]","Modalidad no identificable; ","")&amp;IF(OR(ISERROR(SEARCH("@itc.edu.co",J169)),SUMPRODUCT(--ISNUMBER(SEARCH({"á","é","í","ó","ú","ñ"},J169)))&gt;0),"Correo vacío o no institucional válido; ","")&amp;IF(LEN(TRIM(D169))=0,"Sin objeto contractual; ","")&amp;IF(AND(ISNUMBER(M169),N169="Mínima cuantía"),IF(M169&gt;39850000,"Mínima cuantía con valor superior al tope citado en el instructivo 2026 ($39.850.000): verificar modalidad; ",""),"")&amp;IF(AND(ISNUMBER(M169),OR(ISNUMBER(SEARCH("prestación de servicios",D169)),ISNUMBER(SEARCH("prestar servicios",D169)),ISNUMBER(SEARCH("prestar los servicios",D169)))),IF(M169&gt;=500000000,"Prestación de servicios por $500 millones o más: posible error de digitación; ",""),""))=0,"Sin observaciones",IF(OR(NOT(ISNUMBER(B169)),LEN(B169)&lt;&gt;8),"UNSPSC vacío, en texto, con varios códigos o sin 8 dígitos; ","")&amp;IF(AND(ISNUMBER(B169),LEN(B169)=8),IF(MOD(B169,10000)=0,"UNSPSC a nivel de segmento o familia; ",""),"")&amp;IF(NOT(ISNUMBER(E169)),"Duración vacía o en texto; ","")&amp;IF(NOT(ISNUMBER(G169)),"Valor vacío o en texto; ","")&amp;IF(ISNUMBER(M169),IF(M169&lt;1000000,"Valor inferior a $1.000.000: verificar; ",""),"Valor no interpretable; ")&amp;IF(N169="[PENDIENTE DE VERIFICAR]","Modalidad no identificable; ","")&amp;IF(OR(ISERROR(SEARCH("@itc.edu.co",J169)),SUMPRODUCT(--ISNUMBER(SEARCH({"á","é","í","ó","ú","ñ"},J169)))&gt;0),"Correo vacío o no institucional válido; ","")&amp;IF(LEN(TRIM(D169))=0,"Sin objeto contractual; ","")&amp;IF(AND(ISNUMBER(M169),N169="Mínima cuantía"),IF(M169&gt;39850000,"Mínima cuantía con valor superior al tope citado en el instructivo 2026 ($39.850.000): verificar modalidad; ",""),"")&amp;IF(AND(ISNUMBER(M169),OR(ISNUMBER(SEARCH("prestación de servicios",D169)),ISNUMBER(SEARCH("prestar servicios",D169)),ISNUMBER(SEARCH("prestar los servicios",D169)))),IF(M169&gt;=500000000,"Prestación de servicios por $500 millones o más: posible error de digitación; ",""),""))</f>
        <v/>
      </c>
    </row>
    <row r="170" ht="102.6" customHeight="1" s="23">
      <c r="A170" s="114" t="inlineStr">
        <is>
          <t>PN26-166</t>
        </is>
      </c>
      <c r="B170" s="114" t="n">
        <v>80101600</v>
      </c>
      <c r="C170" s="114" t="inlineStr">
        <is>
          <t>Vicerrectoria administrativa y financiera</t>
        </is>
      </c>
      <c r="D170" s="114" t="inlineStr">
        <is>
          <t>Realizar la interventoría técnica, administrativa y financiera al contrato cuyo objeto es ejecutar las obras de reforzamiento estructural y las intervenciones constructivas requeridas en el Bloque C de la Escuela Tecnológica Instituto Técnico Central – ETITC, de conformidad con los estudios de diagnóstico patológico, el levantamiento arquitectónico y estructural, y la propuesta de intervención previamente elaborada para la mitigación de las afectaciones identificadas en la estructura, verificando el cumplimiento de las condiciones contractuales, los requisitos técnicos aplicables y la correcta ejecución de las obras.</t>
        </is>
      </c>
      <c r="E170" s="114" t="n">
        <v>7</v>
      </c>
      <c r="F170" s="114" t="inlineStr">
        <is>
          <t>CONCURSO DE MERITOS</t>
        </is>
      </c>
      <c r="G170" s="118" t="n">
        <v>85115359.42</v>
      </c>
      <c r="H170" s="114" t="inlineStr">
        <is>
          <t>Vicerrectoria administrativa y financiera</t>
        </is>
      </c>
      <c r="I170" s="114" t="inlineStr">
        <is>
          <t>PBX 3443000 Ext 120</t>
        </is>
      </c>
      <c r="J170" s="114" t="n"/>
      <c r="K170" s="114" t="n"/>
      <c r="L170" s="119" t="inlineStr">
        <is>
          <t>130 · Vicerrectoría Administrativa y Financiera</t>
        </is>
      </c>
      <c r="M170" s="120" t="n">
        <v>85115359.42</v>
      </c>
      <c r="N170" s="119" t="inlineStr">
        <is>
          <t>Concurso de méritos</t>
        </is>
      </c>
      <c r="O170" s="119">
        <f>IF(LEN(IF(OR(NOT(ISNUMBER(B170)),LEN(B170)&lt;&gt;8),"UNSPSC vacío, en texto, con varios códigos o sin 8 dígitos; ","")&amp;IF(AND(ISNUMBER(B170),LEN(B170)=8),IF(MOD(B170,10000)=0,"UNSPSC a nivel de segmento o familia; ",""),"")&amp;IF(NOT(ISNUMBER(E170)),"Duración vacía o en texto; ","")&amp;IF(NOT(ISNUMBER(G170)),"Valor vacío o en texto; ","")&amp;IF(ISNUMBER(M170),IF(M170&lt;1000000,"Valor inferior a $1.000.000: verificar; ",""),"Valor no interpretable; ")&amp;IF(N170="[PENDIENTE DE VERIFICAR]","Modalidad no identificable; ","")&amp;IF(OR(ISERROR(SEARCH("@itc.edu.co",J170)),SUMPRODUCT(--ISNUMBER(SEARCH({"á","é","í","ó","ú","ñ"},J170)))&gt;0),"Correo vacío o no institucional válido; ","")&amp;IF(LEN(TRIM(D170))=0,"Sin objeto contractual; ","")&amp;IF(AND(ISNUMBER(M170),N170="Mínima cuantía"),IF(M170&gt;39850000,"Mínima cuantía con valor superior al tope citado en el instructivo 2026 ($39.850.000): verificar modalidad; ",""),"")&amp;IF(AND(ISNUMBER(M170),OR(ISNUMBER(SEARCH("prestación de servicios",D170)),ISNUMBER(SEARCH("prestar servicios",D170)),ISNUMBER(SEARCH("prestar los servicios",D170)))),IF(M170&gt;=500000000,"Prestación de servicios por $500 millones o más: posible error de digitación; ",""),""))=0,"Sin observaciones",IF(OR(NOT(ISNUMBER(B170)),LEN(B170)&lt;&gt;8),"UNSPSC vacío, en texto, con varios códigos o sin 8 dígitos; ","")&amp;IF(AND(ISNUMBER(B170),LEN(B170)=8),IF(MOD(B170,10000)=0,"UNSPSC a nivel de segmento o familia; ",""),"")&amp;IF(NOT(ISNUMBER(E170)),"Duración vacía o en texto; ","")&amp;IF(NOT(ISNUMBER(G170)),"Valor vacío o en texto; ","")&amp;IF(ISNUMBER(M170),IF(M170&lt;1000000,"Valor inferior a $1.000.000: verificar; ",""),"Valor no interpretable; ")&amp;IF(N170="[PENDIENTE DE VERIFICAR]","Modalidad no identificable; ","")&amp;IF(OR(ISERROR(SEARCH("@itc.edu.co",J170)),SUMPRODUCT(--ISNUMBER(SEARCH({"á","é","í","ó","ú","ñ"},J170)))&gt;0),"Correo vacío o no institucional válido; ","")&amp;IF(LEN(TRIM(D170))=0,"Sin objeto contractual; ","")&amp;IF(AND(ISNUMBER(M170),N170="Mínima cuantía"),IF(M170&gt;39850000,"Mínima cuantía con valor superior al tope citado en el instructivo 2026 ($39.850.000): verificar modalidad; ",""),"")&amp;IF(AND(ISNUMBER(M170),OR(ISNUMBER(SEARCH("prestación de servicios",D170)),ISNUMBER(SEARCH("prestar servicios",D170)),ISNUMBER(SEARCH("prestar los servicios",D170)))),IF(M170&gt;=500000000,"Prestación de servicios por $500 millones o más: posible error de digitación; ",""),""))</f>
        <v/>
      </c>
    </row>
    <row r="171" ht="34.2" customHeight="1" s="23">
      <c r="A171" s="114" t="inlineStr">
        <is>
          <t>PN26-167</t>
        </is>
      </c>
      <c r="B171" s="114" t="n">
        <v>31161600</v>
      </c>
      <c r="C171" s="114" t="inlineStr">
        <is>
          <t>Vicerrectoria administrativa y financiera</t>
        </is>
      </c>
      <c r="D171" s="114" t="inlineStr">
        <is>
          <t>Suministro de equipos, herramientas y materiales  para el mantenimiento locativo de planta física  de la escuela tecnológica instituto técnico central  y sus sedes</t>
        </is>
      </c>
      <c r="E171" s="114" t="n">
        <v>4</v>
      </c>
      <c r="F171" s="114" t="inlineStr">
        <is>
          <t>MENOR CUANTIA</t>
        </is>
      </c>
      <c r="G171" s="118" t="n">
        <v>400000000</v>
      </c>
      <c r="H171" s="114" t="inlineStr">
        <is>
          <t>Vicerrectoria administrativa y financiera</t>
        </is>
      </c>
      <c r="I171" s="114" t="inlineStr">
        <is>
          <t>PBX 3443000 Ext 120</t>
        </is>
      </c>
      <c r="J171" s="114" t="n"/>
      <c r="K171" s="114" t="n"/>
      <c r="L171" s="119" t="inlineStr">
        <is>
          <t>130 · Vicerrectoría Administrativa y Financiera</t>
        </is>
      </c>
      <c r="M171" s="120" t="n">
        <v>400000000</v>
      </c>
      <c r="N171" s="119" t="inlineStr">
        <is>
          <t>Selección abreviada de menor cuantía</t>
        </is>
      </c>
      <c r="O171" s="119">
        <f>IF(LEN(IF(OR(NOT(ISNUMBER(B171)),LEN(B171)&lt;&gt;8),"UNSPSC vacío, en texto, con varios códigos o sin 8 dígitos; ","")&amp;IF(AND(ISNUMBER(B171),LEN(B171)=8),IF(MOD(B171,10000)=0,"UNSPSC a nivel de segmento o familia; ",""),"")&amp;IF(NOT(ISNUMBER(E171)),"Duración vacía o en texto; ","")&amp;IF(NOT(ISNUMBER(G171)),"Valor vacío o en texto; ","")&amp;IF(ISNUMBER(M171),IF(M171&lt;1000000,"Valor inferior a $1.000.000: verificar; ",""),"Valor no interpretable; ")&amp;IF(N171="[PENDIENTE DE VERIFICAR]","Modalidad no identificable; ","")&amp;IF(OR(ISERROR(SEARCH("@itc.edu.co",J171)),SUMPRODUCT(--ISNUMBER(SEARCH({"á","é","í","ó","ú","ñ"},J171)))&gt;0),"Correo vacío o no institucional válido; ","")&amp;IF(LEN(TRIM(D171))=0,"Sin objeto contractual; ","")&amp;IF(AND(ISNUMBER(M171),N171="Mínima cuantía"),IF(M171&gt;39850000,"Mínima cuantía con valor superior al tope citado en el instructivo 2026 ($39.850.000): verificar modalidad; ",""),"")&amp;IF(AND(ISNUMBER(M171),OR(ISNUMBER(SEARCH("prestación de servicios",D171)),ISNUMBER(SEARCH("prestar servicios",D171)),ISNUMBER(SEARCH("prestar los servicios",D171)))),IF(M171&gt;=500000000,"Prestación de servicios por $500 millones o más: posible error de digitación; ",""),""))=0,"Sin observaciones",IF(OR(NOT(ISNUMBER(B171)),LEN(B171)&lt;&gt;8),"UNSPSC vacío, en texto, con varios códigos o sin 8 dígitos; ","")&amp;IF(AND(ISNUMBER(B171),LEN(B171)=8),IF(MOD(B171,10000)=0,"UNSPSC a nivel de segmento o familia; ",""),"")&amp;IF(NOT(ISNUMBER(E171)),"Duración vacía o en texto; ","")&amp;IF(NOT(ISNUMBER(G171)),"Valor vacío o en texto; ","")&amp;IF(ISNUMBER(M171),IF(M171&lt;1000000,"Valor inferior a $1.000.000: verificar; ",""),"Valor no interpretable; ")&amp;IF(N171="[PENDIENTE DE VERIFICAR]","Modalidad no identificable; ","")&amp;IF(OR(ISERROR(SEARCH("@itc.edu.co",J171)),SUMPRODUCT(--ISNUMBER(SEARCH({"á","é","í","ó","ú","ñ"},J171)))&gt;0),"Correo vacío o no institucional válido; ","")&amp;IF(LEN(TRIM(D171))=0,"Sin objeto contractual; ","")&amp;IF(AND(ISNUMBER(M171),N171="Mínima cuantía"),IF(M171&gt;39850000,"Mínima cuantía con valor superior al tope citado en el instructivo 2026 ($39.850.000): verificar modalidad; ",""),"")&amp;IF(AND(ISNUMBER(M171),OR(ISNUMBER(SEARCH("prestación de servicios",D171)),ISNUMBER(SEARCH("prestar servicios",D171)),ISNUMBER(SEARCH("prestar los servicios",D171)))),IF(M171&gt;=500000000,"Prestación de servicios por $500 millones o más: posible error de digitación; ",""),""))</f>
        <v/>
      </c>
    </row>
    <row r="172" ht="57" customHeight="1" s="23">
      <c r="A172" s="114" t="inlineStr">
        <is>
          <t>PN26-168</t>
        </is>
      </c>
      <c r="B172" s="114" t="n">
        <v>75150000</v>
      </c>
      <c r="C172" s="114" t="inlineStr">
        <is>
          <t>Vicerrectoria administrativa y financiera</t>
        </is>
      </c>
      <c r="D172" s="114" t="inlineStr">
        <is>
          <t xml:space="preserve">
Prestación de servicio técnico especializado a todo costo incluido insumos para la realización del mantenimiento correctivo del sistema de bombeo en la sede central  y sede Tintal de la escuela tecnológica técnico central para la vigencia 2026</t>
        </is>
      </c>
      <c r="E172" s="114" t="n">
        <v>4</v>
      </c>
      <c r="F172" s="114" t="inlineStr">
        <is>
          <t>MENOR CUANTIA</t>
        </is>
      </c>
      <c r="G172" s="118" t="n">
        <v>28250510</v>
      </c>
      <c r="H172" s="114" t="inlineStr">
        <is>
          <t>Vicerrectoria administrativa y financiera</t>
        </is>
      </c>
      <c r="I172" s="114" t="inlineStr">
        <is>
          <t>PBX 3443000 Ext 120</t>
        </is>
      </c>
      <c r="J172" s="114" t="n"/>
      <c r="K172" s="114" t="n"/>
      <c r="L172" s="119" t="inlineStr">
        <is>
          <t>130 · Vicerrectoría Administrativa y Financiera</t>
        </is>
      </c>
      <c r="M172" s="120" t="n">
        <v>28250510</v>
      </c>
      <c r="N172" s="119" t="inlineStr">
        <is>
          <t>Selección abreviada de menor cuantía</t>
        </is>
      </c>
      <c r="O172" s="119">
        <f>IF(LEN(IF(OR(NOT(ISNUMBER(B172)),LEN(B172)&lt;&gt;8),"UNSPSC vacío, en texto, con varios códigos o sin 8 dígitos; ","")&amp;IF(AND(ISNUMBER(B172),LEN(B172)=8),IF(MOD(B172,10000)=0,"UNSPSC a nivel de segmento o familia; ",""),"")&amp;IF(NOT(ISNUMBER(E172)),"Duración vacía o en texto; ","")&amp;IF(NOT(ISNUMBER(G172)),"Valor vacío o en texto; ","")&amp;IF(ISNUMBER(M172),IF(M172&lt;1000000,"Valor inferior a $1.000.000: verificar; ",""),"Valor no interpretable; ")&amp;IF(N172="[PENDIENTE DE VERIFICAR]","Modalidad no identificable; ","")&amp;IF(OR(ISERROR(SEARCH("@itc.edu.co",J172)),SUMPRODUCT(--ISNUMBER(SEARCH({"á","é","í","ó","ú","ñ"},J172)))&gt;0),"Correo vacío o no institucional válido; ","")&amp;IF(LEN(TRIM(D172))=0,"Sin objeto contractual; ","")&amp;IF(AND(ISNUMBER(M172),N172="Mínima cuantía"),IF(M172&gt;39850000,"Mínima cuantía con valor superior al tope citado en el instructivo 2026 ($39.850.000): verificar modalidad; ",""),"")&amp;IF(AND(ISNUMBER(M172),OR(ISNUMBER(SEARCH("prestación de servicios",D172)),ISNUMBER(SEARCH("prestar servicios",D172)),ISNUMBER(SEARCH("prestar los servicios",D172)))),IF(M172&gt;=500000000,"Prestación de servicios por $500 millones o más: posible error de digitación; ",""),""))=0,"Sin observaciones",IF(OR(NOT(ISNUMBER(B172)),LEN(B172)&lt;&gt;8),"UNSPSC vacío, en texto, con varios códigos o sin 8 dígitos; ","")&amp;IF(AND(ISNUMBER(B172),LEN(B172)=8),IF(MOD(B172,10000)=0,"UNSPSC a nivel de segmento o familia; ",""),"")&amp;IF(NOT(ISNUMBER(E172)),"Duración vacía o en texto; ","")&amp;IF(NOT(ISNUMBER(G172)),"Valor vacío o en texto; ","")&amp;IF(ISNUMBER(M172),IF(M172&lt;1000000,"Valor inferior a $1.000.000: verificar; ",""),"Valor no interpretable; ")&amp;IF(N172="[PENDIENTE DE VERIFICAR]","Modalidad no identificable; ","")&amp;IF(OR(ISERROR(SEARCH("@itc.edu.co",J172)),SUMPRODUCT(--ISNUMBER(SEARCH({"á","é","í","ó","ú","ñ"},J172)))&gt;0),"Correo vacío o no institucional válido; ","")&amp;IF(LEN(TRIM(D172))=0,"Sin objeto contractual; ","")&amp;IF(AND(ISNUMBER(M172),N172="Mínima cuantía"),IF(M172&gt;39850000,"Mínima cuantía con valor superior al tope citado en el instructivo 2026 ($39.850.000): verificar modalidad; ",""),"")&amp;IF(AND(ISNUMBER(M172),OR(ISNUMBER(SEARCH("prestación de servicios",D172)),ISNUMBER(SEARCH("prestar servicios",D172)),ISNUMBER(SEARCH("prestar los servicios",D172)))),IF(M172&gt;=500000000,"Prestación de servicios por $500 millones o más: posible error de digitación; ",""),""))</f>
        <v/>
      </c>
    </row>
    <row r="173" ht="22.8" customHeight="1" s="23">
      <c r="A173" s="114" t="inlineStr">
        <is>
          <t>PN26-169</t>
        </is>
      </c>
      <c r="B173" s="114" t="n">
        <v>53101602</v>
      </c>
      <c r="C173" s="114" t="inlineStr">
        <is>
          <t>Vicerrectoría Académica</t>
        </is>
      </c>
      <c r="D173" s="114" t="inlineStr">
        <is>
          <t>Compra de chaquetas para participar en las ferias y exposiciones Insgtitucionales</t>
        </is>
      </c>
      <c r="E173" s="114" t="inlineStr">
        <is>
          <t>1 mes</t>
        </is>
      </c>
      <c r="F173" s="114" t="inlineStr">
        <is>
          <t>MENOR CUANTIA</t>
        </is>
      </c>
      <c r="G173" s="118" t="n">
        <v>15000000</v>
      </c>
      <c r="H173" s="114" t="inlineStr">
        <is>
          <t>Vicerrectoria académica</t>
        </is>
      </c>
      <c r="I173" s="114" t="inlineStr">
        <is>
          <t>PBX 3443000 Ext 114</t>
        </is>
      </c>
      <c r="J173" s="114" t="n"/>
      <c r="K173" s="114" t="n"/>
      <c r="L173" s="119" t="inlineStr">
        <is>
          <t>120 · Vicerrectoría Académica</t>
        </is>
      </c>
      <c r="M173" s="120" t="n">
        <v>15000000</v>
      </c>
      <c r="N173" s="119" t="inlineStr">
        <is>
          <t>Selección abreviada de menor cuantía</t>
        </is>
      </c>
      <c r="O173" s="119">
        <f>IF(LEN(IF(OR(NOT(ISNUMBER(B173)),LEN(B173)&lt;&gt;8),"UNSPSC vacío, en texto, con varios códigos o sin 8 dígitos; ","")&amp;IF(AND(ISNUMBER(B173),LEN(B173)=8),IF(MOD(B173,10000)=0,"UNSPSC a nivel de segmento o familia; ",""),"")&amp;IF(NOT(ISNUMBER(E173)),"Duración vacía o en texto; ","")&amp;IF(NOT(ISNUMBER(G173)),"Valor vacío o en texto; ","")&amp;IF(ISNUMBER(M173),IF(M173&lt;1000000,"Valor inferior a $1.000.000: verificar; ",""),"Valor no interpretable; ")&amp;IF(N173="[PENDIENTE DE VERIFICAR]","Modalidad no identificable; ","")&amp;IF(OR(ISERROR(SEARCH("@itc.edu.co",J173)),SUMPRODUCT(--ISNUMBER(SEARCH({"á","é","í","ó","ú","ñ"},J173)))&gt;0),"Correo vacío o no institucional válido; ","")&amp;IF(LEN(TRIM(D173))=0,"Sin objeto contractual; ","")&amp;IF(AND(ISNUMBER(M173),N173="Mínima cuantía"),IF(M173&gt;39850000,"Mínima cuantía con valor superior al tope citado en el instructivo 2026 ($39.850.000): verificar modalidad; ",""),"")&amp;IF(AND(ISNUMBER(M173),OR(ISNUMBER(SEARCH("prestación de servicios",D173)),ISNUMBER(SEARCH("prestar servicios",D173)),ISNUMBER(SEARCH("prestar los servicios",D173)))),IF(M173&gt;=500000000,"Prestación de servicios por $500 millones o más: posible error de digitación; ",""),""))=0,"Sin observaciones",IF(OR(NOT(ISNUMBER(B173)),LEN(B173)&lt;&gt;8),"UNSPSC vacío, en texto, con varios códigos o sin 8 dígitos; ","")&amp;IF(AND(ISNUMBER(B173),LEN(B173)=8),IF(MOD(B173,10000)=0,"UNSPSC a nivel de segmento o familia; ",""),"")&amp;IF(NOT(ISNUMBER(E173)),"Duración vacía o en texto; ","")&amp;IF(NOT(ISNUMBER(G173)),"Valor vacío o en texto; ","")&amp;IF(ISNUMBER(M173),IF(M173&lt;1000000,"Valor inferior a $1.000.000: verificar; ",""),"Valor no interpretable; ")&amp;IF(N173="[PENDIENTE DE VERIFICAR]","Modalidad no identificable; ","")&amp;IF(OR(ISERROR(SEARCH("@itc.edu.co",J173)),SUMPRODUCT(--ISNUMBER(SEARCH({"á","é","í","ó","ú","ñ"},J173)))&gt;0),"Correo vacío o no institucional válido; ","")&amp;IF(LEN(TRIM(D173))=0,"Sin objeto contractual; ","")&amp;IF(AND(ISNUMBER(M173),N173="Mínima cuantía"),IF(M173&gt;39850000,"Mínima cuantía con valor superior al tope citado en el instructivo 2026 ($39.850.000): verificar modalidad; ",""),"")&amp;IF(AND(ISNUMBER(M173),OR(ISNUMBER(SEARCH("prestación de servicios",D173)),ISNUMBER(SEARCH("prestar servicios",D173)),ISNUMBER(SEARCH("prestar los servicios",D173)))),IF(M173&gt;=500000000,"Prestación de servicios por $500 millones o más: posible error de digitación; ",""),""))</f>
        <v/>
      </c>
    </row>
    <row r="174" ht="22.8" customHeight="1" s="23">
      <c r="A174" s="114" t="inlineStr">
        <is>
          <t>PN26-170</t>
        </is>
      </c>
      <c r="B174" s="114" t="n">
        <v>80141607</v>
      </c>
      <c r="C174" s="114" t="inlineStr">
        <is>
          <t>Vicerrectoría Académica</t>
        </is>
      </c>
      <c r="D174" s="114" t="inlineStr">
        <is>
          <t>Inscripción para participar en la Feria Expoestudiantes 2026</t>
        </is>
      </c>
      <c r="E174" s="114" t="inlineStr">
        <is>
          <t>1 mes</t>
        </is>
      </c>
      <c r="F174" s="114" t="inlineStr">
        <is>
          <t>DIRECTA</t>
        </is>
      </c>
      <c r="G174" s="118" t="n">
        <v>25030000</v>
      </c>
      <c r="H174" s="114" t="inlineStr">
        <is>
          <t>Vicerrectoria académica</t>
        </is>
      </c>
      <c r="I174" s="114" t="inlineStr">
        <is>
          <t>PBX 3443000 Ext 114</t>
        </is>
      </c>
      <c r="J174" s="114" t="inlineStr">
        <is>
          <t>viceacademica@itc.edu.co</t>
        </is>
      </c>
      <c r="K174" s="114" t="n"/>
      <c r="L174" s="119" t="inlineStr">
        <is>
          <t>120 · Vicerrectoría Académica</t>
        </is>
      </c>
      <c r="M174" s="120" t="n">
        <v>25030000</v>
      </c>
      <c r="N174" s="119" t="inlineStr">
        <is>
          <t>Contratación directa</t>
        </is>
      </c>
      <c r="O174" s="119">
        <f>IF(LEN(IF(OR(NOT(ISNUMBER(B174)),LEN(B174)&lt;&gt;8),"UNSPSC vacío, en texto, con varios códigos o sin 8 dígitos; ","")&amp;IF(AND(ISNUMBER(B174),LEN(B174)=8),IF(MOD(B174,10000)=0,"UNSPSC a nivel de segmento o familia; ",""),"")&amp;IF(NOT(ISNUMBER(E174)),"Duración vacía o en texto; ","")&amp;IF(NOT(ISNUMBER(G174)),"Valor vacío o en texto; ","")&amp;IF(ISNUMBER(M174),IF(M174&lt;1000000,"Valor inferior a $1.000.000: verificar; ",""),"Valor no interpretable; ")&amp;IF(N174="[PENDIENTE DE VERIFICAR]","Modalidad no identificable; ","")&amp;IF(OR(ISERROR(SEARCH("@itc.edu.co",J174)),SUMPRODUCT(--ISNUMBER(SEARCH({"á","é","í","ó","ú","ñ"},J174)))&gt;0),"Correo vacío o no institucional válido; ","")&amp;IF(LEN(TRIM(D174))=0,"Sin objeto contractual; ","")&amp;IF(AND(ISNUMBER(M174),N174="Mínima cuantía"),IF(M174&gt;39850000,"Mínima cuantía con valor superior al tope citado en el instructivo 2026 ($39.850.000): verificar modalidad; ",""),"")&amp;IF(AND(ISNUMBER(M174),OR(ISNUMBER(SEARCH("prestación de servicios",D174)),ISNUMBER(SEARCH("prestar servicios",D174)),ISNUMBER(SEARCH("prestar los servicios",D174)))),IF(M174&gt;=500000000,"Prestación de servicios por $500 millones o más: posible error de digitación; ",""),""))=0,"Sin observaciones",IF(OR(NOT(ISNUMBER(B174)),LEN(B174)&lt;&gt;8),"UNSPSC vacío, en texto, con varios códigos o sin 8 dígitos; ","")&amp;IF(AND(ISNUMBER(B174),LEN(B174)=8),IF(MOD(B174,10000)=0,"UNSPSC a nivel de segmento o familia; ",""),"")&amp;IF(NOT(ISNUMBER(E174)),"Duración vacía o en texto; ","")&amp;IF(NOT(ISNUMBER(G174)),"Valor vacío o en texto; ","")&amp;IF(ISNUMBER(M174),IF(M174&lt;1000000,"Valor inferior a $1.000.000: verificar; ",""),"Valor no interpretable; ")&amp;IF(N174="[PENDIENTE DE VERIFICAR]","Modalidad no identificable; ","")&amp;IF(OR(ISERROR(SEARCH("@itc.edu.co",J174)),SUMPRODUCT(--ISNUMBER(SEARCH({"á","é","í","ó","ú","ñ"},J174)))&gt;0),"Correo vacío o no institucional válido; ","")&amp;IF(LEN(TRIM(D174))=0,"Sin objeto contractual; ","")&amp;IF(AND(ISNUMBER(M174),N174="Mínima cuantía"),IF(M174&gt;39850000,"Mínima cuantía con valor superior al tope citado en el instructivo 2026 ($39.850.000): verificar modalidad; ",""),"")&amp;IF(AND(ISNUMBER(M174),OR(ISNUMBER(SEARCH("prestación de servicios",D174)),ISNUMBER(SEARCH("prestar servicios",D174)),ISNUMBER(SEARCH("prestar los servicios",D174)))),IF(M174&gt;=500000000,"Prestación de servicios por $500 millones o más: posible error de digitación; ",""),""))</f>
        <v/>
      </c>
    </row>
    <row r="175" ht="34.2" customHeight="1" s="23">
      <c r="A175" s="114" t="inlineStr">
        <is>
          <t>PN26-171</t>
        </is>
      </c>
      <c r="B175" s="114" t="n">
        <v>90151500</v>
      </c>
      <c r="C175" s="114" t="inlineStr">
        <is>
          <t>Vicerrectoría de Investigación, Extensión y Transferencia</t>
        </is>
      </c>
      <c r="D175" s="114" t="inlineStr">
        <is>
          <t>Servicio de Gestión para garantizar la participación  como expositor en  en la feria EDUTECHNIA 2026</t>
        </is>
      </c>
      <c r="E175" s="114" t="inlineStr">
        <is>
          <t>1 mes</t>
        </is>
      </c>
      <c r="F175" s="114" t="inlineStr">
        <is>
          <t>DIRECTA</t>
        </is>
      </c>
      <c r="G175" s="118" t="n">
        <v>32130000</v>
      </c>
      <c r="H175" s="114" t="inlineStr">
        <is>
          <t>Vicerrectoría de Investigación, Extensión y Transferencia</t>
        </is>
      </c>
      <c r="I175" s="114" t="inlineStr">
        <is>
          <t>PBX 3443000 Ext 157</t>
        </is>
      </c>
      <c r="J175" s="114" t="inlineStr">
        <is>
          <t>viceinvestigacion@itc.edu.co</t>
        </is>
      </c>
      <c r="K175" s="114" t="n"/>
      <c r="L175" s="119" t="inlineStr">
        <is>
          <t>140 · Vicerrectoría de Investigación, Extensión y Transferencia</t>
        </is>
      </c>
      <c r="M175" s="120" t="n">
        <v>32130000</v>
      </c>
      <c r="N175" s="119" t="inlineStr">
        <is>
          <t>Contratación directa</t>
        </is>
      </c>
      <c r="O175" s="119">
        <f>IF(LEN(IF(OR(NOT(ISNUMBER(B175)),LEN(B175)&lt;&gt;8),"UNSPSC vacío, en texto, con varios códigos o sin 8 dígitos; ","")&amp;IF(AND(ISNUMBER(B175),LEN(B175)=8),IF(MOD(B175,10000)=0,"UNSPSC a nivel de segmento o familia; ",""),"")&amp;IF(NOT(ISNUMBER(E175)),"Duración vacía o en texto; ","")&amp;IF(NOT(ISNUMBER(G175)),"Valor vacío o en texto; ","")&amp;IF(ISNUMBER(M175),IF(M175&lt;1000000,"Valor inferior a $1.000.000: verificar; ",""),"Valor no interpretable; ")&amp;IF(N175="[PENDIENTE DE VERIFICAR]","Modalidad no identificable; ","")&amp;IF(OR(ISERROR(SEARCH("@itc.edu.co",J175)),SUMPRODUCT(--ISNUMBER(SEARCH({"á","é","í","ó","ú","ñ"},J175)))&gt;0),"Correo vacío o no institucional válido; ","")&amp;IF(LEN(TRIM(D175))=0,"Sin objeto contractual; ","")&amp;IF(AND(ISNUMBER(M175),N175="Mínima cuantía"),IF(M175&gt;39850000,"Mínima cuantía con valor superior al tope citado en el instructivo 2026 ($39.850.000): verificar modalidad; ",""),"")&amp;IF(AND(ISNUMBER(M175),OR(ISNUMBER(SEARCH("prestación de servicios",D175)),ISNUMBER(SEARCH("prestar servicios",D175)),ISNUMBER(SEARCH("prestar los servicios",D175)))),IF(M175&gt;=500000000,"Prestación de servicios por $500 millones o más: posible error de digitación; ",""),""))=0,"Sin observaciones",IF(OR(NOT(ISNUMBER(B175)),LEN(B175)&lt;&gt;8),"UNSPSC vacío, en texto, con varios códigos o sin 8 dígitos; ","")&amp;IF(AND(ISNUMBER(B175),LEN(B175)=8),IF(MOD(B175,10000)=0,"UNSPSC a nivel de segmento o familia; ",""),"")&amp;IF(NOT(ISNUMBER(E175)),"Duración vacía o en texto; ","")&amp;IF(NOT(ISNUMBER(G175)),"Valor vacío o en texto; ","")&amp;IF(ISNUMBER(M175),IF(M175&lt;1000000,"Valor inferior a $1.000.000: verificar; ",""),"Valor no interpretable; ")&amp;IF(N175="[PENDIENTE DE VERIFICAR]","Modalidad no identificable; ","")&amp;IF(OR(ISERROR(SEARCH("@itc.edu.co",J175)),SUMPRODUCT(--ISNUMBER(SEARCH({"á","é","í","ó","ú","ñ"},J175)))&gt;0),"Correo vacío o no institucional válido; ","")&amp;IF(LEN(TRIM(D175))=0,"Sin objeto contractual; ","")&amp;IF(AND(ISNUMBER(M175),N175="Mínima cuantía"),IF(M175&gt;39850000,"Mínima cuantía con valor superior al tope citado en el instructivo 2026 ($39.850.000): verificar modalidad; ",""),"")&amp;IF(AND(ISNUMBER(M175),OR(ISNUMBER(SEARCH("prestación de servicios",D175)),ISNUMBER(SEARCH("prestar servicios",D175)),ISNUMBER(SEARCH("prestar los servicios",D175)))),IF(M175&gt;=500000000,"Prestación de servicios por $500 millones o más: posible error de digitación; ",""),""))</f>
        <v/>
      </c>
    </row>
    <row r="176" ht="79.8" customHeight="1" s="23">
      <c r="A176" s="114" t="inlineStr">
        <is>
          <t>PN26-172</t>
        </is>
      </c>
      <c r="B176" s="114" t="n">
        <v>80101600</v>
      </c>
      <c r="C176" s="114" t="inlineStr">
        <is>
          <t>Extensión y Proyección Social</t>
        </is>
      </c>
      <c r="D176" s="114" t="inlineStr">
        <is>
          <t>PRESTACIÓN DE SERVICIOS PROFESIONALES ESPECIALIZADOS PARA APOYAR LAS ACTIVIDADES DEL GRUPO INTERNO DE TRABAJO EXTENSIÓN Y PROYECCIÓN SOCIAL – GITEPS, EN EL MARCO DE LA CONSTITUCIÓN, ORGANIZACIÓN, Y REGISTRO DE LA OFERTA ACADÉMICA DE EDUCACIÓN PARA EL TRABAJO Y EL DESARROLLO HUMANO - ETDH, GESTIONANDO DE ESTA FORMA VISIBILIDAD INSTITUCIONAL Y OFERTA DE SERVICIOS PARA EL SECTOR PÚBLICO Y PRIVADO</t>
        </is>
      </c>
      <c r="E176" s="114" t="inlineStr">
        <is>
          <t>11 meses</t>
        </is>
      </c>
      <c r="F176" s="114" t="inlineStr">
        <is>
          <t>DIRECTA</t>
        </is>
      </c>
      <c r="G176" s="118" t="n">
        <v>76433500</v>
      </c>
      <c r="H176" s="114" t="inlineStr">
        <is>
          <t>COORDINADOR DE EXTENSIÓN Y PROYECCIÓN SOCIAL</t>
        </is>
      </c>
      <c r="I176" s="114" t="inlineStr">
        <is>
          <t>PBX 3443000 Ext 129</t>
        </is>
      </c>
      <c r="J176" s="114" t="inlineStr">
        <is>
          <t>extension@itc.edu.co</t>
        </is>
      </c>
      <c r="K176" s="114" t="n"/>
      <c r="L176" s="119" t="inlineStr">
        <is>
          <t>141 · GIT Extensión y Proyección Social</t>
        </is>
      </c>
      <c r="M176" s="120" t="n">
        <v>76433500</v>
      </c>
      <c r="N176" s="119" t="inlineStr">
        <is>
          <t>Contratación directa</t>
        </is>
      </c>
      <c r="O176" s="119">
        <f>IF(LEN(IF(OR(NOT(ISNUMBER(B176)),LEN(B176)&lt;&gt;8),"UNSPSC vacío, en texto, con varios códigos o sin 8 dígitos; ","")&amp;IF(AND(ISNUMBER(B176),LEN(B176)=8),IF(MOD(B176,10000)=0,"UNSPSC a nivel de segmento o familia; ",""),"")&amp;IF(NOT(ISNUMBER(E176)),"Duración vacía o en texto; ","")&amp;IF(NOT(ISNUMBER(G176)),"Valor vacío o en texto; ","")&amp;IF(ISNUMBER(M176),IF(M176&lt;1000000,"Valor inferior a $1.000.000: verificar; ",""),"Valor no interpretable; ")&amp;IF(N176="[PENDIENTE DE VERIFICAR]","Modalidad no identificable; ","")&amp;IF(OR(ISERROR(SEARCH("@itc.edu.co",J176)),SUMPRODUCT(--ISNUMBER(SEARCH({"á","é","í","ó","ú","ñ"},J176)))&gt;0),"Correo vacío o no institucional válido; ","")&amp;IF(LEN(TRIM(D176))=0,"Sin objeto contractual; ","")&amp;IF(AND(ISNUMBER(M176),N176="Mínima cuantía"),IF(M176&gt;39850000,"Mínima cuantía con valor superior al tope citado en el instructivo 2026 ($39.850.000): verificar modalidad; ",""),"")&amp;IF(AND(ISNUMBER(M176),OR(ISNUMBER(SEARCH("prestación de servicios",D176)),ISNUMBER(SEARCH("prestar servicios",D176)),ISNUMBER(SEARCH("prestar los servicios",D176)))),IF(M176&gt;=500000000,"Prestación de servicios por $500 millones o más: posible error de digitación; ",""),""))=0,"Sin observaciones",IF(OR(NOT(ISNUMBER(B176)),LEN(B176)&lt;&gt;8),"UNSPSC vacío, en texto, con varios códigos o sin 8 dígitos; ","")&amp;IF(AND(ISNUMBER(B176),LEN(B176)=8),IF(MOD(B176,10000)=0,"UNSPSC a nivel de segmento o familia; ",""),"")&amp;IF(NOT(ISNUMBER(E176)),"Duración vacía o en texto; ","")&amp;IF(NOT(ISNUMBER(G176)),"Valor vacío o en texto; ","")&amp;IF(ISNUMBER(M176),IF(M176&lt;1000000,"Valor inferior a $1.000.000: verificar; ",""),"Valor no interpretable; ")&amp;IF(N176="[PENDIENTE DE VERIFICAR]","Modalidad no identificable; ","")&amp;IF(OR(ISERROR(SEARCH("@itc.edu.co",J176)),SUMPRODUCT(--ISNUMBER(SEARCH({"á","é","í","ó","ú","ñ"},J176)))&gt;0),"Correo vacío o no institucional válido; ","")&amp;IF(LEN(TRIM(D176))=0,"Sin objeto contractual; ","")&amp;IF(AND(ISNUMBER(M176),N176="Mínima cuantía"),IF(M176&gt;39850000,"Mínima cuantía con valor superior al tope citado en el instructivo 2026 ($39.850.000): verificar modalidad; ",""),"")&amp;IF(AND(ISNUMBER(M176),OR(ISNUMBER(SEARCH("prestación de servicios",D176)),ISNUMBER(SEARCH("prestar servicios",D176)),ISNUMBER(SEARCH("prestar los servicios",D176)))),IF(M176&gt;=500000000,"Prestación de servicios por $500 millones o más: posible error de digitación; ",""),""))</f>
        <v/>
      </c>
    </row>
    <row r="177" ht="57" customHeight="1" s="23">
      <c r="A177" s="114" t="inlineStr">
        <is>
          <t>PN26-173</t>
        </is>
      </c>
      <c r="B177" s="114" t="n">
        <v>80101600</v>
      </c>
      <c r="C177" s="114" t="inlineStr">
        <is>
          <t>Extensión y Proyección Social</t>
        </is>
      </c>
      <c r="D177" s="114" t="inlineStr">
        <is>
          <t xml:space="preserve">PRESTACIÓN DE SERVICIOS PROFESIONALES PARA REALIZAR APOYO ADMINISTRATIVO DEL ÁREA, SEGUIMIENTO A LA EJECUCIÓN DE LOS PROGRAMAS Y COORDINACION DE LA OFERTA ACADÉMICA DEL GITEPS EN LA ESCUELA TECNOLOGICA INSTITUTO TECNICO CENTRAL DURANTE LA VIGENCIA 2026 </t>
        </is>
      </c>
      <c r="E177" s="114" t="inlineStr">
        <is>
          <t>11 meses</t>
        </is>
      </c>
      <c r="F177" s="114" t="inlineStr">
        <is>
          <t>DIRECTA</t>
        </is>
      </c>
      <c r="G177" s="118" t="n">
        <v>45238598</v>
      </c>
      <c r="H177" s="114" t="inlineStr">
        <is>
          <t>COORDINADOR DE EXTENSIÓN Y PROYECCIÓN SOCIAL</t>
        </is>
      </c>
      <c r="I177" s="114" t="inlineStr">
        <is>
          <t>PBX 3443000 Ext 129</t>
        </is>
      </c>
      <c r="J177" s="114" t="inlineStr">
        <is>
          <t>extension@itc.edu.co</t>
        </is>
      </c>
      <c r="K177" s="114" t="n"/>
      <c r="L177" s="119" t="inlineStr">
        <is>
          <t>141 · GIT Extensión y Proyección Social</t>
        </is>
      </c>
      <c r="M177" s="120" t="n">
        <v>45238598</v>
      </c>
      <c r="N177" s="119" t="inlineStr">
        <is>
          <t>Contratación directa</t>
        </is>
      </c>
      <c r="O177" s="119">
        <f>IF(LEN(IF(OR(NOT(ISNUMBER(B177)),LEN(B177)&lt;&gt;8),"UNSPSC vacío, en texto, con varios códigos o sin 8 dígitos; ","")&amp;IF(AND(ISNUMBER(B177),LEN(B177)=8),IF(MOD(B177,10000)=0,"UNSPSC a nivel de segmento o familia; ",""),"")&amp;IF(NOT(ISNUMBER(E177)),"Duración vacía o en texto; ","")&amp;IF(NOT(ISNUMBER(G177)),"Valor vacío o en texto; ","")&amp;IF(ISNUMBER(M177),IF(M177&lt;1000000,"Valor inferior a $1.000.000: verificar; ",""),"Valor no interpretable; ")&amp;IF(N177="[PENDIENTE DE VERIFICAR]","Modalidad no identificable; ","")&amp;IF(OR(ISERROR(SEARCH("@itc.edu.co",J177)),SUMPRODUCT(--ISNUMBER(SEARCH({"á","é","í","ó","ú","ñ"},J177)))&gt;0),"Correo vacío o no institucional válido; ","")&amp;IF(LEN(TRIM(D177))=0,"Sin objeto contractual; ","")&amp;IF(AND(ISNUMBER(M177),N177="Mínima cuantía"),IF(M177&gt;39850000,"Mínima cuantía con valor superior al tope citado en el instructivo 2026 ($39.850.000): verificar modalidad; ",""),"")&amp;IF(AND(ISNUMBER(M177),OR(ISNUMBER(SEARCH("prestación de servicios",D177)),ISNUMBER(SEARCH("prestar servicios",D177)),ISNUMBER(SEARCH("prestar los servicios",D177)))),IF(M177&gt;=500000000,"Prestación de servicios por $500 millones o más: posible error de digitación; ",""),""))=0,"Sin observaciones",IF(OR(NOT(ISNUMBER(B177)),LEN(B177)&lt;&gt;8),"UNSPSC vacío, en texto, con varios códigos o sin 8 dígitos; ","")&amp;IF(AND(ISNUMBER(B177),LEN(B177)=8),IF(MOD(B177,10000)=0,"UNSPSC a nivel de segmento o familia; ",""),"")&amp;IF(NOT(ISNUMBER(E177)),"Duración vacía o en texto; ","")&amp;IF(NOT(ISNUMBER(G177)),"Valor vacío o en texto; ","")&amp;IF(ISNUMBER(M177),IF(M177&lt;1000000,"Valor inferior a $1.000.000: verificar; ",""),"Valor no interpretable; ")&amp;IF(N177="[PENDIENTE DE VERIFICAR]","Modalidad no identificable; ","")&amp;IF(OR(ISERROR(SEARCH("@itc.edu.co",J177)),SUMPRODUCT(--ISNUMBER(SEARCH({"á","é","í","ó","ú","ñ"},J177)))&gt;0),"Correo vacío o no institucional válido; ","")&amp;IF(LEN(TRIM(D177))=0,"Sin objeto contractual; ","")&amp;IF(AND(ISNUMBER(M177),N177="Mínima cuantía"),IF(M177&gt;39850000,"Mínima cuantía con valor superior al tope citado en el instructivo 2026 ($39.850.000): verificar modalidad; ",""),"")&amp;IF(AND(ISNUMBER(M177),OR(ISNUMBER(SEARCH("prestación de servicios",D177)),ISNUMBER(SEARCH("prestar servicios",D177)),ISNUMBER(SEARCH("prestar los servicios",D177)))),IF(M177&gt;=500000000,"Prestación de servicios por $500 millones o más: posible error de digitación; ",""),""))</f>
        <v/>
      </c>
    </row>
    <row r="178" ht="57" customHeight="1" s="23">
      <c r="A178" s="114" t="inlineStr">
        <is>
          <t>PN26-174</t>
        </is>
      </c>
      <c r="B178" s="114" t="n">
        <v>80101600</v>
      </c>
      <c r="C178" s="114" t="inlineStr">
        <is>
          <t>Extensión y Proyección Social</t>
        </is>
      </c>
      <c r="D178" s="114" t="inlineStr">
        <is>
          <t xml:space="preserve">PRESTACIÓN DE SERVICIOS DE APOYO TÉCNICO A LA GESTIÓN PARA REALIZAR ACTIVIDADES ADMINISTRATIVAS Y DE SEGUIMIENTO A LA OFERTA ACADÉMICA DEL GITEPS Y DEL CENTRO DE LENGUAS EN LA ESCUELA TECNOLOGICA INSTITUTO TECNICO CENTRAL DURANTE LA VIGENCIA 2026. </t>
        </is>
      </c>
      <c r="E178" s="114" t="inlineStr">
        <is>
          <t>11 meses</t>
        </is>
      </c>
      <c r="F178" s="114" t="inlineStr">
        <is>
          <t>DIRECTA</t>
        </is>
      </c>
      <c r="G178" s="118" t="n">
        <v>29395926</v>
      </c>
      <c r="H178" s="114" t="inlineStr">
        <is>
          <t>COORDINADOR DE EXTENSIÓN Y PROYECCIÓN SOCIAL</t>
        </is>
      </c>
      <c r="I178" s="114" t="inlineStr">
        <is>
          <t>PBX 3443000 Ext 129</t>
        </is>
      </c>
      <c r="J178" s="114" t="inlineStr">
        <is>
          <t>extension@itc.edu.co</t>
        </is>
      </c>
      <c r="K178" s="114" t="n"/>
      <c r="L178" s="119" t="inlineStr">
        <is>
          <t>141 · GIT Extensión y Proyección Social</t>
        </is>
      </c>
      <c r="M178" s="120" t="n">
        <v>29395926</v>
      </c>
      <c r="N178" s="119" t="inlineStr">
        <is>
          <t>Contratación directa</t>
        </is>
      </c>
      <c r="O178" s="119">
        <f>IF(LEN(IF(OR(NOT(ISNUMBER(B178)),LEN(B178)&lt;&gt;8),"UNSPSC vacío, en texto, con varios códigos o sin 8 dígitos; ","")&amp;IF(AND(ISNUMBER(B178),LEN(B178)=8),IF(MOD(B178,10000)=0,"UNSPSC a nivel de segmento o familia; ",""),"")&amp;IF(NOT(ISNUMBER(E178)),"Duración vacía o en texto; ","")&amp;IF(NOT(ISNUMBER(G178)),"Valor vacío o en texto; ","")&amp;IF(ISNUMBER(M178),IF(M178&lt;1000000,"Valor inferior a $1.000.000: verificar; ",""),"Valor no interpretable; ")&amp;IF(N178="[PENDIENTE DE VERIFICAR]","Modalidad no identificable; ","")&amp;IF(OR(ISERROR(SEARCH("@itc.edu.co",J178)),SUMPRODUCT(--ISNUMBER(SEARCH({"á","é","í","ó","ú","ñ"},J178)))&gt;0),"Correo vacío o no institucional válido; ","")&amp;IF(LEN(TRIM(D178))=0,"Sin objeto contractual; ","")&amp;IF(AND(ISNUMBER(M178),N178="Mínima cuantía"),IF(M178&gt;39850000,"Mínima cuantía con valor superior al tope citado en el instructivo 2026 ($39.850.000): verificar modalidad; ",""),"")&amp;IF(AND(ISNUMBER(M178),OR(ISNUMBER(SEARCH("prestación de servicios",D178)),ISNUMBER(SEARCH("prestar servicios",D178)),ISNUMBER(SEARCH("prestar los servicios",D178)))),IF(M178&gt;=500000000,"Prestación de servicios por $500 millones o más: posible error de digitación; ",""),""))=0,"Sin observaciones",IF(OR(NOT(ISNUMBER(B178)),LEN(B178)&lt;&gt;8),"UNSPSC vacío, en texto, con varios códigos o sin 8 dígitos; ","")&amp;IF(AND(ISNUMBER(B178),LEN(B178)=8),IF(MOD(B178,10000)=0,"UNSPSC a nivel de segmento o familia; ",""),"")&amp;IF(NOT(ISNUMBER(E178)),"Duración vacía o en texto; ","")&amp;IF(NOT(ISNUMBER(G178)),"Valor vacío o en texto; ","")&amp;IF(ISNUMBER(M178),IF(M178&lt;1000000,"Valor inferior a $1.000.000: verificar; ",""),"Valor no interpretable; ")&amp;IF(N178="[PENDIENTE DE VERIFICAR]","Modalidad no identificable; ","")&amp;IF(OR(ISERROR(SEARCH("@itc.edu.co",J178)),SUMPRODUCT(--ISNUMBER(SEARCH({"á","é","í","ó","ú","ñ"},J178)))&gt;0),"Correo vacío o no institucional válido; ","")&amp;IF(LEN(TRIM(D178))=0,"Sin objeto contractual; ","")&amp;IF(AND(ISNUMBER(M178),N178="Mínima cuantía"),IF(M178&gt;39850000,"Mínima cuantía con valor superior al tope citado en el instructivo 2026 ($39.850.000): verificar modalidad; ",""),"")&amp;IF(AND(ISNUMBER(M178),OR(ISNUMBER(SEARCH("prestación de servicios",D178)),ISNUMBER(SEARCH("prestar servicios",D178)),ISNUMBER(SEARCH("prestar los servicios",D178)))),IF(M178&gt;=500000000,"Prestación de servicios por $500 millones o más: posible error de digitación; ",""),""))</f>
        <v/>
      </c>
    </row>
    <row r="179" ht="68.40000000000001" customHeight="1" s="23">
      <c r="A179" s="114" t="inlineStr">
        <is>
          <t>PN26-175</t>
        </is>
      </c>
      <c r="B179" s="114" t="n">
        <v>80101600</v>
      </c>
      <c r="C179" s="114" t="inlineStr">
        <is>
          <t>Extensión y Proyección Social</t>
        </is>
      </c>
      <c r="D179" s="114" t="inlineStr">
        <is>
          <t>PRESTACIÓN DE SERVICIOS PROFESIONALES PARA APOYAR LAS ACTIVIDADES DE VISIBILIDAD, ESTRATEGIAS DE COMUNICACIÓN, 
ORGANIZACIÓN DE EVENTOS, MARKETING Y APOYO EN LA ELABORACIÓN DE DOCUMENTOS E INFORMES PARA LA ACREDITACIÓN INSTITUCIONAL, COLABORACIÓN EN LAS PRESENTACIONES DE INFORMES DE GESTIÓN DE GITEPS Y DE LA ETITC DURANTE LA VIGENCIA 2026</t>
        </is>
      </c>
      <c r="E179" s="114" t="inlineStr">
        <is>
          <t>11 meses</t>
        </is>
      </c>
      <c r="F179" s="114" t="inlineStr">
        <is>
          <t>DIRECTA</t>
        </is>
      </c>
      <c r="G179" s="118" t="n">
        <v>45238598</v>
      </c>
      <c r="H179" s="114" t="inlineStr">
        <is>
          <t>COORDINADOR DE EXTENSIÓN Y PROYECCIÓN SOCIAL</t>
        </is>
      </c>
      <c r="I179" s="114" t="inlineStr">
        <is>
          <t>PBX 3443000 Ext 129</t>
        </is>
      </c>
      <c r="J179" s="114" t="inlineStr">
        <is>
          <t>extension@itc.edu.co</t>
        </is>
      </c>
      <c r="K179" s="114" t="n"/>
      <c r="L179" s="119" t="inlineStr">
        <is>
          <t>141 · GIT Extensión y Proyección Social</t>
        </is>
      </c>
      <c r="M179" s="120" t="n">
        <v>45238598</v>
      </c>
      <c r="N179" s="119" t="inlineStr">
        <is>
          <t>Contratación directa</t>
        </is>
      </c>
      <c r="O179" s="119">
        <f>IF(LEN(IF(OR(NOT(ISNUMBER(B179)),LEN(B179)&lt;&gt;8),"UNSPSC vacío, en texto, con varios códigos o sin 8 dígitos; ","")&amp;IF(AND(ISNUMBER(B179),LEN(B179)=8),IF(MOD(B179,10000)=0,"UNSPSC a nivel de segmento o familia; ",""),"")&amp;IF(NOT(ISNUMBER(E179)),"Duración vacía o en texto; ","")&amp;IF(NOT(ISNUMBER(G179)),"Valor vacío o en texto; ","")&amp;IF(ISNUMBER(M179),IF(M179&lt;1000000,"Valor inferior a $1.000.000: verificar; ",""),"Valor no interpretable; ")&amp;IF(N179="[PENDIENTE DE VERIFICAR]","Modalidad no identificable; ","")&amp;IF(OR(ISERROR(SEARCH("@itc.edu.co",J179)),SUMPRODUCT(--ISNUMBER(SEARCH({"á","é","í","ó","ú","ñ"},J179)))&gt;0),"Correo vacío o no institucional válido; ","")&amp;IF(LEN(TRIM(D179))=0,"Sin objeto contractual; ","")&amp;IF(AND(ISNUMBER(M179),N179="Mínima cuantía"),IF(M179&gt;39850000,"Mínima cuantía con valor superior al tope citado en el instructivo 2026 ($39.850.000): verificar modalidad; ",""),"")&amp;IF(AND(ISNUMBER(M179),OR(ISNUMBER(SEARCH("prestación de servicios",D179)),ISNUMBER(SEARCH("prestar servicios",D179)),ISNUMBER(SEARCH("prestar los servicios",D179)))),IF(M179&gt;=500000000,"Prestación de servicios por $500 millones o más: posible error de digitación; ",""),""))=0,"Sin observaciones",IF(OR(NOT(ISNUMBER(B179)),LEN(B179)&lt;&gt;8),"UNSPSC vacío, en texto, con varios códigos o sin 8 dígitos; ","")&amp;IF(AND(ISNUMBER(B179),LEN(B179)=8),IF(MOD(B179,10000)=0,"UNSPSC a nivel de segmento o familia; ",""),"")&amp;IF(NOT(ISNUMBER(E179)),"Duración vacía o en texto; ","")&amp;IF(NOT(ISNUMBER(G179)),"Valor vacío o en texto; ","")&amp;IF(ISNUMBER(M179),IF(M179&lt;1000000,"Valor inferior a $1.000.000: verificar; ",""),"Valor no interpretable; ")&amp;IF(N179="[PENDIENTE DE VERIFICAR]","Modalidad no identificable; ","")&amp;IF(OR(ISERROR(SEARCH("@itc.edu.co",J179)),SUMPRODUCT(--ISNUMBER(SEARCH({"á","é","í","ó","ú","ñ"},J179)))&gt;0),"Correo vacío o no institucional válido; ","")&amp;IF(LEN(TRIM(D179))=0,"Sin objeto contractual; ","")&amp;IF(AND(ISNUMBER(M179),N179="Mínima cuantía"),IF(M179&gt;39850000,"Mínima cuantía con valor superior al tope citado en el instructivo 2026 ($39.850.000): verificar modalidad; ",""),"")&amp;IF(AND(ISNUMBER(M179),OR(ISNUMBER(SEARCH("prestación de servicios",D179)),ISNUMBER(SEARCH("prestar servicios",D179)),ISNUMBER(SEARCH("prestar los servicios",D179)))),IF(M179&gt;=500000000,"Prestación de servicios por $500 millones o más: posible error de digitación; ",""),""))</f>
        <v/>
      </c>
    </row>
    <row r="180" ht="45.6" customHeight="1" s="23">
      <c r="A180" s="114" t="inlineStr">
        <is>
          <t>PN26-176</t>
        </is>
      </c>
      <c r="B180" s="114" t="n">
        <v>80101600</v>
      </c>
      <c r="C180" s="114" t="inlineStr">
        <is>
          <t>Extensión y Proyección Social</t>
        </is>
      </c>
      <c r="D180" s="114" t="inlineStr">
        <is>
          <t>PRESTACIÓN DE SERVICIOS PROFESIONALES PARA LA GESTIÓN DEL GITEPS DESARROLLANDO ACCIONES DIRIGIDAS A LA PROYECCIÓN SOCIAL A TRAVÉS DE ARTICULACIÓN DE LA COMUNIDAD CON LA INSTITUCIÓN DURANTE LA VIGENCIA 2026</t>
        </is>
      </c>
      <c r="E180" s="114" t="inlineStr">
        <is>
          <t>11 meses</t>
        </is>
      </c>
      <c r="F180" s="114" t="inlineStr">
        <is>
          <t>DIRECTA</t>
        </is>
      </c>
      <c r="G180" s="118" t="n">
        <v>55399169</v>
      </c>
      <c r="H180" s="114" t="inlineStr">
        <is>
          <t>COORDINADOR DE EXTENSIÓN Y PROYECCIÓN SOCIAL</t>
        </is>
      </c>
      <c r="I180" s="114" t="inlineStr">
        <is>
          <t>PBX 3443000 Ext 129</t>
        </is>
      </c>
      <c r="J180" s="114" t="inlineStr">
        <is>
          <t>extension@itc.edu.co</t>
        </is>
      </c>
      <c r="K180" s="114" t="n"/>
      <c r="L180" s="119" t="inlineStr">
        <is>
          <t>141 · GIT Extensión y Proyección Social</t>
        </is>
      </c>
      <c r="M180" s="120" t="n">
        <v>55399169</v>
      </c>
      <c r="N180" s="119" t="inlineStr">
        <is>
          <t>Contratación directa</t>
        </is>
      </c>
      <c r="O180" s="119">
        <f>IF(LEN(IF(OR(NOT(ISNUMBER(B180)),LEN(B180)&lt;&gt;8),"UNSPSC vacío, en texto, con varios códigos o sin 8 dígitos; ","")&amp;IF(AND(ISNUMBER(B180),LEN(B180)=8),IF(MOD(B180,10000)=0,"UNSPSC a nivel de segmento o familia; ",""),"")&amp;IF(NOT(ISNUMBER(E180)),"Duración vacía o en texto; ","")&amp;IF(NOT(ISNUMBER(G180)),"Valor vacío o en texto; ","")&amp;IF(ISNUMBER(M180),IF(M180&lt;1000000,"Valor inferior a $1.000.000: verificar; ",""),"Valor no interpretable; ")&amp;IF(N180="[PENDIENTE DE VERIFICAR]","Modalidad no identificable; ","")&amp;IF(OR(ISERROR(SEARCH("@itc.edu.co",J180)),SUMPRODUCT(--ISNUMBER(SEARCH({"á","é","í","ó","ú","ñ"},J180)))&gt;0),"Correo vacío o no institucional válido; ","")&amp;IF(LEN(TRIM(D180))=0,"Sin objeto contractual; ","")&amp;IF(AND(ISNUMBER(M180),N180="Mínima cuantía"),IF(M180&gt;39850000,"Mínima cuantía con valor superior al tope citado en el instructivo 2026 ($39.850.000): verificar modalidad; ",""),"")&amp;IF(AND(ISNUMBER(M180),OR(ISNUMBER(SEARCH("prestación de servicios",D180)),ISNUMBER(SEARCH("prestar servicios",D180)),ISNUMBER(SEARCH("prestar los servicios",D180)))),IF(M180&gt;=500000000,"Prestación de servicios por $500 millones o más: posible error de digitación; ",""),""))=0,"Sin observaciones",IF(OR(NOT(ISNUMBER(B180)),LEN(B180)&lt;&gt;8),"UNSPSC vacío, en texto, con varios códigos o sin 8 dígitos; ","")&amp;IF(AND(ISNUMBER(B180),LEN(B180)=8),IF(MOD(B180,10000)=0,"UNSPSC a nivel de segmento o familia; ",""),"")&amp;IF(NOT(ISNUMBER(E180)),"Duración vacía o en texto; ","")&amp;IF(NOT(ISNUMBER(G180)),"Valor vacío o en texto; ","")&amp;IF(ISNUMBER(M180),IF(M180&lt;1000000,"Valor inferior a $1.000.000: verificar; ",""),"Valor no interpretable; ")&amp;IF(N180="[PENDIENTE DE VERIFICAR]","Modalidad no identificable; ","")&amp;IF(OR(ISERROR(SEARCH("@itc.edu.co",J180)),SUMPRODUCT(--ISNUMBER(SEARCH({"á","é","í","ó","ú","ñ"},J180)))&gt;0),"Correo vacío o no institucional válido; ","")&amp;IF(LEN(TRIM(D180))=0,"Sin objeto contractual; ","")&amp;IF(AND(ISNUMBER(M180),N180="Mínima cuantía"),IF(M180&gt;39850000,"Mínima cuantía con valor superior al tope citado en el instructivo 2026 ($39.850.000): verificar modalidad; ",""),"")&amp;IF(AND(ISNUMBER(M180),OR(ISNUMBER(SEARCH("prestación de servicios",D180)),ISNUMBER(SEARCH("prestar servicios",D180)),ISNUMBER(SEARCH("prestar los servicios",D180)))),IF(M180&gt;=500000000,"Prestación de servicios por $500 millones o más: posible error de digitación; ",""),""))</f>
        <v/>
      </c>
    </row>
    <row r="181" ht="34.2" customHeight="1" s="23">
      <c r="A181" s="114" t="inlineStr">
        <is>
          <t>PN26-177</t>
        </is>
      </c>
      <c r="B181" s="114" t="n">
        <v>80101600</v>
      </c>
      <c r="C181" s="114" t="inlineStr">
        <is>
          <t>Extensión y Proyección Social</t>
        </is>
      </c>
      <c r="D181" s="114" t="inlineStr">
        <is>
          <t>EXAMEN DE CERTIFICACIÓN INTERNACIONAL DE INGLÉS</t>
        </is>
      </c>
      <c r="E181" s="114" t="n">
        <v>100</v>
      </c>
      <c r="F181" s="114" t="inlineStr">
        <is>
          <t>DIRECTA</t>
        </is>
      </c>
      <c r="G181" s="118" t="n">
        <v>10000000</v>
      </c>
      <c r="H181" s="114" t="inlineStr">
        <is>
          <t>COORDINADOR DE EXTENSIÓN Y PROYECCIÓN SOCIAL</t>
        </is>
      </c>
      <c r="I181" s="114" t="inlineStr">
        <is>
          <t>PBX 3443000 Ext 129</t>
        </is>
      </c>
      <c r="J181" s="114" t="inlineStr">
        <is>
          <t>extension@itc.edu.co</t>
        </is>
      </c>
      <c r="K181" s="114" t="n"/>
      <c r="L181" s="119" t="inlineStr">
        <is>
          <t>141 · GIT Extensión y Proyección Social</t>
        </is>
      </c>
      <c r="M181" s="120" t="n">
        <v>10000000</v>
      </c>
      <c r="N181" s="119" t="inlineStr">
        <is>
          <t>Contratación directa</t>
        </is>
      </c>
      <c r="O181" s="119">
        <f>IF(LEN(IF(OR(NOT(ISNUMBER(B181)),LEN(B181)&lt;&gt;8),"UNSPSC vacío, en texto, con varios códigos o sin 8 dígitos; ","")&amp;IF(AND(ISNUMBER(B181),LEN(B181)=8),IF(MOD(B181,10000)=0,"UNSPSC a nivel de segmento o familia; ",""),"")&amp;IF(NOT(ISNUMBER(E181)),"Duración vacía o en texto; ","")&amp;IF(NOT(ISNUMBER(G181)),"Valor vacío o en texto; ","")&amp;IF(ISNUMBER(M181),IF(M181&lt;1000000,"Valor inferior a $1.000.000: verificar; ",""),"Valor no interpretable; ")&amp;IF(N181="[PENDIENTE DE VERIFICAR]","Modalidad no identificable; ","")&amp;IF(OR(ISERROR(SEARCH("@itc.edu.co",J181)),SUMPRODUCT(--ISNUMBER(SEARCH({"á","é","í","ó","ú","ñ"},J181)))&gt;0),"Correo vacío o no institucional válido; ","")&amp;IF(LEN(TRIM(D181))=0,"Sin objeto contractual; ","")&amp;IF(AND(ISNUMBER(M181),N181="Mínima cuantía"),IF(M181&gt;39850000,"Mínima cuantía con valor superior al tope citado en el instructivo 2026 ($39.850.000): verificar modalidad; ",""),"")&amp;IF(AND(ISNUMBER(M181),OR(ISNUMBER(SEARCH("prestación de servicios",D181)),ISNUMBER(SEARCH("prestar servicios",D181)),ISNUMBER(SEARCH("prestar los servicios",D181)))),IF(M181&gt;=500000000,"Prestación de servicios por $500 millones o más: posible error de digitación; ",""),""))=0,"Sin observaciones",IF(OR(NOT(ISNUMBER(B181)),LEN(B181)&lt;&gt;8),"UNSPSC vacío, en texto, con varios códigos o sin 8 dígitos; ","")&amp;IF(AND(ISNUMBER(B181),LEN(B181)=8),IF(MOD(B181,10000)=0,"UNSPSC a nivel de segmento o familia; ",""),"")&amp;IF(NOT(ISNUMBER(E181)),"Duración vacía o en texto; ","")&amp;IF(NOT(ISNUMBER(G181)),"Valor vacío o en texto; ","")&amp;IF(ISNUMBER(M181),IF(M181&lt;1000000,"Valor inferior a $1.000.000: verificar; ",""),"Valor no interpretable; ")&amp;IF(N181="[PENDIENTE DE VERIFICAR]","Modalidad no identificable; ","")&amp;IF(OR(ISERROR(SEARCH("@itc.edu.co",J181)),SUMPRODUCT(--ISNUMBER(SEARCH({"á","é","í","ó","ú","ñ"},J181)))&gt;0),"Correo vacío o no institucional válido; ","")&amp;IF(LEN(TRIM(D181))=0,"Sin objeto contractual; ","")&amp;IF(AND(ISNUMBER(M181),N181="Mínima cuantía"),IF(M181&gt;39850000,"Mínima cuantía con valor superior al tope citado en el instructivo 2026 ($39.850.000): verificar modalidad; ",""),"")&amp;IF(AND(ISNUMBER(M181),OR(ISNUMBER(SEARCH("prestación de servicios",D181)),ISNUMBER(SEARCH("prestar servicios",D181)),ISNUMBER(SEARCH("prestar los servicios",D181)))),IF(M181&gt;=500000000,"Prestación de servicios por $500 millones o más: posible error de digitación; ",""),""))</f>
        <v/>
      </c>
    </row>
    <row r="182" ht="57" customHeight="1" s="23">
      <c r="A182" s="114" t="inlineStr">
        <is>
          <t>PN26-178</t>
        </is>
      </c>
      <c r="B182" s="114" t="n">
        <v>80101600</v>
      </c>
      <c r="C182" s="114" t="inlineStr">
        <is>
          <t>Extensión y Proyección Social</t>
        </is>
      </c>
      <c r="D182" s="114" t="inlineStr">
        <is>
          <t>PRESTACIÓN DE SERVICIOS PROFESIONALES PARA APOYAR LAS ACTIVIDADES DEL CENTRO DE EXTENSIÓN Y PROYECCIÓN SOCIAL COMO INSTRUCTORES DE LAS CERTIFICACIONES DE: BAJA TENSIÓN, AUTOMATIZACIÓN INDUSTRIAL, NEUMÁTICA,MANUFACTURA ESBELTA PARA EL PRIMER, SEGUNDO SEMESTRE E INTERSEMESTRAL</t>
        </is>
      </c>
      <c r="E182" s="114" t="n">
        <v>1200</v>
      </c>
      <c r="F182" s="114" t="inlineStr">
        <is>
          <t>DIRECTA</t>
        </is>
      </c>
      <c r="G182" s="118" t="n">
        <v>156000000</v>
      </c>
      <c r="H182" s="114" t="inlineStr">
        <is>
          <t>COORDINADOR DE EXTENSIÓN Y PROYECCIÓN SOCIAL</t>
        </is>
      </c>
      <c r="I182" s="114" t="inlineStr">
        <is>
          <t>PBX 3443000 Ext 129</t>
        </is>
      </c>
      <c r="J182" s="114" t="inlineStr">
        <is>
          <t>extension@itc.edu.co</t>
        </is>
      </c>
      <c r="K182" s="114" t="n"/>
      <c r="L182" s="119" t="inlineStr">
        <is>
          <t>141 · GIT Extensión y Proyección Social</t>
        </is>
      </c>
      <c r="M182" s="120" t="n">
        <v>156000000</v>
      </c>
      <c r="N182" s="119" t="inlineStr">
        <is>
          <t>Contratación directa</t>
        </is>
      </c>
      <c r="O182" s="119">
        <f>IF(LEN(IF(OR(NOT(ISNUMBER(B182)),LEN(B182)&lt;&gt;8),"UNSPSC vacío, en texto, con varios códigos o sin 8 dígitos; ","")&amp;IF(AND(ISNUMBER(B182),LEN(B182)=8),IF(MOD(B182,10000)=0,"UNSPSC a nivel de segmento o familia; ",""),"")&amp;IF(NOT(ISNUMBER(E182)),"Duración vacía o en texto; ","")&amp;IF(NOT(ISNUMBER(G182)),"Valor vacío o en texto; ","")&amp;IF(ISNUMBER(M182),IF(M182&lt;1000000,"Valor inferior a $1.000.000: verificar; ",""),"Valor no interpretable; ")&amp;IF(N182="[PENDIENTE DE VERIFICAR]","Modalidad no identificable; ","")&amp;IF(OR(ISERROR(SEARCH("@itc.edu.co",J182)),SUMPRODUCT(--ISNUMBER(SEARCH({"á","é","í","ó","ú","ñ"},J182)))&gt;0),"Correo vacío o no institucional válido; ","")&amp;IF(LEN(TRIM(D182))=0,"Sin objeto contractual; ","")&amp;IF(AND(ISNUMBER(M182),N182="Mínima cuantía"),IF(M182&gt;39850000,"Mínima cuantía con valor superior al tope citado en el instructivo 2026 ($39.850.000): verificar modalidad; ",""),"")&amp;IF(AND(ISNUMBER(M182),OR(ISNUMBER(SEARCH("prestación de servicios",D182)),ISNUMBER(SEARCH("prestar servicios",D182)),ISNUMBER(SEARCH("prestar los servicios",D182)))),IF(M182&gt;=500000000,"Prestación de servicios por $500 millones o más: posible error de digitación; ",""),""))=0,"Sin observaciones",IF(OR(NOT(ISNUMBER(B182)),LEN(B182)&lt;&gt;8),"UNSPSC vacío, en texto, con varios códigos o sin 8 dígitos; ","")&amp;IF(AND(ISNUMBER(B182),LEN(B182)=8),IF(MOD(B182,10000)=0,"UNSPSC a nivel de segmento o familia; ",""),"")&amp;IF(NOT(ISNUMBER(E182)),"Duración vacía o en texto; ","")&amp;IF(NOT(ISNUMBER(G182)),"Valor vacío o en texto; ","")&amp;IF(ISNUMBER(M182),IF(M182&lt;1000000,"Valor inferior a $1.000.000: verificar; ",""),"Valor no interpretable; ")&amp;IF(N182="[PENDIENTE DE VERIFICAR]","Modalidad no identificable; ","")&amp;IF(OR(ISERROR(SEARCH("@itc.edu.co",J182)),SUMPRODUCT(--ISNUMBER(SEARCH({"á","é","í","ó","ú","ñ"},J182)))&gt;0),"Correo vacío o no institucional válido; ","")&amp;IF(LEN(TRIM(D182))=0,"Sin objeto contractual; ","")&amp;IF(AND(ISNUMBER(M182),N182="Mínima cuantía"),IF(M182&gt;39850000,"Mínima cuantía con valor superior al tope citado en el instructivo 2026 ($39.850.000): verificar modalidad; ",""),"")&amp;IF(AND(ISNUMBER(M182),OR(ISNUMBER(SEARCH("prestación de servicios",D182)),ISNUMBER(SEARCH("prestar servicios",D182)),ISNUMBER(SEARCH("prestar los servicios",D182)))),IF(M182&gt;=500000000,"Prestación de servicios por $500 millones o más: posible error de digitación; ",""),""))</f>
        <v/>
      </c>
    </row>
    <row r="183" ht="34.2" customHeight="1" s="23">
      <c r="A183" s="114" t="inlineStr">
        <is>
          <t>PN26-179</t>
        </is>
      </c>
      <c r="B183" s="114" t="n">
        <v>80101600</v>
      </c>
      <c r="C183" s="114" t="inlineStr">
        <is>
          <t>Extensión y Proyección Social</t>
        </is>
      </c>
      <c r="D183" s="114" t="inlineStr">
        <is>
          <t>PRESTACIÓN DE SERVICIOS PROFESIONALES PARA APOYAR LAS ACTIVIDADES DEL GITEPS COMO INSTRUCTOR DESARROLLANDO LAS CERTIFICACIÓN DE CERTIFICADORES</t>
        </is>
      </c>
      <c r="E183" s="114" t="n">
        <v>120</v>
      </c>
      <c r="F183" s="114" t="inlineStr">
        <is>
          <t>DIRECTA</t>
        </is>
      </c>
      <c r="G183" s="118" t="n">
        <v>24000000</v>
      </c>
      <c r="H183" s="114" t="inlineStr">
        <is>
          <t>COORDINADOR DE EXTENSIÓN Y PROYECCIÓN SOCIAL</t>
        </is>
      </c>
      <c r="I183" s="114" t="inlineStr">
        <is>
          <t>PBX 3443000 Ext 129</t>
        </is>
      </c>
      <c r="J183" s="114" t="inlineStr">
        <is>
          <t>extension@itc.edu.co</t>
        </is>
      </c>
      <c r="K183" s="114" t="n"/>
      <c r="L183" s="119" t="inlineStr">
        <is>
          <t>141 · GIT Extensión y Proyección Social</t>
        </is>
      </c>
      <c r="M183" s="120" t="n">
        <v>24000000</v>
      </c>
      <c r="N183" s="119" t="inlineStr">
        <is>
          <t>Contratación directa</t>
        </is>
      </c>
      <c r="O183" s="119">
        <f>IF(LEN(IF(OR(NOT(ISNUMBER(B183)),LEN(B183)&lt;&gt;8),"UNSPSC vacío, en texto, con varios códigos o sin 8 dígitos; ","")&amp;IF(AND(ISNUMBER(B183),LEN(B183)=8),IF(MOD(B183,10000)=0,"UNSPSC a nivel de segmento o familia; ",""),"")&amp;IF(NOT(ISNUMBER(E183)),"Duración vacía o en texto; ","")&amp;IF(NOT(ISNUMBER(G183)),"Valor vacío o en texto; ","")&amp;IF(ISNUMBER(M183),IF(M183&lt;1000000,"Valor inferior a $1.000.000: verificar; ",""),"Valor no interpretable; ")&amp;IF(N183="[PENDIENTE DE VERIFICAR]","Modalidad no identificable; ","")&amp;IF(OR(ISERROR(SEARCH("@itc.edu.co",J183)),SUMPRODUCT(--ISNUMBER(SEARCH({"á","é","í","ó","ú","ñ"},J183)))&gt;0),"Correo vacío o no institucional válido; ","")&amp;IF(LEN(TRIM(D183))=0,"Sin objeto contractual; ","")&amp;IF(AND(ISNUMBER(M183),N183="Mínima cuantía"),IF(M183&gt;39850000,"Mínima cuantía con valor superior al tope citado en el instructivo 2026 ($39.850.000): verificar modalidad; ",""),"")&amp;IF(AND(ISNUMBER(M183),OR(ISNUMBER(SEARCH("prestación de servicios",D183)),ISNUMBER(SEARCH("prestar servicios",D183)),ISNUMBER(SEARCH("prestar los servicios",D183)))),IF(M183&gt;=500000000,"Prestación de servicios por $500 millones o más: posible error de digitación; ",""),""))=0,"Sin observaciones",IF(OR(NOT(ISNUMBER(B183)),LEN(B183)&lt;&gt;8),"UNSPSC vacío, en texto, con varios códigos o sin 8 dígitos; ","")&amp;IF(AND(ISNUMBER(B183),LEN(B183)=8),IF(MOD(B183,10000)=0,"UNSPSC a nivel de segmento o familia; ",""),"")&amp;IF(NOT(ISNUMBER(E183)),"Duración vacía o en texto; ","")&amp;IF(NOT(ISNUMBER(G183)),"Valor vacío o en texto; ","")&amp;IF(ISNUMBER(M183),IF(M183&lt;1000000,"Valor inferior a $1.000.000: verificar; ",""),"Valor no interpretable; ")&amp;IF(N183="[PENDIENTE DE VERIFICAR]","Modalidad no identificable; ","")&amp;IF(OR(ISERROR(SEARCH("@itc.edu.co",J183)),SUMPRODUCT(--ISNUMBER(SEARCH({"á","é","í","ó","ú","ñ"},J183)))&gt;0),"Correo vacío o no institucional válido; ","")&amp;IF(LEN(TRIM(D183))=0,"Sin objeto contractual; ","")&amp;IF(AND(ISNUMBER(M183),N183="Mínima cuantía"),IF(M183&gt;39850000,"Mínima cuantía con valor superior al tope citado en el instructivo 2026 ($39.850.000): verificar modalidad; ",""),"")&amp;IF(AND(ISNUMBER(M183),OR(ISNUMBER(SEARCH("prestación de servicios",D183)),ISNUMBER(SEARCH("prestar servicios",D183)),ISNUMBER(SEARCH("prestar los servicios",D183)))),IF(M183&gt;=500000000,"Prestación de servicios por $500 millones o más: posible error de digitación; ",""),""))</f>
        <v/>
      </c>
    </row>
    <row r="184" ht="68.40000000000001" customHeight="1" s="23">
      <c r="A184" s="114" t="inlineStr">
        <is>
          <t>PN26-180</t>
        </is>
      </c>
      <c r="B184" s="114" t="n">
        <v>80101600</v>
      </c>
      <c r="C184" s="114" t="inlineStr">
        <is>
          <t>Extensión y Proyección Social</t>
        </is>
      </c>
      <c r="D184" s="114" t="inlineStr">
        <is>
          <t>PRESTACIÓN DE SERVICIOS COMO APOYO A LA MISIONALIDAD INSTITUCIONAL PARA DESARROLLAR LAS CERTIFICACIONES LEAN MANAGEMENT Y LEAN SIX SIGMA, COMO OPCIÓN DE GRADO PARA LOS ESTUDIANTES DE LAS FACULTADES DE PROCESOS INDUSTRIALES, DE ELECTROMECÁNICA, DE MECATRÓNICA, DE SISTEMAS Y DE MECÁNICA, DE LA ESCUELA TECNOLOGICA INSTITUTO TÉCNICO CENTRAL - ETITC.</t>
        </is>
      </c>
      <c r="E184" s="114" t="n">
        <v>1</v>
      </c>
      <c r="F184" s="114" t="inlineStr">
        <is>
          <t>DIRECTA</t>
        </is>
      </c>
      <c r="G184" s="118" t="n">
        <v>24000000</v>
      </c>
      <c r="H184" s="114" t="inlineStr">
        <is>
          <t>COORDINADOR DE EXTENSIÓN Y PROYECCIÓN SOCIAL</t>
        </is>
      </c>
      <c r="I184" s="114" t="inlineStr">
        <is>
          <t>PBX 3443000 Ext 129</t>
        </is>
      </c>
      <c r="J184" s="114" t="inlineStr">
        <is>
          <t>extension@itc.edu.co</t>
        </is>
      </c>
      <c r="K184" s="114" t="n"/>
      <c r="L184" s="119" t="inlineStr">
        <is>
          <t>141 · GIT Extensión y Proyección Social</t>
        </is>
      </c>
      <c r="M184" s="120" t="n">
        <v>24000000</v>
      </c>
      <c r="N184" s="119" t="inlineStr">
        <is>
          <t>Contratación directa</t>
        </is>
      </c>
      <c r="O184" s="119">
        <f>IF(LEN(IF(OR(NOT(ISNUMBER(B184)),LEN(B184)&lt;&gt;8),"UNSPSC vacío, en texto, con varios códigos o sin 8 dígitos; ","")&amp;IF(AND(ISNUMBER(B184),LEN(B184)=8),IF(MOD(B184,10000)=0,"UNSPSC a nivel de segmento o familia; ",""),"")&amp;IF(NOT(ISNUMBER(E184)),"Duración vacía o en texto; ","")&amp;IF(NOT(ISNUMBER(G184)),"Valor vacío o en texto; ","")&amp;IF(ISNUMBER(M184),IF(M184&lt;1000000,"Valor inferior a $1.000.000: verificar; ",""),"Valor no interpretable; ")&amp;IF(N184="[PENDIENTE DE VERIFICAR]","Modalidad no identificable; ","")&amp;IF(OR(ISERROR(SEARCH("@itc.edu.co",J184)),SUMPRODUCT(--ISNUMBER(SEARCH({"á","é","í","ó","ú","ñ"},J184)))&gt;0),"Correo vacío o no institucional válido; ","")&amp;IF(LEN(TRIM(D184))=0,"Sin objeto contractual; ","")&amp;IF(AND(ISNUMBER(M184),N184="Mínima cuantía"),IF(M184&gt;39850000,"Mínima cuantía con valor superior al tope citado en el instructivo 2026 ($39.850.000): verificar modalidad; ",""),"")&amp;IF(AND(ISNUMBER(M184),OR(ISNUMBER(SEARCH("prestación de servicios",D184)),ISNUMBER(SEARCH("prestar servicios",D184)),ISNUMBER(SEARCH("prestar los servicios",D184)))),IF(M184&gt;=500000000,"Prestación de servicios por $500 millones o más: posible error de digitación; ",""),""))=0,"Sin observaciones",IF(OR(NOT(ISNUMBER(B184)),LEN(B184)&lt;&gt;8),"UNSPSC vacío, en texto, con varios códigos o sin 8 dígitos; ","")&amp;IF(AND(ISNUMBER(B184),LEN(B184)=8),IF(MOD(B184,10000)=0,"UNSPSC a nivel de segmento o familia; ",""),"")&amp;IF(NOT(ISNUMBER(E184)),"Duración vacía o en texto; ","")&amp;IF(NOT(ISNUMBER(G184)),"Valor vacío o en texto; ","")&amp;IF(ISNUMBER(M184),IF(M184&lt;1000000,"Valor inferior a $1.000.000: verificar; ",""),"Valor no interpretable; ")&amp;IF(N184="[PENDIENTE DE VERIFICAR]","Modalidad no identificable; ","")&amp;IF(OR(ISERROR(SEARCH("@itc.edu.co",J184)),SUMPRODUCT(--ISNUMBER(SEARCH({"á","é","í","ó","ú","ñ"},J184)))&gt;0),"Correo vacío o no institucional válido; ","")&amp;IF(LEN(TRIM(D184))=0,"Sin objeto contractual; ","")&amp;IF(AND(ISNUMBER(M184),N184="Mínima cuantía"),IF(M184&gt;39850000,"Mínima cuantía con valor superior al tope citado en el instructivo 2026 ($39.850.000): verificar modalidad; ",""),"")&amp;IF(AND(ISNUMBER(M184),OR(ISNUMBER(SEARCH("prestación de servicios",D184)),ISNUMBER(SEARCH("prestar servicios",D184)),ISNUMBER(SEARCH("prestar los servicios",D184)))),IF(M184&gt;=500000000,"Prestación de servicios por $500 millones o más: posible error de digitación; ",""),""))</f>
        <v/>
      </c>
    </row>
    <row r="185" ht="34.2" customHeight="1" s="23">
      <c r="A185" s="114" t="inlineStr">
        <is>
          <t>PN26-181</t>
        </is>
      </c>
      <c r="B185" s="114" t="n">
        <v>80101600</v>
      </c>
      <c r="C185" s="114" t="inlineStr">
        <is>
          <t>Extensión y Proyección Social</t>
        </is>
      </c>
      <c r="D185" s="114" t="inlineStr">
        <is>
          <t>PRESTACIÓN DE SERVICIOS PROFESIONALES PARA APOYAR LAS ACTIVIDADES DEL GITEPS COMO INSTRUCTOR DESARROLLANDO LOS DIPLOMADOS OFERTADOS EN EL GITEPS</t>
        </is>
      </c>
      <c r="E185" s="114" t="n">
        <v>300</v>
      </c>
      <c r="F185" s="114" t="inlineStr">
        <is>
          <t>DIRECTA</t>
        </is>
      </c>
      <c r="G185" s="118" t="n">
        <v>24000000</v>
      </c>
      <c r="H185" s="114" t="inlineStr">
        <is>
          <t>COORDINADOR DE EXTENSIÓN Y PROYECCIÓN SOCIAL</t>
        </is>
      </c>
      <c r="I185" s="114" t="inlineStr">
        <is>
          <t>PBX 3443000 Ext 129</t>
        </is>
      </c>
      <c r="J185" s="114" t="inlineStr">
        <is>
          <t>extension@itc.edu.co</t>
        </is>
      </c>
      <c r="K185" s="114" t="n"/>
      <c r="L185" s="119" t="inlineStr">
        <is>
          <t>141 · GIT Extensión y Proyección Social</t>
        </is>
      </c>
      <c r="M185" s="120" t="n">
        <v>24000000</v>
      </c>
      <c r="N185" s="119" t="inlineStr">
        <is>
          <t>Contratación directa</t>
        </is>
      </c>
      <c r="O185" s="119">
        <f>IF(LEN(IF(OR(NOT(ISNUMBER(B185)),LEN(B185)&lt;&gt;8),"UNSPSC vacío, en texto, con varios códigos o sin 8 dígitos; ","")&amp;IF(AND(ISNUMBER(B185),LEN(B185)=8),IF(MOD(B185,10000)=0,"UNSPSC a nivel de segmento o familia; ",""),"")&amp;IF(NOT(ISNUMBER(E185)),"Duración vacía o en texto; ","")&amp;IF(NOT(ISNUMBER(G185)),"Valor vacío o en texto; ","")&amp;IF(ISNUMBER(M185),IF(M185&lt;1000000,"Valor inferior a $1.000.000: verificar; ",""),"Valor no interpretable; ")&amp;IF(N185="[PENDIENTE DE VERIFICAR]","Modalidad no identificable; ","")&amp;IF(OR(ISERROR(SEARCH("@itc.edu.co",J185)),SUMPRODUCT(--ISNUMBER(SEARCH({"á","é","í","ó","ú","ñ"},J185)))&gt;0),"Correo vacío o no institucional válido; ","")&amp;IF(LEN(TRIM(D185))=0,"Sin objeto contractual; ","")&amp;IF(AND(ISNUMBER(M185),N185="Mínima cuantía"),IF(M185&gt;39850000,"Mínima cuantía con valor superior al tope citado en el instructivo 2026 ($39.850.000): verificar modalidad; ",""),"")&amp;IF(AND(ISNUMBER(M185),OR(ISNUMBER(SEARCH("prestación de servicios",D185)),ISNUMBER(SEARCH("prestar servicios",D185)),ISNUMBER(SEARCH("prestar los servicios",D185)))),IF(M185&gt;=500000000,"Prestación de servicios por $500 millones o más: posible error de digitación; ",""),""))=0,"Sin observaciones",IF(OR(NOT(ISNUMBER(B185)),LEN(B185)&lt;&gt;8),"UNSPSC vacío, en texto, con varios códigos o sin 8 dígitos; ","")&amp;IF(AND(ISNUMBER(B185),LEN(B185)=8),IF(MOD(B185,10000)=0,"UNSPSC a nivel de segmento o familia; ",""),"")&amp;IF(NOT(ISNUMBER(E185)),"Duración vacía o en texto; ","")&amp;IF(NOT(ISNUMBER(G185)),"Valor vacío o en texto; ","")&amp;IF(ISNUMBER(M185),IF(M185&lt;1000000,"Valor inferior a $1.000.000: verificar; ",""),"Valor no interpretable; ")&amp;IF(N185="[PENDIENTE DE VERIFICAR]","Modalidad no identificable; ","")&amp;IF(OR(ISERROR(SEARCH("@itc.edu.co",J185)),SUMPRODUCT(--ISNUMBER(SEARCH({"á","é","í","ó","ú","ñ"},J185)))&gt;0),"Correo vacío o no institucional válido; ","")&amp;IF(LEN(TRIM(D185))=0,"Sin objeto contractual; ","")&amp;IF(AND(ISNUMBER(M185),N185="Mínima cuantía"),IF(M185&gt;39850000,"Mínima cuantía con valor superior al tope citado en el instructivo 2026 ($39.850.000): verificar modalidad; ",""),"")&amp;IF(AND(ISNUMBER(M185),OR(ISNUMBER(SEARCH("prestación de servicios",D185)),ISNUMBER(SEARCH("prestar servicios",D185)),ISNUMBER(SEARCH("prestar los servicios",D185)))),IF(M185&gt;=500000000,"Prestación de servicios por $500 millones o más: posible error de digitación; ",""),""))</f>
        <v/>
      </c>
    </row>
    <row r="186" ht="34.2" customHeight="1" s="23">
      <c r="A186" s="114" t="inlineStr">
        <is>
          <t>PN26-182</t>
        </is>
      </c>
      <c r="B186" s="114" t="n">
        <v>80101600</v>
      </c>
      <c r="C186" s="114" t="inlineStr">
        <is>
          <t>Extensión y Proyección Social</t>
        </is>
      </c>
      <c r="D186" s="114" t="inlineStr">
        <is>
          <t>PRESTACIÓN DE SERVICIOS PROFESIONALES PARA APOYAR LAS ACTIVIDADES DEL GITEPS COMO INSTRUCTORES DESARROLLANDO CURSOS LIBRES Y A LA MEDIDA DE LA OFERTA ACADÉMICA DE GITEPS.</t>
        </is>
      </c>
      <c r="E186" s="114" t="n">
        <v>1000</v>
      </c>
      <c r="F186" s="114" t="inlineStr">
        <is>
          <t>DIRECTA</t>
        </is>
      </c>
      <c r="G186" s="118" t="n">
        <v>70000000</v>
      </c>
      <c r="H186" s="114" t="inlineStr">
        <is>
          <t>COORDINADOR DE EXTENSIÓN Y PROYECCIÓN SOCIAL</t>
        </is>
      </c>
      <c r="I186" s="114" t="inlineStr">
        <is>
          <t>PBX 3443000 Ext 129</t>
        </is>
      </c>
      <c r="J186" s="114" t="inlineStr">
        <is>
          <t>extension@itc.edu.co</t>
        </is>
      </c>
      <c r="K186" s="114" t="n"/>
      <c r="L186" s="119" t="inlineStr">
        <is>
          <t>141 · GIT Extensión y Proyección Social</t>
        </is>
      </c>
      <c r="M186" s="120" t="n">
        <v>70000000</v>
      </c>
      <c r="N186" s="119" t="inlineStr">
        <is>
          <t>Contratación directa</t>
        </is>
      </c>
      <c r="O186" s="119">
        <f>IF(LEN(IF(OR(NOT(ISNUMBER(B186)),LEN(B186)&lt;&gt;8),"UNSPSC vacío, en texto, con varios códigos o sin 8 dígitos; ","")&amp;IF(AND(ISNUMBER(B186),LEN(B186)=8),IF(MOD(B186,10000)=0,"UNSPSC a nivel de segmento o familia; ",""),"")&amp;IF(NOT(ISNUMBER(E186)),"Duración vacía o en texto; ","")&amp;IF(NOT(ISNUMBER(G186)),"Valor vacío o en texto; ","")&amp;IF(ISNUMBER(M186),IF(M186&lt;1000000,"Valor inferior a $1.000.000: verificar; ",""),"Valor no interpretable; ")&amp;IF(N186="[PENDIENTE DE VERIFICAR]","Modalidad no identificable; ","")&amp;IF(OR(ISERROR(SEARCH("@itc.edu.co",J186)),SUMPRODUCT(--ISNUMBER(SEARCH({"á","é","í","ó","ú","ñ"},J186)))&gt;0),"Correo vacío o no institucional válido; ","")&amp;IF(LEN(TRIM(D186))=0,"Sin objeto contractual; ","")&amp;IF(AND(ISNUMBER(M186),N186="Mínima cuantía"),IF(M186&gt;39850000,"Mínima cuantía con valor superior al tope citado en el instructivo 2026 ($39.850.000): verificar modalidad; ",""),"")&amp;IF(AND(ISNUMBER(M186),OR(ISNUMBER(SEARCH("prestación de servicios",D186)),ISNUMBER(SEARCH("prestar servicios",D186)),ISNUMBER(SEARCH("prestar los servicios",D186)))),IF(M186&gt;=500000000,"Prestación de servicios por $500 millones o más: posible error de digitación; ",""),""))=0,"Sin observaciones",IF(OR(NOT(ISNUMBER(B186)),LEN(B186)&lt;&gt;8),"UNSPSC vacío, en texto, con varios códigos o sin 8 dígitos; ","")&amp;IF(AND(ISNUMBER(B186),LEN(B186)=8),IF(MOD(B186,10000)=0,"UNSPSC a nivel de segmento o familia; ",""),"")&amp;IF(NOT(ISNUMBER(E186)),"Duración vacía o en texto; ","")&amp;IF(NOT(ISNUMBER(G186)),"Valor vacío o en texto; ","")&amp;IF(ISNUMBER(M186),IF(M186&lt;1000000,"Valor inferior a $1.000.000: verificar; ",""),"Valor no interpretable; ")&amp;IF(N186="[PENDIENTE DE VERIFICAR]","Modalidad no identificable; ","")&amp;IF(OR(ISERROR(SEARCH("@itc.edu.co",J186)),SUMPRODUCT(--ISNUMBER(SEARCH({"á","é","í","ó","ú","ñ"},J186)))&gt;0),"Correo vacío o no institucional válido; ","")&amp;IF(LEN(TRIM(D186))=0,"Sin objeto contractual; ","")&amp;IF(AND(ISNUMBER(M186),N186="Mínima cuantía"),IF(M186&gt;39850000,"Mínima cuantía con valor superior al tope citado en el instructivo 2026 ($39.850.000): verificar modalidad; ",""),"")&amp;IF(AND(ISNUMBER(M186),OR(ISNUMBER(SEARCH("prestación de servicios",D186)),ISNUMBER(SEARCH("prestar servicios",D186)),ISNUMBER(SEARCH("prestar los servicios",D186)))),IF(M186&gt;=500000000,"Prestación de servicios por $500 millones o más: posible error de digitación; ",""),""))</f>
        <v/>
      </c>
    </row>
    <row r="187" ht="34.2" customHeight="1" s="23">
      <c r="A187" s="114" t="inlineStr">
        <is>
          <t>PN26-183</t>
        </is>
      </c>
      <c r="B187" s="114" t="n">
        <v>80101600</v>
      </c>
      <c r="C187" s="114" t="inlineStr">
        <is>
          <t>Extensión y Proyección Social</t>
        </is>
      </c>
      <c r="D187" s="114" t="inlineStr">
        <is>
          <t>PRESTACIÓN DE SERVICIOS PROFESIONALES PARA EL MONTAJE Y LA ADMINISTRACIÓN DE LA PLATAFORMA VIRTUAL CON LA OFERTA ACADÉMICA DE GITEPS</t>
        </is>
      </c>
      <c r="E187" s="114" t="n">
        <v>6</v>
      </c>
      <c r="F187" s="114" t="inlineStr">
        <is>
          <t>DIRECTA</t>
        </is>
      </c>
      <c r="G187" s="118" t="n">
        <v>22983420</v>
      </c>
      <c r="H187" s="114" t="inlineStr">
        <is>
          <t>COORDINADOR DE EXTENSIÓN Y PROYECCIÓN SOCIAL</t>
        </is>
      </c>
      <c r="I187" s="114" t="inlineStr">
        <is>
          <t>PBX 3443000 Ext 129</t>
        </is>
      </c>
      <c r="J187" s="114" t="inlineStr">
        <is>
          <t>extension@itc.edu.co</t>
        </is>
      </c>
      <c r="K187" s="114" t="n"/>
      <c r="L187" s="119" t="inlineStr">
        <is>
          <t>141 · GIT Extensión y Proyección Social</t>
        </is>
      </c>
      <c r="M187" s="120" t="n">
        <v>22983420</v>
      </c>
      <c r="N187" s="119" t="inlineStr">
        <is>
          <t>Contratación directa</t>
        </is>
      </c>
      <c r="O187" s="119">
        <f>IF(LEN(IF(OR(NOT(ISNUMBER(B187)),LEN(B187)&lt;&gt;8),"UNSPSC vacío, en texto, con varios códigos o sin 8 dígitos; ","")&amp;IF(AND(ISNUMBER(B187),LEN(B187)=8),IF(MOD(B187,10000)=0,"UNSPSC a nivel de segmento o familia; ",""),"")&amp;IF(NOT(ISNUMBER(E187)),"Duración vacía o en texto; ","")&amp;IF(NOT(ISNUMBER(G187)),"Valor vacío o en texto; ","")&amp;IF(ISNUMBER(M187),IF(M187&lt;1000000,"Valor inferior a $1.000.000: verificar; ",""),"Valor no interpretable; ")&amp;IF(N187="[PENDIENTE DE VERIFICAR]","Modalidad no identificable; ","")&amp;IF(OR(ISERROR(SEARCH("@itc.edu.co",J187)),SUMPRODUCT(--ISNUMBER(SEARCH({"á","é","í","ó","ú","ñ"},J187)))&gt;0),"Correo vacío o no institucional válido; ","")&amp;IF(LEN(TRIM(D187))=0,"Sin objeto contractual; ","")&amp;IF(AND(ISNUMBER(M187),N187="Mínima cuantía"),IF(M187&gt;39850000,"Mínima cuantía con valor superior al tope citado en el instructivo 2026 ($39.850.000): verificar modalidad; ",""),"")&amp;IF(AND(ISNUMBER(M187),OR(ISNUMBER(SEARCH("prestación de servicios",D187)),ISNUMBER(SEARCH("prestar servicios",D187)),ISNUMBER(SEARCH("prestar los servicios",D187)))),IF(M187&gt;=500000000,"Prestación de servicios por $500 millones o más: posible error de digitación; ",""),""))=0,"Sin observaciones",IF(OR(NOT(ISNUMBER(B187)),LEN(B187)&lt;&gt;8),"UNSPSC vacío, en texto, con varios códigos o sin 8 dígitos; ","")&amp;IF(AND(ISNUMBER(B187),LEN(B187)=8),IF(MOD(B187,10000)=0,"UNSPSC a nivel de segmento o familia; ",""),"")&amp;IF(NOT(ISNUMBER(E187)),"Duración vacía o en texto; ","")&amp;IF(NOT(ISNUMBER(G187)),"Valor vacío o en texto; ","")&amp;IF(ISNUMBER(M187),IF(M187&lt;1000000,"Valor inferior a $1.000.000: verificar; ",""),"Valor no interpretable; ")&amp;IF(N187="[PENDIENTE DE VERIFICAR]","Modalidad no identificable; ","")&amp;IF(OR(ISERROR(SEARCH("@itc.edu.co",J187)),SUMPRODUCT(--ISNUMBER(SEARCH({"á","é","í","ó","ú","ñ"},J187)))&gt;0),"Correo vacío o no institucional válido; ","")&amp;IF(LEN(TRIM(D187))=0,"Sin objeto contractual; ","")&amp;IF(AND(ISNUMBER(M187),N187="Mínima cuantía"),IF(M187&gt;39850000,"Mínima cuantía con valor superior al tope citado en el instructivo 2026 ($39.850.000): verificar modalidad; ",""),"")&amp;IF(AND(ISNUMBER(M187),OR(ISNUMBER(SEARCH("prestación de servicios",D187)),ISNUMBER(SEARCH("prestar servicios",D187)),ISNUMBER(SEARCH("prestar los servicios",D187)))),IF(M187&gt;=500000000,"Prestación de servicios por $500 millones o más: posible error de digitación; ",""),""))</f>
        <v/>
      </c>
    </row>
    <row r="188" ht="34.2" customHeight="1" s="23">
      <c r="A188" s="114" t="inlineStr">
        <is>
          <t>PN26-184</t>
        </is>
      </c>
      <c r="B188" s="114" t="n">
        <v>80101600</v>
      </c>
      <c r="C188" s="114" t="inlineStr">
        <is>
          <t>Extensión y Proyección Social</t>
        </is>
      </c>
      <c r="D188" s="114" t="inlineStr">
        <is>
          <t>PRESTACIÓN DE SERVICIOS PROFESIONALES COMO INSTRUCTORES DE LOS CURSOS DE INGLÉS, FRANCÉS, ALEMÁN Y PORTUGUÉS DURANTE EL PRIMER Y SEGUNDO SEMESTRE DEL 2025</t>
        </is>
      </c>
      <c r="E188" s="114" t="n">
        <v>2500</v>
      </c>
      <c r="F188" s="114" t="inlineStr">
        <is>
          <t>DIRECTA</t>
        </is>
      </c>
      <c r="G188" s="118" t="n">
        <v>150000000</v>
      </c>
      <c r="H188" s="114" t="inlineStr">
        <is>
          <t>PROFESIONAL ESPECIALIZADO 2028-13 CENTRO DE LENGUAS</t>
        </is>
      </c>
      <c r="I188" s="114" t="inlineStr">
        <is>
          <t>PBX 3443000 Ext 185</t>
        </is>
      </c>
      <c r="J188" s="114" t="inlineStr">
        <is>
          <t>direccioncel@itc.edu.co</t>
        </is>
      </c>
      <c r="K188" s="114" t="n"/>
      <c r="L188" s="119" t="inlineStr">
        <is>
          <t>141 · GIT Extensión y Proyección Social</t>
        </is>
      </c>
      <c r="M188" s="120" t="n">
        <v>150000000</v>
      </c>
      <c r="N188" s="119" t="inlineStr">
        <is>
          <t>Contratación directa</t>
        </is>
      </c>
      <c r="O188" s="119">
        <f>IF(LEN(IF(OR(NOT(ISNUMBER(B188)),LEN(B188)&lt;&gt;8),"UNSPSC vacío, en texto, con varios códigos o sin 8 dígitos; ","")&amp;IF(AND(ISNUMBER(B188),LEN(B188)=8),IF(MOD(B188,10000)=0,"UNSPSC a nivel de segmento o familia; ",""),"")&amp;IF(NOT(ISNUMBER(E188)),"Duración vacía o en texto; ","")&amp;IF(NOT(ISNUMBER(G188)),"Valor vacío o en texto; ","")&amp;IF(ISNUMBER(M188),IF(M188&lt;1000000,"Valor inferior a $1.000.000: verificar; ",""),"Valor no interpretable; ")&amp;IF(N188="[PENDIENTE DE VERIFICAR]","Modalidad no identificable; ","")&amp;IF(OR(ISERROR(SEARCH("@itc.edu.co",J188)),SUMPRODUCT(--ISNUMBER(SEARCH({"á","é","í","ó","ú","ñ"},J188)))&gt;0),"Correo vacío o no institucional válido; ","")&amp;IF(LEN(TRIM(D188))=0,"Sin objeto contractual; ","")&amp;IF(AND(ISNUMBER(M188),N188="Mínima cuantía"),IF(M188&gt;39850000,"Mínima cuantía con valor superior al tope citado en el instructivo 2026 ($39.850.000): verificar modalidad; ",""),"")&amp;IF(AND(ISNUMBER(M188),OR(ISNUMBER(SEARCH("prestación de servicios",D188)),ISNUMBER(SEARCH("prestar servicios",D188)),ISNUMBER(SEARCH("prestar los servicios",D188)))),IF(M188&gt;=500000000,"Prestación de servicios por $500 millones o más: posible error de digitación; ",""),""))=0,"Sin observaciones",IF(OR(NOT(ISNUMBER(B188)),LEN(B188)&lt;&gt;8),"UNSPSC vacío, en texto, con varios códigos o sin 8 dígitos; ","")&amp;IF(AND(ISNUMBER(B188),LEN(B188)=8),IF(MOD(B188,10000)=0,"UNSPSC a nivel de segmento o familia; ",""),"")&amp;IF(NOT(ISNUMBER(E188)),"Duración vacía o en texto; ","")&amp;IF(NOT(ISNUMBER(G188)),"Valor vacío o en texto; ","")&amp;IF(ISNUMBER(M188),IF(M188&lt;1000000,"Valor inferior a $1.000.000: verificar; ",""),"Valor no interpretable; ")&amp;IF(N188="[PENDIENTE DE VERIFICAR]","Modalidad no identificable; ","")&amp;IF(OR(ISERROR(SEARCH("@itc.edu.co",J188)),SUMPRODUCT(--ISNUMBER(SEARCH({"á","é","í","ó","ú","ñ"},J188)))&gt;0),"Correo vacío o no institucional válido; ","")&amp;IF(LEN(TRIM(D188))=0,"Sin objeto contractual; ","")&amp;IF(AND(ISNUMBER(M188),N188="Mínima cuantía"),IF(M188&gt;39850000,"Mínima cuantía con valor superior al tope citado en el instructivo 2026 ($39.850.000): verificar modalidad; ",""),"")&amp;IF(AND(ISNUMBER(M188),OR(ISNUMBER(SEARCH("prestación de servicios",D188)),ISNUMBER(SEARCH("prestar servicios",D188)),ISNUMBER(SEARCH("prestar los servicios",D188)))),IF(M188&gt;=500000000,"Prestación de servicios por $500 millones o más: posible error de digitación; ",""),""))</f>
        <v/>
      </c>
    </row>
    <row r="189" ht="34.2" customHeight="1" s="23">
      <c r="A189" s="114" t="inlineStr">
        <is>
          <t>PN26-185</t>
        </is>
      </c>
      <c r="B189" s="114" t="n">
        <v>80101600</v>
      </c>
      <c r="C189" s="114" t="inlineStr">
        <is>
          <t>Extensión y Proyección Social</t>
        </is>
      </c>
      <c r="D189" s="114" t="inlineStr">
        <is>
          <t>ENCUENTROS O MESAS DE TRABAJO CON EMPRESARIOS PARA CONOCER LAS TENDENCIAS EN INGENIERÍA Y EN EL USO DE NUEVAS TECNOLOGIAS  EN LA INDUSTRIA 4.0 IMPACTA C23 A63/A66</t>
        </is>
      </c>
      <c r="E189" s="114" t="n">
        <v>2</v>
      </c>
      <c r="F189" s="114" t="inlineStr">
        <is>
          <t>DIRECTA</t>
        </is>
      </c>
      <c r="G189" s="118" t="n">
        <v>10000000</v>
      </c>
      <c r="H189" s="114" t="inlineStr">
        <is>
          <t>COORDINADOR DE EXTENSIÓN Y PROYECCIÓN SOCIAL</t>
        </is>
      </c>
      <c r="I189" s="114" t="inlineStr">
        <is>
          <t>PBX 3443000 Ext 129</t>
        </is>
      </c>
      <c r="J189" s="114" t="inlineStr">
        <is>
          <t>extension@itc.edu.co</t>
        </is>
      </c>
      <c r="K189" s="114" t="n"/>
      <c r="L189" s="119" t="inlineStr">
        <is>
          <t>141 · GIT Extensión y Proyección Social</t>
        </is>
      </c>
      <c r="M189" s="120" t="n">
        <v>10000000</v>
      </c>
      <c r="N189" s="119" t="inlineStr">
        <is>
          <t>Contratación directa</t>
        </is>
      </c>
      <c r="O189" s="119">
        <f>IF(LEN(IF(OR(NOT(ISNUMBER(B189)),LEN(B189)&lt;&gt;8),"UNSPSC vacío, en texto, con varios códigos o sin 8 dígitos; ","")&amp;IF(AND(ISNUMBER(B189),LEN(B189)=8),IF(MOD(B189,10000)=0,"UNSPSC a nivel de segmento o familia; ",""),"")&amp;IF(NOT(ISNUMBER(E189)),"Duración vacía o en texto; ","")&amp;IF(NOT(ISNUMBER(G189)),"Valor vacío o en texto; ","")&amp;IF(ISNUMBER(M189),IF(M189&lt;1000000,"Valor inferior a $1.000.000: verificar; ",""),"Valor no interpretable; ")&amp;IF(N189="[PENDIENTE DE VERIFICAR]","Modalidad no identificable; ","")&amp;IF(OR(ISERROR(SEARCH("@itc.edu.co",J189)),SUMPRODUCT(--ISNUMBER(SEARCH({"á","é","í","ó","ú","ñ"},J189)))&gt;0),"Correo vacío o no institucional válido; ","")&amp;IF(LEN(TRIM(D189))=0,"Sin objeto contractual; ","")&amp;IF(AND(ISNUMBER(M189),N189="Mínima cuantía"),IF(M189&gt;39850000,"Mínima cuantía con valor superior al tope citado en el instructivo 2026 ($39.850.000): verificar modalidad; ",""),"")&amp;IF(AND(ISNUMBER(M189),OR(ISNUMBER(SEARCH("prestación de servicios",D189)),ISNUMBER(SEARCH("prestar servicios",D189)),ISNUMBER(SEARCH("prestar los servicios",D189)))),IF(M189&gt;=500000000,"Prestación de servicios por $500 millones o más: posible error de digitación; ",""),""))=0,"Sin observaciones",IF(OR(NOT(ISNUMBER(B189)),LEN(B189)&lt;&gt;8),"UNSPSC vacío, en texto, con varios códigos o sin 8 dígitos; ","")&amp;IF(AND(ISNUMBER(B189),LEN(B189)=8),IF(MOD(B189,10000)=0,"UNSPSC a nivel de segmento o familia; ",""),"")&amp;IF(NOT(ISNUMBER(E189)),"Duración vacía o en texto; ","")&amp;IF(NOT(ISNUMBER(G189)),"Valor vacío o en texto; ","")&amp;IF(ISNUMBER(M189),IF(M189&lt;1000000,"Valor inferior a $1.000.000: verificar; ",""),"Valor no interpretable; ")&amp;IF(N189="[PENDIENTE DE VERIFICAR]","Modalidad no identificable; ","")&amp;IF(OR(ISERROR(SEARCH("@itc.edu.co",J189)),SUMPRODUCT(--ISNUMBER(SEARCH({"á","é","í","ó","ú","ñ"},J189)))&gt;0),"Correo vacío o no institucional válido; ","")&amp;IF(LEN(TRIM(D189))=0,"Sin objeto contractual; ","")&amp;IF(AND(ISNUMBER(M189),N189="Mínima cuantía"),IF(M189&gt;39850000,"Mínima cuantía con valor superior al tope citado en el instructivo 2026 ($39.850.000): verificar modalidad; ",""),"")&amp;IF(AND(ISNUMBER(M189),OR(ISNUMBER(SEARCH("prestación de servicios",D189)),ISNUMBER(SEARCH("prestar servicios",D189)),ISNUMBER(SEARCH("prestar los servicios",D189)))),IF(M189&gt;=500000000,"Prestación de servicios por $500 millones o más: posible error de digitación; ",""),""))</f>
        <v/>
      </c>
    </row>
    <row r="190" ht="68.40000000000001" customHeight="1" s="23">
      <c r="A190" s="114" t="inlineStr">
        <is>
          <t>PN26-186</t>
        </is>
      </c>
      <c r="B190" s="114" t="n">
        <v>80101600</v>
      </c>
      <c r="C190" s="114" t="inlineStr">
        <is>
          <t>Extensión y Proyección Social</t>
        </is>
      </c>
      <c r="D190" s="114" t="inlineStr">
        <is>
          <t>PRESTACIÓN DE SERVICIOS PROFESIONALES PARA APOYAR LAS ACTIVIDADES DE VISIBILIDAD, ESTRATEGIAS DE COMUNICACIÓN, ORGANIZACIÓN DE EVENTOS, MARKETING Y APOYO EN LA ELABORACIÓN DE DOCUMENTOS E INFORMES PARA LA ACREDITACIÓN INSTITUCIONAL, COLABORACIÓN EN LAS PRESENTACIONES DE INFORMES DE GESTIÓN DE GITEPS Y DE LA ETITC.</t>
        </is>
      </c>
      <c r="E190" s="114" t="n">
        <v>6</v>
      </c>
      <c r="F190" s="114" t="inlineStr">
        <is>
          <t>DIRECTA</t>
        </is>
      </c>
      <c r="G190" s="118" t="n">
        <v>42136270</v>
      </c>
      <c r="H190" s="114" t="inlineStr">
        <is>
          <t>COORDINADOR DE EXTENSIÓN Y PROYECCIÓN SOCIAL</t>
        </is>
      </c>
      <c r="I190" s="114" t="inlineStr">
        <is>
          <t>PBX 3443000 Ext 129</t>
        </is>
      </c>
      <c r="J190" s="114" t="inlineStr">
        <is>
          <t>extension@itc.edu.co</t>
        </is>
      </c>
      <c r="K190" s="114" t="n"/>
      <c r="L190" s="119" t="inlineStr">
        <is>
          <t>141 · GIT Extensión y Proyección Social</t>
        </is>
      </c>
      <c r="M190" s="120" t="n">
        <v>42136270</v>
      </c>
      <c r="N190" s="119" t="inlineStr">
        <is>
          <t>Contratación directa</t>
        </is>
      </c>
      <c r="O190" s="119">
        <f>IF(LEN(IF(OR(NOT(ISNUMBER(B190)),LEN(B190)&lt;&gt;8),"UNSPSC vacío, en texto, con varios códigos o sin 8 dígitos; ","")&amp;IF(AND(ISNUMBER(B190),LEN(B190)=8),IF(MOD(B190,10000)=0,"UNSPSC a nivel de segmento o familia; ",""),"")&amp;IF(NOT(ISNUMBER(E190)),"Duración vacía o en texto; ","")&amp;IF(NOT(ISNUMBER(G190)),"Valor vacío o en texto; ","")&amp;IF(ISNUMBER(M190),IF(M190&lt;1000000,"Valor inferior a $1.000.000: verificar; ",""),"Valor no interpretable; ")&amp;IF(N190="[PENDIENTE DE VERIFICAR]","Modalidad no identificable; ","")&amp;IF(OR(ISERROR(SEARCH("@itc.edu.co",J190)),SUMPRODUCT(--ISNUMBER(SEARCH({"á","é","í","ó","ú","ñ"},J190)))&gt;0),"Correo vacío o no institucional válido; ","")&amp;IF(LEN(TRIM(D190))=0,"Sin objeto contractual; ","")&amp;IF(AND(ISNUMBER(M190),N190="Mínima cuantía"),IF(M190&gt;39850000,"Mínima cuantía con valor superior al tope citado en el instructivo 2026 ($39.850.000): verificar modalidad; ",""),"")&amp;IF(AND(ISNUMBER(M190),OR(ISNUMBER(SEARCH("prestación de servicios",D190)),ISNUMBER(SEARCH("prestar servicios",D190)),ISNUMBER(SEARCH("prestar los servicios",D190)))),IF(M190&gt;=500000000,"Prestación de servicios por $500 millones o más: posible error de digitación; ",""),""))=0,"Sin observaciones",IF(OR(NOT(ISNUMBER(B190)),LEN(B190)&lt;&gt;8),"UNSPSC vacío, en texto, con varios códigos o sin 8 dígitos; ","")&amp;IF(AND(ISNUMBER(B190),LEN(B190)=8),IF(MOD(B190,10000)=0,"UNSPSC a nivel de segmento o familia; ",""),"")&amp;IF(NOT(ISNUMBER(E190)),"Duración vacía o en texto; ","")&amp;IF(NOT(ISNUMBER(G190)),"Valor vacío o en texto; ","")&amp;IF(ISNUMBER(M190),IF(M190&lt;1000000,"Valor inferior a $1.000.000: verificar; ",""),"Valor no interpretable; ")&amp;IF(N190="[PENDIENTE DE VERIFICAR]","Modalidad no identificable; ","")&amp;IF(OR(ISERROR(SEARCH("@itc.edu.co",J190)),SUMPRODUCT(--ISNUMBER(SEARCH({"á","é","í","ó","ú","ñ"},J190)))&gt;0),"Correo vacío o no institucional válido; ","")&amp;IF(LEN(TRIM(D190))=0,"Sin objeto contractual; ","")&amp;IF(AND(ISNUMBER(M190),N190="Mínima cuantía"),IF(M190&gt;39850000,"Mínima cuantía con valor superior al tope citado en el instructivo 2026 ($39.850.000): verificar modalidad; ",""),"")&amp;IF(AND(ISNUMBER(M190),OR(ISNUMBER(SEARCH("prestación de servicios",D190)),ISNUMBER(SEARCH("prestar servicios",D190)),ISNUMBER(SEARCH("prestar los servicios",D190)))),IF(M190&gt;=500000000,"Prestación de servicios por $500 millones o más: posible error de digitación; ",""),""))</f>
        <v/>
      </c>
    </row>
    <row r="191" ht="45.6" customHeight="1" s="23">
      <c r="A191" s="114" t="inlineStr">
        <is>
          <t>PN26-187</t>
        </is>
      </c>
      <c r="B191" s="114" t="n">
        <v>80101600</v>
      </c>
      <c r="C191" s="114" t="inlineStr">
        <is>
          <t>Extensión y Proyección Social</t>
        </is>
      </c>
      <c r="D191" s="114" t="inlineStr">
        <is>
          <t>PRESTACIÓN DE SERVICIOS PROFESIONALES PARA EL LEVANTAMIENTO DE LAS CARACTERIZACIONES DEL ENTORNO SOCIAL Y LOS EMPRESARIOS INDUSTRIALES - RESPONDE A PLAN DE MEJORAMIENTO 412 Y PLAN DE ACCIÓN 558 Y A LA C23/A63</t>
        </is>
      </c>
      <c r="E191" s="114" t="n">
        <v>6</v>
      </c>
      <c r="F191" s="114" t="inlineStr">
        <is>
          <t>DIRECTA</t>
        </is>
      </c>
      <c r="G191" s="118" t="n">
        <v>42136270</v>
      </c>
      <c r="H191" s="114" t="inlineStr">
        <is>
          <t>COORDINADOR DE EXTENSIÓN Y PROYECCIÓN SOCIAL</t>
        </is>
      </c>
      <c r="I191" s="114" t="inlineStr">
        <is>
          <t>PBX 3443000 Ext 129</t>
        </is>
      </c>
      <c r="J191" s="114" t="inlineStr">
        <is>
          <t>extension@itc.edu.co</t>
        </is>
      </c>
      <c r="K191" s="114" t="n"/>
      <c r="L191" s="119" t="inlineStr">
        <is>
          <t>141 · GIT Extensión y Proyección Social</t>
        </is>
      </c>
      <c r="M191" s="120" t="n">
        <v>42136270</v>
      </c>
      <c r="N191" s="119" t="inlineStr">
        <is>
          <t>Contratación directa</t>
        </is>
      </c>
      <c r="O191" s="119">
        <f>IF(LEN(IF(OR(NOT(ISNUMBER(B191)),LEN(B191)&lt;&gt;8),"UNSPSC vacío, en texto, con varios códigos o sin 8 dígitos; ","")&amp;IF(AND(ISNUMBER(B191),LEN(B191)=8),IF(MOD(B191,10000)=0,"UNSPSC a nivel de segmento o familia; ",""),"")&amp;IF(NOT(ISNUMBER(E191)),"Duración vacía o en texto; ","")&amp;IF(NOT(ISNUMBER(G191)),"Valor vacío o en texto; ","")&amp;IF(ISNUMBER(M191),IF(M191&lt;1000000,"Valor inferior a $1.000.000: verificar; ",""),"Valor no interpretable; ")&amp;IF(N191="[PENDIENTE DE VERIFICAR]","Modalidad no identificable; ","")&amp;IF(OR(ISERROR(SEARCH("@itc.edu.co",J191)),SUMPRODUCT(--ISNUMBER(SEARCH({"á","é","í","ó","ú","ñ"},J191)))&gt;0),"Correo vacío o no institucional válido; ","")&amp;IF(LEN(TRIM(D191))=0,"Sin objeto contractual; ","")&amp;IF(AND(ISNUMBER(M191),N191="Mínima cuantía"),IF(M191&gt;39850000,"Mínima cuantía con valor superior al tope citado en el instructivo 2026 ($39.850.000): verificar modalidad; ",""),"")&amp;IF(AND(ISNUMBER(M191),OR(ISNUMBER(SEARCH("prestación de servicios",D191)),ISNUMBER(SEARCH("prestar servicios",D191)),ISNUMBER(SEARCH("prestar los servicios",D191)))),IF(M191&gt;=500000000,"Prestación de servicios por $500 millones o más: posible error de digitación; ",""),""))=0,"Sin observaciones",IF(OR(NOT(ISNUMBER(B191)),LEN(B191)&lt;&gt;8),"UNSPSC vacío, en texto, con varios códigos o sin 8 dígitos; ","")&amp;IF(AND(ISNUMBER(B191),LEN(B191)=8),IF(MOD(B191,10000)=0,"UNSPSC a nivel de segmento o familia; ",""),"")&amp;IF(NOT(ISNUMBER(E191)),"Duración vacía o en texto; ","")&amp;IF(NOT(ISNUMBER(G191)),"Valor vacío o en texto; ","")&amp;IF(ISNUMBER(M191),IF(M191&lt;1000000,"Valor inferior a $1.000.000: verificar; ",""),"Valor no interpretable; ")&amp;IF(N191="[PENDIENTE DE VERIFICAR]","Modalidad no identificable; ","")&amp;IF(OR(ISERROR(SEARCH("@itc.edu.co",J191)),SUMPRODUCT(--ISNUMBER(SEARCH({"á","é","í","ó","ú","ñ"},J191)))&gt;0),"Correo vacío o no institucional válido; ","")&amp;IF(LEN(TRIM(D191))=0,"Sin objeto contractual; ","")&amp;IF(AND(ISNUMBER(M191),N191="Mínima cuantía"),IF(M191&gt;39850000,"Mínima cuantía con valor superior al tope citado en el instructivo 2026 ($39.850.000): verificar modalidad; ",""),"")&amp;IF(AND(ISNUMBER(M191),OR(ISNUMBER(SEARCH("prestación de servicios",D191)),ISNUMBER(SEARCH("prestar servicios",D191)),ISNUMBER(SEARCH("prestar los servicios",D191)))),IF(M191&gt;=500000000,"Prestación de servicios por $500 millones o más: posible error de digitación; ",""),""))</f>
        <v/>
      </c>
    </row>
    <row r="192" ht="34.2" customHeight="1" s="23">
      <c r="A192" s="114" t="inlineStr">
        <is>
          <t>PN26-188</t>
        </is>
      </c>
      <c r="B192" s="114" t="n">
        <v>80101600</v>
      </c>
      <c r="C192" s="114" t="inlineStr">
        <is>
          <t>Extensión y Proyección Social</t>
        </is>
      </c>
      <c r="D192" s="114" t="inlineStr">
        <is>
          <t>DISEÑO E IMPRESIÓN DE TODOS LOS PROSPECTOS DE LOS PROGRAMAS DE EDUCACIÓN SUPERIOR Y CERTIFICACIONES, CURSOS Y DIPLOMADOS  QUE OFRECE EL GITEPS</t>
        </is>
      </c>
      <c r="E192" s="114" t="n">
        <v>1</v>
      </c>
      <c r="F192" s="114" t="inlineStr">
        <is>
          <t>DIRECTA</t>
        </is>
      </c>
      <c r="G192" s="118" t="n">
        <v>20000000</v>
      </c>
      <c r="H192" s="114" t="inlineStr">
        <is>
          <t>COORDINADOR DE EXTENSIÓN Y PROYECCIÓN SOCIAL</t>
        </is>
      </c>
      <c r="I192" s="114" t="inlineStr">
        <is>
          <t>PBX 3443000 Ext 129</t>
        </is>
      </c>
      <c r="J192" s="114" t="inlineStr">
        <is>
          <t>extension@itc.edu.co</t>
        </is>
      </c>
      <c r="K192" s="114" t="n"/>
      <c r="L192" s="119" t="inlineStr">
        <is>
          <t>141 · GIT Extensión y Proyección Social</t>
        </is>
      </c>
      <c r="M192" s="120" t="n">
        <v>20000000</v>
      </c>
      <c r="N192" s="119" t="inlineStr">
        <is>
          <t>Contratación directa</t>
        </is>
      </c>
      <c r="O192" s="119">
        <f>IF(LEN(IF(OR(NOT(ISNUMBER(B192)),LEN(B192)&lt;&gt;8),"UNSPSC vacío, en texto, con varios códigos o sin 8 dígitos; ","")&amp;IF(AND(ISNUMBER(B192),LEN(B192)=8),IF(MOD(B192,10000)=0,"UNSPSC a nivel de segmento o familia; ",""),"")&amp;IF(NOT(ISNUMBER(E192)),"Duración vacía o en texto; ","")&amp;IF(NOT(ISNUMBER(G192)),"Valor vacío o en texto; ","")&amp;IF(ISNUMBER(M192),IF(M192&lt;1000000,"Valor inferior a $1.000.000: verificar; ",""),"Valor no interpretable; ")&amp;IF(N192="[PENDIENTE DE VERIFICAR]","Modalidad no identificable; ","")&amp;IF(OR(ISERROR(SEARCH("@itc.edu.co",J192)),SUMPRODUCT(--ISNUMBER(SEARCH({"á","é","í","ó","ú","ñ"},J192)))&gt;0),"Correo vacío o no institucional válido; ","")&amp;IF(LEN(TRIM(D192))=0,"Sin objeto contractual; ","")&amp;IF(AND(ISNUMBER(M192),N192="Mínima cuantía"),IF(M192&gt;39850000,"Mínima cuantía con valor superior al tope citado en el instructivo 2026 ($39.850.000): verificar modalidad; ",""),"")&amp;IF(AND(ISNUMBER(M192),OR(ISNUMBER(SEARCH("prestación de servicios",D192)),ISNUMBER(SEARCH("prestar servicios",D192)),ISNUMBER(SEARCH("prestar los servicios",D192)))),IF(M192&gt;=500000000,"Prestación de servicios por $500 millones o más: posible error de digitación; ",""),""))=0,"Sin observaciones",IF(OR(NOT(ISNUMBER(B192)),LEN(B192)&lt;&gt;8),"UNSPSC vacío, en texto, con varios códigos o sin 8 dígitos; ","")&amp;IF(AND(ISNUMBER(B192),LEN(B192)=8),IF(MOD(B192,10000)=0,"UNSPSC a nivel de segmento o familia; ",""),"")&amp;IF(NOT(ISNUMBER(E192)),"Duración vacía o en texto; ","")&amp;IF(NOT(ISNUMBER(G192)),"Valor vacío o en texto; ","")&amp;IF(ISNUMBER(M192),IF(M192&lt;1000000,"Valor inferior a $1.000.000: verificar; ",""),"Valor no interpretable; ")&amp;IF(N192="[PENDIENTE DE VERIFICAR]","Modalidad no identificable; ","")&amp;IF(OR(ISERROR(SEARCH("@itc.edu.co",J192)),SUMPRODUCT(--ISNUMBER(SEARCH({"á","é","í","ó","ú","ñ"},J192)))&gt;0),"Correo vacío o no institucional válido; ","")&amp;IF(LEN(TRIM(D192))=0,"Sin objeto contractual; ","")&amp;IF(AND(ISNUMBER(M192),N192="Mínima cuantía"),IF(M192&gt;39850000,"Mínima cuantía con valor superior al tope citado en el instructivo 2026 ($39.850.000): verificar modalidad; ",""),"")&amp;IF(AND(ISNUMBER(M192),OR(ISNUMBER(SEARCH("prestación de servicios",D192)),ISNUMBER(SEARCH("prestar servicios",D192)),ISNUMBER(SEARCH("prestar los servicios",D192)))),IF(M192&gt;=500000000,"Prestación de servicios por $500 millones o más: posible error de digitación; ",""),""))</f>
        <v/>
      </c>
    </row>
    <row r="193" ht="57" customHeight="1" s="23">
      <c r="A193" s="114" t="inlineStr">
        <is>
          <t>PN26-189</t>
        </is>
      </c>
      <c r="B193" s="114" t="n">
        <v>80101600</v>
      </c>
      <c r="C193" s="114" t="inlineStr">
        <is>
          <t>Extensión y Proyección Social</t>
        </is>
      </c>
      <c r="D193" s="114" t="inlineStr">
        <is>
          <t>MATERIAL POP  DEL  GRUPO INTERNO DE TRABAJO EXTENSION Y PROYECCION SOCIAL, (LIBRETAS, CUADERNOS, MEMORIAS, ESFEROS, PENDONES, EXHIBIDORES, PUNTOS DE ATENCION, BOLSAS, SOMBRILLAS, AUDIFONOS, CALENDARIOS, CHAQUETAS, CACHUCHAS, SOBRES, CARPETAS PLASTIFICADAS, ETC.) IMPACTA C23/A61A62</t>
        </is>
      </c>
      <c r="E193" s="114" t="n">
        <v>1</v>
      </c>
      <c r="F193" s="114" t="inlineStr">
        <is>
          <t>DIRECTA</t>
        </is>
      </c>
      <c r="G193" s="118" t="n">
        <v>50000000</v>
      </c>
      <c r="H193" s="114" t="inlineStr">
        <is>
          <t>COORDINADOR DE EXTENSIÓN Y PROYECCIÓN SOCIAL</t>
        </is>
      </c>
      <c r="I193" s="114" t="inlineStr">
        <is>
          <t>PBX 3443000 Ext 129</t>
        </is>
      </c>
      <c r="J193" s="114" t="inlineStr">
        <is>
          <t>extension@itc.edu.co</t>
        </is>
      </c>
      <c r="K193" s="114" t="n"/>
      <c r="L193" s="119" t="inlineStr">
        <is>
          <t>141 · GIT Extensión y Proyección Social</t>
        </is>
      </c>
      <c r="M193" s="120" t="n">
        <v>50000000</v>
      </c>
      <c r="N193" s="119" t="inlineStr">
        <is>
          <t>Contratación directa</t>
        </is>
      </c>
      <c r="O193" s="119">
        <f>IF(LEN(IF(OR(NOT(ISNUMBER(B193)),LEN(B193)&lt;&gt;8),"UNSPSC vacío, en texto, con varios códigos o sin 8 dígitos; ","")&amp;IF(AND(ISNUMBER(B193),LEN(B193)=8),IF(MOD(B193,10000)=0,"UNSPSC a nivel de segmento o familia; ",""),"")&amp;IF(NOT(ISNUMBER(E193)),"Duración vacía o en texto; ","")&amp;IF(NOT(ISNUMBER(G193)),"Valor vacío o en texto; ","")&amp;IF(ISNUMBER(M193),IF(M193&lt;1000000,"Valor inferior a $1.000.000: verificar; ",""),"Valor no interpretable; ")&amp;IF(N193="[PENDIENTE DE VERIFICAR]","Modalidad no identificable; ","")&amp;IF(OR(ISERROR(SEARCH("@itc.edu.co",J193)),SUMPRODUCT(--ISNUMBER(SEARCH({"á","é","í","ó","ú","ñ"},J193)))&gt;0),"Correo vacío o no institucional válido; ","")&amp;IF(LEN(TRIM(D193))=0,"Sin objeto contractual; ","")&amp;IF(AND(ISNUMBER(M193),N193="Mínima cuantía"),IF(M193&gt;39850000,"Mínima cuantía con valor superior al tope citado en el instructivo 2026 ($39.850.000): verificar modalidad; ",""),"")&amp;IF(AND(ISNUMBER(M193),OR(ISNUMBER(SEARCH("prestación de servicios",D193)),ISNUMBER(SEARCH("prestar servicios",D193)),ISNUMBER(SEARCH("prestar los servicios",D193)))),IF(M193&gt;=500000000,"Prestación de servicios por $500 millones o más: posible error de digitación; ",""),""))=0,"Sin observaciones",IF(OR(NOT(ISNUMBER(B193)),LEN(B193)&lt;&gt;8),"UNSPSC vacío, en texto, con varios códigos o sin 8 dígitos; ","")&amp;IF(AND(ISNUMBER(B193),LEN(B193)=8),IF(MOD(B193,10000)=0,"UNSPSC a nivel de segmento o familia; ",""),"")&amp;IF(NOT(ISNUMBER(E193)),"Duración vacía o en texto; ","")&amp;IF(NOT(ISNUMBER(G193)),"Valor vacío o en texto; ","")&amp;IF(ISNUMBER(M193),IF(M193&lt;1000000,"Valor inferior a $1.000.000: verificar; ",""),"Valor no interpretable; ")&amp;IF(N193="[PENDIENTE DE VERIFICAR]","Modalidad no identificable; ","")&amp;IF(OR(ISERROR(SEARCH("@itc.edu.co",J193)),SUMPRODUCT(--ISNUMBER(SEARCH({"á","é","í","ó","ú","ñ"},J193)))&gt;0),"Correo vacío o no institucional válido; ","")&amp;IF(LEN(TRIM(D193))=0,"Sin objeto contractual; ","")&amp;IF(AND(ISNUMBER(M193),N193="Mínima cuantía"),IF(M193&gt;39850000,"Mínima cuantía con valor superior al tope citado en el instructivo 2026 ($39.850.000): verificar modalidad; ",""),"")&amp;IF(AND(ISNUMBER(M193),OR(ISNUMBER(SEARCH("prestación de servicios",D193)),ISNUMBER(SEARCH("prestar servicios",D193)),ISNUMBER(SEARCH("prestar los servicios",D193)))),IF(M193&gt;=500000000,"Prestación de servicios por $500 millones o más: posible error de digitación; ",""),""))</f>
        <v/>
      </c>
    </row>
    <row r="194" ht="34.2" customHeight="1" s="23">
      <c r="A194" s="114" t="inlineStr">
        <is>
          <t>PN26-190</t>
        </is>
      </c>
      <c r="B194" s="114" t="n">
        <v>80101600</v>
      </c>
      <c r="C194" s="114" t="inlineStr">
        <is>
          <t>Extensión y Proyección Social</t>
        </is>
      </c>
      <c r="D194" s="114" t="inlineStr">
        <is>
          <t>TONER PARA IMPRESORA  LASER</t>
        </is>
      </c>
      <c r="E194" s="114" t="n">
        <v>4</v>
      </c>
      <c r="F194" s="114" t="inlineStr">
        <is>
          <t>DIRECTA</t>
        </is>
      </c>
      <c r="G194" s="118" t="n">
        <v>2000000</v>
      </c>
      <c r="H194" s="114" t="inlineStr">
        <is>
          <t>COORDINADOR DE EXTENSIÓN Y PROYECCIÓN SOCIAL</t>
        </is>
      </c>
      <c r="I194" s="114" t="inlineStr">
        <is>
          <t>PBX 3443000 Ext 129</t>
        </is>
      </c>
      <c r="J194" s="114" t="inlineStr">
        <is>
          <t>extension@itc.edu.co</t>
        </is>
      </c>
      <c r="K194" s="114" t="n"/>
      <c r="L194" s="119" t="inlineStr">
        <is>
          <t>141 · GIT Extensión y Proyección Social</t>
        </is>
      </c>
      <c r="M194" s="120" t="n">
        <v>2000000</v>
      </c>
      <c r="N194" s="119" t="inlineStr">
        <is>
          <t>Contratación directa</t>
        </is>
      </c>
      <c r="O194" s="119">
        <f>IF(LEN(IF(OR(NOT(ISNUMBER(B194)),LEN(B194)&lt;&gt;8),"UNSPSC vacío, en texto, con varios códigos o sin 8 dígitos; ","")&amp;IF(AND(ISNUMBER(B194),LEN(B194)=8),IF(MOD(B194,10000)=0,"UNSPSC a nivel de segmento o familia; ",""),"")&amp;IF(NOT(ISNUMBER(E194)),"Duración vacía o en texto; ","")&amp;IF(NOT(ISNUMBER(G194)),"Valor vacío o en texto; ","")&amp;IF(ISNUMBER(M194),IF(M194&lt;1000000,"Valor inferior a $1.000.000: verificar; ",""),"Valor no interpretable; ")&amp;IF(N194="[PENDIENTE DE VERIFICAR]","Modalidad no identificable; ","")&amp;IF(OR(ISERROR(SEARCH("@itc.edu.co",J194)),SUMPRODUCT(--ISNUMBER(SEARCH({"á","é","í","ó","ú","ñ"},J194)))&gt;0),"Correo vacío o no institucional válido; ","")&amp;IF(LEN(TRIM(D194))=0,"Sin objeto contractual; ","")&amp;IF(AND(ISNUMBER(M194),N194="Mínima cuantía"),IF(M194&gt;39850000,"Mínima cuantía con valor superior al tope citado en el instructivo 2026 ($39.850.000): verificar modalidad; ",""),"")&amp;IF(AND(ISNUMBER(M194),OR(ISNUMBER(SEARCH("prestación de servicios",D194)),ISNUMBER(SEARCH("prestar servicios",D194)),ISNUMBER(SEARCH("prestar los servicios",D194)))),IF(M194&gt;=500000000,"Prestación de servicios por $500 millones o más: posible error de digitación; ",""),""))=0,"Sin observaciones",IF(OR(NOT(ISNUMBER(B194)),LEN(B194)&lt;&gt;8),"UNSPSC vacío, en texto, con varios códigos o sin 8 dígitos; ","")&amp;IF(AND(ISNUMBER(B194),LEN(B194)=8),IF(MOD(B194,10000)=0,"UNSPSC a nivel de segmento o familia; ",""),"")&amp;IF(NOT(ISNUMBER(E194)),"Duración vacía o en texto; ","")&amp;IF(NOT(ISNUMBER(G194)),"Valor vacío o en texto; ","")&amp;IF(ISNUMBER(M194),IF(M194&lt;1000000,"Valor inferior a $1.000.000: verificar; ",""),"Valor no interpretable; ")&amp;IF(N194="[PENDIENTE DE VERIFICAR]","Modalidad no identificable; ","")&amp;IF(OR(ISERROR(SEARCH("@itc.edu.co",J194)),SUMPRODUCT(--ISNUMBER(SEARCH({"á","é","í","ó","ú","ñ"},J194)))&gt;0),"Correo vacío o no institucional válido; ","")&amp;IF(LEN(TRIM(D194))=0,"Sin objeto contractual; ","")&amp;IF(AND(ISNUMBER(M194),N194="Mínima cuantía"),IF(M194&gt;39850000,"Mínima cuantía con valor superior al tope citado en el instructivo 2026 ($39.850.000): verificar modalidad; ",""),"")&amp;IF(AND(ISNUMBER(M194),OR(ISNUMBER(SEARCH("prestación de servicios",D194)),ISNUMBER(SEARCH("prestar servicios",D194)),ISNUMBER(SEARCH("prestar los servicios",D194)))),IF(M194&gt;=500000000,"Prestación de servicios por $500 millones o más: posible error de digitación; ",""),""))</f>
        <v/>
      </c>
    </row>
    <row r="195" ht="34.2" customHeight="1" s="23">
      <c r="A195" s="114" t="inlineStr">
        <is>
          <t>PN26-191</t>
        </is>
      </c>
      <c r="B195" s="114" t="n">
        <v>80101600</v>
      </c>
      <c r="C195" s="114" t="inlineStr">
        <is>
          <t>Extensión y Proyección Social</t>
        </is>
      </c>
      <c r="D195" s="114" t="inlineStr">
        <is>
          <t>LIBRETAS PARA APUNTES</t>
        </is>
      </c>
      <c r="E195" s="114" t="n">
        <v>20</v>
      </c>
      <c r="F195" s="114" t="inlineStr">
        <is>
          <t>DIRECTA</t>
        </is>
      </c>
      <c r="G195" s="118" t="n">
        <v>60000</v>
      </c>
      <c r="H195" s="114" t="inlineStr">
        <is>
          <t>COORDINADOR DE EXTENSIÓN Y PROYECCIÓN SOCIAL</t>
        </is>
      </c>
      <c r="I195" s="114" t="inlineStr">
        <is>
          <t>PBX 3443000 Ext 129</t>
        </is>
      </c>
      <c r="J195" s="114" t="inlineStr">
        <is>
          <t>extension@itc.edu.co</t>
        </is>
      </c>
      <c r="K195" s="114" t="n"/>
      <c r="L195" s="119" t="inlineStr">
        <is>
          <t>141 · GIT Extensión y Proyección Social</t>
        </is>
      </c>
      <c r="M195" s="120" t="n">
        <v>60000</v>
      </c>
      <c r="N195" s="119" t="inlineStr">
        <is>
          <t>Contratación directa</t>
        </is>
      </c>
      <c r="O195" s="119">
        <f>IF(LEN(IF(OR(NOT(ISNUMBER(B195)),LEN(B195)&lt;&gt;8),"UNSPSC vacío, en texto, con varios códigos o sin 8 dígitos; ","")&amp;IF(AND(ISNUMBER(B195),LEN(B195)=8),IF(MOD(B195,10000)=0,"UNSPSC a nivel de segmento o familia; ",""),"")&amp;IF(NOT(ISNUMBER(E195)),"Duración vacía o en texto; ","")&amp;IF(NOT(ISNUMBER(G195)),"Valor vacío o en texto; ","")&amp;IF(ISNUMBER(M195),IF(M195&lt;1000000,"Valor inferior a $1.000.000: verificar; ",""),"Valor no interpretable; ")&amp;IF(N195="[PENDIENTE DE VERIFICAR]","Modalidad no identificable; ","")&amp;IF(OR(ISERROR(SEARCH("@itc.edu.co",J195)),SUMPRODUCT(--ISNUMBER(SEARCH({"á","é","í","ó","ú","ñ"},J195)))&gt;0),"Correo vacío o no institucional válido; ","")&amp;IF(LEN(TRIM(D195))=0,"Sin objeto contractual; ","")&amp;IF(AND(ISNUMBER(M195),N195="Mínima cuantía"),IF(M195&gt;39850000,"Mínima cuantía con valor superior al tope citado en el instructivo 2026 ($39.850.000): verificar modalidad; ",""),"")&amp;IF(AND(ISNUMBER(M195),OR(ISNUMBER(SEARCH("prestación de servicios",D195)),ISNUMBER(SEARCH("prestar servicios",D195)),ISNUMBER(SEARCH("prestar los servicios",D195)))),IF(M195&gt;=500000000,"Prestación de servicios por $500 millones o más: posible error de digitación; ",""),""))=0,"Sin observaciones",IF(OR(NOT(ISNUMBER(B195)),LEN(B195)&lt;&gt;8),"UNSPSC vacío, en texto, con varios códigos o sin 8 dígitos; ","")&amp;IF(AND(ISNUMBER(B195),LEN(B195)=8),IF(MOD(B195,10000)=0,"UNSPSC a nivel de segmento o familia; ",""),"")&amp;IF(NOT(ISNUMBER(E195)),"Duración vacía o en texto; ","")&amp;IF(NOT(ISNUMBER(G195)),"Valor vacío o en texto; ","")&amp;IF(ISNUMBER(M195),IF(M195&lt;1000000,"Valor inferior a $1.000.000: verificar; ",""),"Valor no interpretable; ")&amp;IF(N195="[PENDIENTE DE VERIFICAR]","Modalidad no identificable; ","")&amp;IF(OR(ISERROR(SEARCH("@itc.edu.co",J195)),SUMPRODUCT(--ISNUMBER(SEARCH({"á","é","í","ó","ú","ñ"},J195)))&gt;0),"Correo vacío o no institucional válido; ","")&amp;IF(LEN(TRIM(D195))=0,"Sin objeto contractual; ","")&amp;IF(AND(ISNUMBER(M195),N195="Mínima cuantía"),IF(M195&gt;39850000,"Mínima cuantía con valor superior al tope citado en el instructivo 2026 ($39.850.000): verificar modalidad; ",""),"")&amp;IF(AND(ISNUMBER(M195),OR(ISNUMBER(SEARCH("prestación de servicios",D195)),ISNUMBER(SEARCH("prestar servicios",D195)),ISNUMBER(SEARCH("prestar los servicios",D195)))),IF(M195&gt;=500000000,"Prestación de servicios por $500 millones o más: posible error de digitación; ",""),""))</f>
        <v/>
      </c>
    </row>
    <row r="196" ht="34.2" customHeight="1" s="23">
      <c r="A196" s="114" t="inlineStr">
        <is>
          <t>PN26-192</t>
        </is>
      </c>
      <c r="B196" s="114" t="n">
        <v>80101600</v>
      </c>
      <c r="C196" s="114" t="inlineStr">
        <is>
          <t>Extensión y Proyección Social</t>
        </is>
      </c>
      <c r="D196" s="114" t="inlineStr">
        <is>
          <t>PAPEL OPALINA 180GR, BLANCO X 50</t>
        </is>
      </c>
      <c r="E196" s="114" t="n">
        <v>50</v>
      </c>
      <c r="F196" s="114" t="inlineStr">
        <is>
          <t>DIRECTA</t>
        </is>
      </c>
      <c r="G196" s="118" t="n">
        <v>750000</v>
      </c>
      <c r="H196" s="114" t="inlineStr">
        <is>
          <t>COORDINADOR DE EXTENSIÓN Y PROYECCIÓN SOCIAL</t>
        </is>
      </c>
      <c r="I196" s="114" t="inlineStr">
        <is>
          <t>PBX 3443000 Ext 129</t>
        </is>
      </c>
      <c r="J196" s="114" t="inlineStr">
        <is>
          <t>extension@itc.edu.co</t>
        </is>
      </c>
      <c r="K196" s="114" t="n"/>
      <c r="L196" s="119" t="inlineStr">
        <is>
          <t>141 · GIT Extensión y Proyección Social</t>
        </is>
      </c>
      <c r="M196" s="120" t="n">
        <v>750000</v>
      </c>
      <c r="N196" s="119" t="inlineStr">
        <is>
          <t>Contratación directa</t>
        </is>
      </c>
      <c r="O196" s="119">
        <f>IF(LEN(IF(OR(NOT(ISNUMBER(B196)),LEN(B196)&lt;&gt;8),"UNSPSC vacío, en texto, con varios códigos o sin 8 dígitos; ","")&amp;IF(AND(ISNUMBER(B196),LEN(B196)=8),IF(MOD(B196,10000)=0,"UNSPSC a nivel de segmento o familia; ",""),"")&amp;IF(NOT(ISNUMBER(E196)),"Duración vacía o en texto; ","")&amp;IF(NOT(ISNUMBER(G196)),"Valor vacío o en texto; ","")&amp;IF(ISNUMBER(M196),IF(M196&lt;1000000,"Valor inferior a $1.000.000: verificar; ",""),"Valor no interpretable; ")&amp;IF(N196="[PENDIENTE DE VERIFICAR]","Modalidad no identificable; ","")&amp;IF(OR(ISERROR(SEARCH("@itc.edu.co",J196)),SUMPRODUCT(--ISNUMBER(SEARCH({"á","é","í","ó","ú","ñ"},J196)))&gt;0),"Correo vacío o no institucional válido; ","")&amp;IF(LEN(TRIM(D196))=0,"Sin objeto contractual; ","")&amp;IF(AND(ISNUMBER(M196),N196="Mínima cuantía"),IF(M196&gt;39850000,"Mínima cuantía con valor superior al tope citado en el instructivo 2026 ($39.850.000): verificar modalidad; ",""),"")&amp;IF(AND(ISNUMBER(M196),OR(ISNUMBER(SEARCH("prestación de servicios",D196)),ISNUMBER(SEARCH("prestar servicios",D196)),ISNUMBER(SEARCH("prestar los servicios",D196)))),IF(M196&gt;=500000000,"Prestación de servicios por $500 millones o más: posible error de digitación; ",""),""))=0,"Sin observaciones",IF(OR(NOT(ISNUMBER(B196)),LEN(B196)&lt;&gt;8),"UNSPSC vacío, en texto, con varios códigos o sin 8 dígitos; ","")&amp;IF(AND(ISNUMBER(B196),LEN(B196)=8),IF(MOD(B196,10000)=0,"UNSPSC a nivel de segmento o familia; ",""),"")&amp;IF(NOT(ISNUMBER(E196)),"Duración vacía o en texto; ","")&amp;IF(NOT(ISNUMBER(G196)),"Valor vacío o en texto; ","")&amp;IF(ISNUMBER(M196),IF(M196&lt;1000000,"Valor inferior a $1.000.000: verificar; ",""),"Valor no interpretable; ")&amp;IF(N196="[PENDIENTE DE VERIFICAR]","Modalidad no identificable; ","")&amp;IF(OR(ISERROR(SEARCH("@itc.edu.co",J196)),SUMPRODUCT(--ISNUMBER(SEARCH({"á","é","í","ó","ú","ñ"},J196)))&gt;0),"Correo vacío o no institucional válido; ","")&amp;IF(LEN(TRIM(D196))=0,"Sin objeto contractual; ","")&amp;IF(AND(ISNUMBER(M196),N196="Mínima cuantía"),IF(M196&gt;39850000,"Mínima cuantía con valor superior al tope citado en el instructivo 2026 ($39.850.000): verificar modalidad; ",""),"")&amp;IF(AND(ISNUMBER(M196),OR(ISNUMBER(SEARCH("prestación de servicios",D196)),ISNUMBER(SEARCH("prestar servicios",D196)),ISNUMBER(SEARCH("prestar los servicios",D196)))),IF(M196&gt;=500000000,"Prestación de servicios por $500 millones o más: posible error de digitación; ",""),""))</f>
        <v/>
      </c>
    </row>
    <row r="197" ht="34.2" customHeight="1" s="23">
      <c r="A197" s="114" t="inlineStr">
        <is>
          <t>PN26-193</t>
        </is>
      </c>
      <c r="B197" s="114" t="n">
        <v>80101600</v>
      </c>
      <c r="C197" s="114" t="inlineStr">
        <is>
          <t>Extensión y Proyección Social</t>
        </is>
      </c>
      <c r="D197" s="114" t="inlineStr">
        <is>
          <t>IMPRESORA MULTIFUNCIONAL, LASER A COLOR CON SUMINISTRO DE TONER Y CON CAPACIDAD PARA IMPRIMIR DIPLOMAS Y CERTIFICACIONES</t>
        </is>
      </c>
      <c r="E197" s="114" t="n">
        <v>1</v>
      </c>
      <c r="F197" s="114" t="inlineStr">
        <is>
          <t>DIRECTA</t>
        </is>
      </c>
      <c r="G197" s="118" t="n">
        <v>10000000</v>
      </c>
      <c r="H197" s="114" t="inlineStr">
        <is>
          <t>COORDINADOR DE EXTENSIÓN Y PROYECCIÓN SOCIAL</t>
        </is>
      </c>
      <c r="I197" s="114" t="inlineStr">
        <is>
          <t>PBX 3443000 Ext 129</t>
        </is>
      </c>
      <c r="J197" s="114" t="inlineStr">
        <is>
          <t>extension@itc.edu.co</t>
        </is>
      </c>
      <c r="K197" s="114" t="n"/>
      <c r="L197" s="119" t="inlineStr">
        <is>
          <t>141 · GIT Extensión y Proyección Social</t>
        </is>
      </c>
      <c r="M197" s="120" t="n">
        <v>10000000</v>
      </c>
      <c r="N197" s="119" t="inlineStr">
        <is>
          <t>Contratación directa</t>
        </is>
      </c>
      <c r="O197" s="119">
        <f>IF(LEN(IF(OR(NOT(ISNUMBER(B197)),LEN(B197)&lt;&gt;8),"UNSPSC vacío, en texto, con varios códigos o sin 8 dígitos; ","")&amp;IF(AND(ISNUMBER(B197),LEN(B197)=8),IF(MOD(B197,10000)=0,"UNSPSC a nivel de segmento o familia; ",""),"")&amp;IF(NOT(ISNUMBER(E197)),"Duración vacía o en texto; ","")&amp;IF(NOT(ISNUMBER(G197)),"Valor vacío o en texto; ","")&amp;IF(ISNUMBER(M197),IF(M197&lt;1000000,"Valor inferior a $1.000.000: verificar; ",""),"Valor no interpretable; ")&amp;IF(N197="[PENDIENTE DE VERIFICAR]","Modalidad no identificable; ","")&amp;IF(OR(ISERROR(SEARCH("@itc.edu.co",J197)),SUMPRODUCT(--ISNUMBER(SEARCH({"á","é","í","ó","ú","ñ"},J197)))&gt;0),"Correo vacío o no institucional válido; ","")&amp;IF(LEN(TRIM(D197))=0,"Sin objeto contractual; ","")&amp;IF(AND(ISNUMBER(M197),N197="Mínima cuantía"),IF(M197&gt;39850000,"Mínima cuantía con valor superior al tope citado en el instructivo 2026 ($39.850.000): verificar modalidad; ",""),"")&amp;IF(AND(ISNUMBER(M197),OR(ISNUMBER(SEARCH("prestación de servicios",D197)),ISNUMBER(SEARCH("prestar servicios",D197)),ISNUMBER(SEARCH("prestar los servicios",D197)))),IF(M197&gt;=500000000,"Prestación de servicios por $500 millones o más: posible error de digitación; ",""),""))=0,"Sin observaciones",IF(OR(NOT(ISNUMBER(B197)),LEN(B197)&lt;&gt;8),"UNSPSC vacío, en texto, con varios códigos o sin 8 dígitos; ","")&amp;IF(AND(ISNUMBER(B197),LEN(B197)=8),IF(MOD(B197,10000)=0,"UNSPSC a nivel de segmento o familia; ",""),"")&amp;IF(NOT(ISNUMBER(E197)),"Duración vacía o en texto; ","")&amp;IF(NOT(ISNUMBER(G197)),"Valor vacío o en texto; ","")&amp;IF(ISNUMBER(M197),IF(M197&lt;1000000,"Valor inferior a $1.000.000: verificar; ",""),"Valor no interpretable; ")&amp;IF(N197="[PENDIENTE DE VERIFICAR]","Modalidad no identificable; ","")&amp;IF(OR(ISERROR(SEARCH("@itc.edu.co",J197)),SUMPRODUCT(--ISNUMBER(SEARCH({"á","é","í","ó","ú","ñ"},J197)))&gt;0),"Correo vacío o no institucional válido; ","")&amp;IF(LEN(TRIM(D197))=0,"Sin objeto contractual; ","")&amp;IF(AND(ISNUMBER(M197),N197="Mínima cuantía"),IF(M197&gt;39850000,"Mínima cuantía con valor superior al tope citado en el instructivo 2026 ($39.850.000): verificar modalidad; ",""),"")&amp;IF(AND(ISNUMBER(M197),OR(ISNUMBER(SEARCH("prestación de servicios",D197)),ISNUMBER(SEARCH("prestar servicios",D197)),ISNUMBER(SEARCH("prestar los servicios",D197)))),IF(M197&gt;=500000000,"Prestación de servicios por $500 millones o más: posible error de digitación; ",""),""))</f>
        <v/>
      </c>
    </row>
    <row r="198" ht="34.2" customHeight="1" s="23">
      <c r="A198" s="114" t="inlineStr">
        <is>
          <t>PN26-194</t>
        </is>
      </c>
      <c r="B198" s="114" t="n">
        <v>80101600</v>
      </c>
      <c r="C198" s="114" t="inlineStr">
        <is>
          <t>Extensión y Proyección Social</t>
        </is>
      </c>
      <c r="D198" s="114" t="inlineStr">
        <is>
          <t>COMPUTADORES  DE MESA QUE CONTENGAN CAMARA Y AUDIO PARA PERSONAL ADMINISTRATIVO (All In One HP Intel Core i7 1334U RAM 16 GB 512 GB SSD)</t>
        </is>
      </c>
      <c r="E198" s="114" t="n">
        <v>5</v>
      </c>
      <c r="F198" s="114" t="inlineStr">
        <is>
          <t>DIRECTA</t>
        </is>
      </c>
      <c r="G198" s="118" t="n">
        <v>80000000</v>
      </c>
      <c r="H198" s="114" t="inlineStr">
        <is>
          <t>COORDINADOR DE EXTENSIÓN Y PROYECCIÓN SOCIAL</t>
        </is>
      </c>
      <c r="I198" s="114" t="inlineStr">
        <is>
          <t>PBX 3443000 Ext 129</t>
        </is>
      </c>
      <c r="J198" s="114" t="inlineStr">
        <is>
          <t>extension@itc.edu.co</t>
        </is>
      </c>
      <c r="K198" s="114" t="n"/>
      <c r="L198" s="119" t="inlineStr">
        <is>
          <t>141 · GIT Extensión y Proyección Social</t>
        </is>
      </c>
      <c r="M198" s="120" t="n">
        <v>80000000</v>
      </c>
      <c r="N198" s="119" t="inlineStr">
        <is>
          <t>Contratación directa</t>
        </is>
      </c>
      <c r="O198" s="119">
        <f>IF(LEN(IF(OR(NOT(ISNUMBER(B198)),LEN(B198)&lt;&gt;8),"UNSPSC vacío, en texto, con varios códigos o sin 8 dígitos; ","")&amp;IF(AND(ISNUMBER(B198),LEN(B198)=8),IF(MOD(B198,10000)=0,"UNSPSC a nivel de segmento o familia; ",""),"")&amp;IF(NOT(ISNUMBER(E198)),"Duración vacía o en texto; ","")&amp;IF(NOT(ISNUMBER(G198)),"Valor vacío o en texto; ","")&amp;IF(ISNUMBER(M198),IF(M198&lt;1000000,"Valor inferior a $1.000.000: verificar; ",""),"Valor no interpretable; ")&amp;IF(N198="[PENDIENTE DE VERIFICAR]","Modalidad no identificable; ","")&amp;IF(OR(ISERROR(SEARCH("@itc.edu.co",J198)),SUMPRODUCT(--ISNUMBER(SEARCH({"á","é","í","ó","ú","ñ"},J198)))&gt;0),"Correo vacío o no institucional válido; ","")&amp;IF(LEN(TRIM(D198))=0,"Sin objeto contractual; ","")&amp;IF(AND(ISNUMBER(M198),N198="Mínima cuantía"),IF(M198&gt;39850000,"Mínima cuantía con valor superior al tope citado en el instructivo 2026 ($39.850.000): verificar modalidad; ",""),"")&amp;IF(AND(ISNUMBER(M198),OR(ISNUMBER(SEARCH("prestación de servicios",D198)),ISNUMBER(SEARCH("prestar servicios",D198)),ISNUMBER(SEARCH("prestar los servicios",D198)))),IF(M198&gt;=500000000,"Prestación de servicios por $500 millones o más: posible error de digitación; ",""),""))=0,"Sin observaciones",IF(OR(NOT(ISNUMBER(B198)),LEN(B198)&lt;&gt;8),"UNSPSC vacío, en texto, con varios códigos o sin 8 dígitos; ","")&amp;IF(AND(ISNUMBER(B198),LEN(B198)=8),IF(MOD(B198,10000)=0,"UNSPSC a nivel de segmento o familia; ",""),"")&amp;IF(NOT(ISNUMBER(E198)),"Duración vacía o en texto; ","")&amp;IF(NOT(ISNUMBER(G198)),"Valor vacío o en texto; ","")&amp;IF(ISNUMBER(M198),IF(M198&lt;1000000,"Valor inferior a $1.000.000: verificar; ",""),"Valor no interpretable; ")&amp;IF(N198="[PENDIENTE DE VERIFICAR]","Modalidad no identificable; ","")&amp;IF(OR(ISERROR(SEARCH("@itc.edu.co",J198)),SUMPRODUCT(--ISNUMBER(SEARCH({"á","é","í","ó","ú","ñ"},J198)))&gt;0),"Correo vacío o no institucional válido; ","")&amp;IF(LEN(TRIM(D198))=0,"Sin objeto contractual; ","")&amp;IF(AND(ISNUMBER(M198),N198="Mínima cuantía"),IF(M198&gt;39850000,"Mínima cuantía con valor superior al tope citado en el instructivo 2026 ($39.850.000): verificar modalidad; ",""),"")&amp;IF(AND(ISNUMBER(M198),OR(ISNUMBER(SEARCH("prestación de servicios",D198)),ISNUMBER(SEARCH("prestar servicios",D198)),ISNUMBER(SEARCH("prestar los servicios",D198)))),IF(M198&gt;=500000000,"Prestación de servicios por $500 millones o más: posible error de digitación; ",""),""))</f>
        <v/>
      </c>
    </row>
    <row r="199" ht="34.2" customHeight="1" s="23">
      <c r="A199" s="114" t="inlineStr">
        <is>
          <t>PN26-195</t>
        </is>
      </c>
      <c r="B199" s="114" t="n">
        <v>80101600</v>
      </c>
      <c r="C199" s="114" t="inlineStr">
        <is>
          <t>Extensión y Proyección Social</t>
        </is>
      </c>
      <c r="D199" s="114" t="inlineStr">
        <is>
          <t>INSCRIPCIONES A CAPACITACION Y EVENTOS NACIONALES E INTERNACIONALES</t>
        </is>
      </c>
      <c r="E199" s="114" t="n">
        <v>2</v>
      </c>
      <c r="F199" s="114" t="inlineStr">
        <is>
          <t>DIRECTA</t>
        </is>
      </c>
      <c r="G199" s="118" t="n">
        <v>25000000</v>
      </c>
      <c r="H199" s="114" t="inlineStr">
        <is>
          <t>COORDINADOR DE EXTENSIÓN Y PROYECCIÓN SOCIAL</t>
        </is>
      </c>
      <c r="I199" s="114" t="inlineStr">
        <is>
          <t>PBX 3443000 Ext 129</t>
        </is>
      </c>
      <c r="J199" s="114" t="inlineStr">
        <is>
          <t>extension@itc.edu.co</t>
        </is>
      </c>
      <c r="K199" s="114" t="n"/>
      <c r="L199" s="119" t="inlineStr">
        <is>
          <t>141 · GIT Extensión y Proyección Social</t>
        </is>
      </c>
      <c r="M199" s="120" t="n">
        <v>25000000</v>
      </c>
      <c r="N199" s="119" t="inlineStr">
        <is>
          <t>Contratación directa</t>
        </is>
      </c>
      <c r="O199" s="119">
        <f>IF(LEN(IF(OR(NOT(ISNUMBER(B199)),LEN(B199)&lt;&gt;8),"UNSPSC vacío, en texto, con varios códigos o sin 8 dígitos; ","")&amp;IF(AND(ISNUMBER(B199),LEN(B199)=8),IF(MOD(B199,10000)=0,"UNSPSC a nivel de segmento o familia; ",""),"")&amp;IF(NOT(ISNUMBER(E199)),"Duración vacía o en texto; ","")&amp;IF(NOT(ISNUMBER(G199)),"Valor vacío o en texto; ","")&amp;IF(ISNUMBER(M199),IF(M199&lt;1000000,"Valor inferior a $1.000.000: verificar; ",""),"Valor no interpretable; ")&amp;IF(N199="[PENDIENTE DE VERIFICAR]","Modalidad no identificable; ","")&amp;IF(OR(ISERROR(SEARCH("@itc.edu.co",J199)),SUMPRODUCT(--ISNUMBER(SEARCH({"á","é","í","ó","ú","ñ"},J199)))&gt;0),"Correo vacío o no institucional válido; ","")&amp;IF(LEN(TRIM(D199))=0,"Sin objeto contractual; ","")&amp;IF(AND(ISNUMBER(M199),N199="Mínima cuantía"),IF(M199&gt;39850000,"Mínima cuantía con valor superior al tope citado en el instructivo 2026 ($39.850.000): verificar modalidad; ",""),"")&amp;IF(AND(ISNUMBER(M199),OR(ISNUMBER(SEARCH("prestación de servicios",D199)),ISNUMBER(SEARCH("prestar servicios",D199)),ISNUMBER(SEARCH("prestar los servicios",D199)))),IF(M199&gt;=500000000,"Prestación de servicios por $500 millones o más: posible error de digitación; ",""),""))=0,"Sin observaciones",IF(OR(NOT(ISNUMBER(B199)),LEN(B199)&lt;&gt;8),"UNSPSC vacío, en texto, con varios códigos o sin 8 dígitos; ","")&amp;IF(AND(ISNUMBER(B199),LEN(B199)=8),IF(MOD(B199,10000)=0,"UNSPSC a nivel de segmento o familia; ",""),"")&amp;IF(NOT(ISNUMBER(E199)),"Duración vacía o en texto; ","")&amp;IF(NOT(ISNUMBER(G199)),"Valor vacío o en texto; ","")&amp;IF(ISNUMBER(M199),IF(M199&lt;1000000,"Valor inferior a $1.000.000: verificar; ",""),"Valor no interpretable; ")&amp;IF(N199="[PENDIENTE DE VERIFICAR]","Modalidad no identificable; ","")&amp;IF(OR(ISERROR(SEARCH("@itc.edu.co",J199)),SUMPRODUCT(--ISNUMBER(SEARCH({"á","é","í","ó","ú","ñ"},J199)))&gt;0),"Correo vacío o no institucional válido; ","")&amp;IF(LEN(TRIM(D199))=0,"Sin objeto contractual; ","")&amp;IF(AND(ISNUMBER(M199),N199="Mínima cuantía"),IF(M199&gt;39850000,"Mínima cuantía con valor superior al tope citado en el instructivo 2026 ($39.850.000): verificar modalidad; ",""),"")&amp;IF(AND(ISNUMBER(M199),OR(ISNUMBER(SEARCH("prestación de servicios",D199)),ISNUMBER(SEARCH("prestar servicios",D199)),ISNUMBER(SEARCH("prestar los servicios",D199)))),IF(M199&gt;=500000000,"Prestación de servicios por $500 millones o más: posible error de digitación; ",""),""))</f>
        <v/>
      </c>
    </row>
    <row r="200" ht="34.2" customHeight="1" s="23">
      <c r="A200" s="114" t="inlineStr">
        <is>
          <t>PN26-196</t>
        </is>
      </c>
      <c r="B200" s="114" t="n">
        <v>80101600</v>
      </c>
      <c r="C200" s="114" t="inlineStr">
        <is>
          <t>Extensión y Proyección Social</t>
        </is>
      </c>
      <c r="D200" s="114" t="inlineStr">
        <is>
          <t xml:space="preserve">AFILIACIÓN A REDES ACADÉMICAS Y/O EMPRESARIALES </t>
        </is>
      </c>
      <c r="E200" s="114" t="n">
        <v>2</v>
      </c>
      <c r="F200" s="114" t="inlineStr">
        <is>
          <t>DIRECTA</t>
        </is>
      </c>
      <c r="G200" s="118" t="n">
        <v>50000000</v>
      </c>
      <c r="H200" s="114" t="inlineStr">
        <is>
          <t>COORDINADOR DE EXTENSIÓN Y PROYECCIÓN SOCIAL</t>
        </is>
      </c>
      <c r="I200" s="114" t="inlineStr">
        <is>
          <t>PBX 3443000 Ext 129</t>
        </is>
      </c>
      <c r="J200" s="114" t="inlineStr">
        <is>
          <t>extension@itc.edu.co</t>
        </is>
      </c>
      <c r="K200" s="114" t="n"/>
      <c r="L200" s="119" t="inlineStr">
        <is>
          <t>141 · GIT Extensión y Proyección Social</t>
        </is>
      </c>
      <c r="M200" s="120" t="n">
        <v>50000000</v>
      </c>
      <c r="N200" s="119" t="inlineStr">
        <is>
          <t>Contratación directa</t>
        </is>
      </c>
      <c r="O200" s="119">
        <f>IF(LEN(IF(OR(NOT(ISNUMBER(B200)),LEN(B200)&lt;&gt;8),"UNSPSC vacío, en texto, con varios códigos o sin 8 dígitos; ","")&amp;IF(AND(ISNUMBER(B200),LEN(B200)=8),IF(MOD(B200,10000)=0,"UNSPSC a nivel de segmento o familia; ",""),"")&amp;IF(NOT(ISNUMBER(E200)),"Duración vacía o en texto; ","")&amp;IF(NOT(ISNUMBER(G200)),"Valor vacío o en texto; ","")&amp;IF(ISNUMBER(M200),IF(M200&lt;1000000,"Valor inferior a $1.000.000: verificar; ",""),"Valor no interpretable; ")&amp;IF(N200="[PENDIENTE DE VERIFICAR]","Modalidad no identificable; ","")&amp;IF(OR(ISERROR(SEARCH("@itc.edu.co",J200)),SUMPRODUCT(--ISNUMBER(SEARCH({"á","é","í","ó","ú","ñ"},J200)))&gt;0),"Correo vacío o no institucional válido; ","")&amp;IF(LEN(TRIM(D200))=0,"Sin objeto contractual; ","")&amp;IF(AND(ISNUMBER(M200),N200="Mínima cuantía"),IF(M200&gt;39850000,"Mínima cuantía con valor superior al tope citado en el instructivo 2026 ($39.850.000): verificar modalidad; ",""),"")&amp;IF(AND(ISNUMBER(M200),OR(ISNUMBER(SEARCH("prestación de servicios",D200)),ISNUMBER(SEARCH("prestar servicios",D200)),ISNUMBER(SEARCH("prestar los servicios",D200)))),IF(M200&gt;=500000000,"Prestación de servicios por $500 millones o más: posible error de digitación; ",""),""))=0,"Sin observaciones",IF(OR(NOT(ISNUMBER(B200)),LEN(B200)&lt;&gt;8),"UNSPSC vacío, en texto, con varios códigos o sin 8 dígitos; ","")&amp;IF(AND(ISNUMBER(B200),LEN(B200)=8),IF(MOD(B200,10000)=0,"UNSPSC a nivel de segmento o familia; ",""),"")&amp;IF(NOT(ISNUMBER(E200)),"Duración vacía o en texto; ","")&amp;IF(NOT(ISNUMBER(G200)),"Valor vacío o en texto; ","")&amp;IF(ISNUMBER(M200),IF(M200&lt;1000000,"Valor inferior a $1.000.000: verificar; ",""),"Valor no interpretable; ")&amp;IF(N200="[PENDIENTE DE VERIFICAR]","Modalidad no identificable; ","")&amp;IF(OR(ISERROR(SEARCH("@itc.edu.co",J200)),SUMPRODUCT(--ISNUMBER(SEARCH({"á","é","í","ó","ú","ñ"},J200)))&gt;0),"Correo vacío o no institucional válido; ","")&amp;IF(LEN(TRIM(D200))=0,"Sin objeto contractual; ","")&amp;IF(AND(ISNUMBER(M200),N200="Mínima cuantía"),IF(M200&gt;39850000,"Mínima cuantía con valor superior al tope citado en el instructivo 2026 ($39.850.000): verificar modalidad; ",""),"")&amp;IF(AND(ISNUMBER(M200),OR(ISNUMBER(SEARCH("prestación de servicios",D200)),ISNUMBER(SEARCH("prestar servicios",D200)),ISNUMBER(SEARCH("prestar los servicios",D200)))),IF(M200&gt;=500000000,"Prestación de servicios por $500 millones o más: posible error de digitación; ",""),""))</f>
        <v/>
      </c>
    </row>
    <row r="201" ht="45.6" customHeight="1" s="23">
      <c r="A201" s="114" t="inlineStr">
        <is>
          <t>PN26-197</t>
        </is>
      </c>
      <c r="B201" s="114" t="n">
        <v>81161507</v>
      </c>
      <c r="C201" s="114" t="inlineStr">
        <is>
          <t>Centro de Biblioteca y Recursos Educativos</t>
        </is>
      </c>
      <c r="D201" s="114" t="inlineStr">
        <is>
          <t>ADQUISICION DE LICENCIAS PARA ACCEDER A LA PLATAFORMA VIRTUAL PRO COMO APOYO AL PROCESO DE FORMACION DE LOS ESTUDIANTES DE LOS PROGRAMAS DE EDUCACIÓN SUSPERIOR DE LA ESCUELA TECNOLOGICA INSTITUTO TECNICO CENTRAL</t>
        </is>
      </c>
      <c r="E201" s="114" t="n">
        <v>12</v>
      </c>
      <c r="F201" s="114" t="inlineStr">
        <is>
          <t>DIRECTA</t>
        </is>
      </c>
      <c r="G201" s="118" t="n">
        <v>21000000</v>
      </c>
      <c r="H201" s="114" t="inlineStr">
        <is>
          <t>Profesional universitario 2044-05 del Centro de Biblioteca</t>
        </is>
      </c>
      <c r="I201" s="114" t="inlineStr">
        <is>
          <t>PBX 3443000 Ext. 172</t>
        </is>
      </c>
      <c r="J201" s="114" t="inlineStr">
        <is>
          <t>biblioteca@itc.edu.co</t>
        </is>
      </c>
      <c r="K201" s="114" t="n"/>
      <c r="L201" s="119" t="inlineStr">
        <is>
          <t>121 · GIT Biblioteca y Recursos Educativos</t>
        </is>
      </c>
      <c r="M201" s="120" t="n">
        <v>21000000</v>
      </c>
      <c r="N201" s="119" t="inlineStr">
        <is>
          <t>Contratación directa</t>
        </is>
      </c>
      <c r="O201" s="119">
        <f>IF(LEN(IF(OR(NOT(ISNUMBER(B201)),LEN(B201)&lt;&gt;8),"UNSPSC vacío, en texto, con varios códigos o sin 8 dígitos; ","")&amp;IF(AND(ISNUMBER(B201),LEN(B201)=8),IF(MOD(B201,10000)=0,"UNSPSC a nivel de segmento o familia; ",""),"")&amp;IF(NOT(ISNUMBER(E201)),"Duración vacía o en texto; ","")&amp;IF(NOT(ISNUMBER(G201)),"Valor vacío o en texto; ","")&amp;IF(ISNUMBER(M201),IF(M201&lt;1000000,"Valor inferior a $1.000.000: verificar; ",""),"Valor no interpretable; ")&amp;IF(N201="[PENDIENTE DE VERIFICAR]","Modalidad no identificable; ","")&amp;IF(OR(ISERROR(SEARCH("@itc.edu.co",J201)),SUMPRODUCT(--ISNUMBER(SEARCH({"á","é","í","ó","ú","ñ"},J201)))&gt;0),"Correo vacío o no institucional válido; ","")&amp;IF(LEN(TRIM(D201))=0,"Sin objeto contractual; ","")&amp;IF(AND(ISNUMBER(M201),N201="Mínima cuantía"),IF(M201&gt;39850000,"Mínima cuantía con valor superior al tope citado en el instructivo 2026 ($39.850.000): verificar modalidad; ",""),"")&amp;IF(AND(ISNUMBER(M201),OR(ISNUMBER(SEARCH("prestación de servicios",D201)),ISNUMBER(SEARCH("prestar servicios",D201)),ISNUMBER(SEARCH("prestar los servicios",D201)))),IF(M201&gt;=500000000,"Prestación de servicios por $500 millones o más: posible error de digitación; ",""),""))=0,"Sin observaciones",IF(OR(NOT(ISNUMBER(B201)),LEN(B201)&lt;&gt;8),"UNSPSC vacío, en texto, con varios códigos o sin 8 dígitos; ","")&amp;IF(AND(ISNUMBER(B201),LEN(B201)=8),IF(MOD(B201,10000)=0,"UNSPSC a nivel de segmento o familia; ",""),"")&amp;IF(NOT(ISNUMBER(E201)),"Duración vacía o en texto; ","")&amp;IF(NOT(ISNUMBER(G201)),"Valor vacío o en texto; ","")&amp;IF(ISNUMBER(M201),IF(M201&lt;1000000,"Valor inferior a $1.000.000: verificar; ",""),"Valor no interpretable; ")&amp;IF(N201="[PENDIENTE DE VERIFICAR]","Modalidad no identificable; ","")&amp;IF(OR(ISERROR(SEARCH("@itc.edu.co",J201)),SUMPRODUCT(--ISNUMBER(SEARCH({"á","é","í","ó","ú","ñ"},J201)))&gt;0),"Correo vacío o no institucional válido; ","")&amp;IF(LEN(TRIM(D201))=0,"Sin objeto contractual; ","")&amp;IF(AND(ISNUMBER(M201),N201="Mínima cuantía"),IF(M201&gt;39850000,"Mínima cuantía con valor superior al tope citado en el instructivo 2026 ($39.850.000): verificar modalidad; ",""),"")&amp;IF(AND(ISNUMBER(M201),OR(ISNUMBER(SEARCH("prestación de servicios",D201)),ISNUMBER(SEARCH("prestar servicios",D201)),ISNUMBER(SEARCH("prestar los servicios",D201)))),IF(M201&gt;=500000000,"Prestación de servicios por $500 millones o más: posible error de digitación; ",""),""))</f>
        <v/>
      </c>
    </row>
    <row r="202" ht="45.6" customHeight="1" s="23">
      <c r="A202" s="114" t="inlineStr">
        <is>
          <t>PN26-198</t>
        </is>
      </c>
      <c r="B202" s="114" t="n">
        <v>81161507</v>
      </c>
      <c r="C202" s="114" t="inlineStr">
        <is>
          <t>Centro de Biblioteca y Recursos Educativos</t>
        </is>
      </c>
      <c r="D202" s="114" t="inlineStr">
        <is>
          <t xml:space="preserve">RENOVACION SUSCRIPCION DE LA PLATAFORMA E-LIBRO CATEDRA DE CONTENIDOS Y SERVICIOS PARA LA BIBLIOTECA DIGITAL, COMO APOYO A LAS ACTIVIDADES ACADÉMICAS E INVESTIGACIÓN DE LA ETITC.
</t>
        </is>
      </c>
      <c r="E202" s="114" t="n">
        <v>12</v>
      </c>
      <c r="F202" s="114" t="inlineStr">
        <is>
          <t>DIRECTA</t>
        </is>
      </c>
      <c r="G202" s="118" t="n">
        <v>32000000</v>
      </c>
      <c r="H202" s="114" t="inlineStr">
        <is>
          <t>Profesional universitario 2044-05 del Centro de Biblioteca</t>
        </is>
      </c>
      <c r="I202" s="114" t="inlineStr">
        <is>
          <t>PBX 3443000 Ext. 172</t>
        </is>
      </c>
      <c r="J202" s="114" t="inlineStr">
        <is>
          <t>biblioteca@itc.edu.co</t>
        </is>
      </c>
      <c r="K202" s="114" t="n"/>
      <c r="L202" s="119" t="inlineStr">
        <is>
          <t>121 · GIT Biblioteca y Recursos Educativos</t>
        </is>
      </c>
      <c r="M202" s="120" t="n">
        <v>32000000</v>
      </c>
      <c r="N202" s="119" t="inlineStr">
        <is>
          <t>Contratación directa</t>
        </is>
      </c>
      <c r="O202" s="119">
        <f>IF(LEN(IF(OR(NOT(ISNUMBER(B202)),LEN(B202)&lt;&gt;8),"UNSPSC vacío, en texto, con varios códigos o sin 8 dígitos; ","")&amp;IF(AND(ISNUMBER(B202),LEN(B202)=8),IF(MOD(B202,10000)=0,"UNSPSC a nivel de segmento o familia; ",""),"")&amp;IF(NOT(ISNUMBER(E202)),"Duración vacía o en texto; ","")&amp;IF(NOT(ISNUMBER(G202)),"Valor vacío o en texto; ","")&amp;IF(ISNUMBER(M202),IF(M202&lt;1000000,"Valor inferior a $1.000.000: verificar; ",""),"Valor no interpretable; ")&amp;IF(N202="[PENDIENTE DE VERIFICAR]","Modalidad no identificable; ","")&amp;IF(OR(ISERROR(SEARCH("@itc.edu.co",J202)),SUMPRODUCT(--ISNUMBER(SEARCH({"á","é","í","ó","ú","ñ"},J202)))&gt;0),"Correo vacío o no institucional válido; ","")&amp;IF(LEN(TRIM(D202))=0,"Sin objeto contractual; ","")&amp;IF(AND(ISNUMBER(M202),N202="Mínima cuantía"),IF(M202&gt;39850000,"Mínima cuantía con valor superior al tope citado en el instructivo 2026 ($39.850.000): verificar modalidad; ",""),"")&amp;IF(AND(ISNUMBER(M202),OR(ISNUMBER(SEARCH("prestación de servicios",D202)),ISNUMBER(SEARCH("prestar servicios",D202)),ISNUMBER(SEARCH("prestar los servicios",D202)))),IF(M202&gt;=500000000,"Prestación de servicios por $500 millones o más: posible error de digitación; ",""),""))=0,"Sin observaciones",IF(OR(NOT(ISNUMBER(B202)),LEN(B202)&lt;&gt;8),"UNSPSC vacío, en texto, con varios códigos o sin 8 dígitos; ","")&amp;IF(AND(ISNUMBER(B202),LEN(B202)=8),IF(MOD(B202,10000)=0,"UNSPSC a nivel de segmento o familia; ",""),"")&amp;IF(NOT(ISNUMBER(E202)),"Duración vacía o en texto; ","")&amp;IF(NOT(ISNUMBER(G202)),"Valor vacío o en texto; ","")&amp;IF(ISNUMBER(M202),IF(M202&lt;1000000,"Valor inferior a $1.000.000: verificar; ",""),"Valor no interpretable; ")&amp;IF(N202="[PENDIENTE DE VERIFICAR]","Modalidad no identificable; ","")&amp;IF(OR(ISERROR(SEARCH("@itc.edu.co",J202)),SUMPRODUCT(--ISNUMBER(SEARCH({"á","é","í","ó","ú","ñ"},J202)))&gt;0),"Correo vacío o no institucional válido; ","")&amp;IF(LEN(TRIM(D202))=0,"Sin objeto contractual; ","")&amp;IF(AND(ISNUMBER(M202),N202="Mínima cuantía"),IF(M202&gt;39850000,"Mínima cuantía con valor superior al tope citado en el instructivo 2026 ($39.850.000): verificar modalidad; ",""),"")&amp;IF(AND(ISNUMBER(M202),OR(ISNUMBER(SEARCH("prestación de servicios",D202)),ISNUMBER(SEARCH("prestar servicios",D202)),ISNUMBER(SEARCH("prestar los servicios",D202)))),IF(M202&gt;=500000000,"Prestación de servicios por $500 millones o más: posible error de digitación; ",""),""))</f>
        <v/>
      </c>
    </row>
    <row r="203" ht="45.6" customHeight="1" s="23">
      <c r="A203" s="114" t="inlineStr">
        <is>
          <t>PN26-199</t>
        </is>
      </c>
      <c r="B203" s="114" t="n">
        <v>81161507</v>
      </c>
      <c r="C203" s="114" t="inlineStr">
        <is>
          <t>Centro de Biblioteca y Recursos Educativos</t>
        </is>
      </c>
      <c r="D203" s="114" t="inlineStr">
        <is>
          <t>ADQUISICION DE LICENCIAS PARA ACCEDER A LA PLATAFORMA EBSCO COMO APOYO AL PROCESO DE FORMACION DE LOS ESTUDIANTES DE LOS PROGRAMAS DE EDUCACIÓN SUSPERIOR DE LA ESCUELA TECNOLOGICA INSTITUTO TECNICO CENTRAL</t>
        </is>
      </c>
      <c r="E203" s="114" t="n">
        <v>12</v>
      </c>
      <c r="F203" s="114" t="inlineStr">
        <is>
          <t>DIRECTA</t>
        </is>
      </c>
      <c r="G203" s="118" t="n">
        <v>37045639</v>
      </c>
      <c r="H203" s="114" t="inlineStr">
        <is>
          <t>Profesional universitario 2044-05 del Centro de Biblioteca</t>
        </is>
      </c>
      <c r="I203" s="114" t="inlineStr">
        <is>
          <t>PBX 3443000 Ext. 172</t>
        </is>
      </c>
      <c r="J203" s="114" t="inlineStr">
        <is>
          <t>biblioteca@itc.edu.co</t>
        </is>
      </c>
      <c r="K203" s="114" t="n"/>
      <c r="L203" s="119" t="inlineStr">
        <is>
          <t>121 · GIT Biblioteca y Recursos Educativos</t>
        </is>
      </c>
      <c r="M203" s="120" t="n">
        <v>37045639</v>
      </c>
      <c r="N203" s="119" t="inlineStr">
        <is>
          <t>Contratación directa</t>
        </is>
      </c>
      <c r="O203" s="119">
        <f>IF(LEN(IF(OR(NOT(ISNUMBER(B203)),LEN(B203)&lt;&gt;8),"UNSPSC vacío, en texto, con varios códigos o sin 8 dígitos; ","")&amp;IF(AND(ISNUMBER(B203),LEN(B203)=8),IF(MOD(B203,10000)=0,"UNSPSC a nivel de segmento o familia; ",""),"")&amp;IF(NOT(ISNUMBER(E203)),"Duración vacía o en texto; ","")&amp;IF(NOT(ISNUMBER(G203)),"Valor vacío o en texto; ","")&amp;IF(ISNUMBER(M203),IF(M203&lt;1000000,"Valor inferior a $1.000.000: verificar; ",""),"Valor no interpretable; ")&amp;IF(N203="[PENDIENTE DE VERIFICAR]","Modalidad no identificable; ","")&amp;IF(OR(ISERROR(SEARCH("@itc.edu.co",J203)),SUMPRODUCT(--ISNUMBER(SEARCH({"á","é","í","ó","ú","ñ"},J203)))&gt;0),"Correo vacío o no institucional válido; ","")&amp;IF(LEN(TRIM(D203))=0,"Sin objeto contractual; ","")&amp;IF(AND(ISNUMBER(M203),N203="Mínima cuantía"),IF(M203&gt;39850000,"Mínima cuantía con valor superior al tope citado en el instructivo 2026 ($39.850.000): verificar modalidad; ",""),"")&amp;IF(AND(ISNUMBER(M203),OR(ISNUMBER(SEARCH("prestación de servicios",D203)),ISNUMBER(SEARCH("prestar servicios",D203)),ISNUMBER(SEARCH("prestar los servicios",D203)))),IF(M203&gt;=500000000,"Prestación de servicios por $500 millones o más: posible error de digitación; ",""),""))=0,"Sin observaciones",IF(OR(NOT(ISNUMBER(B203)),LEN(B203)&lt;&gt;8),"UNSPSC vacío, en texto, con varios códigos o sin 8 dígitos; ","")&amp;IF(AND(ISNUMBER(B203),LEN(B203)=8),IF(MOD(B203,10000)=0,"UNSPSC a nivel de segmento o familia; ",""),"")&amp;IF(NOT(ISNUMBER(E203)),"Duración vacía o en texto; ","")&amp;IF(NOT(ISNUMBER(G203)),"Valor vacío o en texto; ","")&amp;IF(ISNUMBER(M203),IF(M203&lt;1000000,"Valor inferior a $1.000.000: verificar; ",""),"Valor no interpretable; ")&amp;IF(N203="[PENDIENTE DE VERIFICAR]","Modalidad no identificable; ","")&amp;IF(OR(ISERROR(SEARCH("@itc.edu.co",J203)),SUMPRODUCT(--ISNUMBER(SEARCH({"á","é","í","ó","ú","ñ"},J203)))&gt;0),"Correo vacío o no institucional válido; ","")&amp;IF(LEN(TRIM(D203))=0,"Sin objeto contractual; ","")&amp;IF(AND(ISNUMBER(M203),N203="Mínima cuantía"),IF(M203&gt;39850000,"Mínima cuantía con valor superior al tope citado en el instructivo 2026 ($39.850.000): verificar modalidad; ",""),"")&amp;IF(AND(ISNUMBER(M203),OR(ISNUMBER(SEARCH("prestación de servicios",D203)),ISNUMBER(SEARCH("prestar servicios",D203)),ISNUMBER(SEARCH("prestar los servicios",D203)))),IF(M203&gt;=500000000,"Prestación de servicios por $500 millones o más: posible error de digitación; ",""),""))</f>
        <v/>
      </c>
    </row>
    <row r="204" ht="79.8" customHeight="1" s="23">
      <c r="A204" s="114" t="inlineStr">
        <is>
          <t>PN26-200</t>
        </is>
      </c>
      <c r="B204" s="114" t="n">
        <v>81161507</v>
      </c>
      <c r="C204" s="114" t="inlineStr">
        <is>
          <t>Centro de Biblioteca y Recursos Educativos</t>
        </is>
      </c>
      <c r="D204" s="114" t="inlineStr">
        <is>
          <t>RENOVACIÓN DE SOPORTE TECNICO PARA EL SERVICIO ESPECIALIZADO DE METABIBLIOTECA (SERVIDOR EN INTERNET – MODALIDAD CLOUD SERVICES) DE LOS SISTEMAS KOHA, OJS, DSPACE Y LA IMPLEMENTACION DEL SISTEMA METAPROXY, SOPORTES DIGITALES DE INFORMACIÓN PARA LAS SEDES CENTRO Y UPK DE LA BIBLIOTECA DE LA ESCUELA TECNOLOGICA INSTITUTO TECNICO CENTRAL POR 12 MESES</t>
        </is>
      </c>
      <c r="E204" s="114" t="n">
        <v>12</v>
      </c>
      <c r="F204" s="114" t="inlineStr">
        <is>
          <t>DIRECTA</t>
        </is>
      </c>
      <c r="G204" s="118" t="n">
        <v>26000000</v>
      </c>
      <c r="H204" s="114" t="inlineStr">
        <is>
          <t>Profesional universitario 2044-05 del Centro de Biblioteca</t>
        </is>
      </c>
      <c r="I204" s="114" t="inlineStr">
        <is>
          <t>PBX 3443000 Ext. 172</t>
        </is>
      </c>
      <c r="J204" s="114" t="inlineStr">
        <is>
          <t>biblioteca@itc.edu.co</t>
        </is>
      </c>
      <c r="K204" s="114" t="n"/>
      <c r="L204" s="119" t="inlineStr">
        <is>
          <t>121 · GIT Biblioteca y Recursos Educativos</t>
        </is>
      </c>
      <c r="M204" s="120" t="n">
        <v>26000000</v>
      </c>
      <c r="N204" s="119" t="inlineStr">
        <is>
          <t>Contratación directa</t>
        </is>
      </c>
      <c r="O204" s="119">
        <f>IF(LEN(IF(OR(NOT(ISNUMBER(B204)),LEN(B204)&lt;&gt;8),"UNSPSC vacío, en texto, con varios códigos o sin 8 dígitos; ","")&amp;IF(AND(ISNUMBER(B204),LEN(B204)=8),IF(MOD(B204,10000)=0,"UNSPSC a nivel de segmento o familia; ",""),"")&amp;IF(NOT(ISNUMBER(E204)),"Duración vacía o en texto; ","")&amp;IF(NOT(ISNUMBER(G204)),"Valor vacío o en texto; ","")&amp;IF(ISNUMBER(M204),IF(M204&lt;1000000,"Valor inferior a $1.000.000: verificar; ",""),"Valor no interpretable; ")&amp;IF(N204="[PENDIENTE DE VERIFICAR]","Modalidad no identificable; ","")&amp;IF(OR(ISERROR(SEARCH("@itc.edu.co",J204)),SUMPRODUCT(--ISNUMBER(SEARCH({"á","é","í","ó","ú","ñ"},J204)))&gt;0),"Correo vacío o no institucional válido; ","")&amp;IF(LEN(TRIM(D204))=0,"Sin objeto contractual; ","")&amp;IF(AND(ISNUMBER(M204),N204="Mínima cuantía"),IF(M204&gt;39850000,"Mínima cuantía con valor superior al tope citado en el instructivo 2026 ($39.850.000): verificar modalidad; ",""),"")&amp;IF(AND(ISNUMBER(M204),OR(ISNUMBER(SEARCH("prestación de servicios",D204)),ISNUMBER(SEARCH("prestar servicios",D204)),ISNUMBER(SEARCH("prestar los servicios",D204)))),IF(M204&gt;=500000000,"Prestación de servicios por $500 millones o más: posible error de digitación; ",""),""))=0,"Sin observaciones",IF(OR(NOT(ISNUMBER(B204)),LEN(B204)&lt;&gt;8),"UNSPSC vacío, en texto, con varios códigos o sin 8 dígitos; ","")&amp;IF(AND(ISNUMBER(B204),LEN(B204)=8),IF(MOD(B204,10000)=0,"UNSPSC a nivel de segmento o familia; ",""),"")&amp;IF(NOT(ISNUMBER(E204)),"Duración vacía o en texto; ","")&amp;IF(NOT(ISNUMBER(G204)),"Valor vacío o en texto; ","")&amp;IF(ISNUMBER(M204),IF(M204&lt;1000000,"Valor inferior a $1.000.000: verificar; ",""),"Valor no interpretable; ")&amp;IF(N204="[PENDIENTE DE VERIFICAR]","Modalidad no identificable; ","")&amp;IF(OR(ISERROR(SEARCH("@itc.edu.co",J204)),SUMPRODUCT(--ISNUMBER(SEARCH({"á","é","í","ó","ú","ñ"},J204)))&gt;0),"Correo vacío o no institucional válido; ","")&amp;IF(LEN(TRIM(D204))=0,"Sin objeto contractual; ","")&amp;IF(AND(ISNUMBER(M204),N204="Mínima cuantía"),IF(M204&gt;39850000,"Mínima cuantía con valor superior al tope citado en el instructivo 2026 ($39.850.000): verificar modalidad; ",""),"")&amp;IF(AND(ISNUMBER(M204),OR(ISNUMBER(SEARCH("prestación de servicios",D204)),ISNUMBER(SEARCH("prestar servicios",D204)),ISNUMBER(SEARCH("prestar los servicios",D204)))),IF(M204&gt;=500000000,"Prestación de servicios por $500 millones o más: posible error de digitación; ",""),""))</f>
        <v/>
      </c>
    </row>
    <row r="205" ht="45.6" customHeight="1" s="23">
      <c r="A205" s="114" t="inlineStr">
        <is>
          <t>PN26-201</t>
        </is>
      </c>
      <c r="B205" s="114" t="n">
        <v>81161507</v>
      </c>
      <c r="C205" s="114" t="inlineStr">
        <is>
          <t>Centro de Biblioteca y Recursos Educativos</t>
        </is>
      </c>
      <c r="D205" s="114" t="inlineStr">
        <is>
          <t>ADQUISICION DE LICENCIAS PARA ACCEDER A LA PLATAFORMA VIRTUAL ACM COMO APOYO AL PROCESO DE FORMACION DE LOS ESTUDIANTES DE LOS PROGRAMAS DE EDUCACIÓN SUSPERIOR DE LA ESCUELA TECNOLOGICA INSTITUTO TECNICO CENTRAL</t>
        </is>
      </c>
      <c r="E205" s="114" t="n">
        <v>12</v>
      </c>
      <c r="F205" s="114" t="inlineStr">
        <is>
          <t>DIRECTA</t>
        </is>
      </c>
      <c r="G205" s="118" t="n">
        <v>80000000</v>
      </c>
      <c r="H205" s="114" t="inlineStr">
        <is>
          <t>Profesional universitario 2044-05 del Centro de Biblioteca</t>
        </is>
      </c>
      <c r="I205" s="114" t="inlineStr">
        <is>
          <t>PBX 3443000 Ext. 172</t>
        </is>
      </c>
      <c r="J205" s="114" t="inlineStr">
        <is>
          <t>biblioteca@itc.edu.co</t>
        </is>
      </c>
      <c r="K205" s="114" t="n"/>
      <c r="L205" s="119" t="inlineStr">
        <is>
          <t>121 · GIT Biblioteca y Recursos Educativos</t>
        </is>
      </c>
      <c r="M205" s="120" t="n">
        <v>80000000</v>
      </c>
      <c r="N205" s="119" t="inlineStr">
        <is>
          <t>Contratación directa</t>
        </is>
      </c>
      <c r="O205" s="119">
        <f>IF(LEN(IF(OR(NOT(ISNUMBER(B205)),LEN(B205)&lt;&gt;8),"UNSPSC vacío, en texto, con varios códigos o sin 8 dígitos; ","")&amp;IF(AND(ISNUMBER(B205),LEN(B205)=8),IF(MOD(B205,10000)=0,"UNSPSC a nivel de segmento o familia; ",""),"")&amp;IF(NOT(ISNUMBER(E205)),"Duración vacía o en texto; ","")&amp;IF(NOT(ISNUMBER(G205)),"Valor vacío o en texto; ","")&amp;IF(ISNUMBER(M205),IF(M205&lt;1000000,"Valor inferior a $1.000.000: verificar; ",""),"Valor no interpretable; ")&amp;IF(N205="[PENDIENTE DE VERIFICAR]","Modalidad no identificable; ","")&amp;IF(OR(ISERROR(SEARCH("@itc.edu.co",J205)),SUMPRODUCT(--ISNUMBER(SEARCH({"á","é","í","ó","ú","ñ"},J205)))&gt;0),"Correo vacío o no institucional válido; ","")&amp;IF(LEN(TRIM(D205))=0,"Sin objeto contractual; ","")&amp;IF(AND(ISNUMBER(M205),N205="Mínima cuantía"),IF(M205&gt;39850000,"Mínima cuantía con valor superior al tope citado en el instructivo 2026 ($39.850.000): verificar modalidad; ",""),"")&amp;IF(AND(ISNUMBER(M205),OR(ISNUMBER(SEARCH("prestación de servicios",D205)),ISNUMBER(SEARCH("prestar servicios",D205)),ISNUMBER(SEARCH("prestar los servicios",D205)))),IF(M205&gt;=500000000,"Prestación de servicios por $500 millones o más: posible error de digitación; ",""),""))=0,"Sin observaciones",IF(OR(NOT(ISNUMBER(B205)),LEN(B205)&lt;&gt;8),"UNSPSC vacío, en texto, con varios códigos o sin 8 dígitos; ","")&amp;IF(AND(ISNUMBER(B205),LEN(B205)=8),IF(MOD(B205,10000)=0,"UNSPSC a nivel de segmento o familia; ",""),"")&amp;IF(NOT(ISNUMBER(E205)),"Duración vacía o en texto; ","")&amp;IF(NOT(ISNUMBER(G205)),"Valor vacío o en texto; ","")&amp;IF(ISNUMBER(M205),IF(M205&lt;1000000,"Valor inferior a $1.000.000: verificar; ",""),"Valor no interpretable; ")&amp;IF(N205="[PENDIENTE DE VERIFICAR]","Modalidad no identificable; ","")&amp;IF(OR(ISERROR(SEARCH("@itc.edu.co",J205)),SUMPRODUCT(--ISNUMBER(SEARCH({"á","é","í","ó","ú","ñ"},J205)))&gt;0),"Correo vacío o no institucional válido; ","")&amp;IF(LEN(TRIM(D205))=0,"Sin objeto contractual; ","")&amp;IF(AND(ISNUMBER(M205),N205="Mínima cuantía"),IF(M205&gt;39850000,"Mínima cuantía con valor superior al tope citado en el instructivo 2026 ($39.850.000): verificar modalidad; ",""),"")&amp;IF(AND(ISNUMBER(M205),OR(ISNUMBER(SEARCH("prestación de servicios",D205)),ISNUMBER(SEARCH("prestar servicios",D205)),ISNUMBER(SEARCH("prestar los servicios",D205)))),IF(M205&gt;=500000000,"Prestación de servicios por $500 millones o más: posible error de digitación; ",""),""))</f>
        <v/>
      </c>
    </row>
    <row r="206" ht="34.2" customHeight="1" s="23">
      <c r="A206" s="114" t="inlineStr">
        <is>
          <t>PN26-202</t>
        </is>
      </c>
      <c r="B206" s="114" t="n">
        <v>81161507</v>
      </c>
      <c r="C206" s="114" t="inlineStr">
        <is>
          <t>Centro de Biblioteca y Recursos Educativos</t>
        </is>
      </c>
      <c r="D206" s="114" t="inlineStr">
        <is>
          <t>SUSCRIPCIÓN ACCESO WEB DEWEY ON-LINE, INCLUIDA CAPACITACION PARA LOS FUNCIONARIOS DE LA BIBLIOTECA DE LA ESCUELA TECNOLOGICA INSTITUTO TECNICO CENTRAL.</t>
        </is>
      </c>
      <c r="E206" s="114" t="n">
        <v>12</v>
      </c>
      <c r="F206" s="114" t="inlineStr">
        <is>
          <t>DIRECTA</t>
        </is>
      </c>
      <c r="G206" s="118" t="n">
        <v>4000000</v>
      </c>
      <c r="H206" s="114" t="inlineStr">
        <is>
          <t>Profesional universitario 2044-05 del Centro de Biblioteca</t>
        </is>
      </c>
      <c r="I206" s="114" t="inlineStr">
        <is>
          <t>PBX 3443000 Ext. 172</t>
        </is>
      </c>
      <c r="J206" s="114" t="inlineStr">
        <is>
          <t>biblioteca@itc.edu.co</t>
        </is>
      </c>
      <c r="K206" s="114" t="n"/>
      <c r="L206" s="119" t="inlineStr">
        <is>
          <t>121 · GIT Biblioteca y Recursos Educativos</t>
        </is>
      </c>
      <c r="M206" s="120" t="n">
        <v>4000000</v>
      </c>
      <c r="N206" s="119" t="inlineStr">
        <is>
          <t>Contratación directa</t>
        </is>
      </c>
      <c r="O206" s="119">
        <f>IF(LEN(IF(OR(NOT(ISNUMBER(B206)),LEN(B206)&lt;&gt;8),"UNSPSC vacío, en texto, con varios códigos o sin 8 dígitos; ","")&amp;IF(AND(ISNUMBER(B206),LEN(B206)=8),IF(MOD(B206,10000)=0,"UNSPSC a nivel de segmento o familia; ",""),"")&amp;IF(NOT(ISNUMBER(E206)),"Duración vacía o en texto; ","")&amp;IF(NOT(ISNUMBER(G206)),"Valor vacío o en texto; ","")&amp;IF(ISNUMBER(M206),IF(M206&lt;1000000,"Valor inferior a $1.000.000: verificar; ",""),"Valor no interpretable; ")&amp;IF(N206="[PENDIENTE DE VERIFICAR]","Modalidad no identificable; ","")&amp;IF(OR(ISERROR(SEARCH("@itc.edu.co",J206)),SUMPRODUCT(--ISNUMBER(SEARCH({"á","é","í","ó","ú","ñ"},J206)))&gt;0),"Correo vacío o no institucional válido; ","")&amp;IF(LEN(TRIM(D206))=0,"Sin objeto contractual; ","")&amp;IF(AND(ISNUMBER(M206),N206="Mínima cuantía"),IF(M206&gt;39850000,"Mínima cuantía con valor superior al tope citado en el instructivo 2026 ($39.850.000): verificar modalidad; ",""),"")&amp;IF(AND(ISNUMBER(M206),OR(ISNUMBER(SEARCH("prestación de servicios",D206)),ISNUMBER(SEARCH("prestar servicios",D206)),ISNUMBER(SEARCH("prestar los servicios",D206)))),IF(M206&gt;=500000000,"Prestación de servicios por $500 millones o más: posible error de digitación; ",""),""))=0,"Sin observaciones",IF(OR(NOT(ISNUMBER(B206)),LEN(B206)&lt;&gt;8),"UNSPSC vacío, en texto, con varios códigos o sin 8 dígitos; ","")&amp;IF(AND(ISNUMBER(B206),LEN(B206)=8),IF(MOD(B206,10000)=0,"UNSPSC a nivel de segmento o familia; ",""),"")&amp;IF(NOT(ISNUMBER(E206)),"Duración vacía o en texto; ","")&amp;IF(NOT(ISNUMBER(G206)),"Valor vacío o en texto; ","")&amp;IF(ISNUMBER(M206),IF(M206&lt;1000000,"Valor inferior a $1.000.000: verificar; ",""),"Valor no interpretable; ")&amp;IF(N206="[PENDIENTE DE VERIFICAR]","Modalidad no identificable; ","")&amp;IF(OR(ISERROR(SEARCH("@itc.edu.co",J206)),SUMPRODUCT(--ISNUMBER(SEARCH({"á","é","í","ó","ú","ñ"},J206)))&gt;0),"Correo vacío o no institucional válido; ","")&amp;IF(LEN(TRIM(D206))=0,"Sin objeto contractual; ","")&amp;IF(AND(ISNUMBER(M206),N206="Mínima cuantía"),IF(M206&gt;39850000,"Mínima cuantía con valor superior al tope citado en el instructivo 2026 ($39.850.000): verificar modalidad; ",""),"")&amp;IF(AND(ISNUMBER(M206),OR(ISNUMBER(SEARCH("prestación de servicios",D206)),ISNUMBER(SEARCH("prestar servicios",D206)),ISNUMBER(SEARCH("prestar los servicios",D206)))),IF(M206&gt;=500000000,"Prestación de servicios por $500 millones o más: posible error de digitación; ",""),""))</f>
        <v/>
      </c>
    </row>
    <row r="207" ht="34.2" customHeight="1" s="23">
      <c r="A207" s="114" t="inlineStr">
        <is>
          <t>PN26-203</t>
        </is>
      </c>
      <c r="B207" s="114" t="n">
        <v>81161507</v>
      </c>
      <c r="C207" s="114" t="inlineStr">
        <is>
          <t>Centro de Biblioteca y Recursos Educativos</t>
        </is>
      </c>
      <c r="D207" s="114" t="inlineStr">
        <is>
          <t>COMPRA DE LA SUSCRIPCIÓN Y CAPACITACION AL SISTEMA ARMARC EN LÍNEA, PARA LOS FUNCIONARIOS DE LA BIBLIOTECA DE LA ESCUELA TECNOLOGICA INSTITUTO TECNICO CENTRAL.</t>
        </is>
      </c>
      <c r="E207" s="114" t="n">
        <v>12</v>
      </c>
      <c r="F207" s="114" t="inlineStr">
        <is>
          <t>DIRECTA</t>
        </is>
      </c>
      <c r="G207" s="118" t="n">
        <v>1600000</v>
      </c>
      <c r="H207" s="114" t="inlineStr">
        <is>
          <t>Profesional universitario 2044-05 del Centro de Biblioteca</t>
        </is>
      </c>
      <c r="I207" s="114" t="inlineStr">
        <is>
          <t>PBX 3443000 Ext. 172</t>
        </is>
      </c>
      <c r="J207" s="114" t="inlineStr">
        <is>
          <t>biblioteca@itc.edu.co</t>
        </is>
      </c>
      <c r="K207" s="114" t="n"/>
      <c r="L207" s="119" t="inlineStr">
        <is>
          <t>121 · GIT Biblioteca y Recursos Educativos</t>
        </is>
      </c>
      <c r="M207" s="120" t="n">
        <v>1600000</v>
      </c>
      <c r="N207" s="119" t="inlineStr">
        <is>
          <t>Contratación directa</t>
        </is>
      </c>
      <c r="O207" s="119">
        <f>IF(LEN(IF(OR(NOT(ISNUMBER(B207)),LEN(B207)&lt;&gt;8),"UNSPSC vacío, en texto, con varios códigos o sin 8 dígitos; ","")&amp;IF(AND(ISNUMBER(B207),LEN(B207)=8),IF(MOD(B207,10000)=0,"UNSPSC a nivel de segmento o familia; ",""),"")&amp;IF(NOT(ISNUMBER(E207)),"Duración vacía o en texto; ","")&amp;IF(NOT(ISNUMBER(G207)),"Valor vacío o en texto; ","")&amp;IF(ISNUMBER(M207),IF(M207&lt;1000000,"Valor inferior a $1.000.000: verificar; ",""),"Valor no interpretable; ")&amp;IF(N207="[PENDIENTE DE VERIFICAR]","Modalidad no identificable; ","")&amp;IF(OR(ISERROR(SEARCH("@itc.edu.co",J207)),SUMPRODUCT(--ISNUMBER(SEARCH({"á","é","í","ó","ú","ñ"},J207)))&gt;0),"Correo vacío o no institucional válido; ","")&amp;IF(LEN(TRIM(D207))=0,"Sin objeto contractual; ","")&amp;IF(AND(ISNUMBER(M207),N207="Mínima cuantía"),IF(M207&gt;39850000,"Mínima cuantía con valor superior al tope citado en el instructivo 2026 ($39.850.000): verificar modalidad; ",""),"")&amp;IF(AND(ISNUMBER(M207),OR(ISNUMBER(SEARCH("prestación de servicios",D207)),ISNUMBER(SEARCH("prestar servicios",D207)),ISNUMBER(SEARCH("prestar los servicios",D207)))),IF(M207&gt;=500000000,"Prestación de servicios por $500 millones o más: posible error de digitación; ",""),""))=0,"Sin observaciones",IF(OR(NOT(ISNUMBER(B207)),LEN(B207)&lt;&gt;8),"UNSPSC vacío, en texto, con varios códigos o sin 8 dígitos; ","")&amp;IF(AND(ISNUMBER(B207),LEN(B207)=8),IF(MOD(B207,10000)=0,"UNSPSC a nivel de segmento o familia; ",""),"")&amp;IF(NOT(ISNUMBER(E207)),"Duración vacía o en texto; ","")&amp;IF(NOT(ISNUMBER(G207)),"Valor vacío o en texto; ","")&amp;IF(ISNUMBER(M207),IF(M207&lt;1000000,"Valor inferior a $1.000.000: verificar; ",""),"Valor no interpretable; ")&amp;IF(N207="[PENDIENTE DE VERIFICAR]","Modalidad no identificable; ","")&amp;IF(OR(ISERROR(SEARCH("@itc.edu.co",J207)),SUMPRODUCT(--ISNUMBER(SEARCH({"á","é","í","ó","ú","ñ"},J207)))&gt;0),"Correo vacío o no institucional válido; ","")&amp;IF(LEN(TRIM(D207))=0,"Sin objeto contractual; ","")&amp;IF(AND(ISNUMBER(M207),N207="Mínima cuantía"),IF(M207&gt;39850000,"Mínima cuantía con valor superior al tope citado en el instructivo 2026 ($39.850.000): verificar modalidad; ",""),"")&amp;IF(AND(ISNUMBER(M207),OR(ISNUMBER(SEARCH("prestación de servicios",D207)),ISNUMBER(SEARCH("prestar servicios",D207)),ISNUMBER(SEARCH("prestar los servicios",D207)))),IF(M207&gt;=500000000,"Prestación de servicios por $500 millones o más: posible error de digitación; ",""),""))</f>
        <v/>
      </c>
    </row>
    <row r="208" ht="45.6" customHeight="1" s="23">
      <c r="A208" s="114" t="inlineStr">
        <is>
          <t>PN26-204</t>
        </is>
      </c>
      <c r="B208" s="114" t="n">
        <v>72151701</v>
      </c>
      <c r="C208" s="114" t="inlineStr">
        <is>
          <t>Centro de Biblioteca y Recursos Educativos</t>
        </is>
      </c>
      <c r="D208" s="114" t="inlineStr">
        <is>
          <t>ADQUISICION E INSTALACION DE UN SISTEMA INTEGRAL DE SEGURIDAD CON TECNOLOGIA RFID, CONFORMADO POR: SISTEMA DE SEGURIDAD DE MATERIAL BIBLIOGRAFICO Y CONTROL DE INVENTARIOS PARA EL CENTRO DE BIBLIOTECA Y RECURSOS EDUCATIVOS DE LA ETITC</t>
        </is>
      </c>
      <c r="E208" s="114" t="n">
        <v>11</v>
      </c>
      <c r="F208" s="114" t="inlineStr">
        <is>
          <t>MENOR CUANTÍA/SUBASTA</t>
        </is>
      </c>
      <c r="G208" s="118" t="n">
        <v>136240000</v>
      </c>
      <c r="H208" s="114" t="inlineStr">
        <is>
          <t>Profesional universitario 2044-05 del Centro de Biblioteca</t>
        </is>
      </c>
      <c r="I208" s="114" t="inlineStr">
        <is>
          <t>PBX 3443000 Ext. 172</t>
        </is>
      </c>
      <c r="J208" s="114" t="inlineStr">
        <is>
          <t>biblioteca@itc.edu.co</t>
        </is>
      </c>
      <c r="K208" s="114" t="n"/>
      <c r="L208" s="119" t="inlineStr">
        <is>
          <t>121 · GIT Biblioteca y Recursos Educativos</t>
        </is>
      </c>
      <c r="M208" s="120" t="n">
        <v>136240000</v>
      </c>
      <c r="N208" s="119" t="inlineStr">
        <is>
          <t>[PENDIENTE DE VERIFICAR]</t>
        </is>
      </c>
      <c r="O208" s="119">
        <f>IF(LEN(IF(OR(NOT(ISNUMBER(B208)),LEN(B208)&lt;&gt;8),"UNSPSC vacío, en texto, con varios códigos o sin 8 dígitos; ","")&amp;IF(AND(ISNUMBER(B208),LEN(B208)=8),IF(MOD(B208,10000)=0,"UNSPSC a nivel de segmento o familia; ",""),"")&amp;IF(NOT(ISNUMBER(E208)),"Duración vacía o en texto; ","")&amp;IF(NOT(ISNUMBER(G208)),"Valor vacío o en texto; ","")&amp;IF(ISNUMBER(M208),IF(M208&lt;1000000,"Valor inferior a $1.000.000: verificar; ",""),"Valor no interpretable; ")&amp;IF(N208="[PENDIENTE DE VERIFICAR]","Modalidad no identificable; ","")&amp;IF(OR(ISERROR(SEARCH("@itc.edu.co",J208)),SUMPRODUCT(--ISNUMBER(SEARCH({"á","é","í","ó","ú","ñ"},J208)))&gt;0),"Correo vacío o no institucional válido; ","")&amp;IF(LEN(TRIM(D208))=0,"Sin objeto contractual; ","")&amp;IF(AND(ISNUMBER(M208),N208="Mínima cuantía"),IF(M208&gt;39850000,"Mínima cuantía con valor superior al tope citado en el instructivo 2026 ($39.850.000): verificar modalidad; ",""),"")&amp;IF(AND(ISNUMBER(M208),OR(ISNUMBER(SEARCH("prestación de servicios",D208)),ISNUMBER(SEARCH("prestar servicios",D208)),ISNUMBER(SEARCH("prestar los servicios",D208)))),IF(M208&gt;=500000000,"Prestación de servicios por $500 millones o más: posible error de digitación; ",""),""))=0,"Sin observaciones",IF(OR(NOT(ISNUMBER(B208)),LEN(B208)&lt;&gt;8),"UNSPSC vacío, en texto, con varios códigos o sin 8 dígitos; ","")&amp;IF(AND(ISNUMBER(B208),LEN(B208)=8),IF(MOD(B208,10000)=0,"UNSPSC a nivel de segmento o familia; ",""),"")&amp;IF(NOT(ISNUMBER(E208)),"Duración vacía o en texto; ","")&amp;IF(NOT(ISNUMBER(G208)),"Valor vacío o en texto; ","")&amp;IF(ISNUMBER(M208),IF(M208&lt;1000000,"Valor inferior a $1.000.000: verificar; ",""),"Valor no interpretable; ")&amp;IF(N208="[PENDIENTE DE VERIFICAR]","Modalidad no identificable; ","")&amp;IF(OR(ISERROR(SEARCH("@itc.edu.co",J208)),SUMPRODUCT(--ISNUMBER(SEARCH({"á","é","í","ó","ú","ñ"},J208)))&gt;0),"Correo vacío o no institucional válido; ","")&amp;IF(LEN(TRIM(D208))=0,"Sin objeto contractual; ","")&amp;IF(AND(ISNUMBER(M208),N208="Mínima cuantía"),IF(M208&gt;39850000,"Mínima cuantía con valor superior al tope citado en el instructivo 2026 ($39.850.000): verificar modalidad; ",""),"")&amp;IF(AND(ISNUMBER(M208),OR(ISNUMBER(SEARCH("prestación de servicios",D208)),ISNUMBER(SEARCH("prestar servicios",D208)),ISNUMBER(SEARCH("prestar los servicios",D208)))),IF(M208&gt;=500000000,"Prestación de servicios por $500 millones o más: posible error de digitación; ",""),""))</f>
        <v/>
      </c>
    </row>
    <row r="209" ht="45.6" customHeight="1" s="23">
      <c r="A209" s="114" t="inlineStr">
        <is>
          <t>PN26-205</t>
        </is>
      </c>
      <c r="B209" s="114" t="n">
        <v>43212105</v>
      </c>
      <c r="C209" s="114" t="inlineStr">
        <is>
          <t>Centro de Biblioteca y Recursos Educativos</t>
        </is>
      </c>
      <c r="D209" s="114" t="inlineStr">
        <is>
          <t>ADQUISICIÓN DE 1 Impresora HP Laser MFP 137fnw PARA IMPRIMIR SEÑALIZACIONES, POSTERS, EXPEDIR CERTIFICACIONES DE PAZ Y SALVO Y OTROS DOCUMENTOS INHERENTES AL CENTRO DE BIBLIOTECA Y RECURSOS EDUCATIVOS</t>
        </is>
      </c>
      <c r="E209" s="114" t="n">
        <v>11</v>
      </c>
      <c r="F209" s="114" t="inlineStr">
        <is>
          <t>MÍNIMA CUANTÍA</t>
        </is>
      </c>
      <c r="G209" s="118" t="n">
        <v>1200000</v>
      </c>
      <c r="H209" s="114" t="inlineStr">
        <is>
          <t>Profesional universitario 2044-05 del Centro de Biblioteca</t>
        </is>
      </c>
      <c r="I209" s="114" t="inlineStr">
        <is>
          <t>PBX 3443000 Ext. 172</t>
        </is>
      </c>
      <c r="J209" s="114" t="inlineStr">
        <is>
          <t>biblioteca@itc.edu.co</t>
        </is>
      </c>
      <c r="K209" s="114" t="n"/>
      <c r="L209" s="119" t="inlineStr">
        <is>
          <t>121 · GIT Biblioteca y Recursos Educativos</t>
        </is>
      </c>
      <c r="M209" s="120" t="n">
        <v>1200000</v>
      </c>
      <c r="N209" s="119" t="inlineStr">
        <is>
          <t>Mínima cuantía</t>
        </is>
      </c>
      <c r="O209" s="119">
        <f>IF(LEN(IF(OR(NOT(ISNUMBER(B209)),LEN(B209)&lt;&gt;8),"UNSPSC vacío, en texto, con varios códigos o sin 8 dígitos; ","")&amp;IF(AND(ISNUMBER(B209),LEN(B209)=8),IF(MOD(B209,10000)=0,"UNSPSC a nivel de segmento o familia; ",""),"")&amp;IF(NOT(ISNUMBER(E209)),"Duración vacía o en texto; ","")&amp;IF(NOT(ISNUMBER(G209)),"Valor vacío o en texto; ","")&amp;IF(ISNUMBER(M209),IF(M209&lt;1000000,"Valor inferior a $1.000.000: verificar; ",""),"Valor no interpretable; ")&amp;IF(N209="[PENDIENTE DE VERIFICAR]","Modalidad no identificable; ","")&amp;IF(OR(ISERROR(SEARCH("@itc.edu.co",J209)),SUMPRODUCT(--ISNUMBER(SEARCH({"á","é","í","ó","ú","ñ"},J209)))&gt;0),"Correo vacío o no institucional válido; ","")&amp;IF(LEN(TRIM(D209))=0,"Sin objeto contractual; ","")&amp;IF(AND(ISNUMBER(M209),N209="Mínima cuantía"),IF(M209&gt;39850000,"Mínima cuantía con valor superior al tope citado en el instructivo 2026 ($39.850.000): verificar modalidad; ",""),"")&amp;IF(AND(ISNUMBER(M209),OR(ISNUMBER(SEARCH("prestación de servicios",D209)),ISNUMBER(SEARCH("prestar servicios",D209)),ISNUMBER(SEARCH("prestar los servicios",D209)))),IF(M209&gt;=500000000,"Prestación de servicios por $500 millones o más: posible error de digitación; ",""),""))=0,"Sin observaciones",IF(OR(NOT(ISNUMBER(B209)),LEN(B209)&lt;&gt;8),"UNSPSC vacío, en texto, con varios códigos o sin 8 dígitos; ","")&amp;IF(AND(ISNUMBER(B209),LEN(B209)=8),IF(MOD(B209,10000)=0,"UNSPSC a nivel de segmento o familia; ",""),"")&amp;IF(NOT(ISNUMBER(E209)),"Duración vacía o en texto; ","")&amp;IF(NOT(ISNUMBER(G209)),"Valor vacío o en texto; ","")&amp;IF(ISNUMBER(M209),IF(M209&lt;1000000,"Valor inferior a $1.000.000: verificar; ",""),"Valor no interpretable; ")&amp;IF(N209="[PENDIENTE DE VERIFICAR]","Modalidad no identificable; ","")&amp;IF(OR(ISERROR(SEARCH("@itc.edu.co",J209)),SUMPRODUCT(--ISNUMBER(SEARCH({"á","é","í","ó","ú","ñ"},J209)))&gt;0),"Correo vacío o no institucional válido; ","")&amp;IF(LEN(TRIM(D209))=0,"Sin objeto contractual; ","")&amp;IF(AND(ISNUMBER(M209),N209="Mínima cuantía"),IF(M209&gt;39850000,"Mínima cuantía con valor superior al tope citado en el instructivo 2026 ($39.850.000): verificar modalidad; ",""),"")&amp;IF(AND(ISNUMBER(M209),OR(ISNUMBER(SEARCH("prestación de servicios",D209)),ISNUMBER(SEARCH("prestar servicios",D209)),ISNUMBER(SEARCH("prestar los servicios",D209)))),IF(M209&gt;=500000000,"Prestación de servicios por $500 millones o más: posible error de digitación; ",""),""))</f>
        <v/>
      </c>
    </row>
    <row r="210" ht="34.2" customHeight="1" s="23">
      <c r="A210" s="114" t="inlineStr">
        <is>
          <t>PN26-206</t>
        </is>
      </c>
      <c r="B210" s="114" t="n">
        <v>43211508</v>
      </c>
      <c r="C210" s="114" t="inlineStr">
        <is>
          <t>Centro de Biblioteca y Recursos Educativos</t>
        </is>
      </c>
      <c r="D210" s="114" t="inlineStr">
        <is>
          <t>ADQUISICIÓN DE 2 COMPUTADORES PORTÁTILES EMPLEADOS PARA ACTIVIDADES DE FORMACIÓN Y EXTENSIÓN DEL CENTRO DE BIBLIOTECA Y RECURSOS EDUCATIVOS</t>
        </is>
      </c>
      <c r="E210" s="114" t="n">
        <v>11</v>
      </c>
      <c r="F210" s="114" t="inlineStr">
        <is>
          <t>MÍNIMA CUANTÍA</t>
        </is>
      </c>
      <c r="G210" s="118" t="n">
        <v>3398140</v>
      </c>
      <c r="H210" s="114" t="inlineStr">
        <is>
          <t>Profesional universitario 2044-05 del Centro de Biblioteca</t>
        </is>
      </c>
      <c r="I210" s="114" t="inlineStr">
        <is>
          <t>PBX 3443000 Ext. 172</t>
        </is>
      </c>
      <c r="J210" s="114" t="inlineStr">
        <is>
          <t>biblioteca@itc.edu.co</t>
        </is>
      </c>
      <c r="K210" s="114" t="n"/>
      <c r="L210" s="119" t="inlineStr">
        <is>
          <t>121 · GIT Biblioteca y Recursos Educativos</t>
        </is>
      </c>
      <c r="M210" s="120" t="n">
        <v>3398140</v>
      </c>
      <c r="N210" s="119" t="inlineStr">
        <is>
          <t>Mínima cuantía</t>
        </is>
      </c>
      <c r="O210" s="119">
        <f>IF(LEN(IF(OR(NOT(ISNUMBER(B210)),LEN(B210)&lt;&gt;8),"UNSPSC vacío, en texto, con varios códigos o sin 8 dígitos; ","")&amp;IF(AND(ISNUMBER(B210),LEN(B210)=8),IF(MOD(B210,10000)=0,"UNSPSC a nivel de segmento o familia; ",""),"")&amp;IF(NOT(ISNUMBER(E210)),"Duración vacía o en texto; ","")&amp;IF(NOT(ISNUMBER(G210)),"Valor vacío o en texto; ","")&amp;IF(ISNUMBER(M210),IF(M210&lt;1000000,"Valor inferior a $1.000.000: verificar; ",""),"Valor no interpretable; ")&amp;IF(N210="[PENDIENTE DE VERIFICAR]","Modalidad no identificable; ","")&amp;IF(OR(ISERROR(SEARCH("@itc.edu.co",J210)),SUMPRODUCT(--ISNUMBER(SEARCH({"á","é","í","ó","ú","ñ"},J210)))&gt;0),"Correo vacío o no institucional válido; ","")&amp;IF(LEN(TRIM(D210))=0,"Sin objeto contractual; ","")&amp;IF(AND(ISNUMBER(M210),N210="Mínima cuantía"),IF(M210&gt;39850000,"Mínima cuantía con valor superior al tope citado en el instructivo 2026 ($39.850.000): verificar modalidad; ",""),"")&amp;IF(AND(ISNUMBER(M210),OR(ISNUMBER(SEARCH("prestación de servicios",D210)),ISNUMBER(SEARCH("prestar servicios",D210)),ISNUMBER(SEARCH("prestar los servicios",D210)))),IF(M210&gt;=500000000,"Prestación de servicios por $500 millones o más: posible error de digitación; ",""),""))=0,"Sin observaciones",IF(OR(NOT(ISNUMBER(B210)),LEN(B210)&lt;&gt;8),"UNSPSC vacío, en texto, con varios códigos o sin 8 dígitos; ","")&amp;IF(AND(ISNUMBER(B210),LEN(B210)=8),IF(MOD(B210,10000)=0,"UNSPSC a nivel de segmento o familia; ",""),"")&amp;IF(NOT(ISNUMBER(E210)),"Duración vacía o en texto; ","")&amp;IF(NOT(ISNUMBER(G210)),"Valor vacío o en texto; ","")&amp;IF(ISNUMBER(M210),IF(M210&lt;1000000,"Valor inferior a $1.000.000: verificar; ",""),"Valor no interpretable; ")&amp;IF(N210="[PENDIENTE DE VERIFICAR]","Modalidad no identificable; ","")&amp;IF(OR(ISERROR(SEARCH("@itc.edu.co",J210)),SUMPRODUCT(--ISNUMBER(SEARCH({"á","é","í","ó","ú","ñ"},J210)))&gt;0),"Correo vacío o no institucional válido; ","")&amp;IF(LEN(TRIM(D210))=0,"Sin objeto contractual; ","")&amp;IF(AND(ISNUMBER(M210),N210="Mínima cuantía"),IF(M210&gt;39850000,"Mínima cuantía con valor superior al tope citado en el instructivo 2026 ($39.850.000): verificar modalidad; ",""),"")&amp;IF(AND(ISNUMBER(M210),OR(ISNUMBER(SEARCH("prestación de servicios",D210)),ISNUMBER(SEARCH("prestar servicios",D210)),ISNUMBER(SEARCH("prestar los servicios",D210)))),IF(M210&gt;=500000000,"Prestación de servicios por $500 millones o más: posible error de digitación; ",""),""))</f>
        <v/>
      </c>
    </row>
    <row r="211" ht="45.6" customHeight="1" s="23">
      <c r="A211" s="114" t="inlineStr">
        <is>
          <t>PN26-207</t>
        </is>
      </c>
      <c r="B211" s="114" t="n">
        <v>80101600</v>
      </c>
      <c r="C211" s="114" t="inlineStr">
        <is>
          <t>Centro de Biblioteca y Recursos Educativos</t>
        </is>
      </c>
      <c r="D211" s="114" t="inlineStr">
        <is>
          <t>ADQUISICIÓN DE 1 COMPUTADOR  FIJO O DE MESA QUE CONTENGA CAMARA Y AUDIO PARA PERSONAL ADMINISTRATIVO (Computador All In One HP 23.8" Pulgadas Cr0352la - Intel Core i5 - RAM 16GB - Disco SSD 512GB)</t>
        </is>
      </c>
      <c r="E211" s="114" t="n">
        <v>5</v>
      </c>
      <c r="F211" s="114" t="inlineStr">
        <is>
          <t>MÍNIMA CUANTÍA</t>
        </is>
      </c>
      <c r="G211" s="118" t="n">
        <v>2700000</v>
      </c>
      <c r="H211" s="114" t="inlineStr">
        <is>
          <t>Profesional universitario 2044-05 del Centro de Biblioteca</t>
        </is>
      </c>
      <c r="I211" s="114" t="inlineStr">
        <is>
          <t>PBX 3443000 Ext. 172</t>
        </is>
      </c>
      <c r="J211" s="114" t="inlineStr">
        <is>
          <t>biblioteca@itc.edu.co</t>
        </is>
      </c>
      <c r="K211" s="114" t="n"/>
      <c r="L211" s="119" t="inlineStr">
        <is>
          <t>121 · GIT Biblioteca y Recursos Educativos</t>
        </is>
      </c>
      <c r="M211" s="120" t="n">
        <v>2700000</v>
      </c>
      <c r="N211" s="119" t="inlineStr">
        <is>
          <t>Mínima cuantía</t>
        </is>
      </c>
      <c r="O211" s="119">
        <f>IF(LEN(IF(OR(NOT(ISNUMBER(B211)),LEN(B211)&lt;&gt;8),"UNSPSC vacío, en texto, con varios códigos o sin 8 dígitos; ","")&amp;IF(AND(ISNUMBER(B211),LEN(B211)=8),IF(MOD(B211,10000)=0,"UNSPSC a nivel de segmento o familia; ",""),"")&amp;IF(NOT(ISNUMBER(E211)),"Duración vacía o en texto; ","")&amp;IF(NOT(ISNUMBER(G211)),"Valor vacío o en texto; ","")&amp;IF(ISNUMBER(M211),IF(M211&lt;1000000,"Valor inferior a $1.000.000: verificar; ",""),"Valor no interpretable; ")&amp;IF(N211="[PENDIENTE DE VERIFICAR]","Modalidad no identificable; ","")&amp;IF(OR(ISERROR(SEARCH("@itc.edu.co",J211)),SUMPRODUCT(--ISNUMBER(SEARCH({"á","é","í","ó","ú","ñ"},J211)))&gt;0),"Correo vacío o no institucional válido; ","")&amp;IF(LEN(TRIM(D211))=0,"Sin objeto contractual; ","")&amp;IF(AND(ISNUMBER(M211),N211="Mínima cuantía"),IF(M211&gt;39850000,"Mínima cuantía con valor superior al tope citado en el instructivo 2026 ($39.850.000): verificar modalidad; ",""),"")&amp;IF(AND(ISNUMBER(M211),OR(ISNUMBER(SEARCH("prestación de servicios",D211)),ISNUMBER(SEARCH("prestar servicios",D211)),ISNUMBER(SEARCH("prestar los servicios",D211)))),IF(M211&gt;=500000000,"Prestación de servicios por $500 millones o más: posible error de digitación; ",""),""))=0,"Sin observaciones",IF(OR(NOT(ISNUMBER(B211)),LEN(B211)&lt;&gt;8),"UNSPSC vacío, en texto, con varios códigos o sin 8 dígitos; ","")&amp;IF(AND(ISNUMBER(B211),LEN(B211)=8),IF(MOD(B211,10000)=0,"UNSPSC a nivel de segmento o familia; ",""),"")&amp;IF(NOT(ISNUMBER(E211)),"Duración vacía o en texto; ","")&amp;IF(NOT(ISNUMBER(G211)),"Valor vacío o en texto; ","")&amp;IF(ISNUMBER(M211),IF(M211&lt;1000000,"Valor inferior a $1.000.000: verificar; ",""),"Valor no interpretable; ")&amp;IF(N211="[PENDIENTE DE VERIFICAR]","Modalidad no identificable; ","")&amp;IF(OR(ISERROR(SEARCH("@itc.edu.co",J211)),SUMPRODUCT(--ISNUMBER(SEARCH({"á","é","í","ó","ú","ñ"},J211)))&gt;0),"Correo vacío o no institucional válido; ","")&amp;IF(LEN(TRIM(D211))=0,"Sin objeto contractual; ","")&amp;IF(AND(ISNUMBER(M211),N211="Mínima cuantía"),IF(M211&gt;39850000,"Mínima cuantía con valor superior al tope citado en el instructivo 2026 ($39.850.000): verificar modalidad; ",""),"")&amp;IF(AND(ISNUMBER(M211),OR(ISNUMBER(SEARCH("prestación de servicios",D211)),ISNUMBER(SEARCH("prestar servicios",D211)),ISNUMBER(SEARCH("prestar los servicios",D211)))),IF(M211&gt;=500000000,"Prestación de servicios por $500 millones o más: posible error de digitación; ",""),""))</f>
        <v/>
      </c>
    </row>
    <row r="212" ht="45.6" customHeight="1" s="23">
      <c r="A212" s="114" t="inlineStr">
        <is>
          <t>PN26-208</t>
        </is>
      </c>
      <c r="B212" s="114" t="n">
        <v>43231510</v>
      </c>
      <c r="C212" s="114" t="inlineStr">
        <is>
          <t>Centro de Biblioteca y Recursos Educativos</t>
        </is>
      </c>
      <c r="D212" s="114" t="inlineStr">
        <is>
          <t xml:space="preserve">ADQUISICIÓN DE LICENCIA DEL SOFTWARE BARTENDER PARA IMPRIMIR ETIQUETAS Y CÓDIGOS DE BARRAS QUE PERMITIRÁ LA ADECUADA UBICACIÓN DE LOS MATERIALES EN LA ESTANTERÍA
</t>
        </is>
      </c>
      <c r="E212" s="114" t="n">
        <v>11</v>
      </c>
      <c r="F212" s="114" t="inlineStr">
        <is>
          <t>MÍNIMA CUANTÍA</t>
        </is>
      </c>
      <c r="G212" s="118" t="n">
        <v>150000</v>
      </c>
      <c r="H212" s="114" t="inlineStr">
        <is>
          <t>Profesional universitario 2044-05 del Centro de Biblioteca</t>
        </is>
      </c>
      <c r="I212" s="114" t="inlineStr">
        <is>
          <t>PBX 3443000 Ext. 172</t>
        </is>
      </c>
      <c r="J212" s="114" t="inlineStr">
        <is>
          <t>biblioteca@itc.edu.co</t>
        </is>
      </c>
      <c r="K212" s="114" t="n"/>
      <c r="L212" s="119" t="inlineStr">
        <is>
          <t>121 · GIT Biblioteca y Recursos Educativos</t>
        </is>
      </c>
      <c r="M212" s="120" t="n">
        <v>150000</v>
      </c>
      <c r="N212" s="119" t="inlineStr">
        <is>
          <t>Mínima cuantía</t>
        </is>
      </c>
      <c r="O212" s="119">
        <f>IF(LEN(IF(OR(NOT(ISNUMBER(B212)),LEN(B212)&lt;&gt;8),"UNSPSC vacío, en texto, con varios códigos o sin 8 dígitos; ","")&amp;IF(AND(ISNUMBER(B212),LEN(B212)=8),IF(MOD(B212,10000)=0,"UNSPSC a nivel de segmento o familia; ",""),"")&amp;IF(NOT(ISNUMBER(E212)),"Duración vacía o en texto; ","")&amp;IF(NOT(ISNUMBER(G212)),"Valor vacío o en texto; ","")&amp;IF(ISNUMBER(M212),IF(M212&lt;1000000,"Valor inferior a $1.000.000: verificar; ",""),"Valor no interpretable; ")&amp;IF(N212="[PENDIENTE DE VERIFICAR]","Modalidad no identificable; ","")&amp;IF(OR(ISERROR(SEARCH("@itc.edu.co",J212)),SUMPRODUCT(--ISNUMBER(SEARCH({"á","é","í","ó","ú","ñ"},J212)))&gt;0),"Correo vacío o no institucional válido; ","")&amp;IF(LEN(TRIM(D212))=0,"Sin objeto contractual; ","")&amp;IF(AND(ISNUMBER(M212),N212="Mínima cuantía"),IF(M212&gt;39850000,"Mínima cuantía con valor superior al tope citado en el instructivo 2026 ($39.850.000): verificar modalidad; ",""),"")&amp;IF(AND(ISNUMBER(M212),OR(ISNUMBER(SEARCH("prestación de servicios",D212)),ISNUMBER(SEARCH("prestar servicios",D212)),ISNUMBER(SEARCH("prestar los servicios",D212)))),IF(M212&gt;=500000000,"Prestación de servicios por $500 millones o más: posible error de digitación; ",""),""))=0,"Sin observaciones",IF(OR(NOT(ISNUMBER(B212)),LEN(B212)&lt;&gt;8),"UNSPSC vacío, en texto, con varios códigos o sin 8 dígitos; ","")&amp;IF(AND(ISNUMBER(B212),LEN(B212)=8),IF(MOD(B212,10000)=0,"UNSPSC a nivel de segmento o familia; ",""),"")&amp;IF(NOT(ISNUMBER(E212)),"Duración vacía o en texto; ","")&amp;IF(NOT(ISNUMBER(G212)),"Valor vacío o en texto; ","")&amp;IF(ISNUMBER(M212),IF(M212&lt;1000000,"Valor inferior a $1.000.000: verificar; ",""),"Valor no interpretable; ")&amp;IF(N212="[PENDIENTE DE VERIFICAR]","Modalidad no identificable; ","")&amp;IF(OR(ISERROR(SEARCH("@itc.edu.co",J212)),SUMPRODUCT(--ISNUMBER(SEARCH({"á","é","í","ó","ú","ñ"},J212)))&gt;0),"Correo vacío o no institucional válido; ","")&amp;IF(LEN(TRIM(D212))=0,"Sin objeto contractual; ","")&amp;IF(AND(ISNUMBER(M212),N212="Mínima cuantía"),IF(M212&gt;39850000,"Mínima cuantía con valor superior al tope citado en el instructivo 2026 ($39.850.000): verificar modalidad; ",""),"")&amp;IF(AND(ISNUMBER(M212),OR(ISNUMBER(SEARCH("prestación de servicios",D212)),ISNUMBER(SEARCH("prestar servicios",D212)),ISNUMBER(SEARCH("prestar los servicios",D212)))),IF(M212&gt;=500000000,"Prestación de servicios por $500 millones o más: posible error de digitación; ",""),""))</f>
        <v/>
      </c>
    </row>
    <row r="213" ht="57" customHeight="1" s="23">
      <c r="A213" s="114" t="inlineStr">
        <is>
          <t>PN26-209</t>
        </is>
      </c>
      <c r="B213" s="114" t="n">
        <v>80111601</v>
      </c>
      <c r="C213" s="114" t="inlineStr">
        <is>
          <t>Centro de Biblioteca y Recursos Educativos</t>
        </is>
      </c>
      <c r="D213" s="114" t="inlineStr">
        <is>
          <t>PRESTACIÓN DE SERVICIOS DE APOYO A LA GESTIÓN COMO TECNÓLOGO PARA ACOMPAÑAR TODAS LAS ACTIVIDADES Y PROCESOS OPERATIVOS, ASISTENCIALES Y TÉCNICOS MEDIANTE LOS SERVICIOS OFRECIDOS POR EL CENTRO DE BIBLIOTECA Y RECURSOS EDUCATIVOS DE LA ETITC.</t>
        </is>
      </c>
      <c r="E213" s="114" t="n">
        <v>11</v>
      </c>
      <c r="F213" s="114" t="inlineStr">
        <is>
          <t>DIRECTA</t>
        </is>
      </c>
      <c r="G213" s="118" t="n">
        <v>36000000</v>
      </c>
      <c r="H213" s="114" t="inlineStr">
        <is>
          <t>Profesional universitario 2044-05 del Centro de Biblioteca</t>
        </is>
      </c>
      <c r="I213" s="114" t="inlineStr">
        <is>
          <t>PBX 3443000 Ext. 172</t>
        </is>
      </c>
      <c r="J213" s="114" t="inlineStr">
        <is>
          <t>biblioteca@itc.edu.co</t>
        </is>
      </c>
      <c r="K213" s="114" t="n"/>
      <c r="L213" s="119" t="inlineStr">
        <is>
          <t>121 · GIT Biblioteca y Recursos Educativos</t>
        </is>
      </c>
      <c r="M213" s="120" t="n">
        <v>36000000</v>
      </c>
      <c r="N213" s="119" t="inlineStr">
        <is>
          <t>Contratación directa</t>
        </is>
      </c>
      <c r="O213" s="119">
        <f>IF(LEN(IF(OR(NOT(ISNUMBER(B213)),LEN(B213)&lt;&gt;8),"UNSPSC vacío, en texto, con varios códigos o sin 8 dígitos; ","")&amp;IF(AND(ISNUMBER(B213),LEN(B213)=8),IF(MOD(B213,10000)=0,"UNSPSC a nivel de segmento o familia; ",""),"")&amp;IF(NOT(ISNUMBER(E213)),"Duración vacía o en texto; ","")&amp;IF(NOT(ISNUMBER(G213)),"Valor vacío o en texto; ","")&amp;IF(ISNUMBER(M213),IF(M213&lt;1000000,"Valor inferior a $1.000.000: verificar; ",""),"Valor no interpretable; ")&amp;IF(N213="[PENDIENTE DE VERIFICAR]","Modalidad no identificable; ","")&amp;IF(OR(ISERROR(SEARCH("@itc.edu.co",J213)),SUMPRODUCT(--ISNUMBER(SEARCH({"á","é","í","ó","ú","ñ"},J213)))&gt;0),"Correo vacío o no institucional válido; ","")&amp;IF(LEN(TRIM(D213))=0,"Sin objeto contractual; ","")&amp;IF(AND(ISNUMBER(M213),N213="Mínima cuantía"),IF(M213&gt;39850000,"Mínima cuantía con valor superior al tope citado en el instructivo 2026 ($39.850.000): verificar modalidad; ",""),"")&amp;IF(AND(ISNUMBER(M213),OR(ISNUMBER(SEARCH("prestación de servicios",D213)),ISNUMBER(SEARCH("prestar servicios",D213)),ISNUMBER(SEARCH("prestar los servicios",D213)))),IF(M213&gt;=500000000,"Prestación de servicios por $500 millones o más: posible error de digitación; ",""),""))=0,"Sin observaciones",IF(OR(NOT(ISNUMBER(B213)),LEN(B213)&lt;&gt;8),"UNSPSC vacío, en texto, con varios códigos o sin 8 dígitos; ","")&amp;IF(AND(ISNUMBER(B213),LEN(B213)=8),IF(MOD(B213,10000)=0,"UNSPSC a nivel de segmento o familia; ",""),"")&amp;IF(NOT(ISNUMBER(E213)),"Duración vacía o en texto; ","")&amp;IF(NOT(ISNUMBER(G213)),"Valor vacío o en texto; ","")&amp;IF(ISNUMBER(M213),IF(M213&lt;1000000,"Valor inferior a $1.000.000: verificar; ",""),"Valor no interpretable; ")&amp;IF(N213="[PENDIENTE DE VERIFICAR]","Modalidad no identificable; ","")&amp;IF(OR(ISERROR(SEARCH("@itc.edu.co",J213)),SUMPRODUCT(--ISNUMBER(SEARCH({"á","é","í","ó","ú","ñ"},J213)))&gt;0),"Correo vacío o no institucional válido; ","")&amp;IF(LEN(TRIM(D213))=0,"Sin objeto contractual; ","")&amp;IF(AND(ISNUMBER(M213),N213="Mínima cuantía"),IF(M213&gt;39850000,"Mínima cuantía con valor superior al tope citado en el instructivo 2026 ($39.850.000): verificar modalidad; ",""),"")&amp;IF(AND(ISNUMBER(M213),OR(ISNUMBER(SEARCH("prestación de servicios",D213)),ISNUMBER(SEARCH("prestar servicios",D213)),ISNUMBER(SEARCH("prestar los servicios",D213)))),IF(M213&gt;=500000000,"Prestación de servicios por $500 millones o más: posible error de digitación; ",""),""))</f>
        <v/>
      </c>
    </row>
    <row r="214" ht="57" customHeight="1" s="23">
      <c r="A214" s="114" t="inlineStr">
        <is>
          <t>PN26-210</t>
        </is>
      </c>
      <c r="B214" s="114" t="n">
        <v>80111601</v>
      </c>
      <c r="C214" s="114" t="inlineStr">
        <is>
          <t>Centro de Biblioteca y Recursos Educativos</t>
        </is>
      </c>
      <c r="D214" s="114" t="inlineStr">
        <is>
          <t>PRESTACIÓN DE SERVICIOS DE APOYO A LA GESTIÓN COMO TECNÓLOGO PARA ACOMPAÑAR TODAS LAS ACTIVIDADES Y PROCESOS OPERATIVOS, ASISTENCIALES Y TÉCNICOS MEDIANTE LOS SERVICIOS OFRECIDOS POR EL CENTRO DE BIBLIOTECA Y RECURSOS EDUCATIVOS DE LA ETITC.</t>
        </is>
      </c>
      <c r="E214" s="114" t="n">
        <v>11</v>
      </c>
      <c r="F214" s="114" t="inlineStr">
        <is>
          <t>DIRECTA</t>
        </is>
      </c>
      <c r="G214" s="118" t="n">
        <v>36000000</v>
      </c>
      <c r="H214" s="114" t="inlineStr">
        <is>
          <t>Profesional universitario 2044-05 del Centro de Biblioteca</t>
        </is>
      </c>
      <c r="I214" s="114" t="inlineStr">
        <is>
          <t>PBX 3443000 Ext. 172</t>
        </is>
      </c>
      <c r="J214" s="114" t="inlineStr">
        <is>
          <t>biblioteca@itc.edu.co</t>
        </is>
      </c>
      <c r="K214" s="114" t="n"/>
      <c r="L214" s="119" t="inlineStr">
        <is>
          <t>121 · GIT Biblioteca y Recursos Educativos</t>
        </is>
      </c>
      <c r="M214" s="120" t="n">
        <v>36000000</v>
      </c>
      <c r="N214" s="119" t="inlineStr">
        <is>
          <t>Contratación directa</t>
        </is>
      </c>
      <c r="O214" s="119">
        <f>IF(LEN(IF(OR(NOT(ISNUMBER(B214)),LEN(B214)&lt;&gt;8),"UNSPSC vacío, en texto, con varios códigos o sin 8 dígitos; ","")&amp;IF(AND(ISNUMBER(B214),LEN(B214)=8),IF(MOD(B214,10000)=0,"UNSPSC a nivel de segmento o familia; ",""),"")&amp;IF(NOT(ISNUMBER(E214)),"Duración vacía o en texto; ","")&amp;IF(NOT(ISNUMBER(G214)),"Valor vacío o en texto; ","")&amp;IF(ISNUMBER(M214),IF(M214&lt;1000000,"Valor inferior a $1.000.000: verificar; ",""),"Valor no interpretable; ")&amp;IF(N214="[PENDIENTE DE VERIFICAR]","Modalidad no identificable; ","")&amp;IF(OR(ISERROR(SEARCH("@itc.edu.co",J214)),SUMPRODUCT(--ISNUMBER(SEARCH({"á","é","í","ó","ú","ñ"},J214)))&gt;0),"Correo vacío o no institucional válido; ","")&amp;IF(LEN(TRIM(D214))=0,"Sin objeto contractual; ","")&amp;IF(AND(ISNUMBER(M214),N214="Mínima cuantía"),IF(M214&gt;39850000,"Mínima cuantía con valor superior al tope citado en el instructivo 2026 ($39.850.000): verificar modalidad; ",""),"")&amp;IF(AND(ISNUMBER(M214),OR(ISNUMBER(SEARCH("prestación de servicios",D214)),ISNUMBER(SEARCH("prestar servicios",D214)),ISNUMBER(SEARCH("prestar los servicios",D214)))),IF(M214&gt;=500000000,"Prestación de servicios por $500 millones o más: posible error de digitación; ",""),""))=0,"Sin observaciones",IF(OR(NOT(ISNUMBER(B214)),LEN(B214)&lt;&gt;8),"UNSPSC vacío, en texto, con varios códigos o sin 8 dígitos; ","")&amp;IF(AND(ISNUMBER(B214),LEN(B214)=8),IF(MOD(B214,10000)=0,"UNSPSC a nivel de segmento o familia; ",""),"")&amp;IF(NOT(ISNUMBER(E214)),"Duración vacía o en texto; ","")&amp;IF(NOT(ISNUMBER(G214)),"Valor vacío o en texto; ","")&amp;IF(ISNUMBER(M214),IF(M214&lt;1000000,"Valor inferior a $1.000.000: verificar; ",""),"Valor no interpretable; ")&amp;IF(N214="[PENDIENTE DE VERIFICAR]","Modalidad no identificable; ","")&amp;IF(OR(ISERROR(SEARCH("@itc.edu.co",J214)),SUMPRODUCT(--ISNUMBER(SEARCH({"á","é","í","ó","ú","ñ"},J214)))&gt;0),"Correo vacío o no institucional válido; ","")&amp;IF(LEN(TRIM(D214))=0,"Sin objeto contractual; ","")&amp;IF(AND(ISNUMBER(M214),N214="Mínima cuantía"),IF(M214&gt;39850000,"Mínima cuantía con valor superior al tope citado en el instructivo 2026 ($39.850.000): verificar modalidad; ",""),"")&amp;IF(AND(ISNUMBER(M214),OR(ISNUMBER(SEARCH("prestación de servicios",D214)),ISNUMBER(SEARCH("prestar servicios",D214)),ISNUMBER(SEARCH("prestar los servicios",D214)))),IF(M214&gt;=500000000,"Prestación de servicios por $500 millones o más: posible error de digitación; ",""),""))</f>
        <v/>
      </c>
    </row>
    <row r="215" ht="57" customHeight="1" s="23">
      <c r="A215" s="114" t="inlineStr">
        <is>
          <t>PN26-211</t>
        </is>
      </c>
      <c r="B215" s="114" t="n">
        <v>80111601</v>
      </c>
      <c r="C215" s="114" t="inlineStr">
        <is>
          <t>Centro de Biblioteca y Recursos Educativos</t>
        </is>
      </c>
      <c r="D215" s="114" t="inlineStr">
        <is>
          <t>PRESTACIÓN DE SERVICIOS DE APOYO A LA GESTIÓN COMO TECNÓLOGO PARA ACOMPAÑAR TODAS LAS ACTIVIDADES Y PROCESOS OPERATIVOS, ASISTENCIALES Y TÉCNICOS MEDIANTE LOS SERVICIOS OFRECIDOS POR EL CENTRO DE BIBLIOTECA Y RECURSOS EDUCATIVOS DE LA ETITC.</t>
        </is>
      </c>
      <c r="E215" s="114" t="n">
        <v>11</v>
      </c>
      <c r="F215" s="114" t="inlineStr">
        <is>
          <t>DIRECTA</t>
        </is>
      </c>
      <c r="G215" s="118" t="n">
        <v>36000000</v>
      </c>
      <c r="H215" s="114" t="inlineStr">
        <is>
          <t>Profesional universitario 2044-05 del Centro de Biblioteca</t>
        </is>
      </c>
      <c r="I215" s="114" t="inlineStr">
        <is>
          <t>PBX 3443000 Ext. 172</t>
        </is>
      </c>
      <c r="J215" s="114" t="inlineStr">
        <is>
          <t>biblioteca@itc.edu.co</t>
        </is>
      </c>
      <c r="K215" s="114" t="n"/>
      <c r="L215" s="119" t="inlineStr">
        <is>
          <t>121 · GIT Biblioteca y Recursos Educativos</t>
        </is>
      </c>
      <c r="M215" s="120" t="n">
        <v>36000000</v>
      </c>
      <c r="N215" s="119" t="inlineStr">
        <is>
          <t>Contratación directa</t>
        </is>
      </c>
      <c r="O215" s="119">
        <f>IF(LEN(IF(OR(NOT(ISNUMBER(B215)),LEN(B215)&lt;&gt;8),"UNSPSC vacío, en texto, con varios códigos o sin 8 dígitos; ","")&amp;IF(AND(ISNUMBER(B215),LEN(B215)=8),IF(MOD(B215,10000)=0,"UNSPSC a nivel de segmento o familia; ",""),"")&amp;IF(NOT(ISNUMBER(E215)),"Duración vacía o en texto; ","")&amp;IF(NOT(ISNUMBER(G215)),"Valor vacío o en texto; ","")&amp;IF(ISNUMBER(M215),IF(M215&lt;1000000,"Valor inferior a $1.000.000: verificar; ",""),"Valor no interpretable; ")&amp;IF(N215="[PENDIENTE DE VERIFICAR]","Modalidad no identificable; ","")&amp;IF(OR(ISERROR(SEARCH("@itc.edu.co",J215)),SUMPRODUCT(--ISNUMBER(SEARCH({"á","é","í","ó","ú","ñ"},J215)))&gt;0),"Correo vacío o no institucional válido; ","")&amp;IF(LEN(TRIM(D215))=0,"Sin objeto contractual; ","")&amp;IF(AND(ISNUMBER(M215),N215="Mínima cuantía"),IF(M215&gt;39850000,"Mínima cuantía con valor superior al tope citado en el instructivo 2026 ($39.850.000): verificar modalidad; ",""),"")&amp;IF(AND(ISNUMBER(M215),OR(ISNUMBER(SEARCH("prestación de servicios",D215)),ISNUMBER(SEARCH("prestar servicios",D215)),ISNUMBER(SEARCH("prestar los servicios",D215)))),IF(M215&gt;=500000000,"Prestación de servicios por $500 millones o más: posible error de digitación; ",""),""))=0,"Sin observaciones",IF(OR(NOT(ISNUMBER(B215)),LEN(B215)&lt;&gt;8),"UNSPSC vacío, en texto, con varios códigos o sin 8 dígitos; ","")&amp;IF(AND(ISNUMBER(B215),LEN(B215)=8),IF(MOD(B215,10000)=0,"UNSPSC a nivel de segmento o familia; ",""),"")&amp;IF(NOT(ISNUMBER(E215)),"Duración vacía o en texto; ","")&amp;IF(NOT(ISNUMBER(G215)),"Valor vacío o en texto; ","")&amp;IF(ISNUMBER(M215),IF(M215&lt;1000000,"Valor inferior a $1.000.000: verificar; ",""),"Valor no interpretable; ")&amp;IF(N215="[PENDIENTE DE VERIFICAR]","Modalidad no identificable; ","")&amp;IF(OR(ISERROR(SEARCH("@itc.edu.co",J215)),SUMPRODUCT(--ISNUMBER(SEARCH({"á","é","í","ó","ú","ñ"},J215)))&gt;0),"Correo vacío o no institucional válido; ","")&amp;IF(LEN(TRIM(D215))=0,"Sin objeto contractual; ","")&amp;IF(AND(ISNUMBER(M215),N215="Mínima cuantía"),IF(M215&gt;39850000,"Mínima cuantía con valor superior al tope citado en el instructivo 2026 ($39.850.000): verificar modalidad; ",""),"")&amp;IF(AND(ISNUMBER(M215),OR(ISNUMBER(SEARCH("prestación de servicios",D215)),ISNUMBER(SEARCH("prestar servicios",D215)),ISNUMBER(SEARCH("prestar los servicios",D215)))),IF(M215&gt;=500000000,"Prestación de servicios por $500 millones o más: posible error de digitación; ",""),""))</f>
        <v/>
      </c>
    </row>
    <row r="216" ht="57" customHeight="1" s="23">
      <c r="A216" s="114" t="inlineStr">
        <is>
          <t>PN26-212</t>
        </is>
      </c>
      <c r="B216" s="114" t="n">
        <v>80111601</v>
      </c>
      <c r="C216" s="114" t="inlineStr">
        <is>
          <t>Centro de Biblioteca y Recursos Educativos</t>
        </is>
      </c>
      <c r="D216" s="114" t="inlineStr">
        <is>
          <t>PRESTACIÓN DE SERVICIOS DE APOYO A LA GESTIÓN COMO TECNÓLOGO PARA ACOMPAÑAR TODAS LAS ACTIVIDADES Y PROCESOS OPERATIVOS, ASISTENCIALES Y TÉCNICOS MEDIANTE LOS SERVICIOS OFRECIDOS POR EL CENTRO DE BIBLIOTECA Y RECURSOS EDUCATIVOS DE LA ETITC.</t>
        </is>
      </c>
      <c r="E216" s="114" t="n">
        <v>11</v>
      </c>
      <c r="F216" s="114" t="inlineStr">
        <is>
          <t>DIRECTA</t>
        </is>
      </c>
      <c r="G216" s="118" t="n">
        <v>36000000</v>
      </c>
      <c r="H216" s="114" t="inlineStr">
        <is>
          <t>Profesional universitario 2044-05 del Centro de Biblioteca</t>
        </is>
      </c>
      <c r="I216" s="114" t="inlineStr">
        <is>
          <t>PBX 3443000 Ext. 172</t>
        </is>
      </c>
      <c r="J216" s="114" t="inlineStr">
        <is>
          <t>biblioteca@itc.edu.co</t>
        </is>
      </c>
      <c r="K216" s="114" t="n"/>
      <c r="L216" s="119" t="inlineStr">
        <is>
          <t>121 · GIT Biblioteca y Recursos Educativos</t>
        </is>
      </c>
      <c r="M216" s="120" t="n">
        <v>36000000</v>
      </c>
      <c r="N216" s="119" t="inlineStr">
        <is>
          <t>Contratación directa</t>
        </is>
      </c>
      <c r="O216" s="119">
        <f>IF(LEN(IF(OR(NOT(ISNUMBER(B216)),LEN(B216)&lt;&gt;8),"UNSPSC vacío, en texto, con varios códigos o sin 8 dígitos; ","")&amp;IF(AND(ISNUMBER(B216),LEN(B216)=8),IF(MOD(B216,10000)=0,"UNSPSC a nivel de segmento o familia; ",""),"")&amp;IF(NOT(ISNUMBER(E216)),"Duración vacía o en texto; ","")&amp;IF(NOT(ISNUMBER(G216)),"Valor vacío o en texto; ","")&amp;IF(ISNUMBER(M216),IF(M216&lt;1000000,"Valor inferior a $1.000.000: verificar; ",""),"Valor no interpretable; ")&amp;IF(N216="[PENDIENTE DE VERIFICAR]","Modalidad no identificable; ","")&amp;IF(OR(ISERROR(SEARCH("@itc.edu.co",J216)),SUMPRODUCT(--ISNUMBER(SEARCH({"á","é","í","ó","ú","ñ"},J216)))&gt;0),"Correo vacío o no institucional válido; ","")&amp;IF(LEN(TRIM(D216))=0,"Sin objeto contractual; ","")&amp;IF(AND(ISNUMBER(M216),N216="Mínima cuantía"),IF(M216&gt;39850000,"Mínima cuantía con valor superior al tope citado en el instructivo 2026 ($39.850.000): verificar modalidad; ",""),"")&amp;IF(AND(ISNUMBER(M216),OR(ISNUMBER(SEARCH("prestación de servicios",D216)),ISNUMBER(SEARCH("prestar servicios",D216)),ISNUMBER(SEARCH("prestar los servicios",D216)))),IF(M216&gt;=500000000,"Prestación de servicios por $500 millones o más: posible error de digitación; ",""),""))=0,"Sin observaciones",IF(OR(NOT(ISNUMBER(B216)),LEN(B216)&lt;&gt;8),"UNSPSC vacío, en texto, con varios códigos o sin 8 dígitos; ","")&amp;IF(AND(ISNUMBER(B216),LEN(B216)=8),IF(MOD(B216,10000)=0,"UNSPSC a nivel de segmento o familia; ",""),"")&amp;IF(NOT(ISNUMBER(E216)),"Duración vacía o en texto; ","")&amp;IF(NOT(ISNUMBER(G216)),"Valor vacío o en texto; ","")&amp;IF(ISNUMBER(M216),IF(M216&lt;1000000,"Valor inferior a $1.000.000: verificar; ",""),"Valor no interpretable; ")&amp;IF(N216="[PENDIENTE DE VERIFICAR]","Modalidad no identificable; ","")&amp;IF(OR(ISERROR(SEARCH("@itc.edu.co",J216)),SUMPRODUCT(--ISNUMBER(SEARCH({"á","é","í","ó","ú","ñ"},J216)))&gt;0),"Correo vacío o no institucional válido; ","")&amp;IF(LEN(TRIM(D216))=0,"Sin objeto contractual; ","")&amp;IF(AND(ISNUMBER(M216),N216="Mínima cuantía"),IF(M216&gt;39850000,"Mínima cuantía con valor superior al tope citado en el instructivo 2026 ($39.850.000): verificar modalidad; ",""),"")&amp;IF(AND(ISNUMBER(M216),OR(ISNUMBER(SEARCH("prestación de servicios",D216)),ISNUMBER(SEARCH("prestar servicios",D216)),ISNUMBER(SEARCH("prestar los servicios",D216)))),IF(M216&gt;=500000000,"Prestación de servicios por $500 millones o más: posible error de digitación; ",""),""))</f>
        <v/>
      </c>
    </row>
    <row r="217" ht="57" customHeight="1" s="23">
      <c r="A217" s="114" t="inlineStr">
        <is>
          <t>PN26-213</t>
        </is>
      </c>
      <c r="B217" s="114" t="n">
        <v>80111601</v>
      </c>
      <c r="C217" s="114" t="inlineStr">
        <is>
          <t>Centro de Biblioteca y Recursos Educativos</t>
        </is>
      </c>
      <c r="D217" s="114" t="inlineStr">
        <is>
          <t>PRESTACIÓN DE SERVICIOS DE APOYO A LA GESTIÓN COMO TECNÓLOGO PARA ACOMPAÑAR TODAS LAS ACTIVIDADES Y PROCESOS OPERATIVOS, ASISTENCIALES Y TÉCNICOS MEDIANTE LOS SERVICIOS OFRECIDOS POR EL CENTRO DE BIBLIOTECA Y RECURSOS EDUCATIVOS DE LA ETITC.</t>
        </is>
      </c>
      <c r="E217" s="114" t="n">
        <v>11</v>
      </c>
      <c r="F217" s="114" t="inlineStr">
        <is>
          <t>DIRECTA</t>
        </is>
      </c>
      <c r="G217" s="118" t="n">
        <v>36000000</v>
      </c>
      <c r="H217" s="114" t="inlineStr">
        <is>
          <t>Profesional universitario 2044-05 del Centro de Biblioteca</t>
        </is>
      </c>
      <c r="I217" s="114" t="inlineStr">
        <is>
          <t>PBX 3443000 Ext. 172</t>
        </is>
      </c>
      <c r="J217" s="114" t="inlineStr">
        <is>
          <t>biblioteca@itc.edu.co</t>
        </is>
      </c>
      <c r="K217" s="114" t="n"/>
      <c r="L217" s="119" t="inlineStr">
        <is>
          <t>121 · GIT Biblioteca y Recursos Educativos</t>
        </is>
      </c>
      <c r="M217" s="120" t="n">
        <v>36000000</v>
      </c>
      <c r="N217" s="119" t="inlineStr">
        <is>
          <t>Contratación directa</t>
        </is>
      </c>
      <c r="O217" s="119">
        <f>IF(LEN(IF(OR(NOT(ISNUMBER(B217)),LEN(B217)&lt;&gt;8),"UNSPSC vacío, en texto, con varios códigos o sin 8 dígitos; ","")&amp;IF(AND(ISNUMBER(B217),LEN(B217)=8),IF(MOD(B217,10000)=0,"UNSPSC a nivel de segmento o familia; ",""),"")&amp;IF(NOT(ISNUMBER(E217)),"Duración vacía o en texto; ","")&amp;IF(NOT(ISNUMBER(G217)),"Valor vacío o en texto; ","")&amp;IF(ISNUMBER(M217),IF(M217&lt;1000000,"Valor inferior a $1.000.000: verificar; ",""),"Valor no interpretable; ")&amp;IF(N217="[PENDIENTE DE VERIFICAR]","Modalidad no identificable; ","")&amp;IF(OR(ISERROR(SEARCH("@itc.edu.co",J217)),SUMPRODUCT(--ISNUMBER(SEARCH({"á","é","í","ó","ú","ñ"},J217)))&gt;0),"Correo vacío o no institucional válido; ","")&amp;IF(LEN(TRIM(D217))=0,"Sin objeto contractual; ","")&amp;IF(AND(ISNUMBER(M217),N217="Mínima cuantía"),IF(M217&gt;39850000,"Mínima cuantía con valor superior al tope citado en el instructivo 2026 ($39.850.000): verificar modalidad; ",""),"")&amp;IF(AND(ISNUMBER(M217),OR(ISNUMBER(SEARCH("prestación de servicios",D217)),ISNUMBER(SEARCH("prestar servicios",D217)),ISNUMBER(SEARCH("prestar los servicios",D217)))),IF(M217&gt;=500000000,"Prestación de servicios por $500 millones o más: posible error de digitación; ",""),""))=0,"Sin observaciones",IF(OR(NOT(ISNUMBER(B217)),LEN(B217)&lt;&gt;8),"UNSPSC vacío, en texto, con varios códigos o sin 8 dígitos; ","")&amp;IF(AND(ISNUMBER(B217),LEN(B217)=8),IF(MOD(B217,10000)=0,"UNSPSC a nivel de segmento o familia; ",""),"")&amp;IF(NOT(ISNUMBER(E217)),"Duración vacía o en texto; ","")&amp;IF(NOT(ISNUMBER(G217)),"Valor vacío o en texto; ","")&amp;IF(ISNUMBER(M217),IF(M217&lt;1000000,"Valor inferior a $1.000.000: verificar; ",""),"Valor no interpretable; ")&amp;IF(N217="[PENDIENTE DE VERIFICAR]","Modalidad no identificable; ","")&amp;IF(OR(ISERROR(SEARCH("@itc.edu.co",J217)),SUMPRODUCT(--ISNUMBER(SEARCH({"á","é","í","ó","ú","ñ"},J217)))&gt;0),"Correo vacío o no institucional válido; ","")&amp;IF(LEN(TRIM(D217))=0,"Sin objeto contractual; ","")&amp;IF(AND(ISNUMBER(M217),N217="Mínima cuantía"),IF(M217&gt;39850000,"Mínima cuantía con valor superior al tope citado en el instructivo 2026 ($39.850.000): verificar modalidad; ",""),"")&amp;IF(AND(ISNUMBER(M217),OR(ISNUMBER(SEARCH("prestación de servicios",D217)),ISNUMBER(SEARCH("prestar servicios",D217)),ISNUMBER(SEARCH("prestar los servicios",D217)))),IF(M217&gt;=500000000,"Prestación de servicios por $500 millones o más: posible error de digitación; ",""),""))</f>
        <v/>
      </c>
    </row>
    <row r="218" ht="57" customHeight="1" s="23">
      <c r="A218" s="114" t="inlineStr">
        <is>
          <t>PN26-214</t>
        </is>
      </c>
      <c r="B218" s="114" t="n">
        <v>80111601</v>
      </c>
      <c r="C218" s="114" t="inlineStr">
        <is>
          <t>Centro de Biblioteca y Recursos Educativos</t>
        </is>
      </c>
      <c r="D218" s="114" t="inlineStr">
        <is>
          <t>PRESTACIÓN DE SERVICIOS DE APOYO A LA GESTIÓN COMO TECNÓLOGO PARA ACOMPAÑAR TODAS LAS ACTIVIDADES Y PROCESOS OPERATIVOS, ASISTENCIALES Y TÉCNICOS MEDIANTE LOS SERVICIOS OFRECIDOS POR EL CENTRO DE BIBLIOTECA Y RECURSOS EDUCATIVOS DE LA ETITC.</t>
        </is>
      </c>
      <c r="E218" s="114" t="n">
        <v>11</v>
      </c>
      <c r="F218" s="114" t="inlineStr">
        <is>
          <t>DIRECTA</t>
        </is>
      </c>
      <c r="G218" s="118" t="n">
        <v>36000000</v>
      </c>
      <c r="H218" s="114" t="inlineStr">
        <is>
          <t>Profesional universitario 2044-05 del Centro de Biblioteca</t>
        </is>
      </c>
      <c r="I218" s="114" t="inlineStr">
        <is>
          <t>PBX 3443000 Ext. 172</t>
        </is>
      </c>
      <c r="J218" s="114" t="inlineStr">
        <is>
          <t>biblioteca@itc.edu.co</t>
        </is>
      </c>
      <c r="K218" s="114" t="n"/>
      <c r="L218" s="119" t="inlineStr">
        <is>
          <t>121 · GIT Biblioteca y Recursos Educativos</t>
        </is>
      </c>
      <c r="M218" s="120" t="n">
        <v>36000000</v>
      </c>
      <c r="N218" s="119" t="inlineStr">
        <is>
          <t>Contratación directa</t>
        </is>
      </c>
      <c r="O218" s="119">
        <f>IF(LEN(IF(OR(NOT(ISNUMBER(B218)),LEN(B218)&lt;&gt;8),"UNSPSC vacío, en texto, con varios códigos o sin 8 dígitos; ","")&amp;IF(AND(ISNUMBER(B218),LEN(B218)=8),IF(MOD(B218,10000)=0,"UNSPSC a nivel de segmento o familia; ",""),"")&amp;IF(NOT(ISNUMBER(E218)),"Duración vacía o en texto; ","")&amp;IF(NOT(ISNUMBER(G218)),"Valor vacío o en texto; ","")&amp;IF(ISNUMBER(M218),IF(M218&lt;1000000,"Valor inferior a $1.000.000: verificar; ",""),"Valor no interpretable; ")&amp;IF(N218="[PENDIENTE DE VERIFICAR]","Modalidad no identificable; ","")&amp;IF(OR(ISERROR(SEARCH("@itc.edu.co",J218)),SUMPRODUCT(--ISNUMBER(SEARCH({"á","é","í","ó","ú","ñ"},J218)))&gt;0),"Correo vacío o no institucional válido; ","")&amp;IF(LEN(TRIM(D218))=0,"Sin objeto contractual; ","")&amp;IF(AND(ISNUMBER(M218),N218="Mínima cuantía"),IF(M218&gt;39850000,"Mínima cuantía con valor superior al tope citado en el instructivo 2026 ($39.850.000): verificar modalidad; ",""),"")&amp;IF(AND(ISNUMBER(M218),OR(ISNUMBER(SEARCH("prestación de servicios",D218)),ISNUMBER(SEARCH("prestar servicios",D218)),ISNUMBER(SEARCH("prestar los servicios",D218)))),IF(M218&gt;=500000000,"Prestación de servicios por $500 millones o más: posible error de digitación; ",""),""))=0,"Sin observaciones",IF(OR(NOT(ISNUMBER(B218)),LEN(B218)&lt;&gt;8),"UNSPSC vacío, en texto, con varios códigos o sin 8 dígitos; ","")&amp;IF(AND(ISNUMBER(B218),LEN(B218)=8),IF(MOD(B218,10000)=0,"UNSPSC a nivel de segmento o familia; ",""),"")&amp;IF(NOT(ISNUMBER(E218)),"Duración vacía o en texto; ","")&amp;IF(NOT(ISNUMBER(G218)),"Valor vacío o en texto; ","")&amp;IF(ISNUMBER(M218),IF(M218&lt;1000000,"Valor inferior a $1.000.000: verificar; ",""),"Valor no interpretable; ")&amp;IF(N218="[PENDIENTE DE VERIFICAR]","Modalidad no identificable; ","")&amp;IF(OR(ISERROR(SEARCH("@itc.edu.co",J218)),SUMPRODUCT(--ISNUMBER(SEARCH({"á","é","í","ó","ú","ñ"},J218)))&gt;0),"Correo vacío o no institucional válido; ","")&amp;IF(LEN(TRIM(D218))=0,"Sin objeto contractual; ","")&amp;IF(AND(ISNUMBER(M218),N218="Mínima cuantía"),IF(M218&gt;39850000,"Mínima cuantía con valor superior al tope citado en el instructivo 2026 ($39.850.000): verificar modalidad; ",""),"")&amp;IF(AND(ISNUMBER(M218),OR(ISNUMBER(SEARCH("prestación de servicios",D218)),ISNUMBER(SEARCH("prestar servicios",D218)),ISNUMBER(SEARCH("prestar los servicios",D218)))),IF(M218&gt;=500000000,"Prestación de servicios por $500 millones o más: posible error de digitación; ",""),""))</f>
        <v/>
      </c>
    </row>
    <row r="219" ht="79.8" customHeight="1" s="23">
      <c r="A219" s="114" t="inlineStr">
        <is>
          <t>PN26-215</t>
        </is>
      </c>
      <c r="B219" s="114" t="n">
        <v>80111600</v>
      </c>
      <c r="C219" s="114" t="inlineStr">
        <is>
          <t>Centro de Biblioteca y Recursos Educativos</t>
        </is>
      </c>
      <c r="D219" s="114" t="inlineStr">
        <is>
          <t>PRESTACIÓN DE SERVICIOS PROFESIONALES PARA APOYAR LA GESTIÓN DEL CENTRO DE BIBLIOTECA Y RECURSOS EDUCATIVOS DE LA ETITC, MEDIANTE EL DISEÑO, PLANEACIÓN, EJECUCIÓN Y EVALUACIÓN DE ESTRATEGIAS DE FORMACIÓN Y CAPACITACIÓN DIRIGIDAS A LA COMUNIDAD ACADÉMICA, ORIENTADAS AL USO, APROPIACIÓN Y APROVECHAMIENTO DE LOS RECURSOS BIBLIOGRÁFICOS.</t>
        </is>
      </c>
      <c r="E219" s="114" t="n">
        <v>11</v>
      </c>
      <c r="F219" s="114" t="inlineStr">
        <is>
          <t>DIRECTA</t>
        </is>
      </c>
      <c r="G219" s="118" t="n">
        <v>46500000</v>
      </c>
      <c r="H219" s="114" t="inlineStr">
        <is>
          <t>Profesional universitario 2044-05 del Centro de Biblioteca</t>
        </is>
      </c>
      <c r="I219" s="114" t="inlineStr">
        <is>
          <t>PBX 3443000 Ext. 172</t>
        </is>
      </c>
      <c r="J219" s="114" t="inlineStr">
        <is>
          <t>biblioteca@itc.edu.co</t>
        </is>
      </c>
      <c r="K219" s="114" t="n"/>
      <c r="L219" s="119" t="inlineStr">
        <is>
          <t>121 · GIT Biblioteca y Recursos Educativos</t>
        </is>
      </c>
      <c r="M219" s="120" t="n">
        <v>46500000</v>
      </c>
      <c r="N219" s="119" t="inlineStr">
        <is>
          <t>Contratación directa</t>
        </is>
      </c>
      <c r="O219" s="119">
        <f>IF(LEN(IF(OR(NOT(ISNUMBER(B219)),LEN(B219)&lt;&gt;8),"UNSPSC vacío, en texto, con varios códigos o sin 8 dígitos; ","")&amp;IF(AND(ISNUMBER(B219),LEN(B219)=8),IF(MOD(B219,10000)=0,"UNSPSC a nivel de segmento o familia; ",""),"")&amp;IF(NOT(ISNUMBER(E219)),"Duración vacía o en texto; ","")&amp;IF(NOT(ISNUMBER(G219)),"Valor vacío o en texto; ","")&amp;IF(ISNUMBER(M219),IF(M219&lt;1000000,"Valor inferior a $1.000.000: verificar; ",""),"Valor no interpretable; ")&amp;IF(N219="[PENDIENTE DE VERIFICAR]","Modalidad no identificable; ","")&amp;IF(OR(ISERROR(SEARCH("@itc.edu.co",J219)),SUMPRODUCT(--ISNUMBER(SEARCH({"á","é","í","ó","ú","ñ"},J219)))&gt;0),"Correo vacío o no institucional válido; ","")&amp;IF(LEN(TRIM(D219))=0,"Sin objeto contractual; ","")&amp;IF(AND(ISNUMBER(M219),N219="Mínima cuantía"),IF(M219&gt;39850000,"Mínima cuantía con valor superior al tope citado en el instructivo 2026 ($39.850.000): verificar modalidad; ",""),"")&amp;IF(AND(ISNUMBER(M219),OR(ISNUMBER(SEARCH("prestación de servicios",D219)),ISNUMBER(SEARCH("prestar servicios",D219)),ISNUMBER(SEARCH("prestar los servicios",D219)))),IF(M219&gt;=500000000,"Prestación de servicios por $500 millones o más: posible error de digitación; ",""),""))=0,"Sin observaciones",IF(OR(NOT(ISNUMBER(B219)),LEN(B219)&lt;&gt;8),"UNSPSC vacío, en texto, con varios códigos o sin 8 dígitos; ","")&amp;IF(AND(ISNUMBER(B219),LEN(B219)=8),IF(MOD(B219,10000)=0,"UNSPSC a nivel de segmento o familia; ",""),"")&amp;IF(NOT(ISNUMBER(E219)),"Duración vacía o en texto; ","")&amp;IF(NOT(ISNUMBER(G219)),"Valor vacío o en texto; ","")&amp;IF(ISNUMBER(M219),IF(M219&lt;1000000,"Valor inferior a $1.000.000: verificar; ",""),"Valor no interpretable; ")&amp;IF(N219="[PENDIENTE DE VERIFICAR]","Modalidad no identificable; ","")&amp;IF(OR(ISERROR(SEARCH("@itc.edu.co",J219)),SUMPRODUCT(--ISNUMBER(SEARCH({"á","é","í","ó","ú","ñ"},J219)))&gt;0),"Correo vacío o no institucional válido; ","")&amp;IF(LEN(TRIM(D219))=0,"Sin objeto contractual; ","")&amp;IF(AND(ISNUMBER(M219),N219="Mínima cuantía"),IF(M219&gt;39850000,"Mínima cuantía con valor superior al tope citado en el instructivo 2026 ($39.850.000): verificar modalidad; ",""),"")&amp;IF(AND(ISNUMBER(M219),OR(ISNUMBER(SEARCH("prestación de servicios",D219)),ISNUMBER(SEARCH("prestar servicios",D219)),ISNUMBER(SEARCH("prestar los servicios",D219)))),IF(M219&gt;=500000000,"Prestación de servicios por $500 millones o más: posible error de digitación; ",""),""))</f>
        <v/>
      </c>
    </row>
    <row r="220" ht="57" customHeight="1" s="23">
      <c r="A220" s="114" t="inlineStr">
        <is>
          <t>PN26-216</t>
        </is>
      </c>
      <c r="B220" s="114" t="n">
        <v>60102300</v>
      </c>
      <c r="C220" s="114" t="inlineStr">
        <is>
          <t>Centro de Biblioteca y Recursos Educativos</t>
        </is>
      </c>
      <c r="D220" s="114" t="inlineStr">
        <is>
          <t>ADQUISICIÓN DE TEXTOS IMPRESOS PARA LA COLECCION GENERAL, COMO APOYO A LAS ACTIVIDADES ACADÉMICAS Y DE INVESTIGACIÓN DE LA COMUNIDAD EN GENERAL DEL CENTRO DE BIBLIOTECA Y RECURSOS EDUCATIVOS DE LA ESCUELA TECNOLOGICA INSTITUTO TECNICO CENTRAL.</t>
        </is>
      </c>
      <c r="E220" s="114" t="n">
        <v>11</v>
      </c>
      <c r="F220" s="114" t="inlineStr">
        <is>
          <t>DIRECTA</t>
        </is>
      </c>
      <c r="G220" s="118" t="n">
        <v>65000000</v>
      </c>
      <c r="H220" s="114" t="inlineStr">
        <is>
          <t>Profesional universitario 2044-05 del Centro de Biblioteca</t>
        </is>
      </c>
      <c r="I220" s="114" t="inlineStr">
        <is>
          <t>PBX 3443000 Ext. 172</t>
        </is>
      </c>
      <c r="J220" s="114" t="inlineStr">
        <is>
          <t>biblioteca@itc.edu.co</t>
        </is>
      </c>
      <c r="K220" s="114" t="n"/>
      <c r="L220" s="119" t="inlineStr">
        <is>
          <t>121 · GIT Biblioteca y Recursos Educativos</t>
        </is>
      </c>
      <c r="M220" s="120" t="n">
        <v>65000000</v>
      </c>
      <c r="N220" s="119" t="inlineStr">
        <is>
          <t>Contratación directa</t>
        </is>
      </c>
      <c r="O220" s="119">
        <f>IF(LEN(IF(OR(NOT(ISNUMBER(B220)),LEN(B220)&lt;&gt;8),"UNSPSC vacío, en texto, con varios códigos o sin 8 dígitos; ","")&amp;IF(AND(ISNUMBER(B220),LEN(B220)=8),IF(MOD(B220,10000)=0,"UNSPSC a nivel de segmento o familia; ",""),"")&amp;IF(NOT(ISNUMBER(E220)),"Duración vacía o en texto; ","")&amp;IF(NOT(ISNUMBER(G220)),"Valor vacío o en texto; ","")&amp;IF(ISNUMBER(M220),IF(M220&lt;1000000,"Valor inferior a $1.000.000: verificar; ",""),"Valor no interpretable; ")&amp;IF(N220="[PENDIENTE DE VERIFICAR]","Modalidad no identificable; ","")&amp;IF(OR(ISERROR(SEARCH("@itc.edu.co",J220)),SUMPRODUCT(--ISNUMBER(SEARCH({"á","é","í","ó","ú","ñ"},J220)))&gt;0),"Correo vacío o no institucional válido; ","")&amp;IF(LEN(TRIM(D220))=0,"Sin objeto contractual; ","")&amp;IF(AND(ISNUMBER(M220),N220="Mínima cuantía"),IF(M220&gt;39850000,"Mínima cuantía con valor superior al tope citado en el instructivo 2026 ($39.850.000): verificar modalidad; ",""),"")&amp;IF(AND(ISNUMBER(M220),OR(ISNUMBER(SEARCH("prestación de servicios",D220)),ISNUMBER(SEARCH("prestar servicios",D220)),ISNUMBER(SEARCH("prestar los servicios",D220)))),IF(M220&gt;=500000000,"Prestación de servicios por $500 millones o más: posible error de digitación; ",""),""))=0,"Sin observaciones",IF(OR(NOT(ISNUMBER(B220)),LEN(B220)&lt;&gt;8),"UNSPSC vacío, en texto, con varios códigos o sin 8 dígitos; ","")&amp;IF(AND(ISNUMBER(B220),LEN(B220)=8),IF(MOD(B220,10000)=0,"UNSPSC a nivel de segmento o familia; ",""),"")&amp;IF(NOT(ISNUMBER(E220)),"Duración vacía o en texto; ","")&amp;IF(NOT(ISNUMBER(G220)),"Valor vacío o en texto; ","")&amp;IF(ISNUMBER(M220),IF(M220&lt;1000000,"Valor inferior a $1.000.000: verificar; ",""),"Valor no interpretable; ")&amp;IF(N220="[PENDIENTE DE VERIFICAR]","Modalidad no identificable; ","")&amp;IF(OR(ISERROR(SEARCH("@itc.edu.co",J220)),SUMPRODUCT(--ISNUMBER(SEARCH({"á","é","í","ó","ú","ñ"},J220)))&gt;0),"Correo vacío o no institucional válido; ","")&amp;IF(LEN(TRIM(D220))=0,"Sin objeto contractual; ","")&amp;IF(AND(ISNUMBER(M220),N220="Mínima cuantía"),IF(M220&gt;39850000,"Mínima cuantía con valor superior al tope citado en el instructivo 2026 ($39.850.000): verificar modalidad; ",""),"")&amp;IF(AND(ISNUMBER(M220),OR(ISNUMBER(SEARCH("prestación de servicios",D220)),ISNUMBER(SEARCH("prestar servicios",D220)),ISNUMBER(SEARCH("prestar los servicios",D220)))),IF(M220&gt;=500000000,"Prestación de servicios por $500 millones o más: posible error de digitación; ",""),""))</f>
        <v/>
      </c>
    </row>
    <row r="221" ht="57" customHeight="1" s="23">
      <c r="A221" s="114" t="inlineStr">
        <is>
          <t>PN26-217</t>
        </is>
      </c>
      <c r="B221" s="114" t="n">
        <v>60102300</v>
      </c>
      <c r="C221" s="114" t="inlineStr">
        <is>
          <t>Centro de Biblioteca y Recursos Educativos</t>
        </is>
      </c>
      <c r="D221" s="114" t="inlineStr">
        <is>
          <t>ADQUISICIÓN DE LIBROS IMPRESOS DE LITERATURA PARA LA COLECCION GENERAL, COMO APOYO A LAS ACTIVIDADES ACADÉMICAS Y DE INVESTIGACIÓN DE LA COMUNIDAD EN GENERAL DEL CENTRO DE BIBLIOTECA Y RECURSOS EDUCATIVOS DE LA ESCUELA TECNOLOGICA INSTITUTO TECNICO CENTRAL.</t>
        </is>
      </c>
      <c r="E221" s="114" t="n">
        <v>11</v>
      </c>
      <c r="F221" s="114" t="inlineStr">
        <is>
          <t>MÍNIMA CUANTÍA</t>
        </is>
      </c>
      <c r="G221" s="118" t="n">
        <v>39000000</v>
      </c>
      <c r="H221" s="114" t="inlineStr">
        <is>
          <t>Profesional universitario 2044-05 del Centro de Biblioteca</t>
        </is>
      </c>
      <c r="I221" s="114" t="inlineStr">
        <is>
          <t>PBX 3443000 Ext. 172</t>
        </is>
      </c>
      <c r="J221" s="114" t="inlineStr">
        <is>
          <t>biblioteca@itc.edu.co</t>
        </is>
      </c>
      <c r="K221" s="114" t="n"/>
      <c r="L221" s="119" t="inlineStr">
        <is>
          <t>121 · GIT Biblioteca y Recursos Educativos</t>
        </is>
      </c>
      <c r="M221" s="120" t="n">
        <v>39000000</v>
      </c>
      <c r="N221" s="119" t="inlineStr">
        <is>
          <t>Mínima cuantía</t>
        </is>
      </c>
      <c r="O221" s="119">
        <f>IF(LEN(IF(OR(NOT(ISNUMBER(B221)),LEN(B221)&lt;&gt;8),"UNSPSC vacío, en texto, con varios códigos o sin 8 dígitos; ","")&amp;IF(AND(ISNUMBER(B221),LEN(B221)=8),IF(MOD(B221,10000)=0,"UNSPSC a nivel de segmento o familia; ",""),"")&amp;IF(NOT(ISNUMBER(E221)),"Duración vacía o en texto; ","")&amp;IF(NOT(ISNUMBER(G221)),"Valor vacío o en texto; ","")&amp;IF(ISNUMBER(M221),IF(M221&lt;1000000,"Valor inferior a $1.000.000: verificar; ",""),"Valor no interpretable; ")&amp;IF(N221="[PENDIENTE DE VERIFICAR]","Modalidad no identificable; ","")&amp;IF(OR(ISERROR(SEARCH("@itc.edu.co",J221)),SUMPRODUCT(--ISNUMBER(SEARCH({"á","é","í","ó","ú","ñ"},J221)))&gt;0),"Correo vacío o no institucional válido; ","")&amp;IF(LEN(TRIM(D221))=0,"Sin objeto contractual; ","")&amp;IF(AND(ISNUMBER(M221),N221="Mínima cuantía"),IF(M221&gt;39850000,"Mínima cuantía con valor superior al tope citado en el instructivo 2026 ($39.850.000): verificar modalidad; ",""),"")&amp;IF(AND(ISNUMBER(M221),OR(ISNUMBER(SEARCH("prestación de servicios",D221)),ISNUMBER(SEARCH("prestar servicios",D221)),ISNUMBER(SEARCH("prestar los servicios",D221)))),IF(M221&gt;=500000000,"Prestación de servicios por $500 millones o más: posible error de digitación; ",""),""))=0,"Sin observaciones",IF(OR(NOT(ISNUMBER(B221)),LEN(B221)&lt;&gt;8),"UNSPSC vacío, en texto, con varios códigos o sin 8 dígitos; ","")&amp;IF(AND(ISNUMBER(B221),LEN(B221)=8),IF(MOD(B221,10000)=0,"UNSPSC a nivel de segmento o familia; ",""),"")&amp;IF(NOT(ISNUMBER(E221)),"Duración vacía o en texto; ","")&amp;IF(NOT(ISNUMBER(G221)),"Valor vacío o en texto; ","")&amp;IF(ISNUMBER(M221),IF(M221&lt;1000000,"Valor inferior a $1.000.000: verificar; ",""),"Valor no interpretable; ")&amp;IF(N221="[PENDIENTE DE VERIFICAR]","Modalidad no identificable; ","")&amp;IF(OR(ISERROR(SEARCH("@itc.edu.co",J221)),SUMPRODUCT(--ISNUMBER(SEARCH({"á","é","í","ó","ú","ñ"},J221)))&gt;0),"Correo vacío o no institucional válido; ","")&amp;IF(LEN(TRIM(D221))=0,"Sin objeto contractual; ","")&amp;IF(AND(ISNUMBER(M221),N221="Mínima cuantía"),IF(M221&gt;39850000,"Mínima cuantía con valor superior al tope citado en el instructivo 2026 ($39.850.000): verificar modalidad; ",""),"")&amp;IF(AND(ISNUMBER(M221),OR(ISNUMBER(SEARCH("prestación de servicios",D221)),ISNUMBER(SEARCH("prestar servicios",D221)),ISNUMBER(SEARCH("prestar los servicios",D221)))),IF(M221&gt;=500000000,"Prestación de servicios por $500 millones o más: posible error de digitación; ",""),""))</f>
        <v/>
      </c>
    </row>
    <row r="222" ht="57" customHeight="1" s="23">
      <c r="A222" s="114" t="inlineStr">
        <is>
          <t>PN26-218</t>
        </is>
      </c>
      <c r="B222" s="114" t="n">
        <v>60102300</v>
      </c>
      <c r="C222" s="114" t="inlineStr">
        <is>
          <t>Centro de Biblioteca y Recursos Educativos</t>
        </is>
      </c>
      <c r="D222" s="114" t="inlineStr">
        <is>
          <t>ADQUISICIÓN DE LIBROS ELECTRÓNICOS ESPECIALIZADOS PARA LA COLECCION GENERAL, COMO APOYO A LAS ACTIVIDADES ACADÉMICAS Y DE INVESTIGACIÓN DE LA COMUNIDAD EN GENERAL DEL CENTRO DE BIBLIOTECA Y RECURSOS EDUCATIVOS DE LA ESCUELA TECNOLOGICA INSTITUTO TECNICO CENTRAL.</t>
        </is>
      </c>
      <c r="E222" s="114" t="n">
        <v>11</v>
      </c>
      <c r="F222" s="114" t="inlineStr">
        <is>
          <t>DIRECTA</t>
        </is>
      </c>
      <c r="G222" s="118" t="n">
        <v>60000000</v>
      </c>
      <c r="H222" s="114" t="inlineStr">
        <is>
          <t>Profesional universitario 2044-05 del Centro de Biblioteca</t>
        </is>
      </c>
      <c r="I222" s="114" t="inlineStr">
        <is>
          <t>PBX 3443000 Ext. 172</t>
        </is>
      </c>
      <c r="J222" s="114" t="inlineStr">
        <is>
          <t>biblioteca@itc.edu.co</t>
        </is>
      </c>
      <c r="K222" s="114" t="n"/>
      <c r="L222" s="119" t="inlineStr">
        <is>
          <t>121 · GIT Biblioteca y Recursos Educativos</t>
        </is>
      </c>
      <c r="M222" s="120" t="n">
        <v>60000000</v>
      </c>
      <c r="N222" s="119" t="inlineStr">
        <is>
          <t>Contratación directa</t>
        </is>
      </c>
      <c r="O222" s="119">
        <f>IF(LEN(IF(OR(NOT(ISNUMBER(B222)),LEN(B222)&lt;&gt;8),"UNSPSC vacío, en texto, con varios códigos o sin 8 dígitos; ","")&amp;IF(AND(ISNUMBER(B222),LEN(B222)=8),IF(MOD(B222,10000)=0,"UNSPSC a nivel de segmento o familia; ",""),"")&amp;IF(NOT(ISNUMBER(E222)),"Duración vacía o en texto; ","")&amp;IF(NOT(ISNUMBER(G222)),"Valor vacío o en texto; ","")&amp;IF(ISNUMBER(M222),IF(M222&lt;1000000,"Valor inferior a $1.000.000: verificar; ",""),"Valor no interpretable; ")&amp;IF(N222="[PENDIENTE DE VERIFICAR]","Modalidad no identificable; ","")&amp;IF(OR(ISERROR(SEARCH("@itc.edu.co",J222)),SUMPRODUCT(--ISNUMBER(SEARCH({"á","é","í","ó","ú","ñ"},J222)))&gt;0),"Correo vacío o no institucional válido; ","")&amp;IF(LEN(TRIM(D222))=0,"Sin objeto contractual; ","")&amp;IF(AND(ISNUMBER(M222),N222="Mínima cuantía"),IF(M222&gt;39850000,"Mínima cuantía con valor superior al tope citado en el instructivo 2026 ($39.850.000): verificar modalidad; ",""),"")&amp;IF(AND(ISNUMBER(M222),OR(ISNUMBER(SEARCH("prestación de servicios",D222)),ISNUMBER(SEARCH("prestar servicios",D222)),ISNUMBER(SEARCH("prestar los servicios",D222)))),IF(M222&gt;=500000000,"Prestación de servicios por $500 millones o más: posible error de digitación; ",""),""))=0,"Sin observaciones",IF(OR(NOT(ISNUMBER(B222)),LEN(B222)&lt;&gt;8),"UNSPSC vacío, en texto, con varios códigos o sin 8 dígitos; ","")&amp;IF(AND(ISNUMBER(B222),LEN(B222)=8),IF(MOD(B222,10000)=0,"UNSPSC a nivel de segmento o familia; ",""),"")&amp;IF(NOT(ISNUMBER(E222)),"Duración vacía o en texto; ","")&amp;IF(NOT(ISNUMBER(G222)),"Valor vacío o en texto; ","")&amp;IF(ISNUMBER(M222),IF(M222&lt;1000000,"Valor inferior a $1.000.000: verificar; ",""),"Valor no interpretable; ")&amp;IF(N222="[PENDIENTE DE VERIFICAR]","Modalidad no identificable; ","")&amp;IF(OR(ISERROR(SEARCH("@itc.edu.co",J222)),SUMPRODUCT(--ISNUMBER(SEARCH({"á","é","í","ó","ú","ñ"},J222)))&gt;0),"Correo vacío o no institucional válido; ","")&amp;IF(LEN(TRIM(D222))=0,"Sin objeto contractual; ","")&amp;IF(AND(ISNUMBER(M222),N222="Mínima cuantía"),IF(M222&gt;39850000,"Mínima cuantía con valor superior al tope citado en el instructivo 2026 ($39.850.000): verificar modalidad; ",""),"")&amp;IF(AND(ISNUMBER(M222),OR(ISNUMBER(SEARCH("prestación de servicios",D222)),ISNUMBER(SEARCH("prestar servicios",D222)),ISNUMBER(SEARCH("prestar los servicios",D222)))),IF(M222&gt;=500000000,"Prestación de servicios por $500 millones o más: posible error de digitación; ",""),""))</f>
        <v/>
      </c>
    </row>
    <row r="223" ht="57" customHeight="1" s="23">
      <c r="A223" s="114" t="inlineStr">
        <is>
          <t>PN26-219</t>
        </is>
      </c>
      <c r="B223" s="114" t="n">
        <v>93141701</v>
      </c>
      <c r="C223" s="114" t="inlineStr">
        <is>
          <t>Centro de Biblioteca y Recursos Educativos</t>
        </is>
      </c>
      <c r="D223" s="114" t="inlineStr">
        <is>
          <t>DESARROLLAR ACTIVIDADES CULTURALES EN EL CENTRO DE BIBLIOTECA Y RECURSOS EDUCATIVOS PARA OFRECER A LA COMUNIDAD EDUCATIVA ESPACIOS PARA LA APRECIACIÓN DEL ARTE, EL INTERCAMBIO CULTURAL, EL ENCUENTRO CON GRUPOS ÉTNICOS Y EL BUEN OCIO.</t>
        </is>
      </c>
      <c r="E223" s="114" t="n">
        <v>11</v>
      </c>
      <c r="F223" s="114" t="inlineStr">
        <is>
          <t>MÍNIMA CUANTÍA</t>
        </is>
      </c>
      <c r="G223" s="118" t="n">
        <v>20000000</v>
      </c>
      <c r="H223" s="114" t="inlineStr">
        <is>
          <t>Profesional universitario 2044-05 del Centro de Biblioteca</t>
        </is>
      </c>
      <c r="I223" s="114" t="inlineStr">
        <is>
          <t>PBX 3443000 Ext. 172</t>
        </is>
      </c>
      <c r="J223" s="114" t="inlineStr">
        <is>
          <t>biblioteca@itc.edu.co</t>
        </is>
      </c>
      <c r="K223" s="114" t="n"/>
      <c r="L223" s="119" t="inlineStr">
        <is>
          <t>121 · GIT Biblioteca y Recursos Educativos</t>
        </is>
      </c>
      <c r="M223" s="120" t="n">
        <v>20000000</v>
      </c>
      <c r="N223" s="119" t="inlineStr">
        <is>
          <t>Mínima cuantía</t>
        </is>
      </c>
      <c r="O223" s="119">
        <f>IF(LEN(IF(OR(NOT(ISNUMBER(B223)),LEN(B223)&lt;&gt;8),"UNSPSC vacío, en texto, con varios códigos o sin 8 dígitos; ","")&amp;IF(AND(ISNUMBER(B223),LEN(B223)=8),IF(MOD(B223,10000)=0,"UNSPSC a nivel de segmento o familia; ",""),"")&amp;IF(NOT(ISNUMBER(E223)),"Duración vacía o en texto; ","")&amp;IF(NOT(ISNUMBER(G223)),"Valor vacío o en texto; ","")&amp;IF(ISNUMBER(M223),IF(M223&lt;1000000,"Valor inferior a $1.000.000: verificar; ",""),"Valor no interpretable; ")&amp;IF(N223="[PENDIENTE DE VERIFICAR]","Modalidad no identificable; ","")&amp;IF(OR(ISERROR(SEARCH("@itc.edu.co",J223)),SUMPRODUCT(--ISNUMBER(SEARCH({"á","é","í","ó","ú","ñ"},J223)))&gt;0),"Correo vacío o no institucional válido; ","")&amp;IF(LEN(TRIM(D223))=0,"Sin objeto contractual; ","")&amp;IF(AND(ISNUMBER(M223),N223="Mínima cuantía"),IF(M223&gt;39850000,"Mínima cuantía con valor superior al tope citado en el instructivo 2026 ($39.850.000): verificar modalidad; ",""),"")&amp;IF(AND(ISNUMBER(M223),OR(ISNUMBER(SEARCH("prestación de servicios",D223)),ISNUMBER(SEARCH("prestar servicios",D223)),ISNUMBER(SEARCH("prestar los servicios",D223)))),IF(M223&gt;=500000000,"Prestación de servicios por $500 millones o más: posible error de digitación; ",""),""))=0,"Sin observaciones",IF(OR(NOT(ISNUMBER(B223)),LEN(B223)&lt;&gt;8),"UNSPSC vacío, en texto, con varios códigos o sin 8 dígitos; ","")&amp;IF(AND(ISNUMBER(B223),LEN(B223)=8),IF(MOD(B223,10000)=0,"UNSPSC a nivel de segmento o familia; ",""),"")&amp;IF(NOT(ISNUMBER(E223)),"Duración vacía o en texto; ","")&amp;IF(NOT(ISNUMBER(G223)),"Valor vacío o en texto; ","")&amp;IF(ISNUMBER(M223),IF(M223&lt;1000000,"Valor inferior a $1.000.000: verificar; ",""),"Valor no interpretable; ")&amp;IF(N223="[PENDIENTE DE VERIFICAR]","Modalidad no identificable; ","")&amp;IF(OR(ISERROR(SEARCH("@itc.edu.co",J223)),SUMPRODUCT(--ISNUMBER(SEARCH({"á","é","í","ó","ú","ñ"},J223)))&gt;0),"Correo vacío o no institucional válido; ","")&amp;IF(LEN(TRIM(D223))=0,"Sin objeto contractual; ","")&amp;IF(AND(ISNUMBER(M223),N223="Mínima cuantía"),IF(M223&gt;39850000,"Mínima cuantía con valor superior al tope citado en el instructivo 2026 ($39.850.000): verificar modalidad; ",""),"")&amp;IF(AND(ISNUMBER(M223),OR(ISNUMBER(SEARCH("prestación de servicios",D223)),ISNUMBER(SEARCH("prestar servicios",D223)),ISNUMBER(SEARCH("prestar los servicios",D223)))),IF(M223&gt;=500000000,"Prestación de servicios por $500 millones o más: posible error de digitación; ",""),""))</f>
        <v/>
      </c>
    </row>
    <row r="224" ht="22.8" customHeight="1" s="23">
      <c r="A224" s="114" t="inlineStr">
        <is>
          <t>PN26-220</t>
        </is>
      </c>
      <c r="B224" s="114" t="n">
        <v>85451200</v>
      </c>
      <c r="C224" s="114" t="inlineStr">
        <is>
          <t>IBTI-VRAC</t>
        </is>
      </c>
      <c r="D224" s="114" t="inlineStr">
        <is>
          <t>Pruebas de admisión de estudiantes nuevos IBTI 2027</t>
        </is>
      </c>
      <c r="E224" s="114" t="n"/>
      <c r="F224" s="114" t="inlineStr">
        <is>
          <t>Directa</t>
        </is>
      </c>
      <c r="G224" s="118" t="inlineStr">
        <is>
          <t>$45.000.000</t>
        </is>
      </c>
      <c r="H224" s="114" t="inlineStr">
        <is>
          <t>Dirección IBTI</t>
        </is>
      </c>
      <c r="I224" s="114" t="n"/>
      <c r="J224" s="114" t="inlineStr">
        <is>
          <t xml:space="preserve">directoribti@itc.edu.co </t>
        </is>
      </c>
      <c r="K224" s="114" t="n"/>
      <c r="L224" s="119" t="inlineStr">
        <is>
          <t>124 · Instituto de Bachillerato Técnico Industrial (IBTI)</t>
        </is>
      </c>
      <c r="M224" s="120" t="n">
        <v>45000000</v>
      </c>
      <c r="N224" s="119" t="inlineStr">
        <is>
          <t>Contratación directa</t>
        </is>
      </c>
      <c r="O224" s="119">
        <f>IF(LEN(IF(OR(NOT(ISNUMBER(B224)),LEN(B224)&lt;&gt;8),"UNSPSC vacío, en texto, con varios códigos o sin 8 dígitos; ","")&amp;IF(AND(ISNUMBER(B224),LEN(B224)=8),IF(MOD(B224,10000)=0,"UNSPSC a nivel de segmento o familia; ",""),"")&amp;IF(NOT(ISNUMBER(E224)),"Duración vacía o en texto; ","")&amp;IF(NOT(ISNUMBER(G224)),"Valor vacío o en texto; ","")&amp;IF(ISNUMBER(M224),IF(M224&lt;1000000,"Valor inferior a $1.000.000: verificar; ",""),"Valor no interpretable; ")&amp;IF(N224="[PENDIENTE DE VERIFICAR]","Modalidad no identificable; ","")&amp;IF(OR(ISERROR(SEARCH("@itc.edu.co",J224)),SUMPRODUCT(--ISNUMBER(SEARCH({"á","é","í","ó","ú","ñ"},J224)))&gt;0),"Correo vacío o no institucional válido; ","")&amp;IF(LEN(TRIM(D224))=0,"Sin objeto contractual; ","")&amp;IF(AND(ISNUMBER(M224),N224="Mínima cuantía"),IF(M224&gt;39850000,"Mínima cuantía con valor superior al tope citado en el instructivo 2026 ($39.850.000): verificar modalidad; ",""),"")&amp;IF(AND(ISNUMBER(M224),OR(ISNUMBER(SEARCH("prestación de servicios",D224)),ISNUMBER(SEARCH("prestar servicios",D224)),ISNUMBER(SEARCH("prestar los servicios",D224)))),IF(M224&gt;=500000000,"Prestación de servicios por $500 millones o más: posible error de digitación; ",""),""))=0,"Sin observaciones",IF(OR(NOT(ISNUMBER(B224)),LEN(B224)&lt;&gt;8),"UNSPSC vacío, en texto, con varios códigos o sin 8 dígitos; ","")&amp;IF(AND(ISNUMBER(B224),LEN(B224)=8),IF(MOD(B224,10000)=0,"UNSPSC a nivel de segmento o familia; ",""),"")&amp;IF(NOT(ISNUMBER(E224)),"Duración vacía o en texto; ","")&amp;IF(NOT(ISNUMBER(G224)),"Valor vacío o en texto; ","")&amp;IF(ISNUMBER(M224),IF(M224&lt;1000000,"Valor inferior a $1.000.000: verificar; ",""),"Valor no interpretable; ")&amp;IF(N224="[PENDIENTE DE VERIFICAR]","Modalidad no identificable; ","")&amp;IF(OR(ISERROR(SEARCH("@itc.edu.co",J224)),SUMPRODUCT(--ISNUMBER(SEARCH({"á","é","í","ó","ú","ñ"},J224)))&gt;0),"Correo vacío o no institucional válido; ","")&amp;IF(LEN(TRIM(D224))=0,"Sin objeto contractual; ","")&amp;IF(AND(ISNUMBER(M224),N224="Mínima cuantía"),IF(M224&gt;39850000,"Mínima cuantía con valor superior al tope citado en el instructivo 2026 ($39.850.000): verificar modalidad; ",""),"")&amp;IF(AND(ISNUMBER(M224),OR(ISNUMBER(SEARCH("prestación de servicios",D224)),ISNUMBER(SEARCH("prestar servicios",D224)),ISNUMBER(SEARCH("prestar los servicios",D224)))),IF(M224&gt;=500000000,"Prestación de servicios por $500 millones o más: posible error de digitación; ",""),""))</f>
        <v/>
      </c>
    </row>
    <row r="225" ht="34.2" customHeight="1" s="23">
      <c r="A225" s="114" t="inlineStr">
        <is>
          <t>PN26-221</t>
        </is>
      </c>
      <c r="B225" s="114" t="inlineStr">
        <is>
          <t>43211509
43211620</t>
        </is>
      </c>
      <c r="C225" s="114" t="inlineStr">
        <is>
          <t>IBTI-VRAC</t>
        </is>
      </c>
      <c r="D225" s="114" t="inlineStr">
        <is>
          <t xml:space="preserve">Cambio de tablets para la especialidad de sistemas de bachillerato específicamente la asignatura de Aplicaciones móviles. </t>
        </is>
      </c>
      <c r="E225" s="114" t="n"/>
      <c r="F225" s="114" t="inlineStr">
        <is>
          <t>Tienda Virtual</t>
        </is>
      </c>
      <c r="G225" s="118" t="inlineStr">
        <is>
          <t>$100.000.000</t>
        </is>
      </c>
      <c r="H225" s="114" t="inlineStr">
        <is>
          <t>Dirección IBTI</t>
        </is>
      </c>
      <c r="I225" s="114" t="n"/>
      <c r="J225" s="114" t="inlineStr">
        <is>
          <t xml:space="preserve">directoribti@itc.edu.co </t>
        </is>
      </c>
      <c r="K225" s="114" t="n"/>
      <c r="L225" s="119" t="inlineStr">
        <is>
          <t>124 · Instituto de Bachillerato Técnico Industrial (IBTI)</t>
        </is>
      </c>
      <c r="M225" s="120" t="n">
        <v>100000000</v>
      </c>
      <c r="N225" s="119" t="inlineStr">
        <is>
          <t>Acuerdo marco de precios / Tienda Virtual (validar)</t>
        </is>
      </c>
      <c r="O225" s="119">
        <f>IF(LEN(IF(OR(NOT(ISNUMBER(B225)),LEN(B225)&lt;&gt;8),"UNSPSC vacío, en texto, con varios códigos o sin 8 dígitos; ","")&amp;IF(AND(ISNUMBER(B225),LEN(B225)=8),IF(MOD(B225,10000)=0,"UNSPSC a nivel de segmento o familia; ",""),"")&amp;IF(NOT(ISNUMBER(E225)),"Duración vacía o en texto; ","")&amp;IF(NOT(ISNUMBER(G225)),"Valor vacío o en texto; ","")&amp;IF(ISNUMBER(M225),IF(M225&lt;1000000,"Valor inferior a $1.000.000: verificar; ",""),"Valor no interpretable; ")&amp;IF(N225="[PENDIENTE DE VERIFICAR]","Modalidad no identificable; ","")&amp;IF(OR(ISERROR(SEARCH("@itc.edu.co",J225)),SUMPRODUCT(--ISNUMBER(SEARCH({"á","é","í","ó","ú","ñ"},J225)))&gt;0),"Correo vacío o no institucional válido; ","")&amp;IF(LEN(TRIM(D225))=0,"Sin objeto contractual; ","")&amp;IF(AND(ISNUMBER(M225),N225="Mínima cuantía"),IF(M225&gt;39850000,"Mínima cuantía con valor superior al tope citado en el instructivo 2026 ($39.850.000): verificar modalidad; ",""),"")&amp;IF(AND(ISNUMBER(M225),OR(ISNUMBER(SEARCH("prestación de servicios",D225)),ISNUMBER(SEARCH("prestar servicios",D225)),ISNUMBER(SEARCH("prestar los servicios",D225)))),IF(M225&gt;=500000000,"Prestación de servicios por $500 millones o más: posible error de digitación; ",""),""))=0,"Sin observaciones",IF(OR(NOT(ISNUMBER(B225)),LEN(B225)&lt;&gt;8),"UNSPSC vacío, en texto, con varios códigos o sin 8 dígitos; ","")&amp;IF(AND(ISNUMBER(B225),LEN(B225)=8),IF(MOD(B225,10000)=0,"UNSPSC a nivel de segmento o familia; ",""),"")&amp;IF(NOT(ISNUMBER(E225)),"Duración vacía o en texto; ","")&amp;IF(NOT(ISNUMBER(G225)),"Valor vacío o en texto; ","")&amp;IF(ISNUMBER(M225),IF(M225&lt;1000000,"Valor inferior a $1.000.000: verificar; ",""),"Valor no interpretable; ")&amp;IF(N225="[PENDIENTE DE VERIFICAR]","Modalidad no identificable; ","")&amp;IF(OR(ISERROR(SEARCH("@itc.edu.co",J225)),SUMPRODUCT(--ISNUMBER(SEARCH({"á","é","í","ó","ú","ñ"},J225)))&gt;0),"Correo vacío o no institucional válido; ","")&amp;IF(LEN(TRIM(D225))=0,"Sin objeto contractual; ","")&amp;IF(AND(ISNUMBER(M225),N225="Mínima cuantía"),IF(M225&gt;39850000,"Mínima cuantía con valor superior al tope citado en el instructivo 2026 ($39.850.000): verificar modalidad; ",""),"")&amp;IF(AND(ISNUMBER(M225),OR(ISNUMBER(SEARCH("prestación de servicios",D225)),ISNUMBER(SEARCH("prestar servicios",D225)),ISNUMBER(SEARCH("prestar los servicios",D225)))),IF(M225&gt;=500000000,"Prestación de servicios por $500 millones o más: posible error de digitación; ",""),""))</f>
        <v/>
      </c>
    </row>
    <row r="226" ht="34.2" customHeight="1" s="23">
      <c r="A226" s="114" t="inlineStr">
        <is>
          <t>PN26-222</t>
        </is>
      </c>
      <c r="B226" s="114" t="inlineStr">
        <is>
          <t>49000000
53102717</t>
        </is>
      </c>
      <c r="C226" s="114" t="inlineStr">
        <is>
          <t>IBTI-VRAC</t>
        </is>
      </c>
      <c r="D226" s="114" t="inlineStr">
        <is>
          <t>Compra de materiales deportivos para el área de Educación Física del IBTI</t>
        </is>
      </c>
      <c r="E226" s="114" t="n"/>
      <c r="F226" s="114" t="inlineStr">
        <is>
          <t>MÍNIMA CUANTÍA</t>
        </is>
      </c>
      <c r="G226" s="118" t="inlineStr">
        <is>
          <t>$20.000.000</t>
        </is>
      </c>
      <c r="H226" s="114" t="inlineStr">
        <is>
          <t>Dirección IBTI</t>
        </is>
      </c>
      <c r="I226" s="114" t="n"/>
      <c r="J226" s="114" t="inlineStr">
        <is>
          <t xml:space="preserve">directoribti@itc.edu.co </t>
        </is>
      </c>
      <c r="K226" s="114" t="n"/>
      <c r="L226" s="119" t="inlineStr">
        <is>
          <t>124 · Instituto de Bachillerato Técnico Industrial (IBTI)</t>
        </is>
      </c>
      <c r="M226" s="120" t="n">
        <v>20000000</v>
      </c>
      <c r="N226" s="119" t="inlineStr">
        <is>
          <t>Mínima cuantía</t>
        </is>
      </c>
      <c r="O226" s="119">
        <f>IF(LEN(IF(OR(NOT(ISNUMBER(B226)),LEN(B226)&lt;&gt;8),"UNSPSC vacío, en texto, con varios códigos o sin 8 dígitos; ","")&amp;IF(AND(ISNUMBER(B226),LEN(B226)=8),IF(MOD(B226,10000)=0,"UNSPSC a nivel de segmento o familia; ",""),"")&amp;IF(NOT(ISNUMBER(E226)),"Duración vacía o en texto; ","")&amp;IF(NOT(ISNUMBER(G226)),"Valor vacío o en texto; ","")&amp;IF(ISNUMBER(M226),IF(M226&lt;1000000,"Valor inferior a $1.000.000: verificar; ",""),"Valor no interpretable; ")&amp;IF(N226="[PENDIENTE DE VERIFICAR]","Modalidad no identificable; ","")&amp;IF(OR(ISERROR(SEARCH("@itc.edu.co",J226)),SUMPRODUCT(--ISNUMBER(SEARCH({"á","é","í","ó","ú","ñ"},J226)))&gt;0),"Correo vacío o no institucional válido; ","")&amp;IF(LEN(TRIM(D226))=0,"Sin objeto contractual; ","")&amp;IF(AND(ISNUMBER(M226),N226="Mínima cuantía"),IF(M226&gt;39850000,"Mínima cuantía con valor superior al tope citado en el instructivo 2026 ($39.850.000): verificar modalidad; ",""),"")&amp;IF(AND(ISNUMBER(M226),OR(ISNUMBER(SEARCH("prestación de servicios",D226)),ISNUMBER(SEARCH("prestar servicios",D226)),ISNUMBER(SEARCH("prestar los servicios",D226)))),IF(M226&gt;=500000000,"Prestación de servicios por $500 millones o más: posible error de digitación; ",""),""))=0,"Sin observaciones",IF(OR(NOT(ISNUMBER(B226)),LEN(B226)&lt;&gt;8),"UNSPSC vacío, en texto, con varios códigos o sin 8 dígitos; ","")&amp;IF(AND(ISNUMBER(B226),LEN(B226)=8),IF(MOD(B226,10000)=0,"UNSPSC a nivel de segmento o familia; ",""),"")&amp;IF(NOT(ISNUMBER(E226)),"Duración vacía o en texto; ","")&amp;IF(NOT(ISNUMBER(G226)),"Valor vacío o en texto; ","")&amp;IF(ISNUMBER(M226),IF(M226&lt;1000000,"Valor inferior a $1.000.000: verificar; ",""),"Valor no interpretable; ")&amp;IF(N226="[PENDIENTE DE VERIFICAR]","Modalidad no identificable; ","")&amp;IF(OR(ISERROR(SEARCH("@itc.edu.co",J226)),SUMPRODUCT(--ISNUMBER(SEARCH({"á","é","í","ó","ú","ñ"},J226)))&gt;0),"Correo vacío o no institucional válido; ","")&amp;IF(LEN(TRIM(D226))=0,"Sin objeto contractual; ","")&amp;IF(AND(ISNUMBER(M226),N226="Mínima cuantía"),IF(M226&gt;39850000,"Mínima cuantía con valor superior al tope citado en el instructivo 2026 ($39.850.000): verificar modalidad; ",""),"")&amp;IF(AND(ISNUMBER(M226),OR(ISNUMBER(SEARCH("prestación de servicios",D226)),ISNUMBER(SEARCH("prestar servicios",D226)),ISNUMBER(SEARCH("prestar los servicios",D226)))),IF(M226&gt;=500000000,"Prestación de servicios por $500 millones o más: posible error de digitación; ",""),""))</f>
        <v/>
      </c>
    </row>
    <row r="227" ht="22.8" customHeight="1" s="23">
      <c r="A227" s="114" t="inlineStr">
        <is>
          <t>PN26-223</t>
        </is>
      </c>
      <c r="B227" s="114" t="n">
        <v>86141701</v>
      </c>
      <c r="C227" s="114" t="inlineStr">
        <is>
          <t>IBTI-VRAC</t>
        </is>
      </c>
      <c r="D227" s="114" t="inlineStr">
        <is>
          <t xml:space="preserve">Proyección de aulas de inmersión en lengua extranjera </t>
        </is>
      </c>
      <c r="E227" s="114" t="n"/>
      <c r="F227" s="114" t="inlineStr">
        <is>
          <t>Tienda Virtual</t>
        </is>
      </c>
      <c r="G227" s="118" t="inlineStr">
        <is>
          <t>$35.000.000</t>
        </is>
      </c>
      <c r="H227" s="114" t="inlineStr">
        <is>
          <t>Dirección IBTI</t>
        </is>
      </c>
      <c r="I227" s="114" t="n"/>
      <c r="J227" s="114" t="inlineStr">
        <is>
          <t xml:space="preserve">directoribti@itc.edu.co </t>
        </is>
      </c>
      <c r="K227" s="114" t="n"/>
      <c r="L227" s="119" t="inlineStr">
        <is>
          <t>124 · Instituto de Bachillerato Técnico Industrial (IBTI)</t>
        </is>
      </c>
      <c r="M227" s="120" t="n">
        <v>35000000</v>
      </c>
      <c r="N227" s="119" t="inlineStr">
        <is>
          <t>Acuerdo marco de precios / Tienda Virtual (validar)</t>
        </is>
      </c>
      <c r="O227" s="119">
        <f>IF(LEN(IF(OR(NOT(ISNUMBER(B227)),LEN(B227)&lt;&gt;8),"UNSPSC vacío, en texto, con varios códigos o sin 8 dígitos; ","")&amp;IF(AND(ISNUMBER(B227),LEN(B227)=8),IF(MOD(B227,10000)=0,"UNSPSC a nivel de segmento o familia; ",""),"")&amp;IF(NOT(ISNUMBER(E227)),"Duración vacía o en texto; ","")&amp;IF(NOT(ISNUMBER(G227)),"Valor vacío o en texto; ","")&amp;IF(ISNUMBER(M227),IF(M227&lt;1000000,"Valor inferior a $1.000.000: verificar; ",""),"Valor no interpretable; ")&amp;IF(N227="[PENDIENTE DE VERIFICAR]","Modalidad no identificable; ","")&amp;IF(OR(ISERROR(SEARCH("@itc.edu.co",J227)),SUMPRODUCT(--ISNUMBER(SEARCH({"á","é","í","ó","ú","ñ"},J227)))&gt;0),"Correo vacío o no institucional válido; ","")&amp;IF(LEN(TRIM(D227))=0,"Sin objeto contractual; ","")&amp;IF(AND(ISNUMBER(M227),N227="Mínima cuantía"),IF(M227&gt;39850000,"Mínima cuantía con valor superior al tope citado en el instructivo 2026 ($39.850.000): verificar modalidad; ",""),"")&amp;IF(AND(ISNUMBER(M227),OR(ISNUMBER(SEARCH("prestación de servicios",D227)),ISNUMBER(SEARCH("prestar servicios",D227)),ISNUMBER(SEARCH("prestar los servicios",D227)))),IF(M227&gt;=500000000,"Prestación de servicios por $500 millones o más: posible error de digitación; ",""),""))=0,"Sin observaciones",IF(OR(NOT(ISNUMBER(B227)),LEN(B227)&lt;&gt;8),"UNSPSC vacío, en texto, con varios códigos o sin 8 dígitos; ","")&amp;IF(AND(ISNUMBER(B227),LEN(B227)=8),IF(MOD(B227,10000)=0,"UNSPSC a nivel de segmento o familia; ",""),"")&amp;IF(NOT(ISNUMBER(E227)),"Duración vacía o en texto; ","")&amp;IF(NOT(ISNUMBER(G227)),"Valor vacío o en texto; ","")&amp;IF(ISNUMBER(M227),IF(M227&lt;1000000,"Valor inferior a $1.000.000: verificar; ",""),"Valor no interpretable; ")&amp;IF(N227="[PENDIENTE DE VERIFICAR]","Modalidad no identificable; ","")&amp;IF(OR(ISERROR(SEARCH("@itc.edu.co",J227)),SUMPRODUCT(--ISNUMBER(SEARCH({"á","é","í","ó","ú","ñ"},J227)))&gt;0),"Correo vacío o no institucional válido; ","")&amp;IF(LEN(TRIM(D227))=0,"Sin objeto contractual; ","")&amp;IF(AND(ISNUMBER(M227),N227="Mínima cuantía"),IF(M227&gt;39850000,"Mínima cuantía con valor superior al tope citado en el instructivo 2026 ($39.850.000): verificar modalidad; ",""),"")&amp;IF(AND(ISNUMBER(M227),OR(ISNUMBER(SEARCH("prestación de servicios",D227)),ISNUMBER(SEARCH("prestar servicios",D227)),ISNUMBER(SEARCH("prestar los servicios",D227)))),IF(M227&gt;=500000000,"Prestación de servicios por $500 millones o más: posible error de digitación; ",""),""))</f>
        <v/>
      </c>
    </row>
    <row r="228" ht="22.8" customHeight="1" s="23">
      <c r="A228" s="114" t="inlineStr">
        <is>
          <t>PN26-224</t>
        </is>
      </c>
      <c r="B228" s="114" t="n">
        <v>43211500</v>
      </c>
      <c r="C228" s="114" t="inlineStr">
        <is>
          <t>IBTI-VRAC</t>
        </is>
      </c>
      <c r="D228" s="114" t="inlineStr">
        <is>
          <t>Computadores portatiles robustos (2) y All In One - Dirección de Bachillerato</t>
        </is>
      </c>
      <c r="E228" s="114" t="n"/>
      <c r="F228" s="114" t="inlineStr">
        <is>
          <t>MÍNIMA CUANTÍA</t>
        </is>
      </c>
      <c r="G228" s="118" t="inlineStr">
        <is>
          <t>$15.000.000</t>
        </is>
      </c>
      <c r="H228" s="114" t="inlineStr">
        <is>
          <t>Dirección IBTI</t>
        </is>
      </c>
      <c r="I228" s="114" t="n"/>
      <c r="J228" s="114" t="inlineStr">
        <is>
          <t xml:space="preserve">directoribti@itc.edu.co </t>
        </is>
      </c>
      <c r="K228" s="114" t="n"/>
      <c r="L228" s="119" t="inlineStr">
        <is>
          <t>124 · Instituto de Bachillerato Técnico Industrial (IBTI)</t>
        </is>
      </c>
      <c r="M228" s="120" t="n">
        <v>15000000</v>
      </c>
      <c r="N228" s="119" t="inlineStr">
        <is>
          <t>Mínima cuantía</t>
        </is>
      </c>
      <c r="O228" s="119">
        <f>IF(LEN(IF(OR(NOT(ISNUMBER(B228)),LEN(B228)&lt;&gt;8),"UNSPSC vacío, en texto, con varios códigos o sin 8 dígitos; ","")&amp;IF(AND(ISNUMBER(B228),LEN(B228)=8),IF(MOD(B228,10000)=0,"UNSPSC a nivel de segmento o familia; ",""),"")&amp;IF(NOT(ISNUMBER(E228)),"Duración vacía o en texto; ","")&amp;IF(NOT(ISNUMBER(G228)),"Valor vacío o en texto; ","")&amp;IF(ISNUMBER(M228),IF(M228&lt;1000000,"Valor inferior a $1.000.000: verificar; ",""),"Valor no interpretable; ")&amp;IF(N228="[PENDIENTE DE VERIFICAR]","Modalidad no identificable; ","")&amp;IF(OR(ISERROR(SEARCH("@itc.edu.co",J228)),SUMPRODUCT(--ISNUMBER(SEARCH({"á","é","í","ó","ú","ñ"},J228)))&gt;0),"Correo vacío o no institucional válido; ","")&amp;IF(LEN(TRIM(D228))=0,"Sin objeto contractual; ","")&amp;IF(AND(ISNUMBER(M228),N228="Mínima cuantía"),IF(M228&gt;39850000,"Mínima cuantía con valor superior al tope citado en el instructivo 2026 ($39.850.000): verificar modalidad; ",""),"")&amp;IF(AND(ISNUMBER(M228),OR(ISNUMBER(SEARCH("prestación de servicios",D228)),ISNUMBER(SEARCH("prestar servicios",D228)),ISNUMBER(SEARCH("prestar los servicios",D228)))),IF(M228&gt;=500000000,"Prestación de servicios por $500 millones o más: posible error de digitación; ",""),""))=0,"Sin observaciones",IF(OR(NOT(ISNUMBER(B228)),LEN(B228)&lt;&gt;8),"UNSPSC vacío, en texto, con varios códigos o sin 8 dígitos; ","")&amp;IF(AND(ISNUMBER(B228),LEN(B228)=8),IF(MOD(B228,10000)=0,"UNSPSC a nivel de segmento o familia; ",""),"")&amp;IF(NOT(ISNUMBER(E228)),"Duración vacía o en texto; ","")&amp;IF(NOT(ISNUMBER(G228)),"Valor vacío o en texto; ","")&amp;IF(ISNUMBER(M228),IF(M228&lt;1000000,"Valor inferior a $1.000.000: verificar; ",""),"Valor no interpretable; ")&amp;IF(N228="[PENDIENTE DE VERIFICAR]","Modalidad no identificable; ","")&amp;IF(OR(ISERROR(SEARCH("@itc.edu.co",J228)),SUMPRODUCT(--ISNUMBER(SEARCH({"á","é","í","ó","ú","ñ"},J228)))&gt;0),"Correo vacío o no institucional válido; ","")&amp;IF(LEN(TRIM(D228))=0,"Sin objeto contractual; ","")&amp;IF(AND(ISNUMBER(M228),N228="Mínima cuantía"),IF(M228&gt;39850000,"Mínima cuantía con valor superior al tope citado en el instructivo 2026 ($39.850.000): verificar modalidad; ",""),"")&amp;IF(AND(ISNUMBER(M228),OR(ISNUMBER(SEARCH("prestación de servicios",D228)),ISNUMBER(SEARCH("prestar servicios",D228)),ISNUMBER(SEARCH("prestar los servicios",D228)))),IF(M228&gt;=500000000,"Prestación de servicios por $500 millones o más: posible error de digitación; ",""),""))</f>
        <v/>
      </c>
    </row>
    <row r="229" ht="45.6" customHeight="1" s="23">
      <c r="A229" s="114" t="inlineStr">
        <is>
          <t>PN26-225</t>
        </is>
      </c>
      <c r="B229" s="114" t="inlineStr">
        <is>
          <t xml:space="preserve">78111500
90000000 </t>
        </is>
      </c>
      <c r="C229" s="114" t="inlineStr">
        <is>
          <t>IBTI-VRAC</t>
        </is>
      </c>
      <c r="D229" s="114" t="inlineStr">
        <is>
          <t>Experiencia Internacional INFOMATRIX</t>
        </is>
      </c>
      <c r="E229" s="114" t="n"/>
      <c r="F229" s="114" t="inlineStr">
        <is>
          <t>ORII</t>
        </is>
      </c>
      <c r="G229" s="118" t="inlineStr">
        <is>
          <t>$30.000.000</t>
        </is>
      </c>
      <c r="H229" s="114" t="inlineStr">
        <is>
          <t>Dirección IBTI</t>
        </is>
      </c>
      <c r="I229" s="114" t="n"/>
      <c r="J229" s="114" t="n"/>
      <c r="K229" s="114" t="n"/>
      <c r="L229" s="119" t="inlineStr">
        <is>
          <t>124 · Instituto de Bachillerato Técnico Industrial (IBTI)</t>
        </is>
      </c>
      <c r="M229" s="120" t="n">
        <v>30000000</v>
      </c>
      <c r="N229" s="119" t="inlineStr">
        <is>
          <t>[PENDIENTE DE VERIFICAR]</t>
        </is>
      </c>
      <c r="O229" s="119">
        <f>IF(LEN(IF(OR(NOT(ISNUMBER(B229)),LEN(B229)&lt;&gt;8),"UNSPSC vacío, en texto, con varios códigos o sin 8 dígitos; ","")&amp;IF(AND(ISNUMBER(B229),LEN(B229)=8),IF(MOD(B229,10000)=0,"UNSPSC a nivel de segmento o familia; ",""),"")&amp;IF(NOT(ISNUMBER(E229)),"Duración vacía o en texto; ","")&amp;IF(NOT(ISNUMBER(G229)),"Valor vacío o en texto; ","")&amp;IF(ISNUMBER(M229),IF(M229&lt;1000000,"Valor inferior a $1.000.000: verificar; ",""),"Valor no interpretable; ")&amp;IF(N229="[PENDIENTE DE VERIFICAR]","Modalidad no identificable; ","")&amp;IF(OR(ISERROR(SEARCH("@itc.edu.co",J229)),SUMPRODUCT(--ISNUMBER(SEARCH({"á","é","í","ó","ú","ñ"},J229)))&gt;0),"Correo vacío o no institucional válido; ","")&amp;IF(LEN(TRIM(D229))=0,"Sin objeto contractual; ","")&amp;IF(AND(ISNUMBER(M229),N229="Mínima cuantía"),IF(M229&gt;39850000,"Mínima cuantía con valor superior al tope citado en el instructivo 2026 ($39.850.000): verificar modalidad; ",""),"")&amp;IF(AND(ISNUMBER(M229),OR(ISNUMBER(SEARCH("prestación de servicios",D229)),ISNUMBER(SEARCH("prestar servicios",D229)),ISNUMBER(SEARCH("prestar los servicios",D229)))),IF(M229&gt;=500000000,"Prestación de servicios por $500 millones o más: posible error de digitación; ",""),""))=0,"Sin observaciones",IF(OR(NOT(ISNUMBER(B229)),LEN(B229)&lt;&gt;8),"UNSPSC vacío, en texto, con varios códigos o sin 8 dígitos; ","")&amp;IF(AND(ISNUMBER(B229),LEN(B229)=8),IF(MOD(B229,10000)=0,"UNSPSC a nivel de segmento o familia; ",""),"")&amp;IF(NOT(ISNUMBER(E229)),"Duración vacía o en texto; ","")&amp;IF(NOT(ISNUMBER(G229)),"Valor vacío o en texto; ","")&amp;IF(ISNUMBER(M229),IF(M229&lt;1000000,"Valor inferior a $1.000.000: verificar; ",""),"Valor no interpretable; ")&amp;IF(N229="[PENDIENTE DE VERIFICAR]","Modalidad no identificable; ","")&amp;IF(OR(ISERROR(SEARCH("@itc.edu.co",J229)),SUMPRODUCT(--ISNUMBER(SEARCH({"á","é","í","ó","ú","ñ"},J229)))&gt;0),"Correo vacío o no institucional válido; ","")&amp;IF(LEN(TRIM(D229))=0,"Sin objeto contractual; ","")&amp;IF(AND(ISNUMBER(M229),N229="Mínima cuantía"),IF(M229&gt;39850000,"Mínima cuantía con valor superior al tope citado en el instructivo 2026 ($39.850.000): verificar modalidad; ",""),"")&amp;IF(AND(ISNUMBER(M229),OR(ISNUMBER(SEARCH("prestación de servicios",D229)),ISNUMBER(SEARCH("prestar servicios",D229)),ISNUMBER(SEARCH("prestar los servicios",D229)))),IF(M229&gt;=500000000,"Prestación de servicios por $500 millones o más: posible error de digitación; ",""),""))</f>
        <v/>
      </c>
    </row>
    <row r="230" ht="34.2" customHeight="1" s="23">
      <c r="A230" s="114" t="inlineStr">
        <is>
          <t>PN26-226</t>
        </is>
      </c>
      <c r="B230" s="114" t="inlineStr">
        <is>
          <t>60100000
60103700</t>
        </is>
      </c>
      <c r="C230" s="114" t="inlineStr">
        <is>
          <t>IBTI-VRAC</t>
        </is>
      </c>
      <c r="D230" s="114" t="inlineStr">
        <is>
          <t>Diccionarios de inglés para la biblioteca.</t>
        </is>
      </c>
      <c r="E230" s="114" t="n"/>
      <c r="F230" s="114" t="inlineStr">
        <is>
          <t>MÍNIMA CUANTÍA</t>
        </is>
      </c>
      <c r="G230" s="118" t="inlineStr">
        <is>
          <t>$3.000.000</t>
        </is>
      </c>
      <c r="H230" s="114" t="inlineStr">
        <is>
          <t>Dirección IBTI</t>
        </is>
      </c>
      <c r="I230" s="114" t="n"/>
      <c r="J230" s="114" t="inlineStr">
        <is>
          <t xml:space="preserve">directoribti@itc.edu.co </t>
        </is>
      </c>
      <c r="K230" s="114" t="n"/>
      <c r="L230" s="119" t="inlineStr">
        <is>
          <t>124 · Instituto de Bachillerato Técnico Industrial (IBTI)</t>
        </is>
      </c>
      <c r="M230" s="120" t="n">
        <v>3000000</v>
      </c>
      <c r="N230" s="119" t="inlineStr">
        <is>
          <t>Mínima cuantía</t>
        </is>
      </c>
      <c r="O230" s="119">
        <f>IF(LEN(IF(OR(NOT(ISNUMBER(B230)),LEN(B230)&lt;&gt;8),"UNSPSC vacío, en texto, con varios códigos o sin 8 dígitos; ","")&amp;IF(AND(ISNUMBER(B230),LEN(B230)=8),IF(MOD(B230,10000)=0,"UNSPSC a nivel de segmento o familia; ",""),"")&amp;IF(NOT(ISNUMBER(E230)),"Duración vacía o en texto; ","")&amp;IF(NOT(ISNUMBER(G230)),"Valor vacío o en texto; ","")&amp;IF(ISNUMBER(M230),IF(M230&lt;1000000,"Valor inferior a $1.000.000: verificar; ",""),"Valor no interpretable; ")&amp;IF(N230="[PENDIENTE DE VERIFICAR]","Modalidad no identificable; ","")&amp;IF(OR(ISERROR(SEARCH("@itc.edu.co",J230)),SUMPRODUCT(--ISNUMBER(SEARCH({"á","é","í","ó","ú","ñ"},J230)))&gt;0),"Correo vacío o no institucional válido; ","")&amp;IF(LEN(TRIM(D230))=0,"Sin objeto contractual; ","")&amp;IF(AND(ISNUMBER(M230),N230="Mínima cuantía"),IF(M230&gt;39850000,"Mínima cuantía con valor superior al tope citado en el instructivo 2026 ($39.850.000): verificar modalidad; ",""),"")&amp;IF(AND(ISNUMBER(M230),OR(ISNUMBER(SEARCH("prestación de servicios",D230)),ISNUMBER(SEARCH("prestar servicios",D230)),ISNUMBER(SEARCH("prestar los servicios",D230)))),IF(M230&gt;=500000000,"Prestación de servicios por $500 millones o más: posible error de digitación; ",""),""))=0,"Sin observaciones",IF(OR(NOT(ISNUMBER(B230)),LEN(B230)&lt;&gt;8),"UNSPSC vacío, en texto, con varios códigos o sin 8 dígitos; ","")&amp;IF(AND(ISNUMBER(B230),LEN(B230)=8),IF(MOD(B230,10000)=0,"UNSPSC a nivel de segmento o familia; ",""),"")&amp;IF(NOT(ISNUMBER(E230)),"Duración vacía o en texto; ","")&amp;IF(NOT(ISNUMBER(G230)),"Valor vacío o en texto; ","")&amp;IF(ISNUMBER(M230),IF(M230&lt;1000000,"Valor inferior a $1.000.000: verificar; ",""),"Valor no interpretable; ")&amp;IF(N230="[PENDIENTE DE VERIFICAR]","Modalidad no identificable; ","")&amp;IF(OR(ISERROR(SEARCH("@itc.edu.co",J230)),SUMPRODUCT(--ISNUMBER(SEARCH({"á","é","í","ó","ú","ñ"},J230)))&gt;0),"Correo vacío o no institucional válido; ","")&amp;IF(LEN(TRIM(D230))=0,"Sin objeto contractual; ","")&amp;IF(AND(ISNUMBER(M230),N230="Mínima cuantía"),IF(M230&gt;39850000,"Mínima cuantía con valor superior al tope citado en el instructivo 2026 ($39.850.000): verificar modalidad; ",""),"")&amp;IF(AND(ISNUMBER(M230),OR(ISNUMBER(SEARCH("prestación de servicios",D230)),ISNUMBER(SEARCH("prestar servicios",D230)),ISNUMBER(SEARCH("prestar los servicios",D230)))),IF(M230&gt;=500000000,"Prestación de servicios por $500 millones o más: posible error de digitación; ",""),""))</f>
        <v/>
      </c>
    </row>
    <row r="231" ht="57" customHeight="1" s="23">
      <c r="A231" s="114" t="inlineStr">
        <is>
          <t>PN26-227</t>
        </is>
      </c>
      <c r="B231" s="114" t="n">
        <v>32000000</v>
      </c>
      <c r="C231" s="114" t="inlineStr">
        <is>
          <t>IBTI-VRAC</t>
        </is>
      </c>
      <c r="D231" s="114" t="inlineStr">
        <is>
          <t>Adquisición de materiales electrónicos (Baterias LiPo Turnigy 7.4V (2S) 2200mAh 30 - 40C ) ; (cables Usb A - Tipo B Arduino Uno 30 - 50 cm); (bluetooth hc-06); (Cables jumper macho hembra),  Motorreductores Pololu,  Tarjetas de Programación ESP32,  Tarjetas de Control de motores L298N,  Carrete de material de impresión PLA, Láminas de acrílico 1.25 M x 2.45 M - Calibre 3mm</t>
        </is>
      </c>
      <c r="E231" s="114" t="n"/>
      <c r="F231" s="114" t="inlineStr">
        <is>
          <t>MÍNIMA CUANTÍA</t>
        </is>
      </c>
      <c r="G231" s="118" t="inlineStr">
        <is>
          <t>$10.000.000</t>
        </is>
      </c>
      <c r="H231" s="114" t="inlineStr">
        <is>
          <t>Dirección IBTI</t>
        </is>
      </c>
      <c r="I231" s="114" t="n"/>
      <c r="J231" s="114" t="inlineStr">
        <is>
          <t xml:space="preserve">directoribti@itc.edu.co </t>
        </is>
      </c>
      <c r="K231" s="114" t="n"/>
      <c r="L231" s="119" t="inlineStr">
        <is>
          <t>124 · Instituto de Bachillerato Técnico Industrial (IBTI)</t>
        </is>
      </c>
      <c r="M231" s="120" t="n">
        <v>10000000</v>
      </c>
      <c r="N231" s="119" t="inlineStr">
        <is>
          <t>Mínima cuantía</t>
        </is>
      </c>
      <c r="O231" s="119">
        <f>IF(LEN(IF(OR(NOT(ISNUMBER(B231)),LEN(B231)&lt;&gt;8),"UNSPSC vacío, en texto, con varios códigos o sin 8 dígitos; ","")&amp;IF(AND(ISNUMBER(B231),LEN(B231)=8),IF(MOD(B231,10000)=0,"UNSPSC a nivel de segmento o familia; ",""),"")&amp;IF(NOT(ISNUMBER(E231)),"Duración vacía o en texto; ","")&amp;IF(NOT(ISNUMBER(G231)),"Valor vacío o en texto; ","")&amp;IF(ISNUMBER(M231),IF(M231&lt;1000000,"Valor inferior a $1.000.000: verificar; ",""),"Valor no interpretable; ")&amp;IF(N231="[PENDIENTE DE VERIFICAR]","Modalidad no identificable; ","")&amp;IF(OR(ISERROR(SEARCH("@itc.edu.co",J231)),SUMPRODUCT(--ISNUMBER(SEARCH({"á","é","í","ó","ú","ñ"},J231)))&gt;0),"Correo vacío o no institucional válido; ","")&amp;IF(LEN(TRIM(D231))=0,"Sin objeto contractual; ","")&amp;IF(AND(ISNUMBER(M231),N231="Mínima cuantía"),IF(M231&gt;39850000,"Mínima cuantía con valor superior al tope citado en el instructivo 2026 ($39.850.000): verificar modalidad; ",""),"")&amp;IF(AND(ISNUMBER(M231),OR(ISNUMBER(SEARCH("prestación de servicios",D231)),ISNUMBER(SEARCH("prestar servicios",D231)),ISNUMBER(SEARCH("prestar los servicios",D231)))),IF(M231&gt;=500000000,"Prestación de servicios por $500 millones o más: posible error de digitación; ",""),""))=0,"Sin observaciones",IF(OR(NOT(ISNUMBER(B231)),LEN(B231)&lt;&gt;8),"UNSPSC vacío, en texto, con varios códigos o sin 8 dígitos; ","")&amp;IF(AND(ISNUMBER(B231),LEN(B231)=8),IF(MOD(B231,10000)=0,"UNSPSC a nivel de segmento o familia; ",""),"")&amp;IF(NOT(ISNUMBER(E231)),"Duración vacía o en texto; ","")&amp;IF(NOT(ISNUMBER(G231)),"Valor vacío o en texto; ","")&amp;IF(ISNUMBER(M231),IF(M231&lt;1000000,"Valor inferior a $1.000.000: verificar; ",""),"Valor no interpretable; ")&amp;IF(N231="[PENDIENTE DE VERIFICAR]","Modalidad no identificable; ","")&amp;IF(OR(ISERROR(SEARCH("@itc.edu.co",J231)),SUMPRODUCT(--ISNUMBER(SEARCH({"á","é","í","ó","ú","ñ"},J231)))&gt;0),"Correo vacío o no institucional válido; ","")&amp;IF(LEN(TRIM(D231))=0,"Sin objeto contractual; ","")&amp;IF(AND(ISNUMBER(M231),N231="Mínima cuantía"),IF(M231&gt;39850000,"Mínima cuantía con valor superior al tope citado en el instructivo 2026 ($39.850.000): verificar modalidad; ",""),"")&amp;IF(AND(ISNUMBER(M231),OR(ISNUMBER(SEARCH("prestación de servicios",D231)),ISNUMBER(SEARCH("prestar servicios",D231)),ISNUMBER(SEARCH("prestar los servicios",D231)))),IF(M231&gt;=500000000,"Prestación de servicios por $500 millones o más: posible error de digitación; ",""),""))</f>
        <v/>
      </c>
    </row>
    <row r="232" ht="22.8" customHeight="1" s="23">
      <c r="A232" s="114" t="inlineStr">
        <is>
          <t>PN26-228</t>
        </is>
      </c>
      <c r="B232" s="114" t="n">
        <v>85451200</v>
      </c>
      <c r="C232" s="114" t="inlineStr">
        <is>
          <t>IBTI-VRAC</t>
        </is>
      </c>
      <c r="D232" s="114" t="inlineStr">
        <is>
          <t>Inscripción en la participación a las olimpiadas Matemáticas regionales Universidad Antonio Nariño y otros eventos de orden académico y técnico</t>
        </is>
      </c>
      <c r="E232" s="114" t="n"/>
      <c r="F232" s="114" t="inlineStr">
        <is>
          <t>DIRECTA</t>
        </is>
      </c>
      <c r="G232" s="118" t="inlineStr">
        <is>
          <t>$3.000.000</t>
        </is>
      </c>
      <c r="H232" s="114" t="inlineStr">
        <is>
          <t>Dirección IBTI</t>
        </is>
      </c>
      <c r="I232" s="114" t="n"/>
      <c r="J232" s="114" t="inlineStr">
        <is>
          <t xml:space="preserve">directoribti@itc.edu.co </t>
        </is>
      </c>
      <c r="K232" s="114" t="n"/>
      <c r="L232" s="119" t="inlineStr">
        <is>
          <t>124 · Instituto de Bachillerato Técnico Industrial (IBTI)</t>
        </is>
      </c>
      <c r="M232" s="120" t="n">
        <v>3000000</v>
      </c>
      <c r="N232" s="119" t="inlineStr">
        <is>
          <t>Contratación directa</t>
        </is>
      </c>
      <c r="O232" s="119">
        <f>IF(LEN(IF(OR(NOT(ISNUMBER(B232)),LEN(B232)&lt;&gt;8),"UNSPSC vacío, en texto, con varios códigos o sin 8 dígitos; ","")&amp;IF(AND(ISNUMBER(B232),LEN(B232)=8),IF(MOD(B232,10000)=0,"UNSPSC a nivel de segmento o familia; ",""),"")&amp;IF(NOT(ISNUMBER(E232)),"Duración vacía o en texto; ","")&amp;IF(NOT(ISNUMBER(G232)),"Valor vacío o en texto; ","")&amp;IF(ISNUMBER(M232),IF(M232&lt;1000000,"Valor inferior a $1.000.000: verificar; ",""),"Valor no interpretable; ")&amp;IF(N232="[PENDIENTE DE VERIFICAR]","Modalidad no identificable; ","")&amp;IF(OR(ISERROR(SEARCH("@itc.edu.co",J232)),SUMPRODUCT(--ISNUMBER(SEARCH({"á","é","í","ó","ú","ñ"},J232)))&gt;0),"Correo vacío o no institucional válido; ","")&amp;IF(LEN(TRIM(D232))=0,"Sin objeto contractual; ","")&amp;IF(AND(ISNUMBER(M232),N232="Mínima cuantía"),IF(M232&gt;39850000,"Mínima cuantía con valor superior al tope citado en el instructivo 2026 ($39.850.000): verificar modalidad; ",""),"")&amp;IF(AND(ISNUMBER(M232),OR(ISNUMBER(SEARCH("prestación de servicios",D232)),ISNUMBER(SEARCH("prestar servicios",D232)),ISNUMBER(SEARCH("prestar los servicios",D232)))),IF(M232&gt;=500000000,"Prestación de servicios por $500 millones o más: posible error de digitación; ",""),""))=0,"Sin observaciones",IF(OR(NOT(ISNUMBER(B232)),LEN(B232)&lt;&gt;8),"UNSPSC vacío, en texto, con varios códigos o sin 8 dígitos; ","")&amp;IF(AND(ISNUMBER(B232),LEN(B232)=8),IF(MOD(B232,10000)=0,"UNSPSC a nivel de segmento o familia; ",""),"")&amp;IF(NOT(ISNUMBER(E232)),"Duración vacía o en texto; ","")&amp;IF(NOT(ISNUMBER(G232)),"Valor vacío o en texto; ","")&amp;IF(ISNUMBER(M232),IF(M232&lt;1000000,"Valor inferior a $1.000.000: verificar; ",""),"Valor no interpretable; ")&amp;IF(N232="[PENDIENTE DE VERIFICAR]","Modalidad no identificable; ","")&amp;IF(OR(ISERROR(SEARCH("@itc.edu.co",J232)),SUMPRODUCT(--ISNUMBER(SEARCH({"á","é","í","ó","ú","ñ"},J232)))&gt;0),"Correo vacío o no institucional válido; ","")&amp;IF(LEN(TRIM(D232))=0,"Sin objeto contractual; ","")&amp;IF(AND(ISNUMBER(M232),N232="Mínima cuantía"),IF(M232&gt;39850000,"Mínima cuantía con valor superior al tope citado en el instructivo 2026 ($39.850.000): verificar modalidad; ",""),"")&amp;IF(AND(ISNUMBER(M232),OR(ISNUMBER(SEARCH("prestación de servicios",D232)),ISNUMBER(SEARCH("prestar servicios",D232)),ISNUMBER(SEARCH("prestar los servicios",D232)))),IF(M232&gt;=500000000,"Prestación de servicios por $500 millones o más: posible error de digitación; ",""),""))</f>
        <v/>
      </c>
    </row>
    <row r="233" ht="22.8" customHeight="1" s="23">
      <c r="A233" s="114" t="inlineStr">
        <is>
          <t>PN26-229</t>
        </is>
      </c>
      <c r="B233" s="114" t="n">
        <v>60000000</v>
      </c>
      <c r="C233" s="114" t="inlineStr">
        <is>
          <t>IBTI-VRAC</t>
        </is>
      </c>
      <c r="D233" s="114" t="inlineStr">
        <is>
          <t>Instrumentos Banda de Honor</t>
        </is>
      </c>
      <c r="E233" s="114" t="n"/>
      <c r="F233" s="114" t="inlineStr">
        <is>
          <t>MÍNIMA CUANTÍA</t>
        </is>
      </c>
      <c r="G233" s="118" t="inlineStr">
        <is>
          <t>$25.000.000</t>
        </is>
      </c>
      <c r="H233" s="114" t="inlineStr">
        <is>
          <t>Dirección IBTI</t>
        </is>
      </c>
      <c r="I233" s="114" t="n"/>
      <c r="J233" s="114" t="inlineStr">
        <is>
          <t xml:space="preserve">directoribti@itc.edu.co </t>
        </is>
      </c>
      <c r="K233" s="114" t="n"/>
      <c r="L233" s="119" t="inlineStr">
        <is>
          <t>124 · Instituto de Bachillerato Técnico Industrial (IBTI)</t>
        </is>
      </c>
      <c r="M233" s="120" t="n">
        <v>25000000</v>
      </c>
      <c r="N233" s="119" t="inlineStr">
        <is>
          <t>Mínima cuantía</t>
        </is>
      </c>
      <c r="O233" s="119">
        <f>IF(LEN(IF(OR(NOT(ISNUMBER(B233)),LEN(B233)&lt;&gt;8),"UNSPSC vacío, en texto, con varios códigos o sin 8 dígitos; ","")&amp;IF(AND(ISNUMBER(B233),LEN(B233)=8),IF(MOD(B233,10000)=0,"UNSPSC a nivel de segmento o familia; ",""),"")&amp;IF(NOT(ISNUMBER(E233)),"Duración vacía o en texto; ","")&amp;IF(NOT(ISNUMBER(G233)),"Valor vacío o en texto; ","")&amp;IF(ISNUMBER(M233),IF(M233&lt;1000000,"Valor inferior a $1.000.000: verificar; ",""),"Valor no interpretable; ")&amp;IF(N233="[PENDIENTE DE VERIFICAR]","Modalidad no identificable; ","")&amp;IF(OR(ISERROR(SEARCH("@itc.edu.co",J233)),SUMPRODUCT(--ISNUMBER(SEARCH({"á","é","í","ó","ú","ñ"},J233)))&gt;0),"Correo vacío o no institucional válido; ","")&amp;IF(LEN(TRIM(D233))=0,"Sin objeto contractual; ","")&amp;IF(AND(ISNUMBER(M233),N233="Mínima cuantía"),IF(M233&gt;39850000,"Mínima cuantía con valor superior al tope citado en el instructivo 2026 ($39.850.000): verificar modalidad; ",""),"")&amp;IF(AND(ISNUMBER(M233),OR(ISNUMBER(SEARCH("prestación de servicios",D233)),ISNUMBER(SEARCH("prestar servicios",D233)),ISNUMBER(SEARCH("prestar los servicios",D233)))),IF(M233&gt;=500000000,"Prestación de servicios por $500 millones o más: posible error de digitación; ",""),""))=0,"Sin observaciones",IF(OR(NOT(ISNUMBER(B233)),LEN(B233)&lt;&gt;8),"UNSPSC vacío, en texto, con varios códigos o sin 8 dígitos; ","")&amp;IF(AND(ISNUMBER(B233),LEN(B233)=8),IF(MOD(B233,10000)=0,"UNSPSC a nivel de segmento o familia; ",""),"")&amp;IF(NOT(ISNUMBER(E233)),"Duración vacía o en texto; ","")&amp;IF(NOT(ISNUMBER(G233)),"Valor vacío o en texto; ","")&amp;IF(ISNUMBER(M233),IF(M233&lt;1000000,"Valor inferior a $1.000.000: verificar; ",""),"Valor no interpretable; ")&amp;IF(N233="[PENDIENTE DE VERIFICAR]","Modalidad no identificable; ","")&amp;IF(OR(ISERROR(SEARCH("@itc.edu.co",J233)),SUMPRODUCT(--ISNUMBER(SEARCH({"á","é","í","ó","ú","ñ"},J233)))&gt;0),"Correo vacío o no institucional válido; ","")&amp;IF(LEN(TRIM(D233))=0,"Sin objeto contractual; ","")&amp;IF(AND(ISNUMBER(M233),N233="Mínima cuantía"),IF(M233&gt;39850000,"Mínima cuantía con valor superior al tope citado en el instructivo 2026 ($39.850.000): verificar modalidad; ",""),"")&amp;IF(AND(ISNUMBER(M233),OR(ISNUMBER(SEARCH("prestación de servicios",D233)),ISNUMBER(SEARCH("prestar servicios",D233)),ISNUMBER(SEARCH("prestar los servicios",D233)))),IF(M233&gt;=500000000,"Prestación de servicios por $500 millones o más: posible error de digitación; ",""),""))</f>
        <v/>
      </c>
    </row>
    <row r="234" ht="22.8" customHeight="1" s="23">
      <c r="A234" s="114" t="inlineStr">
        <is>
          <t>PN26-230</t>
        </is>
      </c>
      <c r="B234" s="114" t="n">
        <v>60000000</v>
      </c>
      <c r="C234" s="114" t="inlineStr">
        <is>
          <t>IBTI-VRAC</t>
        </is>
      </c>
      <c r="D234" s="114" t="inlineStr">
        <is>
          <t>Elementos artísticos de teatro propios de la especialidad de artes</t>
        </is>
      </c>
      <c r="E234" s="114" t="n"/>
      <c r="F234" s="114" t="inlineStr">
        <is>
          <t>MÍNIMA CUANTÍA</t>
        </is>
      </c>
      <c r="G234" s="118" t="inlineStr">
        <is>
          <t>$13.000.000</t>
        </is>
      </c>
      <c r="H234" s="114" t="inlineStr">
        <is>
          <t>Dirección IBTI</t>
        </is>
      </c>
      <c r="I234" s="114" t="n"/>
      <c r="J234" s="114" t="inlineStr">
        <is>
          <t xml:space="preserve">directoribti@itc.edu.co </t>
        </is>
      </c>
      <c r="K234" s="114" t="n"/>
      <c r="L234" s="119" t="inlineStr">
        <is>
          <t>124 · Instituto de Bachillerato Técnico Industrial (IBTI)</t>
        </is>
      </c>
      <c r="M234" s="120" t="n">
        <v>13000000</v>
      </c>
      <c r="N234" s="119" t="inlineStr">
        <is>
          <t>Mínima cuantía</t>
        </is>
      </c>
      <c r="O234" s="119">
        <f>IF(LEN(IF(OR(NOT(ISNUMBER(B234)),LEN(B234)&lt;&gt;8),"UNSPSC vacío, en texto, con varios códigos o sin 8 dígitos; ","")&amp;IF(AND(ISNUMBER(B234),LEN(B234)=8),IF(MOD(B234,10000)=0,"UNSPSC a nivel de segmento o familia; ",""),"")&amp;IF(NOT(ISNUMBER(E234)),"Duración vacía o en texto; ","")&amp;IF(NOT(ISNUMBER(G234)),"Valor vacío o en texto; ","")&amp;IF(ISNUMBER(M234),IF(M234&lt;1000000,"Valor inferior a $1.000.000: verificar; ",""),"Valor no interpretable; ")&amp;IF(N234="[PENDIENTE DE VERIFICAR]","Modalidad no identificable; ","")&amp;IF(OR(ISERROR(SEARCH("@itc.edu.co",J234)),SUMPRODUCT(--ISNUMBER(SEARCH({"á","é","í","ó","ú","ñ"},J234)))&gt;0),"Correo vacío o no institucional válido; ","")&amp;IF(LEN(TRIM(D234))=0,"Sin objeto contractual; ","")&amp;IF(AND(ISNUMBER(M234),N234="Mínima cuantía"),IF(M234&gt;39850000,"Mínima cuantía con valor superior al tope citado en el instructivo 2026 ($39.850.000): verificar modalidad; ",""),"")&amp;IF(AND(ISNUMBER(M234),OR(ISNUMBER(SEARCH("prestación de servicios",D234)),ISNUMBER(SEARCH("prestar servicios",D234)),ISNUMBER(SEARCH("prestar los servicios",D234)))),IF(M234&gt;=500000000,"Prestación de servicios por $500 millones o más: posible error de digitación; ",""),""))=0,"Sin observaciones",IF(OR(NOT(ISNUMBER(B234)),LEN(B234)&lt;&gt;8),"UNSPSC vacío, en texto, con varios códigos o sin 8 dígitos; ","")&amp;IF(AND(ISNUMBER(B234),LEN(B234)=8),IF(MOD(B234,10000)=0,"UNSPSC a nivel de segmento o familia; ",""),"")&amp;IF(NOT(ISNUMBER(E234)),"Duración vacía o en texto; ","")&amp;IF(NOT(ISNUMBER(G234)),"Valor vacío o en texto; ","")&amp;IF(ISNUMBER(M234),IF(M234&lt;1000000,"Valor inferior a $1.000.000: verificar; ",""),"Valor no interpretable; ")&amp;IF(N234="[PENDIENTE DE VERIFICAR]","Modalidad no identificable; ","")&amp;IF(OR(ISERROR(SEARCH("@itc.edu.co",J234)),SUMPRODUCT(--ISNUMBER(SEARCH({"á","é","í","ó","ú","ñ"},J234)))&gt;0),"Correo vacío o no institucional válido; ","")&amp;IF(LEN(TRIM(D234))=0,"Sin objeto contractual; ","")&amp;IF(AND(ISNUMBER(M234),N234="Mínima cuantía"),IF(M234&gt;39850000,"Mínima cuantía con valor superior al tope citado en el instructivo 2026 ($39.850.000): verificar modalidad; ",""),"")&amp;IF(AND(ISNUMBER(M234),OR(ISNUMBER(SEARCH("prestación de servicios",D234)),ISNUMBER(SEARCH("prestar servicios",D234)),ISNUMBER(SEARCH("prestar los servicios",D234)))),IF(M234&gt;=500000000,"Prestación de servicios por $500 millones o más: posible error de digitación; ",""),""))</f>
        <v/>
      </c>
    </row>
    <row r="235" ht="22.8" customHeight="1" s="23">
      <c r="A235" s="114" t="inlineStr">
        <is>
          <t>PN26-231</t>
        </is>
      </c>
      <c r="B235" s="114" t="n">
        <v>53102700</v>
      </c>
      <c r="C235" s="114" t="inlineStr">
        <is>
          <t>IBTI-VRAC</t>
        </is>
      </c>
      <c r="D235" s="114" t="inlineStr">
        <is>
          <t>Uniformes Banda de Honor</t>
        </is>
      </c>
      <c r="E235" s="114" t="n"/>
      <c r="F235" s="114" t="inlineStr">
        <is>
          <t>MÍNIMA CUANTÍA</t>
        </is>
      </c>
      <c r="G235" s="118" t="inlineStr">
        <is>
          <t>$15.000.000</t>
        </is>
      </c>
      <c r="H235" s="114" t="inlineStr">
        <is>
          <t>Dirección IBTI</t>
        </is>
      </c>
      <c r="I235" s="114" t="n"/>
      <c r="J235" s="114" t="inlineStr">
        <is>
          <t xml:space="preserve">directoribti@itc.edu.co </t>
        </is>
      </c>
      <c r="K235" s="114" t="n"/>
      <c r="L235" s="119" t="inlineStr">
        <is>
          <t>124 · Instituto de Bachillerato Técnico Industrial (IBTI)</t>
        </is>
      </c>
      <c r="M235" s="120" t="n">
        <v>15000000</v>
      </c>
      <c r="N235" s="119" t="inlineStr">
        <is>
          <t>Mínima cuantía</t>
        </is>
      </c>
      <c r="O235" s="119">
        <f>IF(LEN(IF(OR(NOT(ISNUMBER(B235)),LEN(B235)&lt;&gt;8),"UNSPSC vacío, en texto, con varios códigos o sin 8 dígitos; ","")&amp;IF(AND(ISNUMBER(B235),LEN(B235)=8),IF(MOD(B235,10000)=0,"UNSPSC a nivel de segmento o familia; ",""),"")&amp;IF(NOT(ISNUMBER(E235)),"Duración vacía o en texto; ","")&amp;IF(NOT(ISNUMBER(G235)),"Valor vacío o en texto; ","")&amp;IF(ISNUMBER(M235),IF(M235&lt;1000000,"Valor inferior a $1.000.000: verificar; ",""),"Valor no interpretable; ")&amp;IF(N235="[PENDIENTE DE VERIFICAR]","Modalidad no identificable; ","")&amp;IF(OR(ISERROR(SEARCH("@itc.edu.co",J235)),SUMPRODUCT(--ISNUMBER(SEARCH({"á","é","í","ó","ú","ñ"},J235)))&gt;0),"Correo vacío o no institucional válido; ","")&amp;IF(LEN(TRIM(D235))=0,"Sin objeto contractual; ","")&amp;IF(AND(ISNUMBER(M235),N235="Mínima cuantía"),IF(M235&gt;39850000,"Mínima cuantía con valor superior al tope citado en el instructivo 2026 ($39.850.000): verificar modalidad; ",""),"")&amp;IF(AND(ISNUMBER(M235),OR(ISNUMBER(SEARCH("prestación de servicios",D235)),ISNUMBER(SEARCH("prestar servicios",D235)),ISNUMBER(SEARCH("prestar los servicios",D235)))),IF(M235&gt;=500000000,"Prestación de servicios por $500 millones o más: posible error de digitación; ",""),""))=0,"Sin observaciones",IF(OR(NOT(ISNUMBER(B235)),LEN(B235)&lt;&gt;8),"UNSPSC vacío, en texto, con varios códigos o sin 8 dígitos; ","")&amp;IF(AND(ISNUMBER(B235),LEN(B235)=8),IF(MOD(B235,10000)=0,"UNSPSC a nivel de segmento o familia; ",""),"")&amp;IF(NOT(ISNUMBER(E235)),"Duración vacía o en texto; ","")&amp;IF(NOT(ISNUMBER(G235)),"Valor vacío o en texto; ","")&amp;IF(ISNUMBER(M235),IF(M235&lt;1000000,"Valor inferior a $1.000.000: verificar; ",""),"Valor no interpretable; ")&amp;IF(N235="[PENDIENTE DE VERIFICAR]","Modalidad no identificable; ","")&amp;IF(OR(ISERROR(SEARCH("@itc.edu.co",J235)),SUMPRODUCT(--ISNUMBER(SEARCH({"á","é","í","ó","ú","ñ"},J235)))&gt;0),"Correo vacío o no institucional válido; ","")&amp;IF(LEN(TRIM(D235))=0,"Sin objeto contractual; ","")&amp;IF(AND(ISNUMBER(M235),N235="Mínima cuantía"),IF(M235&gt;39850000,"Mínima cuantía con valor superior al tope citado en el instructivo 2026 ($39.850.000): verificar modalidad; ",""),"")&amp;IF(AND(ISNUMBER(M235),OR(ISNUMBER(SEARCH("prestación de servicios",D235)),ISNUMBER(SEARCH("prestar servicios",D235)),ISNUMBER(SEARCH("prestar los servicios",D235)))),IF(M235&gt;=500000000,"Prestación de servicios por $500 millones o más: posible error de digitación; ",""),""))</f>
        <v/>
      </c>
    </row>
    <row r="236" ht="34.2" customHeight="1" s="23">
      <c r="A236" s="114" t="inlineStr">
        <is>
          <t>PN26-232</t>
        </is>
      </c>
      <c r="B236" s="114" t="n"/>
      <c r="C236" s="114" t="inlineStr">
        <is>
          <t>IBTI-VRAC</t>
        </is>
      </c>
      <c r="D236" s="114" t="inlineStr">
        <is>
          <t>Insumos de papelería para oficinas de Dirección, Coordinaciones y psicología IBTI</t>
        </is>
      </c>
      <c r="E236" s="114" t="n"/>
      <c r="F236" s="114" t="inlineStr">
        <is>
          <t>MÍNIMA CUANTÍA</t>
        </is>
      </c>
      <c r="G236" s="118" t="inlineStr">
        <is>
          <t>$3.000.000</t>
        </is>
      </c>
      <c r="H236" s="114" t="inlineStr">
        <is>
          <t>Dirección IBTI</t>
        </is>
      </c>
      <c r="I236" s="114" t="n"/>
      <c r="J236" s="114" t="inlineStr">
        <is>
          <t xml:space="preserve">directoribti@itc.edu.co </t>
        </is>
      </c>
      <c r="K236" s="114" t="n"/>
      <c r="L236" s="119" t="inlineStr">
        <is>
          <t>124 · Instituto de Bachillerato Técnico Industrial (IBTI)</t>
        </is>
      </c>
      <c r="M236" s="120" t="n">
        <v>3000000</v>
      </c>
      <c r="N236" s="119" t="inlineStr">
        <is>
          <t>Mínima cuantía</t>
        </is>
      </c>
      <c r="O236" s="119">
        <f>IF(LEN(IF(OR(NOT(ISNUMBER(B236)),LEN(B236)&lt;&gt;8),"UNSPSC vacío, en texto, con varios códigos o sin 8 dígitos; ","")&amp;IF(AND(ISNUMBER(B236),LEN(B236)=8),IF(MOD(B236,10000)=0,"UNSPSC a nivel de segmento o familia; ",""),"")&amp;IF(NOT(ISNUMBER(E236)),"Duración vacía o en texto; ","")&amp;IF(NOT(ISNUMBER(G236)),"Valor vacío o en texto; ","")&amp;IF(ISNUMBER(M236),IF(M236&lt;1000000,"Valor inferior a $1.000.000: verificar; ",""),"Valor no interpretable; ")&amp;IF(N236="[PENDIENTE DE VERIFICAR]","Modalidad no identificable; ","")&amp;IF(OR(ISERROR(SEARCH("@itc.edu.co",J236)),SUMPRODUCT(--ISNUMBER(SEARCH({"á","é","í","ó","ú","ñ"},J236)))&gt;0),"Correo vacío o no institucional válido; ","")&amp;IF(LEN(TRIM(D236))=0,"Sin objeto contractual; ","")&amp;IF(AND(ISNUMBER(M236),N236="Mínima cuantía"),IF(M236&gt;39850000,"Mínima cuantía con valor superior al tope citado en el instructivo 2026 ($39.850.000): verificar modalidad; ",""),"")&amp;IF(AND(ISNUMBER(M236),OR(ISNUMBER(SEARCH("prestación de servicios",D236)),ISNUMBER(SEARCH("prestar servicios",D236)),ISNUMBER(SEARCH("prestar los servicios",D236)))),IF(M236&gt;=500000000,"Prestación de servicios por $500 millones o más: posible error de digitación; ",""),""))=0,"Sin observaciones",IF(OR(NOT(ISNUMBER(B236)),LEN(B236)&lt;&gt;8),"UNSPSC vacío, en texto, con varios códigos o sin 8 dígitos; ","")&amp;IF(AND(ISNUMBER(B236),LEN(B236)=8),IF(MOD(B236,10000)=0,"UNSPSC a nivel de segmento o familia; ",""),"")&amp;IF(NOT(ISNUMBER(E236)),"Duración vacía o en texto; ","")&amp;IF(NOT(ISNUMBER(G236)),"Valor vacío o en texto; ","")&amp;IF(ISNUMBER(M236),IF(M236&lt;1000000,"Valor inferior a $1.000.000: verificar; ",""),"Valor no interpretable; ")&amp;IF(N236="[PENDIENTE DE VERIFICAR]","Modalidad no identificable; ","")&amp;IF(OR(ISERROR(SEARCH("@itc.edu.co",J236)),SUMPRODUCT(--ISNUMBER(SEARCH({"á","é","í","ó","ú","ñ"},J236)))&gt;0),"Correo vacío o no institucional válido; ","")&amp;IF(LEN(TRIM(D236))=0,"Sin objeto contractual; ","")&amp;IF(AND(ISNUMBER(M236),N236="Mínima cuantía"),IF(M236&gt;39850000,"Mínima cuantía con valor superior al tope citado en el instructivo 2026 ($39.850.000): verificar modalidad; ",""),"")&amp;IF(AND(ISNUMBER(M236),OR(ISNUMBER(SEARCH("prestación de servicios",D236)),ISNUMBER(SEARCH("prestar servicios",D236)),ISNUMBER(SEARCH("prestar los servicios",D236)))),IF(M236&gt;=500000000,"Prestación de servicios por $500 millones o más: posible error de digitación; ",""),""))</f>
        <v/>
      </c>
    </row>
    <row r="237" ht="22.8" customHeight="1" s="23">
      <c r="A237" s="114" t="inlineStr">
        <is>
          <t>PN26-233</t>
        </is>
      </c>
      <c r="B237" s="114" t="n">
        <v>60000000</v>
      </c>
      <c r="C237" s="114" t="inlineStr">
        <is>
          <t>IBTI-VRAC</t>
        </is>
      </c>
      <c r="D237" s="114" t="inlineStr">
        <is>
          <t>Instrumentos musicales propios de la especialidad de artes</t>
        </is>
      </c>
      <c r="E237" s="114" t="n"/>
      <c r="F237" s="114" t="inlineStr">
        <is>
          <t>MÍNIMA CUANTÍA</t>
        </is>
      </c>
      <c r="G237" s="118" t="inlineStr">
        <is>
          <t>$10.000.000</t>
        </is>
      </c>
      <c r="H237" s="114" t="inlineStr">
        <is>
          <t>Dirección IBTI</t>
        </is>
      </c>
      <c r="I237" s="114" t="n"/>
      <c r="J237" s="114" t="inlineStr">
        <is>
          <t xml:space="preserve">directoribti@itc.edu.co </t>
        </is>
      </c>
      <c r="K237" s="114" t="n"/>
      <c r="L237" s="119" t="inlineStr">
        <is>
          <t>124 · Instituto de Bachillerato Técnico Industrial (IBTI)</t>
        </is>
      </c>
      <c r="M237" s="120" t="n">
        <v>10000000</v>
      </c>
      <c r="N237" s="119" t="inlineStr">
        <is>
          <t>Mínima cuantía</t>
        </is>
      </c>
      <c r="O237" s="119">
        <f>IF(LEN(IF(OR(NOT(ISNUMBER(B237)),LEN(B237)&lt;&gt;8),"UNSPSC vacío, en texto, con varios códigos o sin 8 dígitos; ","")&amp;IF(AND(ISNUMBER(B237),LEN(B237)=8),IF(MOD(B237,10000)=0,"UNSPSC a nivel de segmento o familia; ",""),"")&amp;IF(NOT(ISNUMBER(E237)),"Duración vacía o en texto; ","")&amp;IF(NOT(ISNUMBER(G237)),"Valor vacío o en texto; ","")&amp;IF(ISNUMBER(M237),IF(M237&lt;1000000,"Valor inferior a $1.000.000: verificar; ",""),"Valor no interpretable; ")&amp;IF(N237="[PENDIENTE DE VERIFICAR]","Modalidad no identificable; ","")&amp;IF(OR(ISERROR(SEARCH("@itc.edu.co",J237)),SUMPRODUCT(--ISNUMBER(SEARCH({"á","é","í","ó","ú","ñ"},J237)))&gt;0),"Correo vacío o no institucional válido; ","")&amp;IF(LEN(TRIM(D237))=0,"Sin objeto contractual; ","")&amp;IF(AND(ISNUMBER(M237),N237="Mínima cuantía"),IF(M237&gt;39850000,"Mínima cuantía con valor superior al tope citado en el instructivo 2026 ($39.850.000): verificar modalidad; ",""),"")&amp;IF(AND(ISNUMBER(M237),OR(ISNUMBER(SEARCH("prestación de servicios",D237)),ISNUMBER(SEARCH("prestar servicios",D237)),ISNUMBER(SEARCH("prestar los servicios",D237)))),IF(M237&gt;=500000000,"Prestación de servicios por $500 millones o más: posible error de digitación; ",""),""))=0,"Sin observaciones",IF(OR(NOT(ISNUMBER(B237)),LEN(B237)&lt;&gt;8),"UNSPSC vacío, en texto, con varios códigos o sin 8 dígitos; ","")&amp;IF(AND(ISNUMBER(B237),LEN(B237)=8),IF(MOD(B237,10000)=0,"UNSPSC a nivel de segmento o familia; ",""),"")&amp;IF(NOT(ISNUMBER(E237)),"Duración vacía o en texto; ","")&amp;IF(NOT(ISNUMBER(G237)),"Valor vacío o en texto; ","")&amp;IF(ISNUMBER(M237),IF(M237&lt;1000000,"Valor inferior a $1.000.000: verificar; ",""),"Valor no interpretable; ")&amp;IF(N237="[PENDIENTE DE VERIFICAR]","Modalidad no identificable; ","")&amp;IF(OR(ISERROR(SEARCH("@itc.edu.co",J237)),SUMPRODUCT(--ISNUMBER(SEARCH({"á","é","í","ó","ú","ñ"},J237)))&gt;0),"Correo vacío o no institucional válido; ","")&amp;IF(LEN(TRIM(D237))=0,"Sin objeto contractual; ","")&amp;IF(AND(ISNUMBER(M237),N237="Mínima cuantía"),IF(M237&gt;39850000,"Mínima cuantía con valor superior al tope citado en el instructivo 2026 ($39.850.000): verificar modalidad; ",""),"")&amp;IF(AND(ISNUMBER(M237),OR(ISNUMBER(SEARCH("prestación de servicios",D237)),ISNUMBER(SEARCH("prestar servicios",D237)),ISNUMBER(SEARCH("prestar los servicios",D237)))),IF(M237&gt;=500000000,"Prestación de servicios por $500 millones o más: posible error de digitación; ",""),""))</f>
        <v/>
      </c>
    </row>
    <row r="238" ht="34.2" customHeight="1" s="23">
      <c r="A238" s="114" t="inlineStr">
        <is>
          <t>PN26-234</t>
        </is>
      </c>
      <c r="B238" s="114" t="n">
        <v>90000000</v>
      </c>
      <c r="C238" s="114" t="inlineStr">
        <is>
          <t>IBTI-VRAC</t>
        </is>
      </c>
      <c r="D238" s="114" t="inlineStr">
        <is>
          <t>Atención a invitados (Refrigerio, transporte, material de apoyo que se necesite) para las dos actividades del proyecto de catedra por la paz</t>
        </is>
      </c>
      <c r="E238" s="114" t="n"/>
      <c r="F238" s="114" t="inlineStr">
        <is>
          <t>Vicerrectoría Administrativa</t>
        </is>
      </c>
      <c r="G238" s="118" t="inlineStr">
        <is>
          <t>$2.000.000</t>
        </is>
      </c>
      <c r="H238" s="114" t="inlineStr">
        <is>
          <t>Dirección IBTI</t>
        </is>
      </c>
      <c r="I238" s="114" t="n"/>
      <c r="J238" s="114" t="inlineStr">
        <is>
          <t xml:space="preserve">directoribti@itc.edu.co </t>
        </is>
      </c>
      <c r="K238" s="114" t="n"/>
      <c r="L238" s="119" t="inlineStr">
        <is>
          <t>124 · Instituto de Bachillerato Técnico Industrial (IBTI)</t>
        </is>
      </c>
      <c r="M238" s="120" t="n">
        <v>2000000</v>
      </c>
      <c r="N238" s="119" t="inlineStr">
        <is>
          <t>[PENDIENTE DE VERIFICAR]</t>
        </is>
      </c>
      <c r="O238" s="119">
        <f>IF(LEN(IF(OR(NOT(ISNUMBER(B238)),LEN(B238)&lt;&gt;8),"UNSPSC vacío, en texto, con varios códigos o sin 8 dígitos; ","")&amp;IF(AND(ISNUMBER(B238),LEN(B238)=8),IF(MOD(B238,10000)=0,"UNSPSC a nivel de segmento o familia; ",""),"")&amp;IF(NOT(ISNUMBER(E238)),"Duración vacía o en texto; ","")&amp;IF(NOT(ISNUMBER(G238)),"Valor vacío o en texto; ","")&amp;IF(ISNUMBER(M238),IF(M238&lt;1000000,"Valor inferior a $1.000.000: verificar; ",""),"Valor no interpretable; ")&amp;IF(N238="[PENDIENTE DE VERIFICAR]","Modalidad no identificable; ","")&amp;IF(OR(ISERROR(SEARCH("@itc.edu.co",J238)),SUMPRODUCT(--ISNUMBER(SEARCH({"á","é","í","ó","ú","ñ"},J238)))&gt;0),"Correo vacío o no institucional válido; ","")&amp;IF(LEN(TRIM(D238))=0,"Sin objeto contractual; ","")&amp;IF(AND(ISNUMBER(M238),N238="Mínima cuantía"),IF(M238&gt;39850000,"Mínima cuantía con valor superior al tope citado en el instructivo 2026 ($39.850.000): verificar modalidad; ",""),"")&amp;IF(AND(ISNUMBER(M238),OR(ISNUMBER(SEARCH("prestación de servicios",D238)),ISNUMBER(SEARCH("prestar servicios",D238)),ISNUMBER(SEARCH("prestar los servicios",D238)))),IF(M238&gt;=500000000,"Prestación de servicios por $500 millones o más: posible error de digitación; ",""),""))=0,"Sin observaciones",IF(OR(NOT(ISNUMBER(B238)),LEN(B238)&lt;&gt;8),"UNSPSC vacío, en texto, con varios códigos o sin 8 dígitos; ","")&amp;IF(AND(ISNUMBER(B238),LEN(B238)=8),IF(MOD(B238,10000)=0,"UNSPSC a nivel de segmento o familia; ",""),"")&amp;IF(NOT(ISNUMBER(E238)),"Duración vacía o en texto; ","")&amp;IF(NOT(ISNUMBER(G238)),"Valor vacío o en texto; ","")&amp;IF(ISNUMBER(M238),IF(M238&lt;1000000,"Valor inferior a $1.000.000: verificar; ",""),"Valor no interpretable; ")&amp;IF(N238="[PENDIENTE DE VERIFICAR]","Modalidad no identificable; ","")&amp;IF(OR(ISERROR(SEARCH("@itc.edu.co",J238)),SUMPRODUCT(--ISNUMBER(SEARCH({"á","é","í","ó","ú","ñ"},J238)))&gt;0),"Correo vacío o no institucional válido; ","")&amp;IF(LEN(TRIM(D238))=0,"Sin objeto contractual; ","")&amp;IF(AND(ISNUMBER(M238),N238="Mínima cuantía"),IF(M238&gt;39850000,"Mínima cuantía con valor superior al tope citado en el instructivo 2026 ($39.850.000): verificar modalidad; ",""),"")&amp;IF(AND(ISNUMBER(M238),OR(ISNUMBER(SEARCH("prestación de servicios",D238)),ISNUMBER(SEARCH("prestar servicios",D238)),ISNUMBER(SEARCH("prestar los servicios",D238)))),IF(M238&gt;=500000000,"Prestación de servicios por $500 millones o más: posible error de digitación; ",""),""))</f>
        <v/>
      </c>
    </row>
    <row r="239" ht="22.8" customHeight="1" s="23">
      <c r="A239" s="114" t="inlineStr">
        <is>
          <t>PN26-235</t>
        </is>
      </c>
      <c r="B239" s="114" t="n">
        <v>45000000</v>
      </c>
      <c r="C239" s="114" t="inlineStr">
        <is>
          <t>IBTI-VRAC</t>
        </is>
      </c>
      <c r="D239" s="114" t="inlineStr">
        <is>
          <t>Elementos de sonido para el IBTI como consola bafles, micrófonos, bases.</t>
        </is>
      </c>
      <c r="E239" s="114" t="n"/>
      <c r="F239" s="114" t="inlineStr">
        <is>
          <t>MÍNIMA CUANTÍA</t>
        </is>
      </c>
      <c r="G239" s="118" t="inlineStr">
        <is>
          <t>$30.000.000</t>
        </is>
      </c>
      <c r="H239" s="114" t="inlineStr">
        <is>
          <t>Dirección IBTI</t>
        </is>
      </c>
      <c r="I239" s="114" t="n"/>
      <c r="J239" s="114" t="inlineStr">
        <is>
          <t xml:space="preserve">directoribti@itc.edu.co </t>
        </is>
      </c>
      <c r="K239" s="114" t="n"/>
      <c r="L239" s="119" t="inlineStr">
        <is>
          <t>124 · Instituto de Bachillerato Técnico Industrial (IBTI)</t>
        </is>
      </c>
      <c r="M239" s="120" t="n">
        <v>30000000</v>
      </c>
      <c r="N239" s="119" t="inlineStr">
        <is>
          <t>Mínima cuantía</t>
        </is>
      </c>
      <c r="O239" s="119">
        <f>IF(LEN(IF(OR(NOT(ISNUMBER(B239)),LEN(B239)&lt;&gt;8),"UNSPSC vacío, en texto, con varios códigos o sin 8 dígitos; ","")&amp;IF(AND(ISNUMBER(B239),LEN(B239)=8),IF(MOD(B239,10000)=0,"UNSPSC a nivel de segmento o familia; ",""),"")&amp;IF(NOT(ISNUMBER(E239)),"Duración vacía o en texto; ","")&amp;IF(NOT(ISNUMBER(G239)),"Valor vacío o en texto; ","")&amp;IF(ISNUMBER(M239),IF(M239&lt;1000000,"Valor inferior a $1.000.000: verificar; ",""),"Valor no interpretable; ")&amp;IF(N239="[PENDIENTE DE VERIFICAR]","Modalidad no identificable; ","")&amp;IF(OR(ISERROR(SEARCH("@itc.edu.co",J239)),SUMPRODUCT(--ISNUMBER(SEARCH({"á","é","í","ó","ú","ñ"},J239)))&gt;0),"Correo vacío o no institucional válido; ","")&amp;IF(LEN(TRIM(D239))=0,"Sin objeto contractual; ","")&amp;IF(AND(ISNUMBER(M239),N239="Mínima cuantía"),IF(M239&gt;39850000,"Mínima cuantía con valor superior al tope citado en el instructivo 2026 ($39.850.000): verificar modalidad; ",""),"")&amp;IF(AND(ISNUMBER(M239),OR(ISNUMBER(SEARCH("prestación de servicios",D239)),ISNUMBER(SEARCH("prestar servicios",D239)),ISNUMBER(SEARCH("prestar los servicios",D239)))),IF(M239&gt;=500000000,"Prestación de servicios por $500 millones o más: posible error de digitación; ",""),""))=0,"Sin observaciones",IF(OR(NOT(ISNUMBER(B239)),LEN(B239)&lt;&gt;8),"UNSPSC vacío, en texto, con varios códigos o sin 8 dígitos; ","")&amp;IF(AND(ISNUMBER(B239),LEN(B239)=8),IF(MOD(B239,10000)=0,"UNSPSC a nivel de segmento o familia; ",""),"")&amp;IF(NOT(ISNUMBER(E239)),"Duración vacía o en texto; ","")&amp;IF(NOT(ISNUMBER(G239)),"Valor vacío o en texto; ","")&amp;IF(ISNUMBER(M239),IF(M239&lt;1000000,"Valor inferior a $1.000.000: verificar; ",""),"Valor no interpretable; ")&amp;IF(N239="[PENDIENTE DE VERIFICAR]","Modalidad no identificable; ","")&amp;IF(OR(ISERROR(SEARCH("@itc.edu.co",J239)),SUMPRODUCT(--ISNUMBER(SEARCH({"á","é","í","ó","ú","ñ"},J239)))&gt;0),"Correo vacío o no institucional válido; ","")&amp;IF(LEN(TRIM(D239))=0,"Sin objeto contractual; ","")&amp;IF(AND(ISNUMBER(M239),N239="Mínima cuantía"),IF(M239&gt;39850000,"Mínima cuantía con valor superior al tope citado en el instructivo 2026 ($39.850.000): verificar modalidad; ",""),"")&amp;IF(AND(ISNUMBER(M239),OR(ISNUMBER(SEARCH("prestación de servicios",D239)),ISNUMBER(SEARCH("prestar servicios",D239)),ISNUMBER(SEARCH("prestar los servicios",D239)))),IF(M239&gt;=500000000,"Prestación de servicios por $500 millones o más: posible error de digitación; ",""),""))</f>
        <v/>
      </c>
    </row>
    <row r="240" ht="409.6" customHeight="1" s="23">
      <c r="A240" s="114" t="inlineStr">
        <is>
          <t>PN26-236</t>
        </is>
      </c>
      <c r="B240" s="114" t="n">
        <v>86132103</v>
      </c>
      <c r="C240" s="114" t="inlineStr">
        <is>
          <t>Vicerrectoria Académica</t>
        </is>
      </c>
      <c r="D240" s="114" t="inlineStr">
        <is>
          <t xml:space="preserve">Prestación de servicios de entrenamiento en pruebas SABER PRO y TyT que incluye desarrollo de simulacros, contenidos y análisis de valor agregado y aporte relativo en competencias genéricas y específicas de todos los programas académicos de la ETITC. </t>
        </is>
      </c>
      <c r="E240" s="114" t="inlineStr">
        <is>
          <t>6 meses</t>
        </is>
      </c>
      <c r="F240" s="114" t="inlineStr">
        <is>
          <t>Selección abreviada - Subasta inversa</t>
        </is>
      </c>
      <c r="G240" s="118" t="inlineStr">
        <is>
          <t>90.000.000</t>
        </is>
      </c>
      <c r="H240" s="114" t="inlineStr">
        <is>
          <t>Vicerrector Académico</t>
        </is>
      </c>
      <c r="I240" s="114" t="inlineStr">
        <is>
          <t>PBX 3443000 Ext 114</t>
        </is>
      </c>
      <c r="J240" s="114" t="inlineStr">
        <is>
          <t>viceacademica@itc.edu.co</t>
        </is>
      </c>
      <c r="K240" s="114" t="inlineStr">
        <is>
          <t>Justificación técnica y misional: La implementación de programas de capacitación dirigidos, acompañados de simulacros con metodologías alineadas con los modelos de evaluación aplicados por el Instituto Colombiano para la Evaluación de la Educación (ICFES), permite preparar a los estudiantes en competencias genéricas y específicas evaluadas en estas pruebas, así como generar información diagnóstica relevante sobre su desempeño. Adicionalmente, la elaboración de informes especializados de valor agregado y aporte relativo facilita el análisis del progreso de los estudiantes respecto a sus condiciones de ingreso y del impacto formativo de la institución, proporcionando insumos técnicos para la toma de decisiones académicas, el fortalecimiento curricular y el seguimiento a indicadores de calidad exigidos en los procesos de aseguramiento de la calidad.</t>
        </is>
      </c>
      <c r="L240" s="119" t="inlineStr">
        <is>
          <t>120 · Vicerrectoría Académica</t>
        </is>
      </c>
      <c r="M240" s="120" t="n">
        <v>90000000</v>
      </c>
      <c r="N240" s="119" t="inlineStr">
        <is>
          <t>Selección abreviada – subasta inversa</t>
        </is>
      </c>
      <c r="O240" s="119">
        <f>IF(LEN(IF(OR(NOT(ISNUMBER(B240)),LEN(B240)&lt;&gt;8),"UNSPSC vacío, en texto, con varios códigos o sin 8 dígitos; ","")&amp;IF(AND(ISNUMBER(B240),LEN(B240)=8),IF(MOD(B240,10000)=0,"UNSPSC a nivel de segmento o familia; ",""),"")&amp;IF(NOT(ISNUMBER(E240)),"Duración vacía o en texto; ","")&amp;IF(NOT(ISNUMBER(G240)),"Valor vacío o en texto; ","")&amp;IF(ISNUMBER(M240),IF(M240&lt;1000000,"Valor inferior a $1.000.000: verificar; ",""),"Valor no interpretable; ")&amp;IF(N240="[PENDIENTE DE VERIFICAR]","Modalidad no identificable; ","")&amp;IF(OR(ISERROR(SEARCH("@itc.edu.co",J240)),SUMPRODUCT(--ISNUMBER(SEARCH({"á","é","í","ó","ú","ñ"},J240)))&gt;0),"Correo vacío o no institucional válido; ","")&amp;IF(LEN(TRIM(D240))=0,"Sin objeto contractual; ","")&amp;IF(AND(ISNUMBER(M240),N240="Mínima cuantía"),IF(M240&gt;39850000,"Mínima cuantía con valor superior al tope citado en el instructivo 2026 ($39.850.000): verificar modalidad; ",""),"")&amp;IF(AND(ISNUMBER(M240),OR(ISNUMBER(SEARCH("prestación de servicios",D240)),ISNUMBER(SEARCH("prestar servicios",D240)),ISNUMBER(SEARCH("prestar los servicios",D240)))),IF(M240&gt;=500000000,"Prestación de servicios por $500 millones o más: posible error de digitación; ",""),""))=0,"Sin observaciones",IF(OR(NOT(ISNUMBER(B240)),LEN(B240)&lt;&gt;8),"UNSPSC vacío, en texto, con varios códigos o sin 8 dígitos; ","")&amp;IF(AND(ISNUMBER(B240),LEN(B240)=8),IF(MOD(B240,10000)=0,"UNSPSC a nivel de segmento o familia; ",""),"")&amp;IF(NOT(ISNUMBER(E240)),"Duración vacía o en texto; ","")&amp;IF(NOT(ISNUMBER(G240)),"Valor vacío o en texto; ","")&amp;IF(ISNUMBER(M240),IF(M240&lt;1000000,"Valor inferior a $1.000.000: verificar; ",""),"Valor no interpretable; ")&amp;IF(N240="[PENDIENTE DE VERIFICAR]","Modalidad no identificable; ","")&amp;IF(OR(ISERROR(SEARCH("@itc.edu.co",J240)),SUMPRODUCT(--ISNUMBER(SEARCH({"á","é","í","ó","ú","ñ"},J240)))&gt;0),"Correo vacío o no institucional válido; ","")&amp;IF(LEN(TRIM(D240))=0,"Sin objeto contractual; ","")&amp;IF(AND(ISNUMBER(M240),N240="Mínima cuantía"),IF(M240&gt;39850000,"Mínima cuantía con valor superior al tope citado en el instructivo 2026 ($39.850.000): verificar modalidad; ",""),"")&amp;IF(AND(ISNUMBER(M240),OR(ISNUMBER(SEARCH("prestación de servicios",D240)),ISNUMBER(SEARCH("prestar servicios",D240)),ISNUMBER(SEARCH("prestar los servicios",D240)))),IF(M240&gt;=500000000,"Prestación de servicios por $500 millones o más: posible error de digitación; ",""),""))</f>
        <v/>
      </c>
    </row>
    <row r="241" ht="45.6" customHeight="1" s="23">
      <c r="A241" s="114" t="inlineStr">
        <is>
          <t>PN26-237</t>
        </is>
      </c>
      <c r="B241" s="114" t="n">
        <v>43211503</v>
      </c>
      <c r="C241" s="114" t="inlineStr">
        <is>
          <t>Registro y Contol</t>
        </is>
      </c>
      <c r="D241" s="114" t="inlineStr">
        <is>
          <t>ADQUISICIÓN DE 1 Computador Portatil,  necesidad que surge para atender reuniones institucionales y realizar visitas a las diferentes unidades de la entidad, actividades en las cuales se requiere acceso oportuno a la información, documentos institucionales y sistemas de gestión.</t>
        </is>
      </c>
      <c r="E241" s="114" t="n"/>
      <c r="F241" s="114" t="inlineStr">
        <is>
          <t>MÍNIMA CUANTÍA</t>
        </is>
      </c>
      <c r="G241" s="118" t="inlineStr">
        <is>
          <t>$4.000.000</t>
        </is>
      </c>
      <c r="H241" s="114" t="inlineStr">
        <is>
          <t>PROFESIONAL UNIVERSITARIO 2044-06</t>
        </is>
      </c>
      <c r="I241" s="114" t="inlineStr">
        <is>
          <t>PBX 3443000 Ext. 237</t>
        </is>
      </c>
      <c r="J241" s="114" t="inlineStr">
        <is>
          <t>registro@itc.edu.co</t>
        </is>
      </c>
      <c r="K241" s="114" t="n"/>
      <c r="L241" s="119" t="inlineStr">
        <is>
          <t>126 · GIT Registro y Control</t>
        </is>
      </c>
      <c r="M241" s="120" t="n">
        <v>4000000</v>
      </c>
      <c r="N241" s="119" t="inlineStr">
        <is>
          <t>Mínima cuantía</t>
        </is>
      </c>
      <c r="O241" s="119">
        <f>IF(LEN(IF(OR(NOT(ISNUMBER(B241)),LEN(B241)&lt;&gt;8),"UNSPSC vacío, en texto, con varios códigos o sin 8 dígitos; ","")&amp;IF(AND(ISNUMBER(B241),LEN(B241)=8),IF(MOD(B241,10000)=0,"UNSPSC a nivel de segmento o familia; ",""),"")&amp;IF(NOT(ISNUMBER(E241)),"Duración vacía o en texto; ","")&amp;IF(NOT(ISNUMBER(G241)),"Valor vacío o en texto; ","")&amp;IF(ISNUMBER(M241),IF(M241&lt;1000000,"Valor inferior a $1.000.000: verificar; ",""),"Valor no interpretable; ")&amp;IF(N241="[PENDIENTE DE VERIFICAR]","Modalidad no identificable; ","")&amp;IF(OR(ISERROR(SEARCH("@itc.edu.co",J241)),SUMPRODUCT(--ISNUMBER(SEARCH({"á","é","í","ó","ú","ñ"},J241)))&gt;0),"Correo vacío o no institucional válido; ","")&amp;IF(LEN(TRIM(D241))=0,"Sin objeto contractual; ","")&amp;IF(AND(ISNUMBER(M241),N241="Mínima cuantía"),IF(M241&gt;39850000,"Mínima cuantía con valor superior al tope citado en el instructivo 2026 ($39.850.000): verificar modalidad; ",""),"")&amp;IF(AND(ISNUMBER(M241),OR(ISNUMBER(SEARCH("prestación de servicios",D241)),ISNUMBER(SEARCH("prestar servicios",D241)),ISNUMBER(SEARCH("prestar los servicios",D241)))),IF(M241&gt;=500000000,"Prestación de servicios por $500 millones o más: posible error de digitación; ",""),""))=0,"Sin observaciones",IF(OR(NOT(ISNUMBER(B241)),LEN(B241)&lt;&gt;8),"UNSPSC vacío, en texto, con varios códigos o sin 8 dígitos; ","")&amp;IF(AND(ISNUMBER(B241),LEN(B241)=8),IF(MOD(B241,10000)=0,"UNSPSC a nivel de segmento o familia; ",""),"")&amp;IF(NOT(ISNUMBER(E241)),"Duración vacía o en texto; ","")&amp;IF(NOT(ISNUMBER(G241)),"Valor vacío o en texto; ","")&amp;IF(ISNUMBER(M241),IF(M241&lt;1000000,"Valor inferior a $1.000.000: verificar; ",""),"Valor no interpretable; ")&amp;IF(N241="[PENDIENTE DE VERIFICAR]","Modalidad no identificable; ","")&amp;IF(OR(ISERROR(SEARCH("@itc.edu.co",J241)),SUMPRODUCT(--ISNUMBER(SEARCH({"á","é","í","ó","ú","ñ"},J241)))&gt;0),"Correo vacío o no institucional válido; ","")&amp;IF(LEN(TRIM(D241))=0,"Sin objeto contractual; ","")&amp;IF(AND(ISNUMBER(M241),N241="Mínima cuantía"),IF(M241&gt;39850000,"Mínima cuantía con valor superior al tope citado en el instructivo 2026 ($39.850.000): verificar modalidad; ",""),"")&amp;IF(AND(ISNUMBER(M241),OR(ISNUMBER(SEARCH("prestación de servicios",D241)),ISNUMBER(SEARCH("prestar servicios",D241)),ISNUMBER(SEARCH("prestar los servicios",D241)))),IF(M241&gt;=500000000,"Prestación de servicios por $500 millones o más: posible error de digitación; ",""),""))</f>
        <v/>
      </c>
    </row>
    <row r="242" ht="22.8" customHeight="1" s="23">
      <c r="A242" s="114" t="inlineStr">
        <is>
          <t>PN26-238</t>
        </is>
      </c>
      <c r="B242" s="114" t="n">
        <v>43211507</v>
      </c>
      <c r="C242" s="114" t="inlineStr">
        <is>
          <t>Registro y Contol</t>
        </is>
      </c>
      <c r="D242" s="114" t="inlineStr">
        <is>
          <t>Equipo de escritorio  reemplazo de equipo actual</t>
        </is>
      </c>
      <c r="E242" s="114" t="n"/>
      <c r="F242" s="114" t="inlineStr">
        <is>
          <t>MÍNIMA CUANTÍA</t>
        </is>
      </c>
      <c r="G242" s="118" t="inlineStr">
        <is>
          <t>$2.500.000</t>
        </is>
      </c>
      <c r="H242" s="114" t="inlineStr">
        <is>
          <t>PROFESIONAL UNIVERSITARIO 2044-06</t>
        </is>
      </c>
      <c r="I242" s="114" t="inlineStr">
        <is>
          <t>PBX 3443000 Ext. 237</t>
        </is>
      </c>
      <c r="J242" s="114" t="inlineStr">
        <is>
          <t>registro@itc.edu.co</t>
        </is>
      </c>
      <c r="K242" s="114" t="n"/>
      <c r="L242" s="119" t="inlineStr">
        <is>
          <t>126 · GIT Registro y Control</t>
        </is>
      </c>
      <c r="M242" s="120" t="n">
        <v>2500000</v>
      </c>
      <c r="N242" s="119" t="inlineStr">
        <is>
          <t>Mínima cuantía</t>
        </is>
      </c>
      <c r="O242" s="119">
        <f>IF(LEN(IF(OR(NOT(ISNUMBER(B242)),LEN(B242)&lt;&gt;8),"UNSPSC vacío, en texto, con varios códigos o sin 8 dígitos; ","")&amp;IF(AND(ISNUMBER(B242),LEN(B242)=8),IF(MOD(B242,10000)=0,"UNSPSC a nivel de segmento o familia; ",""),"")&amp;IF(NOT(ISNUMBER(E242)),"Duración vacía o en texto; ","")&amp;IF(NOT(ISNUMBER(G242)),"Valor vacío o en texto; ","")&amp;IF(ISNUMBER(M242),IF(M242&lt;1000000,"Valor inferior a $1.000.000: verificar; ",""),"Valor no interpretable; ")&amp;IF(N242="[PENDIENTE DE VERIFICAR]","Modalidad no identificable; ","")&amp;IF(OR(ISERROR(SEARCH("@itc.edu.co",J242)),SUMPRODUCT(--ISNUMBER(SEARCH({"á","é","í","ó","ú","ñ"},J242)))&gt;0),"Correo vacío o no institucional válido; ","")&amp;IF(LEN(TRIM(D242))=0,"Sin objeto contractual; ","")&amp;IF(AND(ISNUMBER(M242),N242="Mínima cuantía"),IF(M242&gt;39850000,"Mínima cuantía con valor superior al tope citado en el instructivo 2026 ($39.850.000): verificar modalidad; ",""),"")&amp;IF(AND(ISNUMBER(M242),OR(ISNUMBER(SEARCH("prestación de servicios",D242)),ISNUMBER(SEARCH("prestar servicios",D242)),ISNUMBER(SEARCH("prestar los servicios",D242)))),IF(M242&gt;=500000000,"Prestación de servicios por $500 millones o más: posible error de digitación; ",""),""))=0,"Sin observaciones",IF(OR(NOT(ISNUMBER(B242)),LEN(B242)&lt;&gt;8),"UNSPSC vacío, en texto, con varios códigos o sin 8 dígitos; ","")&amp;IF(AND(ISNUMBER(B242),LEN(B242)=8),IF(MOD(B242,10000)=0,"UNSPSC a nivel de segmento o familia; ",""),"")&amp;IF(NOT(ISNUMBER(E242)),"Duración vacía o en texto; ","")&amp;IF(NOT(ISNUMBER(G242)),"Valor vacío o en texto; ","")&amp;IF(ISNUMBER(M242),IF(M242&lt;1000000,"Valor inferior a $1.000.000: verificar; ",""),"Valor no interpretable; ")&amp;IF(N242="[PENDIENTE DE VERIFICAR]","Modalidad no identificable; ","")&amp;IF(OR(ISERROR(SEARCH("@itc.edu.co",J242)),SUMPRODUCT(--ISNUMBER(SEARCH({"á","é","í","ó","ú","ñ"},J242)))&gt;0),"Correo vacío o no institucional válido; ","")&amp;IF(LEN(TRIM(D242))=0,"Sin objeto contractual; ","")&amp;IF(AND(ISNUMBER(M242),N242="Mínima cuantía"),IF(M242&gt;39850000,"Mínima cuantía con valor superior al tope citado en el instructivo 2026 ($39.850.000): verificar modalidad; ",""),"")&amp;IF(AND(ISNUMBER(M242),OR(ISNUMBER(SEARCH("prestación de servicios",D242)),ISNUMBER(SEARCH("prestar servicios",D242)),ISNUMBER(SEARCH("prestar los servicios",D242)))),IF(M242&gt;=500000000,"Prestación de servicios por $500 millones o más: posible error de digitación; ",""),""))</f>
        <v/>
      </c>
    </row>
    <row r="243" ht="22.8" customHeight="1" s="23">
      <c r="A243" s="114" t="inlineStr">
        <is>
          <t>PN26-239</t>
        </is>
      </c>
      <c r="B243" s="114" t="n">
        <v>56101720</v>
      </c>
      <c r="C243" s="114" t="inlineStr">
        <is>
          <t>Registro y Contol</t>
        </is>
      </c>
      <c r="D243" s="114" t="inlineStr">
        <is>
          <t>Equipo movialirio 6 sillas ergonomicas</t>
        </is>
      </c>
      <c r="E243" s="114" t="n"/>
      <c r="F243" s="114" t="inlineStr">
        <is>
          <t>MÍNIMA CUANTÍA</t>
        </is>
      </c>
      <c r="G243" s="118" t="inlineStr">
        <is>
          <t>$3.000.000</t>
        </is>
      </c>
      <c r="H243" s="114" t="inlineStr">
        <is>
          <t>PROFESIONAL UNIVERSITARIO 2044-06</t>
        </is>
      </c>
      <c r="I243" s="114" t="inlineStr">
        <is>
          <t>PBX 3443000 Ext. 237</t>
        </is>
      </c>
      <c r="J243" s="114" t="inlineStr">
        <is>
          <t>registro@itc.edu.co</t>
        </is>
      </c>
      <c r="K243" s="114" t="n"/>
      <c r="L243" s="119" t="inlineStr">
        <is>
          <t>126 · GIT Registro y Control</t>
        </is>
      </c>
      <c r="M243" s="120" t="n">
        <v>3000000</v>
      </c>
      <c r="N243" s="119" t="inlineStr">
        <is>
          <t>Mínima cuantía</t>
        </is>
      </c>
      <c r="O243" s="119">
        <f>IF(LEN(IF(OR(NOT(ISNUMBER(B243)),LEN(B243)&lt;&gt;8),"UNSPSC vacío, en texto, con varios códigos o sin 8 dígitos; ","")&amp;IF(AND(ISNUMBER(B243),LEN(B243)=8),IF(MOD(B243,10000)=0,"UNSPSC a nivel de segmento o familia; ",""),"")&amp;IF(NOT(ISNUMBER(E243)),"Duración vacía o en texto; ","")&amp;IF(NOT(ISNUMBER(G243)),"Valor vacío o en texto; ","")&amp;IF(ISNUMBER(M243),IF(M243&lt;1000000,"Valor inferior a $1.000.000: verificar; ",""),"Valor no interpretable; ")&amp;IF(N243="[PENDIENTE DE VERIFICAR]","Modalidad no identificable; ","")&amp;IF(OR(ISERROR(SEARCH("@itc.edu.co",J243)),SUMPRODUCT(--ISNUMBER(SEARCH({"á","é","í","ó","ú","ñ"},J243)))&gt;0),"Correo vacío o no institucional válido; ","")&amp;IF(LEN(TRIM(D243))=0,"Sin objeto contractual; ","")&amp;IF(AND(ISNUMBER(M243),N243="Mínima cuantía"),IF(M243&gt;39850000,"Mínima cuantía con valor superior al tope citado en el instructivo 2026 ($39.850.000): verificar modalidad; ",""),"")&amp;IF(AND(ISNUMBER(M243),OR(ISNUMBER(SEARCH("prestación de servicios",D243)),ISNUMBER(SEARCH("prestar servicios",D243)),ISNUMBER(SEARCH("prestar los servicios",D243)))),IF(M243&gt;=500000000,"Prestación de servicios por $500 millones o más: posible error de digitación; ",""),""))=0,"Sin observaciones",IF(OR(NOT(ISNUMBER(B243)),LEN(B243)&lt;&gt;8),"UNSPSC vacío, en texto, con varios códigos o sin 8 dígitos; ","")&amp;IF(AND(ISNUMBER(B243),LEN(B243)=8),IF(MOD(B243,10000)=0,"UNSPSC a nivel de segmento o familia; ",""),"")&amp;IF(NOT(ISNUMBER(E243)),"Duración vacía o en texto; ","")&amp;IF(NOT(ISNUMBER(G243)),"Valor vacío o en texto; ","")&amp;IF(ISNUMBER(M243),IF(M243&lt;1000000,"Valor inferior a $1.000.000: verificar; ",""),"Valor no interpretable; ")&amp;IF(N243="[PENDIENTE DE VERIFICAR]","Modalidad no identificable; ","")&amp;IF(OR(ISERROR(SEARCH("@itc.edu.co",J243)),SUMPRODUCT(--ISNUMBER(SEARCH({"á","é","í","ó","ú","ñ"},J243)))&gt;0),"Correo vacío o no institucional válido; ","")&amp;IF(LEN(TRIM(D243))=0,"Sin objeto contractual; ","")&amp;IF(AND(ISNUMBER(M243),N243="Mínima cuantía"),IF(M243&gt;39850000,"Mínima cuantía con valor superior al tope citado en el instructivo 2026 ($39.850.000): verificar modalidad; ",""),"")&amp;IF(AND(ISNUMBER(M243),OR(ISNUMBER(SEARCH("prestación de servicios",D243)),ISNUMBER(SEARCH("prestar servicios",D243)),ISNUMBER(SEARCH("prestar los servicios",D243)))),IF(M243&gt;=500000000,"Prestación de servicios por $500 millones o más: posible error de digitación; ",""),""))</f>
        <v/>
      </c>
    </row>
    <row r="244" ht="22.8" customHeight="1" s="23">
      <c r="A244" s="114" t="inlineStr">
        <is>
          <t>PN26-240</t>
        </is>
      </c>
      <c r="B244" s="114" t="n">
        <v>80161500</v>
      </c>
      <c r="C244" s="114" t="inlineStr">
        <is>
          <t>Registro y Contol</t>
        </is>
      </c>
      <c r="D244" s="114" t="inlineStr">
        <is>
          <t>PRESTACIÓN DE SERVICIOS PROFESIONALES PARA APOYAR LA GESTIÓN DEL DIGITALZIACIÓN DE ARCHIVO</t>
        </is>
      </c>
      <c r="E244" s="114" t="inlineStr">
        <is>
          <t>7 meses</t>
        </is>
      </c>
      <c r="F244" s="114" t="inlineStr">
        <is>
          <t>DIRECTA</t>
        </is>
      </c>
      <c r="G244" s="118" t="n">
        <v>21000000</v>
      </c>
      <c r="H244" s="114" t="inlineStr">
        <is>
          <t>PROFESIONAL UNIVERSITARIO 2044-06</t>
        </is>
      </c>
      <c r="I244" s="114" t="inlineStr">
        <is>
          <t>PBX 3443000 Ext. 237</t>
        </is>
      </c>
      <c r="J244" s="114" t="inlineStr">
        <is>
          <t>registro@itc.edu.co</t>
        </is>
      </c>
      <c r="K244" s="114" t="n"/>
      <c r="L244" s="119" t="inlineStr">
        <is>
          <t>126 · GIT Registro y Control</t>
        </is>
      </c>
      <c r="M244" s="120" t="n">
        <v>21000000</v>
      </c>
      <c r="N244" s="119" t="inlineStr">
        <is>
          <t>Contratación directa</t>
        </is>
      </c>
      <c r="O244" s="119">
        <f>IF(LEN(IF(OR(NOT(ISNUMBER(B244)),LEN(B244)&lt;&gt;8),"UNSPSC vacío, en texto, con varios códigos o sin 8 dígitos; ","")&amp;IF(AND(ISNUMBER(B244),LEN(B244)=8),IF(MOD(B244,10000)=0,"UNSPSC a nivel de segmento o familia; ",""),"")&amp;IF(NOT(ISNUMBER(E244)),"Duración vacía o en texto; ","")&amp;IF(NOT(ISNUMBER(G244)),"Valor vacío o en texto; ","")&amp;IF(ISNUMBER(M244),IF(M244&lt;1000000,"Valor inferior a $1.000.000: verificar; ",""),"Valor no interpretable; ")&amp;IF(N244="[PENDIENTE DE VERIFICAR]","Modalidad no identificable; ","")&amp;IF(OR(ISERROR(SEARCH("@itc.edu.co",J244)),SUMPRODUCT(--ISNUMBER(SEARCH({"á","é","í","ó","ú","ñ"},J244)))&gt;0),"Correo vacío o no institucional válido; ","")&amp;IF(LEN(TRIM(D244))=0,"Sin objeto contractual; ","")&amp;IF(AND(ISNUMBER(M244),N244="Mínima cuantía"),IF(M244&gt;39850000,"Mínima cuantía con valor superior al tope citado en el instructivo 2026 ($39.850.000): verificar modalidad; ",""),"")&amp;IF(AND(ISNUMBER(M244),OR(ISNUMBER(SEARCH("prestación de servicios",D244)),ISNUMBER(SEARCH("prestar servicios",D244)),ISNUMBER(SEARCH("prestar los servicios",D244)))),IF(M244&gt;=500000000,"Prestación de servicios por $500 millones o más: posible error de digitación; ",""),""))=0,"Sin observaciones",IF(OR(NOT(ISNUMBER(B244)),LEN(B244)&lt;&gt;8),"UNSPSC vacío, en texto, con varios códigos o sin 8 dígitos; ","")&amp;IF(AND(ISNUMBER(B244),LEN(B244)=8),IF(MOD(B244,10000)=0,"UNSPSC a nivel de segmento o familia; ",""),"")&amp;IF(NOT(ISNUMBER(E244)),"Duración vacía o en texto; ","")&amp;IF(NOT(ISNUMBER(G244)),"Valor vacío o en texto; ","")&amp;IF(ISNUMBER(M244),IF(M244&lt;1000000,"Valor inferior a $1.000.000: verificar; ",""),"Valor no interpretable; ")&amp;IF(N244="[PENDIENTE DE VERIFICAR]","Modalidad no identificable; ","")&amp;IF(OR(ISERROR(SEARCH("@itc.edu.co",J244)),SUMPRODUCT(--ISNUMBER(SEARCH({"á","é","í","ó","ú","ñ"},J244)))&gt;0),"Correo vacío o no institucional válido; ","")&amp;IF(LEN(TRIM(D244))=0,"Sin objeto contractual; ","")&amp;IF(AND(ISNUMBER(M244),N244="Mínima cuantía"),IF(M244&gt;39850000,"Mínima cuantía con valor superior al tope citado en el instructivo 2026 ($39.850.000): verificar modalidad; ",""),"")&amp;IF(AND(ISNUMBER(M244),OR(ISNUMBER(SEARCH("prestación de servicios",D244)),ISNUMBER(SEARCH("prestar servicios",D244)),ISNUMBER(SEARCH("prestar los servicios",D244)))),IF(M244&gt;=500000000,"Prestación de servicios por $500 millones o más: posible error de digitación; ",""),""))</f>
        <v/>
      </c>
    </row>
    <row r="245" ht="45.6" customHeight="1" s="23">
      <c r="A245" s="114" t="inlineStr">
        <is>
          <t>PN26-241</t>
        </is>
      </c>
      <c r="B245" s="114" t="n">
        <v>82101500</v>
      </c>
      <c r="C245" s="114" t="inlineStr">
        <is>
          <t>Oficina de Comunicaciones</t>
        </is>
      </c>
      <c r="D245" s="114" t="inlineStr">
        <is>
          <t>FORTALECIMIENTO DE LA IMAGEN INSTITUCIONAL, CON EL DESARROLLO Y PRODUCCIÓN DE MATERIAL, PARA LA DIVULGACIÓN DE LA OFERTA ACADÉMICA DE LA ESCUELA TECNOLÓGICA INSTITUTO TÉCNICO CENTRAL</t>
        </is>
      </c>
      <c r="E245" s="114" t="inlineStr">
        <is>
          <t>6 meses</t>
        </is>
      </c>
      <c r="F245" s="114" t="inlineStr">
        <is>
          <t>Selección abreviada - Subasta inversa</t>
        </is>
      </c>
      <c r="G245" s="118" t="n">
        <v>98000000</v>
      </c>
      <c r="H245" s="114" t="inlineStr">
        <is>
          <t xml:space="preserve">Jefe de Planeación </t>
        </is>
      </c>
      <c r="I245" s="114" t="n"/>
      <c r="J245" s="114" t="inlineStr">
        <is>
          <t>planeación@itc.edu.co</t>
        </is>
      </c>
      <c r="K245" s="114" t="n"/>
      <c r="L245" s="119" t="inlineStr">
        <is>
          <t>101 · Oficina Asesora de Planeación y Desarrollo Institucional</t>
        </is>
      </c>
      <c r="M245" s="120" t="n">
        <v>98000000</v>
      </c>
      <c r="N245" s="119" t="inlineStr">
        <is>
          <t>Selección abreviada – subasta inversa</t>
        </is>
      </c>
      <c r="O245" s="119">
        <f>IF(LEN(IF(OR(NOT(ISNUMBER(B245)),LEN(B245)&lt;&gt;8),"UNSPSC vacío, en texto, con varios códigos o sin 8 dígitos; ","")&amp;IF(AND(ISNUMBER(B245),LEN(B245)=8),IF(MOD(B245,10000)=0,"UNSPSC a nivel de segmento o familia; ",""),"")&amp;IF(NOT(ISNUMBER(E245)),"Duración vacía o en texto; ","")&amp;IF(NOT(ISNUMBER(G245)),"Valor vacío o en texto; ","")&amp;IF(ISNUMBER(M245),IF(M245&lt;1000000,"Valor inferior a $1.000.000: verificar; ",""),"Valor no interpretable; ")&amp;IF(N245="[PENDIENTE DE VERIFICAR]","Modalidad no identificable; ","")&amp;IF(OR(ISERROR(SEARCH("@itc.edu.co",J245)),SUMPRODUCT(--ISNUMBER(SEARCH({"á","é","í","ó","ú","ñ"},J245)))&gt;0),"Correo vacío o no institucional válido; ","")&amp;IF(LEN(TRIM(D245))=0,"Sin objeto contractual; ","")&amp;IF(AND(ISNUMBER(M245),N245="Mínima cuantía"),IF(M245&gt;39850000,"Mínima cuantía con valor superior al tope citado en el instructivo 2026 ($39.850.000): verificar modalidad; ",""),"")&amp;IF(AND(ISNUMBER(M245),OR(ISNUMBER(SEARCH("prestación de servicios",D245)),ISNUMBER(SEARCH("prestar servicios",D245)),ISNUMBER(SEARCH("prestar los servicios",D245)))),IF(M245&gt;=500000000,"Prestación de servicios por $500 millones o más: posible error de digitación; ",""),""))=0,"Sin observaciones",IF(OR(NOT(ISNUMBER(B245)),LEN(B245)&lt;&gt;8),"UNSPSC vacío, en texto, con varios códigos o sin 8 dígitos; ","")&amp;IF(AND(ISNUMBER(B245),LEN(B245)=8),IF(MOD(B245,10000)=0,"UNSPSC a nivel de segmento o familia; ",""),"")&amp;IF(NOT(ISNUMBER(E245)),"Duración vacía o en texto; ","")&amp;IF(NOT(ISNUMBER(G245)),"Valor vacío o en texto; ","")&amp;IF(ISNUMBER(M245),IF(M245&lt;1000000,"Valor inferior a $1.000.000: verificar; ",""),"Valor no interpretable; ")&amp;IF(N245="[PENDIENTE DE VERIFICAR]","Modalidad no identificable; ","")&amp;IF(OR(ISERROR(SEARCH("@itc.edu.co",J245)),SUMPRODUCT(--ISNUMBER(SEARCH({"á","é","í","ó","ú","ñ"},J245)))&gt;0),"Correo vacío o no institucional válido; ","")&amp;IF(LEN(TRIM(D245))=0,"Sin objeto contractual; ","")&amp;IF(AND(ISNUMBER(M245),N245="Mínima cuantía"),IF(M245&gt;39850000,"Mínima cuantía con valor superior al tope citado en el instructivo 2026 ($39.850.000): verificar modalidad; ",""),"")&amp;IF(AND(ISNUMBER(M245),OR(ISNUMBER(SEARCH("prestación de servicios",D245)),ISNUMBER(SEARCH("prestar servicios",D245)),ISNUMBER(SEARCH("prestar los servicios",D245)))),IF(M245&gt;=500000000,"Prestación de servicios por $500 millones o más: posible error de digitación; ",""),""))</f>
        <v/>
      </c>
    </row>
    <row r="246" ht="136.8" customHeight="1" s="23">
      <c r="A246" s="114" t="inlineStr">
        <is>
          <t>PN26-242</t>
        </is>
      </c>
      <c r="B246" s="114" t="n">
        <v>80111600</v>
      </c>
      <c r="C246" s="114" t="inlineStr">
        <is>
          <t>Oficina de Comunicaciones</t>
        </is>
      </c>
      <c r="D246" s="114" t="inlineStr">
        <is>
          <t>CONTRATAR LA PRESTACIÓN DE SERVICIOS ESPECIALIZADOS PARA EL DISEÑO, DESARROLLO E IMPLEMENTACIÓN DE ESTRATEGIAS INTEGRALES DE COMUNICACIÓN, MARKETING INSTITUCIONAL Y POSICIONAMIENTO DE MARCA DE LA ESCUELA TECNOLÓGICA INSTITUTO TÉCNICO CENTRAL – ETITC, QUE INCLUYAN LA PLANEACIÓN ESTRATÉGICA, CONCEPTUALIZACIÓN Y EJECUCIÓN DE CAMPAÑAS INSTITUCIONALES Y ACADÉMICAS, PRODUCCIÓN DE CONTENIDOS GRÁFICOS Y AUDIOVISUALES, GESTIÓN CREATIVA Y ACOMPAÑAMIENTO ESTRATÉGICO AL ÁREA DE COMUNICACIONES, CON EL FIN DE FORTALECER LA VISIBILIDAD, REPUTACIÓN INSTITUCIONAL Y PROMOCIÓN DE LA OFERTA ACADÉMICA A TRAVÉS DE DIFERENTES CANALES Y PUNTOS DE CONTACTO CON LOS PÚBLICOS DE INTERÉS.</t>
        </is>
      </c>
      <c r="E246" s="114" t="inlineStr">
        <is>
          <t>6 meses</t>
        </is>
      </c>
      <c r="F246" s="114" t="inlineStr">
        <is>
          <t>DIRECTA</t>
        </is>
      </c>
      <c r="G246" s="118" t="inlineStr">
        <is>
          <t>$80.000.000</t>
        </is>
      </c>
      <c r="H246" s="114" t="inlineStr">
        <is>
          <t xml:space="preserve">Jefe de Planeación </t>
        </is>
      </c>
      <c r="I246" s="114" t="n"/>
      <c r="J246" s="114" t="inlineStr">
        <is>
          <t>planeación@itc.edu.co</t>
        </is>
      </c>
      <c r="K246" s="114" t="n"/>
      <c r="L246" s="119" t="inlineStr">
        <is>
          <t>101 · Oficina Asesora de Planeación y Desarrollo Institucional</t>
        </is>
      </c>
      <c r="M246" s="120" t="n">
        <v>80000000</v>
      </c>
      <c r="N246" s="119" t="inlineStr">
        <is>
          <t>Contratación directa</t>
        </is>
      </c>
      <c r="O246" s="119">
        <f>IF(LEN(IF(OR(NOT(ISNUMBER(B246)),LEN(B246)&lt;&gt;8),"UNSPSC vacío, en texto, con varios códigos o sin 8 dígitos; ","")&amp;IF(AND(ISNUMBER(B246),LEN(B246)=8),IF(MOD(B246,10000)=0,"UNSPSC a nivel de segmento o familia; ",""),"")&amp;IF(NOT(ISNUMBER(E246)),"Duración vacía o en texto; ","")&amp;IF(NOT(ISNUMBER(G246)),"Valor vacío o en texto; ","")&amp;IF(ISNUMBER(M246),IF(M246&lt;1000000,"Valor inferior a $1.000.000: verificar; ",""),"Valor no interpretable; ")&amp;IF(N246="[PENDIENTE DE VERIFICAR]","Modalidad no identificable; ","")&amp;IF(OR(ISERROR(SEARCH("@itc.edu.co",J246)),SUMPRODUCT(--ISNUMBER(SEARCH({"á","é","í","ó","ú","ñ"},J246)))&gt;0),"Correo vacío o no institucional válido; ","")&amp;IF(LEN(TRIM(D246))=0,"Sin objeto contractual; ","")&amp;IF(AND(ISNUMBER(M246),N246="Mínima cuantía"),IF(M246&gt;39850000,"Mínima cuantía con valor superior al tope citado en el instructivo 2026 ($39.850.000): verificar modalidad; ",""),"")&amp;IF(AND(ISNUMBER(M246),OR(ISNUMBER(SEARCH("prestación de servicios",D246)),ISNUMBER(SEARCH("prestar servicios",D246)),ISNUMBER(SEARCH("prestar los servicios",D246)))),IF(M246&gt;=500000000,"Prestación de servicios por $500 millones o más: posible error de digitación; ",""),""))=0,"Sin observaciones",IF(OR(NOT(ISNUMBER(B246)),LEN(B246)&lt;&gt;8),"UNSPSC vacío, en texto, con varios códigos o sin 8 dígitos; ","")&amp;IF(AND(ISNUMBER(B246),LEN(B246)=8),IF(MOD(B246,10000)=0,"UNSPSC a nivel de segmento o familia; ",""),"")&amp;IF(NOT(ISNUMBER(E246)),"Duración vacía o en texto; ","")&amp;IF(NOT(ISNUMBER(G246)),"Valor vacío o en texto; ","")&amp;IF(ISNUMBER(M246),IF(M246&lt;1000000,"Valor inferior a $1.000.000: verificar; ",""),"Valor no interpretable; ")&amp;IF(N246="[PENDIENTE DE VERIFICAR]","Modalidad no identificable; ","")&amp;IF(OR(ISERROR(SEARCH("@itc.edu.co",J246)),SUMPRODUCT(--ISNUMBER(SEARCH({"á","é","í","ó","ú","ñ"},J246)))&gt;0),"Correo vacío o no institucional válido; ","")&amp;IF(LEN(TRIM(D246))=0,"Sin objeto contractual; ","")&amp;IF(AND(ISNUMBER(M246),N246="Mínima cuantía"),IF(M246&gt;39850000,"Mínima cuantía con valor superior al tope citado en el instructivo 2026 ($39.850.000): verificar modalidad; ",""),"")&amp;IF(AND(ISNUMBER(M246),OR(ISNUMBER(SEARCH("prestación de servicios",D246)),ISNUMBER(SEARCH("prestar servicios",D246)),ISNUMBER(SEARCH("prestar los servicios",D246)))),IF(M246&gt;=500000000,"Prestación de servicios por $500 millones o más: posible error de digitación; ",""),""))</f>
        <v/>
      </c>
    </row>
    <row r="247" ht="57" customHeight="1" s="23">
      <c r="A247" s="114" t="inlineStr">
        <is>
          <t>PN26-243</t>
        </is>
      </c>
      <c r="B247" s="114" t="n">
        <v>43231500</v>
      </c>
      <c r="C247" s="114" t="inlineStr">
        <is>
          <t>Oficina de Comunicaciones</t>
        </is>
      </c>
      <c r="D247" s="114" t="inlineStr">
        <is>
          <t xml:space="preserve">ADQUISICIÓN DE TRES (3) LICENCIA DEL SOFTWARE POR SUSCRIPCIÓN A LA PLATAFORMA DIGITAL ENVATO, CANVA, FREEPIK, ELEMENTS DURANTE DOCE (12) MESES PARA FORTALECER LA PRODUCCIÓN DE CONTENIDOS MULTIMEDIA DE LA ESCUELA TECNOLÓGICA INSTITUTO TÉCNICO CENTRAL.  </t>
        </is>
      </c>
      <c r="E247" s="114" t="inlineStr">
        <is>
          <t>12 meses</t>
        </is>
      </c>
      <c r="F247" s="114" t="inlineStr">
        <is>
          <t>MÍNIMA CUANTÍA</t>
        </is>
      </c>
      <c r="G247" s="118" t="n">
        <v>5000000</v>
      </c>
      <c r="H247" s="114" t="inlineStr">
        <is>
          <t xml:space="preserve">Jefe de Planeación </t>
        </is>
      </c>
      <c r="I247" s="114" t="n"/>
      <c r="J247" s="114" t="inlineStr">
        <is>
          <t>planeación@itc.edu.co</t>
        </is>
      </c>
      <c r="K247" s="114" t="n"/>
      <c r="L247" s="119" t="inlineStr">
        <is>
          <t>101 · Oficina Asesora de Planeación y Desarrollo Institucional</t>
        </is>
      </c>
      <c r="M247" s="120" t="n">
        <v>5000000</v>
      </c>
      <c r="N247" s="119" t="inlineStr">
        <is>
          <t>Mínima cuantía</t>
        </is>
      </c>
      <c r="O247" s="119">
        <f>IF(LEN(IF(OR(NOT(ISNUMBER(B247)),LEN(B247)&lt;&gt;8),"UNSPSC vacío, en texto, con varios códigos o sin 8 dígitos; ","")&amp;IF(AND(ISNUMBER(B247),LEN(B247)=8),IF(MOD(B247,10000)=0,"UNSPSC a nivel de segmento o familia; ",""),"")&amp;IF(NOT(ISNUMBER(E247)),"Duración vacía o en texto; ","")&amp;IF(NOT(ISNUMBER(G247)),"Valor vacío o en texto; ","")&amp;IF(ISNUMBER(M247),IF(M247&lt;1000000,"Valor inferior a $1.000.000: verificar; ",""),"Valor no interpretable; ")&amp;IF(N247="[PENDIENTE DE VERIFICAR]","Modalidad no identificable; ","")&amp;IF(OR(ISERROR(SEARCH("@itc.edu.co",J247)),SUMPRODUCT(--ISNUMBER(SEARCH({"á","é","í","ó","ú","ñ"},J247)))&gt;0),"Correo vacío o no institucional válido; ","")&amp;IF(LEN(TRIM(D247))=0,"Sin objeto contractual; ","")&amp;IF(AND(ISNUMBER(M247),N247="Mínima cuantía"),IF(M247&gt;39850000,"Mínima cuantía con valor superior al tope citado en el instructivo 2026 ($39.850.000): verificar modalidad; ",""),"")&amp;IF(AND(ISNUMBER(M247),OR(ISNUMBER(SEARCH("prestación de servicios",D247)),ISNUMBER(SEARCH("prestar servicios",D247)),ISNUMBER(SEARCH("prestar los servicios",D247)))),IF(M247&gt;=500000000,"Prestación de servicios por $500 millones o más: posible error de digitación; ",""),""))=0,"Sin observaciones",IF(OR(NOT(ISNUMBER(B247)),LEN(B247)&lt;&gt;8),"UNSPSC vacío, en texto, con varios códigos o sin 8 dígitos; ","")&amp;IF(AND(ISNUMBER(B247),LEN(B247)=8),IF(MOD(B247,10000)=0,"UNSPSC a nivel de segmento o familia; ",""),"")&amp;IF(NOT(ISNUMBER(E247)),"Duración vacía o en texto; ","")&amp;IF(NOT(ISNUMBER(G247)),"Valor vacío o en texto; ","")&amp;IF(ISNUMBER(M247),IF(M247&lt;1000000,"Valor inferior a $1.000.000: verificar; ",""),"Valor no interpretable; ")&amp;IF(N247="[PENDIENTE DE VERIFICAR]","Modalidad no identificable; ","")&amp;IF(OR(ISERROR(SEARCH("@itc.edu.co",J247)),SUMPRODUCT(--ISNUMBER(SEARCH({"á","é","í","ó","ú","ñ"},J247)))&gt;0),"Correo vacío o no institucional válido; ","")&amp;IF(LEN(TRIM(D247))=0,"Sin objeto contractual; ","")&amp;IF(AND(ISNUMBER(M247),N247="Mínima cuantía"),IF(M247&gt;39850000,"Mínima cuantía con valor superior al tope citado en el instructivo 2026 ($39.850.000): verificar modalidad; ",""),"")&amp;IF(AND(ISNUMBER(M247),OR(ISNUMBER(SEARCH("prestación de servicios",D247)),ISNUMBER(SEARCH("prestar servicios",D247)),ISNUMBER(SEARCH("prestar los servicios",D247)))),IF(M247&gt;=500000000,"Prestación de servicios por $500 millones o más: posible error de digitación; ",""),""))</f>
        <v/>
      </c>
    </row>
    <row r="248" ht="45.6" customHeight="1" s="23">
      <c r="A248" s="114" t="inlineStr">
        <is>
          <t>PN26-244</t>
        </is>
      </c>
      <c r="B248" s="114" t="n">
        <v>56121902</v>
      </c>
      <c r="C248" s="114" t="inlineStr">
        <is>
          <t>Oficina de Comunicaciones</t>
        </is>
      </c>
      <c r="D248" s="114" t="inlineStr">
        <is>
          <t>ADQUISICIÓN DE TRES (3) STANDS MODULARES PARA DIVULGACIÓN DE LA OFERTA ACADÉMICA  Y EL FORTALECIMIENTO DE LA IMAGEN INSTITUCIONAL DE LA ESCUELA TECNOLOGICA INSTITUTO TECNICO CENTRAL.</t>
        </is>
      </c>
      <c r="E248" s="114" t="inlineStr">
        <is>
          <t>6 meses</t>
        </is>
      </c>
      <c r="F248" s="114" t="inlineStr">
        <is>
          <t>MÍNIMA CUANTÍA</t>
        </is>
      </c>
      <c r="G248" s="118" t="n">
        <v>40000000</v>
      </c>
      <c r="H248" s="114" t="inlineStr">
        <is>
          <t xml:space="preserve">Jefe de Planeación </t>
        </is>
      </c>
      <c r="I248" s="114" t="n"/>
      <c r="J248" s="114" t="inlineStr">
        <is>
          <t>planeación@itc.edu.co</t>
        </is>
      </c>
      <c r="K248" s="114" t="n"/>
      <c r="L248" s="119" t="inlineStr">
        <is>
          <t>101 · Oficina Asesora de Planeación y Desarrollo Institucional</t>
        </is>
      </c>
      <c r="M248" s="120" t="n">
        <v>40000000</v>
      </c>
      <c r="N248" s="119" t="inlineStr">
        <is>
          <t>Mínima cuantía</t>
        </is>
      </c>
      <c r="O248" s="119">
        <f>IF(LEN(IF(OR(NOT(ISNUMBER(B248)),LEN(B248)&lt;&gt;8),"UNSPSC vacío, en texto, con varios códigos o sin 8 dígitos; ","")&amp;IF(AND(ISNUMBER(B248),LEN(B248)=8),IF(MOD(B248,10000)=0,"UNSPSC a nivel de segmento o familia; ",""),"")&amp;IF(NOT(ISNUMBER(E248)),"Duración vacía o en texto; ","")&amp;IF(NOT(ISNUMBER(G248)),"Valor vacío o en texto; ","")&amp;IF(ISNUMBER(M248),IF(M248&lt;1000000,"Valor inferior a $1.000.000: verificar; ",""),"Valor no interpretable; ")&amp;IF(N248="[PENDIENTE DE VERIFICAR]","Modalidad no identificable; ","")&amp;IF(OR(ISERROR(SEARCH("@itc.edu.co",J248)),SUMPRODUCT(--ISNUMBER(SEARCH({"á","é","í","ó","ú","ñ"},J248)))&gt;0),"Correo vacío o no institucional válido; ","")&amp;IF(LEN(TRIM(D248))=0,"Sin objeto contractual; ","")&amp;IF(AND(ISNUMBER(M248),N248="Mínima cuantía"),IF(M248&gt;39850000,"Mínima cuantía con valor superior al tope citado en el instructivo 2026 ($39.850.000): verificar modalidad; ",""),"")&amp;IF(AND(ISNUMBER(M248),OR(ISNUMBER(SEARCH("prestación de servicios",D248)),ISNUMBER(SEARCH("prestar servicios",D248)),ISNUMBER(SEARCH("prestar los servicios",D248)))),IF(M248&gt;=500000000,"Prestación de servicios por $500 millones o más: posible error de digitación; ",""),""))=0,"Sin observaciones",IF(OR(NOT(ISNUMBER(B248)),LEN(B248)&lt;&gt;8),"UNSPSC vacío, en texto, con varios códigos o sin 8 dígitos; ","")&amp;IF(AND(ISNUMBER(B248),LEN(B248)=8),IF(MOD(B248,10000)=0,"UNSPSC a nivel de segmento o familia; ",""),"")&amp;IF(NOT(ISNUMBER(E248)),"Duración vacía o en texto; ","")&amp;IF(NOT(ISNUMBER(G248)),"Valor vacío o en texto; ","")&amp;IF(ISNUMBER(M248),IF(M248&lt;1000000,"Valor inferior a $1.000.000: verificar; ",""),"Valor no interpretable; ")&amp;IF(N248="[PENDIENTE DE VERIFICAR]","Modalidad no identificable; ","")&amp;IF(OR(ISERROR(SEARCH("@itc.edu.co",J248)),SUMPRODUCT(--ISNUMBER(SEARCH({"á","é","í","ó","ú","ñ"},J248)))&gt;0),"Correo vacío o no institucional válido; ","")&amp;IF(LEN(TRIM(D248))=0,"Sin objeto contractual; ","")&amp;IF(AND(ISNUMBER(M248),N248="Mínima cuantía"),IF(M248&gt;39850000,"Mínima cuantía con valor superior al tope citado en el instructivo 2026 ($39.850.000): verificar modalidad; ",""),"")&amp;IF(AND(ISNUMBER(M248),OR(ISNUMBER(SEARCH("prestación de servicios",D248)),ISNUMBER(SEARCH("prestar servicios",D248)),ISNUMBER(SEARCH("prestar los servicios",D248)))),IF(M248&gt;=500000000,"Prestación de servicios por $500 millones o más: posible error de digitación; ",""),""))</f>
        <v/>
      </c>
    </row>
    <row r="249" ht="45.6" customHeight="1" s="23">
      <c r="A249" s="114" t="inlineStr">
        <is>
          <t>PN26-245</t>
        </is>
      </c>
      <c r="B249" s="114" t="n">
        <v>56121902</v>
      </c>
      <c r="C249" s="114" t="inlineStr">
        <is>
          <t>Oficina de Comunicaciones</t>
        </is>
      </c>
      <c r="D249" s="114" t="inlineStr">
        <is>
          <t>ADECUACIÓN DE (1) UN STAND DE 18M2 DE LA ESCUELA TECNOLÓGICA INSTITUTO TÉCNICO CENTRAL PARA LA PARTICIPACIÓN EN LA FERIA EXPOESTUDIANTE 2026 COMO UNA HERRAMIENTA PARA EL POSICIONAMIENTO ESTRATÉGICO E IMAGEN INSTITUCIONAL.</t>
        </is>
      </c>
      <c r="E249" s="114" t="inlineStr">
        <is>
          <t>2 meses</t>
        </is>
      </c>
      <c r="F249" s="114" t="inlineStr">
        <is>
          <t>DIRECTA</t>
        </is>
      </c>
      <c r="G249" s="118" t="n">
        <v>35000000</v>
      </c>
      <c r="H249" s="114" t="inlineStr">
        <is>
          <t xml:space="preserve">Jefe de Planeación </t>
        </is>
      </c>
      <c r="I249" s="114" t="n"/>
      <c r="J249" s="114" t="inlineStr">
        <is>
          <t>planeación@itc.edu.co</t>
        </is>
      </c>
      <c r="K249" s="114" t="n"/>
      <c r="L249" s="119" t="inlineStr">
        <is>
          <t>101 · Oficina Asesora de Planeación y Desarrollo Institucional</t>
        </is>
      </c>
      <c r="M249" s="120" t="n">
        <v>35000000</v>
      </c>
      <c r="N249" s="119" t="inlineStr">
        <is>
          <t>Contratación directa</t>
        </is>
      </c>
      <c r="O249" s="119">
        <f>IF(LEN(IF(OR(NOT(ISNUMBER(B249)),LEN(B249)&lt;&gt;8),"UNSPSC vacío, en texto, con varios códigos o sin 8 dígitos; ","")&amp;IF(AND(ISNUMBER(B249),LEN(B249)=8),IF(MOD(B249,10000)=0,"UNSPSC a nivel de segmento o familia; ",""),"")&amp;IF(NOT(ISNUMBER(E249)),"Duración vacía o en texto; ","")&amp;IF(NOT(ISNUMBER(G249)),"Valor vacío o en texto; ","")&amp;IF(ISNUMBER(M249),IF(M249&lt;1000000,"Valor inferior a $1.000.000: verificar; ",""),"Valor no interpretable; ")&amp;IF(N249="[PENDIENTE DE VERIFICAR]","Modalidad no identificable; ","")&amp;IF(OR(ISERROR(SEARCH("@itc.edu.co",J249)),SUMPRODUCT(--ISNUMBER(SEARCH({"á","é","í","ó","ú","ñ"},J249)))&gt;0),"Correo vacío o no institucional válido; ","")&amp;IF(LEN(TRIM(D249))=0,"Sin objeto contractual; ","")&amp;IF(AND(ISNUMBER(M249),N249="Mínima cuantía"),IF(M249&gt;39850000,"Mínima cuantía con valor superior al tope citado en el instructivo 2026 ($39.850.000): verificar modalidad; ",""),"")&amp;IF(AND(ISNUMBER(M249),OR(ISNUMBER(SEARCH("prestación de servicios",D249)),ISNUMBER(SEARCH("prestar servicios",D249)),ISNUMBER(SEARCH("prestar los servicios",D249)))),IF(M249&gt;=500000000,"Prestación de servicios por $500 millones o más: posible error de digitación; ",""),""))=0,"Sin observaciones",IF(OR(NOT(ISNUMBER(B249)),LEN(B249)&lt;&gt;8),"UNSPSC vacío, en texto, con varios códigos o sin 8 dígitos; ","")&amp;IF(AND(ISNUMBER(B249),LEN(B249)=8),IF(MOD(B249,10000)=0,"UNSPSC a nivel de segmento o familia; ",""),"")&amp;IF(NOT(ISNUMBER(E249)),"Duración vacía o en texto; ","")&amp;IF(NOT(ISNUMBER(G249)),"Valor vacío o en texto; ","")&amp;IF(ISNUMBER(M249),IF(M249&lt;1000000,"Valor inferior a $1.000.000: verificar; ",""),"Valor no interpretable; ")&amp;IF(N249="[PENDIENTE DE VERIFICAR]","Modalidad no identificable; ","")&amp;IF(OR(ISERROR(SEARCH("@itc.edu.co",J249)),SUMPRODUCT(--ISNUMBER(SEARCH({"á","é","í","ó","ú","ñ"},J249)))&gt;0),"Correo vacío o no institucional válido; ","")&amp;IF(LEN(TRIM(D249))=0,"Sin objeto contractual; ","")&amp;IF(AND(ISNUMBER(M249),N249="Mínima cuantía"),IF(M249&gt;39850000,"Mínima cuantía con valor superior al tope citado en el instructivo 2026 ($39.850.000): verificar modalidad; ",""),"")&amp;IF(AND(ISNUMBER(M249),OR(ISNUMBER(SEARCH("prestación de servicios",D249)),ISNUMBER(SEARCH("prestar servicios",D249)),ISNUMBER(SEARCH("prestar los servicios",D249)))),IF(M249&gt;=500000000,"Prestación de servicios por $500 millones o más: posible error de digitación; ",""),""))</f>
        <v/>
      </c>
    </row>
    <row r="250" ht="34.2" customHeight="1" s="23">
      <c r="A250" s="114" t="inlineStr">
        <is>
          <t>PN26-246</t>
        </is>
      </c>
      <c r="B250" s="114" t="n">
        <v>56121902</v>
      </c>
      <c r="C250" s="114" t="inlineStr">
        <is>
          <t>Oficina de Comunicaciones</t>
        </is>
      </c>
      <c r="D250" s="114" t="inlineStr">
        <is>
          <t xml:space="preserve">ADECUACIÓN DE (1) UN STAND 18M2  DE LA ESCUELA TECNOLÓGICA INSTITUTO TÉCNICO CENTRAL  PARA PARTICIPAR EN EL EVENTO EDUTECHNIA FERIA DE INNOVACION PARA LA EDUCACION </t>
        </is>
      </c>
      <c r="E250" s="114" t="inlineStr">
        <is>
          <t>2 meses</t>
        </is>
      </c>
      <c r="F250" s="114" t="inlineStr">
        <is>
          <t>DIRECTA</t>
        </is>
      </c>
      <c r="G250" s="118" t="n">
        <v>35000000</v>
      </c>
      <c r="H250" s="114" t="inlineStr">
        <is>
          <t xml:space="preserve">Jefe de Planeación </t>
        </is>
      </c>
      <c r="I250" s="114" t="n"/>
      <c r="J250" s="114" t="inlineStr">
        <is>
          <t>planeación@itc.edu.co</t>
        </is>
      </c>
      <c r="K250" s="114" t="n"/>
      <c r="L250" s="119" t="inlineStr">
        <is>
          <t>101 · Oficina Asesora de Planeación y Desarrollo Institucional</t>
        </is>
      </c>
      <c r="M250" s="120" t="n">
        <v>35000000</v>
      </c>
      <c r="N250" s="119" t="inlineStr">
        <is>
          <t>Contratación directa</t>
        </is>
      </c>
      <c r="O250" s="119">
        <f>IF(LEN(IF(OR(NOT(ISNUMBER(B250)),LEN(B250)&lt;&gt;8),"UNSPSC vacío, en texto, con varios códigos o sin 8 dígitos; ","")&amp;IF(AND(ISNUMBER(B250),LEN(B250)=8),IF(MOD(B250,10000)=0,"UNSPSC a nivel de segmento o familia; ",""),"")&amp;IF(NOT(ISNUMBER(E250)),"Duración vacía o en texto; ","")&amp;IF(NOT(ISNUMBER(G250)),"Valor vacío o en texto; ","")&amp;IF(ISNUMBER(M250),IF(M250&lt;1000000,"Valor inferior a $1.000.000: verificar; ",""),"Valor no interpretable; ")&amp;IF(N250="[PENDIENTE DE VERIFICAR]","Modalidad no identificable; ","")&amp;IF(OR(ISERROR(SEARCH("@itc.edu.co",J250)),SUMPRODUCT(--ISNUMBER(SEARCH({"á","é","í","ó","ú","ñ"},J250)))&gt;0),"Correo vacío o no institucional válido; ","")&amp;IF(LEN(TRIM(D250))=0,"Sin objeto contractual; ","")&amp;IF(AND(ISNUMBER(M250),N250="Mínima cuantía"),IF(M250&gt;39850000,"Mínima cuantía con valor superior al tope citado en el instructivo 2026 ($39.850.000): verificar modalidad; ",""),"")&amp;IF(AND(ISNUMBER(M250),OR(ISNUMBER(SEARCH("prestación de servicios",D250)),ISNUMBER(SEARCH("prestar servicios",D250)),ISNUMBER(SEARCH("prestar los servicios",D250)))),IF(M250&gt;=500000000,"Prestación de servicios por $500 millones o más: posible error de digitación; ",""),""))=0,"Sin observaciones",IF(OR(NOT(ISNUMBER(B250)),LEN(B250)&lt;&gt;8),"UNSPSC vacío, en texto, con varios códigos o sin 8 dígitos; ","")&amp;IF(AND(ISNUMBER(B250),LEN(B250)=8),IF(MOD(B250,10000)=0,"UNSPSC a nivel de segmento o familia; ",""),"")&amp;IF(NOT(ISNUMBER(E250)),"Duración vacía o en texto; ","")&amp;IF(NOT(ISNUMBER(G250)),"Valor vacío o en texto; ","")&amp;IF(ISNUMBER(M250),IF(M250&lt;1000000,"Valor inferior a $1.000.000: verificar; ",""),"Valor no interpretable; ")&amp;IF(N250="[PENDIENTE DE VERIFICAR]","Modalidad no identificable; ","")&amp;IF(OR(ISERROR(SEARCH("@itc.edu.co",J250)),SUMPRODUCT(--ISNUMBER(SEARCH({"á","é","í","ó","ú","ñ"},J250)))&gt;0),"Correo vacío o no institucional válido; ","")&amp;IF(LEN(TRIM(D250))=0,"Sin objeto contractual; ","")&amp;IF(AND(ISNUMBER(M250),N250="Mínima cuantía"),IF(M250&gt;39850000,"Mínima cuantía con valor superior al tope citado en el instructivo 2026 ($39.850.000): verificar modalidad; ",""),"")&amp;IF(AND(ISNUMBER(M250),OR(ISNUMBER(SEARCH("prestación de servicios",D250)),ISNUMBER(SEARCH("prestar servicios",D250)),ISNUMBER(SEARCH("prestar los servicios",D250)))),IF(M250&gt;=500000000,"Prestación de servicios por $500 millones o más: posible error de digitación; ",""),""))</f>
        <v/>
      </c>
    </row>
    <row r="251" ht="114" customHeight="1" s="23">
      <c r="A251" s="114" t="inlineStr">
        <is>
          <t>PN26-247</t>
        </is>
      </c>
      <c r="B251" s="114" t="n">
        <v>55121715</v>
      </c>
      <c r="C251" s="114" t="inlineStr">
        <is>
          <t xml:space="preserve">Equipo Interno de Trabajo Gestión Documental y Atención al Ciudadano </t>
        </is>
      </c>
      <c r="D251" s="114" t="inlineStr">
        <is>
          <t>Diseño, suministro e instalación de un Sistema Integral de Información Presencial al Ciudadano, compuesto por:
Paneles fijos con información institucional (Sedes, horarios, contactos y Carta de Trato Digno).
Directorios de trámites, servicios y responsables de PQRSDF.
Vitrinas informativas de actualización mensual para noticias, rendición de cuentas y calendario de actividades.</t>
        </is>
      </c>
      <c r="E251" s="114" t="inlineStr">
        <is>
          <t xml:space="preserve">3 meses </t>
        </is>
      </c>
      <c r="F251" s="114" t="inlineStr">
        <is>
          <t>MÍNIMA CUANTÍA</t>
        </is>
      </c>
      <c r="G251" s="118" t="inlineStr">
        <is>
          <t>$18.000.000</t>
        </is>
      </c>
      <c r="H251" s="114" t="inlineStr">
        <is>
          <t xml:space="preserve">Profesional Universitario Grado 2044-04, del Area de Gestión Documental y Atención al Ciudadano </t>
        </is>
      </c>
      <c r="I251" s="114" t="n"/>
      <c r="J251" s="114" t="inlineStr">
        <is>
          <t xml:space="preserve">gestiondocumental@itc.edu.co </t>
        </is>
      </c>
      <c r="K251" s="114" t="n"/>
      <c r="L251" s="119" t="inlineStr">
        <is>
          <t>131 · GIT Gestión Documental y Atención al Ciudadano</t>
        </is>
      </c>
      <c r="M251" s="120" t="n">
        <v>18000000</v>
      </c>
      <c r="N251" s="119" t="inlineStr">
        <is>
          <t>Mínima cuantía</t>
        </is>
      </c>
      <c r="O251" s="119">
        <f>IF(LEN(IF(OR(NOT(ISNUMBER(B251)),LEN(B251)&lt;&gt;8),"UNSPSC vacío, en texto, con varios códigos o sin 8 dígitos; ","")&amp;IF(AND(ISNUMBER(B251),LEN(B251)=8),IF(MOD(B251,10000)=0,"UNSPSC a nivel de segmento o familia; ",""),"")&amp;IF(NOT(ISNUMBER(E251)),"Duración vacía o en texto; ","")&amp;IF(NOT(ISNUMBER(G251)),"Valor vacío o en texto; ","")&amp;IF(ISNUMBER(M251),IF(M251&lt;1000000,"Valor inferior a $1.000.000: verificar; ",""),"Valor no interpretable; ")&amp;IF(N251="[PENDIENTE DE VERIFICAR]","Modalidad no identificable; ","")&amp;IF(OR(ISERROR(SEARCH("@itc.edu.co",J251)),SUMPRODUCT(--ISNUMBER(SEARCH({"á","é","í","ó","ú","ñ"},J251)))&gt;0),"Correo vacío o no institucional válido; ","")&amp;IF(LEN(TRIM(D251))=0,"Sin objeto contractual; ","")&amp;IF(AND(ISNUMBER(M251),N251="Mínima cuantía"),IF(M251&gt;39850000,"Mínima cuantía con valor superior al tope citado en el instructivo 2026 ($39.850.000): verificar modalidad; ",""),"")&amp;IF(AND(ISNUMBER(M251),OR(ISNUMBER(SEARCH("prestación de servicios",D251)),ISNUMBER(SEARCH("prestar servicios",D251)),ISNUMBER(SEARCH("prestar los servicios",D251)))),IF(M251&gt;=500000000,"Prestación de servicios por $500 millones o más: posible error de digitación; ",""),""))=0,"Sin observaciones",IF(OR(NOT(ISNUMBER(B251)),LEN(B251)&lt;&gt;8),"UNSPSC vacío, en texto, con varios códigos o sin 8 dígitos; ","")&amp;IF(AND(ISNUMBER(B251),LEN(B251)=8),IF(MOD(B251,10000)=0,"UNSPSC a nivel de segmento o familia; ",""),"")&amp;IF(NOT(ISNUMBER(E251)),"Duración vacía o en texto; ","")&amp;IF(NOT(ISNUMBER(G251)),"Valor vacío o en texto; ","")&amp;IF(ISNUMBER(M251),IF(M251&lt;1000000,"Valor inferior a $1.000.000: verificar; ",""),"Valor no interpretable; ")&amp;IF(N251="[PENDIENTE DE VERIFICAR]","Modalidad no identificable; ","")&amp;IF(OR(ISERROR(SEARCH("@itc.edu.co",J251)),SUMPRODUCT(--ISNUMBER(SEARCH({"á","é","í","ó","ú","ñ"},J251)))&gt;0),"Correo vacío o no institucional válido; ","")&amp;IF(LEN(TRIM(D251))=0,"Sin objeto contractual; ","")&amp;IF(AND(ISNUMBER(M251),N251="Mínima cuantía"),IF(M251&gt;39850000,"Mínima cuantía con valor superior al tope citado en el instructivo 2026 ($39.850.000): verificar modalidad; ",""),"")&amp;IF(AND(ISNUMBER(M251),OR(ISNUMBER(SEARCH("prestación de servicios",D251)),ISNUMBER(SEARCH("prestar servicios",D251)),ISNUMBER(SEARCH("prestar los servicios",D251)))),IF(M251&gt;=500000000,"Prestación de servicios por $500 millones o más: posible error de digitación; ",""),""))</f>
        <v/>
      </c>
    </row>
    <row r="252" ht="68.40000000000001" customHeight="1" s="23">
      <c r="A252" s="114" t="inlineStr">
        <is>
          <t>PN26-248</t>
        </is>
      </c>
      <c r="B252" s="114" t="n">
        <v>81112200</v>
      </c>
      <c r="C252" s="114" t="inlineStr">
        <is>
          <t xml:space="preserve">Equipo Interno de Trabajo Gestión Documental y Atención al Ciudadano </t>
        </is>
      </c>
      <c r="D252" s="114" t="inlineStr">
        <is>
          <t xml:space="preserve">
Servicio para adecuación de accesibilidad digital en la página web institucional, incluyendo herramientas de lectura de pantalla, contraste visual adaptable, ampliación de texto y subtitulación de contenidos audiovisuales en cumplimiento de los principios de transparencia establecidos en la Ley 1712 de 2014.
</t>
        </is>
      </c>
      <c r="E252" s="114" t="inlineStr">
        <is>
          <t xml:space="preserve">3 meses </t>
        </is>
      </c>
      <c r="F252" s="114" t="inlineStr">
        <is>
          <t>MÍNIMA CUANTÍA</t>
        </is>
      </c>
      <c r="G252" s="118" t="inlineStr">
        <is>
          <t>$30.000.000</t>
        </is>
      </c>
      <c r="H252" s="114" t="inlineStr">
        <is>
          <t xml:space="preserve">Profesional Universitario Grado 2044-04, del Area de Gestión Documental y Atención al Ciudadano </t>
        </is>
      </c>
      <c r="I252" s="114" t="n"/>
      <c r="J252" s="114" t="inlineStr">
        <is>
          <t xml:space="preserve">gestiondocumental@itc.edu.co </t>
        </is>
      </c>
      <c r="K252" s="114" t="n"/>
      <c r="L252" s="119" t="inlineStr">
        <is>
          <t>131 · GIT Gestión Documental y Atención al Ciudadano</t>
        </is>
      </c>
      <c r="M252" s="120" t="n">
        <v>30000000</v>
      </c>
      <c r="N252" s="119" t="inlineStr">
        <is>
          <t>Mínima cuantía</t>
        </is>
      </c>
      <c r="O252" s="119">
        <f>IF(LEN(IF(OR(NOT(ISNUMBER(B252)),LEN(B252)&lt;&gt;8),"UNSPSC vacío, en texto, con varios códigos o sin 8 dígitos; ","")&amp;IF(AND(ISNUMBER(B252),LEN(B252)=8),IF(MOD(B252,10000)=0,"UNSPSC a nivel de segmento o familia; ",""),"")&amp;IF(NOT(ISNUMBER(E252)),"Duración vacía o en texto; ","")&amp;IF(NOT(ISNUMBER(G252)),"Valor vacío o en texto; ","")&amp;IF(ISNUMBER(M252),IF(M252&lt;1000000,"Valor inferior a $1.000.000: verificar; ",""),"Valor no interpretable; ")&amp;IF(N252="[PENDIENTE DE VERIFICAR]","Modalidad no identificable; ","")&amp;IF(OR(ISERROR(SEARCH("@itc.edu.co",J252)),SUMPRODUCT(--ISNUMBER(SEARCH({"á","é","í","ó","ú","ñ"},J252)))&gt;0),"Correo vacío o no institucional válido; ","")&amp;IF(LEN(TRIM(D252))=0,"Sin objeto contractual; ","")&amp;IF(AND(ISNUMBER(M252),N252="Mínima cuantía"),IF(M252&gt;39850000,"Mínima cuantía con valor superior al tope citado en el instructivo 2026 ($39.850.000): verificar modalidad; ",""),"")&amp;IF(AND(ISNUMBER(M252),OR(ISNUMBER(SEARCH("prestación de servicios",D252)),ISNUMBER(SEARCH("prestar servicios",D252)),ISNUMBER(SEARCH("prestar los servicios",D252)))),IF(M252&gt;=500000000,"Prestación de servicios por $500 millones o más: posible error de digitación; ",""),""))=0,"Sin observaciones",IF(OR(NOT(ISNUMBER(B252)),LEN(B252)&lt;&gt;8),"UNSPSC vacío, en texto, con varios códigos o sin 8 dígitos; ","")&amp;IF(AND(ISNUMBER(B252),LEN(B252)=8),IF(MOD(B252,10000)=0,"UNSPSC a nivel de segmento o familia; ",""),"")&amp;IF(NOT(ISNUMBER(E252)),"Duración vacía o en texto; ","")&amp;IF(NOT(ISNUMBER(G252)),"Valor vacío o en texto; ","")&amp;IF(ISNUMBER(M252),IF(M252&lt;1000000,"Valor inferior a $1.000.000: verificar; ",""),"Valor no interpretable; ")&amp;IF(N252="[PENDIENTE DE VERIFICAR]","Modalidad no identificable; ","")&amp;IF(OR(ISERROR(SEARCH("@itc.edu.co",J252)),SUMPRODUCT(--ISNUMBER(SEARCH({"á","é","í","ó","ú","ñ"},J252)))&gt;0),"Correo vacío o no institucional válido; ","")&amp;IF(LEN(TRIM(D252))=0,"Sin objeto contractual; ","")&amp;IF(AND(ISNUMBER(M252),N252="Mínima cuantía"),IF(M252&gt;39850000,"Mínima cuantía con valor superior al tope citado en el instructivo 2026 ($39.850.000): verificar modalidad; ",""),"")&amp;IF(AND(ISNUMBER(M252),OR(ISNUMBER(SEARCH("prestación de servicios",D252)),ISNUMBER(SEARCH("prestar servicios",D252)),ISNUMBER(SEARCH("prestar los servicios",D252)))),IF(M252&gt;=500000000,"Prestación de servicios por $500 millones o más: posible error de digitación; ",""),""))</f>
        <v/>
      </c>
    </row>
    <row r="253" ht="45.6" customHeight="1" s="23">
      <c r="A253" s="114" t="inlineStr">
        <is>
          <t>PN26-249</t>
        </is>
      </c>
      <c r="B253" s="114" t="n">
        <v>55121718</v>
      </c>
      <c r="C253" s="114" t="inlineStr">
        <is>
          <t xml:space="preserve">Equipo Interno de Trabajo Gestión Documental y Atención al Ciudadano </t>
        </is>
      </c>
      <c r="D253" s="114" t="inlineStr">
        <is>
          <t>Contratación del servicio de diseño, producción e instalación de señalización inclusiva y accesible para las sedes de la ETITC, que incluya placas en Braille, señalética en alto relieve, pictogramas universales en cumplimiento de la Ley 1618 de 2013 y los criterios establecidos en la NTC 6047.</t>
        </is>
      </c>
      <c r="E253" s="114" t="inlineStr">
        <is>
          <t xml:space="preserve">6 meses </t>
        </is>
      </c>
      <c r="F253" s="114" t="inlineStr">
        <is>
          <t>MÍNIMA CUANTÍA</t>
        </is>
      </c>
      <c r="G253" s="118" t="inlineStr">
        <is>
          <t>$25.000.000</t>
        </is>
      </c>
      <c r="H253" s="114" t="inlineStr">
        <is>
          <t xml:space="preserve">Profesional Universitario Grado 2044-04, del Area de Gestión Documental y Atención al Ciudadano </t>
        </is>
      </c>
      <c r="I253" s="114" t="n"/>
      <c r="J253" s="114" t="inlineStr">
        <is>
          <t xml:space="preserve">gestiondocumental@itc.edu.co </t>
        </is>
      </c>
      <c r="K253" s="114" t="n"/>
      <c r="L253" s="119" t="inlineStr">
        <is>
          <t>131 · GIT Gestión Documental y Atención al Ciudadano</t>
        </is>
      </c>
      <c r="M253" s="120" t="n">
        <v>25000000</v>
      </c>
      <c r="N253" s="119" t="inlineStr">
        <is>
          <t>Mínima cuantía</t>
        </is>
      </c>
      <c r="O253" s="119">
        <f>IF(LEN(IF(OR(NOT(ISNUMBER(B253)),LEN(B253)&lt;&gt;8),"UNSPSC vacío, en texto, con varios códigos o sin 8 dígitos; ","")&amp;IF(AND(ISNUMBER(B253),LEN(B253)=8),IF(MOD(B253,10000)=0,"UNSPSC a nivel de segmento o familia; ",""),"")&amp;IF(NOT(ISNUMBER(E253)),"Duración vacía o en texto; ","")&amp;IF(NOT(ISNUMBER(G253)),"Valor vacío o en texto; ","")&amp;IF(ISNUMBER(M253),IF(M253&lt;1000000,"Valor inferior a $1.000.000: verificar; ",""),"Valor no interpretable; ")&amp;IF(N253="[PENDIENTE DE VERIFICAR]","Modalidad no identificable; ","")&amp;IF(OR(ISERROR(SEARCH("@itc.edu.co",J253)),SUMPRODUCT(--ISNUMBER(SEARCH({"á","é","í","ó","ú","ñ"},J253)))&gt;0),"Correo vacío o no institucional válido; ","")&amp;IF(LEN(TRIM(D253))=0,"Sin objeto contractual; ","")&amp;IF(AND(ISNUMBER(M253),N253="Mínima cuantía"),IF(M253&gt;39850000,"Mínima cuantía con valor superior al tope citado en el instructivo 2026 ($39.850.000): verificar modalidad; ",""),"")&amp;IF(AND(ISNUMBER(M253),OR(ISNUMBER(SEARCH("prestación de servicios",D253)),ISNUMBER(SEARCH("prestar servicios",D253)),ISNUMBER(SEARCH("prestar los servicios",D253)))),IF(M253&gt;=500000000,"Prestación de servicios por $500 millones o más: posible error de digitación; ",""),""))=0,"Sin observaciones",IF(OR(NOT(ISNUMBER(B253)),LEN(B253)&lt;&gt;8),"UNSPSC vacío, en texto, con varios códigos o sin 8 dígitos; ","")&amp;IF(AND(ISNUMBER(B253),LEN(B253)=8),IF(MOD(B253,10000)=0,"UNSPSC a nivel de segmento o familia; ",""),"")&amp;IF(NOT(ISNUMBER(E253)),"Duración vacía o en texto; ","")&amp;IF(NOT(ISNUMBER(G253)),"Valor vacío o en texto; ","")&amp;IF(ISNUMBER(M253),IF(M253&lt;1000000,"Valor inferior a $1.000.000: verificar; ",""),"Valor no interpretable; ")&amp;IF(N253="[PENDIENTE DE VERIFICAR]","Modalidad no identificable; ","")&amp;IF(OR(ISERROR(SEARCH("@itc.edu.co",J253)),SUMPRODUCT(--ISNUMBER(SEARCH({"á","é","í","ó","ú","ñ"},J253)))&gt;0),"Correo vacío o no institucional válido; ","")&amp;IF(LEN(TRIM(D253))=0,"Sin objeto contractual; ","")&amp;IF(AND(ISNUMBER(M253),N253="Mínima cuantía"),IF(M253&gt;39850000,"Mínima cuantía con valor superior al tope citado en el instructivo 2026 ($39.850.000): verificar modalidad; ",""),"")&amp;IF(AND(ISNUMBER(M253),OR(ISNUMBER(SEARCH("prestación de servicios",D253)),ISNUMBER(SEARCH("prestar servicios",D253)),ISNUMBER(SEARCH("prestar los servicios",D253)))),IF(M253&gt;=500000000,"Prestación de servicios por $500 millones o más: posible error de digitación; ",""),""))</f>
        <v/>
      </c>
    </row>
    <row r="254" ht="148.2" customHeight="1" s="23">
      <c r="A254" s="114" t="inlineStr">
        <is>
          <t>PN26-250</t>
        </is>
      </c>
      <c r="B254" s="114" t="n">
        <v>46181500</v>
      </c>
      <c r="C254" s="114" t="inlineStr">
        <is>
          <t xml:space="preserve">Equipo Interno de Trabajo Gestión Documental y Atención al Ciudadano </t>
        </is>
      </c>
      <c r="D254" s="114" t="inlineStr">
        <is>
          <t>Se requiere la adquisición de guantes desechables de nitrilo de calibre 6, diseñados para brindar protección efectiva de las manos contra agentes químicos, contaminación y desgaste durante la manipulación de documentos, materiales archivísticos y tareas de limpieza y conservación en los depósitos de archivo de la ETITC. Los guantes deberán ser resistentes, sin polvo, con acabado texturizado para un agarre seguro, de talla variada y cumpliendo con estándares de calidad e inocuidad apropiados para uso institucional, garantizando la seguridad del personal en el desarrollo de sus actividades. La dotación se entregará por caja de 100 unidades, permitiendo control de inventario, disponibilidad continua y rotación adecuada del material. La utilización de estos guantes permitirá prevenir accidentes, mantener condiciones higiénicas adecuadas y proteger la integridad de los documentos durante su manipulación y conservación.</t>
        </is>
      </c>
      <c r="E254" s="114" t="inlineStr">
        <is>
          <t xml:space="preserve">6 meses </t>
        </is>
      </c>
      <c r="F254" s="114" t="inlineStr">
        <is>
          <t>MÍNIMA CUANTÍA</t>
        </is>
      </c>
      <c r="G254" s="118" t="inlineStr">
        <is>
          <t>$15.000.000</t>
        </is>
      </c>
      <c r="H254" s="114" t="inlineStr">
        <is>
          <t xml:space="preserve">Profesional Universitario Grado 2044-04, del Area de Gestión Documental y Atención al Ciudadano </t>
        </is>
      </c>
      <c r="I254" s="114" t="n"/>
      <c r="J254" s="114" t="inlineStr">
        <is>
          <t xml:space="preserve">gestiondocumental@itc.edu.co </t>
        </is>
      </c>
      <c r="K254" s="114" t="n"/>
      <c r="L254" s="119" t="inlineStr">
        <is>
          <t>131 · GIT Gestión Documental y Atención al Ciudadano</t>
        </is>
      </c>
      <c r="M254" s="120" t="n">
        <v>15000000</v>
      </c>
      <c r="N254" s="119" t="inlineStr">
        <is>
          <t>Mínima cuantía</t>
        </is>
      </c>
      <c r="O254" s="119">
        <f>IF(LEN(IF(OR(NOT(ISNUMBER(B254)),LEN(B254)&lt;&gt;8),"UNSPSC vacío, en texto, con varios códigos o sin 8 dígitos; ","")&amp;IF(AND(ISNUMBER(B254),LEN(B254)=8),IF(MOD(B254,10000)=0,"UNSPSC a nivel de segmento o familia; ",""),"")&amp;IF(NOT(ISNUMBER(E254)),"Duración vacía o en texto; ","")&amp;IF(NOT(ISNUMBER(G254)),"Valor vacío o en texto; ","")&amp;IF(ISNUMBER(M254),IF(M254&lt;1000000,"Valor inferior a $1.000.000: verificar; ",""),"Valor no interpretable; ")&amp;IF(N254="[PENDIENTE DE VERIFICAR]","Modalidad no identificable; ","")&amp;IF(OR(ISERROR(SEARCH("@itc.edu.co",J254)),SUMPRODUCT(--ISNUMBER(SEARCH({"á","é","í","ó","ú","ñ"},J254)))&gt;0),"Correo vacío o no institucional válido; ","")&amp;IF(LEN(TRIM(D254))=0,"Sin objeto contractual; ","")&amp;IF(AND(ISNUMBER(M254),N254="Mínima cuantía"),IF(M254&gt;39850000,"Mínima cuantía con valor superior al tope citado en el instructivo 2026 ($39.850.000): verificar modalidad; ",""),"")&amp;IF(AND(ISNUMBER(M254),OR(ISNUMBER(SEARCH("prestación de servicios",D254)),ISNUMBER(SEARCH("prestar servicios",D254)),ISNUMBER(SEARCH("prestar los servicios",D254)))),IF(M254&gt;=500000000,"Prestación de servicios por $500 millones o más: posible error de digitación; ",""),""))=0,"Sin observaciones",IF(OR(NOT(ISNUMBER(B254)),LEN(B254)&lt;&gt;8),"UNSPSC vacío, en texto, con varios códigos o sin 8 dígitos; ","")&amp;IF(AND(ISNUMBER(B254),LEN(B254)=8),IF(MOD(B254,10000)=0,"UNSPSC a nivel de segmento o familia; ",""),"")&amp;IF(NOT(ISNUMBER(E254)),"Duración vacía o en texto; ","")&amp;IF(NOT(ISNUMBER(G254)),"Valor vacío o en texto; ","")&amp;IF(ISNUMBER(M254),IF(M254&lt;1000000,"Valor inferior a $1.000.000: verificar; ",""),"Valor no interpretable; ")&amp;IF(N254="[PENDIENTE DE VERIFICAR]","Modalidad no identificable; ","")&amp;IF(OR(ISERROR(SEARCH("@itc.edu.co",J254)),SUMPRODUCT(--ISNUMBER(SEARCH({"á","é","í","ó","ú","ñ"},J254)))&gt;0),"Correo vacío o no institucional válido; ","")&amp;IF(LEN(TRIM(D254))=0,"Sin objeto contractual; ","")&amp;IF(AND(ISNUMBER(M254),N254="Mínima cuantía"),IF(M254&gt;39850000,"Mínima cuantía con valor superior al tope citado en el instructivo 2026 ($39.850.000): verificar modalidad; ",""),"")&amp;IF(AND(ISNUMBER(M254),OR(ISNUMBER(SEARCH("prestación de servicios",D254)),ISNUMBER(SEARCH("prestar servicios",D254)),ISNUMBER(SEARCH("prestar los servicios",D254)))),IF(M254&gt;=500000000,"Prestación de servicios por $500 millones o más: posible error de digitación; ",""),""))</f>
        <v/>
      </c>
    </row>
    <row r="255" ht="136.8" customHeight="1" s="23">
      <c r="A255" s="114" t="inlineStr">
        <is>
          <t>PN26-251</t>
        </is>
      </c>
      <c r="B255" s="114" t="n">
        <v>47121700</v>
      </c>
      <c r="C255" s="114" t="inlineStr">
        <is>
          <t xml:space="preserve">Equipo Interno de Trabajo Gestión Documental y Atención al Ciudadano </t>
        </is>
      </c>
      <c r="D255" s="114" t="inlineStr">
        <is>
          <t>Se requiere la adquisición de elementos de limpieza y conservación para los depósitos de archivo de la ETITC, destinados a garantizar la higiene del personal y la preservación adecuada de los documentos. El suministro deberá incluir paños suaves o de microfibra para limpiar superficies y documentos sin riesgo de daño, brochas pequeñas o pinceles para eliminar polvo de documentos antiguos, alcohol antiséptico y gel antibacterial para la higiene del personal, y deshumidificadores o bolsas de sílica gel para el control de humedad en cajas archivadoras. Todos los elementos deberán cumplir con estándares de calidad adecuados para uso institucional, ser seguros, duraderos y facilitar el mantenimiento preventivo de los archivos, asegurando la conservación y protección de los documentos conforme a los lineamientos del Archivo General de la Nación y la normativa vigente en materia de gestión documental.</t>
        </is>
      </c>
      <c r="E255" s="114" t="inlineStr">
        <is>
          <t xml:space="preserve">6 mesas </t>
        </is>
      </c>
      <c r="F255" s="114" t="inlineStr">
        <is>
          <t>MÍNIMA CUANTÍA</t>
        </is>
      </c>
      <c r="G255" s="118" t="inlineStr">
        <is>
          <t>$10.000.000</t>
        </is>
      </c>
      <c r="H255" s="114" t="inlineStr">
        <is>
          <t xml:space="preserve">Profesional Universitario Grado 2044-04, del Area de Gestión Documental y Atención al Ciudadano </t>
        </is>
      </c>
      <c r="I255" s="114" t="n"/>
      <c r="J255" s="114" t="inlineStr">
        <is>
          <t xml:space="preserve">gestiondocumental@itc.edu.co </t>
        </is>
      </c>
      <c r="K255" s="114" t="n"/>
      <c r="L255" s="119" t="inlineStr">
        <is>
          <t>131 · GIT Gestión Documental y Atención al Ciudadano</t>
        </is>
      </c>
      <c r="M255" s="120" t="n">
        <v>10000000</v>
      </c>
      <c r="N255" s="119" t="inlineStr">
        <is>
          <t>Mínima cuantía</t>
        </is>
      </c>
      <c r="O255" s="119">
        <f>IF(LEN(IF(OR(NOT(ISNUMBER(B255)),LEN(B255)&lt;&gt;8),"UNSPSC vacío, en texto, con varios códigos o sin 8 dígitos; ","")&amp;IF(AND(ISNUMBER(B255),LEN(B255)=8),IF(MOD(B255,10000)=0,"UNSPSC a nivel de segmento o familia; ",""),"")&amp;IF(NOT(ISNUMBER(E255)),"Duración vacía o en texto; ","")&amp;IF(NOT(ISNUMBER(G255)),"Valor vacío o en texto; ","")&amp;IF(ISNUMBER(M255),IF(M255&lt;1000000,"Valor inferior a $1.000.000: verificar; ",""),"Valor no interpretable; ")&amp;IF(N255="[PENDIENTE DE VERIFICAR]","Modalidad no identificable; ","")&amp;IF(OR(ISERROR(SEARCH("@itc.edu.co",J255)),SUMPRODUCT(--ISNUMBER(SEARCH({"á","é","í","ó","ú","ñ"},J255)))&gt;0),"Correo vacío o no institucional válido; ","")&amp;IF(LEN(TRIM(D255))=0,"Sin objeto contractual; ","")&amp;IF(AND(ISNUMBER(M255),N255="Mínima cuantía"),IF(M255&gt;39850000,"Mínima cuantía con valor superior al tope citado en el instructivo 2026 ($39.850.000): verificar modalidad; ",""),"")&amp;IF(AND(ISNUMBER(M255),OR(ISNUMBER(SEARCH("prestación de servicios",D255)),ISNUMBER(SEARCH("prestar servicios",D255)),ISNUMBER(SEARCH("prestar los servicios",D255)))),IF(M255&gt;=500000000,"Prestación de servicios por $500 millones o más: posible error de digitación; ",""),""))=0,"Sin observaciones",IF(OR(NOT(ISNUMBER(B255)),LEN(B255)&lt;&gt;8),"UNSPSC vacío, en texto, con varios códigos o sin 8 dígitos; ","")&amp;IF(AND(ISNUMBER(B255),LEN(B255)=8),IF(MOD(B255,10000)=0,"UNSPSC a nivel de segmento o familia; ",""),"")&amp;IF(NOT(ISNUMBER(E255)),"Duración vacía o en texto; ","")&amp;IF(NOT(ISNUMBER(G255)),"Valor vacío o en texto; ","")&amp;IF(ISNUMBER(M255),IF(M255&lt;1000000,"Valor inferior a $1.000.000: verificar; ",""),"Valor no interpretable; ")&amp;IF(N255="[PENDIENTE DE VERIFICAR]","Modalidad no identificable; ","")&amp;IF(OR(ISERROR(SEARCH("@itc.edu.co",J255)),SUMPRODUCT(--ISNUMBER(SEARCH({"á","é","í","ó","ú","ñ"},J255)))&gt;0),"Correo vacío o no institucional válido; ","")&amp;IF(LEN(TRIM(D255))=0,"Sin objeto contractual; ","")&amp;IF(AND(ISNUMBER(M255),N255="Mínima cuantía"),IF(M255&gt;39850000,"Mínima cuantía con valor superior al tope citado en el instructivo 2026 ($39.850.000): verificar modalidad; ",""),"")&amp;IF(AND(ISNUMBER(M255),OR(ISNUMBER(SEARCH("prestación de servicios",D255)),ISNUMBER(SEARCH("prestar servicios",D255)),ISNUMBER(SEARCH("prestar los servicios",D255)))),IF(M255&gt;=500000000,"Prestación de servicios por $500 millones o más: posible error de digitación; ",""),""))</f>
        <v/>
      </c>
    </row>
    <row r="256" ht="193.8" customHeight="1" s="23">
      <c r="A256" s="114" t="inlineStr">
        <is>
          <t>PN26-252</t>
        </is>
      </c>
      <c r="B256" s="114" t="n">
        <v>81111500</v>
      </c>
      <c r="C256" s="114" t="inlineStr">
        <is>
          <t xml:space="preserve">Equipo Interno de Trabajo Gestión Documental y Atención al Ciudadano </t>
        </is>
      </c>
      <c r="D256" s="114" t="inlineStr">
        <is>
          <t xml:space="preserve">
Para la dotación de seguridad y atención de emergencias menores, se requiere la adquisición de cuatro (4) botiquines de primeros auxilios, tipo B, en morral portátil con dotación completa, incluidos insumos básicos como gasas, vendas, antisépticos, guantes desechables, tijeras, pinzas, tapabocas y manual de primeros auxilios, cumpliendo con la normativa de Seguridad y Salud en el Trabajo vigente en Colombia (Resolución 1910 de 2002 y Resolución 0527 de 2012). Los botiquines deberán ser portátiles, resistentes, fáciles de identificar y con control de fecha de vencimiento de los insumos, garantizando su uso seguro y oportuno ante emergencias.
La adquisición de estos botiquines permitirá garantizar la disponibilidad inmediata de elementos para la atención de accidentes menores en la ETITC, fortaleciendo las condiciones de seguridad y prevención dentro de la entidad y asegurando el cumplimiento de los lineamientos del Sistema de Gestión de Seguridad y Salud en el Trabajo (SG-SST).
</t>
        </is>
      </c>
      <c r="E256" s="114" t="inlineStr">
        <is>
          <t xml:space="preserve">6 meses </t>
        </is>
      </c>
      <c r="F256" s="114" t="inlineStr">
        <is>
          <t xml:space="preserve">MENOR CUANTIA </t>
        </is>
      </c>
      <c r="G256" s="118" t="inlineStr">
        <is>
          <t>3.000.000</t>
        </is>
      </c>
      <c r="H256" s="114" t="inlineStr">
        <is>
          <t xml:space="preserve">Profesional Universitario Grado 2044-04, del Area de Gestión Documental y Atención al Ciudadano </t>
        </is>
      </c>
      <c r="I256" s="114" t="n"/>
      <c r="J256" s="114" t="inlineStr">
        <is>
          <t xml:space="preserve">gestiondocumental@itc.edu.co </t>
        </is>
      </c>
      <c r="K256" s="114" t="n"/>
      <c r="L256" s="119" t="inlineStr">
        <is>
          <t>131 · GIT Gestión Documental y Atención al Ciudadano</t>
        </is>
      </c>
      <c r="M256" s="120" t="n">
        <v>3000000</v>
      </c>
      <c r="N256" s="119" t="inlineStr">
        <is>
          <t>Selección abreviada de menor cuantía</t>
        </is>
      </c>
      <c r="O256" s="119">
        <f>IF(LEN(IF(OR(NOT(ISNUMBER(B256)),LEN(B256)&lt;&gt;8),"UNSPSC vacío, en texto, con varios códigos o sin 8 dígitos; ","")&amp;IF(AND(ISNUMBER(B256),LEN(B256)=8),IF(MOD(B256,10000)=0,"UNSPSC a nivel de segmento o familia; ",""),"")&amp;IF(NOT(ISNUMBER(E256)),"Duración vacía o en texto; ","")&amp;IF(NOT(ISNUMBER(G256)),"Valor vacío o en texto; ","")&amp;IF(ISNUMBER(M256),IF(M256&lt;1000000,"Valor inferior a $1.000.000: verificar; ",""),"Valor no interpretable; ")&amp;IF(N256="[PENDIENTE DE VERIFICAR]","Modalidad no identificable; ","")&amp;IF(OR(ISERROR(SEARCH("@itc.edu.co",J256)),SUMPRODUCT(--ISNUMBER(SEARCH({"á","é","í","ó","ú","ñ"},J256)))&gt;0),"Correo vacío o no institucional válido; ","")&amp;IF(LEN(TRIM(D256))=0,"Sin objeto contractual; ","")&amp;IF(AND(ISNUMBER(M256),N256="Mínima cuantía"),IF(M256&gt;39850000,"Mínima cuantía con valor superior al tope citado en el instructivo 2026 ($39.850.000): verificar modalidad; ",""),"")&amp;IF(AND(ISNUMBER(M256),OR(ISNUMBER(SEARCH("prestación de servicios",D256)),ISNUMBER(SEARCH("prestar servicios",D256)),ISNUMBER(SEARCH("prestar los servicios",D256)))),IF(M256&gt;=500000000,"Prestación de servicios por $500 millones o más: posible error de digitación; ",""),""))=0,"Sin observaciones",IF(OR(NOT(ISNUMBER(B256)),LEN(B256)&lt;&gt;8),"UNSPSC vacío, en texto, con varios códigos o sin 8 dígitos; ","")&amp;IF(AND(ISNUMBER(B256),LEN(B256)=8),IF(MOD(B256,10000)=0,"UNSPSC a nivel de segmento o familia; ",""),"")&amp;IF(NOT(ISNUMBER(E256)),"Duración vacía o en texto; ","")&amp;IF(NOT(ISNUMBER(G256)),"Valor vacío o en texto; ","")&amp;IF(ISNUMBER(M256),IF(M256&lt;1000000,"Valor inferior a $1.000.000: verificar; ",""),"Valor no interpretable; ")&amp;IF(N256="[PENDIENTE DE VERIFICAR]","Modalidad no identificable; ","")&amp;IF(OR(ISERROR(SEARCH("@itc.edu.co",J256)),SUMPRODUCT(--ISNUMBER(SEARCH({"á","é","í","ó","ú","ñ"},J256)))&gt;0),"Correo vacío o no institucional válido; ","")&amp;IF(LEN(TRIM(D256))=0,"Sin objeto contractual; ","")&amp;IF(AND(ISNUMBER(M256),N256="Mínima cuantía"),IF(M256&gt;39850000,"Mínima cuantía con valor superior al tope citado en el instructivo 2026 ($39.850.000): verificar modalidad; ",""),"")&amp;IF(AND(ISNUMBER(M256),OR(ISNUMBER(SEARCH("prestación de servicios",D256)),ISNUMBER(SEARCH("prestar servicios",D256)),ISNUMBER(SEARCH("prestar los servicios",D256)))),IF(M256&gt;=500000000,"Prestación de servicios por $500 millones o más: posible error de digitación; ",""),""))</f>
        <v/>
      </c>
    </row>
    <row r="257" ht="319.2" customHeight="1" s="23">
      <c r="A257" s="114" t="inlineStr">
        <is>
          <t>PN26-253</t>
        </is>
      </c>
      <c r="B257" s="114" t="n">
        <v>81111500</v>
      </c>
      <c r="C257" s="114" t="inlineStr">
        <is>
          <t xml:space="preserve">Equipo Interno de Trabajo Gestión Documental y Atención al Ciudadano </t>
        </is>
      </c>
      <c r="D257" s="114" t="inlineStr">
        <is>
          <t xml:space="preserve">De acuerdo con el análisis del mercado laboral del sector tecnológico en Colombia, los honorarios de un profesional en Ingeniería de Software o Programación de Software se estiman aproximadamente entre $5.000.000 y $8.000.000 de pesos colombianos mensuales, para perfiles con experiencia en análisis, diseño y desarrollo de sistemas de información.
En consecuencia, para efectos de la planeación del proceso contractual, se proyecta un valor estimado dentro de dicho rango, acorde con el nivel de complejidad técnica requerido para el análisis, diseño y desarrollo inicial del Sistema de Gestión de Documentos Electrónicos de Archivo (SGDEA).
El desarrollo del sistema deberá realizarse de manera articulada con el proceso de Gestión Documental de la entidad, conforme a los lineamientos técnicos establecidos por el Archivo General de la Nación y la normatividad vigente en materia de gestión documental electrónica y administración de archivos.
Así mismo, el software que se diseñe y desarrolle será propiedad y patrimonio de la Escuela Tecnológica Instituto Técnico Central – ETITC, garantizando que el código fuente, los desarrollos, configuraciones, documentación técnica y demás componentes asociados al sistema queden a disposición de la entidad para su uso, administración, mantenimiento y futuras mejoras.
El profesional contratado deberá desarrollar sus actividades siguiendo los lineamientos técnicos, funcionales y metodológicos definidos por el líder o supervisor del proyecto, rol que será ejercido por el Profesional de Gestión Documental de la entidad, quien orientará el desarrollo del sistema conforme a los requerimientos archivísticos institucionales, con el fin de asegurar que el Sistema de Gestión de Documentos Electrónicos de Archivo (SGDEA) responda a los requerimientos archivísticos, normativos y funcionales propios de la gestión documental institucional, en concordancia con los lineamientos del Archivo General de la Nación y la normatividad vigente en la materia.
</t>
        </is>
      </c>
      <c r="E257" s="114" t="inlineStr">
        <is>
          <t>1 año (12 meses)</t>
        </is>
      </c>
      <c r="F257" s="114" t="inlineStr">
        <is>
          <t xml:space="preserve">MENOR CUANTIA </t>
        </is>
      </c>
      <c r="G257" s="118" t="inlineStr">
        <is>
          <t>$80.000.000</t>
        </is>
      </c>
      <c r="H257" s="114" t="inlineStr">
        <is>
          <t xml:space="preserve">Profesional Universitario Grado 2044-04, del Area de Gestión Documental y Atención al Ciudadano </t>
        </is>
      </c>
      <c r="I257" s="114" t="n"/>
      <c r="J257" s="114" t="inlineStr">
        <is>
          <t xml:space="preserve">gestiondocumental@itc.edu.co </t>
        </is>
      </c>
      <c r="K257" s="114" t="n"/>
      <c r="L257" s="119" t="inlineStr">
        <is>
          <t>131 · GIT Gestión Documental y Atención al Ciudadano</t>
        </is>
      </c>
      <c r="M257" s="120" t="n">
        <v>80000000</v>
      </c>
      <c r="N257" s="119" t="inlineStr">
        <is>
          <t>Selección abreviada de menor cuantía</t>
        </is>
      </c>
      <c r="O257" s="119">
        <f>IF(LEN(IF(OR(NOT(ISNUMBER(B257)),LEN(B257)&lt;&gt;8),"UNSPSC vacío, en texto, con varios códigos o sin 8 dígitos; ","")&amp;IF(AND(ISNUMBER(B257),LEN(B257)=8),IF(MOD(B257,10000)=0,"UNSPSC a nivel de segmento o familia; ",""),"")&amp;IF(NOT(ISNUMBER(E257)),"Duración vacía o en texto; ","")&amp;IF(NOT(ISNUMBER(G257)),"Valor vacío o en texto; ","")&amp;IF(ISNUMBER(M257),IF(M257&lt;1000000,"Valor inferior a $1.000.000: verificar; ",""),"Valor no interpretable; ")&amp;IF(N257="[PENDIENTE DE VERIFICAR]","Modalidad no identificable; ","")&amp;IF(OR(ISERROR(SEARCH("@itc.edu.co",J257)),SUMPRODUCT(--ISNUMBER(SEARCH({"á","é","í","ó","ú","ñ"},J257)))&gt;0),"Correo vacío o no institucional válido; ","")&amp;IF(LEN(TRIM(D257))=0,"Sin objeto contractual; ","")&amp;IF(AND(ISNUMBER(M257),N257="Mínima cuantía"),IF(M257&gt;39850000,"Mínima cuantía con valor superior al tope citado en el instructivo 2026 ($39.850.000): verificar modalidad; ",""),"")&amp;IF(AND(ISNUMBER(M257),OR(ISNUMBER(SEARCH("prestación de servicios",D257)),ISNUMBER(SEARCH("prestar servicios",D257)),ISNUMBER(SEARCH("prestar los servicios",D257)))),IF(M257&gt;=500000000,"Prestación de servicios por $500 millones o más: posible error de digitación; ",""),""))=0,"Sin observaciones",IF(OR(NOT(ISNUMBER(B257)),LEN(B257)&lt;&gt;8),"UNSPSC vacío, en texto, con varios códigos o sin 8 dígitos; ","")&amp;IF(AND(ISNUMBER(B257),LEN(B257)=8),IF(MOD(B257,10000)=0,"UNSPSC a nivel de segmento o familia; ",""),"")&amp;IF(NOT(ISNUMBER(E257)),"Duración vacía o en texto; ","")&amp;IF(NOT(ISNUMBER(G257)),"Valor vacío o en texto; ","")&amp;IF(ISNUMBER(M257),IF(M257&lt;1000000,"Valor inferior a $1.000.000: verificar; ",""),"Valor no interpretable; ")&amp;IF(N257="[PENDIENTE DE VERIFICAR]","Modalidad no identificable; ","")&amp;IF(OR(ISERROR(SEARCH("@itc.edu.co",J257)),SUMPRODUCT(--ISNUMBER(SEARCH({"á","é","í","ó","ú","ñ"},J257)))&gt;0),"Correo vacío o no institucional válido; ","")&amp;IF(LEN(TRIM(D257))=0,"Sin objeto contractual; ","")&amp;IF(AND(ISNUMBER(M257),N257="Mínima cuantía"),IF(M257&gt;39850000,"Mínima cuantía con valor superior al tope citado en el instructivo 2026 ($39.850.000): verificar modalidad; ",""),"")&amp;IF(AND(ISNUMBER(M257),OR(ISNUMBER(SEARCH("prestación de servicios",D257)),ISNUMBER(SEARCH("prestar servicios",D257)),ISNUMBER(SEARCH("prestar los servicios",D257)))),IF(M257&gt;=500000000,"Prestación de servicios por $500 millones o más: posible error de digitación; ",""),""))</f>
        <v/>
      </c>
    </row>
    <row r="258" ht="148.2" customHeight="1" s="23">
      <c r="A258" s="114" t="inlineStr">
        <is>
          <t>PN26-254</t>
        </is>
      </c>
      <c r="B258" s="114" t="n">
        <v>56112102</v>
      </c>
      <c r="C258" s="114" t="inlineStr">
        <is>
          <t xml:space="preserve">Equipo Interno de Trabajo Gestión Documental y Atención al Ciudadano </t>
        </is>
      </c>
      <c r="D258" s="114" t="inlineStr">
        <is>
          <t xml:space="preserve">
Adquisición de diez (10) sillas ergonómicas para oficina tipo Sihoo M18 o equivalentes, destinadas a los puestos de trabajo administrativos de la entidad, con el fin de mejorar las condiciones ergonómicas y de comodidad durante la jornada laboral, contribuyendo a la prevención de riesgos osteomusculares y al adecuado desempeño de las funciones institucionales. Las sillas deberán contar con diseño ergonómico, respaldo en malla transpirable con soporte lumbar ajustable, sistema de regulación de altura mediante pistón neumático, mecanismo de reclinación del respaldo con bloqueo, asiento acolchado de alta densidad, reposabrazos ajustables, base de cinco apoyos en material resistente con ruedas para desplazamiento suave y estructura que garantice estabilidad, durabilidad y confort para el uso continuo en entornos de oficina.
</t>
        </is>
      </c>
      <c r="E258" s="114" t="inlineStr">
        <is>
          <t>1 año (12 meses)</t>
        </is>
      </c>
      <c r="F258" s="114" t="inlineStr">
        <is>
          <t>MÍNIMA CUANTÍA</t>
        </is>
      </c>
      <c r="G258" s="118" t="inlineStr">
        <is>
          <t>$ 15.000.000</t>
        </is>
      </c>
      <c r="H258" s="114" t="inlineStr">
        <is>
          <t xml:space="preserve">Profesional Universitario Grado 2044-04, del Area de Gestión Documental y Atención al Ciudadano </t>
        </is>
      </c>
      <c r="I258" s="114" t="n"/>
      <c r="J258" s="114" t="inlineStr">
        <is>
          <t xml:space="preserve">gestiondocumental@itc.edu.co </t>
        </is>
      </c>
      <c r="K258" s="114" t="n"/>
      <c r="L258" s="119" t="inlineStr">
        <is>
          <t>131 · GIT Gestión Documental y Atención al Ciudadano</t>
        </is>
      </c>
      <c r="M258" s="120" t="n">
        <v>15000000</v>
      </c>
      <c r="N258" s="119" t="inlineStr">
        <is>
          <t>Mínima cuantía</t>
        </is>
      </c>
      <c r="O258" s="119">
        <f>IF(LEN(IF(OR(NOT(ISNUMBER(B258)),LEN(B258)&lt;&gt;8),"UNSPSC vacío, en texto, con varios códigos o sin 8 dígitos; ","")&amp;IF(AND(ISNUMBER(B258),LEN(B258)=8),IF(MOD(B258,10000)=0,"UNSPSC a nivel de segmento o familia; ",""),"")&amp;IF(NOT(ISNUMBER(E258)),"Duración vacía o en texto; ","")&amp;IF(NOT(ISNUMBER(G258)),"Valor vacío o en texto; ","")&amp;IF(ISNUMBER(M258),IF(M258&lt;1000000,"Valor inferior a $1.000.000: verificar; ",""),"Valor no interpretable; ")&amp;IF(N258="[PENDIENTE DE VERIFICAR]","Modalidad no identificable; ","")&amp;IF(OR(ISERROR(SEARCH("@itc.edu.co",J258)),SUMPRODUCT(--ISNUMBER(SEARCH({"á","é","í","ó","ú","ñ"},J258)))&gt;0),"Correo vacío o no institucional válido; ","")&amp;IF(LEN(TRIM(D258))=0,"Sin objeto contractual; ","")&amp;IF(AND(ISNUMBER(M258),N258="Mínima cuantía"),IF(M258&gt;39850000,"Mínima cuantía con valor superior al tope citado en el instructivo 2026 ($39.850.000): verificar modalidad; ",""),"")&amp;IF(AND(ISNUMBER(M258),OR(ISNUMBER(SEARCH("prestación de servicios",D258)),ISNUMBER(SEARCH("prestar servicios",D258)),ISNUMBER(SEARCH("prestar los servicios",D258)))),IF(M258&gt;=500000000,"Prestación de servicios por $500 millones o más: posible error de digitación; ",""),""))=0,"Sin observaciones",IF(OR(NOT(ISNUMBER(B258)),LEN(B258)&lt;&gt;8),"UNSPSC vacío, en texto, con varios códigos o sin 8 dígitos; ","")&amp;IF(AND(ISNUMBER(B258),LEN(B258)=8),IF(MOD(B258,10000)=0,"UNSPSC a nivel de segmento o familia; ",""),"")&amp;IF(NOT(ISNUMBER(E258)),"Duración vacía o en texto; ","")&amp;IF(NOT(ISNUMBER(G258)),"Valor vacío o en texto; ","")&amp;IF(ISNUMBER(M258),IF(M258&lt;1000000,"Valor inferior a $1.000.000: verificar; ",""),"Valor no interpretable; ")&amp;IF(N258="[PENDIENTE DE VERIFICAR]","Modalidad no identificable; ","")&amp;IF(OR(ISERROR(SEARCH("@itc.edu.co",J258)),SUMPRODUCT(--ISNUMBER(SEARCH({"á","é","í","ó","ú","ñ"},J258)))&gt;0),"Correo vacío o no institucional válido; ","")&amp;IF(LEN(TRIM(D258))=0,"Sin objeto contractual; ","")&amp;IF(AND(ISNUMBER(M258),N258="Mínima cuantía"),IF(M258&gt;39850000,"Mínima cuantía con valor superior al tope citado en el instructivo 2026 ($39.850.000): verificar modalidad; ",""),"")&amp;IF(AND(ISNUMBER(M258),OR(ISNUMBER(SEARCH("prestación de servicios",D258)),ISNUMBER(SEARCH("prestar servicios",D258)),ISNUMBER(SEARCH("prestar los servicios",D258)))),IF(M258&gt;=500000000,"Prestación de servicios por $500 millones o más: posible error de digitación; ",""),""))</f>
        <v/>
      </c>
    </row>
    <row r="259" ht="171" customHeight="1" s="23">
      <c r="A259" s="114" t="inlineStr">
        <is>
          <t>PN26-255</t>
        </is>
      </c>
      <c r="B259" s="114" t="n">
        <v>47121602</v>
      </c>
      <c r="C259" s="114" t="inlineStr">
        <is>
          <t xml:space="preserve">Equipo Interno de Trabajo Gestión Documental y Atención al Ciudadano </t>
        </is>
      </c>
      <c r="D259" s="114" t="inlineStr">
        <is>
          <t>Adquisición de dos (2) aspiradoras eléctricas con sistema de filtración HEPA (High Efficiency Particulate Air) para la limpieza y control de polvo en los depósitos de archivo de la entidad, con el fin de contribuir a la conservación preventiva del acervo documental y al mantenimiento de condiciones adecuadas de higiene en las áreas destinadas al almacenamiento y consulta de documentos. Los equipos deberán estar diseñados para la limpieza de superficies, estanterías y espacios de almacenamiento documental, contar con potencia mínima aproximada entre 1200 W y 1600 W, sistema de filtración multicapa con filtro HEPA de alta eficiencia capaz de retener partículas finas de polvo y contaminantes, depósito o contenedor para almacenamiento de residuos con capacidad mínima entre 10 y 20 litros, manguera flexible y accesorios para la limpieza de superficies delicadas, rincones y estanterías, cable de alimentación de longitud adecuada que facilite la movilidad dentro de los depósitos de archivo, bajo nivel de ruido para su uso en entornos institucionales y diseño ergonómico que permita su fácil manipulación y mantenimiento.</t>
        </is>
      </c>
      <c r="E259" s="114" t="inlineStr">
        <is>
          <t>1 año (12 meses)</t>
        </is>
      </c>
      <c r="F259" s="114" t="inlineStr">
        <is>
          <t>MÍNIMA CUANTÍA</t>
        </is>
      </c>
      <c r="G259" s="118" t="inlineStr">
        <is>
          <t>$6.000.000</t>
        </is>
      </c>
      <c r="H259" s="114" t="inlineStr">
        <is>
          <t xml:space="preserve">Profesional Universitario Grado 2044-04, del Area de Gestión Documental y Atención al Ciudadano </t>
        </is>
      </c>
      <c r="I259" s="114" t="n"/>
      <c r="J259" s="114" t="inlineStr">
        <is>
          <t xml:space="preserve">gestiondocumental@itc.edu.co </t>
        </is>
      </c>
      <c r="K259" s="114" t="n"/>
      <c r="L259" s="119" t="inlineStr">
        <is>
          <t>131 · GIT Gestión Documental y Atención al Ciudadano</t>
        </is>
      </c>
      <c r="M259" s="120" t="n">
        <v>6000000</v>
      </c>
      <c r="N259" s="119" t="inlineStr">
        <is>
          <t>Mínima cuantía</t>
        </is>
      </c>
      <c r="O259" s="119">
        <f>IF(LEN(IF(OR(NOT(ISNUMBER(B259)),LEN(B259)&lt;&gt;8),"UNSPSC vacío, en texto, con varios códigos o sin 8 dígitos; ","")&amp;IF(AND(ISNUMBER(B259),LEN(B259)=8),IF(MOD(B259,10000)=0,"UNSPSC a nivel de segmento o familia; ",""),"")&amp;IF(NOT(ISNUMBER(E259)),"Duración vacía o en texto; ","")&amp;IF(NOT(ISNUMBER(G259)),"Valor vacío o en texto; ","")&amp;IF(ISNUMBER(M259),IF(M259&lt;1000000,"Valor inferior a $1.000.000: verificar; ",""),"Valor no interpretable; ")&amp;IF(N259="[PENDIENTE DE VERIFICAR]","Modalidad no identificable; ","")&amp;IF(OR(ISERROR(SEARCH("@itc.edu.co",J259)),SUMPRODUCT(--ISNUMBER(SEARCH({"á","é","í","ó","ú","ñ"},J259)))&gt;0),"Correo vacío o no institucional válido; ","")&amp;IF(LEN(TRIM(D259))=0,"Sin objeto contractual; ","")&amp;IF(AND(ISNUMBER(M259),N259="Mínima cuantía"),IF(M259&gt;39850000,"Mínima cuantía con valor superior al tope citado en el instructivo 2026 ($39.850.000): verificar modalidad; ",""),"")&amp;IF(AND(ISNUMBER(M259),OR(ISNUMBER(SEARCH("prestación de servicios",D259)),ISNUMBER(SEARCH("prestar servicios",D259)),ISNUMBER(SEARCH("prestar los servicios",D259)))),IF(M259&gt;=500000000,"Prestación de servicios por $500 millones o más: posible error de digitación; ",""),""))=0,"Sin observaciones",IF(OR(NOT(ISNUMBER(B259)),LEN(B259)&lt;&gt;8),"UNSPSC vacío, en texto, con varios códigos o sin 8 dígitos; ","")&amp;IF(AND(ISNUMBER(B259),LEN(B259)=8),IF(MOD(B259,10000)=0,"UNSPSC a nivel de segmento o familia; ",""),"")&amp;IF(NOT(ISNUMBER(E259)),"Duración vacía o en texto; ","")&amp;IF(NOT(ISNUMBER(G259)),"Valor vacío o en texto; ","")&amp;IF(ISNUMBER(M259),IF(M259&lt;1000000,"Valor inferior a $1.000.000: verificar; ",""),"Valor no interpretable; ")&amp;IF(N259="[PENDIENTE DE VERIFICAR]","Modalidad no identificable; ","")&amp;IF(OR(ISERROR(SEARCH("@itc.edu.co",J259)),SUMPRODUCT(--ISNUMBER(SEARCH({"á","é","í","ó","ú","ñ"},J259)))&gt;0),"Correo vacío o no institucional válido; ","")&amp;IF(LEN(TRIM(D259))=0,"Sin objeto contractual; ","")&amp;IF(AND(ISNUMBER(M259),N259="Mínima cuantía"),IF(M259&gt;39850000,"Mínima cuantía con valor superior al tope citado en el instructivo 2026 ($39.850.000): verificar modalidad; ",""),"")&amp;IF(AND(ISNUMBER(M259),OR(ISNUMBER(SEARCH("prestación de servicios",D259)),ISNUMBER(SEARCH("prestar servicios",D259)),ISNUMBER(SEARCH("prestar los servicios",D259)))),IF(M259&gt;=500000000,"Prestación de servicios por $500 millones o más: posible error de digitación; ",""),""))</f>
        <v/>
      </c>
    </row>
    <row r="260" ht="171" customHeight="1" s="23">
      <c r="A260" s="114" t="inlineStr">
        <is>
          <t>PN26-256</t>
        </is>
      </c>
      <c r="B260" s="114" t="n">
        <v>24101504</v>
      </c>
      <c r="C260" s="114" t="inlineStr">
        <is>
          <t xml:space="preserve">Equipo Interno de Trabajo Gestión Documental y Atención al Ciudadano </t>
        </is>
      </c>
      <c r="D260" s="114" t="inlineStr">
        <is>
          <t>Adquisición de dos (2) carros de transporte tipo plataforma para la movilización interna de cajas de archivo tipo X-200, X-300 y otras unidades de almacenamiento documental dentro de los depósitos de archivo de la entidad, con el fin de facilitar el traslado seguro y eficiente de documentos y contribuir al adecuado manejo y conservación del acervo documental. Los carros deberán contar con base metálica serie COMBI CI o equivalente, estructura fabricada en perfil de acero de alta resistencia con marco de estantes elaborado en perfil de acero en L, estantes de madera con base metálica, estructura de acero galvanizado y diseño desmontable que facilite su transporte y almacenamiento. Así mismo, deberán disponer de múltiples configuraciones de estantes, ruedas con recubrimiento de goma dura y sistema de giro con rodamientos que permitan un desplazamiento estable, incluyendo dos (2) ruedas fijas y dos (2) ruedas giratorias con freno de pie que bloqueen el giro, conforme a la norma EN 1757-3, y suministro del equipo en condición desmontada para su posterior ensamblaje en la entidad.</t>
        </is>
      </c>
      <c r="E260" s="114" t="inlineStr">
        <is>
          <t>1 año (12 meses)</t>
        </is>
      </c>
      <c r="F260" s="114" t="inlineStr">
        <is>
          <t xml:space="preserve">Minima Cuantia </t>
        </is>
      </c>
      <c r="G260" s="118" t="inlineStr">
        <is>
          <t>$ 1.200.000</t>
        </is>
      </c>
      <c r="H260" s="114" t="inlineStr">
        <is>
          <t xml:space="preserve">Profesional Universitario Grado 2044-04, del Area de Gestión Documental y Atención al Ciudadano </t>
        </is>
      </c>
      <c r="I260" s="114" t="n"/>
      <c r="J260" s="114" t="inlineStr">
        <is>
          <t xml:space="preserve">gestiondocumental@itc.edu.co </t>
        </is>
      </c>
      <c r="K260" s="114" t="n"/>
      <c r="L260" s="119" t="inlineStr">
        <is>
          <t>131 · GIT Gestión Documental y Atención al Ciudadano</t>
        </is>
      </c>
      <c r="M260" s="120" t="n">
        <v>1200000</v>
      </c>
      <c r="N260" s="119" t="inlineStr">
        <is>
          <t>Mínima cuantía</t>
        </is>
      </c>
      <c r="O260" s="119">
        <f>IF(LEN(IF(OR(NOT(ISNUMBER(B260)),LEN(B260)&lt;&gt;8),"UNSPSC vacío, en texto, con varios códigos o sin 8 dígitos; ","")&amp;IF(AND(ISNUMBER(B260),LEN(B260)=8),IF(MOD(B260,10000)=0,"UNSPSC a nivel de segmento o familia; ",""),"")&amp;IF(NOT(ISNUMBER(E260)),"Duración vacía o en texto; ","")&amp;IF(NOT(ISNUMBER(G260)),"Valor vacío o en texto; ","")&amp;IF(ISNUMBER(M260),IF(M260&lt;1000000,"Valor inferior a $1.000.000: verificar; ",""),"Valor no interpretable; ")&amp;IF(N260="[PENDIENTE DE VERIFICAR]","Modalidad no identificable; ","")&amp;IF(OR(ISERROR(SEARCH("@itc.edu.co",J260)),SUMPRODUCT(--ISNUMBER(SEARCH({"á","é","í","ó","ú","ñ"},J260)))&gt;0),"Correo vacío o no institucional válido; ","")&amp;IF(LEN(TRIM(D260))=0,"Sin objeto contractual; ","")&amp;IF(AND(ISNUMBER(M260),N260="Mínima cuantía"),IF(M260&gt;39850000,"Mínima cuantía con valor superior al tope citado en el instructivo 2026 ($39.850.000): verificar modalidad; ",""),"")&amp;IF(AND(ISNUMBER(M260),OR(ISNUMBER(SEARCH("prestación de servicios",D260)),ISNUMBER(SEARCH("prestar servicios",D260)),ISNUMBER(SEARCH("prestar los servicios",D260)))),IF(M260&gt;=500000000,"Prestación de servicios por $500 millones o más: posible error de digitación; ",""),""))=0,"Sin observaciones",IF(OR(NOT(ISNUMBER(B260)),LEN(B260)&lt;&gt;8),"UNSPSC vacío, en texto, con varios códigos o sin 8 dígitos; ","")&amp;IF(AND(ISNUMBER(B260),LEN(B260)=8),IF(MOD(B260,10000)=0,"UNSPSC a nivel de segmento o familia; ",""),"")&amp;IF(NOT(ISNUMBER(E260)),"Duración vacía o en texto; ","")&amp;IF(NOT(ISNUMBER(G260)),"Valor vacío o en texto; ","")&amp;IF(ISNUMBER(M260),IF(M260&lt;1000000,"Valor inferior a $1.000.000: verificar; ",""),"Valor no interpretable; ")&amp;IF(N260="[PENDIENTE DE VERIFICAR]","Modalidad no identificable; ","")&amp;IF(OR(ISERROR(SEARCH("@itc.edu.co",J260)),SUMPRODUCT(--ISNUMBER(SEARCH({"á","é","í","ó","ú","ñ"},J260)))&gt;0),"Correo vacío o no institucional válido; ","")&amp;IF(LEN(TRIM(D260))=0,"Sin objeto contractual; ","")&amp;IF(AND(ISNUMBER(M260),N260="Mínima cuantía"),IF(M260&gt;39850000,"Mínima cuantía con valor superior al tope citado en el instructivo 2026 ($39.850.000): verificar modalidad; ",""),"")&amp;IF(AND(ISNUMBER(M260),OR(ISNUMBER(SEARCH("prestación de servicios",D260)),ISNUMBER(SEARCH("prestar servicios",D260)),ISNUMBER(SEARCH("prestar los servicios",D260)))),IF(M260&gt;=500000000,"Prestación de servicios por $500 millones o más: posible error de digitación; ",""),""))</f>
        <v/>
      </c>
    </row>
    <row r="261" ht="159.6" customHeight="1" s="23">
      <c r="A261" s="114" t="inlineStr">
        <is>
          <t>PN26-257</t>
        </is>
      </c>
      <c r="B261" s="114" t="n">
        <v>41112209</v>
      </c>
      <c r="C261" s="114" t="inlineStr">
        <is>
          <t xml:space="preserve">Equipo Interno de Trabajo Gestión Documental y Atención al Ciudadano </t>
        </is>
      </c>
      <c r="D261" s="114" t="inlineStr">
        <is>
          <t>La adquisición de cuatro (4) termohigrómetros digitales con registrador de datos (data logger), diseñados para la medición, monitoreo y almacenamiento de temperatura y humedad relativa del ambiente, que permitan realizar el seguimiento continuo de las condiciones ambientales en los depósitos de archivo, laboratorios u otras áreas de almacenamiento de la entidad. Los equipos deberán contar con un rango de medición de temperatura de −20 °C a 70 °C y de humedad relativa de 0 % a 100 % HR, con una precisión aproximada de ±0.5 °C en temperatura y ±3 % HR en humedad. Así mismo, deberán disponer de capacidad de almacenamiento de hasta 16.000 registros, descarga de datos mediante interfaz USB y software especializado para el análisis y generación de reportes, pantalla para la visualización de datos en tiempo real, posibilidad de certificado de calibración y alta confiabilidad para el monitoreo ambiental requerido para la conservación preventiva de documentos, conforme a las buenas prácticas establecidas por el Archivo General de la Nación.</t>
        </is>
      </c>
      <c r="E261" s="114" t="inlineStr">
        <is>
          <t>1 año (12 meses)</t>
        </is>
      </c>
      <c r="F261" s="114" t="inlineStr">
        <is>
          <t xml:space="preserve">Minima Cuantia </t>
        </is>
      </c>
      <c r="G261" s="118" t="inlineStr">
        <is>
          <t>$ 6.000.000</t>
        </is>
      </c>
      <c r="H261" s="114" t="inlineStr">
        <is>
          <t xml:space="preserve">Profesional Universitario Grado 2044-04, del Area de Gestión Documental y Atención al Ciudadano </t>
        </is>
      </c>
      <c r="I261" s="114" t="n"/>
      <c r="J261" s="114" t="inlineStr">
        <is>
          <t xml:space="preserve">gestiondocumental@itc.edu.co </t>
        </is>
      </c>
      <c r="K261" s="114" t="n"/>
      <c r="L261" s="119" t="inlineStr">
        <is>
          <t>131 · GIT Gestión Documental y Atención al Ciudadano</t>
        </is>
      </c>
      <c r="M261" s="120" t="n">
        <v>6000000</v>
      </c>
      <c r="N261" s="119" t="inlineStr">
        <is>
          <t>Mínima cuantía</t>
        </is>
      </c>
      <c r="O261" s="119">
        <f>IF(LEN(IF(OR(NOT(ISNUMBER(B261)),LEN(B261)&lt;&gt;8),"UNSPSC vacío, en texto, con varios códigos o sin 8 dígitos; ","")&amp;IF(AND(ISNUMBER(B261),LEN(B261)=8),IF(MOD(B261,10000)=0,"UNSPSC a nivel de segmento o familia; ",""),"")&amp;IF(NOT(ISNUMBER(E261)),"Duración vacía o en texto; ","")&amp;IF(NOT(ISNUMBER(G261)),"Valor vacío o en texto; ","")&amp;IF(ISNUMBER(M261),IF(M261&lt;1000000,"Valor inferior a $1.000.000: verificar; ",""),"Valor no interpretable; ")&amp;IF(N261="[PENDIENTE DE VERIFICAR]","Modalidad no identificable; ","")&amp;IF(OR(ISERROR(SEARCH("@itc.edu.co",J261)),SUMPRODUCT(--ISNUMBER(SEARCH({"á","é","í","ó","ú","ñ"},J261)))&gt;0),"Correo vacío o no institucional válido; ","")&amp;IF(LEN(TRIM(D261))=0,"Sin objeto contractual; ","")&amp;IF(AND(ISNUMBER(M261),N261="Mínima cuantía"),IF(M261&gt;39850000,"Mínima cuantía con valor superior al tope citado en el instructivo 2026 ($39.850.000): verificar modalidad; ",""),"")&amp;IF(AND(ISNUMBER(M261),OR(ISNUMBER(SEARCH("prestación de servicios",D261)),ISNUMBER(SEARCH("prestar servicios",D261)),ISNUMBER(SEARCH("prestar los servicios",D261)))),IF(M261&gt;=500000000,"Prestación de servicios por $500 millones o más: posible error de digitación; ",""),""))=0,"Sin observaciones",IF(OR(NOT(ISNUMBER(B261)),LEN(B261)&lt;&gt;8),"UNSPSC vacío, en texto, con varios códigos o sin 8 dígitos; ","")&amp;IF(AND(ISNUMBER(B261),LEN(B261)=8),IF(MOD(B261,10000)=0,"UNSPSC a nivel de segmento o familia; ",""),"")&amp;IF(NOT(ISNUMBER(E261)),"Duración vacía o en texto; ","")&amp;IF(NOT(ISNUMBER(G261)),"Valor vacío o en texto; ","")&amp;IF(ISNUMBER(M261),IF(M261&lt;1000000,"Valor inferior a $1.000.000: verificar; ",""),"Valor no interpretable; ")&amp;IF(N261="[PENDIENTE DE VERIFICAR]","Modalidad no identificable; ","")&amp;IF(OR(ISERROR(SEARCH("@itc.edu.co",J261)),SUMPRODUCT(--ISNUMBER(SEARCH({"á","é","í","ó","ú","ñ"},J261)))&gt;0),"Correo vacío o no institucional válido; ","")&amp;IF(LEN(TRIM(D261))=0,"Sin objeto contractual; ","")&amp;IF(AND(ISNUMBER(M261),N261="Mínima cuantía"),IF(M261&gt;39850000,"Mínima cuantía con valor superior al tope citado en el instructivo 2026 ($39.850.000): verificar modalidad; ",""),"")&amp;IF(AND(ISNUMBER(M261),OR(ISNUMBER(SEARCH("prestación de servicios",D261)),ISNUMBER(SEARCH("prestar servicios",D261)),ISNUMBER(SEARCH("prestar los servicios",D261)))),IF(M261&gt;=500000000,"Prestación de servicios por $500 millones o más: posible error de digitación; ",""),""))</f>
        <v/>
      </c>
    </row>
    <row r="262" ht="159.6" customHeight="1" s="23">
      <c r="A262" s="114" t="inlineStr">
        <is>
          <t>PN26-258</t>
        </is>
      </c>
      <c r="B262" s="114" t="n">
        <v>40101902</v>
      </c>
      <c r="C262" s="114" t="inlineStr">
        <is>
          <t xml:space="preserve">Equipo Interno de Trabajo Gestión Documental y Atención al Ciudadano </t>
        </is>
      </c>
      <c r="D262" s="114" t="inlineStr">
        <is>
          <t>El objeto de este contrato es la adquisición de cuatro (4) deshumidificadores de alta eficiencia, destinados a mantener un nivel óptimo de humedad en las áreas de archivo y gestión documental de la ETITC, con el fin de preservar la integridad de los documentos y materiales sensibles. Los deshumidificadores deben contar con una capacidad mínima de 30 litros por día, ajuste automático de humedad relativa, filtro de aire lavable, y función de apagado automático cuando el tanque de agua esté lleno. Además, deben ser silenciosos, con un diseño compacto y portátil para facilitar su instalación en diferentes áreas de almacenamiento. La adquisición de estos equipos es esencial para garantizar la conservación adecuada de los documentos y evitar daños por humedad que puedan comprometer la calidad y seguridad de la información almacenada. Estos deshumidificadores contribuirán a mejorar la eficiencia de los procesos de gestión documental y asegurar un entorno seguro para el archivo de documentos valiosos dentro de la entidad.</t>
        </is>
      </c>
      <c r="E262" s="114" t="inlineStr">
        <is>
          <t>1 año (12 meses)</t>
        </is>
      </c>
      <c r="F262" s="114" t="inlineStr">
        <is>
          <t xml:space="preserve">Minima Cuantia </t>
        </is>
      </c>
      <c r="G262" s="118" t="inlineStr">
        <is>
          <t>$12.000.000</t>
        </is>
      </c>
      <c r="H262" s="114" t="inlineStr">
        <is>
          <t xml:space="preserve">Profesional Universitario Grado 2044-04, del Area de Gestión Documental y Atención al Ciudadano </t>
        </is>
      </c>
      <c r="I262" s="114" t="n"/>
      <c r="J262" s="114" t="inlineStr">
        <is>
          <t xml:space="preserve">gestiondocumental@itc.edu.co </t>
        </is>
      </c>
      <c r="K262" s="114" t="n"/>
      <c r="L262" s="119" t="inlineStr">
        <is>
          <t>131 · GIT Gestión Documental y Atención al Ciudadano</t>
        </is>
      </c>
      <c r="M262" s="120" t="n">
        <v>12000000</v>
      </c>
      <c r="N262" s="119" t="inlineStr">
        <is>
          <t>Mínima cuantía</t>
        </is>
      </c>
      <c r="O262" s="119">
        <f>IF(LEN(IF(OR(NOT(ISNUMBER(B262)),LEN(B262)&lt;&gt;8),"UNSPSC vacío, en texto, con varios códigos o sin 8 dígitos; ","")&amp;IF(AND(ISNUMBER(B262),LEN(B262)=8),IF(MOD(B262,10000)=0,"UNSPSC a nivel de segmento o familia; ",""),"")&amp;IF(NOT(ISNUMBER(E262)),"Duración vacía o en texto; ","")&amp;IF(NOT(ISNUMBER(G262)),"Valor vacío o en texto; ","")&amp;IF(ISNUMBER(M262),IF(M262&lt;1000000,"Valor inferior a $1.000.000: verificar; ",""),"Valor no interpretable; ")&amp;IF(N262="[PENDIENTE DE VERIFICAR]","Modalidad no identificable; ","")&amp;IF(OR(ISERROR(SEARCH("@itc.edu.co",J262)),SUMPRODUCT(--ISNUMBER(SEARCH({"á","é","í","ó","ú","ñ"},J262)))&gt;0),"Correo vacío o no institucional válido; ","")&amp;IF(LEN(TRIM(D262))=0,"Sin objeto contractual; ","")&amp;IF(AND(ISNUMBER(M262),N262="Mínima cuantía"),IF(M262&gt;39850000,"Mínima cuantía con valor superior al tope citado en el instructivo 2026 ($39.850.000): verificar modalidad; ",""),"")&amp;IF(AND(ISNUMBER(M262),OR(ISNUMBER(SEARCH("prestación de servicios",D262)),ISNUMBER(SEARCH("prestar servicios",D262)),ISNUMBER(SEARCH("prestar los servicios",D262)))),IF(M262&gt;=500000000,"Prestación de servicios por $500 millones o más: posible error de digitación; ",""),""))=0,"Sin observaciones",IF(OR(NOT(ISNUMBER(B262)),LEN(B262)&lt;&gt;8),"UNSPSC vacío, en texto, con varios códigos o sin 8 dígitos; ","")&amp;IF(AND(ISNUMBER(B262),LEN(B262)=8),IF(MOD(B262,10000)=0,"UNSPSC a nivel de segmento o familia; ",""),"")&amp;IF(NOT(ISNUMBER(E262)),"Duración vacía o en texto; ","")&amp;IF(NOT(ISNUMBER(G262)),"Valor vacío o en texto; ","")&amp;IF(ISNUMBER(M262),IF(M262&lt;1000000,"Valor inferior a $1.000.000: verificar; ",""),"Valor no interpretable; ")&amp;IF(N262="[PENDIENTE DE VERIFICAR]","Modalidad no identificable; ","")&amp;IF(OR(ISERROR(SEARCH("@itc.edu.co",J262)),SUMPRODUCT(--ISNUMBER(SEARCH({"á","é","í","ó","ú","ñ"},J262)))&gt;0),"Correo vacío o no institucional válido; ","")&amp;IF(LEN(TRIM(D262))=0,"Sin objeto contractual; ","")&amp;IF(AND(ISNUMBER(M262),N262="Mínima cuantía"),IF(M262&gt;39850000,"Mínima cuantía con valor superior al tope citado en el instructivo 2026 ($39.850.000): verificar modalidad; ",""),"")&amp;IF(AND(ISNUMBER(M262),OR(ISNUMBER(SEARCH("prestación de servicios",D262)),ISNUMBER(SEARCH("prestar servicios",D262)),ISNUMBER(SEARCH("prestar los servicios",D262)))),IF(M262&gt;=500000000,"Prestación de servicios por $500 millones o más: posible error de digitación; ",""),""))</f>
        <v/>
      </c>
    </row>
    <row r="263" ht="136.8" customHeight="1" s="23">
      <c r="A263" s="114" t="inlineStr">
        <is>
          <t>PN26-259</t>
        </is>
      </c>
      <c r="B263" s="114" t="n">
        <v>56102005</v>
      </c>
      <c r="C263" s="114" t="inlineStr">
        <is>
          <t>Equipo Interno de Trabajo Gestión Documental y Atención al Ciudadano</t>
        </is>
      </c>
      <c r="D263" s="114" t="inlineStr">
        <is>
          <t>El objeto de este contrato es la adquisición de dos estanterías rodantes para archivos de alta capacidad, diseñadas para optimizar el almacenamiento, organización y conservación de documentos dentro de la ETITC. Las estanterías deben ser modulares, resistentes y móviles, con estructura de acero laminado anticorrosivo, capacidad mínima de 100 kg por estante, altura aproximada de 2 metros, profundidad de 50 cm, mínimo 5 estantes ajustables por módulo, sistema rodante seguro con rieles y mecanismo de bloqueo, y acabado duradero con pintura electrostática. Estos equipos son necesarios para mejorar la gestión documental, maximizar el uso del espacio, facilitar la consulta de expedientes y garantizar la seguridad de la información, contribuyendo directamente a la eficiencia de los procesos administrativos y a la atención al ciudadano dentro de la ETITC.</t>
        </is>
      </c>
      <c r="E263" s="114" t="inlineStr">
        <is>
          <t xml:space="preserve">2 años (24 meses) </t>
        </is>
      </c>
      <c r="F263" s="114" t="inlineStr">
        <is>
          <t xml:space="preserve">Minima Cuantia </t>
        </is>
      </c>
      <c r="G263" s="118" t="inlineStr">
        <is>
          <t>$16.000.000</t>
        </is>
      </c>
      <c r="H263" s="114" t="inlineStr">
        <is>
          <t xml:space="preserve">Profesional Universitario Grado 2044-04, del Area de Gestión Documental y Atención al Ciudadano </t>
        </is>
      </c>
      <c r="I263" s="114" t="n"/>
      <c r="J263" s="114" t="inlineStr">
        <is>
          <t xml:space="preserve">gestiondocumental@itc.edu.co </t>
        </is>
      </c>
      <c r="K263" s="114" t="n"/>
      <c r="L263" s="119" t="inlineStr">
        <is>
          <t>131 · GIT Gestión Documental y Atención al Ciudadano</t>
        </is>
      </c>
      <c r="M263" s="120" t="n">
        <v>16000000</v>
      </c>
      <c r="N263" s="119" t="inlineStr">
        <is>
          <t>Mínima cuantía</t>
        </is>
      </c>
      <c r="O263" s="119">
        <f>IF(LEN(IF(OR(NOT(ISNUMBER(B263)),LEN(B263)&lt;&gt;8),"UNSPSC vacío, en texto, con varios códigos o sin 8 dígitos; ","")&amp;IF(AND(ISNUMBER(B263),LEN(B263)=8),IF(MOD(B263,10000)=0,"UNSPSC a nivel de segmento o familia; ",""),"")&amp;IF(NOT(ISNUMBER(E263)),"Duración vacía o en texto; ","")&amp;IF(NOT(ISNUMBER(G263)),"Valor vacío o en texto; ","")&amp;IF(ISNUMBER(M263),IF(M263&lt;1000000,"Valor inferior a $1.000.000: verificar; ",""),"Valor no interpretable; ")&amp;IF(N263="[PENDIENTE DE VERIFICAR]","Modalidad no identificable; ","")&amp;IF(OR(ISERROR(SEARCH("@itc.edu.co",J263)),SUMPRODUCT(--ISNUMBER(SEARCH({"á","é","í","ó","ú","ñ"},J263)))&gt;0),"Correo vacío o no institucional válido; ","")&amp;IF(LEN(TRIM(D263))=0,"Sin objeto contractual; ","")&amp;IF(AND(ISNUMBER(M263),N263="Mínima cuantía"),IF(M263&gt;39850000,"Mínima cuantía con valor superior al tope citado en el instructivo 2026 ($39.850.000): verificar modalidad; ",""),"")&amp;IF(AND(ISNUMBER(M263),OR(ISNUMBER(SEARCH("prestación de servicios",D263)),ISNUMBER(SEARCH("prestar servicios",D263)),ISNUMBER(SEARCH("prestar los servicios",D263)))),IF(M263&gt;=500000000,"Prestación de servicios por $500 millones o más: posible error de digitación; ",""),""))=0,"Sin observaciones",IF(OR(NOT(ISNUMBER(B263)),LEN(B263)&lt;&gt;8),"UNSPSC vacío, en texto, con varios códigos o sin 8 dígitos; ","")&amp;IF(AND(ISNUMBER(B263),LEN(B263)=8),IF(MOD(B263,10000)=0,"UNSPSC a nivel de segmento o familia; ",""),"")&amp;IF(NOT(ISNUMBER(E263)),"Duración vacía o en texto; ","")&amp;IF(NOT(ISNUMBER(G263)),"Valor vacío o en texto; ","")&amp;IF(ISNUMBER(M263),IF(M263&lt;1000000,"Valor inferior a $1.000.000: verificar; ",""),"Valor no interpretable; ")&amp;IF(N263="[PENDIENTE DE VERIFICAR]","Modalidad no identificable; ","")&amp;IF(OR(ISERROR(SEARCH("@itc.edu.co",J263)),SUMPRODUCT(--ISNUMBER(SEARCH({"á","é","í","ó","ú","ñ"},J263)))&gt;0),"Correo vacío o no institucional válido; ","")&amp;IF(LEN(TRIM(D263))=0,"Sin objeto contractual; ","")&amp;IF(AND(ISNUMBER(M263),N263="Mínima cuantía"),IF(M263&gt;39850000,"Mínima cuantía con valor superior al tope citado en el instructivo 2026 ($39.850.000): verificar modalidad; ",""),"")&amp;IF(AND(ISNUMBER(M263),OR(ISNUMBER(SEARCH("prestación de servicios",D263)),ISNUMBER(SEARCH("prestar servicios",D263)),ISNUMBER(SEARCH("prestar los servicios",D263)))),IF(M263&gt;=500000000,"Prestación de servicios por $500 millones o más: posible error de digitación; ",""),""))</f>
        <v/>
      </c>
    </row>
    <row r="264" ht="114" customHeight="1" s="23">
      <c r="A264" s="114" t="inlineStr">
        <is>
          <t>PN26-260</t>
        </is>
      </c>
      <c r="B264" s="114" t="n">
        <v>43212108</v>
      </c>
      <c r="C264" s="114" t="inlineStr">
        <is>
          <t xml:space="preserve">Equipo Interno de Trabajo Gestión Documental y Atención al Ciudadano </t>
        </is>
      </c>
      <c r="D264" s="114" t="inlineStr">
        <is>
          <t>La adquisición de dos impresoras láser multifuncionales corporativas es esencial para mejorar la eficiencia en los procesos administrativos, operativos y de gestión documental dentro de la ETITC. Este equipo permitirá la impresión, escaneo, copiado y envío de documentos, optimizando el flujo de trabajo y garantizando la disponibilidad de materiales de manera rápida y con alta calidad.
Además, al contar con funciones de impresión dúplex automática, conectividad en red y Wi-Fi, y capacidad de escaneo a color, se asegura una mayor integración y flexibilidad tanto en el área de Gestión Documental como en el área de Atención al Ciudadano, permitiendo una respuesta más ágil y eficiente a los usuarios y facilitando la entrega de documentos de manera oportuna.</t>
        </is>
      </c>
      <c r="E264" s="114" t="inlineStr">
        <is>
          <t>1 año (12 meses)</t>
        </is>
      </c>
      <c r="F264" s="114" t="inlineStr">
        <is>
          <t xml:space="preserve">Minima Cuantia </t>
        </is>
      </c>
      <c r="G264" s="118" t="inlineStr">
        <is>
          <t>$12.000.000</t>
        </is>
      </c>
      <c r="H264" s="114" t="inlineStr">
        <is>
          <t xml:space="preserve">Profesional Universitario Grado 2044-04, del Area de Gestión Documental y Atención al Ciudadano </t>
        </is>
      </c>
      <c r="I264" s="114" t="n"/>
      <c r="J264" s="114" t="inlineStr">
        <is>
          <t xml:space="preserve">gestiondocumental@itc.edu.co </t>
        </is>
      </c>
      <c r="K264" s="114" t="n"/>
      <c r="L264" s="119" t="inlineStr">
        <is>
          <t>131 · GIT Gestión Documental y Atención al Ciudadano</t>
        </is>
      </c>
      <c r="M264" s="120" t="n">
        <v>12000000</v>
      </c>
      <c r="N264" s="119" t="inlineStr">
        <is>
          <t>Mínima cuantía</t>
        </is>
      </c>
      <c r="O264" s="119">
        <f>IF(LEN(IF(OR(NOT(ISNUMBER(B264)),LEN(B264)&lt;&gt;8),"UNSPSC vacío, en texto, con varios códigos o sin 8 dígitos; ","")&amp;IF(AND(ISNUMBER(B264),LEN(B264)=8),IF(MOD(B264,10000)=0,"UNSPSC a nivel de segmento o familia; ",""),"")&amp;IF(NOT(ISNUMBER(E264)),"Duración vacía o en texto; ","")&amp;IF(NOT(ISNUMBER(G264)),"Valor vacío o en texto; ","")&amp;IF(ISNUMBER(M264),IF(M264&lt;1000000,"Valor inferior a $1.000.000: verificar; ",""),"Valor no interpretable; ")&amp;IF(N264="[PENDIENTE DE VERIFICAR]","Modalidad no identificable; ","")&amp;IF(OR(ISERROR(SEARCH("@itc.edu.co",J264)),SUMPRODUCT(--ISNUMBER(SEARCH({"á","é","í","ó","ú","ñ"},J264)))&gt;0),"Correo vacío o no institucional válido; ","")&amp;IF(LEN(TRIM(D264))=0,"Sin objeto contractual; ","")&amp;IF(AND(ISNUMBER(M264),N264="Mínima cuantía"),IF(M264&gt;39850000,"Mínima cuantía con valor superior al tope citado en el instructivo 2026 ($39.850.000): verificar modalidad; ",""),"")&amp;IF(AND(ISNUMBER(M264),OR(ISNUMBER(SEARCH("prestación de servicios",D264)),ISNUMBER(SEARCH("prestar servicios",D264)),ISNUMBER(SEARCH("prestar los servicios",D264)))),IF(M264&gt;=500000000,"Prestación de servicios por $500 millones o más: posible error de digitación; ",""),""))=0,"Sin observaciones",IF(OR(NOT(ISNUMBER(B264)),LEN(B264)&lt;&gt;8),"UNSPSC vacío, en texto, con varios códigos o sin 8 dígitos; ","")&amp;IF(AND(ISNUMBER(B264),LEN(B264)=8),IF(MOD(B264,10000)=0,"UNSPSC a nivel de segmento o familia; ",""),"")&amp;IF(NOT(ISNUMBER(E264)),"Duración vacía o en texto; ","")&amp;IF(NOT(ISNUMBER(G264)),"Valor vacío o en texto; ","")&amp;IF(ISNUMBER(M264),IF(M264&lt;1000000,"Valor inferior a $1.000.000: verificar; ",""),"Valor no interpretable; ")&amp;IF(N264="[PENDIENTE DE VERIFICAR]","Modalidad no identificable; ","")&amp;IF(OR(ISERROR(SEARCH("@itc.edu.co",J264)),SUMPRODUCT(--ISNUMBER(SEARCH({"á","é","í","ó","ú","ñ"},J264)))&gt;0),"Correo vacío o no institucional válido; ","")&amp;IF(LEN(TRIM(D264))=0,"Sin objeto contractual; ","")&amp;IF(AND(ISNUMBER(M264),N264="Mínima cuantía"),IF(M264&gt;39850000,"Mínima cuantía con valor superior al tope citado en el instructivo 2026 ($39.850.000): verificar modalidad; ",""),"")&amp;IF(AND(ISNUMBER(M264),OR(ISNUMBER(SEARCH("prestación de servicios",D264)),ISNUMBER(SEARCH("prestar servicios",D264)),ISNUMBER(SEARCH("prestar los servicios",D264)))),IF(M264&gt;=500000000,"Prestación de servicios por $500 millones o más: posible error de digitación; ",""),""))</f>
        <v/>
      </c>
    </row>
    <row r="265" ht="342" customHeight="1" s="23">
      <c r="A265" s="114" t="inlineStr">
        <is>
          <t>PN26-261</t>
        </is>
      </c>
      <c r="B265" s="114" t="n">
        <v>43211508</v>
      </c>
      <c r="C265" s="114" t="inlineStr">
        <is>
          <t xml:space="preserve">Equipo Interno de Trabajo Gestión Documental y Atención al Ciudadano </t>
        </is>
      </c>
      <c r="D265" s="114" t="inlineStr">
        <is>
          <t xml:space="preserve">Adquisición de Computadores de Escritorio para Optimización de Procesos Administrativos y Operativos.
La adquisición de tres computadores de escritorio de alto rendimiento es necesaria para optimizar los procesos administrativos, operativos y de gestión documental de la entidad, garantizando rapidez en el procesamiento de información, eficiencia en multitarea y seguridad de los datos. Este equipo permitirá ejecutar de manera fluida aplicaciones ofimáticas, software especializado y sistemas internos, mejorando la productividad del personal y reduciendo tiempos de operación. Desde el punto de vista misional, contar con tecnología actualizada contribuye a la eficiencia institucional, la correcta gestión de la información y el soporte a la toma de decisiones, asegurando que el personal cuente con herramientas confiables y adecuadas a los requerimientos actuales de trabajo, aumentando la capacidad de respuesta y la calidad de los procesos internos. La adquisición de tres computadores de escritorio de alto rendimiento, equipados con procesador Intel Core i5 de 12ª generación o AMD Ryzen 5 5000 series, 16 GB de RAM DDR4, SSD de 512 GB, conectividad USB 3.2 y USB-C, HDMI, DisplayPort, Ethernet y Wi-Fi 6, sistema operativo Windows 11 Pro, entre otros componentes actuales, es necesaria para optimizar los procesos administrativos, operativos y de gestión documental de la entidad, garantizando rapidez en el procesamiento de información, eficiencia en multitarea y seguridad de los datos. Este equipo permitirá ejecutar de manera fluida aplicaciones ofimáticas, software especializado y sistemas internos, mejorando la productividad del personal y reduciendo tiempos de operación. Desde el punto de vista misional, contar con tecnología actualizada contribuye a la eficiencia institucional, la correcta gestión de la información y el soporte a la toma de decisiones, asegurando que el personal cuente con herramientas confiables y adecuadas a los requerimientos actuales de trabajo, aumentando la capacidad de respuesta y la calidad de los procesos internos.
</t>
        </is>
      </c>
      <c r="E265" s="114" t="inlineStr">
        <is>
          <t>1 año (12 meses)</t>
        </is>
      </c>
      <c r="F265" s="114" t="inlineStr">
        <is>
          <t xml:space="preserve">Minima Cuantia </t>
        </is>
      </c>
      <c r="G265" s="118" t="inlineStr">
        <is>
          <t xml:space="preserve"> $ 15.000.000 
</t>
        </is>
      </c>
      <c r="H265" s="114" t="inlineStr">
        <is>
          <t xml:space="preserve">Profesional Universitario Grado 2044-04, del Area de Gestión Documental y Atención al Ciudadano </t>
        </is>
      </c>
      <c r="I265" s="114" t="n"/>
      <c r="J265" s="114" t="inlineStr">
        <is>
          <t xml:space="preserve">gestiondocumental@itc.edu.co </t>
        </is>
      </c>
      <c r="K265" s="114" t="n"/>
      <c r="L265" s="119" t="inlineStr">
        <is>
          <t>131 · GIT Gestión Documental y Atención al Ciudadano</t>
        </is>
      </c>
      <c r="M265" s="120" t="n">
        <v>15000000</v>
      </c>
      <c r="N265" s="119" t="inlineStr">
        <is>
          <t>Mínima cuantía</t>
        </is>
      </c>
      <c r="O265" s="119">
        <f>IF(LEN(IF(OR(NOT(ISNUMBER(B265)),LEN(B265)&lt;&gt;8),"UNSPSC vacío, en texto, con varios códigos o sin 8 dígitos; ","")&amp;IF(AND(ISNUMBER(B265),LEN(B265)=8),IF(MOD(B265,10000)=0,"UNSPSC a nivel de segmento o familia; ",""),"")&amp;IF(NOT(ISNUMBER(E265)),"Duración vacía o en texto; ","")&amp;IF(NOT(ISNUMBER(G265)),"Valor vacío o en texto; ","")&amp;IF(ISNUMBER(M265),IF(M265&lt;1000000,"Valor inferior a $1.000.000: verificar; ",""),"Valor no interpretable; ")&amp;IF(N265="[PENDIENTE DE VERIFICAR]","Modalidad no identificable; ","")&amp;IF(OR(ISERROR(SEARCH("@itc.edu.co",J265)),SUMPRODUCT(--ISNUMBER(SEARCH({"á","é","í","ó","ú","ñ"},J265)))&gt;0),"Correo vacío o no institucional válido; ","")&amp;IF(LEN(TRIM(D265))=0,"Sin objeto contractual; ","")&amp;IF(AND(ISNUMBER(M265),N265="Mínima cuantía"),IF(M265&gt;39850000,"Mínima cuantía con valor superior al tope citado en el instructivo 2026 ($39.850.000): verificar modalidad; ",""),"")&amp;IF(AND(ISNUMBER(M265),OR(ISNUMBER(SEARCH("prestación de servicios",D265)),ISNUMBER(SEARCH("prestar servicios",D265)),ISNUMBER(SEARCH("prestar los servicios",D265)))),IF(M265&gt;=500000000,"Prestación de servicios por $500 millones o más: posible error de digitación; ",""),""))=0,"Sin observaciones",IF(OR(NOT(ISNUMBER(B265)),LEN(B265)&lt;&gt;8),"UNSPSC vacío, en texto, con varios códigos o sin 8 dígitos; ","")&amp;IF(AND(ISNUMBER(B265),LEN(B265)=8),IF(MOD(B265,10000)=0,"UNSPSC a nivel de segmento o familia; ",""),"")&amp;IF(NOT(ISNUMBER(E265)),"Duración vacía o en texto; ","")&amp;IF(NOT(ISNUMBER(G265)),"Valor vacío o en texto; ","")&amp;IF(ISNUMBER(M265),IF(M265&lt;1000000,"Valor inferior a $1.000.000: verificar; ",""),"Valor no interpretable; ")&amp;IF(N265="[PENDIENTE DE VERIFICAR]","Modalidad no identificable; ","")&amp;IF(OR(ISERROR(SEARCH("@itc.edu.co",J265)),SUMPRODUCT(--ISNUMBER(SEARCH({"á","é","í","ó","ú","ñ"},J265)))&gt;0),"Correo vacío o no institucional válido; ","")&amp;IF(LEN(TRIM(D265))=0,"Sin objeto contractual; ","")&amp;IF(AND(ISNUMBER(M265),N265="Mínima cuantía"),IF(M265&gt;39850000,"Mínima cuantía con valor superior al tope citado en el instructivo 2026 ($39.850.000): verificar modalidad; ",""),"")&amp;IF(AND(ISNUMBER(M265),OR(ISNUMBER(SEARCH("prestación de servicios",D265)),ISNUMBER(SEARCH("prestar servicios",D265)),ISNUMBER(SEARCH("prestar los servicios",D265)))),IF(M265&gt;=500000000,"Prestación de servicios por $500 millones o más: posible error de digitación; ",""),""))</f>
        <v/>
      </c>
    </row>
    <row r="266" ht="182.4" customHeight="1" s="23">
      <c r="A266" s="114" t="inlineStr">
        <is>
          <t>PN26-262</t>
        </is>
      </c>
      <c r="B266" s="114" t="n">
        <v>43211503</v>
      </c>
      <c r="C266" s="114" t="inlineStr">
        <is>
          <t xml:space="preserve">Equipo Interno de Trabajo Gestión Documental y Atención al Ciudadano </t>
        </is>
      </c>
      <c r="D266" s="114" t="inlineStr">
        <is>
          <t>Adquisición de Computadores Portátiles para Optimización de Procesos Administrativos y Operativos.El objeto de este contrato es la adquisición de dos computadoras portátiles de alto rendimiento para las tareas administrativas, operativas y de gestión documental dentro de la entidad, con el fin de garantizar rapidez en el procesamiento de información, movilidad y seguridad de los datos. Cada equipo debe contar con procesador Intel Core i5 de 12ª generación o AMD Ryzen 5 5000 series, 16 GB de RAM DDR4, SSD de 512 GB, pantalla Full HD de 14” a 15.6”, sistema operativo Windows 11 Pro o Windows 10 Pro, y debe ser compatible con conectividad USB 3.2, USB-C, HDMI, Wi-Fi 6 y Bluetooth 5.0. Además, debe ofrecer seguridad mediante TPM 2.0, autonomía de batería mínima de 6-8 horas y una garantía mínima de 1 año.
Se requiere mencionar que estos equipos portátiles serán utilizados por el equipo de gestión documental y atención al ciudadano para realizar las visitas técnicas, visitas de acompañamiento e inducciones a las diferentes áreas y/o dependencias de la ETITC, con el fin de asegurar la adecuada gestión de la información en la entidad.</t>
        </is>
      </c>
      <c r="E266" s="114" t="inlineStr">
        <is>
          <t>1 año (12 meses)</t>
        </is>
      </c>
      <c r="F266" s="114" t="inlineStr">
        <is>
          <t xml:space="preserve">Minima Cuantia </t>
        </is>
      </c>
      <c r="G266" s="118" t="inlineStr">
        <is>
          <t>$8.000.000</t>
        </is>
      </c>
      <c r="H266" s="114" t="inlineStr">
        <is>
          <t xml:space="preserve">Profesional Universitario Grado 2044-04, del Area de Gestión Documental y Atención al Ciudadano </t>
        </is>
      </c>
      <c r="I266" s="114" t="n"/>
      <c r="J266" s="114" t="inlineStr">
        <is>
          <t xml:space="preserve">Profesional Universitario Grado 2044-04, del Area de Gestión Documental y Atención al Ciudadano </t>
        </is>
      </c>
      <c r="K266" s="114" t="n"/>
      <c r="L266" s="119" t="inlineStr">
        <is>
          <t>131 · GIT Gestión Documental y Atención al Ciudadano</t>
        </is>
      </c>
      <c r="M266" s="120" t="n">
        <v>8000000</v>
      </c>
      <c r="N266" s="119" t="inlineStr">
        <is>
          <t>Mínima cuantía</t>
        </is>
      </c>
      <c r="O266" s="119">
        <f>IF(LEN(IF(OR(NOT(ISNUMBER(B266)),LEN(B266)&lt;&gt;8),"UNSPSC vacío, en texto, con varios códigos o sin 8 dígitos; ","")&amp;IF(AND(ISNUMBER(B266),LEN(B266)=8),IF(MOD(B266,10000)=0,"UNSPSC a nivel de segmento o familia; ",""),"")&amp;IF(NOT(ISNUMBER(E266)),"Duración vacía o en texto; ","")&amp;IF(NOT(ISNUMBER(G266)),"Valor vacío o en texto; ","")&amp;IF(ISNUMBER(M266),IF(M266&lt;1000000,"Valor inferior a $1.000.000: verificar; ",""),"Valor no interpretable; ")&amp;IF(N266="[PENDIENTE DE VERIFICAR]","Modalidad no identificable; ","")&amp;IF(OR(ISERROR(SEARCH("@itc.edu.co",J266)),SUMPRODUCT(--ISNUMBER(SEARCH({"á","é","í","ó","ú","ñ"},J266)))&gt;0),"Correo vacío o no institucional válido; ","")&amp;IF(LEN(TRIM(D266))=0,"Sin objeto contractual; ","")&amp;IF(AND(ISNUMBER(M266),N266="Mínima cuantía"),IF(M266&gt;39850000,"Mínima cuantía con valor superior al tope citado en el instructivo 2026 ($39.850.000): verificar modalidad; ",""),"")&amp;IF(AND(ISNUMBER(M266),OR(ISNUMBER(SEARCH("prestación de servicios",D266)),ISNUMBER(SEARCH("prestar servicios",D266)),ISNUMBER(SEARCH("prestar los servicios",D266)))),IF(M266&gt;=500000000,"Prestación de servicios por $500 millones o más: posible error de digitación; ",""),""))=0,"Sin observaciones",IF(OR(NOT(ISNUMBER(B266)),LEN(B266)&lt;&gt;8),"UNSPSC vacío, en texto, con varios códigos o sin 8 dígitos; ","")&amp;IF(AND(ISNUMBER(B266),LEN(B266)=8),IF(MOD(B266,10000)=0,"UNSPSC a nivel de segmento o familia; ",""),"")&amp;IF(NOT(ISNUMBER(E266)),"Duración vacía o en texto; ","")&amp;IF(NOT(ISNUMBER(G266)),"Valor vacío o en texto; ","")&amp;IF(ISNUMBER(M266),IF(M266&lt;1000000,"Valor inferior a $1.000.000: verificar; ",""),"Valor no interpretable; ")&amp;IF(N266="[PENDIENTE DE VERIFICAR]","Modalidad no identificable; ","")&amp;IF(OR(ISERROR(SEARCH("@itc.edu.co",J266)),SUMPRODUCT(--ISNUMBER(SEARCH({"á","é","í","ó","ú","ñ"},J266)))&gt;0),"Correo vacío o no institucional válido; ","")&amp;IF(LEN(TRIM(D266))=0,"Sin objeto contractual; ","")&amp;IF(AND(ISNUMBER(M266),N266="Mínima cuantía"),IF(M266&gt;39850000,"Mínima cuantía con valor superior al tope citado en el instructivo 2026 ($39.850.000): verificar modalidad; ",""),"")&amp;IF(AND(ISNUMBER(M266),OR(ISNUMBER(SEARCH("prestación de servicios",D266)),ISNUMBER(SEARCH("prestar servicios",D266)),ISNUMBER(SEARCH("prestar los servicios",D266)))),IF(M266&gt;=500000000,"Prestación de servicios por $500 millones o más: posible error de digitación; ",""),""))</f>
        <v/>
      </c>
    </row>
    <row r="267" ht="239.4" customHeight="1" s="23">
      <c r="A267" s="114" t="inlineStr">
        <is>
          <t>PN26-263</t>
        </is>
      </c>
      <c r="B267" s="114" t="n">
        <v>45121504</v>
      </c>
      <c r="C267" s="114" t="inlineStr">
        <is>
          <t xml:space="preserve">Equipo Interno de Trabajo Gestión Documental y Atención al Ciudadano </t>
        </is>
      </c>
      <c r="D267" s="114" t="inlineStr">
        <is>
          <t>Adquisición de Cámara Digital Profesional para la Digitalización de Documentos Antiguos y de Gran Formato
El objeto de este contrato es la adquisición de una cámara digital profesional de alta resolución, destinada a la digitalización de documentos antiguos, planos, mapas, y otros documentos de gran formato, con el fin de mejorar los procesos de conservación, archivo y acceso a los mismos. La cámara debe contar con características técnicas que garanticen la calidad de la captura de detalles finos, como el texto, imágenes y marcas históricas de los documentos, sin dañarlos ni alterarlos. Además, debe ser compatible con los sistemas de gestión documental de la entidad.
La adquisición de una cámara digital profesional contribuye a la misión institucional de la ETITC al mejorar la digitalización y conservación de documentos antiguos y de gran formato, permitiendo un acceso rápido y eficiente a la información histórica y técnica sin riesgo de deterioro físico. Esta cámara resuelve problemas como el deterioro de documentos por manipulación, la ineficiencia en el proceso de digitalización de grandes formatos, y el acceso limitado a documentos archivados, al ofrecer alta resolución y flexibilidad en la captura de imágenes. Además, la tecnología de la cámara es más adecuada que los escáneres tradicionales, ya que permite trabajar con documentos frágiles y de gran tamaño, asegurando una conservación adecuada y un mejor manejo de la información digitalizada.</t>
        </is>
      </c>
      <c r="E267" s="114" t="inlineStr">
        <is>
          <t>1 año (12 meses)</t>
        </is>
      </c>
      <c r="F267" s="114" t="inlineStr">
        <is>
          <t xml:space="preserve">Minima Cuantia </t>
        </is>
      </c>
      <c r="G267" s="118" t="inlineStr">
        <is>
          <t>$20.000.000</t>
        </is>
      </c>
      <c r="H267" s="114" t="inlineStr">
        <is>
          <t xml:space="preserve">Profesional Universitario Grado 2044-04, del Area de Gestión Documental y Atención al Ciudadano </t>
        </is>
      </c>
      <c r="I267" s="114" t="n"/>
      <c r="J267" s="114" t="inlineStr">
        <is>
          <t xml:space="preserve">gestiondocumental@itc.edu.co </t>
        </is>
      </c>
      <c r="K267" s="114" t="n"/>
      <c r="L267" s="119" t="inlineStr">
        <is>
          <t>131 · GIT Gestión Documental y Atención al Ciudadano</t>
        </is>
      </c>
      <c r="M267" s="120" t="n">
        <v>20000000</v>
      </c>
      <c r="N267" s="119" t="inlineStr">
        <is>
          <t>Mínima cuantía</t>
        </is>
      </c>
      <c r="O267" s="119">
        <f>IF(LEN(IF(OR(NOT(ISNUMBER(B267)),LEN(B267)&lt;&gt;8),"UNSPSC vacío, en texto, con varios códigos o sin 8 dígitos; ","")&amp;IF(AND(ISNUMBER(B267),LEN(B267)=8),IF(MOD(B267,10000)=0,"UNSPSC a nivel de segmento o familia; ",""),"")&amp;IF(NOT(ISNUMBER(E267)),"Duración vacía o en texto; ","")&amp;IF(NOT(ISNUMBER(G267)),"Valor vacío o en texto; ","")&amp;IF(ISNUMBER(M267),IF(M267&lt;1000000,"Valor inferior a $1.000.000: verificar; ",""),"Valor no interpretable; ")&amp;IF(N267="[PENDIENTE DE VERIFICAR]","Modalidad no identificable; ","")&amp;IF(OR(ISERROR(SEARCH("@itc.edu.co",J267)),SUMPRODUCT(--ISNUMBER(SEARCH({"á","é","í","ó","ú","ñ"},J267)))&gt;0),"Correo vacío o no institucional válido; ","")&amp;IF(LEN(TRIM(D267))=0,"Sin objeto contractual; ","")&amp;IF(AND(ISNUMBER(M267),N267="Mínima cuantía"),IF(M267&gt;39850000,"Mínima cuantía con valor superior al tope citado en el instructivo 2026 ($39.850.000): verificar modalidad; ",""),"")&amp;IF(AND(ISNUMBER(M267),OR(ISNUMBER(SEARCH("prestación de servicios",D267)),ISNUMBER(SEARCH("prestar servicios",D267)),ISNUMBER(SEARCH("prestar los servicios",D267)))),IF(M267&gt;=500000000,"Prestación de servicios por $500 millones o más: posible error de digitación; ",""),""))=0,"Sin observaciones",IF(OR(NOT(ISNUMBER(B267)),LEN(B267)&lt;&gt;8),"UNSPSC vacío, en texto, con varios códigos o sin 8 dígitos; ","")&amp;IF(AND(ISNUMBER(B267),LEN(B267)=8),IF(MOD(B267,10000)=0,"UNSPSC a nivel de segmento o familia; ",""),"")&amp;IF(NOT(ISNUMBER(E267)),"Duración vacía o en texto; ","")&amp;IF(NOT(ISNUMBER(G267)),"Valor vacío o en texto; ","")&amp;IF(ISNUMBER(M267),IF(M267&lt;1000000,"Valor inferior a $1.000.000: verificar; ",""),"Valor no interpretable; ")&amp;IF(N267="[PENDIENTE DE VERIFICAR]","Modalidad no identificable; ","")&amp;IF(OR(ISERROR(SEARCH("@itc.edu.co",J267)),SUMPRODUCT(--ISNUMBER(SEARCH({"á","é","í","ó","ú","ñ"},J267)))&gt;0),"Correo vacío o no institucional válido; ","")&amp;IF(LEN(TRIM(D267))=0,"Sin objeto contractual; ","")&amp;IF(AND(ISNUMBER(M267),N267="Mínima cuantía"),IF(M267&gt;39850000,"Mínima cuantía con valor superior al tope citado en el instructivo 2026 ($39.850.000): verificar modalidad; ",""),"")&amp;IF(AND(ISNUMBER(M267),OR(ISNUMBER(SEARCH("prestación de servicios",D267)),ISNUMBER(SEARCH("prestar servicios",D267)),ISNUMBER(SEARCH("prestar los servicios",D267)))),IF(M267&gt;=500000000,"Prestación de servicios por $500 millones o más: posible error de digitación; ",""),""))</f>
        <v/>
      </c>
    </row>
    <row r="268" ht="205.2" customHeight="1" s="23">
      <c r="A268" s="114" t="inlineStr">
        <is>
          <t>PN26-264</t>
        </is>
      </c>
      <c r="B268" s="114" t="n">
        <v>43211711</v>
      </c>
      <c r="C268" s="114" t="inlineStr">
        <is>
          <t xml:space="preserve">Equipo Interno de Trabajo Gestión Documental y Atención al Ciudadano </t>
        </is>
      </c>
      <c r="D268" s="114" t="inlineStr">
        <is>
          <t>Escáner de producción de alta capacidad para digitalización masiva de documentos
El objeto de este contrato es la adquisición de dos escáneres de producción de alta capacidad para la digitalización masiva de expedientes y documentos de la entidad, con el fin de optimizar los procesos de gestión documental, archivo y conservación, garantizando alta calidad de imagen y eficiencia en el flujo de trabajo. El equipo debe contar con velocidad mínima de 70 páginas por minuto en modo dúplex, alimentador automático de al menos 100 hojas, resolución óptica mínima de 600 dpi, compatibilidad con documentos desde tamaños pequeños hasta A4/A3, y funciones de detección de doble alimentación y bloqueo de hojas, además de conectividad USB 3.0 y software de captura con OCR. 
Esta adquisición es crítica para la entidad, ya que permite reducir el deterioro de los documentos físicos, agilizar la digitalización de grandes volúmenes y mejorar el acceso y consulta de expedientes, cumpliendo con la misión institucional de preservar, organizar y facilitar la información de manera eficiente y confiable, aprovechando la excelente capacidad del equipo para procesar documentos de manera continua y segura</t>
        </is>
      </c>
      <c r="E268" s="114" t="inlineStr">
        <is>
          <t>1 año (12 meses)</t>
        </is>
      </c>
      <c r="F268" s="114" t="inlineStr">
        <is>
          <t xml:space="preserve">Minima Cuantia </t>
        </is>
      </c>
      <c r="G268" s="118" t="inlineStr">
        <is>
          <t xml:space="preserve"> $ 18.000.000 
</t>
        </is>
      </c>
      <c r="H268" s="114" t="inlineStr">
        <is>
          <t xml:space="preserve">Profesional Universitario Grado 2044-04, del Area de Gestión Documental y Atención al Ciudadano </t>
        </is>
      </c>
      <c r="I268" s="114" t="n"/>
      <c r="J268" s="114" t="inlineStr">
        <is>
          <t xml:space="preserve">gestiondocumental@itc.edu.co </t>
        </is>
      </c>
      <c r="K268" s="114" t="n"/>
      <c r="L268" s="119" t="inlineStr">
        <is>
          <t>131 · GIT Gestión Documental y Atención al Ciudadano</t>
        </is>
      </c>
      <c r="M268" s="120" t="n">
        <v>18000000</v>
      </c>
      <c r="N268" s="119" t="inlineStr">
        <is>
          <t>Mínima cuantía</t>
        </is>
      </c>
      <c r="O268" s="119">
        <f>IF(LEN(IF(OR(NOT(ISNUMBER(B268)),LEN(B268)&lt;&gt;8),"UNSPSC vacío, en texto, con varios códigos o sin 8 dígitos; ","")&amp;IF(AND(ISNUMBER(B268),LEN(B268)=8),IF(MOD(B268,10000)=0,"UNSPSC a nivel de segmento o familia; ",""),"")&amp;IF(NOT(ISNUMBER(E268)),"Duración vacía o en texto; ","")&amp;IF(NOT(ISNUMBER(G268)),"Valor vacío o en texto; ","")&amp;IF(ISNUMBER(M268),IF(M268&lt;1000000,"Valor inferior a $1.000.000: verificar; ",""),"Valor no interpretable; ")&amp;IF(N268="[PENDIENTE DE VERIFICAR]","Modalidad no identificable; ","")&amp;IF(OR(ISERROR(SEARCH("@itc.edu.co",J268)),SUMPRODUCT(--ISNUMBER(SEARCH({"á","é","í","ó","ú","ñ"},J268)))&gt;0),"Correo vacío o no institucional válido; ","")&amp;IF(LEN(TRIM(D268))=0,"Sin objeto contractual; ","")&amp;IF(AND(ISNUMBER(M268),N268="Mínima cuantía"),IF(M268&gt;39850000,"Mínima cuantía con valor superior al tope citado en el instructivo 2026 ($39.850.000): verificar modalidad; ",""),"")&amp;IF(AND(ISNUMBER(M268),OR(ISNUMBER(SEARCH("prestación de servicios",D268)),ISNUMBER(SEARCH("prestar servicios",D268)),ISNUMBER(SEARCH("prestar los servicios",D268)))),IF(M268&gt;=500000000,"Prestación de servicios por $500 millones o más: posible error de digitación; ",""),""))=0,"Sin observaciones",IF(OR(NOT(ISNUMBER(B268)),LEN(B268)&lt;&gt;8),"UNSPSC vacío, en texto, con varios códigos o sin 8 dígitos; ","")&amp;IF(AND(ISNUMBER(B268),LEN(B268)=8),IF(MOD(B268,10000)=0,"UNSPSC a nivel de segmento o familia; ",""),"")&amp;IF(NOT(ISNUMBER(E268)),"Duración vacía o en texto; ","")&amp;IF(NOT(ISNUMBER(G268)),"Valor vacío o en texto; ","")&amp;IF(ISNUMBER(M268),IF(M268&lt;1000000,"Valor inferior a $1.000.000: verificar; ",""),"Valor no interpretable; ")&amp;IF(N268="[PENDIENTE DE VERIFICAR]","Modalidad no identificable; ","")&amp;IF(OR(ISERROR(SEARCH("@itc.edu.co",J268)),SUMPRODUCT(--ISNUMBER(SEARCH({"á","é","í","ó","ú","ñ"},J268)))&gt;0),"Correo vacío o no institucional válido; ","")&amp;IF(LEN(TRIM(D268))=0,"Sin objeto contractual; ","")&amp;IF(AND(ISNUMBER(M268),N268="Mínima cuantía"),IF(M268&gt;39850000,"Mínima cuantía con valor superior al tope citado en el instructivo 2026 ($39.850.000): verificar modalidad; ",""),"")&amp;IF(AND(ISNUMBER(M268),OR(ISNUMBER(SEARCH("prestación de servicios",D268)),ISNUMBER(SEARCH("prestar servicios",D268)),ISNUMBER(SEARCH("prestar los servicios",D268)))),IF(M268&gt;=500000000,"Prestación de servicios por $500 millones o más: posible error de digitación; ",""),""))</f>
        <v/>
      </c>
    </row>
    <row r="269" ht="102.6" customHeight="1" s="23">
      <c r="A269" s="114" t="inlineStr">
        <is>
          <t>PN26-265</t>
        </is>
      </c>
      <c r="B269" s="114" t="inlineStr">
        <is>
          <t>41113600
23271712</t>
        </is>
      </c>
      <c r="C269" s="114" t="inlineStr">
        <is>
          <t>Talleres y Laboratorios
(Taller de eléctrónica)</t>
        </is>
      </c>
      <c r="D269" s="114" t="inlineStr">
        <is>
          <t>Adquisición de insumos y consumibles para el desarrollo de prácticas académicas en el Taller de Electrónica, incluyendo soldadura de estaño (15 lb), cautines para procesos de ensamblaje y reparación electrónica (30 unidades), sondas para osciloscopio y sondas de generador con conector BNC de 100 MHz (30 unidades) y fusibles especializados para equipos de medición marca Fluke. Estos elementos son necesarios para garantizar el correcto funcionamiento de los equipos de laboratorio, el desarrollo de prácticas experimentales en asignaturas del área electrónica y el mantenimiento básico de los instrumentos utilizados por estudiantes y docentes.</t>
        </is>
      </c>
      <c r="E269" s="114" t="inlineStr">
        <is>
          <t>4 meses</t>
        </is>
      </c>
      <c r="F269" s="114" t="inlineStr">
        <is>
          <t>MINIMA CUANTÍA</t>
        </is>
      </c>
      <c r="G269" s="118" t="inlineStr">
        <is>
          <t>$75.000.000</t>
        </is>
      </c>
      <c r="H269" s="114" t="inlineStr">
        <is>
          <t>Profesional Especializado 2028-15 del Área de talleres y laboratorios</t>
        </is>
      </c>
      <c r="I269" s="114" t="inlineStr">
        <is>
          <t>(57-601) 344 3000 Ext 126</t>
        </is>
      </c>
      <c r="J269" s="114" t="inlineStr">
        <is>
          <t>talleresylaboratorios@itc.edu.co</t>
        </is>
      </c>
      <c r="K269" s="114" t="n"/>
      <c r="L269" s="119" t="inlineStr">
        <is>
          <t>125 · GIT Talleres y Laboratorios</t>
        </is>
      </c>
      <c r="M269" s="120" t="n">
        <v>75000000</v>
      </c>
      <c r="N269" s="119" t="inlineStr">
        <is>
          <t>Mínima cuantía</t>
        </is>
      </c>
      <c r="O269" s="119">
        <f>IF(LEN(IF(OR(NOT(ISNUMBER(B269)),LEN(B269)&lt;&gt;8),"UNSPSC vacío, en texto, con varios códigos o sin 8 dígitos; ","")&amp;IF(AND(ISNUMBER(B269),LEN(B269)=8),IF(MOD(B269,10000)=0,"UNSPSC a nivel de segmento o familia; ",""),"")&amp;IF(NOT(ISNUMBER(E269)),"Duración vacía o en texto; ","")&amp;IF(NOT(ISNUMBER(G269)),"Valor vacío o en texto; ","")&amp;IF(ISNUMBER(M269),IF(M269&lt;1000000,"Valor inferior a $1.000.000: verificar; ",""),"Valor no interpretable; ")&amp;IF(N269="[PENDIENTE DE VERIFICAR]","Modalidad no identificable; ","")&amp;IF(OR(ISERROR(SEARCH("@itc.edu.co",J269)),SUMPRODUCT(--ISNUMBER(SEARCH({"á","é","í","ó","ú","ñ"},J269)))&gt;0),"Correo vacío o no institucional válido; ","")&amp;IF(LEN(TRIM(D269))=0,"Sin objeto contractual; ","")&amp;IF(AND(ISNUMBER(M269),N269="Mínima cuantía"),IF(M269&gt;39850000,"Mínima cuantía con valor superior al tope citado en el instructivo 2026 ($39.850.000): verificar modalidad; ",""),"")&amp;IF(AND(ISNUMBER(M269),OR(ISNUMBER(SEARCH("prestación de servicios",D269)),ISNUMBER(SEARCH("prestar servicios",D269)),ISNUMBER(SEARCH("prestar los servicios",D269)))),IF(M269&gt;=500000000,"Prestación de servicios por $500 millones o más: posible error de digitación; ",""),""))=0,"Sin observaciones",IF(OR(NOT(ISNUMBER(B269)),LEN(B269)&lt;&gt;8),"UNSPSC vacío, en texto, con varios códigos o sin 8 dígitos; ","")&amp;IF(AND(ISNUMBER(B269),LEN(B269)=8),IF(MOD(B269,10000)=0,"UNSPSC a nivel de segmento o familia; ",""),"")&amp;IF(NOT(ISNUMBER(E269)),"Duración vacía o en texto; ","")&amp;IF(NOT(ISNUMBER(G269)),"Valor vacío o en texto; ","")&amp;IF(ISNUMBER(M269),IF(M269&lt;1000000,"Valor inferior a $1.000.000: verificar; ",""),"Valor no interpretable; ")&amp;IF(N269="[PENDIENTE DE VERIFICAR]","Modalidad no identificable; ","")&amp;IF(OR(ISERROR(SEARCH("@itc.edu.co",J269)),SUMPRODUCT(--ISNUMBER(SEARCH({"á","é","í","ó","ú","ñ"},J269)))&gt;0),"Correo vacío o no institucional válido; ","")&amp;IF(LEN(TRIM(D269))=0,"Sin objeto contractual; ","")&amp;IF(AND(ISNUMBER(M269),N269="Mínima cuantía"),IF(M269&gt;39850000,"Mínima cuantía con valor superior al tope citado en el instructivo 2026 ($39.850.000): verificar modalidad; ",""),"")&amp;IF(AND(ISNUMBER(M269),OR(ISNUMBER(SEARCH("prestación de servicios",D269)),ISNUMBER(SEARCH("prestar servicios",D269)),ISNUMBER(SEARCH("prestar los servicios",D269)))),IF(M269&gt;=500000000,"Prestación de servicios por $500 millones o más: posible error de digitación; ",""),""))</f>
        <v/>
      </c>
    </row>
    <row r="270" ht="125.4" customHeight="1" s="23">
      <c r="A270" s="114" t="inlineStr">
        <is>
          <t>PN26-266</t>
        </is>
      </c>
      <c r="B270" s="114" t="inlineStr">
        <is>
          <t>73151704
73151700</t>
        </is>
      </c>
      <c r="C270" s="114" t="inlineStr">
        <is>
          <t>Talleres y Laboratorios
(Taller de eléctrónica)</t>
        </is>
      </c>
      <c r="D270" s="114" t="inlineStr">
        <is>
          <t>Servicio especializado de mantenimiento segun condicion, calibración certificada y trasabilidad para los equipos de medición del Taller de Electrónica, incluyendo diagnóstico técnico, ajuste, limpieza interna, verificación de funcionamiento y emisión de certificados de calibración cuando aplique. El servicio deberá cubrir los siguientes equipos del laboratorio: 35 osciloscopios (marcas Rigol, Siglent, Tektronix y Fluke), 33 multímetros digitales (Fluke modelos 115, 117, 179 y 87-V, y Peaktech), 8 generadores de señal (Rigol, Wavetek Meterman y GW Instek), 15 fuentes de alimentación DC reguladas (Siglent y Peaktech) y 1 medidor RLC marca Fluke. El mantenimiento deberá garantizar la confiabilidad operativa de los equipos y la precisión de las mediciones utilizadas en las prácticas académicas del laboratorio.</t>
        </is>
      </c>
      <c r="E270" s="114" t="inlineStr">
        <is>
          <t>3 meses</t>
        </is>
      </c>
      <c r="F270" s="114" t="inlineStr">
        <is>
          <t>MINIMA CUANTÍA</t>
        </is>
      </c>
      <c r="G270" s="118" t="inlineStr">
        <is>
          <t xml:space="preserve"> $300.000.000 </t>
        </is>
      </c>
      <c r="H270" s="114" t="inlineStr">
        <is>
          <t>Profesional Especializado 2028-15 del Área de talleres y laboratorios</t>
        </is>
      </c>
      <c r="I270" s="114" t="inlineStr">
        <is>
          <t>(57-601) 344 3000 Ext 126</t>
        </is>
      </c>
      <c r="J270" s="114" t="inlineStr">
        <is>
          <t>talleresylaboratorios@itc.edu.co</t>
        </is>
      </c>
      <c r="K270" s="114" t="n"/>
      <c r="L270" s="119" t="inlineStr">
        <is>
          <t>125 · GIT Talleres y Laboratorios</t>
        </is>
      </c>
      <c r="M270" s="120" t="n">
        <v>300000000</v>
      </c>
      <c r="N270" s="119" t="inlineStr">
        <is>
          <t>Mínima cuantía</t>
        </is>
      </c>
      <c r="O270" s="119">
        <f>IF(LEN(IF(OR(NOT(ISNUMBER(B270)),LEN(B270)&lt;&gt;8),"UNSPSC vacío, en texto, con varios códigos o sin 8 dígitos; ","")&amp;IF(AND(ISNUMBER(B270),LEN(B270)=8),IF(MOD(B270,10000)=0,"UNSPSC a nivel de segmento o familia; ",""),"")&amp;IF(NOT(ISNUMBER(E270)),"Duración vacía o en texto; ","")&amp;IF(NOT(ISNUMBER(G270)),"Valor vacío o en texto; ","")&amp;IF(ISNUMBER(M270),IF(M270&lt;1000000,"Valor inferior a $1.000.000: verificar; ",""),"Valor no interpretable; ")&amp;IF(N270="[PENDIENTE DE VERIFICAR]","Modalidad no identificable; ","")&amp;IF(OR(ISERROR(SEARCH("@itc.edu.co",J270)),SUMPRODUCT(--ISNUMBER(SEARCH({"á","é","í","ó","ú","ñ"},J270)))&gt;0),"Correo vacío o no institucional válido; ","")&amp;IF(LEN(TRIM(D270))=0,"Sin objeto contractual; ","")&amp;IF(AND(ISNUMBER(M270),N270="Mínima cuantía"),IF(M270&gt;39850000,"Mínima cuantía con valor superior al tope citado en el instructivo 2026 ($39.850.000): verificar modalidad; ",""),"")&amp;IF(AND(ISNUMBER(M270),OR(ISNUMBER(SEARCH("prestación de servicios",D270)),ISNUMBER(SEARCH("prestar servicios",D270)),ISNUMBER(SEARCH("prestar los servicios",D270)))),IF(M270&gt;=500000000,"Prestación de servicios por $500 millones o más: posible error de digitación; ",""),""))=0,"Sin observaciones",IF(OR(NOT(ISNUMBER(B270)),LEN(B270)&lt;&gt;8),"UNSPSC vacío, en texto, con varios códigos o sin 8 dígitos; ","")&amp;IF(AND(ISNUMBER(B270),LEN(B270)=8),IF(MOD(B270,10000)=0,"UNSPSC a nivel de segmento o familia; ",""),"")&amp;IF(NOT(ISNUMBER(E270)),"Duración vacía o en texto; ","")&amp;IF(NOT(ISNUMBER(G270)),"Valor vacío o en texto; ","")&amp;IF(ISNUMBER(M270),IF(M270&lt;1000000,"Valor inferior a $1.000.000: verificar; ",""),"Valor no interpretable; ")&amp;IF(N270="[PENDIENTE DE VERIFICAR]","Modalidad no identificable; ","")&amp;IF(OR(ISERROR(SEARCH("@itc.edu.co",J270)),SUMPRODUCT(--ISNUMBER(SEARCH({"á","é","í","ó","ú","ñ"},J270)))&gt;0),"Correo vacío o no institucional válido; ","")&amp;IF(LEN(TRIM(D270))=0,"Sin objeto contractual; ","")&amp;IF(AND(ISNUMBER(M270),N270="Mínima cuantía"),IF(M270&gt;39850000,"Mínima cuantía con valor superior al tope citado en el instructivo 2026 ($39.850.000): verificar modalidad; ",""),"")&amp;IF(AND(ISNUMBER(M270),OR(ISNUMBER(SEARCH("prestación de servicios",D270)),ISNUMBER(SEARCH("prestar servicios",D270)),ISNUMBER(SEARCH("prestar los servicios",D270)))),IF(M270&gt;=500000000,"Prestación de servicios por $500 millones o más: posible error de digitación; ",""),""))</f>
        <v/>
      </c>
    </row>
    <row r="271" ht="79.8" customHeight="1" s="23">
      <c r="A271" s="114" t="inlineStr">
        <is>
          <t>PN26-267</t>
        </is>
      </c>
      <c r="B271" s="114" t="n">
        <v>32000000</v>
      </c>
      <c r="C271" s="114" t="inlineStr">
        <is>
          <t>Talleres y Laboratorios
(Taller de eléctrónica)</t>
        </is>
      </c>
      <c r="D271" s="114" t="inlineStr">
        <is>
          <t>Adquisición de equipos de instrumentación electrónica para el fortalecimiento de las prácticas de laboratorio del Taller de Electrónica, destinados al desarrollo de actividades académicas de los programas de educación superior. Estos equipos permitirán apoyar los procesos de enseñanza y aprendizaje en asignaturas relacionadas con mediciones eléctricas, electrónica análoga, electrónica digital y sistemas electrónicos, garantizando condiciones adecuadas para el desarrollo de prácticas experimentales por parte de estudiantes y docentes.</t>
        </is>
      </c>
      <c r="E271" s="114" t="inlineStr">
        <is>
          <t>3 mes</t>
        </is>
      </c>
      <c r="F271" s="114" t="inlineStr">
        <is>
          <t>MINIMA CUANTÍA</t>
        </is>
      </c>
      <c r="G271" s="118" t="inlineStr">
        <is>
          <t xml:space="preserve"> $1.200.000.000 </t>
        </is>
      </c>
      <c r="H271" s="114" t="inlineStr">
        <is>
          <t>Profesional Especializado 2028-15 del Área de talleres y laboratorios</t>
        </is>
      </c>
      <c r="I271" s="114" t="inlineStr">
        <is>
          <t>(57-601) 344 3000 Ext 126</t>
        </is>
      </c>
      <c r="J271" s="114" t="inlineStr">
        <is>
          <t>talleresylaboratorios@itc.edu.co</t>
        </is>
      </c>
      <c r="K271" s="114" t="n"/>
      <c r="L271" s="119" t="inlineStr">
        <is>
          <t>125 · GIT Talleres y Laboratorios</t>
        </is>
      </c>
      <c r="M271" s="120" t="n">
        <v>1200000000</v>
      </c>
      <c r="N271" s="119" t="inlineStr">
        <is>
          <t>Mínima cuantía</t>
        </is>
      </c>
      <c r="O271" s="119">
        <f>IF(LEN(IF(OR(NOT(ISNUMBER(B271)),LEN(B271)&lt;&gt;8),"UNSPSC vacío, en texto, con varios códigos o sin 8 dígitos; ","")&amp;IF(AND(ISNUMBER(B271),LEN(B271)=8),IF(MOD(B271,10000)=0,"UNSPSC a nivel de segmento o familia; ",""),"")&amp;IF(NOT(ISNUMBER(E271)),"Duración vacía o en texto; ","")&amp;IF(NOT(ISNUMBER(G271)),"Valor vacío o en texto; ","")&amp;IF(ISNUMBER(M271),IF(M271&lt;1000000,"Valor inferior a $1.000.000: verificar; ",""),"Valor no interpretable; ")&amp;IF(N271="[PENDIENTE DE VERIFICAR]","Modalidad no identificable; ","")&amp;IF(OR(ISERROR(SEARCH("@itc.edu.co",J271)),SUMPRODUCT(--ISNUMBER(SEARCH({"á","é","í","ó","ú","ñ"},J271)))&gt;0),"Correo vacío o no institucional válido; ","")&amp;IF(LEN(TRIM(D271))=0,"Sin objeto contractual; ","")&amp;IF(AND(ISNUMBER(M271),N271="Mínima cuantía"),IF(M271&gt;39850000,"Mínima cuantía con valor superior al tope citado en el instructivo 2026 ($39.850.000): verificar modalidad; ",""),"")&amp;IF(AND(ISNUMBER(M271),OR(ISNUMBER(SEARCH("prestación de servicios",D271)),ISNUMBER(SEARCH("prestar servicios",D271)),ISNUMBER(SEARCH("prestar los servicios",D271)))),IF(M271&gt;=500000000,"Prestación de servicios por $500 millones o más: posible error de digitación; ",""),""))=0,"Sin observaciones",IF(OR(NOT(ISNUMBER(B271)),LEN(B271)&lt;&gt;8),"UNSPSC vacío, en texto, con varios códigos o sin 8 dígitos; ","")&amp;IF(AND(ISNUMBER(B271),LEN(B271)=8),IF(MOD(B271,10000)=0,"UNSPSC a nivel de segmento o familia; ",""),"")&amp;IF(NOT(ISNUMBER(E271)),"Duración vacía o en texto; ","")&amp;IF(NOT(ISNUMBER(G271)),"Valor vacío o en texto; ","")&amp;IF(ISNUMBER(M271),IF(M271&lt;1000000,"Valor inferior a $1.000.000: verificar; ",""),"Valor no interpretable; ")&amp;IF(N271="[PENDIENTE DE VERIFICAR]","Modalidad no identificable; ","")&amp;IF(OR(ISERROR(SEARCH("@itc.edu.co",J271)),SUMPRODUCT(--ISNUMBER(SEARCH({"á","é","í","ó","ú","ñ"},J271)))&gt;0),"Correo vacío o no institucional válido; ","")&amp;IF(LEN(TRIM(D271))=0,"Sin objeto contractual; ","")&amp;IF(AND(ISNUMBER(M271),N271="Mínima cuantía"),IF(M271&gt;39850000,"Mínima cuantía con valor superior al tope citado en el instructivo 2026 ($39.850.000): verificar modalidad; ",""),"")&amp;IF(AND(ISNUMBER(M271),OR(ISNUMBER(SEARCH("prestación de servicios",D271)),ISNUMBER(SEARCH("prestar servicios",D271)),ISNUMBER(SEARCH("prestar los servicios",D271)))),IF(M271&gt;=500000000,"Prestación de servicios por $500 millones o más: posible error de digitación; ",""),""))</f>
        <v/>
      </c>
    </row>
    <row r="272" ht="45.6" customHeight="1" s="23">
      <c r="A272" s="114" t="inlineStr">
        <is>
          <t>PN26-268</t>
        </is>
      </c>
      <c r="B272" s="114" t="n">
        <v>72151500</v>
      </c>
      <c r="C272" s="114" t="inlineStr">
        <is>
          <t>Talleres y Laboratorios
(Taller de electrónica)</t>
        </is>
      </c>
      <c r="D272" s="114" t="inlineStr">
        <is>
          <t>Servicio de revisión de circuitería eléctrica de los salones J-402 y J-406, correspondiente al tendido eléctrico con puesta a tierra según la no RETIE</t>
        </is>
      </c>
      <c r="E272" s="114" t="inlineStr">
        <is>
          <t>10 MESES</t>
        </is>
      </c>
      <c r="F272" s="114" t="inlineStr">
        <is>
          <t>MINIMA CUANTÍA</t>
        </is>
      </c>
      <c r="G272" s="118" t="inlineStr">
        <is>
          <t xml:space="preserve"> $800.000.000 </t>
        </is>
      </c>
      <c r="H272" s="114" t="inlineStr">
        <is>
          <t>Profesional Especializado 2028-15 del Área de talleres y laboratorios</t>
        </is>
      </c>
      <c r="I272" s="114" t="inlineStr">
        <is>
          <t>(57-601) 344 3000 Ext 126</t>
        </is>
      </c>
      <c r="J272" s="114" t="inlineStr">
        <is>
          <t>talleresylaboratorios@itc.edu.co</t>
        </is>
      </c>
      <c r="K272" s="114" t="n"/>
      <c r="L272" s="119" t="inlineStr">
        <is>
          <t>125 · GIT Talleres y Laboratorios</t>
        </is>
      </c>
      <c r="M272" s="120" t="n">
        <v>800000000</v>
      </c>
      <c r="N272" s="119" t="inlineStr">
        <is>
          <t>Mínima cuantía</t>
        </is>
      </c>
      <c r="O272" s="119">
        <f>IF(LEN(IF(OR(NOT(ISNUMBER(B272)),LEN(B272)&lt;&gt;8),"UNSPSC vacío, en texto, con varios códigos o sin 8 dígitos; ","")&amp;IF(AND(ISNUMBER(B272),LEN(B272)=8),IF(MOD(B272,10000)=0,"UNSPSC a nivel de segmento o familia; ",""),"")&amp;IF(NOT(ISNUMBER(E272)),"Duración vacía o en texto; ","")&amp;IF(NOT(ISNUMBER(G272)),"Valor vacío o en texto; ","")&amp;IF(ISNUMBER(M272),IF(M272&lt;1000000,"Valor inferior a $1.000.000: verificar; ",""),"Valor no interpretable; ")&amp;IF(N272="[PENDIENTE DE VERIFICAR]","Modalidad no identificable; ","")&amp;IF(OR(ISERROR(SEARCH("@itc.edu.co",J272)),SUMPRODUCT(--ISNUMBER(SEARCH({"á","é","í","ó","ú","ñ"},J272)))&gt;0),"Correo vacío o no institucional válido; ","")&amp;IF(LEN(TRIM(D272))=0,"Sin objeto contractual; ","")&amp;IF(AND(ISNUMBER(M272),N272="Mínima cuantía"),IF(M272&gt;39850000,"Mínima cuantía con valor superior al tope citado en el instructivo 2026 ($39.850.000): verificar modalidad; ",""),"")&amp;IF(AND(ISNUMBER(M272),OR(ISNUMBER(SEARCH("prestación de servicios",D272)),ISNUMBER(SEARCH("prestar servicios",D272)),ISNUMBER(SEARCH("prestar los servicios",D272)))),IF(M272&gt;=500000000,"Prestación de servicios por $500 millones o más: posible error de digitación; ",""),""))=0,"Sin observaciones",IF(OR(NOT(ISNUMBER(B272)),LEN(B272)&lt;&gt;8),"UNSPSC vacío, en texto, con varios códigos o sin 8 dígitos; ","")&amp;IF(AND(ISNUMBER(B272),LEN(B272)=8),IF(MOD(B272,10000)=0,"UNSPSC a nivel de segmento o familia; ",""),"")&amp;IF(NOT(ISNUMBER(E272)),"Duración vacía o en texto; ","")&amp;IF(NOT(ISNUMBER(G272)),"Valor vacío o en texto; ","")&amp;IF(ISNUMBER(M272),IF(M272&lt;1000000,"Valor inferior a $1.000.000: verificar; ",""),"Valor no interpretable; ")&amp;IF(N272="[PENDIENTE DE VERIFICAR]","Modalidad no identificable; ","")&amp;IF(OR(ISERROR(SEARCH("@itc.edu.co",J272)),SUMPRODUCT(--ISNUMBER(SEARCH({"á","é","í","ó","ú","ñ"},J272)))&gt;0),"Correo vacío o no institucional válido; ","")&amp;IF(LEN(TRIM(D272))=0,"Sin objeto contractual; ","")&amp;IF(AND(ISNUMBER(M272),N272="Mínima cuantía"),IF(M272&gt;39850000,"Mínima cuantía con valor superior al tope citado en el instructivo 2026 ($39.850.000): verificar modalidad; ",""),"")&amp;IF(AND(ISNUMBER(M272),OR(ISNUMBER(SEARCH("prestación de servicios",D272)),ISNUMBER(SEARCH("prestar servicios",D272)),ISNUMBER(SEARCH("prestar los servicios",D272)))),IF(M272&gt;=500000000,"Prestación de servicios por $500 millones o más: posible error de digitación; ",""),""))</f>
        <v/>
      </c>
    </row>
    <row r="273" ht="57" customHeight="1" s="23">
      <c r="A273" s="114" t="inlineStr">
        <is>
          <t>PN26-269</t>
        </is>
      </c>
      <c r="B273" s="114" t="inlineStr">
        <is>
          <t>6010625
41113630</t>
        </is>
      </c>
      <c r="C273" s="114" t="inlineStr">
        <is>
          <t>Talleres y Laboratorios
(Taller de electricidad)</t>
        </is>
      </c>
      <c r="D273" s="114" t="inlineStr">
        <is>
          <t>ADQUISICIÓN DE SEIS (6) BANCOS DIDÁCTICOS PARA EL ÁREA DE ELECTRICIDAD, DISEÑADOS PARA EL DESARROLLO DE PRÁCTICAS CON MOTORES ELÉCTRICOS, DESTINADOS AL FORTALECIMIENTO DE LAS ACTIVIDADES ACADÉMICAS Y DE FORMACIÓN PRÁCTICA EN EL LABORATORIO DE ELECTRICIDAD.</t>
        </is>
      </c>
      <c r="E273" s="114" t="inlineStr">
        <is>
          <t>SEIS (6) MESES</t>
        </is>
      </c>
      <c r="F273" s="114" t="inlineStr">
        <is>
          <t xml:space="preserve">MINIMA CUANTÍA </t>
        </is>
      </c>
      <c r="G273" s="118" t="inlineStr">
        <is>
          <t>$850.000.000</t>
        </is>
      </c>
      <c r="H273" s="114" t="inlineStr">
        <is>
          <t>Profesional Especializado 2028-15 del Área de talleres y laboratorios</t>
        </is>
      </c>
      <c r="I273" s="114" t="inlineStr">
        <is>
          <t>(57-601) 344 3000 Ext 126</t>
        </is>
      </c>
      <c r="J273" s="114" t="inlineStr">
        <is>
          <t>talleresylaboratorios@itc.edu.co</t>
        </is>
      </c>
      <c r="K273" s="114" t="n"/>
      <c r="L273" s="119" t="inlineStr">
        <is>
          <t>125 · GIT Talleres y Laboratorios</t>
        </is>
      </c>
      <c r="M273" s="120" t="n">
        <v>850000000</v>
      </c>
      <c r="N273" s="119" t="inlineStr">
        <is>
          <t>Mínima cuantía</t>
        </is>
      </c>
      <c r="O273" s="119">
        <f>IF(LEN(IF(OR(NOT(ISNUMBER(B273)),LEN(B273)&lt;&gt;8),"UNSPSC vacío, en texto, con varios códigos o sin 8 dígitos; ","")&amp;IF(AND(ISNUMBER(B273),LEN(B273)=8),IF(MOD(B273,10000)=0,"UNSPSC a nivel de segmento o familia; ",""),"")&amp;IF(NOT(ISNUMBER(E273)),"Duración vacía o en texto; ","")&amp;IF(NOT(ISNUMBER(G273)),"Valor vacío o en texto; ","")&amp;IF(ISNUMBER(M273),IF(M273&lt;1000000,"Valor inferior a $1.000.000: verificar; ",""),"Valor no interpretable; ")&amp;IF(N273="[PENDIENTE DE VERIFICAR]","Modalidad no identificable; ","")&amp;IF(OR(ISERROR(SEARCH("@itc.edu.co",J273)),SUMPRODUCT(--ISNUMBER(SEARCH({"á","é","í","ó","ú","ñ"},J273)))&gt;0),"Correo vacío o no institucional válido; ","")&amp;IF(LEN(TRIM(D273))=0,"Sin objeto contractual; ","")&amp;IF(AND(ISNUMBER(M273),N273="Mínima cuantía"),IF(M273&gt;39850000,"Mínima cuantía con valor superior al tope citado en el instructivo 2026 ($39.850.000): verificar modalidad; ",""),"")&amp;IF(AND(ISNUMBER(M273),OR(ISNUMBER(SEARCH("prestación de servicios",D273)),ISNUMBER(SEARCH("prestar servicios",D273)),ISNUMBER(SEARCH("prestar los servicios",D273)))),IF(M273&gt;=500000000,"Prestación de servicios por $500 millones o más: posible error de digitación; ",""),""))=0,"Sin observaciones",IF(OR(NOT(ISNUMBER(B273)),LEN(B273)&lt;&gt;8),"UNSPSC vacío, en texto, con varios códigos o sin 8 dígitos; ","")&amp;IF(AND(ISNUMBER(B273),LEN(B273)=8),IF(MOD(B273,10000)=0,"UNSPSC a nivel de segmento o familia; ",""),"")&amp;IF(NOT(ISNUMBER(E273)),"Duración vacía o en texto; ","")&amp;IF(NOT(ISNUMBER(G273)),"Valor vacío o en texto; ","")&amp;IF(ISNUMBER(M273),IF(M273&lt;1000000,"Valor inferior a $1.000.000: verificar; ",""),"Valor no interpretable; ")&amp;IF(N273="[PENDIENTE DE VERIFICAR]","Modalidad no identificable; ","")&amp;IF(OR(ISERROR(SEARCH("@itc.edu.co",J273)),SUMPRODUCT(--ISNUMBER(SEARCH({"á","é","í","ó","ú","ñ"},J273)))&gt;0),"Correo vacío o no institucional válido; ","")&amp;IF(LEN(TRIM(D273))=0,"Sin objeto contractual; ","")&amp;IF(AND(ISNUMBER(M273),N273="Mínima cuantía"),IF(M273&gt;39850000,"Mínima cuantía con valor superior al tope citado en el instructivo 2026 ($39.850.000): verificar modalidad; ",""),"")&amp;IF(AND(ISNUMBER(M273),OR(ISNUMBER(SEARCH("prestación de servicios",D273)),ISNUMBER(SEARCH("prestar servicios",D273)),ISNUMBER(SEARCH("prestar los servicios",D273)))),IF(M273&gt;=500000000,"Prestación de servicios por $500 millones o más: posible error de digitación; ",""),""))</f>
        <v/>
      </c>
    </row>
    <row r="274" ht="79.8" customHeight="1" s="23">
      <c r="A274" s="114" t="inlineStr">
        <is>
          <t>PN26-270</t>
        </is>
      </c>
      <c r="B274" s="114" t="inlineStr">
        <is>
          <t>72121205
721010507</t>
        </is>
      </c>
      <c r="C274" s="114" t="inlineStr">
        <is>
          <t>Talleres y Laboratorios
(Taller de electricidad)</t>
        </is>
      </c>
      <c r="D274" s="114" t="inlineStr">
        <is>
          <t>SERVICIO DE ADECUACIÓN Y MEJORAMIENTO DE LA INFRAESTRUCTURA DEL LABORATORIO MEDIANTE EL ACONDICIONAMIENTO DEL PISO, REORGANIZACIÓN DE ÁREAS DE TRABAJO, SUMINISTRO E INSTALACIÓN DE MESAS DE LABORATORIO, SILLAS ERGONÓMICAS Y ADECUACIONES EN LA RED ELÉCTRICA, GARANTIZANDO CONDICIONES DE SEGURIDAD, FUNCIONALIDAD Y CUMPLIMIENTO DE LAS NORMAS TÉCNICAS COLOMBIANAS APLICABLES.</t>
        </is>
      </c>
      <c r="E274" s="114" t="inlineStr">
        <is>
          <t>DIEZ (10) MESES</t>
        </is>
      </c>
      <c r="F274" s="114" t="inlineStr">
        <is>
          <t>MINIMA CUANTIA</t>
        </is>
      </c>
      <c r="G274" s="118" t="inlineStr">
        <is>
          <t>$800.000.000</t>
        </is>
      </c>
      <c r="H274" s="114" t="inlineStr">
        <is>
          <t>Profesional Especializado 2028-15 del Área de talleres y laboratorios</t>
        </is>
      </c>
      <c r="I274" s="114" t="inlineStr">
        <is>
          <t>(57-601) 344 3000 Ext 126</t>
        </is>
      </c>
      <c r="J274" s="114" t="inlineStr">
        <is>
          <t>talleresylaboratorios@itc.edu.co</t>
        </is>
      </c>
      <c r="K274" s="114" t="n"/>
      <c r="L274" s="119" t="inlineStr">
        <is>
          <t>125 · GIT Talleres y Laboratorios</t>
        </is>
      </c>
      <c r="M274" s="120" t="n">
        <v>800000000</v>
      </c>
      <c r="N274" s="119" t="inlineStr">
        <is>
          <t>Mínima cuantía</t>
        </is>
      </c>
      <c r="O274" s="119">
        <f>IF(LEN(IF(OR(NOT(ISNUMBER(B274)),LEN(B274)&lt;&gt;8),"UNSPSC vacío, en texto, con varios códigos o sin 8 dígitos; ","")&amp;IF(AND(ISNUMBER(B274),LEN(B274)=8),IF(MOD(B274,10000)=0,"UNSPSC a nivel de segmento o familia; ",""),"")&amp;IF(NOT(ISNUMBER(E274)),"Duración vacía o en texto; ","")&amp;IF(NOT(ISNUMBER(G274)),"Valor vacío o en texto; ","")&amp;IF(ISNUMBER(M274),IF(M274&lt;1000000,"Valor inferior a $1.000.000: verificar; ",""),"Valor no interpretable; ")&amp;IF(N274="[PENDIENTE DE VERIFICAR]","Modalidad no identificable; ","")&amp;IF(OR(ISERROR(SEARCH("@itc.edu.co",J274)),SUMPRODUCT(--ISNUMBER(SEARCH({"á","é","í","ó","ú","ñ"},J274)))&gt;0),"Correo vacío o no institucional válido; ","")&amp;IF(LEN(TRIM(D274))=0,"Sin objeto contractual; ","")&amp;IF(AND(ISNUMBER(M274),N274="Mínima cuantía"),IF(M274&gt;39850000,"Mínima cuantía con valor superior al tope citado en el instructivo 2026 ($39.850.000): verificar modalidad; ",""),"")&amp;IF(AND(ISNUMBER(M274),OR(ISNUMBER(SEARCH("prestación de servicios",D274)),ISNUMBER(SEARCH("prestar servicios",D274)),ISNUMBER(SEARCH("prestar los servicios",D274)))),IF(M274&gt;=500000000,"Prestación de servicios por $500 millones o más: posible error de digitación; ",""),""))=0,"Sin observaciones",IF(OR(NOT(ISNUMBER(B274)),LEN(B274)&lt;&gt;8),"UNSPSC vacío, en texto, con varios códigos o sin 8 dígitos; ","")&amp;IF(AND(ISNUMBER(B274),LEN(B274)=8),IF(MOD(B274,10000)=0,"UNSPSC a nivel de segmento o familia; ",""),"")&amp;IF(NOT(ISNUMBER(E274)),"Duración vacía o en texto; ","")&amp;IF(NOT(ISNUMBER(G274)),"Valor vacío o en texto; ","")&amp;IF(ISNUMBER(M274),IF(M274&lt;1000000,"Valor inferior a $1.000.000: verificar; ",""),"Valor no interpretable; ")&amp;IF(N274="[PENDIENTE DE VERIFICAR]","Modalidad no identificable; ","")&amp;IF(OR(ISERROR(SEARCH("@itc.edu.co",J274)),SUMPRODUCT(--ISNUMBER(SEARCH({"á","é","í","ó","ú","ñ"},J274)))&gt;0),"Correo vacío o no institucional válido; ","")&amp;IF(LEN(TRIM(D274))=0,"Sin objeto contractual; ","")&amp;IF(AND(ISNUMBER(M274),N274="Mínima cuantía"),IF(M274&gt;39850000,"Mínima cuantía con valor superior al tope citado en el instructivo 2026 ($39.850.000): verificar modalidad; ",""),"")&amp;IF(AND(ISNUMBER(M274),OR(ISNUMBER(SEARCH("prestación de servicios",D274)),ISNUMBER(SEARCH("prestar servicios",D274)),ISNUMBER(SEARCH("prestar los servicios",D274)))),IF(M274&gt;=500000000,"Prestación de servicios por $500 millones o más: posible error de digitación; ",""),""))</f>
        <v/>
      </c>
    </row>
    <row r="275" ht="102.6" customHeight="1" s="23">
      <c r="A275" s="114" t="inlineStr">
        <is>
          <t>PN26-271</t>
        </is>
      </c>
      <c r="B275" s="114" t="n">
        <v>73152108</v>
      </c>
      <c r="C275" s="114" t="inlineStr">
        <is>
          <t>Talleres y Laboratorios
(Taller de electricidad)</t>
        </is>
      </c>
      <c r="D275" s="114" t="inlineStr">
        <is>
          <t>MANTENIMIENTO CORRECTIVO DE LOS EQUIPOS Y MAQUINARIA QUE PRESTAN EL SERVICIO EN EL TALLER DE ELECTRICIDAD: 6 BANCOS DE PRUEBA DE LORENZO REF DL1013M3, 3 BANCOS DE LORENZO TIPO INDUCTIVO REF DL1017L, 3 BANCOS DE LORENZO TIPO CAPACITIVO REF DL1017C, 3 BANCOS DE LORENZO TIPO RESISTIVO REF DL1017R, 4 BANCOS DE LORENZO TIPO REÓSTATO VARIABLE REF DL1017RHES, 2 BANCOS DE LORENZO TIPO REÓSTATO POR PASOS REF DL1017RHD, 2 BANCOS DE LORENZO TIPO CAPACITIVO CON SELECTOR REF DL1028AC.</t>
        </is>
      </c>
      <c r="E275" s="114" t="inlineStr">
        <is>
          <t xml:space="preserve">CUATRO (4) MESES </t>
        </is>
      </c>
      <c r="F275" s="114" t="inlineStr">
        <is>
          <t>MINIMA CUANTIA</t>
        </is>
      </c>
      <c r="G275" s="118" t="inlineStr">
        <is>
          <t>$210.000.000</t>
        </is>
      </c>
      <c r="H275" s="114" t="inlineStr">
        <is>
          <t>Profesional Especializado 2028-15 del Área de talleres y laboratorios</t>
        </is>
      </c>
      <c r="I275" s="114" t="inlineStr">
        <is>
          <t>(57-601) 344 3000 Ext 126</t>
        </is>
      </c>
      <c r="J275" s="114" t="inlineStr">
        <is>
          <t>talleresylaboratorios@itc.edu.co</t>
        </is>
      </c>
      <c r="K275" s="114" t="n"/>
      <c r="L275" s="119" t="inlineStr">
        <is>
          <t>125 · GIT Talleres y Laboratorios</t>
        </is>
      </c>
      <c r="M275" s="120" t="n">
        <v>210000000</v>
      </c>
      <c r="N275" s="119" t="inlineStr">
        <is>
          <t>Mínima cuantía</t>
        </is>
      </c>
      <c r="O275" s="119">
        <f>IF(LEN(IF(OR(NOT(ISNUMBER(B275)),LEN(B275)&lt;&gt;8),"UNSPSC vacío, en texto, con varios códigos o sin 8 dígitos; ","")&amp;IF(AND(ISNUMBER(B275),LEN(B275)=8),IF(MOD(B275,10000)=0,"UNSPSC a nivel de segmento o familia; ",""),"")&amp;IF(NOT(ISNUMBER(E275)),"Duración vacía o en texto; ","")&amp;IF(NOT(ISNUMBER(G275)),"Valor vacío o en texto; ","")&amp;IF(ISNUMBER(M275),IF(M275&lt;1000000,"Valor inferior a $1.000.000: verificar; ",""),"Valor no interpretable; ")&amp;IF(N275="[PENDIENTE DE VERIFICAR]","Modalidad no identificable; ","")&amp;IF(OR(ISERROR(SEARCH("@itc.edu.co",J275)),SUMPRODUCT(--ISNUMBER(SEARCH({"á","é","í","ó","ú","ñ"},J275)))&gt;0),"Correo vacío o no institucional válido; ","")&amp;IF(LEN(TRIM(D275))=0,"Sin objeto contractual; ","")&amp;IF(AND(ISNUMBER(M275),N275="Mínima cuantía"),IF(M275&gt;39850000,"Mínima cuantía con valor superior al tope citado en el instructivo 2026 ($39.850.000): verificar modalidad; ",""),"")&amp;IF(AND(ISNUMBER(M275),OR(ISNUMBER(SEARCH("prestación de servicios",D275)),ISNUMBER(SEARCH("prestar servicios",D275)),ISNUMBER(SEARCH("prestar los servicios",D275)))),IF(M275&gt;=500000000,"Prestación de servicios por $500 millones o más: posible error de digitación; ",""),""))=0,"Sin observaciones",IF(OR(NOT(ISNUMBER(B275)),LEN(B275)&lt;&gt;8),"UNSPSC vacío, en texto, con varios códigos o sin 8 dígitos; ","")&amp;IF(AND(ISNUMBER(B275),LEN(B275)=8),IF(MOD(B275,10000)=0,"UNSPSC a nivel de segmento o familia; ",""),"")&amp;IF(NOT(ISNUMBER(E275)),"Duración vacía o en texto; ","")&amp;IF(NOT(ISNUMBER(G275)),"Valor vacío o en texto; ","")&amp;IF(ISNUMBER(M275),IF(M275&lt;1000000,"Valor inferior a $1.000.000: verificar; ",""),"Valor no interpretable; ")&amp;IF(N275="[PENDIENTE DE VERIFICAR]","Modalidad no identificable; ","")&amp;IF(OR(ISERROR(SEARCH("@itc.edu.co",J275)),SUMPRODUCT(--ISNUMBER(SEARCH({"á","é","í","ó","ú","ñ"},J275)))&gt;0),"Correo vacío o no institucional válido; ","")&amp;IF(LEN(TRIM(D275))=0,"Sin objeto contractual; ","")&amp;IF(AND(ISNUMBER(M275),N275="Mínima cuantía"),IF(M275&gt;39850000,"Mínima cuantía con valor superior al tope citado en el instructivo 2026 ($39.850.000): verificar modalidad; ",""),"")&amp;IF(AND(ISNUMBER(M275),OR(ISNUMBER(SEARCH("prestación de servicios",D275)),ISNUMBER(SEARCH("prestar servicios",D275)),ISNUMBER(SEARCH("prestar los servicios",D275)))),IF(M275&gt;=500000000,"Prestación de servicios por $500 millones o más: posible error de digitación; ",""),""))</f>
        <v/>
      </c>
    </row>
    <row r="276" ht="34.2" customHeight="1" s="23">
      <c r="A276" s="114" t="inlineStr">
        <is>
          <t>PN26-272</t>
        </is>
      </c>
      <c r="B276" s="114" t="n">
        <v>40151609</v>
      </c>
      <c r="C276" s="114" t="inlineStr">
        <is>
          <t>Talleres y Laboratorios
(laboratorio de automatización)</t>
        </is>
      </c>
      <c r="D276" s="114" t="inlineStr">
        <is>
          <t>ADQUISICIÓN,MONTAJE  Y PUESTA EN FUNCIONAMIENTO  DE COMPRESOR PARA EL LABORATORIO DE NEUMÁTICA.</t>
        </is>
      </c>
      <c r="E276" s="114" t="inlineStr">
        <is>
          <t>TRES (03) MESES</t>
        </is>
      </c>
      <c r="F276" s="114" t="inlineStr">
        <is>
          <t xml:space="preserve">DIRECTA </t>
        </is>
      </c>
      <c r="G276" s="118" t="inlineStr">
        <is>
          <t>$200.000.000</t>
        </is>
      </c>
      <c r="H276" s="114" t="inlineStr">
        <is>
          <t>Profesional Especializado 2028-15 del Área de talleres y laboratorios</t>
        </is>
      </c>
      <c r="I276" s="114" t="inlineStr">
        <is>
          <t>(57-601) 344 3000 Ext 126</t>
        </is>
      </c>
      <c r="J276" s="114" t="inlineStr">
        <is>
          <t>talleresylaboratorios@itc.edu.co</t>
        </is>
      </c>
      <c r="K276" s="114" t="n"/>
      <c r="L276" s="119" t="inlineStr">
        <is>
          <t>125 · GIT Talleres y Laboratorios</t>
        </is>
      </c>
      <c r="M276" s="120" t="n">
        <v>200000000</v>
      </c>
      <c r="N276" s="119" t="inlineStr">
        <is>
          <t>Contratación directa</t>
        </is>
      </c>
      <c r="O276" s="119">
        <f>IF(LEN(IF(OR(NOT(ISNUMBER(B276)),LEN(B276)&lt;&gt;8),"UNSPSC vacío, en texto, con varios códigos o sin 8 dígitos; ","")&amp;IF(AND(ISNUMBER(B276),LEN(B276)=8),IF(MOD(B276,10000)=0,"UNSPSC a nivel de segmento o familia; ",""),"")&amp;IF(NOT(ISNUMBER(E276)),"Duración vacía o en texto; ","")&amp;IF(NOT(ISNUMBER(G276)),"Valor vacío o en texto; ","")&amp;IF(ISNUMBER(M276),IF(M276&lt;1000000,"Valor inferior a $1.000.000: verificar; ",""),"Valor no interpretable; ")&amp;IF(N276="[PENDIENTE DE VERIFICAR]","Modalidad no identificable; ","")&amp;IF(OR(ISERROR(SEARCH("@itc.edu.co",J276)),SUMPRODUCT(--ISNUMBER(SEARCH({"á","é","í","ó","ú","ñ"},J276)))&gt;0),"Correo vacío o no institucional válido; ","")&amp;IF(LEN(TRIM(D276))=0,"Sin objeto contractual; ","")&amp;IF(AND(ISNUMBER(M276),N276="Mínima cuantía"),IF(M276&gt;39850000,"Mínima cuantía con valor superior al tope citado en el instructivo 2026 ($39.850.000): verificar modalidad; ",""),"")&amp;IF(AND(ISNUMBER(M276),OR(ISNUMBER(SEARCH("prestación de servicios",D276)),ISNUMBER(SEARCH("prestar servicios",D276)),ISNUMBER(SEARCH("prestar los servicios",D276)))),IF(M276&gt;=500000000,"Prestación de servicios por $500 millones o más: posible error de digitación; ",""),""))=0,"Sin observaciones",IF(OR(NOT(ISNUMBER(B276)),LEN(B276)&lt;&gt;8),"UNSPSC vacío, en texto, con varios códigos o sin 8 dígitos; ","")&amp;IF(AND(ISNUMBER(B276),LEN(B276)=8),IF(MOD(B276,10000)=0,"UNSPSC a nivel de segmento o familia; ",""),"")&amp;IF(NOT(ISNUMBER(E276)),"Duración vacía o en texto; ","")&amp;IF(NOT(ISNUMBER(G276)),"Valor vacío o en texto; ","")&amp;IF(ISNUMBER(M276),IF(M276&lt;1000000,"Valor inferior a $1.000.000: verificar; ",""),"Valor no interpretable; ")&amp;IF(N276="[PENDIENTE DE VERIFICAR]","Modalidad no identificable; ","")&amp;IF(OR(ISERROR(SEARCH("@itc.edu.co",J276)),SUMPRODUCT(--ISNUMBER(SEARCH({"á","é","í","ó","ú","ñ"},J276)))&gt;0),"Correo vacío o no institucional válido; ","")&amp;IF(LEN(TRIM(D276))=0,"Sin objeto contractual; ","")&amp;IF(AND(ISNUMBER(M276),N276="Mínima cuantía"),IF(M276&gt;39850000,"Mínima cuantía con valor superior al tope citado en el instructivo 2026 ($39.850.000): verificar modalidad; ",""),"")&amp;IF(AND(ISNUMBER(M276),OR(ISNUMBER(SEARCH("prestación de servicios",D276)),ISNUMBER(SEARCH("prestar servicios",D276)),ISNUMBER(SEARCH("prestar los servicios",D276)))),IF(M276&gt;=500000000,"Prestación de servicios por $500 millones o más: posible error de digitación; ",""),""))</f>
        <v/>
      </c>
    </row>
    <row r="277" ht="34.2" customHeight="1" s="23">
      <c r="A277" s="114" t="inlineStr">
        <is>
          <t>PN26-273</t>
        </is>
      </c>
      <c r="B277" s="114" t="inlineStr">
        <is>
          <t xml:space="preserve">
27110000</t>
        </is>
      </c>
      <c r="C277" s="114" t="inlineStr">
        <is>
          <t>Talleres y Laboratorios
(Laboratorio de automatización)</t>
        </is>
      </c>
      <c r="D277" s="114" t="inlineStr">
        <is>
          <t>SUMINISTRO DE HERRAMIENTAS MANUALES PARA EL DESARROLLO DE PRÁCTICAS EN EL  LABORATORIO
DE AUTOMATIZACIÓN.</t>
        </is>
      </c>
      <c r="E277" s="114" t="inlineStr">
        <is>
          <t>TRES (03) MESES</t>
        </is>
      </c>
      <c r="F277" s="114" t="inlineStr">
        <is>
          <t xml:space="preserve">MENOR CUANTÍA </t>
        </is>
      </c>
      <c r="G277" s="118" t="inlineStr">
        <is>
          <t>$10.000.000</t>
        </is>
      </c>
      <c r="H277" s="114" t="inlineStr">
        <is>
          <t>Profesional Especializado 2028-15 del Área de talleres y laboratorios</t>
        </is>
      </c>
      <c r="I277" s="114" t="inlineStr">
        <is>
          <t>(57-601) 344 3000 Ext 126</t>
        </is>
      </c>
      <c r="J277" s="114" t="inlineStr">
        <is>
          <t>talleresylaboratorios@itc.edu.co</t>
        </is>
      </c>
      <c r="K277" s="114" t="n"/>
      <c r="L277" s="119" t="inlineStr">
        <is>
          <t>125 · GIT Talleres y Laboratorios</t>
        </is>
      </c>
      <c r="M277" s="120" t="n">
        <v>10000000</v>
      </c>
      <c r="N277" s="119" t="inlineStr">
        <is>
          <t>Selección abreviada de menor cuantía</t>
        </is>
      </c>
      <c r="O277" s="119">
        <f>IF(LEN(IF(OR(NOT(ISNUMBER(B277)),LEN(B277)&lt;&gt;8),"UNSPSC vacío, en texto, con varios códigos o sin 8 dígitos; ","")&amp;IF(AND(ISNUMBER(B277),LEN(B277)=8),IF(MOD(B277,10000)=0,"UNSPSC a nivel de segmento o familia; ",""),"")&amp;IF(NOT(ISNUMBER(E277)),"Duración vacía o en texto; ","")&amp;IF(NOT(ISNUMBER(G277)),"Valor vacío o en texto; ","")&amp;IF(ISNUMBER(M277),IF(M277&lt;1000000,"Valor inferior a $1.000.000: verificar; ",""),"Valor no interpretable; ")&amp;IF(N277="[PENDIENTE DE VERIFICAR]","Modalidad no identificable; ","")&amp;IF(OR(ISERROR(SEARCH("@itc.edu.co",J277)),SUMPRODUCT(--ISNUMBER(SEARCH({"á","é","í","ó","ú","ñ"},J277)))&gt;0),"Correo vacío o no institucional válido; ","")&amp;IF(LEN(TRIM(D277))=0,"Sin objeto contractual; ","")&amp;IF(AND(ISNUMBER(M277),N277="Mínima cuantía"),IF(M277&gt;39850000,"Mínima cuantía con valor superior al tope citado en el instructivo 2026 ($39.850.000): verificar modalidad; ",""),"")&amp;IF(AND(ISNUMBER(M277),OR(ISNUMBER(SEARCH("prestación de servicios",D277)),ISNUMBER(SEARCH("prestar servicios",D277)),ISNUMBER(SEARCH("prestar los servicios",D277)))),IF(M277&gt;=500000000,"Prestación de servicios por $500 millones o más: posible error de digitación; ",""),""))=0,"Sin observaciones",IF(OR(NOT(ISNUMBER(B277)),LEN(B277)&lt;&gt;8),"UNSPSC vacío, en texto, con varios códigos o sin 8 dígitos; ","")&amp;IF(AND(ISNUMBER(B277),LEN(B277)=8),IF(MOD(B277,10000)=0,"UNSPSC a nivel de segmento o familia; ",""),"")&amp;IF(NOT(ISNUMBER(E277)),"Duración vacía o en texto; ","")&amp;IF(NOT(ISNUMBER(G277)),"Valor vacío o en texto; ","")&amp;IF(ISNUMBER(M277),IF(M277&lt;1000000,"Valor inferior a $1.000.000: verificar; ",""),"Valor no interpretable; ")&amp;IF(N277="[PENDIENTE DE VERIFICAR]","Modalidad no identificable; ","")&amp;IF(OR(ISERROR(SEARCH("@itc.edu.co",J277)),SUMPRODUCT(--ISNUMBER(SEARCH({"á","é","í","ó","ú","ñ"},J277)))&gt;0),"Correo vacío o no institucional válido; ","")&amp;IF(LEN(TRIM(D277))=0,"Sin objeto contractual; ","")&amp;IF(AND(ISNUMBER(M277),N277="Mínima cuantía"),IF(M277&gt;39850000,"Mínima cuantía con valor superior al tope citado en el instructivo 2026 ($39.850.000): verificar modalidad; ",""),"")&amp;IF(AND(ISNUMBER(M277),OR(ISNUMBER(SEARCH("prestación de servicios",D277)),ISNUMBER(SEARCH("prestar servicios",D277)),ISNUMBER(SEARCH("prestar los servicios",D277)))),IF(M277&gt;=500000000,"Prestación de servicios por $500 millones o más: posible error de digitación; ",""),""))</f>
        <v/>
      </c>
    </row>
    <row r="278" ht="45.6" customHeight="1" s="23">
      <c r="A278" s="114" t="inlineStr">
        <is>
          <t>PN26-274</t>
        </is>
      </c>
      <c r="B278" s="114" t="n">
        <v>43211503</v>
      </c>
      <c r="C278" s="114" t="inlineStr">
        <is>
          <t>Talleres y Laboratorios
(Laboratorio de automatización)</t>
        </is>
      </c>
      <c r="D278" s="114" t="inlineStr">
        <is>
          <t>COMPRA DE EQUIPOS PORTÁTILES PARA EL DESARROLLO DE PRÁCTICAS EN EL
LABORATORIO DE AUTOMATIZACIÓN.</t>
        </is>
      </c>
      <c r="E278" s="114" t="inlineStr">
        <is>
          <t>TRES (03) MESES</t>
        </is>
      </c>
      <c r="F278" s="114" t="inlineStr">
        <is>
          <t>MINIMA CUANTIA</t>
        </is>
      </c>
      <c r="G278" s="118" t="inlineStr">
        <is>
          <t>$500.000.000</t>
        </is>
      </c>
      <c r="H278" s="114" t="inlineStr">
        <is>
          <t>Profesional Especializado 2028-15 del Área de talleres y laboratorios</t>
        </is>
      </c>
      <c r="I278" s="114" t="inlineStr">
        <is>
          <t>(57-601) 344 3000 Ext 126</t>
        </is>
      </c>
      <c r="J278" s="114" t="inlineStr">
        <is>
          <t>talleresylaboratorios@itc.edu.co</t>
        </is>
      </c>
      <c r="K278" s="114" t="n"/>
      <c r="L278" s="119" t="inlineStr">
        <is>
          <t>125 · GIT Talleres y Laboratorios</t>
        </is>
      </c>
      <c r="M278" s="120" t="n">
        <v>500000000</v>
      </c>
      <c r="N278" s="119" t="inlineStr">
        <is>
          <t>Mínima cuantía</t>
        </is>
      </c>
      <c r="O278" s="119">
        <f>IF(LEN(IF(OR(NOT(ISNUMBER(B278)),LEN(B278)&lt;&gt;8),"UNSPSC vacío, en texto, con varios códigos o sin 8 dígitos; ","")&amp;IF(AND(ISNUMBER(B278),LEN(B278)=8),IF(MOD(B278,10000)=0,"UNSPSC a nivel de segmento o familia; ",""),"")&amp;IF(NOT(ISNUMBER(E278)),"Duración vacía o en texto; ","")&amp;IF(NOT(ISNUMBER(G278)),"Valor vacío o en texto; ","")&amp;IF(ISNUMBER(M278),IF(M278&lt;1000000,"Valor inferior a $1.000.000: verificar; ",""),"Valor no interpretable; ")&amp;IF(N278="[PENDIENTE DE VERIFICAR]","Modalidad no identificable; ","")&amp;IF(OR(ISERROR(SEARCH("@itc.edu.co",J278)),SUMPRODUCT(--ISNUMBER(SEARCH({"á","é","í","ó","ú","ñ"},J278)))&gt;0),"Correo vacío o no institucional válido; ","")&amp;IF(LEN(TRIM(D278))=0,"Sin objeto contractual; ","")&amp;IF(AND(ISNUMBER(M278),N278="Mínima cuantía"),IF(M278&gt;39850000,"Mínima cuantía con valor superior al tope citado en el instructivo 2026 ($39.850.000): verificar modalidad; ",""),"")&amp;IF(AND(ISNUMBER(M278),OR(ISNUMBER(SEARCH("prestación de servicios",D278)),ISNUMBER(SEARCH("prestar servicios",D278)),ISNUMBER(SEARCH("prestar los servicios",D278)))),IF(M278&gt;=500000000,"Prestación de servicios por $500 millones o más: posible error de digitación; ",""),""))=0,"Sin observaciones",IF(OR(NOT(ISNUMBER(B278)),LEN(B278)&lt;&gt;8),"UNSPSC vacío, en texto, con varios códigos o sin 8 dígitos; ","")&amp;IF(AND(ISNUMBER(B278),LEN(B278)=8),IF(MOD(B278,10000)=0,"UNSPSC a nivel de segmento o familia; ",""),"")&amp;IF(NOT(ISNUMBER(E278)),"Duración vacía o en texto; ","")&amp;IF(NOT(ISNUMBER(G278)),"Valor vacío o en texto; ","")&amp;IF(ISNUMBER(M278),IF(M278&lt;1000000,"Valor inferior a $1.000.000: verificar; ",""),"Valor no interpretable; ")&amp;IF(N278="[PENDIENTE DE VERIFICAR]","Modalidad no identificable; ","")&amp;IF(OR(ISERROR(SEARCH("@itc.edu.co",J278)),SUMPRODUCT(--ISNUMBER(SEARCH({"á","é","í","ó","ú","ñ"},J278)))&gt;0),"Correo vacío o no institucional válido; ","")&amp;IF(LEN(TRIM(D278))=0,"Sin objeto contractual; ","")&amp;IF(AND(ISNUMBER(M278),N278="Mínima cuantía"),IF(M278&gt;39850000,"Mínima cuantía con valor superior al tope citado en el instructivo 2026 ($39.850.000): verificar modalidad; ",""),"")&amp;IF(AND(ISNUMBER(M278),OR(ISNUMBER(SEARCH("prestación de servicios",D278)),ISNUMBER(SEARCH("prestar servicios",D278)),ISNUMBER(SEARCH("prestar los servicios",D278)))),IF(M278&gt;=500000000,"Prestación de servicios por $500 millones o más: posible error de digitación; ",""),""))</f>
        <v/>
      </c>
    </row>
    <row r="279" ht="34.2" customHeight="1" s="23">
      <c r="A279" s="114" t="inlineStr">
        <is>
          <t>PN26-275</t>
        </is>
      </c>
      <c r="B279" s="114" t="inlineStr">
        <is>
          <t xml:space="preserve">
43231513</t>
        </is>
      </c>
      <c r="C279" s="114" t="inlineStr">
        <is>
          <t>Talleres y Laboratorios
(Laboratorio de automatización)</t>
        </is>
      </c>
      <c r="D279" s="114" t="inlineStr">
        <is>
          <t>ADQUISICIÓN DE SOFTWARE ESPECIALIZADO PARA PRÁCTICAS DE AUTOMATIZACIÓN INDUSTRIAL</t>
        </is>
      </c>
      <c r="E279" s="114" t="inlineStr">
        <is>
          <t>DOS (02) MESES</t>
        </is>
      </c>
      <c r="F279" s="114" t="inlineStr">
        <is>
          <t xml:space="preserve">DIRECTA </t>
        </is>
      </c>
      <c r="G279" s="118" t="inlineStr">
        <is>
          <t>$100.000.000</t>
        </is>
      </c>
      <c r="H279" s="114" t="inlineStr">
        <is>
          <t>Profesional Especializado 2028-15 del Área de talleres y laboratorios</t>
        </is>
      </c>
      <c r="I279" s="114" t="inlineStr">
        <is>
          <t>(57-601) 344 3000 Ext 126</t>
        </is>
      </c>
      <c r="J279" s="114" t="inlineStr">
        <is>
          <t>talleresylaboratorios@itc.edu.co</t>
        </is>
      </c>
      <c r="K279" s="114" t="n"/>
      <c r="L279" s="119" t="inlineStr">
        <is>
          <t>125 · GIT Talleres y Laboratorios</t>
        </is>
      </c>
      <c r="M279" s="120" t="n">
        <v>100000000</v>
      </c>
      <c r="N279" s="119" t="inlineStr">
        <is>
          <t>Contratación directa</t>
        </is>
      </c>
      <c r="O279" s="119">
        <f>IF(LEN(IF(OR(NOT(ISNUMBER(B279)),LEN(B279)&lt;&gt;8),"UNSPSC vacío, en texto, con varios códigos o sin 8 dígitos; ","")&amp;IF(AND(ISNUMBER(B279),LEN(B279)=8),IF(MOD(B279,10000)=0,"UNSPSC a nivel de segmento o familia; ",""),"")&amp;IF(NOT(ISNUMBER(E279)),"Duración vacía o en texto; ","")&amp;IF(NOT(ISNUMBER(G279)),"Valor vacío o en texto; ","")&amp;IF(ISNUMBER(M279),IF(M279&lt;1000000,"Valor inferior a $1.000.000: verificar; ",""),"Valor no interpretable; ")&amp;IF(N279="[PENDIENTE DE VERIFICAR]","Modalidad no identificable; ","")&amp;IF(OR(ISERROR(SEARCH("@itc.edu.co",J279)),SUMPRODUCT(--ISNUMBER(SEARCH({"á","é","í","ó","ú","ñ"},J279)))&gt;0),"Correo vacío o no institucional válido; ","")&amp;IF(LEN(TRIM(D279))=0,"Sin objeto contractual; ","")&amp;IF(AND(ISNUMBER(M279),N279="Mínima cuantía"),IF(M279&gt;39850000,"Mínima cuantía con valor superior al tope citado en el instructivo 2026 ($39.850.000): verificar modalidad; ",""),"")&amp;IF(AND(ISNUMBER(M279),OR(ISNUMBER(SEARCH("prestación de servicios",D279)),ISNUMBER(SEARCH("prestar servicios",D279)),ISNUMBER(SEARCH("prestar los servicios",D279)))),IF(M279&gt;=500000000,"Prestación de servicios por $500 millones o más: posible error de digitación; ",""),""))=0,"Sin observaciones",IF(OR(NOT(ISNUMBER(B279)),LEN(B279)&lt;&gt;8),"UNSPSC vacío, en texto, con varios códigos o sin 8 dígitos; ","")&amp;IF(AND(ISNUMBER(B279),LEN(B279)=8),IF(MOD(B279,10000)=0,"UNSPSC a nivel de segmento o familia; ",""),"")&amp;IF(NOT(ISNUMBER(E279)),"Duración vacía o en texto; ","")&amp;IF(NOT(ISNUMBER(G279)),"Valor vacío o en texto; ","")&amp;IF(ISNUMBER(M279),IF(M279&lt;1000000,"Valor inferior a $1.000.000: verificar; ",""),"Valor no interpretable; ")&amp;IF(N279="[PENDIENTE DE VERIFICAR]","Modalidad no identificable; ","")&amp;IF(OR(ISERROR(SEARCH("@itc.edu.co",J279)),SUMPRODUCT(--ISNUMBER(SEARCH({"á","é","í","ó","ú","ñ"},J279)))&gt;0),"Correo vacío o no institucional válido; ","")&amp;IF(LEN(TRIM(D279))=0,"Sin objeto contractual; ","")&amp;IF(AND(ISNUMBER(M279),N279="Mínima cuantía"),IF(M279&gt;39850000,"Mínima cuantía con valor superior al tope citado en el instructivo 2026 ($39.850.000): verificar modalidad; ",""),"")&amp;IF(AND(ISNUMBER(M279),OR(ISNUMBER(SEARCH("prestación de servicios",D279)),ISNUMBER(SEARCH("prestar servicios",D279)),ISNUMBER(SEARCH("prestar los servicios",D279)))),IF(M279&gt;=500000000,"Prestación de servicios por $500 millones o más: posible error de digitación; ",""),""))</f>
        <v/>
      </c>
    </row>
    <row r="280" ht="45.6" customHeight="1" s="23">
      <c r="A280" s="114" t="inlineStr">
        <is>
          <t>PN26-276</t>
        </is>
      </c>
      <c r="B280" s="114" t="inlineStr">
        <is>
          <t xml:space="preserve">
60101700</t>
        </is>
      </c>
      <c r="C280" s="114" t="inlineStr">
        <is>
          <t>Talleres y Laboratorios
(Laboratorio de automatización)</t>
        </is>
      </c>
      <c r="D280" s="114" t="inlineStr">
        <is>
          <t>COMPRA DE ECOSISTEMA HÍBRIDO DE COMPONENTES DIGITALES (ROBÓTICA, APPS Y SENSORES) PARACREAR EXPERIENCIAS DE JUEGO INTERACTIVAS, INMERSIVAS Y
EDUCATIVAS (STEAM).</t>
        </is>
      </c>
      <c r="E280" s="114" t="inlineStr">
        <is>
          <t>TRES (03) MESES</t>
        </is>
      </c>
      <c r="F280" s="114" t="inlineStr">
        <is>
          <t xml:space="preserve">DIRECTA </t>
        </is>
      </c>
      <c r="G280" s="118" t="inlineStr">
        <is>
          <t>$300.000.000</t>
        </is>
      </c>
      <c r="H280" s="114" t="inlineStr">
        <is>
          <t>Profesional Especializado 2028-15 del Área de talleres y laboratorios</t>
        </is>
      </c>
      <c r="I280" s="114" t="inlineStr">
        <is>
          <t>(57-601) 344 3000 Ext 126</t>
        </is>
      </c>
      <c r="J280" s="114" t="inlineStr">
        <is>
          <t>talleresylaboratorios@itc.edu.co</t>
        </is>
      </c>
      <c r="K280" s="114" t="n"/>
      <c r="L280" s="119" t="inlineStr">
        <is>
          <t>125 · GIT Talleres y Laboratorios</t>
        </is>
      </c>
      <c r="M280" s="120" t="n">
        <v>300000000</v>
      </c>
      <c r="N280" s="119" t="inlineStr">
        <is>
          <t>Contratación directa</t>
        </is>
      </c>
      <c r="O280" s="119">
        <f>IF(LEN(IF(OR(NOT(ISNUMBER(B280)),LEN(B280)&lt;&gt;8),"UNSPSC vacío, en texto, con varios códigos o sin 8 dígitos; ","")&amp;IF(AND(ISNUMBER(B280),LEN(B280)=8),IF(MOD(B280,10000)=0,"UNSPSC a nivel de segmento o familia; ",""),"")&amp;IF(NOT(ISNUMBER(E280)),"Duración vacía o en texto; ","")&amp;IF(NOT(ISNUMBER(G280)),"Valor vacío o en texto; ","")&amp;IF(ISNUMBER(M280),IF(M280&lt;1000000,"Valor inferior a $1.000.000: verificar; ",""),"Valor no interpretable; ")&amp;IF(N280="[PENDIENTE DE VERIFICAR]","Modalidad no identificable; ","")&amp;IF(OR(ISERROR(SEARCH("@itc.edu.co",J280)),SUMPRODUCT(--ISNUMBER(SEARCH({"á","é","í","ó","ú","ñ"},J280)))&gt;0),"Correo vacío o no institucional válido; ","")&amp;IF(LEN(TRIM(D280))=0,"Sin objeto contractual; ","")&amp;IF(AND(ISNUMBER(M280),N280="Mínima cuantía"),IF(M280&gt;39850000,"Mínima cuantía con valor superior al tope citado en el instructivo 2026 ($39.850.000): verificar modalidad; ",""),"")&amp;IF(AND(ISNUMBER(M280),OR(ISNUMBER(SEARCH("prestación de servicios",D280)),ISNUMBER(SEARCH("prestar servicios",D280)),ISNUMBER(SEARCH("prestar los servicios",D280)))),IF(M280&gt;=500000000,"Prestación de servicios por $500 millones o más: posible error de digitación; ",""),""))=0,"Sin observaciones",IF(OR(NOT(ISNUMBER(B280)),LEN(B280)&lt;&gt;8),"UNSPSC vacío, en texto, con varios códigos o sin 8 dígitos; ","")&amp;IF(AND(ISNUMBER(B280),LEN(B280)=8),IF(MOD(B280,10000)=0,"UNSPSC a nivel de segmento o familia; ",""),"")&amp;IF(NOT(ISNUMBER(E280)),"Duración vacía o en texto; ","")&amp;IF(NOT(ISNUMBER(G280)),"Valor vacío o en texto; ","")&amp;IF(ISNUMBER(M280),IF(M280&lt;1000000,"Valor inferior a $1.000.000: verificar; ",""),"Valor no interpretable; ")&amp;IF(N280="[PENDIENTE DE VERIFICAR]","Modalidad no identificable; ","")&amp;IF(OR(ISERROR(SEARCH("@itc.edu.co",J280)),SUMPRODUCT(--ISNUMBER(SEARCH({"á","é","í","ó","ú","ñ"},J280)))&gt;0),"Correo vacío o no institucional válido; ","")&amp;IF(LEN(TRIM(D280))=0,"Sin objeto contractual; ","")&amp;IF(AND(ISNUMBER(M280),N280="Mínima cuantía"),IF(M280&gt;39850000,"Mínima cuantía con valor superior al tope citado en el instructivo 2026 ($39.850.000): verificar modalidad; ",""),"")&amp;IF(AND(ISNUMBER(M280),OR(ISNUMBER(SEARCH("prestación de servicios",D280)),ISNUMBER(SEARCH("prestar servicios",D280)),ISNUMBER(SEARCH("prestar los servicios",D280)))),IF(M280&gt;=500000000,"Prestación de servicios por $500 millones o más: posible error de digitación; ",""),""))</f>
        <v/>
      </c>
    </row>
    <row r="281" ht="79.8" customHeight="1" s="23">
      <c r="A281" s="114" t="inlineStr">
        <is>
          <t>PN26-277</t>
        </is>
      </c>
      <c r="B281" s="114" t="inlineStr">
        <is>
          <t xml:space="preserve">
41121800</t>
        </is>
      </c>
      <c r="C281" s="114" t="inlineStr">
        <is>
          <t>Talleres y Laboratorios
(Laboratorio física, química
 y biología)</t>
        </is>
      </c>
      <c r="D281" s="114" t="inlineStr">
        <is>
          <t>ADQUISICIÓN DE UN LOTE DE 350 PIEZAS DE MATERIAL DE VIDRIERÍA DE LABORATORIO EN BOROSILICATO Y VOLUMETRÍA CLASE A, QUE INCLUYA ELEMENTOS GENERALES Y KITS ESPECÍFICOS PARA PROCESOS DE DESTILACIÓN, EXTRACCIÓN, TITULACIÓN Y ELECTRÓLISIS (QUÍMICA), ASÍ COMO COMPONENTES PARA PRÁCTICAS DE TERMODINÁMICA Y MECÁNICA DE FLUIDOS ; DESTINADOS A LAS PRÁCTICAS ACADÉMICAS Y PROYECTOS DE INVESTIGACIÓN DE LA ETITC.</t>
        </is>
      </c>
      <c r="E281" s="114" t="inlineStr">
        <is>
          <t>DOS (02) MESES</t>
        </is>
      </c>
      <c r="F281" s="114" t="inlineStr">
        <is>
          <t>MINIMA CUANTIA</t>
        </is>
      </c>
      <c r="G281" s="118" t="inlineStr">
        <is>
          <t>$30.000.000</t>
        </is>
      </c>
      <c r="H281" s="114" t="inlineStr">
        <is>
          <t>Profesional Especializado 2028-15 del Área de talleres y laboratorios</t>
        </is>
      </c>
      <c r="I281" s="114" t="inlineStr">
        <is>
          <t>(57-601) 344 3000 Ext 126</t>
        </is>
      </c>
      <c r="J281" s="114" t="inlineStr">
        <is>
          <t>talleresylaboratorios@itc.edu.co</t>
        </is>
      </c>
      <c r="K281" s="114" t="n"/>
      <c r="L281" s="119" t="inlineStr">
        <is>
          <t>125 · GIT Talleres y Laboratorios</t>
        </is>
      </c>
      <c r="M281" s="120" t="n">
        <v>30000000</v>
      </c>
      <c r="N281" s="119" t="inlineStr">
        <is>
          <t>Mínima cuantía</t>
        </is>
      </c>
      <c r="O281" s="119">
        <f>IF(LEN(IF(OR(NOT(ISNUMBER(B281)),LEN(B281)&lt;&gt;8),"UNSPSC vacío, en texto, con varios códigos o sin 8 dígitos; ","")&amp;IF(AND(ISNUMBER(B281),LEN(B281)=8),IF(MOD(B281,10000)=0,"UNSPSC a nivel de segmento o familia; ",""),"")&amp;IF(NOT(ISNUMBER(E281)),"Duración vacía o en texto; ","")&amp;IF(NOT(ISNUMBER(G281)),"Valor vacío o en texto; ","")&amp;IF(ISNUMBER(M281),IF(M281&lt;1000000,"Valor inferior a $1.000.000: verificar; ",""),"Valor no interpretable; ")&amp;IF(N281="[PENDIENTE DE VERIFICAR]","Modalidad no identificable; ","")&amp;IF(OR(ISERROR(SEARCH("@itc.edu.co",J281)),SUMPRODUCT(--ISNUMBER(SEARCH({"á","é","í","ó","ú","ñ"},J281)))&gt;0),"Correo vacío o no institucional válido; ","")&amp;IF(LEN(TRIM(D281))=0,"Sin objeto contractual; ","")&amp;IF(AND(ISNUMBER(M281),N281="Mínima cuantía"),IF(M281&gt;39850000,"Mínima cuantía con valor superior al tope citado en el instructivo 2026 ($39.850.000): verificar modalidad; ",""),"")&amp;IF(AND(ISNUMBER(M281),OR(ISNUMBER(SEARCH("prestación de servicios",D281)),ISNUMBER(SEARCH("prestar servicios",D281)),ISNUMBER(SEARCH("prestar los servicios",D281)))),IF(M281&gt;=500000000,"Prestación de servicios por $500 millones o más: posible error de digitación; ",""),""))=0,"Sin observaciones",IF(OR(NOT(ISNUMBER(B281)),LEN(B281)&lt;&gt;8),"UNSPSC vacío, en texto, con varios códigos o sin 8 dígitos; ","")&amp;IF(AND(ISNUMBER(B281),LEN(B281)=8),IF(MOD(B281,10000)=0,"UNSPSC a nivel de segmento o familia; ",""),"")&amp;IF(NOT(ISNUMBER(E281)),"Duración vacía o en texto; ","")&amp;IF(NOT(ISNUMBER(G281)),"Valor vacío o en texto; ","")&amp;IF(ISNUMBER(M281),IF(M281&lt;1000000,"Valor inferior a $1.000.000: verificar; ",""),"Valor no interpretable; ")&amp;IF(N281="[PENDIENTE DE VERIFICAR]","Modalidad no identificable; ","")&amp;IF(OR(ISERROR(SEARCH("@itc.edu.co",J281)),SUMPRODUCT(--ISNUMBER(SEARCH({"á","é","í","ó","ú","ñ"},J281)))&gt;0),"Correo vacío o no institucional válido; ","")&amp;IF(LEN(TRIM(D281))=0,"Sin objeto contractual; ","")&amp;IF(AND(ISNUMBER(M281),N281="Mínima cuantía"),IF(M281&gt;39850000,"Mínima cuantía con valor superior al tope citado en el instructivo 2026 ($39.850.000): verificar modalidad; ",""),"")&amp;IF(AND(ISNUMBER(M281),OR(ISNUMBER(SEARCH("prestación de servicios",D281)),ISNUMBER(SEARCH("prestar servicios",D281)),ISNUMBER(SEARCH("prestar los servicios",D281)))),IF(M281&gt;=500000000,"Prestación de servicios por $500 millones o más: posible error de digitación; ",""),""))</f>
        <v/>
      </c>
    </row>
    <row r="282" ht="79.8" customHeight="1" s="23">
      <c r="A282" s="114" t="inlineStr">
        <is>
          <t>PN26-278</t>
        </is>
      </c>
      <c r="B282" s="114" t="n">
        <v>12161500</v>
      </c>
      <c r="C282" s="114" t="inlineStr">
        <is>
          <t>Talleres y Laboratorios
(Laboratorio física, química
 y biología)</t>
        </is>
      </c>
      <c r="D282" s="114" t="inlineStr">
        <is>
          <t>ADQUISICIÓN DE UN LOTE DE 150 UNIDADES (ENTRE FRASCOS Y ENVASES) DE REACTIVOS QUÍMICOS DE GRADO ANALÍTICO, SOLVENTES Y FLUIDOS. EL LOTE CONTEMPLA LAS FAMILIAS DE ÁCIDOS, BASES, SALES, METALES E INDICADORES, NECESARIOS PARA LA PREPARACIÓN DE SOLUCIONES, PROCESOS DE SÍNTESIS, TITULACIÓN, ELECTRÓLISIS Y PRÁCTICAS DE TERMODINÁMICA Y MECÁNICA DE FLUIDOS EN LOS LABORATORIOS DE QUÍMICA Y FÍSICA DE LA ETITC.</t>
        </is>
      </c>
      <c r="E282" s="114" t="inlineStr">
        <is>
          <t>UN (1) MES</t>
        </is>
      </c>
      <c r="F282" s="114" t="inlineStr">
        <is>
          <t>MINIMA CUANTIA</t>
        </is>
      </c>
      <c r="G282" s="118" t="inlineStr">
        <is>
          <t>$20.000.000</t>
        </is>
      </c>
      <c r="H282" s="114" t="inlineStr">
        <is>
          <t>Profesional Especializado 2028-15 del Área de talleres y laboratorios</t>
        </is>
      </c>
      <c r="I282" s="114" t="inlineStr">
        <is>
          <t>(57-601) 344 3000 Ext 126</t>
        </is>
      </c>
      <c r="J282" s="114" t="inlineStr">
        <is>
          <t>talleresylaboratorios@itc.edu.co</t>
        </is>
      </c>
      <c r="K282" s="114" t="n"/>
      <c r="L282" s="119" t="inlineStr">
        <is>
          <t>125 · GIT Talleres y Laboratorios</t>
        </is>
      </c>
      <c r="M282" s="120" t="n">
        <v>20000000</v>
      </c>
      <c r="N282" s="119" t="inlineStr">
        <is>
          <t>Mínima cuantía</t>
        </is>
      </c>
      <c r="O282" s="119">
        <f>IF(LEN(IF(OR(NOT(ISNUMBER(B282)),LEN(B282)&lt;&gt;8),"UNSPSC vacío, en texto, con varios códigos o sin 8 dígitos; ","")&amp;IF(AND(ISNUMBER(B282),LEN(B282)=8),IF(MOD(B282,10000)=0,"UNSPSC a nivel de segmento o familia; ",""),"")&amp;IF(NOT(ISNUMBER(E282)),"Duración vacía o en texto; ","")&amp;IF(NOT(ISNUMBER(G282)),"Valor vacío o en texto; ","")&amp;IF(ISNUMBER(M282),IF(M282&lt;1000000,"Valor inferior a $1.000.000: verificar; ",""),"Valor no interpretable; ")&amp;IF(N282="[PENDIENTE DE VERIFICAR]","Modalidad no identificable; ","")&amp;IF(OR(ISERROR(SEARCH("@itc.edu.co",J282)),SUMPRODUCT(--ISNUMBER(SEARCH({"á","é","í","ó","ú","ñ"},J282)))&gt;0),"Correo vacío o no institucional válido; ","")&amp;IF(LEN(TRIM(D282))=0,"Sin objeto contractual; ","")&amp;IF(AND(ISNUMBER(M282),N282="Mínima cuantía"),IF(M282&gt;39850000,"Mínima cuantía con valor superior al tope citado en el instructivo 2026 ($39.850.000): verificar modalidad; ",""),"")&amp;IF(AND(ISNUMBER(M282),OR(ISNUMBER(SEARCH("prestación de servicios",D282)),ISNUMBER(SEARCH("prestar servicios",D282)),ISNUMBER(SEARCH("prestar los servicios",D282)))),IF(M282&gt;=500000000,"Prestación de servicios por $500 millones o más: posible error de digitación; ",""),""))=0,"Sin observaciones",IF(OR(NOT(ISNUMBER(B282)),LEN(B282)&lt;&gt;8),"UNSPSC vacío, en texto, con varios códigos o sin 8 dígitos; ","")&amp;IF(AND(ISNUMBER(B282),LEN(B282)=8),IF(MOD(B282,10000)=0,"UNSPSC a nivel de segmento o familia; ",""),"")&amp;IF(NOT(ISNUMBER(E282)),"Duración vacía o en texto; ","")&amp;IF(NOT(ISNUMBER(G282)),"Valor vacío o en texto; ","")&amp;IF(ISNUMBER(M282),IF(M282&lt;1000000,"Valor inferior a $1.000.000: verificar; ",""),"Valor no interpretable; ")&amp;IF(N282="[PENDIENTE DE VERIFICAR]","Modalidad no identificable; ","")&amp;IF(OR(ISERROR(SEARCH("@itc.edu.co",J282)),SUMPRODUCT(--ISNUMBER(SEARCH({"á","é","í","ó","ú","ñ"},J282)))&gt;0),"Correo vacío o no institucional válido; ","")&amp;IF(LEN(TRIM(D282))=0,"Sin objeto contractual; ","")&amp;IF(AND(ISNUMBER(M282),N282="Mínima cuantía"),IF(M282&gt;39850000,"Mínima cuantía con valor superior al tope citado en el instructivo 2026 ($39.850.000): verificar modalidad; ",""),"")&amp;IF(AND(ISNUMBER(M282),OR(ISNUMBER(SEARCH("prestación de servicios",D282)),ISNUMBER(SEARCH("prestar servicios",D282)),ISNUMBER(SEARCH("prestar los servicios",D282)))),IF(M282&gt;=500000000,"Prestación de servicios por $500 millones o más: posible error de digitación; ",""),""))</f>
        <v/>
      </c>
    </row>
    <row r="283" ht="79.8" customHeight="1" s="23">
      <c r="A283" s="114" t="inlineStr">
        <is>
          <t>PN26-279</t>
        </is>
      </c>
      <c r="B283" s="114" t="n">
        <v>41000000</v>
      </c>
      <c r="C283" s="114" t="inlineStr">
        <is>
          <t>Talleres y Laboratorios
(Laboratorio física, química
 y biología)</t>
        </is>
      </c>
      <c r="D283" s="114" t="inlineStr">
        <is>
          <t>ADQUISICIÓN DE UN LOTE DE 15 KITS MULTIPARAMÉTRICOS Y DE REACCIÓN RÁPIDA PARA ANÁLISIS FISICOQUÍMICO Y AMBIENTAL, QUE INCLUYE KITS PARA ANÁLISIS DE CALIDAD DE AGUAS (DUREZA, CLORO, ALCALINIDAD, OXÍGENO DISUELTO), KITS DE EVALUACIÓN DE SUELOS Y MEDIDORES PORTÁTILES DE PH Y CONDUCTIVIDAD, DESTINADOS A LAS PRÁCTICAS ACADÉMICAS Y PROYECTOS DE INVESTIGACIÓN DE LA ETITC.</t>
        </is>
      </c>
      <c r="E283" s="114" t="inlineStr">
        <is>
          <t>UN (1) MES</t>
        </is>
      </c>
      <c r="F283" s="114" t="inlineStr">
        <is>
          <t>MINIMA CUANTIA</t>
        </is>
      </c>
      <c r="G283" s="118" t="inlineStr">
        <is>
          <t>$15.000.000</t>
        </is>
      </c>
      <c r="H283" s="114" t="inlineStr">
        <is>
          <t>Profesional Especializado 2028-15 del Área de talleres y laboratorios</t>
        </is>
      </c>
      <c r="I283" s="114" t="inlineStr">
        <is>
          <t>(57-601) 344 3000 Ext 126</t>
        </is>
      </c>
      <c r="J283" s="114" t="inlineStr">
        <is>
          <t>talleresylaboratorios@itc.edu.co</t>
        </is>
      </c>
      <c r="K283" s="114" t="n"/>
      <c r="L283" s="119" t="inlineStr">
        <is>
          <t>125 · GIT Talleres y Laboratorios</t>
        </is>
      </c>
      <c r="M283" s="120" t="n">
        <v>15000000</v>
      </c>
      <c r="N283" s="119" t="inlineStr">
        <is>
          <t>Mínima cuantía</t>
        </is>
      </c>
      <c r="O283" s="119">
        <f>IF(LEN(IF(OR(NOT(ISNUMBER(B283)),LEN(B283)&lt;&gt;8),"UNSPSC vacío, en texto, con varios códigos o sin 8 dígitos; ","")&amp;IF(AND(ISNUMBER(B283),LEN(B283)=8),IF(MOD(B283,10000)=0,"UNSPSC a nivel de segmento o familia; ",""),"")&amp;IF(NOT(ISNUMBER(E283)),"Duración vacía o en texto; ","")&amp;IF(NOT(ISNUMBER(G283)),"Valor vacío o en texto; ","")&amp;IF(ISNUMBER(M283),IF(M283&lt;1000000,"Valor inferior a $1.000.000: verificar; ",""),"Valor no interpretable; ")&amp;IF(N283="[PENDIENTE DE VERIFICAR]","Modalidad no identificable; ","")&amp;IF(OR(ISERROR(SEARCH("@itc.edu.co",J283)),SUMPRODUCT(--ISNUMBER(SEARCH({"á","é","í","ó","ú","ñ"},J283)))&gt;0),"Correo vacío o no institucional válido; ","")&amp;IF(LEN(TRIM(D283))=0,"Sin objeto contractual; ","")&amp;IF(AND(ISNUMBER(M283),N283="Mínima cuantía"),IF(M283&gt;39850000,"Mínima cuantía con valor superior al tope citado en el instructivo 2026 ($39.850.000): verificar modalidad; ",""),"")&amp;IF(AND(ISNUMBER(M283),OR(ISNUMBER(SEARCH("prestación de servicios",D283)),ISNUMBER(SEARCH("prestar servicios",D283)),ISNUMBER(SEARCH("prestar los servicios",D283)))),IF(M283&gt;=500000000,"Prestación de servicios por $500 millones o más: posible error de digitación; ",""),""))=0,"Sin observaciones",IF(OR(NOT(ISNUMBER(B283)),LEN(B283)&lt;&gt;8),"UNSPSC vacío, en texto, con varios códigos o sin 8 dígitos; ","")&amp;IF(AND(ISNUMBER(B283),LEN(B283)=8),IF(MOD(B283,10000)=0,"UNSPSC a nivel de segmento o familia; ",""),"")&amp;IF(NOT(ISNUMBER(E283)),"Duración vacía o en texto; ","")&amp;IF(NOT(ISNUMBER(G283)),"Valor vacío o en texto; ","")&amp;IF(ISNUMBER(M283),IF(M283&lt;1000000,"Valor inferior a $1.000.000: verificar; ",""),"Valor no interpretable; ")&amp;IF(N283="[PENDIENTE DE VERIFICAR]","Modalidad no identificable; ","")&amp;IF(OR(ISERROR(SEARCH("@itc.edu.co",J283)),SUMPRODUCT(--ISNUMBER(SEARCH({"á","é","í","ó","ú","ñ"},J283)))&gt;0),"Correo vacío o no institucional válido; ","")&amp;IF(LEN(TRIM(D283))=0,"Sin objeto contractual; ","")&amp;IF(AND(ISNUMBER(M283),N283="Mínima cuantía"),IF(M283&gt;39850000,"Mínima cuantía con valor superior al tope citado en el instructivo 2026 ($39.850.000): verificar modalidad; ",""),"")&amp;IF(AND(ISNUMBER(M283),OR(ISNUMBER(SEARCH("prestación de servicios",D283)),ISNUMBER(SEARCH("prestar servicios",D283)),ISNUMBER(SEARCH("prestar los servicios",D283)))),IF(M283&gt;=500000000,"Prestación de servicios por $500 millones o más: posible error de digitación; ",""),""))</f>
        <v/>
      </c>
    </row>
    <row r="284" ht="91.2" customHeight="1" s="23">
      <c r="A284" s="114" t="inlineStr">
        <is>
          <t>PN26-280</t>
        </is>
      </c>
      <c r="B284" s="114" t="n">
        <v>41000000</v>
      </c>
      <c r="C284" s="114" t="inlineStr">
        <is>
          <t>Talleres y Laboratorios
(Laboratorio física, química
 y biología)</t>
        </is>
      </c>
      <c r="D284" s="114" t="inlineStr">
        <is>
          <t>ADQUISICIÓN DE UN LOTE DE 40 EQUIPOS DE MEDICIÓN, GENERACIÓN ELECTRÓNICA Y METROLOGÍA PARA EL LABORATORIO DE FÍSICA, QUE INCLUYE: 10 OSCILOSCOPIOS DIGITALES DE MÍNIMO 50 MHZ Y 2 CANALES, 10 GENERADORES DE SEÑALES DE FUNCIÓN DE MÍNIMO 20 MHZ, 10 MICRÓMETROS DIGITALES TIPO TORNILLO MICROMÉTRICO Y 10 CALIBRADORES PIE DE REY DIGITALES. DESTINADOS AL DESARROLLO DE PRÁCTICAS ACADÉMICAS DE MECÁNICA, METROLOGÍA DIMENSIONAL Y ANÁLISIS DE CIRCUITOS EN LA ETITC.</t>
        </is>
      </c>
      <c r="E284" s="114" t="inlineStr">
        <is>
          <t>UN (1) MES</t>
        </is>
      </c>
      <c r="F284" s="114" t="inlineStr">
        <is>
          <t>MINIMA CUANTIA</t>
        </is>
      </c>
      <c r="G284" s="118" t="inlineStr">
        <is>
          <t>$35.000.000</t>
        </is>
      </c>
      <c r="H284" s="114" t="inlineStr">
        <is>
          <t>Profesional Especializado 2028-15 del Área de talleres y laboratorios</t>
        </is>
      </c>
      <c r="I284" s="114" t="inlineStr">
        <is>
          <t>(57-601) 344 3000 Ext 126</t>
        </is>
      </c>
      <c r="J284" s="114" t="inlineStr">
        <is>
          <t>talleresylaboratorios@itc.edu.co</t>
        </is>
      </c>
      <c r="K284" s="114" t="n"/>
      <c r="L284" s="119" t="inlineStr">
        <is>
          <t>125 · GIT Talleres y Laboratorios</t>
        </is>
      </c>
      <c r="M284" s="120" t="n">
        <v>35000000</v>
      </c>
      <c r="N284" s="119" t="inlineStr">
        <is>
          <t>Mínima cuantía</t>
        </is>
      </c>
      <c r="O284" s="119">
        <f>IF(LEN(IF(OR(NOT(ISNUMBER(B284)),LEN(B284)&lt;&gt;8),"UNSPSC vacío, en texto, con varios códigos o sin 8 dígitos; ","")&amp;IF(AND(ISNUMBER(B284),LEN(B284)=8),IF(MOD(B284,10000)=0,"UNSPSC a nivel de segmento o familia; ",""),"")&amp;IF(NOT(ISNUMBER(E284)),"Duración vacía o en texto; ","")&amp;IF(NOT(ISNUMBER(G284)),"Valor vacío o en texto; ","")&amp;IF(ISNUMBER(M284),IF(M284&lt;1000000,"Valor inferior a $1.000.000: verificar; ",""),"Valor no interpretable; ")&amp;IF(N284="[PENDIENTE DE VERIFICAR]","Modalidad no identificable; ","")&amp;IF(OR(ISERROR(SEARCH("@itc.edu.co",J284)),SUMPRODUCT(--ISNUMBER(SEARCH({"á","é","í","ó","ú","ñ"},J284)))&gt;0),"Correo vacío o no institucional válido; ","")&amp;IF(LEN(TRIM(D284))=0,"Sin objeto contractual; ","")&amp;IF(AND(ISNUMBER(M284),N284="Mínima cuantía"),IF(M284&gt;39850000,"Mínima cuantía con valor superior al tope citado en el instructivo 2026 ($39.850.000): verificar modalidad; ",""),"")&amp;IF(AND(ISNUMBER(M284),OR(ISNUMBER(SEARCH("prestación de servicios",D284)),ISNUMBER(SEARCH("prestar servicios",D284)),ISNUMBER(SEARCH("prestar los servicios",D284)))),IF(M284&gt;=500000000,"Prestación de servicios por $500 millones o más: posible error de digitación; ",""),""))=0,"Sin observaciones",IF(OR(NOT(ISNUMBER(B284)),LEN(B284)&lt;&gt;8),"UNSPSC vacío, en texto, con varios códigos o sin 8 dígitos; ","")&amp;IF(AND(ISNUMBER(B284),LEN(B284)=8),IF(MOD(B284,10000)=0,"UNSPSC a nivel de segmento o familia; ",""),"")&amp;IF(NOT(ISNUMBER(E284)),"Duración vacía o en texto; ","")&amp;IF(NOT(ISNUMBER(G284)),"Valor vacío o en texto; ","")&amp;IF(ISNUMBER(M284),IF(M284&lt;1000000,"Valor inferior a $1.000.000: verificar; ",""),"Valor no interpretable; ")&amp;IF(N284="[PENDIENTE DE VERIFICAR]","Modalidad no identificable; ","")&amp;IF(OR(ISERROR(SEARCH("@itc.edu.co",J284)),SUMPRODUCT(--ISNUMBER(SEARCH({"á","é","í","ó","ú","ñ"},J284)))&gt;0),"Correo vacío o no institucional válido; ","")&amp;IF(LEN(TRIM(D284))=0,"Sin objeto contractual; ","")&amp;IF(AND(ISNUMBER(M284),N284="Mínima cuantía"),IF(M284&gt;39850000,"Mínima cuantía con valor superior al tope citado en el instructivo 2026 ($39.850.000): verificar modalidad; ",""),"")&amp;IF(AND(ISNUMBER(M284),OR(ISNUMBER(SEARCH("prestación de servicios",D284)),ISNUMBER(SEARCH("prestar servicios",D284)),ISNUMBER(SEARCH("prestar los servicios",D284)))),IF(M284&gt;=500000000,"Prestación de servicios por $500 millones o más: posible error de digitación; ",""),""))</f>
        <v/>
      </c>
    </row>
    <row r="285" ht="79.8" customHeight="1" s="23">
      <c r="A285" s="114" t="inlineStr">
        <is>
          <t>PN26-281</t>
        </is>
      </c>
      <c r="B285" s="114" t="n">
        <v>60100000</v>
      </c>
      <c r="C285" s="114" t="inlineStr">
        <is>
          <t>Talleres y Laboratorios
(Laboratorio física, química
 y biología)</t>
        </is>
      </c>
      <c r="D285" s="114" t="inlineStr">
        <is>
          <t>ADQUISICIÓN DE UN LOTE DE 16 KITS DIDÁCTICOS PARA EL LABORATORIO DE FÍSICA, QUE INCLUYE 4 KITS DE ENTRENAMIENTO EN ELECTRÓNICA BÁSICA, 4 KITS DE ÓPTICA GEOMÉTRICA CON LÁSERES Y LENTES, 4 KITS DE ELECTROMAGNETISMO CON BOBINAS E IMANES Y 4 KITS DE ACÚSTICA Y ONDAS CON DIAPASONES Y CUBAS DE ONDAS. DESTINADOS AL DESARROLLO DE PRÁCTICAS ACADÉMICAS EN LA ETITC.</t>
        </is>
      </c>
      <c r="E285" s="114" t="inlineStr">
        <is>
          <t>UN (1) MES</t>
        </is>
      </c>
      <c r="F285" s="114" t="inlineStr">
        <is>
          <t>MINIMA CUANTIA</t>
        </is>
      </c>
      <c r="G285" s="118" t="inlineStr">
        <is>
          <t>$20.000.000</t>
        </is>
      </c>
      <c r="H285" s="114" t="inlineStr">
        <is>
          <t>Profesional Especializado 2028-15 del Área de talleres y laboratorios</t>
        </is>
      </c>
      <c r="I285" s="114" t="inlineStr">
        <is>
          <t>(57-601) 344 3000 Ext 126</t>
        </is>
      </c>
      <c r="J285" s="114" t="inlineStr">
        <is>
          <t>talleresylaboratorios@itc.edu.co</t>
        </is>
      </c>
      <c r="K285" s="114" t="n"/>
      <c r="L285" s="119" t="inlineStr">
        <is>
          <t>125 · GIT Talleres y Laboratorios</t>
        </is>
      </c>
      <c r="M285" s="120" t="n">
        <v>20000000</v>
      </c>
      <c r="N285" s="119" t="inlineStr">
        <is>
          <t>Mínima cuantía</t>
        </is>
      </c>
      <c r="O285" s="119">
        <f>IF(LEN(IF(OR(NOT(ISNUMBER(B285)),LEN(B285)&lt;&gt;8),"UNSPSC vacío, en texto, con varios códigos o sin 8 dígitos; ","")&amp;IF(AND(ISNUMBER(B285),LEN(B285)=8),IF(MOD(B285,10000)=0,"UNSPSC a nivel de segmento o familia; ",""),"")&amp;IF(NOT(ISNUMBER(E285)),"Duración vacía o en texto; ","")&amp;IF(NOT(ISNUMBER(G285)),"Valor vacío o en texto; ","")&amp;IF(ISNUMBER(M285),IF(M285&lt;1000000,"Valor inferior a $1.000.000: verificar; ",""),"Valor no interpretable; ")&amp;IF(N285="[PENDIENTE DE VERIFICAR]","Modalidad no identificable; ","")&amp;IF(OR(ISERROR(SEARCH("@itc.edu.co",J285)),SUMPRODUCT(--ISNUMBER(SEARCH({"á","é","í","ó","ú","ñ"},J285)))&gt;0),"Correo vacío o no institucional válido; ","")&amp;IF(LEN(TRIM(D285))=0,"Sin objeto contractual; ","")&amp;IF(AND(ISNUMBER(M285),N285="Mínima cuantía"),IF(M285&gt;39850000,"Mínima cuantía con valor superior al tope citado en el instructivo 2026 ($39.850.000): verificar modalidad; ",""),"")&amp;IF(AND(ISNUMBER(M285),OR(ISNUMBER(SEARCH("prestación de servicios",D285)),ISNUMBER(SEARCH("prestar servicios",D285)),ISNUMBER(SEARCH("prestar los servicios",D285)))),IF(M285&gt;=500000000,"Prestación de servicios por $500 millones o más: posible error de digitación; ",""),""))=0,"Sin observaciones",IF(OR(NOT(ISNUMBER(B285)),LEN(B285)&lt;&gt;8),"UNSPSC vacío, en texto, con varios códigos o sin 8 dígitos; ","")&amp;IF(AND(ISNUMBER(B285),LEN(B285)=8),IF(MOD(B285,10000)=0,"UNSPSC a nivel de segmento o familia; ",""),"")&amp;IF(NOT(ISNUMBER(E285)),"Duración vacía o en texto; ","")&amp;IF(NOT(ISNUMBER(G285)),"Valor vacío o en texto; ","")&amp;IF(ISNUMBER(M285),IF(M285&lt;1000000,"Valor inferior a $1.000.000: verificar; ",""),"Valor no interpretable; ")&amp;IF(N285="[PENDIENTE DE VERIFICAR]","Modalidad no identificable; ","")&amp;IF(OR(ISERROR(SEARCH("@itc.edu.co",J285)),SUMPRODUCT(--ISNUMBER(SEARCH({"á","é","í","ó","ú","ñ"},J285)))&gt;0),"Correo vacío o no institucional válido; ","")&amp;IF(LEN(TRIM(D285))=0,"Sin objeto contractual; ","")&amp;IF(AND(ISNUMBER(M285),N285="Mínima cuantía"),IF(M285&gt;39850000,"Mínima cuantía con valor superior al tope citado en el instructivo 2026 ($39.850.000): verificar modalidad; ",""),"")&amp;IF(AND(ISNUMBER(M285),OR(ISNUMBER(SEARCH("prestación de servicios",D285)),ISNUMBER(SEARCH("prestar servicios",D285)),ISNUMBER(SEARCH("prestar los servicios",D285)))),IF(M285&gt;=500000000,"Prestación de servicios por $500 millones o más: posible error de digitación; ",""),""))</f>
        <v/>
      </c>
    </row>
    <row r="286" ht="79.8" customHeight="1" s="23">
      <c r="A286" s="114" t="inlineStr">
        <is>
          <t>PN26-282</t>
        </is>
      </c>
      <c r="B286" s="114" t="n">
        <v>41112200</v>
      </c>
      <c r="C286" s="114" t="inlineStr">
        <is>
          <t>Talleres y Laboratorios
(Laboratorio física, química
 y biología)</t>
        </is>
      </c>
      <c r="D286" s="114" t="inlineStr">
        <is>
          <t>ADQUISICIÓN DE UN LOTE DE 15 EQUIPOS  QUE INCLUYE CALORÍMETROS DE PRECISIÓN PARA CALOR ESPECÍFICO Y ENTALPÍA DE REACCIÓN, SENSORES DIGITALES DE TEMPERATURA CON REGISTRO DE DATOS, APARATOS DE EXPANSIÓN LINEAL DE SÓLIDOS, MOTORES TÉRMICOS TIPO STIRLING PARA DEMOSTRACIÓN DE CICLOS Y EQUIPOS DE COMPROBACIÓN DE LEYES DE LOS GASES. DESTINADOS AL DESARROLLO DE PRÁCTICAS ACADÉMICAS EN LA ETITC.</t>
        </is>
      </c>
      <c r="E286" s="114" t="inlineStr">
        <is>
          <t>UN (1) MES</t>
        </is>
      </c>
      <c r="F286" s="114" t="inlineStr">
        <is>
          <t>MINIMA CUANTIA</t>
        </is>
      </c>
      <c r="G286" s="118" t="inlineStr">
        <is>
          <t>$35.000.000</t>
        </is>
      </c>
      <c r="H286" s="114" t="inlineStr">
        <is>
          <t>Profesional Especializado 2028-15 del Área de talleres y laboratorios</t>
        </is>
      </c>
      <c r="I286" s="114" t="inlineStr">
        <is>
          <t>(57-601) 344 3000 Ext 126</t>
        </is>
      </c>
      <c r="J286" s="114" t="inlineStr">
        <is>
          <t>talleresylaboratorios@itc.edu.co</t>
        </is>
      </c>
      <c r="K286" s="114" t="n"/>
      <c r="L286" s="119" t="inlineStr">
        <is>
          <t>125 · GIT Talleres y Laboratorios</t>
        </is>
      </c>
      <c r="M286" s="120" t="n">
        <v>35000000</v>
      </c>
      <c r="N286" s="119" t="inlineStr">
        <is>
          <t>Mínima cuantía</t>
        </is>
      </c>
      <c r="O286" s="119">
        <f>IF(LEN(IF(OR(NOT(ISNUMBER(B286)),LEN(B286)&lt;&gt;8),"UNSPSC vacío, en texto, con varios códigos o sin 8 dígitos; ","")&amp;IF(AND(ISNUMBER(B286),LEN(B286)=8),IF(MOD(B286,10000)=0,"UNSPSC a nivel de segmento o familia; ",""),"")&amp;IF(NOT(ISNUMBER(E286)),"Duración vacía o en texto; ","")&amp;IF(NOT(ISNUMBER(G286)),"Valor vacío o en texto; ","")&amp;IF(ISNUMBER(M286),IF(M286&lt;1000000,"Valor inferior a $1.000.000: verificar; ",""),"Valor no interpretable; ")&amp;IF(N286="[PENDIENTE DE VERIFICAR]","Modalidad no identificable; ","")&amp;IF(OR(ISERROR(SEARCH("@itc.edu.co",J286)),SUMPRODUCT(--ISNUMBER(SEARCH({"á","é","í","ó","ú","ñ"},J286)))&gt;0),"Correo vacío o no institucional válido; ","")&amp;IF(LEN(TRIM(D286))=0,"Sin objeto contractual; ","")&amp;IF(AND(ISNUMBER(M286),N286="Mínima cuantía"),IF(M286&gt;39850000,"Mínima cuantía con valor superior al tope citado en el instructivo 2026 ($39.850.000): verificar modalidad; ",""),"")&amp;IF(AND(ISNUMBER(M286),OR(ISNUMBER(SEARCH("prestación de servicios",D286)),ISNUMBER(SEARCH("prestar servicios",D286)),ISNUMBER(SEARCH("prestar los servicios",D286)))),IF(M286&gt;=500000000,"Prestación de servicios por $500 millones o más: posible error de digitación; ",""),""))=0,"Sin observaciones",IF(OR(NOT(ISNUMBER(B286)),LEN(B286)&lt;&gt;8),"UNSPSC vacío, en texto, con varios códigos o sin 8 dígitos; ","")&amp;IF(AND(ISNUMBER(B286),LEN(B286)=8),IF(MOD(B286,10000)=0,"UNSPSC a nivel de segmento o familia; ",""),"")&amp;IF(NOT(ISNUMBER(E286)),"Duración vacía o en texto; ","")&amp;IF(NOT(ISNUMBER(G286)),"Valor vacío o en texto; ","")&amp;IF(ISNUMBER(M286),IF(M286&lt;1000000,"Valor inferior a $1.000.000: verificar; ",""),"Valor no interpretable; ")&amp;IF(N286="[PENDIENTE DE VERIFICAR]","Modalidad no identificable; ","")&amp;IF(OR(ISERROR(SEARCH("@itc.edu.co",J286)),SUMPRODUCT(--ISNUMBER(SEARCH({"á","é","í","ó","ú","ñ"},J286)))&gt;0),"Correo vacío o no institucional válido; ","")&amp;IF(LEN(TRIM(D286))=0,"Sin objeto contractual; ","")&amp;IF(AND(ISNUMBER(M286),N286="Mínima cuantía"),IF(M286&gt;39850000,"Mínima cuantía con valor superior al tope citado en el instructivo 2026 ($39.850.000): verificar modalidad; ",""),"")&amp;IF(AND(ISNUMBER(M286),OR(ISNUMBER(SEARCH("prestación de servicios",D286)),ISNUMBER(SEARCH("prestar servicios",D286)),ISNUMBER(SEARCH("prestar los servicios",D286)))),IF(M286&gt;=500000000,"Prestación de servicios por $500 millones o más: posible error de digitación; ",""),""))</f>
        <v/>
      </c>
    </row>
    <row r="287" ht="91.2" customHeight="1" s="23">
      <c r="A287" s="114" t="inlineStr">
        <is>
          <t>PN26-283</t>
        </is>
      </c>
      <c r="B287" s="114" t="n">
        <v>41000000</v>
      </c>
      <c r="C287" s="114" t="inlineStr">
        <is>
          <t>Talleres y Laboratorios
(Laboratorio física, química
 y biología)</t>
        </is>
      </c>
      <c r="D287" s="114" t="inlineStr">
        <is>
          <t>ADQUISICIÓN DE UN LOTE DE 8 EQUIPOS DE INSTRUMENTACIÓN ÓPTICA Y ANÁLISIS DE SUSTANCIAS QUE INCLUYE 2 ESPECTROFOTÓMETROS VISIBLES DIGITALES CON RANGO DE 325 A 1000 NANÓMETROS, 2 COLORÍMETROS FOTOELÉCTRICOS PORTÁTILES PARA ANÁLISIS DE CAMPO, 2 REFRACTÓMETROS DE ABBE PARA DETERMINACIÓN DE ÍNDICE DE REFRACCIÓN Y 2 POLARÍMETROS CIRCULARES PARA ESTUDIO DE ACTIVIDAD ÓPTICA. DESTINADOS AL FORTALECIMIENTO DE LAS PRÁCTICAS DE ÓPTICA Y QUÍMICA ANALÍTICA EN LA ETITC.</t>
        </is>
      </c>
      <c r="E287" s="114" t="inlineStr">
        <is>
          <t>UN (1) MES</t>
        </is>
      </c>
      <c r="F287" s="114" t="inlineStr">
        <is>
          <t>MINIMA CUANTIA</t>
        </is>
      </c>
      <c r="G287" s="118" t="inlineStr">
        <is>
          <t>$50.000.000</t>
        </is>
      </c>
      <c r="H287" s="114" t="inlineStr">
        <is>
          <t>Profesional Especializado 2028-15 del Área de talleres y laboratorios</t>
        </is>
      </c>
      <c r="I287" s="114" t="inlineStr">
        <is>
          <t>(57-601) 344 3000 Ext 126</t>
        </is>
      </c>
      <c r="J287" s="114" t="inlineStr">
        <is>
          <t>talleresylaboratorios@itc.edu.co</t>
        </is>
      </c>
      <c r="K287" s="114" t="n"/>
      <c r="L287" s="119" t="inlineStr">
        <is>
          <t>125 · GIT Talleres y Laboratorios</t>
        </is>
      </c>
      <c r="M287" s="120" t="n">
        <v>50000000</v>
      </c>
      <c r="N287" s="119" t="inlineStr">
        <is>
          <t>Mínima cuantía</t>
        </is>
      </c>
      <c r="O287" s="119">
        <f>IF(LEN(IF(OR(NOT(ISNUMBER(B287)),LEN(B287)&lt;&gt;8),"UNSPSC vacío, en texto, con varios códigos o sin 8 dígitos; ","")&amp;IF(AND(ISNUMBER(B287),LEN(B287)=8),IF(MOD(B287,10000)=0,"UNSPSC a nivel de segmento o familia; ",""),"")&amp;IF(NOT(ISNUMBER(E287)),"Duración vacía o en texto; ","")&amp;IF(NOT(ISNUMBER(G287)),"Valor vacío o en texto; ","")&amp;IF(ISNUMBER(M287),IF(M287&lt;1000000,"Valor inferior a $1.000.000: verificar; ",""),"Valor no interpretable; ")&amp;IF(N287="[PENDIENTE DE VERIFICAR]","Modalidad no identificable; ","")&amp;IF(OR(ISERROR(SEARCH("@itc.edu.co",J287)),SUMPRODUCT(--ISNUMBER(SEARCH({"á","é","í","ó","ú","ñ"},J287)))&gt;0),"Correo vacío o no institucional válido; ","")&amp;IF(LEN(TRIM(D287))=0,"Sin objeto contractual; ","")&amp;IF(AND(ISNUMBER(M287),N287="Mínima cuantía"),IF(M287&gt;39850000,"Mínima cuantía con valor superior al tope citado en el instructivo 2026 ($39.850.000): verificar modalidad; ",""),"")&amp;IF(AND(ISNUMBER(M287),OR(ISNUMBER(SEARCH("prestación de servicios",D287)),ISNUMBER(SEARCH("prestar servicios",D287)),ISNUMBER(SEARCH("prestar los servicios",D287)))),IF(M287&gt;=500000000,"Prestación de servicios por $500 millones o más: posible error de digitación; ",""),""))=0,"Sin observaciones",IF(OR(NOT(ISNUMBER(B287)),LEN(B287)&lt;&gt;8),"UNSPSC vacío, en texto, con varios códigos o sin 8 dígitos; ","")&amp;IF(AND(ISNUMBER(B287),LEN(B287)=8),IF(MOD(B287,10000)=0,"UNSPSC a nivel de segmento o familia; ",""),"")&amp;IF(NOT(ISNUMBER(E287)),"Duración vacía o en texto; ","")&amp;IF(NOT(ISNUMBER(G287)),"Valor vacío o en texto; ","")&amp;IF(ISNUMBER(M287),IF(M287&lt;1000000,"Valor inferior a $1.000.000: verificar; ",""),"Valor no interpretable; ")&amp;IF(N287="[PENDIENTE DE VERIFICAR]","Modalidad no identificable; ","")&amp;IF(OR(ISERROR(SEARCH("@itc.edu.co",J287)),SUMPRODUCT(--ISNUMBER(SEARCH({"á","é","í","ó","ú","ñ"},J287)))&gt;0),"Correo vacío o no institucional válido; ","")&amp;IF(LEN(TRIM(D287))=0,"Sin objeto contractual; ","")&amp;IF(AND(ISNUMBER(M287),N287="Mínima cuantía"),IF(M287&gt;39850000,"Mínima cuantía con valor superior al tope citado en el instructivo 2026 ($39.850.000): verificar modalidad; ",""),"")&amp;IF(AND(ISNUMBER(M287),OR(ISNUMBER(SEARCH("prestación de servicios",D287)),ISNUMBER(SEARCH("prestar servicios",D287)),ISNUMBER(SEARCH("prestar los servicios",D287)))),IF(M287&gt;=500000000,"Prestación de servicios por $500 millones o más: posible error de digitación; ",""),""))</f>
        <v/>
      </c>
    </row>
    <row r="288" ht="79.8" customHeight="1" s="23">
      <c r="A288" s="114" t="inlineStr">
        <is>
          <t>PN26-284</t>
        </is>
      </c>
      <c r="B288" s="114" t="n">
        <v>41000000</v>
      </c>
      <c r="C288" s="114" t="inlineStr">
        <is>
          <t>Talleres y Laboratorios
(Laboratorio física, química
 y biología)</t>
        </is>
      </c>
      <c r="D288" s="114" t="inlineStr">
        <is>
          <t>ADQUISICIÓN DE UN LOTE DE 24 INSTRUMENTOS PARA MEDICIÓN DE VISCOSIDAD Y DENSIDAD DE FLUIDOS QUE INCLUYE 8 VISCOSÍMETROS CAPILARES TIPO CANNON FENSKE PARA DIFERENTES RANGOS DE FLUIDEZ, 8 DENSÍMETROS DE VIDRIO PARA LÍQUIDOS CON ESCALA DE GRAVEDAD ESPECÍFICA Y 8 ALCOHOLÍMETROS DE GAY LUSSAC PARA DETERMINACIÓN DE GRADO ETÍLICO. DESTINADOS AL DESARROLLO DE PRÁCTICAS ACADÉMICAS EN LA ETITC.</t>
        </is>
      </c>
      <c r="E288" s="114" t="inlineStr">
        <is>
          <t>UN (1) MES</t>
        </is>
      </c>
      <c r="F288" s="114" t="inlineStr">
        <is>
          <t>MINIMA CUANTIA</t>
        </is>
      </c>
      <c r="G288" s="118" t="inlineStr">
        <is>
          <t>$10.000.000</t>
        </is>
      </c>
      <c r="H288" s="114" t="inlineStr">
        <is>
          <t>Profesional Especializado 2028-15 del Área de talleres y laboratorios</t>
        </is>
      </c>
      <c r="I288" s="114" t="inlineStr">
        <is>
          <t>(57-601) 344 3000 Ext 126</t>
        </is>
      </c>
      <c r="J288" s="114" t="inlineStr">
        <is>
          <t>talleresylaboratorios@itc.edu.co</t>
        </is>
      </c>
      <c r="K288" s="114" t="n"/>
      <c r="L288" s="119" t="inlineStr">
        <is>
          <t>125 · GIT Talleres y Laboratorios</t>
        </is>
      </c>
      <c r="M288" s="120" t="n">
        <v>10000000</v>
      </c>
      <c r="N288" s="119" t="inlineStr">
        <is>
          <t>Mínima cuantía</t>
        </is>
      </c>
      <c r="O288" s="119">
        <f>IF(LEN(IF(OR(NOT(ISNUMBER(B288)),LEN(B288)&lt;&gt;8),"UNSPSC vacío, en texto, con varios códigos o sin 8 dígitos; ","")&amp;IF(AND(ISNUMBER(B288),LEN(B288)=8),IF(MOD(B288,10000)=0,"UNSPSC a nivel de segmento o familia; ",""),"")&amp;IF(NOT(ISNUMBER(E288)),"Duración vacía o en texto; ","")&amp;IF(NOT(ISNUMBER(G288)),"Valor vacío o en texto; ","")&amp;IF(ISNUMBER(M288),IF(M288&lt;1000000,"Valor inferior a $1.000.000: verificar; ",""),"Valor no interpretable; ")&amp;IF(N288="[PENDIENTE DE VERIFICAR]","Modalidad no identificable; ","")&amp;IF(OR(ISERROR(SEARCH("@itc.edu.co",J288)),SUMPRODUCT(--ISNUMBER(SEARCH({"á","é","í","ó","ú","ñ"},J288)))&gt;0),"Correo vacío o no institucional válido; ","")&amp;IF(LEN(TRIM(D288))=0,"Sin objeto contractual; ","")&amp;IF(AND(ISNUMBER(M288),N288="Mínima cuantía"),IF(M288&gt;39850000,"Mínima cuantía con valor superior al tope citado en el instructivo 2026 ($39.850.000): verificar modalidad; ",""),"")&amp;IF(AND(ISNUMBER(M288),OR(ISNUMBER(SEARCH("prestación de servicios",D288)),ISNUMBER(SEARCH("prestar servicios",D288)),ISNUMBER(SEARCH("prestar los servicios",D288)))),IF(M288&gt;=500000000,"Prestación de servicios por $500 millones o más: posible error de digitación; ",""),""))=0,"Sin observaciones",IF(OR(NOT(ISNUMBER(B288)),LEN(B288)&lt;&gt;8),"UNSPSC vacío, en texto, con varios códigos o sin 8 dígitos; ","")&amp;IF(AND(ISNUMBER(B288),LEN(B288)=8),IF(MOD(B288,10000)=0,"UNSPSC a nivel de segmento o familia; ",""),"")&amp;IF(NOT(ISNUMBER(E288)),"Duración vacía o en texto; ","")&amp;IF(NOT(ISNUMBER(G288)),"Valor vacío o en texto; ","")&amp;IF(ISNUMBER(M288),IF(M288&lt;1000000,"Valor inferior a $1.000.000: verificar; ",""),"Valor no interpretable; ")&amp;IF(N288="[PENDIENTE DE VERIFICAR]","Modalidad no identificable; ","")&amp;IF(OR(ISERROR(SEARCH("@itc.edu.co",J288)),SUMPRODUCT(--ISNUMBER(SEARCH({"á","é","í","ó","ú","ñ"},J288)))&gt;0),"Correo vacío o no institucional válido; ","")&amp;IF(LEN(TRIM(D288))=0,"Sin objeto contractual; ","")&amp;IF(AND(ISNUMBER(M288),N288="Mínima cuantía"),IF(M288&gt;39850000,"Mínima cuantía con valor superior al tope citado en el instructivo 2026 ($39.850.000): verificar modalidad; ",""),"")&amp;IF(AND(ISNUMBER(M288),OR(ISNUMBER(SEARCH("prestación de servicios",D288)),ISNUMBER(SEARCH("prestar servicios",D288)),ISNUMBER(SEARCH("prestar los servicios",D288)))),IF(M288&gt;=500000000,"Prestación de servicios por $500 millones o más: posible error de digitación; ",""),""))</f>
        <v/>
      </c>
    </row>
    <row r="289" ht="114" customHeight="1" s="23">
      <c r="A289" s="114" t="inlineStr">
        <is>
          <t>PN26-285</t>
        </is>
      </c>
      <c r="B289" s="114" t="n">
        <v>60100000</v>
      </c>
      <c r="C289" s="114" t="inlineStr">
        <is>
          <t>Talleres y Laboratorios
(Laboratorio física, química
 y biología)</t>
        </is>
      </c>
      <c r="D289" s="114" t="inlineStr">
        <is>
          <t>ADQUISICIÓN DE UN LOTE DE 16 INSTRUMENTOS DE FÍSICA ATÓMICA Y SISTEMAS DE ALIMENTACIÓN QUE INCLUYE 4 TUBOS DE CROOKES CON CRUZ DE MALTA PARA SOMBRAS ELECTRÓNICAS, 4 TUBOS DE DESVIACIÓN CON PANTALLA FLUORESCENTE PARA DEFLEXIÓN MAGNÉTICA, 4 TUBOS DE EFECTO MECÁNICO CON MOLINETE GIRATORIO Y 1 FUENTE DE ALIMENTACIÓN DE ALTO VOLTAJE REGULABLE HASTA DIEZ KILOVOLTIOS CON SALIDAS PROTEGIDAS PARA EL FUNCIONAMIENTO DE TUBOS DE DESCARGA. DESTINADOS AL DESARROLLO DE PRÁCTICAS DE FÍSICA MODERNA Y ESTRUCTURA ATÓMICA EN LA ETITC.</t>
        </is>
      </c>
      <c r="E289" s="114" t="inlineStr">
        <is>
          <t>UN (1) MES</t>
        </is>
      </c>
      <c r="F289" s="114" t="inlineStr">
        <is>
          <t>MINIMA CUANTIA</t>
        </is>
      </c>
      <c r="G289" s="118" t="inlineStr">
        <is>
          <t>$25.000.000</t>
        </is>
      </c>
      <c r="H289" s="114" t="inlineStr">
        <is>
          <t>Profesional Especializado 2028-15 del Área de talleres y laboratorios</t>
        </is>
      </c>
      <c r="I289" s="114" t="inlineStr">
        <is>
          <t>(57-601) 344 3000 Ext 126</t>
        </is>
      </c>
      <c r="J289" s="114" t="inlineStr">
        <is>
          <t>talleresylaboratorios@itc.edu.co</t>
        </is>
      </c>
      <c r="K289" s="114" t="n"/>
      <c r="L289" s="119" t="inlineStr">
        <is>
          <t>125 · GIT Talleres y Laboratorios</t>
        </is>
      </c>
      <c r="M289" s="120" t="n">
        <v>25000000</v>
      </c>
      <c r="N289" s="119" t="inlineStr">
        <is>
          <t>Mínima cuantía</t>
        </is>
      </c>
      <c r="O289" s="119">
        <f>IF(LEN(IF(OR(NOT(ISNUMBER(B289)),LEN(B289)&lt;&gt;8),"UNSPSC vacío, en texto, con varios códigos o sin 8 dígitos; ","")&amp;IF(AND(ISNUMBER(B289),LEN(B289)=8),IF(MOD(B289,10000)=0,"UNSPSC a nivel de segmento o familia; ",""),"")&amp;IF(NOT(ISNUMBER(E289)),"Duración vacía o en texto; ","")&amp;IF(NOT(ISNUMBER(G289)),"Valor vacío o en texto; ","")&amp;IF(ISNUMBER(M289),IF(M289&lt;1000000,"Valor inferior a $1.000.000: verificar; ",""),"Valor no interpretable; ")&amp;IF(N289="[PENDIENTE DE VERIFICAR]","Modalidad no identificable; ","")&amp;IF(OR(ISERROR(SEARCH("@itc.edu.co",J289)),SUMPRODUCT(--ISNUMBER(SEARCH({"á","é","í","ó","ú","ñ"},J289)))&gt;0),"Correo vacío o no institucional válido; ","")&amp;IF(LEN(TRIM(D289))=0,"Sin objeto contractual; ","")&amp;IF(AND(ISNUMBER(M289),N289="Mínima cuantía"),IF(M289&gt;39850000,"Mínima cuantía con valor superior al tope citado en el instructivo 2026 ($39.850.000): verificar modalidad; ",""),"")&amp;IF(AND(ISNUMBER(M289),OR(ISNUMBER(SEARCH("prestación de servicios",D289)),ISNUMBER(SEARCH("prestar servicios",D289)),ISNUMBER(SEARCH("prestar los servicios",D289)))),IF(M289&gt;=500000000,"Prestación de servicios por $500 millones o más: posible error de digitación; ",""),""))=0,"Sin observaciones",IF(OR(NOT(ISNUMBER(B289)),LEN(B289)&lt;&gt;8),"UNSPSC vacío, en texto, con varios códigos o sin 8 dígitos; ","")&amp;IF(AND(ISNUMBER(B289),LEN(B289)=8),IF(MOD(B289,10000)=0,"UNSPSC a nivel de segmento o familia; ",""),"")&amp;IF(NOT(ISNUMBER(E289)),"Duración vacía o en texto; ","")&amp;IF(NOT(ISNUMBER(G289)),"Valor vacío o en texto; ","")&amp;IF(ISNUMBER(M289),IF(M289&lt;1000000,"Valor inferior a $1.000.000: verificar; ",""),"Valor no interpretable; ")&amp;IF(N289="[PENDIENTE DE VERIFICAR]","Modalidad no identificable; ","")&amp;IF(OR(ISERROR(SEARCH("@itc.edu.co",J289)),SUMPRODUCT(--ISNUMBER(SEARCH({"á","é","í","ó","ú","ñ"},J289)))&gt;0),"Correo vacío o no institucional válido; ","")&amp;IF(LEN(TRIM(D289))=0,"Sin objeto contractual; ","")&amp;IF(AND(ISNUMBER(M289),N289="Mínima cuantía"),IF(M289&gt;39850000,"Mínima cuantía con valor superior al tope citado en el instructivo 2026 ($39.850.000): verificar modalidad; ",""),"")&amp;IF(AND(ISNUMBER(M289),OR(ISNUMBER(SEARCH("prestación de servicios",D289)),ISNUMBER(SEARCH("prestar servicios",D289)),ISNUMBER(SEARCH("prestar los servicios",D289)))),IF(M289&gt;=500000000,"Prestación de servicios por $500 millones o más: posible error de digitación; ",""),""))</f>
        <v/>
      </c>
    </row>
    <row r="290" ht="91.2" customHeight="1" s="23">
      <c r="A290" s="114" t="inlineStr">
        <is>
          <t>PN26-286</t>
        </is>
      </c>
      <c r="B290" s="114" t="n">
        <v>41104606</v>
      </c>
      <c r="C290" s="114" t="inlineStr">
        <is>
          <t>Talleres y Laboratorios
(Laboratorio física, química
 y biología)</t>
        </is>
      </c>
      <c r="D290" s="114" t="inlineStr">
        <is>
          <t>ADQUISICIÓN DE UNA MUFLA DE LABORATORIO DE ALTA TEMPERATURA CON CONTROLADOR DIGITAL PROGRAMABLE TIPO PID Y CAPACIDAD DE DIEZ LITROS. EL EQUIPO DEBE CONTAR CON CÁMARA INTERNA EN FIBRA CERÁMICA O MATERIAL REFRACTARIO DE ALTA RESISTENCIA, CAPACIDAD DE ALCANZAR HASTA MIL DOSCIENTOS GRADOS CELSIUS Y SISTEMA DE ALIMENTACIÓN ELÉCTRICA COMPATIBLE CON LA RED DEL LABORATORIO. DESTINADA AL FORTALECIMIENTO DE PRÁCTICAS DE CALCINACIÓN Y TRATAMIENTOS TÉRMICOS EN LA ETITC.</t>
        </is>
      </c>
      <c r="E290" s="114" t="inlineStr">
        <is>
          <t>UN (1) MES</t>
        </is>
      </c>
      <c r="F290" s="114" t="inlineStr">
        <is>
          <t>MINIMA CUANTIA</t>
        </is>
      </c>
      <c r="G290" s="118" t="inlineStr">
        <is>
          <t>$15.000.000</t>
        </is>
      </c>
      <c r="H290" s="114" t="inlineStr">
        <is>
          <t>Profesional Especializado 2028-15 del Área de talleres y laboratorios</t>
        </is>
      </c>
      <c r="I290" s="114" t="inlineStr">
        <is>
          <t>(57-601) 344 3000 Ext 126</t>
        </is>
      </c>
      <c r="J290" s="114" t="inlineStr">
        <is>
          <t>talleresylaboratorios@itc.edu.co</t>
        </is>
      </c>
      <c r="K290" s="114" t="n"/>
      <c r="L290" s="119" t="inlineStr">
        <is>
          <t>125 · GIT Talleres y Laboratorios</t>
        </is>
      </c>
      <c r="M290" s="120" t="n">
        <v>15000000</v>
      </c>
      <c r="N290" s="119" t="inlineStr">
        <is>
          <t>Mínima cuantía</t>
        </is>
      </c>
      <c r="O290" s="119">
        <f>IF(LEN(IF(OR(NOT(ISNUMBER(B290)),LEN(B290)&lt;&gt;8),"UNSPSC vacío, en texto, con varios códigos o sin 8 dígitos; ","")&amp;IF(AND(ISNUMBER(B290),LEN(B290)=8),IF(MOD(B290,10000)=0,"UNSPSC a nivel de segmento o familia; ",""),"")&amp;IF(NOT(ISNUMBER(E290)),"Duración vacía o en texto; ","")&amp;IF(NOT(ISNUMBER(G290)),"Valor vacío o en texto; ","")&amp;IF(ISNUMBER(M290),IF(M290&lt;1000000,"Valor inferior a $1.000.000: verificar; ",""),"Valor no interpretable; ")&amp;IF(N290="[PENDIENTE DE VERIFICAR]","Modalidad no identificable; ","")&amp;IF(OR(ISERROR(SEARCH("@itc.edu.co",J290)),SUMPRODUCT(--ISNUMBER(SEARCH({"á","é","í","ó","ú","ñ"},J290)))&gt;0),"Correo vacío o no institucional válido; ","")&amp;IF(LEN(TRIM(D290))=0,"Sin objeto contractual; ","")&amp;IF(AND(ISNUMBER(M290),N290="Mínima cuantía"),IF(M290&gt;39850000,"Mínima cuantía con valor superior al tope citado en el instructivo 2026 ($39.850.000): verificar modalidad; ",""),"")&amp;IF(AND(ISNUMBER(M290),OR(ISNUMBER(SEARCH("prestación de servicios",D290)),ISNUMBER(SEARCH("prestar servicios",D290)),ISNUMBER(SEARCH("prestar los servicios",D290)))),IF(M290&gt;=500000000,"Prestación de servicios por $500 millones o más: posible error de digitación; ",""),""))=0,"Sin observaciones",IF(OR(NOT(ISNUMBER(B290)),LEN(B290)&lt;&gt;8),"UNSPSC vacío, en texto, con varios códigos o sin 8 dígitos; ","")&amp;IF(AND(ISNUMBER(B290),LEN(B290)=8),IF(MOD(B290,10000)=0,"UNSPSC a nivel de segmento o familia; ",""),"")&amp;IF(NOT(ISNUMBER(E290)),"Duración vacía o en texto; ","")&amp;IF(NOT(ISNUMBER(G290)),"Valor vacío o en texto; ","")&amp;IF(ISNUMBER(M290),IF(M290&lt;1000000,"Valor inferior a $1.000.000: verificar; ",""),"Valor no interpretable; ")&amp;IF(N290="[PENDIENTE DE VERIFICAR]","Modalidad no identificable; ","")&amp;IF(OR(ISERROR(SEARCH("@itc.edu.co",J290)),SUMPRODUCT(--ISNUMBER(SEARCH({"á","é","í","ó","ú","ñ"},J290)))&gt;0),"Correo vacío o no institucional válido; ","")&amp;IF(LEN(TRIM(D290))=0,"Sin objeto contractual; ","")&amp;IF(AND(ISNUMBER(M290),N290="Mínima cuantía"),IF(M290&gt;39850000,"Mínima cuantía con valor superior al tope citado en el instructivo 2026 ($39.850.000): verificar modalidad; ",""),"")&amp;IF(AND(ISNUMBER(M290),OR(ISNUMBER(SEARCH("prestación de servicios",D290)),ISNUMBER(SEARCH("prestar servicios",D290)),ISNUMBER(SEARCH("prestar los servicios",D290)))),IF(M290&gt;=500000000,"Prestación de servicios por $500 millones o más: posible error de digitación; ",""),""))</f>
        <v/>
      </c>
    </row>
    <row r="291" ht="79.8" customHeight="1" s="23">
      <c r="A291" s="114" t="inlineStr">
        <is>
          <t>PN26-287</t>
        </is>
      </c>
      <c r="B291" s="114" t="n">
        <v>41103409</v>
      </c>
      <c r="C291" s="114" t="inlineStr">
        <is>
          <t>Talleres y Laboratorios
(Laboratorio física, química
 y biología)</t>
        </is>
      </c>
      <c r="D291" s="114" t="inlineStr">
        <is>
          <t>ADQUISICIÓN DE UNA CABINA DE EXTRACCIÓN DE GASES DE LABORATORIO ESTÁNDAR EQUIPADA CON SISTEMA DE VENTILACIÓN ESPECIALIZADA PARA LA CAPTURA Y EVACUACIÓN DE VAPORES Y PARTÍCULAS QUÍMICAS. EL EQUIPO DEBE CONTAR CON ESTRUCTURA RESISTENTE A LA CORROSIÓN, DUCTOS DE CONDUCCIÓN HACIA EL EXTERIOR, ILUMINACIÓN INTERNA Y PANTALLA FRONTAL DE SEGURIDAD PARA EL DESARROLLO DE PRÁCTICAS EXPERIMENTALES EN LA ETITC.</t>
        </is>
      </c>
      <c r="E291" s="114" t="inlineStr">
        <is>
          <t>UN (1) MES</t>
        </is>
      </c>
      <c r="F291" s="114" t="inlineStr">
        <is>
          <t>MINIMA CUANTIA</t>
        </is>
      </c>
      <c r="G291" s="118" t="inlineStr">
        <is>
          <t>$25.000.000</t>
        </is>
      </c>
      <c r="H291" s="114" t="inlineStr">
        <is>
          <t>Profesional Especializado 2028-15 del Área de talleres y laboratorios</t>
        </is>
      </c>
      <c r="I291" s="114" t="inlineStr">
        <is>
          <t>(57-601) 344 3000 Ext 126</t>
        </is>
      </c>
      <c r="J291" s="114" t="inlineStr">
        <is>
          <t>talleresylaboratorios@itc.edu.co</t>
        </is>
      </c>
      <c r="K291" s="114" t="n"/>
      <c r="L291" s="119" t="inlineStr">
        <is>
          <t>125 · GIT Talleres y Laboratorios</t>
        </is>
      </c>
      <c r="M291" s="120" t="n">
        <v>25000000</v>
      </c>
      <c r="N291" s="119" t="inlineStr">
        <is>
          <t>Mínima cuantía</t>
        </is>
      </c>
      <c r="O291" s="119">
        <f>IF(LEN(IF(OR(NOT(ISNUMBER(B291)),LEN(B291)&lt;&gt;8),"UNSPSC vacío, en texto, con varios códigos o sin 8 dígitos; ","")&amp;IF(AND(ISNUMBER(B291),LEN(B291)=8),IF(MOD(B291,10000)=0,"UNSPSC a nivel de segmento o familia; ",""),"")&amp;IF(NOT(ISNUMBER(E291)),"Duración vacía o en texto; ","")&amp;IF(NOT(ISNUMBER(G291)),"Valor vacío o en texto; ","")&amp;IF(ISNUMBER(M291),IF(M291&lt;1000000,"Valor inferior a $1.000.000: verificar; ",""),"Valor no interpretable; ")&amp;IF(N291="[PENDIENTE DE VERIFICAR]","Modalidad no identificable; ","")&amp;IF(OR(ISERROR(SEARCH("@itc.edu.co",J291)),SUMPRODUCT(--ISNUMBER(SEARCH({"á","é","í","ó","ú","ñ"},J291)))&gt;0),"Correo vacío o no institucional válido; ","")&amp;IF(LEN(TRIM(D291))=0,"Sin objeto contractual; ","")&amp;IF(AND(ISNUMBER(M291),N291="Mínima cuantía"),IF(M291&gt;39850000,"Mínima cuantía con valor superior al tope citado en el instructivo 2026 ($39.850.000): verificar modalidad; ",""),"")&amp;IF(AND(ISNUMBER(M291),OR(ISNUMBER(SEARCH("prestación de servicios",D291)),ISNUMBER(SEARCH("prestar servicios",D291)),ISNUMBER(SEARCH("prestar los servicios",D291)))),IF(M291&gt;=500000000,"Prestación de servicios por $500 millones o más: posible error de digitación; ",""),""))=0,"Sin observaciones",IF(OR(NOT(ISNUMBER(B291)),LEN(B291)&lt;&gt;8),"UNSPSC vacío, en texto, con varios códigos o sin 8 dígitos; ","")&amp;IF(AND(ISNUMBER(B291),LEN(B291)=8),IF(MOD(B291,10000)=0,"UNSPSC a nivel de segmento o familia; ",""),"")&amp;IF(NOT(ISNUMBER(E291)),"Duración vacía o en texto; ","")&amp;IF(NOT(ISNUMBER(G291)),"Valor vacío o en texto; ","")&amp;IF(ISNUMBER(M291),IF(M291&lt;1000000,"Valor inferior a $1.000.000: verificar; ",""),"Valor no interpretable; ")&amp;IF(N291="[PENDIENTE DE VERIFICAR]","Modalidad no identificable; ","")&amp;IF(OR(ISERROR(SEARCH("@itc.edu.co",J291)),SUMPRODUCT(--ISNUMBER(SEARCH({"á","é","í","ó","ú","ñ"},J291)))&gt;0),"Correo vacío o no institucional válido; ","")&amp;IF(LEN(TRIM(D291))=0,"Sin objeto contractual; ","")&amp;IF(AND(ISNUMBER(M291),N291="Mínima cuantía"),IF(M291&gt;39850000,"Mínima cuantía con valor superior al tope citado en el instructivo 2026 ($39.850.000): verificar modalidad; ",""),"")&amp;IF(AND(ISNUMBER(M291),OR(ISNUMBER(SEARCH("prestación de servicios",D291)),ISNUMBER(SEARCH("prestar servicios",D291)),ISNUMBER(SEARCH("prestar los servicios",D291)))),IF(M291&gt;=500000000,"Prestación de servicios por $500 millones o más: posible error de digitación; ",""),""))</f>
        <v/>
      </c>
    </row>
    <row r="292" ht="114" customHeight="1" s="23">
      <c r="A292" s="114" t="inlineStr">
        <is>
          <t>PN26-288</t>
        </is>
      </c>
      <c r="B292" s="114" t="n">
        <v>41000000</v>
      </c>
      <c r="C292" s="114" t="inlineStr">
        <is>
          <t>Talleres y Laboratorios
(Laboratorio física, química
 y biología)</t>
        </is>
      </c>
      <c r="D292" s="114" t="inlineStr">
        <is>
          <t>ADQUISICIÓN E INSTALACIÓN DE UN SISTEMA DE PURIFICACIÓN DE AGUA PARA LABORATORIO CON CAPACIDAD DE PRODUCCIÓN DE DIEZ LITROS POR HORA DE AGUA TIPO DOS. EL SISTEMA DEBE INCLUIR ETAPAS DE PREFILTRACIÓN DE SEDIMENTOS, CARBÓN ACTIVADO, MEMBRANA DE ÓSMOSIS INVERSA Y CARTUCHOS DE RESINA DESIONIZADORA DE LECHO MIXTO. INCLUYE TANQUE DE ALMACENAMIENTO HERMÉTICO, GRIFO DISPENSADOR Y JUEGO DE FILTROS DE REPUESTO PARA EL PRIMER AÑO DE OPERACIÓN. DESTINADO AL ABASTECIMIENTO DE AGUA DE ALTA PUREZA PARA EL LABORATORIO DE QUÍMICA Y FÍSICA EN LA ETITC.</t>
        </is>
      </c>
      <c r="E292" s="114" t="inlineStr">
        <is>
          <t>UN (1) MES</t>
        </is>
      </c>
      <c r="F292" s="114" t="inlineStr">
        <is>
          <t>MINIMA CUANTIA</t>
        </is>
      </c>
      <c r="G292" s="118" t="inlineStr">
        <is>
          <t>$ 15.000.000</t>
        </is>
      </c>
      <c r="H292" s="114" t="inlineStr">
        <is>
          <t>Profesional Especializado 2028-15 del Área de talleres y laboratorios</t>
        </is>
      </c>
      <c r="I292" s="114" t="inlineStr">
        <is>
          <t>(57-601) 344 3000 Ext 126</t>
        </is>
      </c>
      <c r="J292" s="114" t="inlineStr">
        <is>
          <t>talleresylaboratorios@itc.edu.co</t>
        </is>
      </c>
      <c r="K292" s="114" t="n"/>
      <c r="L292" s="119" t="inlineStr">
        <is>
          <t>125 · GIT Talleres y Laboratorios</t>
        </is>
      </c>
      <c r="M292" s="120" t="n">
        <v>15000000</v>
      </c>
      <c r="N292" s="119" t="inlineStr">
        <is>
          <t>Mínima cuantía</t>
        </is>
      </c>
      <c r="O292" s="119">
        <f>IF(LEN(IF(OR(NOT(ISNUMBER(B292)),LEN(B292)&lt;&gt;8),"UNSPSC vacío, en texto, con varios códigos o sin 8 dígitos; ","")&amp;IF(AND(ISNUMBER(B292),LEN(B292)=8),IF(MOD(B292,10000)=0,"UNSPSC a nivel de segmento o familia; ",""),"")&amp;IF(NOT(ISNUMBER(E292)),"Duración vacía o en texto; ","")&amp;IF(NOT(ISNUMBER(G292)),"Valor vacío o en texto; ","")&amp;IF(ISNUMBER(M292),IF(M292&lt;1000000,"Valor inferior a $1.000.000: verificar; ",""),"Valor no interpretable; ")&amp;IF(N292="[PENDIENTE DE VERIFICAR]","Modalidad no identificable; ","")&amp;IF(OR(ISERROR(SEARCH("@itc.edu.co",J292)),SUMPRODUCT(--ISNUMBER(SEARCH({"á","é","í","ó","ú","ñ"},J292)))&gt;0),"Correo vacío o no institucional válido; ","")&amp;IF(LEN(TRIM(D292))=0,"Sin objeto contractual; ","")&amp;IF(AND(ISNUMBER(M292),N292="Mínima cuantía"),IF(M292&gt;39850000,"Mínima cuantía con valor superior al tope citado en el instructivo 2026 ($39.850.000): verificar modalidad; ",""),"")&amp;IF(AND(ISNUMBER(M292),OR(ISNUMBER(SEARCH("prestación de servicios",D292)),ISNUMBER(SEARCH("prestar servicios",D292)),ISNUMBER(SEARCH("prestar los servicios",D292)))),IF(M292&gt;=500000000,"Prestación de servicios por $500 millones o más: posible error de digitación; ",""),""))=0,"Sin observaciones",IF(OR(NOT(ISNUMBER(B292)),LEN(B292)&lt;&gt;8),"UNSPSC vacío, en texto, con varios códigos o sin 8 dígitos; ","")&amp;IF(AND(ISNUMBER(B292),LEN(B292)=8),IF(MOD(B292,10000)=0,"UNSPSC a nivel de segmento o familia; ",""),"")&amp;IF(NOT(ISNUMBER(E292)),"Duración vacía o en texto; ","")&amp;IF(NOT(ISNUMBER(G292)),"Valor vacío o en texto; ","")&amp;IF(ISNUMBER(M292),IF(M292&lt;1000000,"Valor inferior a $1.000.000: verificar; ",""),"Valor no interpretable; ")&amp;IF(N292="[PENDIENTE DE VERIFICAR]","Modalidad no identificable; ","")&amp;IF(OR(ISERROR(SEARCH("@itc.edu.co",J292)),SUMPRODUCT(--ISNUMBER(SEARCH({"á","é","í","ó","ú","ñ"},J292)))&gt;0),"Correo vacío o no institucional válido; ","")&amp;IF(LEN(TRIM(D292))=0,"Sin objeto contractual; ","")&amp;IF(AND(ISNUMBER(M292),N292="Mínima cuantía"),IF(M292&gt;39850000,"Mínima cuantía con valor superior al tope citado en el instructivo 2026 ($39.850.000): verificar modalidad; ",""),"")&amp;IF(AND(ISNUMBER(M292),OR(ISNUMBER(SEARCH("prestación de servicios",D292)),ISNUMBER(SEARCH("prestar servicios",D292)),ISNUMBER(SEARCH("prestar los servicios",D292)))),IF(M292&gt;=500000000,"Prestación de servicios por $500 millones o más: posible error de digitación; ",""),""))</f>
        <v/>
      </c>
    </row>
    <row r="293" ht="91.2" customHeight="1" s="23">
      <c r="A293" s="114" t="inlineStr">
        <is>
          <t>PN26-289</t>
        </is>
      </c>
      <c r="B293" s="114" t="n">
        <v>41104503</v>
      </c>
      <c r="C293" s="114" t="inlineStr">
        <is>
          <t>Talleres y Laboratorios
(Laboratorio física, química
 y biología)</t>
        </is>
      </c>
      <c r="D293" s="114" t="inlineStr">
        <is>
          <t>ADQUISICIÓN DE UN HORNO DE SECADO POR CONVECCIÓN PARA LABORATORIO CON CONTROL DIGITAL DE TEMPERATURA Y SISTEMA DE CIRCULACIÓN DE AIRE UNIFORME. EL EQUIPO DEBE CONTAR CON INTERIOR EN ACERO INOXIDABLE DE ALTA RESISTENCIA, ENTREPAÑOS AJUSTABLES Y RANGO TÉRMICO ADECUADO PARA LA ELIMINACIÓN DE HUMEDAD EN MUESTRAS Y EL ACONDICIONAMIENTO DE MATERIAL DE VIDRIO. DESTINADO AL DESARROLLO DE PRÁCTICAS EXPERIMENTALES Y ANÁLISIS FISICOQUÍMICOS EN LA ETITC.</t>
        </is>
      </c>
      <c r="E293" s="114" t="inlineStr">
        <is>
          <t>UN (1) MES</t>
        </is>
      </c>
      <c r="F293" s="114" t="inlineStr">
        <is>
          <t>MINIMA CUANTIA</t>
        </is>
      </c>
      <c r="G293" s="118" t="inlineStr">
        <is>
          <t>$12.000.000</t>
        </is>
      </c>
      <c r="H293" s="114" t="inlineStr">
        <is>
          <t>Profesional Especializado 2028-15 del Área de talleres y laboratorios</t>
        </is>
      </c>
      <c r="I293" s="114" t="inlineStr">
        <is>
          <t>(57-601) 344 3000 Ext 126</t>
        </is>
      </c>
      <c r="J293" s="114" t="inlineStr">
        <is>
          <t>talleresylaboratorios@itc.edu.co</t>
        </is>
      </c>
      <c r="K293" s="114" t="n"/>
      <c r="L293" s="119" t="inlineStr">
        <is>
          <t>125 · GIT Talleres y Laboratorios</t>
        </is>
      </c>
      <c r="M293" s="120" t="n">
        <v>12000000</v>
      </c>
      <c r="N293" s="119" t="inlineStr">
        <is>
          <t>Mínima cuantía</t>
        </is>
      </c>
      <c r="O293" s="119">
        <f>IF(LEN(IF(OR(NOT(ISNUMBER(B293)),LEN(B293)&lt;&gt;8),"UNSPSC vacío, en texto, con varios códigos o sin 8 dígitos; ","")&amp;IF(AND(ISNUMBER(B293),LEN(B293)=8),IF(MOD(B293,10000)=0,"UNSPSC a nivel de segmento o familia; ",""),"")&amp;IF(NOT(ISNUMBER(E293)),"Duración vacía o en texto; ","")&amp;IF(NOT(ISNUMBER(G293)),"Valor vacío o en texto; ","")&amp;IF(ISNUMBER(M293),IF(M293&lt;1000000,"Valor inferior a $1.000.000: verificar; ",""),"Valor no interpretable; ")&amp;IF(N293="[PENDIENTE DE VERIFICAR]","Modalidad no identificable; ","")&amp;IF(OR(ISERROR(SEARCH("@itc.edu.co",J293)),SUMPRODUCT(--ISNUMBER(SEARCH({"á","é","í","ó","ú","ñ"},J293)))&gt;0),"Correo vacío o no institucional válido; ","")&amp;IF(LEN(TRIM(D293))=0,"Sin objeto contractual; ","")&amp;IF(AND(ISNUMBER(M293),N293="Mínima cuantía"),IF(M293&gt;39850000,"Mínima cuantía con valor superior al tope citado en el instructivo 2026 ($39.850.000): verificar modalidad; ",""),"")&amp;IF(AND(ISNUMBER(M293),OR(ISNUMBER(SEARCH("prestación de servicios",D293)),ISNUMBER(SEARCH("prestar servicios",D293)),ISNUMBER(SEARCH("prestar los servicios",D293)))),IF(M293&gt;=500000000,"Prestación de servicios por $500 millones o más: posible error de digitación; ",""),""))=0,"Sin observaciones",IF(OR(NOT(ISNUMBER(B293)),LEN(B293)&lt;&gt;8),"UNSPSC vacío, en texto, con varios códigos o sin 8 dígitos; ","")&amp;IF(AND(ISNUMBER(B293),LEN(B293)=8),IF(MOD(B293,10000)=0,"UNSPSC a nivel de segmento o familia; ",""),"")&amp;IF(NOT(ISNUMBER(E293)),"Duración vacía o en texto; ","")&amp;IF(NOT(ISNUMBER(G293)),"Valor vacío o en texto; ","")&amp;IF(ISNUMBER(M293),IF(M293&lt;1000000,"Valor inferior a $1.000.000: verificar; ",""),"Valor no interpretable; ")&amp;IF(N293="[PENDIENTE DE VERIFICAR]","Modalidad no identificable; ","")&amp;IF(OR(ISERROR(SEARCH("@itc.edu.co",J293)),SUMPRODUCT(--ISNUMBER(SEARCH({"á","é","í","ó","ú","ñ"},J293)))&gt;0),"Correo vacío o no institucional válido; ","")&amp;IF(LEN(TRIM(D293))=0,"Sin objeto contractual; ","")&amp;IF(AND(ISNUMBER(M293),N293="Mínima cuantía"),IF(M293&gt;39850000,"Mínima cuantía con valor superior al tope citado en el instructivo 2026 ($39.850.000): verificar modalidad; ",""),"")&amp;IF(AND(ISNUMBER(M293),OR(ISNUMBER(SEARCH("prestación de servicios",D293)),ISNUMBER(SEARCH("prestar servicios",D293)),ISNUMBER(SEARCH("prestar los servicios",D293)))),IF(M293&gt;=500000000,"Prestación de servicios por $500 millones o más: posible error de digitación; ",""),""))</f>
        <v/>
      </c>
    </row>
    <row r="294" ht="57" customHeight="1" s="23">
      <c r="A294" s="114" t="inlineStr">
        <is>
          <t>PN26-290</t>
        </is>
      </c>
      <c r="B294" s="114" t="inlineStr">
        <is>
          <t>23261507
23261508
82141701</t>
        </is>
      </c>
      <c r="C294" s="114" t="inlineStr">
        <is>
          <t>Talleres y Laboratorios
(Taller de diseño)</t>
        </is>
      </c>
      <c r="D294" s="114" t="inlineStr">
        <is>
          <t>Adquisicion de 4 impresoras 3d con tecnologia FDM, 2 scanners 3D, 3 secadoras de filamento, 2 maquinas de lavado y curado para resina, 1 cortadora laser de escritorio y accesorios para impresoras 3D (Pegante para impresiones, boquillas, correas, disipadores, extrusores, cama de impresion, FEP impresora de resina, Pantalla impresora de resina)</t>
        </is>
      </c>
      <c r="E294" s="114" t="inlineStr">
        <is>
          <t>DOS (2) MESES</t>
        </is>
      </c>
      <c r="F294" s="114" t="inlineStr">
        <is>
          <t>MINIMA CUANTIA</t>
        </is>
      </c>
      <c r="G294" s="118" t="inlineStr">
        <is>
          <t>$67.890.000</t>
        </is>
      </c>
      <c r="H294" s="114" t="inlineStr">
        <is>
          <t>Profesional Especializado 2028-15 del Área de talleres y laboratorios</t>
        </is>
      </c>
      <c r="I294" s="114" t="inlineStr">
        <is>
          <t>(57-601) 344 3000 Ext 126</t>
        </is>
      </c>
      <c r="J294" s="114" t="inlineStr">
        <is>
          <t>talleresylaboratorios@itc.edu.co</t>
        </is>
      </c>
      <c r="K294" s="114" t="n"/>
      <c r="L294" s="119" t="inlineStr">
        <is>
          <t>125 · GIT Talleres y Laboratorios</t>
        </is>
      </c>
      <c r="M294" s="120" t="n">
        <v>67890000</v>
      </c>
      <c r="N294" s="119" t="inlineStr">
        <is>
          <t>Mínima cuantía</t>
        </is>
      </c>
      <c r="O294" s="119">
        <f>IF(LEN(IF(OR(NOT(ISNUMBER(B294)),LEN(B294)&lt;&gt;8),"UNSPSC vacío, en texto, con varios códigos o sin 8 dígitos; ","")&amp;IF(AND(ISNUMBER(B294),LEN(B294)=8),IF(MOD(B294,10000)=0,"UNSPSC a nivel de segmento o familia; ",""),"")&amp;IF(NOT(ISNUMBER(E294)),"Duración vacía o en texto; ","")&amp;IF(NOT(ISNUMBER(G294)),"Valor vacío o en texto; ","")&amp;IF(ISNUMBER(M294),IF(M294&lt;1000000,"Valor inferior a $1.000.000: verificar; ",""),"Valor no interpretable; ")&amp;IF(N294="[PENDIENTE DE VERIFICAR]","Modalidad no identificable; ","")&amp;IF(OR(ISERROR(SEARCH("@itc.edu.co",J294)),SUMPRODUCT(--ISNUMBER(SEARCH({"á","é","í","ó","ú","ñ"},J294)))&gt;0),"Correo vacío o no institucional válido; ","")&amp;IF(LEN(TRIM(D294))=0,"Sin objeto contractual; ","")&amp;IF(AND(ISNUMBER(M294),N294="Mínima cuantía"),IF(M294&gt;39850000,"Mínima cuantía con valor superior al tope citado en el instructivo 2026 ($39.850.000): verificar modalidad; ",""),"")&amp;IF(AND(ISNUMBER(M294),OR(ISNUMBER(SEARCH("prestación de servicios",D294)),ISNUMBER(SEARCH("prestar servicios",D294)),ISNUMBER(SEARCH("prestar los servicios",D294)))),IF(M294&gt;=500000000,"Prestación de servicios por $500 millones o más: posible error de digitación; ",""),""))=0,"Sin observaciones",IF(OR(NOT(ISNUMBER(B294)),LEN(B294)&lt;&gt;8),"UNSPSC vacío, en texto, con varios códigos o sin 8 dígitos; ","")&amp;IF(AND(ISNUMBER(B294),LEN(B294)=8),IF(MOD(B294,10000)=0,"UNSPSC a nivel de segmento o familia; ",""),"")&amp;IF(NOT(ISNUMBER(E294)),"Duración vacía o en texto; ","")&amp;IF(NOT(ISNUMBER(G294)),"Valor vacío o en texto; ","")&amp;IF(ISNUMBER(M294),IF(M294&lt;1000000,"Valor inferior a $1.000.000: verificar; ",""),"Valor no interpretable; ")&amp;IF(N294="[PENDIENTE DE VERIFICAR]","Modalidad no identificable; ","")&amp;IF(OR(ISERROR(SEARCH("@itc.edu.co",J294)),SUMPRODUCT(--ISNUMBER(SEARCH({"á","é","í","ó","ú","ñ"},J294)))&gt;0),"Correo vacío o no institucional válido; ","")&amp;IF(LEN(TRIM(D294))=0,"Sin objeto contractual; ","")&amp;IF(AND(ISNUMBER(M294),N294="Mínima cuantía"),IF(M294&gt;39850000,"Mínima cuantía con valor superior al tope citado en el instructivo 2026 ($39.850.000): verificar modalidad; ",""),"")&amp;IF(AND(ISNUMBER(M294),OR(ISNUMBER(SEARCH("prestación de servicios",D294)),ISNUMBER(SEARCH("prestar servicios",D294)),ISNUMBER(SEARCH("prestar los servicios",D294)))),IF(M294&gt;=500000000,"Prestación de servicios por $500 millones o más: posible error de digitación; ",""),""))</f>
        <v/>
      </c>
    </row>
    <row r="295" ht="34.2" customHeight="1" s="23">
      <c r="A295" s="114" t="inlineStr">
        <is>
          <t>PN26-291</t>
        </is>
      </c>
      <c r="B295" s="114" t="inlineStr">
        <is>
          <t>23261601
23261603</t>
        </is>
      </c>
      <c r="C295" s="114" t="inlineStr">
        <is>
          <t>Talleres y Laboratorios
(Taller de diseño)</t>
        </is>
      </c>
      <c r="D295" s="114" t="inlineStr">
        <is>
          <t>Adquision de 10 rollos de hyper PLA, 20 rollos de PLA, 5 litros de resina, 5 rollos de ABS, 6 rollos de PETG, 4 rollos de TPU</t>
        </is>
      </c>
      <c r="E295" s="114" t="inlineStr">
        <is>
          <t>UN (1) MES</t>
        </is>
      </c>
      <c r="F295" s="114" t="inlineStr">
        <is>
          <t>MINIMA CUANTIA</t>
        </is>
      </c>
      <c r="G295" s="118" t="inlineStr">
        <is>
          <t>$16.028.600</t>
        </is>
      </c>
      <c r="H295" s="114" t="inlineStr">
        <is>
          <t>Profesional Especializado 2028-15 del Área de talleres y laboratorios</t>
        </is>
      </c>
      <c r="I295" s="114" t="inlineStr">
        <is>
          <t>(57-601) 344 3000 Ext 126</t>
        </is>
      </c>
      <c r="J295" s="114" t="inlineStr">
        <is>
          <t>talleresylaboratorios@itc.edu.co</t>
        </is>
      </c>
      <c r="K295" s="114" t="n"/>
      <c r="L295" s="119" t="inlineStr">
        <is>
          <t>125 · GIT Talleres y Laboratorios</t>
        </is>
      </c>
      <c r="M295" s="120" t="n">
        <v>16028600</v>
      </c>
      <c r="N295" s="119" t="inlineStr">
        <is>
          <t>Mínima cuantía</t>
        </is>
      </c>
      <c r="O295" s="119">
        <f>IF(LEN(IF(OR(NOT(ISNUMBER(B295)),LEN(B295)&lt;&gt;8),"UNSPSC vacío, en texto, con varios códigos o sin 8 dígitos; ","")&amp;IF(AND(ISNUMBER(B295),LEN(B295)=8),IF(MOD(B295,10000)=0,"UNSPSC a nivel de segmento o familia; ",""),"")&amp;IF(NOT(ISNUMBER(E295)),"Duración vacía o en texto; ","")&amp;IF(NOT(ISNUMBER(G295)),"Valor vacío o en texto; ","")&amp;IF(ISNUMBER(M295),IF(M295&lt;1000000,"Valor inferior a $1.000.000: verificar; ",""),"Valor no interpretable; ")&amp;IF(N295="[PENDIENTE DE VERIFICAR]","Modalidad no identificable; ","")&amp;IF(OR(ISERROR(SEARCH("@itc.edu.co",J295)),SUMPRODUCT(--ISNUMBER(SEARCH({"á","é","í","ó","ú","ñ"},J295)))&gt;0),"Correo vacío o no institucional válido; ","")&amp;IF(LEN(TRIM(D295))=0,"Sin objeto contractual; ","")&amp;IF(AND(ISNUMBER(M295),N295="Mínima cuantía"),IF(M295&gt;39850000,"Mínima cuantía con valor superior al tope citado en el instructivo 2026 ($39.850.000): verificar modalidad; ",""),"")&amp;IF(AND(ISNUMBER(M295),OR(ISNUMBER(SEARCH("prestación de servicios",D295)),ISNUMBER(SEARCH("prestar servicios",D295)),ISNUMBER(SEARCH("prestar los servicios",D295)))),IF(M295&gt;=500000000,"Prestación de servicios por $500 millones o más: posible error de digitación; ",""),""))=0,"Sin observaciones",IF(OR(NOT(ISNUMBER(B295)),LEN(B295)&lt;&gt;8),"UNSPSC vacío, en texto, con varios códigos o sin 8 dígitos; ","")&amp;IF(AND(ISNUMBER(B295),LEN(B295)=8),IF(MOD(B295,10000)=0,"UNSPSC a nivel de segmento o familia; ",""),"")&amp;IF(NOT(ISNUMBER(E295)),"Duración vacía o en texto; ","")&amp;IF(NOT(ISNUMBER(G295)),"Valor vacío o en texto; ","")&amp;IF(ISNUMBER(M295),IF(M295&lt;1000000,"Valor inferior a $1.000.000: verificar; ",""),"Valor no interpretable; ")&amp;IF(N295="[PENDIENTE DE VERIFICAR]","Modalidad no identificable; ","")&amp;IF(OR(ISERROR(SEARCH("@itc.edu.co",J295)),SUMPRODUCT(--ISNUMBER(SEARCH({"á","é","í","ó","ú","ñ"},J295)))&gt;0),"Correo vacío o no institucional válido; ","")&amp;IF(LEN(TRIM(D295))=0,"Sin objeto contractual; ","")&amp;IF(AND(ISNUMBER(M295),N295="Mínima cuantía"),IF(M295&gt;39850000,"Mínima cuantía con valor superior al tope citado en el instructivo 2026 ($39.850.000): verificar modalidad; ",""),"")&amp;IF(AND(ISNUMBER(M295),OR(ISNUMBER(SEARCH("prestación de servicios",D295)),ISNUMBER(SEARCH("prestar servicios",D295)),ISNUMBER(SEARCH("prestar los servicios",D295)))),IF(M295&gt;=500000000,"Prestación de servicios por $500 millones o más: posible error de digitación; ",""),""))</f>
        <v/>
      </c>
    </row>
    <row r="296" ht="34.2" customHeight="1" s="23">
      <c r="A296" s="114" t="inlineStr">
        <is>
          <t>PN26-292</t>
        </is>
      </c>
      <c r="B296" s="114" t="n">
        <v>81101707</v>
      </c>
      <c r="C296" s="114" t="inlineStr">
        <is>
          <t>Talleres y Laboratorios
(Taller de diseño)</t>
        </is>
      </c>
      <c r="D296" s="114" t="inlineStr">
        <is>
          <t xml:space="preserve">Mantenimiento peventivo y correctivo para impresoras 3D (2 ender 5 pro, 1 artillery genius, 1 ender 3 v2, 1 k1 max, 1 k1, una halot mage s, 1 halot r6) cambio de partes de desgaste por uso. </t>
        </is>
      </c>
      <c r="E296" s="114" t="inlineStr">
        <is>
          <t>UN (1) MES</t>
        </is>
      </c>
      <c r="F296" s="114" t="inlineStr">
        <is>
          <t>MINIMA CUANTIA</t>
        </is>
      </c>
      <c r="G296" s="118" t="inlineStr">
        <is>
          <t>$12.890.000</t>
        </is>
      </c>
      <c r="H296" s="114" t="inlineStr">
        <is>
          <t>Profesional Especializado 2028-15 del Área de talleres y laboratorios</t>
        </is>
      </c>
      <c r="I296" s="114" t="inlineStr">
        <is>
          <t>(57-601) 344 3000 Ext 126</t>
        </is>
      </c>
      <c r="J296" s="114" t="inlineStr">
        <is>
          <t>talleresylaboratorios@itc.edu.co</t>
        </is>
      </c>
      <c r="K296" s="114" t="n"/>
      <c r="L296" s="119" t="inlineStr">
        <is>
          <t>125 · GIT Talleres y Laboratorios</t>
        </is>
      </c>
      <c r="M296" s="120" t="n">
        <v>12890000</v>
      </c>
      <c r="N296" s="119" t="inlineStr">
        <is>
          <t>Mínima cuantía</t>
        </is>
      </c>
      <c r="O296" s="119">
        <f>IF(LEN(IF(OR(NOT(ISNUMBER(B296)),LEN(B296)&lt;&gt;8),"UNSPSC vacío, en texto, con varios códigos o sin 8 dígitos; ","")&amp;IF(AND(ISNUMBER(B296),LEN(B296)=8),IF(MOD(B296,10000)=0,"UNSPSC a nivel de segmento o familia; ",""),"")&amp;IF(NOT(ISNUMBER(E296)),"Duración vacía o en texto; ","")&amp;IF(NOT(ISNUMBER(G296)),"Valor vacío o en texto; ","")&amp;IF(ISNUMBER(M296),IF(M296&lt;1000000,"Valor inferior a $1.000.000: verificar; ",""),"Valor no interpretable; ")&amp;IF(N296="[PENDIENTE DE VERIFICAR]","Modalidad no identificable; ","")&amp;IF(OR(ISERROR(SEARCH("@itc.edu.co",J296)),SUMPRODUCT(--ISNUMBER(SEARCH({"á","é","í","ó","ú","ñ"},J296)))&gt;0),"Correo vacío o no institucional válido; ","")&amp;IF(LEN(TRIM(D296))=0,"Sin objeto contractual; ","")&amp;IF(AND(ISNUMBER(M296),N296="Mínima cuantía"),IF(M296&gt;39850000,"Mínima cuantía con valor superior al tope citado en el instructivo 2026 ($39.850.000): verificar modalidad; ",""),"")&amp;IF(AND(ISNUMBER(M296),OR(ISNUMBER(SEARCH("prestación de servicios",D296)),ISNUMBER(SEARCH("prestar servicios",D296)),ISNUMBER(SEARCH("prestar los servicios",D296)))),IF(M296&gt;=500000000,"Prestación de servicios por $500 millones o más: posible error de digitación; ",""),""))=0,"Sin observaciones",IF(OR(NOT(ISNUMBER(B296)),LEN(B296)&lt;&gt;8),"UNSPSC vacío, en texto, con varios códigos o sin 8 dígitos; ","")&amp;IF(AND(ISNUMBER(B296),LEN(B296)=8),IF(MOD(B296,10000)=0,"UNSPSC a nivel de segmento o familia; ",""),"")&amp;IF(NOT(ISNUMBER(E296)),"Duración vacía o en texto; ","")&amp;IF(NOT(ISNUMBER(G296)),"Valor vacío o en texto; ","")&amp;IF(ISNUMBER(M296),IF(M296&lt;1000000,"Valor inferior a $1.000.000: verificar; ",""),"Valor no interpretable; ")&amp;IF(N296="[PENDIENTE DE VERIFICAR]","Modalidad no identificable; ","")&amp;IF(OR(ISERROR(SEARCH("@itc.edu.co",J296)),SUMPRODUCT(--ISNUMBER(SEARCH({"á","é","í","ó","ú","ñ"},J296)))&gt;0),"Correo vacío o no institucional válido; ","")&amp;IF(LEN(TRIM(D296))=0,"Sin objeto contractual; ","")&amp;IF(AND(ISNUMBER(M296),N296="Mínima cuantía"),IF(M296&gt;39850000,"Mínima cuantía con valor superior al tope citado en el instructivo 2026 ($39.850.000): verificar modalidad; ",""),"")&amp;IF(AND(ISNUMBER(M296),OR(ISNUMBER(SEARCH("prestación de servicios",D296)),ISNUMBER(SEARCH("prestar servicios",D296)),ISNUMBER(SEARCH("prestar los servicios",D296)))),IF(M296&gt;=500000000,"Prestación de servicios por $500 millones o más: posible error de digitación; ",""),""))</f>
        <v/>
      </c>
    </row>
    <row r="297" ht="34.2" customHeight="1" s="23">
      <c r="A297" s="114" t="inlineStr">
        <is>
          <t>PN26-293</t>
        </is>
      </c>
      <c r="B297" s="114" t="n">
        <v>44121600</v>
      </c>
      <c r="C297" s="114" t="inlineStr">
        <is>
          <t>Talleres y Laboratorios
(Taller de diseño)</t>
        </is>
      </c>
      <c r="D297" s="114" t="inlineStr">
        <is>
          <t>Adquision de materiales de papeleria</t>
        </is>
      </c>
      <c r="E297" s="114" t="inlineStr">
        <is>
          <t>UN (1) MES</t>
        </is>
      </c>
      <c r="F297" s="114" t="inlineStr">
        <is>
          <t>MINIMA CUANTIA</t>
        </is>
      </c>
      <c r="G297" s="118" t="inlineStr">
        <is>
          <t>$6.000.000</t>
        </is>
      </c>
      <c r="H297" s="114" t="inlineStr">
        <is>
          <t>Profesional Especializado 2028-15 del Área de talleres y laboratorios</t>
        </is>
      </c>
      <c r="I297" s="114" t="inlineStr">
        <is>
          <t>(57-601) 344 3000 Ext 126</t>
        </is>
      </c>
      <c r="J297" s="114" t="inlineStr">
        <is>
          <t>talleresylaboratorios@itc.edu.co</t>
        </is>
      </c>
      <c r="K297" s="114" t="n"/>
      <c r="L297" s="119" t="inlineStr">
        <is>
          <t>125 · GIT Talleres y Laboratorios</t>
        </is>
      </c>
      <c r="M297" s="120" t="n">
        <v>6000000</v>
      </c>
      <c r="N297" s="119" t="inlineStr">
        <is>
          <t>Mínima cuantía</t>
        </is>
      </c>
      <c r="O297" s="119">
        <f>IF(LEN(IF(OR(NOT(ISNUMBER(B297)),LEN(B297)&lt;&gt;8),"UNSPSC vacío, en texto, con varios códigos o sin 8 dígitos; ","")&amp;IF(AND(ISNUMBER(B297),LEN(B297)=8),IF(MOD(B297,10000)=0,"UNSPSC a nivel de segmento o familia; ",""),"")&amp;IF(NOT(ISNUMBER(E297)),"Duración vacía o en texto; ","")&amp;IF(NOT(ISNUMBER(G297)),"Valor vacío o en texto; ","")&amp;IF(ISNUMBER(M297),IF(M297&lt;1000000,"Valor inferior a $1.000.000: verificar; ",""),"Valor no interpretable; ")&amp;IF(N297="[PENDIENTE DE VERIFICAR]","Modalidad no identificable; ","")&amp;IF(OR(ISERROR(SEARCH("@itc.edu.co",J297)),SUMPRODUCT(--ISNUMBER(SEARCH({"á","é","í","ó","ú","ñ"},J297)))&gt;0),"Correo vacío o no institucional válido; ","")&amp;IF(LEN(TRIM(D297))=0,"Sin objeto contractual; ","")&amp;IF(AND(ISNUMBER(M297),N297="Mínima cuantía"),IF(M297&gt;39850000,"Mínima cuantía con valor superior al tope citado en el instructivo 2026 ($39.850.000): verificar modalidad; ",""),"")&amp;IF(AND(ISNUMBER(M297),OR(ISNUMBER(SEARCH("prestación de servicios",D297)),ISNUMBER(SEARCH("prestar servicios",D297)),ISNUMBER(SEARCH("prestar los servicios",D297)))),IF(M297&gt;=500000000,"Prestación de servicios por $500 millones o más: posible error de digitación; ",""),""))=0,"Sin observaciones",IF(OR(NOT(ISNUMBER(B297)),LEN(B297)&lt;&gt;8),"UNSPSC vacío, en texto, con varios códigos o sin 8 dígitos; ","")&amp;IF(AND(ISNUMBER(B297),LEN(B297)=8),IF(MOD(B297,10000)=0,"UNSPSC a nivel de segmento o familia; ",""),"")&amp;IF(NOT(ISNUMBER(E297)),"Duración vacía o en texto; ","")&amp;IF(NOT(ISNUMBER(G297)),"Valor vacío o en texto; ","")&amp;IF(ISNUMBER(M297),IF(M297&lt;1000000,"Valor inferior a $1.000.000: verificar; ",""),"Valor no interpretable; ")&amp;IF(N297="[PENDIENTE DE VERIFICAR]","Modalidad no identificable; ","")&amp;IF(OR(ISERROR(SEARCH("@itc.edu.co",J297)),SUMPRODUCT(--ISNUMBER(SEARCH({"á","é","í","ó","ú","ñ"},J297)))&gt;0),"Correo vacío o no institucional válido; ","")&amp;IF(LEN(TRIM(D297))=0,"Sin objeto contractual; ","")&amp;IF(AND(ISNUMBER(M297),N297="Mínima cuantía"),IF(M297&gt;39850000,"Mínima cuantía con valor superior al tope citado en el instructivo 2026 ($39.850.000): verificar modalidad; ",""),"")&amp;IF(AND(ISNUMBER(M297),OR(ISNUMBER(SEARCH("prestación de servicios",D297)),ISNUMBER(SEARCH("prestar servicios",D297)),ISNUMBER(SEARCH("prestar los servicios",D297)))),IF(M297&gt;=500000000,"Prestación de servicios por $500 millones o más: posible error de digitación; ",""),""))</f>
        <v/>
      </c>
    </row>
    <row r="298" ht="34.2" customHeight="1" s="23">
      <c r="A298" s="114" t="inlineStr">
        <is>
          <t>PN26-294</t>
        </is>
      </c>
      <c r="B298" s="114" t="n">
        <v>11101767</v>
      </c>
      <c r="C298" s="114" t="inlineStr">
        <is>
          <t>Talleres y Laboratorios
(Laboratorio Domótica)</t>
        </is>
      </c>
      <c r="D298" s="114" t="inlineStr">
        <is>
          <t>Mantenimiento preventivo y correctivo de bancos de Dómotica y maqueta de Dómotica. Capacitación de módulos HVAC y Security Expert con certificado.</t>
        </is>
      </c>
      <c r="E298" s="114" t="inlineStr">
        <is>
          <t>5 Meses</t>
        </is>
      </c>
      <c r="F298" s="114" t="inlineStr">
        <is>
          <t>SELECCIÓN ABREVIADA DE MENOR CUANTÍA</t>
        </is>
      </c>
      <c r="G298" s="118" t="inlineStr">
        <is>
          <t>$170.000.000</t>
        </is>
      </c>
      <c r="H298" s="114" t="inlineStr">
        <is>
          <t>Profesional Especializado 2028-15 del Área de talleres y laboratorios</t>
        </is>
      </c>
      <c r="I298" s="114" t="inlineStr">
        <is>
          <t>(57-601) 344 3000 Ext 126</t>
        </is>
      </c>
      <c r="J298" s="114" t="inlineStr">
        <is>
          <t>talleresylaboratorios@itc.edu.co</t>
        </is>
      </c>
      <c r="K298" s="114" t="n"/>
      <c r="L298" s="119" t="inlineStr">
        <is>
          <t>125 · GIT Talleres y Laboratorios</t>
        </is>
      </c>
      <c r="M298" s="120" t="n">
        <v>170000000</v>
      </c>
      <c r="N298" s="119" t="inlineStr">
        <is>
          <t>Selección abreviada de menor cuantía</t>
        </is>
      </c>
      <c r="O298" s="119">
        <f>IF(LEN(IF(OR(NOT(ISNUMBER(B298)),LEN(B298)&lt;&gt;8),"UNSPSC vacío, en texto, con varios códigos o sin 8 dígitos; ","")&amp;IF(AND(ISNUMBER(B298),LEN(B298)=8),IF(MOD(B298,10000)=0,"UNSPSC a nivel de segmento o familia; ",""),"")&amp;IF(NOT(ISNUMBER(E298)),"Duración vacía o en texto; ","")&amp;IF(NOT(ISNUMBER(G298)),"Valor vacío o en texto; ","")&amp;IF(ISNUMBER(M298),IF(M298&lt;1000000,"Valor inferior a $1.000.000: verificar; ",""),"Valor no interpretable; ")&amp;IF(N298="[PENDIENTE DE VERIFICAR]","Modalidad no identificable; ","")&amp;IF(OR(ISERROR(SEARCH("@itc.edu.co",J298)),SUMPRODUCT(--ISNUMBER(SEARCH({"á","é","í","ó","ú","ñ"},J298)))&gt;0),"Correo vacío o no institucional válido; ","")&amp;IF(LEN(TRIM(D298))=0,"Sin objeto contractual; ","")&amp;IF(AND(ISNUMBER(M298),N298="Mínima cuantía"),IF(M298&gt;39850000,"Mínima cuantía con valor superior al tope citado en el instructivo 2026 ($39.850.000): verificar modalidad; ",""),"")&amp;IF(AND(ISNUMBER(M298),OR(ISNUMBER(SEARCH("prestación de servicios",D298)),ISNUMBER(SEARCH("prestar servicios",D298)),ISNUMBER(SEARCH("prestar los servicios",D298)))),IF(M298&gt;=500000000,"Prestación de servicios por $500 millones o más: posible error de digitación; ",""),""))=0,"Sin observaciones",IF(OR(NOT(ISNUMBER(B298)),LEN(B298)&lt;&gt;8),"UNSPSC vacío, en texto, con varios códigos o sin 8 dígitos; ","")&amp;IF(AND(ISNUMBER(B298),LEN(B298)=8),IF(MOD(B298,10000)=0,"UNSPSC a nivel de segmento o familia; ",""),"")&amp;IF(NOT(ISNUMBER(E298)),"Duración vacía o en texto; ","")&amp;IF(NOT(ISNUMBER(G298)),"Valor vacío o en texto; ","")&amp;IF(ISNUMBER(M298),IF(M298&lt;1000000,"Valor inferior a $1.000.000: verificar; ",""),"Valor no interpretable; ")&amp;IF(N298="[PENDIENTE DE VERIFICAR]","Modalidad no identificable; ","")&amp;IF(OR(ISERROR(SEARCH("@itc.edu.co",J298)),SUMPRODUCT(--ISNUMBER(SEARCH({"á","é","í","ó","ú","ñ"},J298)))&gt;0),"Correo vacío o no institucional válido; ","")&amp;IF(LEN(TRIM(D298))=0,"Sin objeto contractual; ","")&amp;IF(AND(ISNUMBER(M298),N298="Mínima cuantía"),IF(M298&gt;39850000,"Mínima cuantía con valor superior al tope citado en el instructivo 2026 ($39.850.000): verificar modalidad; ",""),"")&amp;IF(AND(ISNUMBER(M298),OR(ISNUMBER(SEARCH("prestación de servicios",D298)),ISNUMBER(SEARCH("prestar servicios",D298)),ISNUMBER(SEARCH("prestar los servicios",D298)))),IF(M298&gt;=500000000,"Prestación de servicios por $500 millones o más: posible error de digitación; ",""),""))</f>
        <v/>
      </c>
    </row>
    <row r="299" ht="182.4" customHeight="1" s="23">
      <c r="A299" s="114" t="inlineStr">
        <is>
          <t>PN26-295</t>
        </is>
      </c>
      <c r="B299" s="114" t="inlineStr">
        <is>
          <t>73151704
73151700</t>
        </is>
      </c>
      <c r="C299" s="114" t="inlineStr">
        <is>
          <t>Talleres y Laboratorios
(Laboratorio Calidad de energía)</t>
        </is>
      </c>
      <c r="D299" s="114" t="inlineStr">
        <is>
          <t>Servicio especializado de mantenimiento segun condicion, calibración certificada y trasabilidad para los equipos de medición del laboratorio de calidad de energia, incluyendo diagnóstico técnico, ajuste, limpieza interna, verificación de funcionamiento y emisión de certificados de calibración cuando aplique. El servicio deberá cubrir los siguientes equipos del laboratorio:4 osciloscopios (marcas eresmus), 2 multímetros digitales (Eresmus), 4 pinzasa volti amperimetricas (marca erasmus), 4 transductores de correinte (marca erasmus) y 1 motor generador asincrono de 2 HP. El mantenimiento deberá garantizar la confiabilidad operativa de los equipos y la precisión de las mediciones utilizadas en las prácticas académicas del laboratorio.
ademas del mantenimeito general del laboratorio con los bancos de prueba, los cuales no se les ha realizado mantenimiento durante los ultimos 5 años, siendo este de gran importanciom debido a que el uso constante del laboratorio donde se generan pruebas de tipo diagnosticas generadas en fallas, desgastan la vida util de los bancos de pruebas asimismo alteran las mediciones realizadas en las dfiferentes practicas.</t>
        </is>
      </c>
      <c r="E299" s="114" t="inlineStr">
        <is>
          <t>5 MESES</t>
        </is>
      </c>
      <c r="F299" s="114" t="inlineStr">
        <is>
          <t>DIRECTA</t>
        </is>
      </c>
      <c r="G299" s="118" t="n">
        <v>100000000</v>
      </c>
      <c r="H299" s="114" t="inlineStr">
        <is>
          <t>Profesional Especializado 2028-15 del Área de talleres y laboratorios</t>
        </is>
      </c>
      <c r="I299" s="114" t="inlineStr">
        <is>
          <t>(57-601) 344 3000 Ext 126</t>
        </is>
      </c>
      <c r="J299" s="114" t="inlineStr">
        <is>
          <t>talleresylaboratorios@itc.edu.co</t>
        </is>
      </c>
      <c r="K299" s="114" t="n"/>
      <c r="L299" s="119" t="inlineStr">
        <is>
          <t>125 · GIT Talleres y Laboratorios</t>
        </is>
      </c>
      <c r="M299" s="120" t="n">
        <v>100000000</v>
      </c>
      <c r="N299" s="119" t="inlineStr">
        <is>
          <t>Contratación directa</t>
        </is>
      </c>
      <c r="O299" s="119">
        <f>IF(LEN(IF(OR(NOT(ISNUMBER(B299)),LEN(B299)&lt;&gt;8),"UNSPSC vacío, en texto, con varios códigos o sin 8 dígitos; ","")&amp;IF(AND(ISNUMBER(B299),LEN(B299)=8),IF(MOD(B299,10000)=0,"UNSPSC a nivel de segmento o familia; ",""),"")&amp;IF(NOT(ISNUMBER(E299)),"Duración vacía o en texto; ","")&amp;IF(NOT(ISNUMBER(G299)),"Valor vacío o en texto; ","")&amp;IF(ISNUMBER(M299),IF(M299&lt;1000000,"Valor inferior a $1.000.000: verificar; ",""),"Valor no interpretable; ")&amp;IF(N299="[PENDIENTE DE VERIFICAR]","Modalidad no identificable; ","")&amp;IF(OR(ISERROR(SEARCH("@itc.edu.co",J299)),SUMPRODUCT(--ISNUMBER(SEARCH({"á","é","í","ó","ú","ñ"},J299)))&gt;0),"Correo vacío o no institucional válido; ","")&amp;IF(LEN(TRIM(D299))=0,"Sin objeto contractual; ","")&amp;IF(AND(ISNUMBER(M299),N299="Mínima cuantía"),IF(M299&gt;39850000,"Mínima cuantía con valor superior al tope citado en el instructivo 2026 ($39.850.000): verificar modalidad; ",""),"")&amp;IF(AND(ISNUMBER(M299),OR(ISNUMBER(SEARCH("prestación de servicios",D299)),ISNUMBER(SEARCH("prestar servicios",D299)),ISNUMBER(SEARCH("prestar los servicios",D299)))),IF(M299&gt;=500000000,"Prestación de servicios por $500 millones o más: posible error de digitación; ",""),""))=0,"Sin observaciones",IF(OR(NOT(ISNUMBER(B299)),LEN(B299)&lt;&gt;8),"UNSPSC vacío, en texto, con varios códigos o sin 8 dígitos; ","")&amp;IF(AND(ISNUMBER(B299),LEN(B299)=8),IF(MOD(B299,10000)=0,"UNSPSC a nivel de segmento o familia; ",""),"")&amp;IF(NOT(ISNUMBER(E299)),"Duración vacía o en texto; ","")&amp;IF(NOT(ISNUMBER(G299)),"Valor vacío o en texto; ","")&amp;IF(ISNUMBER(M299),IF(M299&lt;1000000,"Valor inferior a $1.000.000: verificar; ",""),"Valor no interpretable; ")&amp;IF(N299="[PENDIENTE DE VERIFICAR]","Modalidad no identificable; ","")&amp;IF(OR(ISERROR(SEARCH("@itc.edu.co",J299)),SUMPRODUCT(--ISNUMBER(SEARCH({"á","é","í","ó","ú","ñ"},J299)))&gt;0),"Correo vacío o no institucional válido; ","")&amp;IF(LEN(TRIM(D299))=0,"Sin objeto contractual; ","")&amp;IF(AND(ISNUMBER(M299),N299="Mínima cuantía"),IF(M299&gt;39850000,"Mínima cuantía con valor superior al tope citado en el instructivo 2026 ($39.850.000): verificar modalidad; ",""),"")&amp;IF(AND(ISNUMBER(M299),OR(ISNUMBER(SEARCH("prestación de servicios",D299)),ISNUMBER(SEARCH("prestar servicios",D299)),ISNUMBER(SEARCH("prestar los servicios",D299)))),IF(M299&gt;=500000000,"Prestación de servicios por $500 millones o más: posible error de digitación; ",""),""))</f>
        <v/>
      </c>
    </row>
    <row r="300" ht="57" customHeight="1" s="23">
      <c r="A300" s="114" t="inlineStr">
        <is>
          <t>PN26-296</t>
        </is>
      </c>
      <c r="B300" s="114" t="n">
        <v>43211503</v>
      </c>
      <c r="C300" s="114" t="inlineStr">
        <is>
          <t>Talleres y Laboratorios
(Laboratorio industria 4.0 FESTO)</t>
        </is>
      </c>
      <c r="D300" s="114" t="inlineStr">
        <is>
          <t>Adquisición de 30 equipos de computo portatiles procesador: Intel(R) Xeon(R) W-10855M CPU @ 2.80GHz   2.81 GHz, RAM instalada: 32.0 GB (31.6 GB usable), Almacenamiento: 238 GB SSD PC SN530 NVMe WDC 256GB, 1.82 TB HDD ST2000LM007-1R8174, Tarjeta gráfica: NVIDIA Quadro P620 (4 GB), Intel(R) UHD Graphics P630 (128 MB), Tipo de sistema Sistema operativo de 64 bits</t>
        </is>
      </c>
      <c r="E300" s="114" t="inlineStr">
        <is>
          <t xml:space="preserve">1 mes </t>
        </is>
      </c>
      <c r="F300" s="114" t="inlineStr">
        <is>
          <t>SELECCIÓN ABREVIADA DE MENOR CUANTÍA</t>
        </is>
      </c>
      <c r="G300" s="118" t="inlineStr">
        <is>
          <t>$ 270.000.000</t>
        </is>
      </c>
      <c r="H300" s="114" t="inlineStr">
        <is>
          <t>Profesional Especializado 2028-15 del Área de talleres y laboratorios</t>
        </is>
      </c>
      <c r="I300" s="114" t="inlineStr">
        <is>
          <t>(57-601) 344 3000 Ext 126</t>
        </is>
      </c>
      <c r="J300" s="114" t="inlineStr">
        <is>
          <t>talleresylaboratorios@itc.edu.co</t>
        </is>
      </c>
      <c r="K300" s="114" t="n"/>
      <c r="L300" s="119" t="inlineStr">
        <is>
          <t>125 · GIT Talleres y Laboratorios</t>
        </is>
      </c>
      <c r="M300" s="120" t="n">
        <v>270000000</v>
      </c>
      <c r="N300" s="119" t="inlineStr">
        <is>
          <t>Selección abreviada de menor cuantía</t>
        </is>
      </c>
      <c r="O300" s="119">
        <f>IF(LEN(IF(OR(NOT(ISNUMBER(B300)),LEN(B300)&lt;&gt;8),"UNSPSC vacío, en texto, con varios códigos o sin 8 dígitos; ","")&amp;IF(AND(ISNUMBER(B300),LEN(B300)=8),IF(MOD(B300,10000)=0,"UNSPSC a nivel de segmento o familia; ",""),"")&amp;IF(NOT(ISNUMBER(E300)),"Duración vacía o en texto; ","")&amp;IF(NOT(ISNUMBER(G300)),"Valor vacío o en texto; ","")&amp;IF(ISNUMBER(M300),IF(M300&lt;1000000,"Valor inferior a $1.000.000: verificar; ",""),"Valor no interpretable; ")&amp;IF(N300="[PENDIENTE DE VERIFICAR]","Modalidad no identificable; ","")&amp;IF(OR(ISERROR(SEARCH("@itc.edu.co",J300)),SUMPRODUCT(--ISNUMBER(SEARCH({"á","é","í","ó","ú","ñ"},J300)))&gt;0),"Correo vacío o no institucional válido; ","")&amp;IF(LEN(TRIM(D300))=0,"Sin objeto contractual; ","")&amp;IF(AND(ISNUMBER(M300),N300="Mínima cuantía"),IF(M300&gt;39850000,"Mínima cuantía con valor superior al tope citado en el instructivo 2026 ($39.850.000): verificar modalidad; ",""),"")&amp;IF(AND(ISNUMBER(M300),OR(ISNUMBER(SEARCH("prestación de servicios",D300)),ISNUMBER(SEARCH("prestar servicios",D300)),ISNUMBER(SEARCH("prestar los servicios",D300)))),IF(M300&gt;=500000000,"Prestación de servicios por $500 millones o más: posible error de digitación; ",""),""))=0,"Sin observaciones",IF(OR(NOT(ISNUMBER(B300)),LEN(B300)&lt;&gt;8),"UNSPSC vacío, en texto, con varios códigos o sin 8 dígitos; ","")&amp;IF(AND(ISNUMBER(B300),LEN(B300)=8),IF(MOD(B300,10000)=0,"UNSPSC a nivel de segmento o familia; ",""),"")&amp;IF(NOT(ISNUMBER(E300)),"Duración vacía o en texto; ","")&amp;IF(NOT(ISNUMBER(G300)),"Valor vacío o en texto; ","")&amp;IF(ISNUMBER(M300),IF(M300&lt;1000000,"Valor inferior a $1.000.000: verificar; ",""),"Valor no interpretable; ")&amp;IF(N300="[PENDIENTE DE VERIFICAR]","Modalidad no identificable; ","")&amp;IF(OR(ISERROR(SEARCH("@itc.edu.co",J300)),SUMPRODUCT(--ISNUMBER(SEARCH({"á","é","í","ó","ú","ñ"},J300)))&gt;0),"Correo vacío o no institucional válido; ","")&amp;IF(LEN(TRIM(D300))=0,"Sin objeto contractual; ","")&amp;IF(AND(ISNUMBER(M300),N300="Mínima cuantía"),IF(M300&gt;39850000,"Mínima cuantía con valor superior al tope citado en el instructivo 2026 ($39.850.000): verificar modalidad; ",""),"")&amp;IF(AND(ISNUMBER(M300),OR(ISNUMBER(SEARCH("prestación de servicios",D300)),ISNUMBER(SEARCH("prestar servicios",D300)),ISNUMBER(SEARCH("prestar los servicios",D300)))),IF(M300&gt;=500000000,"Prestación de servicios por $500 millones o más: posible error de digitación; ",""),""))</f>
        <v/>
      </c>
    </row>
    <row r="301" ht="34.2" customHeight="1" s="23">
      <c r="A301" s="114" t="inlineStr">
        <is>
          <t>PN26-297</t>
        </is>
      </c>
      <c r="B301" s="114" t="n">
        <v>43231513</v>
      </c>
      <c r="C301" s="114" t="inlineStr">
        <is>
          <t>Talleres y Laboratorios
(Laboratorio industria 4.0 FESTO)</t>
        </is>
      </c>
      <c r="D301" s="114" t="inlineStr">
        <is>
          <t>Actualización e instalación de sodtware TIA Portal , CODESYS y Factory I/O; para 30 equipos de computo.</t>
        </is>
      </c>
      <c r="E301" s="114" t="inlineStr">
        <is>
          <t xml:space="preserve"> </t>
        </is>
      </c>
      <c r="F301" s="114" t="inlineStr">
        <is>
          <t>SELECCIÓN ABREVIADA DE MENOR CUANTÍA</t>
        </is>
      </c>
      <c r="G301" s="118" t="inlineStr">
        <is>
          <t>$39.000.000</t>
        </is>
      </c>
      <c r="H301" s="114" t="inlineStr">
        <is>
          <t>Profesional Especializado 2028-15 del Área de talleres y laboratorios</t>
        </is>
      </c>
      <c r="I301" s="114" t="inlineStr">
        <is>
          <t>(57-601) 344 3000 Ext 126</t>
        </is>
      </c>
      <c r="J301" s="114" t="inlineStr">
        <is>
          <t>talleresylaboratorios@itc.edu.co</t>
        </is>
      </c>
      <c r="K301" s="114" t="n"/>
      <c r="L301" s="119" t="inlineStr">
        <is>
          <t>125 · GIT Talleres y Laboratorios</t>
        </is>
      </c>
      <c r="M301" s="120" t="n">
        <v>39000000</v>
      </c>
      <c r="N301" s="119" t="inlineStr">
        <is>
          <t>Selección abreviada de menor cuantía</t>
        </is>
      </c>
      <c r="O301" s="119">
        <f>IF(LEN(IF(OR(NOT(ISNUMBER(B301)),LEN(B301)&lt;&gt;8),"UNSPSC vacío, en texto, con varios códigos o sin 8 dígitos; ","")&amp;IF(AND(ISNUMBER(B301),LEN(B301)=8),IF(MOD(B301,10000)=0,"UNSPSC a nivel de segmento o familia; ",""),"")&amp;IF(NOT(ISNUMBER(E301)),"Duración vacía o en texto; ","")&amp;IF(NOT(ISNUMBER(G301)),"Valor vacío o en texto; ","")&amp;IF(ISNUMBER(M301),IF(M301&lt;1000000,"Valor inferior a $1.000.000: verificar; ",""),"Valor no interpretable; ")&amp;IF(N301="[PENDIENTE DE VERIFICAR]","Modalidad no identificable; ","")&amp;IF(OR(ISERROR(SEARCH("@itc.edu.co",J301)),SUMPRODUCT(--ISNUMBER(SEARCH({"á","é","í","ó","ú","ñ"},J301)))&gt;0),"Correo vacío o no institucional válido; ","")&amp;IF(LEN(TRIM(D301))=0,"Sin objeto contractual; ","")&amp;IF(AND(ISNUMBER(M301),N301="Mínima cuantía"),IF(M301&gt;39850000,"Mínima cuantía con valor superior al tope citado en el instructivo 2026 ($39.850.000): verificar modalidad; ",""),"")&amp;IF(AND(ISNUMBER(M301),OR(ISNUMBER(SEARCH("prestación de servicios",D301)),ISNUMBER(SEARCH("prestar servicios",D301)),ISNUMBER(SEARCH("prestar los servicios",D301)))),IF(M301&gt;=500000000,"Prestación de servicios por $500 millones o más: posible error de digitación; ",""),""))=0,"Sin observaciones",IF(OR(NOT(ISNUMBER(B301)),LEN(B301)&lt;&gt;8),"UNSPSC vacío, en texto, con varios códigos o sin 8 dígitos; ","")&amp;IF(AND(ISNUMBER(B301),LEN(B301)=8),IF(MOD(B301,10000)=0,"UNSPSC a nivel de segmento o familia; ",""),"")&amp;IF(NOT(ISNUMBER(E301)),"Duración vacía o en texto; ","")&amp;IF(NOT(ISNUMBER(G301)),"Valor vacío o en texto; ","")&amp;IF(ISNUMBER(M301),IF(M301&lt;1000000,"Valor inferior a $1.000.000: verificar; ",""),"Valor no interpretable; ")&amp;IF(N301="[PENDIENTE DE VERIFICAR]","Modalidad no identificable; ","")&amp;IF(OR(ISERROR(SEARCH("@itc.edu.co",J301)),SUMPRODUCT(--ISNUMBER(SEARCH({"á","é","í","ó","ú","ñ"},J301)))&gt;0),"Correo vacío o no institucional válido; ","")&amp;IF(LEN(TRIM(D301))=0,"Sin objeto contractual; ","")&amp;IF(AND(ISNUMBER(M301),N301="Mínima cuantía"),IF(M301&gt;39850000,"Mínima cuantía con valor superior al tope citado en el instructivo 2026 ($39.850.000): verificar modalidad; ",""),"")&amp;IF(AND(ISNUMBER(M301),OR(ISNUMBER(SEARCH("prestación de servicios",D301)),ISNUMBER(SEARCH("prestar servicios",D301)),ISNUMBER(SEARCH("prestar los servicios",D301)))),IF(M301&gt;=500000000,"Prestación de servicios por $500 millones o más: posible error de digitación; ",""),""))</f>
        <v/>
      </c>
    </row>
    <row r="302" ht="34.2" customHeight="1" s="23">
      <c r="A302" s="114" t="inlineStr">
        <is>
          <t>PN26-298</t>
        </is>
      </c>
      <c r="B302" s="114" t="n">
        <v>56101504</v>
      </c>
      <c r="C302" s="114" t="inlineStr">
        <is>
          <t>Talleres y Laboratorios
(Laboratorio industria 4.0 FESTO)</t>
        </is>
      </c>
      <c r="D302" s="114" t="inlineStr">
        <is>
          <t>Adquisición de 30 sillas azules tipo oficina con rodachinas</t>
        </is>
      </c>
      <c r="E302" s="114" t="inlineStr">
        <is>
          <t xml:space="preserve"> </t>
        </is>
      </c>
      <c r="F302" s="114" t="inlineStr">
        <is>
          <t>SELECCIÓN ABREVIADA DE MENOR CUANTÍA</t>
        </is>
      </c>
      <c r="G302" s="118" t="inlineStr">
        <is>
          <t>$ 6.000.000</t>
        </is>
      </c>
      <c r="H302" s="114" t="inlineStr">
        <is>
          <t>Profesional Especializado 2028-15 del Área de talleres y laboratorios</t>
        </is>
      </c>
      <c r="I302" s="114" t="inlineStr">
        <is>
          <t>(57-601) 344 3000 Ext 126</t>
        </is>
      </c>
      <c r="J302" s="114" t="inlineStr">
        <is>
          <t>talleresylaboratorios@itc.edu.co</t>
        </is>
      </c>
      <c r="K302" s="114" t="n"/>
      <c r="L302" s="119" t="inlineStr">
        <is>
          <t>125 · GIT Talleres y Laboratorios</t>
        </is>
      </c>
      <c r="M302" s="120" t="n">
        <v>6000000</v>
      </c>
      <c r="N302" s="119" t="inlineStr">
        <is>
          <t>Selección abreviada de menor cuantía</t>
        </is>
      </c>
      <c r="O302" s="119">
        <f>IF(LEN(IF(OR(NOT(ISNUMBER(B302)),LEN(B302)&lt;&gt;8),"UNSPSC vacío, en texto, con varios códigos o sin 8 dígitos; ","")&amp;IF(AND(ISNUMBER(B302),LEN(B302)=8),IF(MOD(B302,10000)=0,"UNSPSC a nivel de segmento o familia; ",""),"")&amp;IF(NOT(ISNUMBER(E302)),"Duración vacía o en texto; ","")&amp;IF(NOT(ISNUMBER(G302)),"Valor vacío o en texto; ","")&amp;IF(ISNUMBER(M302),IF(M302&lt;1000000,"Valor inferior a $1.000.000: verificar; ",""),"Valor no interpretable; ")&amp;IF(N302="[PENDIENTE DE VERIFICAR]","Modalidad no identificable; ","")&amp;IF(OR(ISERROR(SEARCH("@itc.edu.co",J302)),SUMPRODUCT(--ISNUMBER(SEARCH({"á","é","í","ó","ú","ñ"},J302)))&gt;0),"Correo vacío o no institucional válido; ","")&amp;IF(LEN(TRIM(D302))=0,"Sin objeto contractual; ","")&amp;IF(AND(ISNUMBER(M302),N302="Mínima cuantía"),IF(M302&gt;39850000,"Mínima cuantía con valor superior al tope citado en el instructivo 2026 ($39.850.000): verificar modalidad; ",""),"")&amp;IF(AND(ISNUMBER(M302),OR(ISNUMBER(SEARCH("prestación de servicios",D302)),ISNUMBER(SEARCH("prestar servicios",D302)),ISNUMBER(SEARCH("prestar los servicios",D302)))),IF(M302&gt;=500000000,"Prestación de servicios por $500 millones o más: posible error de digitación; ",""),""))=0,"Sin observaciones",IF(OR(NOT(ISNUMBER(B302)),LEN(B302)&lt;&gt;8),"UNSPSC vacío, en texto, con varios códigos o sin 8 dígitos; ","")&amp;IF(AND(ISNUMBER(B302),LEN(B302)=8),IF(MOD(B302,10000)=0,"UNSPSC a nivel de segmento o familia; ",""),"")&amp;IF(NOT(ISNUMBER(E302)),"Duración vacía o en texto; ","")&amp;IF(NOT(ISNUMBER(G302)),"Valor vacío o en texto; ","")&amp;IF(ISNUMBER(M302),IF(M302&lt;1000000,"Valor inferior a $1.000.000: verificar; ",""),"Valor no interpretable; ")&amp;IF(N302="[PENDIENTE DE VERIFICAR]","Modalidad no identificable; ","")&amp;IF(OR(ISERROR(SEARCH("@itc.edu.co",J302)),SUMPRODUCT(--ISNUMBER(SEARCH({"á","é","í","ó","ú","ñ"},J302)))&gt;0),"Correo vacío o no institucional válido; ","")&amp;IF(LEN(TRIM(D302))=0,"Sin objeto contractual; ","")&amp;IF(AND(ISNUMBER(M302),N302="Mínima cuantía"),IF(M302&gt;39850000,"Mínima cuantía con valor superior al tope citado en el instructivo 2026 ($39.850.000): verificar modalidad; ",""),"")&amp;IF(AND(ISNUMBER(M302),OR(ISNUMBER(SEARCH("prestación de servicios",D302)),ISNUMBER(SEARCH("prestar servicios",D302)),ISNUMBER(SEARCH("prestar los servicios",D302)))),IF(M302&gt;=500000000,"Prestación de servicios por $500 millones o más: posible error de digitación; ",""),""))</f>
        <v/>
      </c>
    </row>
    <row r="303" ht="34.2" customHeight="1" s="23">
      <c r="A303" s="114" t="inlineStr">
        <is>
          <t>PN26-299</t>
        </is>
      </c>
      <c r="B303" s="114" t="n">
        <v>43211903</v>
      </c>
      <c r="C303" s="114" t="inlineStr">
        <is>
          <t>Talleres y Laboratorios
(Laboratorio industria 4.0 FESTO)</t>
        </is>
      </c>
      <c r="D303" s="114" t="inlineStr">
        <is>
          <t>Adquisición de pantalla táctil (OneScreen) T6 75" con compatibilidad HDMI en buen estado, resoluciones Full HD o superiores</t>
        </is>
      </c>
      <c r="E303" s="114" t="inlineStr">
        <is>
          <t xml:space="preserve"> </t>
        </is>
      </c>
      <c r="F303" s="114" t="inlineStr">
        <is>
          <t>SELECCIÓN ABREVIADA DE MENOR CUANTÍA</t>
        </is>
      </c>
      <c r="G303" s="118" t="inlineStr">
        <is>
          <t>$11.000.000</t>
        </is>
      </c>
      <c r="H303" s="114" t="inlineStr">
        <is>
          <t>Profesional Especializado 2028-15 del Área de talleres y laboratorios</t>
        </is>
      </c>
      <c r="I303" s="114" t="inlineStr">
        <is>
          <t>(57-601) 344 3000 Ext 126</t>
        </is>
      </c>
      <c r="J303" s="114" t="inlineStr">
        <is>
          <t>talleresylaboratorios@itc.edu.co</t>
        </is>
      </c>
      <c r="K303" s="114" t="n"/>
      <c r="L303" s="119" t="inlineStr">
        <is>
          <t>125 · GIT Talleres y Laboratorios</t>
        </is>
      </c>
      <c r="M303" s="120" t="n">
        <v>11000000</v>
      </c>
      <c r="N303" s="119" t="inlineStr">
        <is>
          <t>Selección abreviada de menor cuantía</t>
        </is>
      </c>
      <c r="O303" s="119">
        <f>IF(LEN(IF(OR(NOT(ISNUMBER(B303)),LEN(B303)&lt;&gt;8),"UNSPSC vacío, en texto, con varios códigos o sin 8 dígitos; ","")&amp;IF(AND(ISNUMBER(B303),LEN(B303)=8),IF(MOD(B303,10000)=0,"UNSPSC a nivel de segmento o familia; ",""),"")&amp;IF(NOT(ISNUMBER(E303)),"Duración vacía o en texto; ","")&amp;IF(NOT(ISNUMBER(G303)),"Valor vacío o en texto; ","")&amp;IF(ISNUMBER(M303),IF(M303&lt;1000000,"Valor inferior a $1.000.000: verificar; ",""),"Valor no interpretable; ")&amp;IF(N303="[PENDIENTE DE VERIFICAR]","Modalidad no identificable; ","")&amp;IF(OR(ISERROR(SEARCH("@itc.edu.co",J303)),SUMPRODUCT(--ISNUMBER(SEARCH({"á","é","í","ó","ú","ñ"},J303)))&gt;0),"Correo vacío o no institucional válido; ","")&amp;IF(LEN(TRIM(D303))=0,"Sin objeto contractual; ","")&amp;IF(AND(ISNUMBER(M303),N303="Mínima cuantía"),IF(M303&gt;39850000,"Mínima cuantía con valor superior al tope citado en el instructivo 2026 ($39.850.000): verificar modalidad; ",""),"")&amp;IF(AND(ISNUMBER(M303),OR(ISNUMBER(SEARCH("prestación de servicios",D303)),ISNUMBER(SEARCH("prestar servicios",D303)),ISNUMBER(SEARCH("prestar los servicios",D303)))),IF(M303&gt;=500000000,"Prestación de servicios por $500 millones o más: posible error de digitación; ",""),""))=0,"Sin observaciones",IF(OR(NOT(ISNUMBER(B303)),LEN(B303)&lt;&gt;8),"UNSPSC vacío, en texto, con varios códigos o sin 8 dígitos; ","")&amp;IF(AND(ISNUMBER(B303),LEN(B303)=8),IF(MOD(B303,10000)=0,"UNSPSC a nivel de segmento o familia; ",""),"")&amp;IF(NOT(ISNUMBER(E303)),"Duración vacía o en texto; ","")&amp;IF(NOT(ISNUMBER(G303)),"Valor vacío o en texto; ","")&amp;IF(ISNUMBER(M303),IF(M303&lt;1000000,"Valor inferior a $1.000.000: verificar; ",""),"Valor no interpretable; ")&amp;IF(N303="[PENDIENTE DE VERIFICAR]","Modalidad no identificable; ","")&amp;IF(OR(ISERROR(SEARCH("@itc.edu.co",J303)),SUMPRODUCT(--ISNUMBER(SEARCH({"á","é","í","ó","ú","ñ"},J303)))&gt;0),"Correo vacío o no institucional válido; ","")&amp;IF(LEN(TRIM(D303))=0,"Sin objeto contractual; ","")&amp;IF(AND(ISNUMBER(M303),N303="Mínima cuantía"),IF(M303&gt;39850000,"Mínima cuantía con valor superior al tope citado en el instructivo 2026 ($39.850.000): verificar modalidad; ",""),"")&amp;IF(AND(ISNUMBER(M303),OR(ISNUMBER(SEARCH("prestación de servicios",D303)),ISNUMBER(SEARCH("prestar servicios",D303)),ISNUMBER(SEARCH("prestar los servicios",D303)))),IF(M303&gt;=500000000,"Prestación de servicios por $500 millones o más: posible error de digitación; ",""),""))</f>
        <v/>
      </c>
    </row>
    <row r="304" ht="91.2" customHeight="1" s="23">
      <c r="A304" s="114" t="inlineStr">
        <is>
          <t>PN26-300</t>
        </is>
      </c>
      <c r="B304" s="114" t="inlineStr">
        <is>
          <t xml:space="preserve">30264800                                     30263600       30264900   </t>
        </is>
      </c>
      <c r="C304" s="114" t="inlineStr">
        <is>
          <t>Talleres y Laboratorios
(Laboratorio de tratamientos
 térmicos)</t>
        </is>
      </c>
      <c r="D304" s="114" t="inlineStr">
        <is>
          <t xml:space="preserve">Adquisición de materia prima metálica, consumibles, abrasivos, resinas, reactivos químicos y herramientas de mano para el laboratorio de tratamientos térmicos, destinada a la fabricación y preparación de probetas para ensayos de metalografía, dureza y tratamientos térmicos, con el fin de garantizar el flujo de trabajo continuo en actividades académicas y de investigación, propias del laboratrio de Tratamientos Térmicos.
Los materiales incluyen:                                                                                                                                                                                                                                                                                                                                                                                           1. Metales ferrosos y no ferrosos: aceros de bajo, medio y                                                                                                        </t>
        </is>
      </c>
      <c r="E304" s="114" t="inlineStr">
        <is>
          <t>UN (1) MES</t>
        </is>
      </c>
      <c r="F304" s="114" t="inlineStr">
        <is>
          <t>Mínima cuantía</t>
        </is>
      </c>
      <c r="G304" s="118" t="inlineStr">
        <is>
          <t>$20´000,000</t>
        </is>
      </c>
      <c r="H304" s="114" t="inlineStr">
        <is>
          <t>Profesional Especializado 2028-15 del Área de talleres y laboratorios</t>
        </is>
      </c>
      <c r="I304" s="114" t="inlineStr">
        <is>
          <t>(57-601) 344 3000 Ext 126</t>
        </is>
      </c>
      <c r="J304" s="114" t="inlineStr">
        <is>
          <t>talleresylaboratorios@itc.edu.co</t>
        </is>
      </c>
      <c r="K304" s="114" t="n"/>
      <c r="L304" s="119" t="inlineStr">
        <is>
          <t>125 · GIT Talleres y Laboratorios</t>
        </is>
      </c>
      <c r="M304" s="120" t="n">
        <v>20000000</v>
      </c>
      <c r="N304" s="119" t="inlineStr">
        <is>
          <t>Mínima cuantía</t>
        </is>
      </c>
      <c r="O304" s="119">
        <f>IF(LEN(IF(OR(NOT(ISNUMBER(B304)),LEN(B304)&lt;&gt;8),"UNSPSC vacío, en texto, con varios códigos o sin 8 dígitos; ","")&amp;IF(AND(ISNUMBER(B304),LEN(B304)=8),IF(MOD(B304,10000)=0,"UNSPSC a nivel de segmento o familia; ",""),"")&amp;IF(NOT(ISNUMBER(E304)),"Duración vacía o en texto; ","")&amp;IF(NOT(ISNUMBER(G304)),"Valor vacío o en texto; ","")&amp;IF(ISNUMBER(M304),IF(M304&lt;1000000,"Valor inferior a $1.000.000: verificar; ",""),"Valor no interpretable; ")&amp;IF(N304="[PENDIENTE DE VERIFICAR]","Modalidad no identificable; ","")&amp;IF(OR(ISERROR(SEARCH("@itc.edu.co",J304)),SUMPRODUCT(--ISNUMBER(SEARCH({"á","é","í","ó","ú","ñ"},J304)))&gt;0),"Correo vacío o no institucional válido; ","")&amp;IF(LEN(TRIM(D304))=0,"Sin objeto contractual; ","")&amp;IF(AND(ISNUMBER(M304),N304="Mínima cuantía"),IF(M304&gt;39850000,"Mínima cuantía con valor superior al tope citado en el instructivo 2026 ($39.850.000): verificar modalidad; ",""),"")&amp;IF(AND(ISNUMBER(M304),OR(ISNUMBER(SEARCH("prestación de servicios",D304)),ISNUMBER(SEARCH("prestar servicios",D304)),ISNUMBER(SEARCH("prestar los servicios",D304)))),IF(M304&gt;=500000000,"Prestación de servicios por $500 millones o más: posible error de digitación; ",""),""))=0,"Sin observaciones",IF(OR(NOT(ISNUMBER(B304)),LEN(B304)&lt;&gt;8),"UNSPSC vacío, en texto, con varios códigos o sin 8 dígitos; ","")&amp;IF(AND(ISNUMBER(B304),LEN(B304)=8),IF(MOD(B304,10000)=0,"UNSPSC a nivel de segmento o familia; ",""),"")&amp;IF(NOT(ISNUMBER(E304)),"Duración vacía o en texto; ","")&amp;IF(NOT(ISNUMBER(G304)),"Valor vacío o en texto; ","")&amp;IF(ISNUMBER(M304),IF(M304&lt;1000000,"Valor inferior a $1.000.000: verificar; ",""),"Valor no interpretable; ")&amp;IF(N304="[PENDIENTE DE VERIFICAR]","Modalidad no identificable; ","")&amp;IF(OR(ISERROR(SEARCH("@itc.edu.co",J304)),SUMPRODUCT(--ISNUMBER(SEARCH({"á","é","í","ó","ú","ñ"},J304)))&gt;0),"Correo vacío o no institucional válido; ","")&amp;IF(LEN(TRIM(D304))=0,"Sin objeto contractual; ","")&amp;IF(AND(ISNUMBER(M304),N304="Mínima cuantía"),IF(M304&gt;39850000,"Mínima cuantía con valor superior al tope citado en el instructivo 2026 ($39.850.000): verificar modalidad; ",""),"")&amp;IF(AND(ISNUMBER(M304),OR(ISNUMBER(SEARCH("prestación de servicios",D304)),ISNUMBER(SEARCH("prestar servicios",D304)),ISNUMBER(SEARCH("prestar los servicios",D304)))),IF(M304&gt;=500000000,"Prestación de servicios por $500 millones o más: posible error de digitación; ",""),""))</f>
        <v/>
      </c>
    </row>
    <row r="305" ht="239.4" customHeight="1" s="23">
      <c r="A305" s="114" t="inlineStr">
        <is>
          <t>PN26-301</t>
        </is>
      </c>
      <c r="B305" s="114" t="n">
        <v>23101508</v>
      </c>
      <c r="C305" s="114" t="inlineStr">
        <is>
          <t>Talleres y Laboratorios
(Laboratorio de tratamientos 
térmicos)</t>
        </is>
      </c>
      <c r="D305" s="114" t="inlineStr">
        <is>
          <t>Adquisición, suministro e instalación de una cortadora metalográfica con sus respectivos insumos para el Laboratorio de Tratamientos Térmicos de la Escuela Tecnológica Instituto Técnico Central, con el fin de garantizar la preparación de probetas para ensayos de metalografía, dureza, tratamientos térmicos y análisis por espectrometría de emisión óptica, en apoyo a las actividades de docencia, prácticas académicas e investigación propias del laboratorio.
El suministro deberá incluir:
*Cortadora metalográfica de precisión con capacidad de corte de metales ferrosos y no ferrosos, equipada con sistemas de seguridad y control de velocidad.
*Discos de corte de diamante para corte de diferentes aleaciones y espesores de probetas.
*Sistema de refrigeración y fluidos refrigerantes para garantizar cortes sin sobrecalentamiento ni deformación de la muestra.
*Accesorios y consumibles necesarios para el funcionamiento inicial, incluyendo abrazaderas, prensas o mordazas, llaves y repuestos básicos.
*Capacitación técnica al personal del laboratorio para la correcta operación, mantenimiento preventivo y seguridad del equipo.
*Garantía y servicio postventa, incluyendo soporte técnico y suministro de repuestos durante el periodo indicado por el fabricante.</t>
        </is>
      </c>
      <c r="E305" s="114" t="inlineStr">
        <is>
          <t>DOS (2) MESES</t>
        </is>
      </c>
      <c r="F305" s="114" t="inlineStr">
        <is>
          <t>MINIMA CUANTIA</t>
        </is>
      </c>
      <c r="G305" s="118" t="inlineStr">
        <is>
          <t>$70´000,000</t>
        </is>
      </c>
      <c r="H305" s="114" t="inlineStr">
        <is>
          <t>Profesional Especializado 2028-15 del Área de talleres y laboratorios</t>
        </is>
      </c>
      <c r="I305" s="114" t="inlineStr">
        <is>
          <t>(57-601) 344 3000 Ext 126</t>
        </is>
      </c>
      <c r="J305" s="114" t="inlineStr">
        <is>
          <t>talleresylaboratorios@itc.edu.co</t>
        </is>
      </c>
      <c r="K305" s="114" t="n"/>
      <c r="L305" s="119" t="inlineStr">
        <is>
          <t>125 · GIT Talleres y Laboratorios</t>
        </is>
      </c>
      <c r="M305" s="120" t="n">
        <v>70000000</v>
      </c>
      <c r="N305" s="119" t="inlineStr">
        <is>
          <t>Mínima cuantía</t>
        </is>
      </c>
      <c r="O305" s="119">
        <f>IF(LEN(IF(OR(NOT(ISNUMBER(B305)),LEN(B305)&lt;&gt;8),"UNSPSC vacío, en texto, con varios códigos o sin 8 dígitos; ","")&amp;IF(AND(ISNUMBER(B305),LEN(B305)=8),IF(MOD(B305,10000)=0,"UNSPSC a nivel de segmento o familia; ",""),"")&amp;IF(NOT(ISNUMBER(E305)),"Duración vacía o en texto; ","")&amp;IF(NOT(ISNUMBER(G305)),"Valor vacío o en texto; ","")&amp;IF(ISNUMBER(M305),IF(M305&lt;1000000,"Valor inferior a $1.000.000: verificar; ",""),"Valor no interpretable; ")&amp;IF(N305="[PENDIENTE DE VERIFICAR]","Modalidad no identificable; ","")&amp;IF(OR(ISERROR(SEARCH("@itc.edu.co",J305)),SUMPRODUCT(--ISNUMBER(SEARCH({"á","é","í","ó","ú","ñ"},J305)))&gt;0),"Correo vacío o no institucional válido; ","")&amp;IF(LEN(TRIM(D305))=0,"Sin objeto contractual; ","")&amp;IF(AND(ISNUMBER(M305),N305="Mínima cuantía"),IF(M305&gt;39850000,"Mínima cuantía con valor superior al tope citado en el instructivo 2026 ($39.850.000): verificar modalidad; ",""),"")&amp;IF(AND(ISNUMBER(M305),OR(ISNUMBER(SEARCH("prestación de servicios",D305)),ISNUMBER(SEARCH("prestar servicios",D305)),ISNUMBER(SEARCH("prestar los servicios",D305)))),IF(M305&gt;=500000000,"Prestación de servicios por $500 millones o más: posible error de digitación; ",""),""))=0,"Sin observaciones",IF(OR(NOT(ISNUMBER(B305)),LEN(B305)&lt;&gt;8),"UNSPSC vacío, en texto, con varios códigos o sin 8 dígitos; ","")&amp;IF(AND(ISNUMBER(B305),LEN(B305)=8),IF(MOD(B305,10000)=0,"UNSPSC a nivel de segmento o familia; ",""),"")&amp;IF(NOT(ISNUMBER(E305)),"Duración vacía o en texto; ","")&amp;IF(NOT(ISNUMBER(G305)),"Valor vacío o en texto; ","")&amp;IF(ISNUMBER(M305),IF(M305&lt;1000000,"Valor inferior a $1.000.000: verificar; ",""),"Valor no interpretable; ")&amp;IF(N305="[PENDIENTE DE VERIFICAR]","Modalidad no identificable; ","")&amp;IF(OR(ISERROR(SEARCH("@itc.edu.co",J305)),SUMPRODUCT(--ISNUMBER(SEARCH({"á","é","í","ó","ú","ñ"},J305)))&gt;0),"Correo vacío o no institucional válido; ","")&amp;IF(LEN(TRIM(D305))=0,"Sin objeto contractual; ","")&amp;IF(AND(ISNUMBER(M305),N305="Mínima cuantía"),IF(M305&gt;39850000,"Mínima cuantía con valor superior al tope citado en el instructivo 2026 ($39.850.000): verificar modalidad; ",""),"")&amp;IF(AND(ISNUMBER(M305),OR(ISNUMBER(SEARCH("prestación de servicios",D305)),ISNUMBER(SEARCH("prestar servicios",D305)),ISNUMBER(SEARCH("prestar los servicios",D305)))),IF(M305&gt;=500000000,"Prestación de servicios por $500 millones o más: posible error de digitación; ",""),""))</f>
        <v/>
      </c>
    </row>
    <row r="306" ht="228" customHeight="1" s="23">
      <c r="A306" s="114" t="inlineStr">
        <is>
          <t>PN26-302</t>
        </is>
      </c>
      <c r="B306" s="114" t="n">
        <v>23242605</v>
      </c>
      <c r="C306" s="114" t="inlineStr">
        <is>
          <t>Talleres y Laboratorios
(Laboratorio de tratamientos 
térmicos)</t>
        </is>
      </c>
      <c r="D306" s="114" t="inlineStr">
        <is>
          <t>Adquisición, suministro e instalación de dos pulidoras metalográficas con sus accesorios para el Laboratorio de Tratamientos Térmicos de la Escuela Tecnológica Instituto Técnico Central, con el fin de garantizar la preparación y pulido de probetas para ensayos de metalografía, dureza, tratamientos térmicos y análisis por espectrometría de emisión óptica, en apoyo a las actividades de docencia, prácticas académicas e investigación.
El suministro deberá incluir:
*Dos pulidoras metalográficas con control de velocidad variable, protección de seguridad y capacidad para pulidos blandos y duros.
*Paños de pulido y gamuza, discos y soportes necesarios para la operación inicial.
*Consumibles abrasivos: papel de lija, alúmina en polvo, pastas abrasivas como diamantada y otros nsumos para pulidos de precisión.
*Sistema de extracción de residuos y refrigeración para garantizar cortes y pulidos seguros y sin contaminación de la muestra.
*Capacitación técnica al personal del laboratorio para la correcta operación y mantenimiento preventivo.
*Garantía y servicio postventa, incluyendo soporte técnico y suministro de repuestos durante el periodo indicado por el fabricante.</t>
        </is>
      </c>
      <c r="E306" s="114" t="inlineStr">
        <is>
          <t>DOS (2) MESES</t>
        </is>
      </c>
      <c r="F306" s="114" t="inlineStr">
        <is>
          <t>MINIMA CUANTIA</t>
        </is>
      </c>
      <c r="G306" s="118" t="inlineStr">
        <is>
          <t>$58´000,000</t>
        </is>
      </c>
      <c r="H306" s="114" t="inlineStr">
        <is>
          <t>Profesional Especializado 2028-15 del Área de talleres y laboratorios</t>
        </is>
      </c>
      <c r="I306" s="114" t="inlineStr">
        <is>
          <t>(57-601) 344 3000 Ext 126</t>
        </is>
      </c>
      <c r="J306" s="114" t="inlineStr">
        <is>
          <t>talleresylaboratorios@itc.edu.co</t>
        </is>
      </c>
      <c r="K306" s="114" t="n"/>
      <c r="L306" s="119" t="inlineStr">
        <is>
          <t>125 · GIT Talleres y Laboratorios</t>
        </is>
      </c>
      <c r="M306" s="120" t="n">
        <v>58000000</v>
      </c>
      <c r="N306" s="119" t="inlineStr">
        <is>
          <t>Mínima cuantía</t>
        </is>
      </c>
      <c r="O306" s="119">
        <f>IF(LEN(IF(OR(NOT(ISNUMBER(B306)),LEN(B306)&lt;&gt;8),"UNSPSC vacío, en texto, con varios códigos o sin 8 dígitos; ","")&amp;IF(AND(ISNUMBER(B306),LEN(B306)=8),IF(MOD(B306,10000)=0,"UNSPSC a nivel de segmento o familia; ",""),"")&amp;IF(NOT(ISNUMBER(E306)),"Duración vacía o en texto; ","")&amp;IF(NOT(ISNUMBER(G306)),"Valor vacío o en texto; ","")&amp;IF(ISNUMBER(M306),IF(M306&lt;1000000,"Valor inferior a $1.000.000: verificar; ",""),"Valor no interpretable; ")&amp;IF(N306="[PENDIENTE DE VERIFICAR]","Modalidad no identificable; ","")&amp;IF(OR(ISERROR(SEARCH("@itc.edu.co",J306)),SUMPRODUCT(--ISNUMBER(SEARCH({"á","é","í","ó","ú","ñ"},J306)))&gt;0),"Correo vacío o no institucional válido; ","")&amp;IF(LEN(TRIM(D306))=0,"Sin objeto contractual; ","")&amp;IF(AND(ISNUMBER(M306),N306="Mínima cuantía"),IF(M306&gt;39850000,"Mínima cuantía con valor superior al tope citado en el instructivo 2026 ($39.850.000): verificar modalidad; ",""),"")&amp;IF(AND(ISNUMBER(M306),OR(ISNUMBER(SEARCH("prestación de servicios",D306)),ISNUMBER(SEARCH("prestar servicios",D306)),ISNUMBER(SEARCH("prestar los servicios",D306)))),IF(M306&gt;=500000000,"Prestación de servicios por $500 millones o más: posible error de digitación; ",""),""))=0,"Sin observaciones",IF(OR(NOT(ISNUMBER(B306)),LEN(B306)&lt;&gt;8),"UNSPSC vacío, en texto, con varios códigos o sin 8 dígitos; ","")&amp;IF(AND(ISNUMBER(B306),LEN(B306)=8),IF(MOD(B306,10000)=0,"UNSPSC a nivel de segmento o familia; ",""),"")&amp;IF(NOT(ISNUMBER(E306)),"Duración vacía o en texto; ","")&amp;IF(NOT(ISNUMBER(G306)),"Valor vacío o en texto; ","")&amp;IF(ISNUMBER(M306),IF(M306&lt;1000000,"Valor inferior a $1.000.000: verificar; ",""),"Valor no interpretable; ")&amp;IF(N306="[PENDIENTE DE VERIFICAR]","Modalidad no identificable; ","")&amp;IF(OR(ISERROR(SEARCH("@itc.edu.co",J306)),SUMPRODUCT(--ISNUMBER(SEARCH({"á","é","í","ó","ú","ñ"},J306)))&gt;0),"Correo vacío o no institucional válido; ","")&amp;IF(LEN(TRIM(D306))=0,"Sin objeto contractual; ","")&amp;IF(AND(ISNUMBER(M306),N306="Mínima cuantía"),IF(M306&gt;39850000,"Mínima cuantía con valor superior al tope citado en el instructivo 2026 ($39.850.000): verificar modalidad; ",""),"")&amp;IF(AND(ISNUMBER(M306),OR(ISNUMBER(SEARCH("prestación de servicios",D306)),ISNUMBER(SEARCH("prestar servicios",D306)),ISNUMBER(SEARCH("prestar los servicios",D306)))),IF(M306&gt;=500000000,"Prestación de servicios por $500 millones o más: posible error de digitación; ",""),""))</f>
        <v/>
      </c>
    </row>
    <row r="307" ht="228" customHeight="1" s="23">
      <c r="A307" s="114" t="inlineStr">
        <is>
          <t>PN26-303</t>
        </is>
      </c>
      <c r="B307" s="114" t="n">
        <v>30192405</v>
      </c>
      <c r="C307" s="114" t="inlineStr">
        <is>
          <t>Talleres y Laboratorios
(Laboratorio de tratamientos 
térmicos)</t>
        </is>
      </c>
      <c r="D307" s="114" t="inlineStr">
        <is>
          <t>Adquisición, suministro e instalación de una empastilladora metalográfica para el Laboratorio de Tratamientos Térmicos de la Escuela Tecnológica Instituto Técnico Central, con el fin de garantizar la preparación de probetas mediante empastillado para ensayos de metalografía, dureza, tratamientos térmicos y análisis por espectrometría de emisión óptica, en apoyo a las actividades de docencia, prácticas académicas e investigación de los programas de Ingeniería que ofrece la Escuela.
El suministro deberá incluir:
*Una empastilladora metalográfica con control de temperatura y presión, adecuada para la preparación de probetas de metales ferrosos y no ferrosos.
*Accesorios necesarios para operación inicial, incluyendo moldes de diferentes tamaños, espátulas y prensillas.
*Consumibles: resinas epóxicas, baquelita, aditivos para empastillado y cualquier otro insumo requerido para la preparación de probetas.
*Capacitación técnica al personal del laboratorio para la correcta operación, mantenimiento preventivo y seguridad del equipo.
*Garantía y soporte postventa, incluyendo repuestos durante el periodo indicado por el fabricante.</t>
        </is>
      </c>
      <c r="E307" s="114" t="inlineStr">
        <is>
          <t>DOS (2) MESES</t>
        </is>
      </c>
      <c r="F307" s="114" t="inlineStr">
        <is>
          <t>MINIMA CUANTIA</t>
        </is>
      </c>
      <c r="G307" s="118" t="inlineStr">
        <is>
          <t>$62´000,000</t>
        </is>
      </c>
      <c r="H307" s="114" t="inlineStr">
        <is>
          <t>Profesional Especializado 2028-15 del Área de talleres y laboratorios</t>
        </is>
      </c>
      <c r="I307" s="114" t="inlineStr">
        <is>
          <t>(57-601) 344 3000 Ext 126</t>
        </is>
      </c>
      <c r="J307" s="114" t="inlineStr">
        <is>
          <t>talleresylaboratorios@itc.edu.co</t>
        </is>
      </c>
      <c r="K307" s="114" t="n"/>
      <c r="L307" s="119" t="inlineStr">
        <is>
          <t>125 · GIT Talleres y Laboratorios</t>
        </is>
      </c>
      <c r="M307" s="120" t="n">
        <v>62000000</v>
      </c>
      <c r="N307" s="119" t="inlineStr">
        <is>
          <t>Mínima cuantía</t>
        </is>
      </c>
      <c r="O307" s="119">
        <f>IF(LEN(IF(OR(NOT(ISNUMBER(B307)),LEN(B307)&lt;&gt;8),"UNSPSC vacío, en texto, con varios códigos o sin 8 dígitos; ","")&amp;IF(AND(ISNUMBER(B307),LEN(B307)=8),IF(MOD(B307,10000)=0,"UNSPSC a nivel de segmento o familia; ",""),"")&amp;IF(NOT(ISNUMBER(E307)),"Duración vacía o en texto; ","")&amp;IF(NOT(ISNUMBER(G307)),"Valor vacío o en texto; ","")&amp;IF(ISNUMBER(M307),IF(M307&lt;1000000,"Valor inferior a $1.000.000: verificar; ",""),"Valor no interpretable; ")&amp;IF(N307="[PENDIENTE DE VERIFICAR]","Modalidad no identificable; ","")&amp;IF(OR(ISERROR(SEARCH("@itc.edu.co",J307)),SUMPRODUCT(--ISNUMBER(SEARCH({"á","é","í","ó","ú","ñ"},J307)))&gt;0),"Correo vacío o no institucional válido; ","")&amp;IF(LEN(TRIM(D307))=0,"Sin objeto contractual; ","")&amp;IF(AND(ISNUMBER(M307),N307="Mínima cuantía"),IF(M307&gt;39850000,"Mínima cuantía con valor superior al tope citado en el instructivo 2026 ($39.850.000): verificar modalidad; ",""),"")&amp;IF(AND(ISNUMBER(M307),OR(ISNUMBER(SEARCH("prestación de servicios",D307)),ISNUMBER(SEARCH("prestar servicios",D307)),ISNUMBER(SEARCH("prestar los servicios",D307)))),IF(M307&gt;=500000000,"Prestación de servicios por $500 millones o más: posible error de digitación; ",""),""))=0,"Sin observaciones",IF(OR(NOT(ISNUMBER(B307)),LEN(B307)&lt;&gt;8),"UNSPSC vacío, en texto, con varios códigos o sin 8 dígitos; ","")&amp;IF(AND(ISNUMBER(B307),LEN(B307)=8),IF(MOD(B307,10000)=0,"UNSPSC a nivel de segmento o familia; ",""),"")&amp;IF(NOT(ISNUMBER(E307)),"Duración vacía o en texto; ","")&amp;IF(NOT(ISNUMBER(G307)),"Valor vacío o en texto; ","")&amp;IF(ISNUMBER(M307),IF(M307&lt;1000000,"Valor inferior a $1.000.000: verificar; ",""),"Valor no interpretable; ")&amp;IF(N307="[PENDIENTE DE VERIFICAR]","Modalidad no identificable; ","")&amp;IF(OR(ISERROR(SEARCH("@itc.edu.co",J307)),SUMPRODUCT(--ISNUMBER(SEARCH({"á","é","í","ó","ú","ñ"},J307)))&gt;0),"Correo vacío o no institucional válido; ","")&amp;IF(LEN(TRIM(D307))=0,"Sin objeto contractual; ","")&amp;IF(AND(ISNUMBER(M307),N307="Mínima cuantía"),IF(M307&gt;39850000,"Mínima cuantía con valor superior al tope citado en el instructivo 2026 ($39.850.000): verificar modalidad; ",""),"")&amp;IF(AND(ISNUMBER(M307),OR(ISNUMBER(SEARCH("prestación de servicios",D307)),ISNUMBER(SEARCH("prestar servicios",D307)),ISNUMBER(SEARCH("prestar los servicios",D307)))),IF(M307&gt;=500000000,"Prestación de servicios por $500 millones o más: posible error de digitación; ",""),""))</f>
        <v/>
      </c>
    </row>
    <row r="308" ht="205.2" customHeight="1" s="23">
      <c r="A308" s="114" t="inlineStr">
        <is>
          <t>PN26-304</t>
        </is>
      </c>
      <c r="B308" s="114" t="n">
        <v>41114611</v>
      </c>
      <c r="C308" s="114" t="inlineStr">
        <is>
          <t>Talleres y Laboratorios
(Laboratorio de tratamientos 
térmicos)</t>
        </is>
      </c>
      <c r="D308" s="114" t="inlineStr">
        <is>
          <t>Adquisición, suministro e instalación de un Durómetro Universal con escalas Rockwell, Rockwell superficial, Brinell, Vickers y Knoop para el Laboratorio de Tratamientos Térmicos de la Escuela Tecnológica Instituto Técnico Central, destinado a garantizar la medición precisa de dureza en probetas metálicas y no metálicas, en apoyo a las actividades de docencia, prácticas académicas e investigación de los programas de Ingeniería Mecánica, Mecatrónica, Electromecánica y Procesos Industriales.
El suministro deberá incluir:
*Un Durómetro Universal, capaz de realizar ensayos de dureza en escalas Rockwell, Rockwell superficial, Brinell, Vickers y Knoop.
*Accesorios y puntas de ensayo necesarias para cada escala, incluyendo indentadores y bloques de calibración.
*Software y manuales técnicos para registro y análisis de resultados.
*Capacitación técnica al personal del laboratorio para la correcta operación, calibración y mantenimiento preventivo.                                                                                                                                                      *Garantía y soporte postventa, incluyendo suministro de repuestos y mantenimiento durante el periodo indicado por el fabricante.</t>
        </is>
      </c>
      <c r="E308" s="114" t="inlineStr">
        <is>
          <t>DOS (2) MESES</t>
        </is>
      </c>
      <c r="F308" s="114" t="inlineStr">
        <is>
          <t>MINIMA CUANTIA</t>
        </is>
      </c>
      <c r="G308" s="118" t="inlineStr">
        <is>
          <t>$64'000,000</t>
        </is>
      </c>
      <c r="H308" s="114" t="inlineStr">
        <is>
          <t>Profesional Especializado 2028-15 del Área de talleres y laboratorios</t>
        </is>
      </c>
      <c r="I308" s="114" t="inlineStr">
        <is>
          <t>(57-601) 344 3000 Ext 126</t>
        </is>
      </c>
      <c r="J308" s="114" t="inlineStr">
        <is>
          <t>talleresylaboratorios@itc.edu.co</t>
        </is>
      </c>
      <c r="K308" s="114" t="n"/>
      <c r="L308" s="119" t="inlineStr">
        <is>
          <t>125 · GIT Talleres y Laboratorios</t>
        </is>
      </c>
      <c r="M308" s="120" t="n">
        <v>64000000</v>
      </c>
      <c r="N308" s="119" t="inlineStr">
        <is>
          <t>Mínima cuantía</t>
        </is>
      </c>
      <c r="O308" s="119">
        <f>IF(LEN(IF(OR(NOT(ISNUMBER(B308)),LEN(B308)&lt;&gt;8),"UNSPSC vacío, en texto, con varios códigos o sin 8 dígitos; ","")&amp;IF(AND(ISNUMBER(B308),LEN(B308)=8),IF(MOD(B308,10000)=0,"UNSPSC a nivel de segmento o familia; ",""),"")&amp;IF(NOT(ISNUMBER(E308)),"Duración vacía o en texto; ","")&amp;IF(NOT(ISNUMBER(G308)),"Valor vacío o en texto; ","")&amp;IF(ISNUMBER(M308),IF(M308&lt;1000000,"Valor inferior a $1.000.000: verificar; ",""),"Valor no interpretable; ")&amp;IF(N308="[PENDIENTE DE VERIFICAR]","Modalidad no identificable; ","")&amp;IF(OR(ISERROR(SEARCH("@itc.edu.co",J308)),SUMPRODUCT(--ISNUMBER(SEARCH({"á","é","í","ó","ú","ñ"},J308)))&gt;0),"Correo vacío o no institucional válido; ","")&amp;IF(LEN(TRIM(D308))=0,"Sin objeto contractual; ","")&amp;IF(AND(ISNUMBER(M308),N308="Mínima cuantía"),IF(M308&gt;39850000,"Mínima cuantía con valor superior al tope citado en el instructivo 2026 ($39.850.000): verificar modalidad; ",""),"")&amp;IF(AND(ISNUMBER(M308),OR(ISNUMBER(SEARCH("prestación de servicios",D308)),ISNUMBER(SEARCH("prestar servicios",D308)),ISNUMBER(SEARCH("prestar los servicios",D308)))),IF(M308&gt;=500000000,"Prestación de servicios por $500 millones o más: posible error de digitación; ",""),""))=0,"Sin observaciones",IF(OR(NOT(ISNUMBER(B308)),LEN(B308)&lt;&gt;8),"UNSPSC vacío, en texto, con varios códigos o sin 8 dígitos; ","")&amp;IF(AND(ISNUMBER(B308),LEN(B308)=8),IF(MOD(B308,10000)=0,"UNSPSC a nivel de segmento o familia; ",""),"")&amp;IF(NOT(ISNUMBER(E308)),"Duración vacía o en texto; ","")&amp;IF(NOT(ISNUMBER(G308)),"Valor vacío o en texto; ","")&amp;IF(ISNUMBER(M308),IF(M308&lt;1000000,"Valor inferior a $1.000.000: verificar; ",""),"Valor no interpretable; ")&amp;IF(N308="[PENDIENTE DE VERIFICAR]","Modalidad no identificable; ","")&amp;IF(OR(ISERROR(SEARCH("@itc.edu.co",J308)),SUMPRODUCT(--ISNUMBER(SEARCH({"á","é","í","ó","ú","ñ"},J308)))&gt;0),"Correo vacío o no institucional válido; ","")&amp;IF(LEN(TRIM(D308))=0,"Sin objeto contractual; ","")&amp;IF(AND(ISNUMBER(M308),N308="Mínima cuantía"),IF(M308&gt;39850000,"Mínima cuantía con valor superior al tope citado en el instructivo 2026 ($39.850.000): verificar modalidad; ",""),"")&amp;IF(AND(ISNUMBER(M308),OR(ISNUMBER(SEARCH("prestación de servicios",D308)),ISNUMBER(SEARCH("prestar servicios",D308)),ISNUMBER(SEARCH("prestar los servicios",D308)))),IF(M308&gt;=500000000,"Prestación de servicios por $500 millones o más: posible error de digitación; ",""),""))</f>
        <v/>
      </c>
    </row>
    <row r="309" ht="216.6" customHeight="1" s="23">
      <c r="A309" s="114" t="inlineStr">
        <is>
          <t>PN26-305</t>
        </is>
      </c>
      <c r="B309" s="114" t="n">
        <v>41116111</v>
      </c>
      <c r="C309" s="114" t="inlineStr">
        <is>
          <t>Talleres y Laboratorios
(Laboratorio de tratamientos 
térmicos)</t>
        </is>
      </c>
      <c r="D309" s="114" t="inlineStr">
        <is>
          <t>Adquisición, suministro e instalación de un Durómetro Digital en escala micro Vickers para el Laboratorio de Tratamientos Térmicos de la Escuela Tecnológica Instituto Técnico Central, destinado a garantizar la medición precisa de dureza superficial en probetas metálicas y aleaciones de pequeño tamaño, en apoyo a las actividades de docencia, prácticas académicas e investigación de los programas de Ingeniería Mecánica, Mecatrónica, Electromecánica y Procesos Industriales.
El suministro deberá incluir:
*Durómetro digital micro Vickers, con precisión para medición de dureza en escalas de microindentación, pantalla digital y registro de resultados.
*Accesorios y puntas de ensayo adecuadas para medición de microdureza, incluyendo indentadores de diamante y bloques de calibración.                                                                                      *Software y manuales técnicos para registro, análisis y almacenamiento de resultados.
*Capacitación técnica al personal del laboratorio para operación, calibración y mantenimiento preventivo del equipo.
*Garantía y soporte postventa, incluyendo suministro de repuestos y mantenimiento durante el periodo indicado por el fabricante.</t>
        </is>
      </c>
      <c r="E309" s="114" t="inlineStr">
        <is>
          <t>DOS (2) MESES</t>
        </is>
      </c>
      <c r="F309" s="114" t="inlineStr">
        <is>
          <t>MINIMA CUANTIA</t>
        </is>
      </c>
      <c r="G309" s="118" t="inlineStr">
        <is>
          <t>$48´000,000</t>
        </is>
      </c>
      <c r="H309" s="114" t="inlineStr">
        <is>
          <t>Profesional Especializado 2028-15 del Área de talleres y laboratorios</t>
        </is>
      </c>
      <c r="I309" s="114" t="inlineStr">
        <is>
          <t>(57-601) 344 3000 Ext 126</t>
        </is>
      </c>
      <c r="J309" s="114" t="inlineStr">
        <is>
          <t>talleresylaboratorios@itc.edu.co</t>
        </is>
      </c>
      <c r="K309" s="114" t="n"/>
      <c r="L309" s="119" t="inlineStr">
        <is>
          <t>125 · GIT Talleres y Laboratorios</t>
        </is>
      </c>
      <c r="M309" s="120" t="n">
        <v>48000000</v>
      </c>
      <c r="N309" s="119" t="inlineStr">
        <is>
          <t>Mínima cuantía</t>
        </is>
      </c>
      <c r="O309" s="119">
        <f>IF(LEN(IF(OR(NOT(ISNUMBER(B309)),LEN(B309)&lt;&gt;8),"UNSPSC vacío, en texto, con varios códigos o sin 8 dígitos; ","")&amp;IF(AND(ISNUMBER(B309),LEN(B309)=8),IF(MOD(B309,10000)=0,"UNSPSC a nivel de segmento o familia; ",""),"")&amp;IF(NOT(ISNUMBER(E309)),"Duración vacía o en texto; ","")&amp;IF(NOT(ISNUMBER(G309)),"Valor vacío o en texto; ","")&amp;IF(ISNUMBER(M309),IF(M309&lt;1000000,"Valor inferior a $1.000.000: verificar; ",""),"Valor no interpretable; ")&amp;IF(N309="[PENDIENTE DE VERIFICAR]","Modalidad no identificable; ","")&amp;IF(OR(ISERROR(SEARCH("@itc.edu.co",J309)),SUMPRODUCT(--ISNUMBER(SEARCH({"á","é","í","ó","ú","ñ"},J309)))&gt;0),"Correo vacío o no institucional válido; ","")&amp;IF(LEN(TRIM(D309))=0,"Sin objeto contractual; ","")&amp;IF(AND(ISNUMBER(M309),N309="Mínima cuantía"),IF(M309&gt;39850000,"Mínima cuantía con valor superior al tope citado en el instructivo 2026 ($39.850.000): verificar modalidad; ",""),"")&amp;IF(AND(ISNUMBER(M309),OR(ISNUMBER(SEARCH("prestación de servicios",D309)),ISNUMBER(SEARCH("prestar servicios",D309)),ISNUMBER(SEARCH("prestar los servicios",D309)))),IF(M309&gt;=500000000,"Prestación de servicios por $500 millones o más: posible error de digitación; ",""),""))=0,"Sin observaciones",IF(OR(NOT(ISNUMBER(B309)),LEN(B309)&lt;&gt;8),"UNSPSC vacío, en texto, con varios códigos o sin 8 dígitos; ","")&amp;IF(AND(ISNUMBER(B309),LEN(B309)=8),IF(MOD(B309,10000)=0,"UNSPSC a nivel de segmento o familia; ",""),"")&amp;IF(NOT(ISNUMBER(E309)),"Duración vacía o en texto; ","")&amp;IF(NOT(ISNUMBER(G309)),"Valor vacío o en texto; ","")&amp;IF(ISNUMBER(M309),IF(M309&lt;1000000,"Valor inferior a $1.000.000: verificar; ",""),"Valor no interpretable; ")&amp;IF(N309="[PENDIENTE DE VERIFICAR]","Modalidad no identificable; ","")&amp;IF(OR(ISERROR(SEARCH("@itc.edu.co",J309)),SUMPRODUCT(--ISNUMBER(SEARCH({"á","é","í","ó","ú","ñ"},J309)))&gt;0),"Correo vacío o no institucional válido; ","")&amp;IF(LEN(TRIM(D309))=0,"Sin objeto contractual; ","")&amp;IF(AND(ISNUMBER(M309),N309="Mínima cuantía"),IF(M309&gt;39850000,"Mínima cuantía con valor superior al tope citado en el instructivo 2026 ($39.850.000): verificar modalidad; ",""),"")&amp;IF(AND(ISNUMBER(M309),OR(ISNUMBER(SEARCH("prestación de servicios",D309)),ISNUMBER(SEARCH("prestar servicios",D309)),ISNUMBER(SEARCH("prestar los servicios",D309)))),IF(M309&gt;=500000000,"Prestación de servicios por $500 millones o más: posible error de digitación; ",""),""))</f>
        <v/>
      </c>
    </row>
    <row r="310" ht="228" customHeight="1" s="23">
      <c r="A310" s="114" t="inlineStr">
        <is>
          <t>PN26-306</t>
        </is>
      </c>
      <c r="B310" s="114" t="n">
        <v>41116112</v>
      </c>
      <c r="C310" s="114" t="inlineStr">
        <is>
          <t>Talleres y Laboratorios
(Laboratorio de tratamientos 
térmicos)</t>
        </is>
      </c>
      <c r="D310" s="114" t="inlineStr">
        <is>
          <t>Adquisición, suministro e instalación de un equipo portátil para la medición de espesor de recubrimientos metálicos sobre sustratos ferrosos y no ferrosos (Fe/NFe) en el Laboratorio de Tratamientos Térmicos de la Escuela Tecnológica Instituto Técnico Central, destinado a garantizar la medición precisa de recubrimientos y capas superficiales en probetas metálicas y componentes industriales, en apoyo a las actividades de docencia, prácticas académicas e investigación.
El suministro deberá incluir:
*Medidor portátil de espesor de recubrimiento Fe/NFe, capaz de medir recubrimientos ferrosos sobre metales ferrosos y no ferrosos sobre metales no ferrosos.
*Accesorios y calibradores de placas estándar para verificación y ajuste del equipo.
*Manual técnico, software de registro de datos y batería recargable para operación portátil.
*Capacitación técnica al personal del laboratorio para la correcta operación, calibración y mantenimiento preventivo del equipo.                                                                                                               *Garantía y soporte postventa, incluyendo repuestos y mantenimiento durante el periodo indicado por el fabricante.</t>
        </is>
      </c>
      <c r="E310" s="114" t="inlineStr">
        <is>
          <t>DOS (2) MESES</t>
        </is>
      </c>
      <c r="F310" s="114" t="inlineStr">
        <is>
          <t>MINIMA CUANTIA</t>
        </is>
      </c>
      <c r="G310" s="118" t="inlineStr">
        <is>
          <t>$28´000,000</t>
        </is>
      </c>
      <c r="H310" s="114" t="inlineStr">
        <is>
          <t>Profesional Especializado 2028-15 del Área de talleres y laboratorios</t>
        </is>
      </c>
      <c r="I310" s="114" t="inlineStr">
        <is>
          <t>(57-601) 344 3000 Ext 126</t>
        </is>
      </c>
      <c r="J310" s="114" t="inlineStr">
        <is>
          <t>talleresylaboratorios@itc.edu.co</t>
        </is>
      </c>
      <c r="K310" s="114" t="n"/>
      <c r="L310" s="119" t="inlineStr">
        <is>
          <t>125 · GIT Talleres y Laboratorios</t>
        </is>
      </c>
      <c r="M310" s="120" t="n">
        <v>28000000</v>
      </c>
      <c r="N310" s="119" t="inlineStr">
        <is>
          <t>Mínima cuantía</t>
        </is>
      </c>
      <c r="O310" s="119">
        <f>IF(LEN(IF(OR(NOT(ISNUMBER(B310)),LEN(B310)&lt;&gt;8),"UNSPSC vacío, en texto, con varios códigos o sin 8 dígitos; ","")&amp;IF(AND(ISNUMBER(B310),LEN(B310)=8),IF(MOD(B310,10000)=0,"UNSPSC a nivel de segmento o familia; ",""),"")&amp;IF(NOT(ISNUMBER(E310)),"Duración vacía o en texto; ","")&amp;IF(NOT(ISNUMBER(G310)),"Valor vacío o en texto; ","")&amp;IF(ISNUMBER(M310),IF(M310&lt;1000000,"Valor inferior a $1.000.000: verificar; ",""),"Valor no interpretable; ")&amp;IF(N310="[PENDIENTE DE VERIFICAR]","Modalidad no identificable; ","")&amp;IF(OR(ISERROR(SEARCH("@itc.edu.co",J310)),SUMPRODUCT(--ISNUMBER(SEARCH({"á","é","í","ó","ú","ñ"},J310)))&gt;0),"Correo vacío o no institucional válido; ","")&amp;IF(LEN(TRIM(D310))=0,"Sin objeto contractual; ","")&amp;IF(AND(ISNUMBER(M310),N310="Mínima cuantía"),IF(M310&gt;39850000,"Mínima cuantía con valor superior al tope citado en el instructivo 2026 ($39.850.000): verificar modalidad; ",""),"")&amp;IF(AND(ISNUMBER(M310),OR(ISNUMBER(SEARCH("prestación de servicios",D310)),ISNUMBER(SEARCH("prestar servicios",D310)),ISNUMBER(SEARCH("prestar los servicios",D310)))),IF(M310&gt;=500000000,"Prestación de servicios por $500 millones o más: posible error de digitación; ",""),""))=0,"Sin observaciones",IF(OR(NOT(ISNUMBER(B310)),LEN(B310)&lt;&gt;8),"UNSPSC vacío, en texto, con varios códigos o sin 8 dígitos; ","")&amp;IF(AND(ISNUMBER(B310),LEN(B310)=8),IF(MOD(B310,10000)=0,"UNSPSC a nivel de segmento o familia; ",""),"")&amp;IF(NOT(ISNUMBER(E310)),"Duración vacía o en texto; ","")&amp;IF(NOT(ISNUMBER(G310)),"Valor vacío o en texto; ","")&amp;IF(ISNUMBER(M310),IF(M310&lt;1000000,"Valor inferior a $1.000.000: verificar; ",""),"Valor no interpretable; ")&amp;IF(N310="[PENDIENTE DE VERIFICAR]","Modalidad no identificable; ","")&amp;IF(OR(ISERROR(SEARCH("@itc.edu.co",J310)),SUMPRODUCT(--ISNUMBER(SEARCH({"á","é","í","ó","ú","ñ"},J310)))&gt;0),"Correo vacío o no institucional válido; ","")&amp;IF(LEN(TRIM(D310))=0,"Sin objeto contractual; ","")&amp;IF(AND(ISNUMBER(M310),N310="Mínima cuantía"),IF(M310&gt;39850000,"Mínima cuantía con valor superior al tope citado en el instructivo 2026 ($39.850.000): verificar modalidad; ",""),"")&amp;IF(AND(ISNUMBER(M310),OR(ISNUMBER(SEARCH("prestación de servicios",D310)),ISNUMBER(SEARCH("prestar servicios",D310)),ISNUMBER(SEARCH("prestar los servicios",D310)))),IF(M310&gt;=500000000,"Prestación de servicios por $500 millones o más: posible error de digitación; ",""),""))</f>
        <v/>
      </c>
    </row>
    <row r="311" ht="228" customHeight="1" s="23">
      <c r="A311" s="114" t="inlineStr">
        <is>
          <t>PN26-307</t>
        </is>
      </c>
      <c r="B311" s="114" t="n">
        <v>41116001</v>
      </c>
      <c r="C311" s="114" t="inlineStr">
        <is>
          <t>Talleres y Laboratorios
(Laboratorio de tratamientos 
térmicos)</t>
        </is>
      </c>
      <c r="D311" s="114" t="inlineStr">
        <is>
          <t>Adquisición, suministro e instalación de un equipo de corrientes Eddy (Eddy Current Tester) para el Laboratorio de Tratamientos Térmicos de la Escuela Tecnológica Instituto Técnico Central, destinado a garantizar la inspección no destructiva de materiales metálicos mediante detección de defectos superficiales y medición de propiedades eléctricas y magnéticas, en apoyo a las actividades de docencia, prácticas académicas e investigación de los programas de Ingeniería Mecánica, Mecatrónica, Electromecánica y Procesos Industriales.
El suministro deberá incluir:
*Equipo de corrientes Eddy portátil o de banco, con capacidad de detectar grietas superficiales, discontinuidades y variaciones de espesor en materiales ferrosos y no ferrosos.
*Sondas e inductores adecuados para distintos tipos de piezas y geometrías.
*Accesorios y calibradores de referencia para ajuste y verificación del equipo.
*Software y manual técnico para registro de mediciones y análisis de resultados.
*Capacitación técnica al personal del laboratorio para la correcta operación, calibración y mantenimiento preventivo del equipo.
*Garantía y soporte postventa, incluyendo repuestos y mantenimiento durante el periodo indicado por el fabricante.</t>
        </is>
      </c>
      <c r="E311" s="114" t="inlineStr">
        <is>
          <t>DOS (2) MESES</t>
        </is>
      </c>
      <c r="F311" s="114" t="inlineStr">
        <is>
          <t>MINIMA CUANTIA</t>
        </is>
      </c>
      <c r="G311" s="118" t="inlineStr">
        <is>
          <t>$35´000,000</t>
        </is>
      </c>
      <c r="H311" s="114" t="inlineStr">
        <is>
          <t>Profesional Especializado 2028-15 del Área de talleres y laboratorios</t>
        </is>
      </c>
      <c r="I311" s="114" t="inlineStr">
        <is>
          <t>(57-601) 344 3000 Ext 126</t>
        </is>
      </c>
      <c r="J311" s="114" t="inlineStr">
        <is>
          <t>talleresylaboratorios@itc.edu.co</t>
        </is>
      </c>
      <c r="K311" s="114" t="n"/>
      <c r="L311" s="119" t="inlineStr">
        <is>
          <t>125 · GIT Talleres y Laboratorios</t>
        </is>
      </c>
      <c r="M311" s="120" t="n">
        <v>35000000</v>
      </c>
      <c r="N311" s="119" t="inlineStr">
        <is>
          <t>Mínima cuantía</t>
        </is>
      </c>
      <c r="O311" s="119">
        <f>IF(LEN(IF(OR(NOT(ISNUMBER(B311)),LEN(B311)&lt;&gt;8),"UNSPSC vacío, en texto, con varios códigos o sin 8 dígitos; ","")&amp;IF(AND(ISNUMBER(B311),LEN(B311)=8),IF(MOD(B311,10000)=0,"UNSPSC a nivel de segmento o familia; ",""),"")&amp;IF(NOT(ISNUMBER(E311)),"Duración vacía o en texto; ","")&amp;IF(NOT(ISNUMBER(G311)),"Valor vacío o en texto; ","")&amp;IF(ISNUMBER(M311),IF(M311&lt;1000000,"Valor inferior a $1.000.000: verificar; ",""),"Valor no interpretable; ")&amp;IF(N311="[PENDIENTE DE VERIFICAR]","Modalidad no identificable; ","")&amp;IF(OR(ISERROR(SEARCH("@itc.edu.co",J311)),SUMPRODUCT(--ISNUMBER(SEARCH({"á","é","í","ó","ú","ñ"},J311)))&gt;0),"Correo vacío o no institucional válido; ","")&amp;IF(LEN(TRIM(D311))=0,"Sin objeto contractual; ","")&amp;IF(AND(ISNUMBER(M311),N311="Mínima cuantía"),IF(M311&gt;39850000,"Mínima cuantía con valor superior al tope citado en el instructivo 2026 ($39.850.000): verificar modalidad; ",""),"")&amp;IF(AND(ISNUMBER(M311),OR(ISNUMBER(SEARCH("prestación de servicios",D311)),ISNUMBER(SEARCH("prestar servicios",D311)),ISNUMBER(SEARCH("prestar los servicios",D311)))),IF(M311&gt;=500000000,"Prestación de servicios por $500 millones o más: posible error de digitación; ",""),""))=0,"Sin observaciones",IF(OR(NOT(ISNUMBER(B311)),LEN(B311)&lt;&gt;8),"UNSPSC vacío, en texto, con varios códigos o sin 8 dígitos; ","")&amp;IF(AND(ISNUMBER(B311),LEN(B311)=8),IF(MOD(B311,10000)=0,"UNSPSC a nivel de segmento o familia; ",""),"")&amp;IF(NOT(ISNUMBER(E311)),"Duración vacía o en texto; ","")&amp;IF(NOT(ISNUMBER(G311)),"Valor vacío o en texto; ","")&amp;IF(ISNUMBER(M311),IF(M311&lt;1000000,"Valor inferior a $1.000.000: verificar; ",""),"Valor no interpretable; ")&amp;IF(N311="[PENDIENTE DE VERIFICAR]","Modalidad no identificable; ","")&amp;IF(OR(ISERROR(SEARCH("@itc.edu.co",J311)),SUMPRODUCT(--ISNUMBER(SEARCH({"á","é","í","ó","ú","ñ"},J311)))&gt;0),"Correo vacío o no institucional válido; ","")&amp;IF(LEN(TRIM(D311))=0,"Sin objeto contractual; ","")&amp;IF(AND(ISNUMBER(M311),N311="Mínima cuantía"),IF(M311&gt;39850000,"Mínima cuantía con valor superior al tope citado en el instructivo 2026 ($39.850.000): verificar modalidad; ",""),"")&amp;IF(AND(ISNUMBER(M311),OR(ISNUMBER(SEARCH("prestación de servicios",D311)),ISNUMBER(SEARCH("prestar servicios",D311)),ISNUMBER(SEARCH("prestar los servicios",D311)))),IF(M311&gt;=500000000,"Prestación de servicios por $500 millones o más: posible error de digitación; ",""),""))</f>
        <v/>
      </c>
    </row>
    <row r="312" ht="239.4" customHeight="1" s="23">
      <c r="A312" s="114" t="inlineStr">
        <is>
          <t>PN26-308</t>
        </is>
      </c>
      <c r="B312" s="114" t="n">
        <v>41116002</v>
      </c>
      <c r="C312" s="114" t="inlineStr">
        <is>
          <t>Talleres y Laboratorios
(Laboratorio de tratamientos 
térmicos)</t>
        </is>
      </c>
      <c r="D312" s="114" t="inlineStr">
        <is>
          <t>Adquisición, suministro e instalación de un equipo de inspección ultrasónica para el Laboratorio de Tratamientos Térmicos de la Escuela Tecnológica Instituto Técnico Central, destinado a garantizar la inspección no destructiva de materiales metálicos y componentes industriales mediante ultrasonido, en apoyo a las actividades de docencia, prácticas académicas e investigación de los programas de Ingeniería Mecánica, Mecatrónica, Electromecánica y Procesos Industriales.
El suministro deberá incluir:
*Equipo de inspección ultrasónica portátil o de banco, con capacidad de detección de grietas, discontinuidades internas y medición de espesores en materiales ferrosos y no ferrosos.
*Transductores y sondas de diferentes frecuencias para distintos tipos de piezas y geometrías.
*Accesorios de calibración y bloques patrón para verificación de precisión.
*Software y manual técnico para registro, análisis y almacenamiento de resultados.
*Capacitación técnica al personal del laboratorio para la correcta operación, calibración y mantenimiento preventivo del equipo.
*Garantía y soporte postventa, incluyendo suministro de repuestos y mantenimiento durante el periodo indicado por el fabricante.</t>
        </is>
      </c>
      <c r="E312" s="114" t="inlineStr">
        <is>
          <t>DOS (2) MESES</t>
        </is>
      </c>
      <c r="F312" s="114" t="inlineStr">
        <is>
          <t>MINIMA CUANTIA</t>
        </is>
      </c>
      <c r="G312" s="118" t="inlineStr">
        <is>
          <t>$29´000,000</t>
        </is>
      </c>
      <c r="H312" s="114" t="inlineStr">
        <is>
          <t>Profesional Especializado 2028-15 del Área de talleres y laboratorios</t>
        </is>
      </c>
      <c r="I312" s="114" t="inlineStr">
        <is>
          <t>(57-601) 344 3000 Ext 126</t>
        </is>
      </c>
      <c r="J312" s="114" t="inlineStr">
        <is>
          <t>talleresylaboratorios@itc.edu.co</t>
        </is>
      </c>
      <c r="K312" s="114" t="n"/>
      <c r="L312" s="119" t="inlineStr">
        <is>
          <t>125 · GIT Talleres y Laboratorios</t>
        </is>
      </c>
      <c r="M312" s="120" t="n">
        <v>29000000</v>
      </c>
      <c r="N312" s="119" t="inlineStr">
        <is>
          <t>Mínima cuantía</t>
        </is>
      </c>
      <c r="O312" s="119">
        <f>IF(LEN(IF(OR(NOT(ISNUMBER(B312)),LEN(B312)&lt;&gt;8),"UNSPSC vacío, en texto, con varios códigos o sin 8 dígitos; ","")&amp;IF(AND(ISNUMBER(B312),LEN(B312)=8),IF(MOD(B312,10000)=0,"UNSPSC a nivel de segmento o familia; ",""),"")&amp;IF(NOT(ISNUMBER(E312)),"Duración vacía o en texto; ","")&amp;IF(NOT(ISNUMBER(G312)),"Valor vacío o en texto; ","")&amp;IF(ISNUMBER(M312),IF(M312&lt;1000000,"Valor inferior a $1.000.000: verificar; ",""),"Valor no interpretable; ")&amp;IF(N312="[PENDIENTE DE VERIFICAR]","Modalidad no identificable; ","")&amp;IF(OR(ISERROR(SEARCH("@itc.edu.co",J312)),SUMPRODUCT(--ISNUMBER(SEARCH({"á","é","í","ó","ú","ñ"},J312)))&gt;0),"Correo vacío o no institucional válido; ","")&amp;IF(LEN(TRIM(D312))=0,"Sin objeto contractual; ","")&amp;IF(AND(ISNUMBER(M312),N312="Mínima cuantía"),IF(M312&gt;39850000,"Mínima cuantía con valor superior al tope citado en el instructivo 2026 ($39.850.000): verificar modalidad; ",""),"")&amp;IF(AND(ISNUMBER(M312),OR(ISNUMBER(SEARCH("prestación de servicios",D312)),ISNUMBER(SEARCH("prestar servicios",D312)),ISNUMBER(SEARCH("prestar los servicios",D312)))),IF(M312&gt;=500000000,"Prestación de servicios por $500 millones o más: posible error de digitación; ",""),""))=0,"Sin observaciones",IF(OR(NOT(ISNUMBER(B312)),LEN(B312)&lt;&gt;8),"UNSPSC vacío, en texto, con varios códigos o sin 8 dígitos; ","")&amp;IF(AND(ISNUMBER(B312),LEN(B312)=8),IF(MOD(B312,10000)=0,"UNSPSC a nivel de segmento o familia; ",""),"")&amp;IF(NOT(ISNUMBER(E312)),"Duración vacía o en texto; ","")&amp;IF(NOT(ISNUMBER(G312)),"Valor vacío o en texto; ","")&amp;IF(ISNUMBER(M312),IF(M312&lt;1000000,"Valor inferior a $1.000.000: verificar; ",""),"Valor no interpretable; ")&amp;IF(N312="[PENDIENTE DE VERIFICAR]","Modalidad no identificable; ","")&amp;IF(OR(ISERROR(SEARCH("@itc.edu.co",J312)),SUMPRODUCT(--ISNUMBER(SEARCH({"á","é","í","ó","ú","ñ"},J312)))&gt;0),"Correo vacío o no institucional válido; ","")&amp;IF(LEN(TRIM(D312))=0,"Sin objeto contractual; ","")&amp;IF(AND(ISNUMBER(M312),N312="Mínima cuantía"),IF(M312&gt;39850000,"Mínima cuantía con valor superior al tope citado en el instructivo 2026 ($39.850.000): verificar modalidad; ",""),"")&amp;IF(AND(ISNUMBER(M312),OR(ISNUMBER(SEARCH("prestación de servicios",D312)),ISNUMBER(SEARCH("prestar servicios",D312)),ISNUMBER(SEARCH("prestar los servicios",D312)))),IF(M312&gt;=500000000,"Prestación de servicios por $500 millones o más: posible error de digitación; ",""),""))</f>
        <v/>
      </c>
    </row>
    <row r="313" ht="216.6" customHeight="1" s="23">
      <c r="A313" s="114" t="inlineStr">
        <is>
          <t>PN26-309</t>
        </is>
      </c>
      <c r="B313" s="114" t="n">
        <v>41116113</v>
      </c>
      <c r="C313" s="114" t="inlineStr">
        <is>
          <t>Talleres y Laboratorios
(Laboratorio de tratamientos 
térmicos)</t>
        </is>
      </c>
      <c r="D313" s="114" t="inlineStr">
        <is>
          <t>Adquisición, suministro de un equipo de medición de rugosidad superficial para el Laboratorio de Tratamientos Térmicos de la Escuela Tecnológica Instituto Técnico Central, destinado a garantizar la medición precisa de rugosidad y acabado superficial de probetas metálicas y componentes industriales, en apoyo a las actividades de docencia, prácticas académicas e investigación de los programas de Ingeniería Mecánica, Mecatrónica, Electromecánica y Procesos Industriales.
El suministro deberá incluir:
*Equipo de medición de rugosidad superficial, portátil o de banco, con capacidad de registrar parámetros como Ra, Rz, Rt, y otros indicadores de textura superficial.
*Accesorios y calibradores de referencia para ajuste y verificación del equipo.
*Software y manual técnico para análisis, registro y almacenamiento de resultados.
*Capacitación técnica al personal del laboratorio para la correcta operación, calibración y mantenimiento preventivo del equipo.
*Garantía y soporte postventa, incluyendo repuestos y mantenimiento durante el periodo indicado por el fabricante.</t>
        </is>
      </c>
      <c r="E313" s="114" t="inlineStr">
        <is>
          <t>DOS (2) MESES</t>
        </is>
      </c>
      <c r="F313" s="114" t="inlineStr">
        <is>
          <t>MINIMA CUANTIA</t>
        </is>
      </c>
      <c r="G313" s="118" t="inlineStr">
        <is>
          <t>$8´000,000</t>
        </is>
      </c>
      <c r="H313" s="114" t="inlineStr">
        <is>
          <t>Profesional Especializado 2028-15 del Área de talleres y laboratorios</t>
        </is>
      </c>
      <c r="I313" s="114" t="inlineStr">
        <is>
          <t>(57-601) 344 3000 Ext 126</t>
        </is>
      </c>
      <c r="J313" s="114" t="inlineStr">
        <is>
          <t>talleresylaboratorios@itc.edu.co</t>
        </is>
      </c>
      <c r="K313" s="114" t="n"/>
      <c r="L313" s="119" t="inlineStr">
        <is>
          <t>125 · GIT Talleres y Laboratorios</t>
        </is>
      </c>
      <c r="M313" s="120" t="n">
        <v>8000000</v>
      </c>
      <c r="N313" s="119" t="inlineStr">
        <is>
          <t>Mínima cuantía</t>
        </is>
      </c>
      <c r="O313" s="119">
        <f>IF(LEN(IF(OR(NOT(ISNUMBER(B313)),LEN(B313)&lt;&gt;8),"UNSPSC vacío, en texto, con varios códigos o sin 8 dígitos; ","")&amp;IF(AND(ISNUMBER(B313),LEN(B313)=8),IF(MOD(B313,10000)=0,"UNSPSC a nivel de segmento o familia; ",""),"")&amp;IF(NOT(ISNUMBER(E313)),"Duración vacía o en texto; ","")&amp;IF(NOT(ISNUMBER(G313)),"Valor vacío o en texto; ","")&amp;IF(ISNUMBER(M313),IF(M313&lt;1000000,"Valor inferior a $1.000.000: verificar; ",""),"Valor no interpretable; ")&amp;IF(N313="[PENDIENTE DE VERIFICAR]","Modalidad no identificable; ","")&amp;IF(OR(ISERROR(SEARCH("@itc.edu.co",J313)),SUMPRODUCT(--ISNUMBER(SEARCH({"á","é","í","ó","ú","ñ"},J313)))&gt;0),"Correo vacío o no institucional válido; ","")&amp;IF(LEN(TRIM(D313))=0,"Sin objeto contractual; ","")&amp;IF(AND(ISNUMBER(M313),N313="Mínima cuantía"),IF(M313&gt;39850000,"Mínima cuantía con valor superior al tope citado en el instructivo 2026 ($39.850.000): verificar modalidad; ",""),"")&amp;IF(AND(ISNUMBER(M313),OR(ISNUMBER(SEARCH("prestación de servicios",D313)),ISNUMBER(SEARCH("prestar servicios",D313)),ISNUMBER(SEARCH("prestar los servicios",D313)))),IF(M313&gt;=500000000,"Prestación de servicios por $500 millones o más: posible error de digitación; ",""),""))=0,"Sin observaciones",IF(OR(NOT(ISNUMBER(B313)),LEN(B313)&lt;&gt;8),"UNSPSC vacío, en texto, con varios códigos o sin 8 dígitos; ","")&amp;IF(AND(ISNUMBER(B313),LEN(B313)=8),IF(MOD(B313,10000)=0,"UNSPSC a nivel de segmento o familia; ",""),"")&amp;IF(NOT(ISNUMBER(E313)),"Duración vacía o en texto; ","")&amp;IF(NOT(ISNUMBER(G313)),"Valor vacío o en texto; ","")&amp;IF(ISNUMBER(M313),IF(M313&lt;1000000,"Valor inferior a $1.000.000: verificar; ",""),"Valor no interpretable; ")&amp;IF(N313="[PENDIENTE DE VERIFICAR]","Modalidad no identificable; ","")&amp;IF(OR(ISERROR(SEARCH("@itc.edu.co",J313)),SUMPRODUCT(--ISNUMBER(SEARCH({"á","é","í","ó","ú","ñ"},J313)))&gt;0),"Correo vacío o no institucional válido; ","")&amp;IF(LEN(TRIM(D313))=0,"Sin objeto contractual; ","")&amp;IF(AND(ISNUMBER(M313),N313="Mínima cuantía"),IF(M313&gt;39850000,"Mínima cuantía con valor superior al tope citado en el instructivo 2026 ($39.850.000): verificar modalidad; ",""),"")&amp;IF(AND(ISNUMBER(M313),OR(ISNUMBER(SEARCH("prestación de servicios",D313)),ISNUMBER(SEARCH("prestar servicios",D313)),ISNUMBER(SEARCH("prestar los servicios",D313)))),IF(M313&gt;=500000000,"Prestación de servicios por $500 millones o más: posible error de digitación; ",""),""))</f>
        <v/>
      </c>
    </row>
    <row r="314" ht="193.8" customHeight="1" s="23">
      <c r="A314" s="114" t="inlineStr">
        <is>
          <t>PN26-310</t>
        </is>
      </c>
      <c r="B314" s="114" t="n">
        <v>41116003</v>
      </c>
      <c r="C314" s="114" t="inlineStr">
        <is>
          <t>Talleres y Laboratorios
(Laboratorio de tratamientos 
térmicos)</t>
        </is>
      </c>
      <c r="D314" s="114" t="inlineStr">
        <is>
          <t>Adquisición, suministro e instalación de un equipo de inspección por partículas magnéticas para el Laboratorio de Tratamientos Térmicos de la Escuela Tecnológica Instituto Técnico Central, destinado a realizar ensayos no destructivos para la detección de discontinuidades superficiales y subsuperficiales en materiales ferromagnéticos, en apoyo a las actividades de docencia, prácticas académicas e investigación de los programas de Ingeniería:
El suministro deberá incluir:
*Equipo de inspección por partículas magnéticas, portátil o de banco, con capacidad de magnetización para ensayos en piezas ferromagnéticas.
*Accesorios necesarios para su funcionamiento, incluyendo yugo magnético, cables, electrodos o bobinas según configuración del equipo.
*Consumibles iniciales, tales como partículas magnéticas secas o en suspensión, líquidos reveladores y materiales auxiliares para la inspección.
*Manual técnico y capacitación básica para la correcta operación y seguridad del equipo.
*Garantía y soporte técnico durante el periodo establecido por el fabricante.</t>
        </is>
      </c>
      <c r="E314" s="114" t="inlineStr">
        <is>
          <t>dos (2) MESES</t>
        </is>
      </c>
      <c r="F314" s="114" t="inlineStr">
        <is>
          <t>MINIMA CUANTIA</t>
        </is>
      </c>
      <c r="G314" s="118" t="inlineStr">
        <is>
          <t>$8´000,000</t>
        </is>
      </c>
      <c r="H314" s="114" t="inlineStr">
        <is>
          <t>Profesional Especializado 2028-15 del Área de talleres y laboratorios</t>
        </is>
      </c>
      <c r="I314" s="114" t="inlineStr">
        <is>
          <t>(57-601) 344 3000 Ext 126</t>
        </is>
      </c>
      <c r="J314" s="114" t="inlineStr">
        <is>
          <t>talleresylaboratorios@itc.edu.co</t>
        </is>
      </c>
      <c r="K314" s="114" t="n"/>
      <c r="L314" s="119" t="inlineStr">
        <is>
          <t>125 · GIT Talleres y Laboratorios</t>
        </is>
      </c>
      <c r="M314" s="120" t="n">
        <v>8000000</v>
      </c>
      <c r="N314" s="119" t="inlineStr">
        <is>
          <t>Mínima cuantía</t>
        </is>
      </c>
      <c r="O314" s="119">
        <f>IF(LEN(IF(OR(NOT(ISNUMBER(B314)),LEN(B314)&lt;&gt;8),"UNSPSC vacío, en texto, con varios códigos o sin 8 dígitos; ","")&amp;IF(AND(ISNUMBER(B314),LEN(B314)=8),IF(MOD(B314,10000)=0,"UNSPSC a nivel de segmento o familia; ",""),"")&amp;IF(NOT(ISNUMBER(E314)),"Duración vacía o en texto; ","")&amp;IF(NOT(ISNUMBER(G314)),"Valor vacío o en texto; ","")&amp;IF(ISNUMBER(M314),IF(M314&lt;1000000,"Valor inferior a $1.000.000: verificar; ",""),"Valor no interpretable; ")&amp;IF(N314="[PENDIENTE DE VERIFICAR]","Modalidad no identificable; ","")&amp;IF(OR(ISERROR(SEARCH("@itc.edu.co",J314)),SUMPRODUCT(--ISNUMBER(SEARCH({"á","é","í","ó","ú","ñ"},J314)))&gt;0),"Correo vacío o no institucional válido; ","")&amp;IF(LEN(TRIM(D314))=0,"Sin objeto contractual; ","")&amp;IF(AND(ISNUMBER(M314),N314="Mínima cuantía"),IF(M314&gt;39850000,"Mínima cuantía con valor superior al tope citado en el instructivo 2026 ($39.850.000): verificar modalidad; ",""),"")&amp;IF(AND(ISNUMBER(M314),OR(ISNUMBER(SEARCH("prestación de servicios",D314)),ISNUMBER(SEARCH("prestar servicios",D314)),ISNUMBER(SEARCH("prestar los servicios",D314)))),IF(M314&gt;=500000000,"Prestación de servicios por $500 millones o más: posible error de digitación; ",""),""))=0,"Sin observaciones",IF(OR(NOT(ISNUMBER(B314)),LEN(B314)&lt;&gt;8),"UNSPSC vacío, en texto, con varios códigos o sin 8 dígitos; ","")&amp;IF(AND(ISNUMBER(B314),LEN(B314)=8),IF(MOD(B314,10000)=0,"UNSPSC a nivel de segmento o familia; ",""),"")&amp;IF(NOT(ISNUMBER(E314)),"Duración vacía o en texto; ","")&amp;IF(NOT(ISNUMBER(G314)),"Valor vacío o en texto; ","")&amp;IF(ISNUMBER(M314),IF(M314&lt;1000000,"Valor inferior a $1.000.000: verificar; ",""),"Valor no interpretable; ")&amp;IF(N314="[PENDIENTE DE VERIFICAR]","Modalidad no identificable; ","")&amp;IF(OR(ISERROR(SEARCH("@itc.edu.co",J314)),SUMPRODUCT(--ISNUMBER(SEARCH({"á","é","í","ó","ú","ñ"},J314)))&gt;0),"Correo vacío o no institucional válido; ","")&amp;IF(LEN(TRIM(D314))=0,"Sin objeto contractual; ","")&amp;IF(AND(ISNUMBER(M314),N314="Mínima cuantía"),IF(M314&gt;39850000,"Mínima cuantía con valor superior al tope citado en el instructivo 2026 ($39.850.000): verificar modalidad; ",""),"")&amp;IF(AND(ISNUMBER(M314),OR(ISNUMBER(SEARCH("prestación de servicios",D314)),ISNUMBER(SEARCH("prestar servicios",D314)),ISNUMBER(SEARCH("prestar los servicios",D314)))),IF(M314&gt;=500000000,"Prestación de servicios por $500 millones o más: posible error de digitación; ",""),""))</f>
        <v/>
      </c>
    </row>
    <row r="315" ht="45.6" customHeight="1" s="23">
      <c r="A315" s="114" t="inlineStr">
        <is>
          <t>PN26-311</t>
        </is>
      </c>
      <c r="B315" s="114" t="n">
        <v>24131503</v>
      </c>
      <c r="C315" s="114" t="inlineStr">
        <is>
          <t>Talleres y Laboratorios
(Laboratorio de tratamientos 
térmicos)</t>
        </is>
      </c>
      <c r="D315" s="114" t="inlineStr">
        <is>
          <t>Prestacion de servicios para el mantenimiento preventivo y/o correctivo (a todo costo) del equipos especializad espectómetro de emisión óptica miniLab GNR 300 que presta el servicio en el Laboratorio de Tratamientos Térmicos de la Escuela Tecnologica Instituto Técnico Central para la vigencia 2026</t>
        </is>
      </c>
      <c r="E315" s="114" t="inlineStr">
        <is>
          <t>UN (1) MES</t>
        </is>
      </c>
      <c r="F315" s="114" t="inlineStr">
        <is>
          <t>DIRECTA</t>
        </is>
      </c>
      <c r="G315" s="118" t="inlineStr">
        <is>
          <t>$30´000,000</t>
        </is>
      </c>
      <c r="H315" s="114" t="inlineStr">
        <is>
          <t>Profesional Especializado 2028-15 del Área de talleres y laboratorios</t>
        </is>
      </c>
      <c r="I315" s="114" t="inlineStr">
        <is>
          <t>(57-601) 344 3000 Ext 126</t>
        </is>
      </c>
      <c r="J315" s="114" t="inlineStr">
        <is>
          <t>talleresylaboratorios@itc.edu.co</t>
        </is>
      </c>
      <c r="K315" s="114" t="n"/>
      <c r="L315" s="119" t="inlineStr">
        <is>
          <t>125 · GIT Talleres y Laboratorios</t>
        </is>
      </c>
      <c r="M315" s="120" t="n">
        <v>30000000</v>
      </c>
      <c r="N315" s="119" t="inlineStr">
        <is>
          <t>Contratación directa</t>
        </is>
      </c>
      <c r="O315" s="119">
        <f>IF(LEN(IF(OR(NOT(ISNUMBER(B315)),LEN(B315)&lt;&gt;8),"UNSPSC vacío, en texto, con varios códigos o sin 8 dígitos; ","")&amp;IF(AND(ISNUMBER(B315),LEN(B315)=8),IF(MOD(B315,10000)=0,"UNSPSC a nivel de segmento o familia; ",""),"")&amp;IF(NOT(ISNUMBER(E315)),"Duración vacía o en texto; ","")&amp;IF(NOT(ISNUMBER(G315)),"Valor vacío o en texto; ","")&amp;IF(ISNUMBER(M315),IF(M315&lt;1000000,"Valor inferior a $1.000.000: verificar; ",""),"Valor no interpretable; ")&amp;IF(N315="[PENDIENTE DE VERIFICAR]","Modalidad no identificable; ","")&amp;IF(OR(ISERROR(SEARCH("@itc.edu.co",J315)),SUMPRODUCT(--ISNUMBER(SEARCH({"á","é","í","ó","ú","ñ"},J315)))&gt;0),"Correo vacío o no institucional válido; ","")&amp;IF(LEN(TRIM(D315))=0,"Sin objeto contractual; ","")&amp;IF(AND(ISNUMBER(M315),N315="Mínima cuantía"),IF(M315&gt;39850000,"Mínima cuantía con valor superior al tope citado en el instructivo 2026 ($39.850.000): verificar modalidad; ",""),"")&amp;IF(AND(ISNUMBER(M315),OR(ISNUMBER(SEARCH("prestación de servicios",D315)),ISNUMBER(SEARCH("prestar servicios",D315)),ISNUMBER(SEARCH("prestar los servicios",D315)))),IF(M315&gt;=500000000,"Prestación de servicios por $500 millones o más: posible error de digitación; ",""),""))=0,"Sin observaciones",IF(OR(NOT(ISNUMBER(B315)),LEN(B315)&lt;&gt;8),"UNSPSC vacío, en texto, con varios códigos o sin 8 dígitos; ","")&amp;IF(AND(ISNUMBER(B315),LEN(B315)=8),IF(MOD(B315,10000)=0,"UNSPSC a nivel de segmento o familia; ",""),"")&amp;IF(NOT(ISNUMBER(E315)),"Duración vacía o en texto; ","")&amp;IF(NOT(ISNUMBER(G315)),"Valor vacío o en texto; ","")&amp;IF(ISNUMBER(M315),IF(M315&lt;1000000,"Valor inferior a $1.000.000: verificar; ",""),"Valor no interpretable; ")&amp;IF(N315="[PENDIENTE DE VERIFICAR]","Modalidad no identificable; ","")&amp;IF(OR(ISERROR(SEARCH("@itc.edu.co",J315)),SUMPRODUCT(--ISNUMBER(SEARCH({"á","é","í","ó","ú","ñ"},J315)))&gt;0),"Correo vacío o no institucional válido; ","")&amp;IF(LEN(TRIM(D315))=0,"Sin objeto contractual; ","")&amp;IF(AND(ISNUMBER(M315),N315="Mínima cuantía"),IF(M315&gt;39850000,"Mínima cuantía con valor superior al tope citado en el instructivo 2026 ($39.850.000): verificar modalidad; ",""),"")&amp;IF(AND(ISNUMBER(M315),OR(ISNUMBER(SEARCH("prestación de servicios",D315)),ISNUMBER(SEARCH("prestar servicios",D315)),ISNUMBER(SEARCH("prestar los servicios",D315)))),IF(M315&gt;=500000000,"Prestación de servicios por $500 millones o más: posible error de digitación; ",""),""))</f>
        <v/>
      </c>
    </row>
    <row r="316" ht="57" customHeight="1" s="23">
      <c r="A316" s="114" t="inlineStr">
        <is>
          <t>PN26-312</t>
        </is>
      </c>
      <c r="B316" s="114" t="n">
        <v>81111505</v>
      </c>
      <c r="C316" s="114" t="inlineStr">
        <is>
          <t>Talleres y Laboratorios
(Laboratorio de tratamientos 
térmicos)</t>
        </is>
      </c>
      <c r="D316" s="114" t="inlineStr">
        <is>
          <t>Prestacion de servicios para el mantenimiento preventivo y/o correctivo (a todo costo) de equipos especializados durómetros que presta el servicio en el Laboratorio de Tratamientos Térmicos de la Escuela Tecnologica Instituto Técnico Central para la vigencia 2026</t>
        </is>
      </c>
      <c r="E316" s="114" t="inlineStr">
        <is>
          <t xml:space="preserve">DURACIÓN DEL CONTRATO (NUMERO MESES) </t>
        </is>
      </c>
      <c r="F316" s="114" t="inlineStr">
        <is>
          <t>MINIMA CUANTIA</t>
        </is>
      </c>
      <c r="G316" s="118" t="inlineStr">
        <is>
          <t>$4'000,000</t>
        </is>
      </c>
      <c r="H316" s="114" t="inlineStr">
        <is>
          <t>Profesional Especializado 2028-15 del Área de talleres y laboratorios</t>
        </is>
      </c>
      <c r="I316" s="114" t="inlineStr">
        <is>
          <t>(57-601) 344 3000 Ext 126</t>
        </is>
      </c>
      <c r="J316" s="114" t="inlineStr">
        <is>
          <t>talleresylaboratorios@itc.edu.co</t>
        </is>
      </c>
      <c r="K316" s="114" t="n"/>
      <c r="L316" s="119" t="inlineStr">
        <is>
          <t>125 · GIT Talleres y Laboratorios</t>
        </is>
      </c>
      <c r="M316" s="120" t="n">
        <v>4000000</v>
      </c>
      <c r="N316" s="119" t="inlineStr">
        <is>
          <t>Mínima cuantía</t>
        </is>
      </c>
      <c r="O316" s="119">
        <f>IF(LEN(IF(OR(NOT(ISNUMBER(B316)),LEN(B316)&lt;&gt;8),"UNSPSC vacío, en texto, con varios códigos o sin 8 dígitos; ","")&amp;IF(AND(ISNUMBER(B316),LEN(B316)=8),IF(MOD(B316,10000)=0,"UNSPSC a nivel de segmento o familia; ",""),"")&amp;IF(NOT(ISNUMBER(E316)),"Duración vacía o en texto; ","")&amp;IF(NOT(ISNUMBER(G316)),"Valor vacío o en texto; ","")&amp;IF(ISNUMBER(M316),IF(M316&lt;1000000,"Valor inferior a $1.000.000: verificar; ",""),"Valor no interpretable; ")&amp;IF(N316="[PENDIENTE DE VERIFICAR]","Modalidad no identificable; ","")&amp;IF(OR(ISERROR(SEARCH("@itc.edu.co",J316)),SUMPRODUCT(--ISNUMBER(SEARCH({"á","é","í","ó","ú","ñ"},J316)))&gt;0),"Correo vacío o no institucional válido; ","")&amp;IF(LEN(TRIM(D316))=0,"Sin objeto contractual; ","")&amp;IF(AND(ISNUMBER(M316),N316="Mínima cuantía"),IF(M316&gt;39850000,"Mínima cuantía con valor superior al tope citado en el instructivo 2026 ($39.850.000): verificar modalidad; ",""),"")&amp;IF(AND(ISNUMBER(M316),OR(ISNUMBER(SEARCH("prestación de servicios",D316)),ISNUMBER(SEARCH("prestar servicios",D316)),ISNUMBER(SEARCH("prestar los servicios",D316)))),IF(M316&gt;=500000000,"Prestación de servicios por $500 millones o más: posible error de digitación; ",""),""))=0,"Sin observaciones",IF(OR(NOT(ISNUMBER(B316)),LEN(B316)&lt;&gt;8),"UNSPSC vacío, en texto, con varios códigos o sin 8 dígitos; ","")&amp;IF(AND(ISNUMBER(B316),LEN(B316)=8),IF(MOD(B316,10000)=0,"UNSPSC a nivel de segmento o familia; ",""),"")&amp;IF(NOT(ISNUMBER(E316)),"Duración vacía o en texto; ","")&amp;IF(NOT(ISNUMBER(G316)),"Valor vacío o en texto; ","")&amp;IF(ISNUMBER(M316),IF(M316&lt;1000000,"Valor inferior a $1.000.000: verificar; ",""),"Valor no interpretable; ")&amp;IF(N316="[PENDIENTE DE VERIFICAR]","Modalidad no identificable; ","")&amp;IF(OR(ISERROR(SEARCH("@itc.edu.co",J316)),SUMPRODUCT(--ISNUMBER(SEARCH({"á","é","í","ó","ú","ñ"},J316)))&gt;0),"Correo vacío o no institucional válido; ","")&amp;IF(LEN(TRIM(D316))=0,"Sin objeto contractual; ","")&amp;IF(AND(ISNUMBER(M316),N316="Mínima cuantía"),IF(M316&gt;39850000,"Mínima cuantía con valor superior al tope citado en el instructivo 2026 ($39.850.000): verificar modalidad; ",""),"")&amp;IF(AND(ISNUMBER(M316),OR(ISNUMBER(SEARCH("prestación de servicios",D316)),ISNUMBER(SEARCH("prestar servicios",D316)),ISNUMBER(SEARCH("prestar los servicios",D316)))),IF(M316&gt;=500000000,"Prestación de servicios por $500 millones o más: posible error de digitación; ",""),""))</f>
        <v/>
      </c>
    </row>
    <row r="317" ht="57" customHeight="1" s="23">
      <c r="A317" s="114" t="inlineStr">
        <is>
          <t>PN26-313</t>
        </is>
      </c>
      <c r="B317" s="114" t="n">
        <v>41104503</v>
      </c>
      <c r="C317" s="114" t="inlineStr">
        <is>
          <t>Talleres y Laboratorios
(Laboratorio de tratamientos 
térmicos)</t>
        </is>
      </c>
      <c r="D317" s="114" t="inlineStr">
        <is>
          <t>Adecuacion fisica de las instalaciones, suministro de sistema de gas argón y sistema de ventilación/extracción  para la puesta en funcionamiento del kit para la impresora 3d para metales, ubicado en el lanboratorio de Tratamientos Térmicos de la Escuela Tecnológica Instituto Técnico Central.</t>
        </is>
      </c>
      <c r="E317" s="114" t="inlineStr">
        <is>
          <t xml:space="preserve">DURACIÓN DEL CONTRATO (NUMERO MESES) </t>
        </is>
      </c>
      <c r="F317" s="114" t="inlineStr">
        <is>
          <t>MINIMA CUANTIA</t>
        </is>
      </c>
      <c r="G317" s="118" t="inlineStr">
        <is>
          <t>$25'000,000</t>
        </is>
      </c>
      <c r="H317" s="114" t="inlineStr">
        <is>
          <t>Profesional Especializado 2028-15 del Área de talleres y laboratorios</t>
        </is>
      </c>
      <c r="I317" s="114" t="inlineStr">
        <is>
          <t>(57-601) 344 3000 Ext 126</t>
        </is>
      </c>
      <c r="J317" s="114" t="inlineStr">
        <is>
          <t>talleresylaboratorios@itc.edu.co</t>
        </is>
      </c>
      <c r="K317" s="114" t="n"/>
      <c r="L317" s="119" t="inlineStr">
        <is>
          <t>125 · GIT Talleres y Laboratorios</t>
        </is>
      </c>
      <c r="M317" s="120" t="n">
        <v>25000000</v>
      </c>
      <c r="N317" s="119" t="inlineStr">
        <is>
          <t>Mínima cuantía</t>
        </is>
      </c>
      <c r="O317" s="119">
        <f>IF(LEN(IF(OR(NOT(ISNUMBER(B317)),LEN(B317)&lt;&gt;8),"UNSPSC vacío, en texto, con varios códigos o sin 8 dígitos; ","")&amp;IF(AND(ISNUMBER(B317),LEN(B317)=8),IF(MOD(B317,10000)=0,"UNSPSC a nivel de segmento o familia; ",""),"")&amp;IF(NOT(ISNUMBER(E317)),"Duración vacía o en texto; ","")&amp;IF(NOT(ISNUMBER(G317)),"Valor vacío o en texto; ","")&amp;IF(ISNUMBER(M317),IF(M317&lt;1000000,"Valor inferior a $1.000.000: verificar; ",""),"Valor no interpretable; ")&amp;IF(N317="[PENDIENTE DE VERIFICAR]","Modalidad no identificable; ","")&amp;IF(OR(ISERROR(SEARCH("@itc.edu.co",J317)),SUMPRODUCT(--ISNUMBER(SEARCH({"á","é","í","ó","ú","ñ"},J317)))&gt;0),"Correo vacío o no institucional válido; ","")&amp;IF(LEN(TRIM(D317))=0,"Sin objeto contractual; ","")&amp;IF(AND(ISNUMBER(M317),N317="Mínima cuantía"),IF(M317&gt;39850000,"Mínima cuantía con valor superior al tope citado en el instructivo 2026 ($39.850.000): verificar modalidad; ",""),"")&amp;IF(AND(ISNUMBER(M317),OR(ISNUMBER(SEARCH("prestación de servicios",D317)),ISNUMBER(SEARCH("prestar servicios",D317)),ISNUMBER(SEARCH("prestar los servicios",D317)))),IF(M317&gt;=500000000,"Prestación de servicios por $500 millones o más: posible error de digitación; ",""),""))=0,"Sin observaciones",IF(OR(NOT(ISNUMBER(B317)),LEN(B317)&lt;&gt;8),"UNSPSC vacío, en texto, con varios códigos o sin 8 dígitos; ","")&amp;IF(AND(ISNUMBER(B317),LEN(B317)=8),IF(MOD(B317,10000)=0,"UNSPSC a nivel de segmento o familia; ",""),"")&amp;IF(NOT(ISNUMBER(E317)),"Duración vacía o en texto; ","")&amp;IF(NOT(ISNUMBER(G317)),"Valor vacío o en texto; ","")&amp;IF(ISNUMBER(M317),IF(M317&lt;1000000,"Valor inferior a $1.000.000: verificar; ",""),"Valor no interpretable; ")&amp;IF(N317="[PENDIENTE DE VERIFICAR]","Modalidad no identificable; ","")&amp;IF(OR(ISERROR(SEARCH("@itc.edu.co",J317)),SUMPRODUCT(--ISNUMBER(SEARCH({"á","é","í","ó","ú","ñ"},J317)))&gt;0),"Correo vacío o no institucional válido; ","")&amp;IF(LEN(TRIM(D317))=0,"Sin objeto contractual; ","")&amp;IF(AND(ISNUMBER(M317),N317="Mínima cuantía"),IF(M317&gt;39850000,"Mínima cuantía con valor superior al tope citado en el instructivo 2026 ($39.850.000): verificar modalidad; ",""),"")&amp;IF(AND(ISNUMBER(M317),OR(ISNUMBER(SEARCH("prestación de servicios",D317)),ISNUMBER(SEARCH("prestar servicios",D317)),ISNUMBER(SEARCH("prestar los servicios",D317)))),IF(M317&gt;=500000000,"Prestación de servicios por $500 millones o más: posible error de digitación; ",""),""))</f>
        <v/>
      </c>
    </row>
    <row r="318" ht="57" customHeight="1" s="23">
      <c r="A318" s="114" t="inlineStr">
        <is>
          <t>PN26-314</t>
        </is>
      </c>
      <c r="B318" s="114" t="n">
        <v>41104503</v>
      </c>
      <c r="C318" s="114" t="inlineStr">
        <is>
          <t>Talleres y Laboratorios
(Laboratorio de tratamientos 
térmicos)</t>
        </is>
      </c>
      <c r="D318" s="114" t="inlineStr">
        <is>
          <t>Adecuacion fisica y eléctrica de las instalaciones del laboratorio de Tratamientos Térmicos, suministro e instalación de sistema de ventilación/extracción de humos</t>
        </is>
      </c>
      <c r="E318" s="114" t="inlineStr">
        <is>
          <t xml:space="preserve">DURACIÓN DEL CONTRATO (NUMERO MESES) </t>
        </is>
      </c>
      <c r="F318" s="114" t="inlineStr">
        <is>
          <t>MINIMA CUANTIA</t>
        </is>
      </c>
      <c r="G318" s="118" t="inlineStr">
        <is>
          <t>$15´000,000</t>
        </is>
      </c>
      <c r="H318" s="114" t="inlineStr">
        <is>
          <t>Profesional Especializado 2028-15 del Área de talleres y laboratorios</t>
        </is>
      </c>
      <c r="I318" s="114" t="inlineStr">
        <is>
          <t>(57-601) 344 3000 Ext 126</t>
        </is>
      </c>
      <c r="J318" s="114" t="inlineStr">
        <is>
          <t>talleresylaboratorios@itc.edu.co</t>
        </is>
      </c>
      <c r="K318" s="114" t="n"/>
      <c r="L318" s="119" t="inlineStr">
        <is>
          <t>125 · GIT Talleres y Laboratorios</t>
        </is>
      </c>
      <c r="M318" s="120" t="n">
        <v>15000000</v>
      </c>
      <c r="N318" s="119" t="inlineStr">
        <is>
          <t>Mínima cuantía</t>
        </is>
      </c>
      <c r="O318" s="119">
        <f>IF(LEN(IF(OR(NOT(ISNUMBER(B318)),LEN(B318)&lt;&gt;8),"UNSPSC vacío, en texto, con varios códigos o sin 8 dígitos; ","")&amp;IF(AND(ISNUMBER(B318),LEN(B318)=8),IF(MOD(B318,10000)=0,"UNSPSC a nivel de segmento o familia; ",""),"")&amp;IF(NOT(ISNUMBER(E318)),"Duración vacía o en texto; ","")&amp;IF(NOT(ISNUMBER(G318)),"Valor vacío o en texto; ","")&amp;IF(ISNUMBER(M318),IF(M318&lt;1000000,"Valor inferior a $1.000.000: verificar; ",""),"Valor no interpretable; ")&amp;IF(N318="[PENDIENTE DE VERIFICAR]","Modalidad no identificable; ","")&amp;IF(OR(ISERROR(SEARCH("@itc.edu.co",J318)),SUMPRODUCT(--ISNUMBER(SEARCH({"á","é","í","ó","ú","ñ"},J318)))&gt;0),"Correo vacío o no institucional válido; ","")&amp;IF(LEN(TRIM(D318))=0,"Sin objeto contractual; ","")&amp;IF(AND(ISNUMBER(M318),N318="Mínima cuantía"),IF(M318&gt;39850000,"Mínima cuantía con valor superior al tope citado en el instructivo 2026 ($39.850.000): verificar modalidad; ",""),"")&amp;IF(AND(ISNUMBER(M318),OR(ISNUMBER(SEARCH("prestación de servicios",D318)),ISNUMBER(SEARCH("prestar servicios",D318)),ISNUMBER(SEARCH("prestar los servicios",D318)))),IF(M318&gt;=500000000,"Prestación de servicios por $500 millones o más: posible error de digitación; ",""),""))=0,"Sin observaciones",IF(OR(NOT(ISNUMBER(B318)),LEN(B318)&lt;&gt;8),"UNSPSC vacío, en texto, con varios códigos o sin 8 dígitos; ","")&amp;IF(AND(ISNUMBER(B318),LEN(B318)=8),IF(MOD(B318,10000)=0,"UNSPSC a nivel de segmento o familia; ",""),"")&amp;IF(NOT(ISNUMBER(E318)),"Duración vacía o en texto; ","")&amp;IF(NOT(ISNUMBER(G318)),"Valor vacío o en texto; ","")&amp;IF(ISNUMBER(M318),IF(M318&lt;1000000,"Valor inferior a $1.000.000: verificar; ",""),"Valor no interpretable; ")&amp;IF(N318="[PENDIENTE DE VERIFICAR]","Modalidad no identificable; ","")&amp;IF(OR(ISERROR(SEARCH("@itc.edu.co",J318)),SUMPRODUCT(--ISNUMBER(SEARCH({"á","é","í","ó","ú","ñ"},J318)))&gt;0),"Correo vacío o no institucional válido; ","")&amp;IF(LEN(TRIM(D318))=0,"Sin objeto contractual; ","")&amp;IF(AND(ISNUMBER(M318),N318="Mínima cuantía"),IF(M318&gt;39850000,"Mínima cuantía con valor superior al tope citado en el instructivo 2026 ($39.850.000): verificar modalidad; ",""),"")&amp;IF(AND(ISNUMBER(M318),OR(ISNUMBER(SEARCH("prestación de servicios",D318)),ISNUMBER(SEARCH("prestar servicios",D318)),ISNUMBER(SEARCH("prestar los servicios",D318)))),IF(M318&gt;=500000000,"Prestación de servicios por $500 millones o más: posible error de digitación; ",""),""))</f>
        <v/>
      </c>
    </row>
    <row r="319" ht="57" customHeight="1" s="23">
      <c r="A319" s="114" t="inlineStr">
        <is>
          <t>PN26-315</t>
        </is>
      </c>
      <c r="B319" s="114" t="n">
        <v>81111506</v>
      </c>
      <c r="C319" s="114" t="inlineStr">
        <is>
          <t>Talleres y Laboratorios
(Laboratorio de tratamientos 
térmicos)</t>
        </is>
      </c>
      <c r="D319" s="114" t="inlineStr">
        <is>
          <t xml:space="preserve">Adquisicón del servicio de calibración a durómetros </t>
        </is>
      </c>
      <c r="E319" s="114" t="inlineStr">
        <is>
          <t xml:space="preserve">DURACIÓN DEL CONTRATO (NUMERO MESES) </t>
        </is>
      </c>
      <c r="F319" s="114" t="inlineStr">
        <is>
          <t>MINIMA CUANTIA</t>
        </is>
      </c>
      <c r="G319" s="118" t="inlineStr">
        <is>
          <t>$1´200,000</t>
        </is>
      </c>
      <c r="H319" s="114" t="inlineStr">
        <is>
          <t>Profesional Especializado 2028-15 del Área de talleres y laboratorios</t>
        </is>
      </c>
      <c r="I319" s="114" t="inlineStr">
        <is>
          <t>(57-601) 344 3000 Ext 126</t>
        </is>
      </c>
      <c r="J319" s="114" t="inlineStr">
        <is>
          <t>talleresylaboratorios@itc.edu.co</t>
        </is>
      </c>
      <c r="K319" s="114" t="n"/>
      <c r="L319" s="119" t="inlineStr">
        <is>
          <t>125 · GIT Talleres y Laboratorios</t>
        </is>
      </c>
      <c r="M319" s="120" t="n">
        <v>1200000</v>
      </c>
      <c r="N319" s="119" t="inlineStr">
        <is>
          <t>Mínima cuantía</t>
        </is>
      </c>
      <c r="O319" s="119">
        <f>IF(LEN(IF(OR(NOT(ISNUMBER(B319)),LEN(B319)&lt;&gt;8),"UNSPSC vacío, en texto, con varios códigos o sin 8 dígitos; ","")&amp;IF(AND(ISNUMBER(B319),LEN(B319)=8),IF(MOD(B319,10000)=0,"UNSPSC a nivel de segmento o familia; ",""),"")&amp;IF(NOT(ISNUMBER(E319)),"Duración vacía o en texto; ","")&amp;IF(NOT(ISNUMBER(G319)),"Valor vacío o en texto; ","")&amp;IF(ISNUMBER(M319),IF(M319&lt;1000000,"Valor inferior a $1.000.000: verificar; ",""),"Valor no interpretable; ")&amp;IF(N319="[PENDIENTE DE VERIFICAR]","Modalidad no identificable; ","")&amp;IF(OR(ISERROR(SEARCH("@itc.edu.co",J319)),SUMPRODUCT(--ISNUMBER(SEARCH({"á","é","í","ó","ú","ñ"},J319)))&gt;0),"Correo vacío o no institucional válido; ","")&amp;IF(LEN(TRIM(D319))=0,"Sin objeto contractual; ","")&amp;IF(AND(ISNUMBER(M319),N319="Mínima cuantía"),IF(M319&gt;39850000,"Mínima cuantía con valor superior al tope citado en el instructivo 2026 ($39.850.000): verificar modalidad; ",""),"")&amp;IF(AND(ISNUMBER(M319),OR(ISNUMBER(SEARCH("prestación de servicios",D319)),ISNUMBER(SEARCH("prestar servicios",D319)),ISNUMBER(SEARCH("prestar los servicios",D319)))),IF(M319&gt;=500000000,"Prestación de servicios por $500 millones o más: posible error de digitación; ",""),""))=0,"Sin observaciones",IF(OR(NOT(ISNUMBER(B319)),LEN(B319)&lt;&gt;8),"UNSPSC vacío, en texto, con varios códigos o sin 8 dígitos; ","")&amp;IF(AND(ISNUMBER(B319),LEN(B319)=8),IF(MOD(B319,10000)=0,"UNSPSC a nivel de segmento o familia; ",""),"")&amp;IF(NOT(ISNUMBER(E319)),"Duración vacía o en texto; ","")&amp;IF(NOT(ISNUMBER(G319)),"Valor vacío o en texto; ","")&amp;IF(ISNUMBER(M319),IF(M319&lt;1000000,"Valor inferior a $1.000.000: verificar; ",""),"Valor no interpretable; ")&amp;IF(N319="[PENDIENTE DE VERIFICAR]","Modalidad no identificable; ","")&amp;IF(OR(ISERROR(SEARCH("@itc.edu.co",J319)),SUMPRODUCT(--ISNUMBER(SEARCH({"á","é","í","ó","ú","ñ"},J319)))&gt;0),"Correo vacío o no institucional válido; ","")&amp;IF(LEN(TRIM(D319))=0,"Sin objeto contractual; ","")&amp;IF(AND(ISNUMBER(M319),N319="Mínima cuantía"),IF(M319&gt;39850000,"Mínima cuantía con valor superior al tope citado en el instructivo 2026 ($39.850.000): verificar modalidad; ",""),"")&amp;IF(AND(ISNUMBER(M319),OR(ISNUMBER(SEARCH("prestación de servicios",D319)),ISNUMBER(SEARCH("prestar servicios",D319)),ISNUMBER(SEARCH("prestar los servicios",D319)))),IF(M319&gt;=500000000,"Prestación de servicios por $500 millones o más: posible error de digitación; ",""),""))</f>
        <v/>
      </c>
    </row>
    <row r="320" ht="34.2" customHeight="1" s="23">
      <c r="A320" s="114" t="inlineStr">
        <is>
          <t>PN26-316</t>
        </is>
      </c>
      <c r="B320" s="114" t="n">
        <v>11101700</v>
      </c>
      <c r="C320" s="114" t="inlineStr">
        <is>
          <t>Talleres y Laboratorios
(Metalistería)</t>
        </is>
      </c>
      <c r="D320" s="114" t="inlineStr">
        <is>
          <t>Compra de insumos, consumibles y herramientas para para el taller de Metalistería de la Escuela Tecnológica Instituto Técnico Central para la vigencia 2026.</t>
        </is>
      </c>
      <c r="E320" s="114" t="inlineStr">
        <is>
          <t xml:space="preserve">1 mes </t>
        </is>
      </c>
      <c r="F320" s="114" t="inlineStr">
        <is>
          <t>SELECCIÓN ABREVIADA DE MENOR CUANTÍA</t>
        </is>
      </c>
      <c r="G320" s="118" t="inlineStr">
        <is>
          <t>$ 53.000.000</t>
        </is>
      </c>
      <c r="H320" s="114" t="inlineStr">
        <is>
          <t>Profesional Especializado 2028-15 del Área de talleres y laboratorios</t>
        </is>
      </c>
      <c r="I320" s="114" t="inlineStr">
        <is>
          <t>(57-601) 344 3000 Ext 126</t>
        </is>
      </c>
      <c r="J320" s="114" t="inlineStr">
        <is>
          <t>talleresylaboratorios@itc.edu.co</t>
        </is>
      </c>
      <c r="K320" s="114" t="n"/>
      <c r="L320" s="119" t="inlineStr">
        <is>
          <t>125 · GIT Talleres y Laboratorios</t>
        </is>
      </c>
      <c r="M320" s="120" t="n">
        <v>53000000</v>
      </c>
      <c r="N320" s="119" t="inlineStr">
        <is>
          <t>Selección abreviada de menor cuantía</t>
        </is>
      </c>
      <c r="O320" s="119">
        <f>IF(LEN(IF(OR(NOT(ISNUMBER(B320)),LEN(B320)&lt;&gt;8),"UNSPSC vacío, en texto, con varios códigos o sin 8 dígitos; ","")&amp;IF(AND(ISNUMBER(B320),LEN(B320)=8),IF(MOD(B320,10000)=0,"UNSPSC a nivel de segmento o familia; ",""),"")&amp;IF(NOT(ISNUMBER(E320)),"Duración vacía o en texto; ","")&amp;IF(NOT(ISNUMBER(G320)),"Valor vacío o en texto; ","")&amp;IF(ISNUMBER(M320),IF(M320&lt;1000000,"Valor inferior a $1.000.000: verificar; ",""),"Valor no interpretable; ")&amp;IF(N320="[PENDIENTE DE VERIFICAR]","Modalidad no identificable; ","")&amp;IF(OR(ISERROR(SEARCH("@itc.edu.co",J320)),SUMPRODUCT(--ISNUMBER(SEARCH({"á","é","í","ó","ú","ñ"},J320)))&gt;0),"Correo vacío o no institucional válido; ","")&amp;IF(LEN(TRIM(D320))=0,"Sin objeto contractual; ","")&amp;IF(AND(ISNUMBER(M320),N320="Mínima cuantía"),IF(M320&gt;39850000,"Mínima cuantía con valor superior al tope citado en el instructivo 2026 ($39.850.000): verificar modalidad; ",""),"")&amp;IF(AND(ISNUMBER(M320),OR(ISNUMBER(SEARCH("prestación de servicios",D320)),ISNUMBER(SEARCH("prestar servicios",D320)),ISNUMBER(SEARCH("prestar los servicios",D320)))),IF(M320&gt;=500000000,"Prestación de servicios por $500 millones o más: posible error de digitación; ",""),""))=0,"Sin observaciones",IF(OR(NOT(ISNUMBER(B320)),LEN(B320)&lt;&gt;8),"UNSPSC vacío, en texto, con varios códigos o sin 8 dígitos; ","")&amp;IF(AND(ISNUMBER(B320),LEN(B320)=8),IF(MOD(B320,10000)=0,"UNSPSC a nivel de segmento o familia; ",""),"")&amp;IF(NOT(ISNUMBER(E320)),"Duración vacía o en texto; ","")&amp;IF(NOT(ISNUMBER(G320)),"Valor vacío o en texto; ","")&amp;IF(ISNUMBER(M320),IF(M320&lt;1000000,"Valor inferior a $1.000.000: verificar; ",""),"Valor no interpretable; ")&amp;IF(N320="[PENDIENTE DE VERIFICAR]","Modalidad no identificable; ","")&amp;IF(OR(ISERROR(SEARCH("@itc.edu.co",J320)),SUMPRODUCT(--ISNUMBER(SEARCH({"á","é","í","ó","ú","ñ"},J320)))&gt;0),"Correo vacío o no institucional válido; ","")&amp;IF(LEN(TRIM(D320))=0,"Sin objeto contractual; ","")&amp;IF(AND(ISNUMBER(M320),N320="Mínima cuantía"),IF(M320&gt;39850000,"Mínima cuantía con valor superior al tope citado en el instructivo 2026 ($39.850.000): verificar modalidad; ",""),"")&amp;IF(AND(ISNUMBER(M320),OR(ISNUMBER(SEARCH("prestación de servicios",D320)),ISNUMBER(SEARCH("prestar servicios",D320)),ISNUMBER(SEARCH("prestar los servicios",D320)))),IF(M320&gt;=500000000,"Prestación de servicios por $500 millones o más: posible error de digitación; ",""),""))</f>
        <v/>
      </c>
    </row>
    <row r="321" ht="34.2" customHeight="1" s="23">
      <c r="A321" s="114" t="inlineStr">
        <is>
          <t>PN26-317</t>
        </is>
      </c>
      <c r="B321" s="114" t="n">
        <v>11101700</v>
      </c>
      <c r="C321" s="114" t="inlineStr">
        <is>
          <t>Talleres y Laboratorios
(Metalistería)</t>
        </is>
      </c>
      <c r="D321" s="114" t="inlineStr">
        <is>
          <t>Suministro de gases industriales para el taller de Metalistería de la Escuela Tecnológica Instituto Técnico Central para la vigencia 2026.</t>
        </is>
      </c>
      <c r="E321" s="114" t="inlineStr">
        <is>
          <t>12 Meses</t>
        </is>
      </c>
      <c r="F321" s="114" t="inlineStr">
        <is>
          <t>SELECCIÓN ABREVIADA DE MENOR CUANTÍA</t>
        </is>
      </c>
      <c r="G321" s="118" t="inlineStr">
        <is>
          <t>$ 27.000.000</t>
        </is>
      </c>
      <c r="H321" s="114" t="inlineStr">
        <is>
          <t>Profesional Especializado 2028-15 del Área de talleres y laboratorios</t>
        </is>
      </c>
      <c r="I321" s="114" t="inlineStr">
        <is>
          <t>(57-601) 344 3000 Ext 126</t>
        </is>
      </c>
      <c r="J321" s="114" t="inlineStr">
        <is>
          <t>talleresylaboratorios@itc.edu.co</t>
        </is>
      </c>
      <c r="K321" s="114" t="n"/>
      <c r="L321" s="119" t="inlineStr">
        <is>
          <t>125 · GIT Talleres y Laboratorios</t>
        </is>
      </c>
      <c r="M321" s="120" t="n">
        <v>27000000</v>
      </c>
      <c r="N321" s="119" t="inlineStr">
        <is>
          <t>Selección abreviada de menor cuantía</t>
        </is>
      </c>
      <c r="O321" s="119">
        <f>IF(LEN(IF(OR(NOT(ISNUMBER(B321)),LEN(B321)&lt;&gt;8),"UNSPSC vacío, en texto, con varios códigos o sin 8 dígitos; ","")&amp;IF(AND(ISNUMBER(B321),LEN(B321)=8),IF(MOD(B321,10000)=0,"UNSPSC a nivel de segmento o familia; ",""),"")&amp;IF(NOT(ISNUMBER(E321)),"Duración vacía o en texto; ","")&amp;IF(NOT(ISNUMBER(G321)),"Valor vacío o en texto; ","")&amp;IF(ISNUMBER(M321),IF(M321&lt;1000000,"Valor inferior a $1.000.000: verificar; ",""),"Valor no interpretable; ")&amp;IF(N321="[PENDIENTE DE VERIFICAR]","Modalidad no identificable; ","")&amp;IF(OR(ISERROR(SEARCH("@itc.edu.co",J321)),SUMPRODUCT(--ISNUMBER(SEARCH({"á","é","í","ó","ú","ñ"},J321)))&gt;0),"Correo vacío o no institucional válido; ","")&amp;IF(LEN(TRIM(D321))=0,"Sin objeto contractual; ","")&amp;IF(AND(ISNUMBER(M321),N321="Mínima cuantía"),IF(M321&gt;39850000,"Mínima cuantía con valor superior al tope citado en el instructivo 2026 ($39.850.000): verificar modalidad; ",""),"")&amp;IF(AND(ISNUMBER(M321),OR(ISNUMBER(SEARCH("prestación de servicios",D321)),ISNUMBER(SEARCH("prestar servicios",D321)),ISNUMBER(SEARCH("prestar los servicios",D321)))),IF(M321&gt;=500000000,"Prestación de servicios por $500 millones o más: posible error de digitación; ",""),""))=0,"Sin observaciones",IF(OR(NOT(ISNUMBER(B321)),LEN(B321)&lt;&gt;8),"UNSPSC vacío, en texto, con varios códigos o sin 8 dígitos; ","")&amp;IF(AND(ISNUMBER(B321),LEN(B321)=8),IF(MOD(B321,10000)=0,"UNSPSC a nivel de segmento o familia; ",""),"")&amp;IF(NOT(ISNUMBER(E321)),"Duración vacía o en texto; ","")&amp;IF(NOT(ISNUMBER(G321)),"Valor vacío o en texto; ","")&amp;IF(ISNUMBER(M321),IF(M321&lt;1000000,"Valor inferior a $1.000.000: verificar; ",""),"Valor no interpretable; ")&amp;IF(N321="[PENDIENTE DE VERIFICAR]","Modalidad no identificable; ","")&amp;IF(OR(ISERROR(SEARCH("@itc.edu.co",J321)),SUMPRODUCT(--ISNUMBER(SEARCH({"á","é","í","ó","ú","ñ"},J321)))&gt;0),"Correo vacío o no institucional válido; ","")&amp;IF(LEN(TRIM(D321))=0,"Sin objeto contractual; ","")&amp;IF(AND(ISNUMBER(M321),N321="Mínima cuantía"),IF(M321&gt;39850000,"Mínima cuantía con valor superior al tope citado en el instructivo 2026 ($39.850.000): verificar modalidad; ",""),"")&amp;IF(AND(ISNUMBER(M321),OR(ISNUMBER(SEARCH("prestación de servicios",D321)),ISNUMBER(SEARCH("prestar servicios",D321)),ISNUMBER(SEARCH("prestar los servicios",D321)))),IF(M321&gt;=500000000,"Prestación de servicios por $500 millones o más: posible error de digitación; ",""),""))</f>
        <v/>
      </c>
    </row>
    <row r="322" ht="45.6" customHeight="1" s="23">
      <c r="A322" s="114" t="inlineStr">
        <is>
          <t>PN26-318</t>
        </is>
      </c>
      <c r="B322" s="114" t="n">
        <v>24131503</v>
      </c>
      <c r="C322" s="114" t="inlineStr">
        <is>
          <t>Talleres y Laboratorios
(Metalistería)</t>
        </is>
      </c>
      <c r="D322" s="114" t="inlineStr">
        <is>
          <t>Prestacion de servicios para el mantenimiento preventivo y/o correctivo (a todo costo) de los equipos y maquinaria especializada que prestan el servicio en el taller de Metalistería de la Escuela Tecnologica Instituto Técnico Central para la vigencia 2026</t>
        </is>
      </c>
      <c r="E322" s="114" t="inlineStr">
        <is>
          <t>3 Meses</t>
        </is>
      </c>
      <c r="F322" s="114" t="inlineStr">
        <is>
          <t>SELECCIÓN ABREVIADA DE MENOR CUANTÍA</t>
        </is>
      </c>
      <c r="G322" s="118" t="inlineStr">
        <is>
          <t>$ 180.000.000</t>
        </is>
      </c>
      <c r="H322" s="114" t="inlineStr">
        <is>
          <t>Profesional Especializado 2028-15 del Área de talleres y laboratorios</t>
        </is>
      </c>
      <c r="I322" s="114" t="inlineStr">
        <is>
          <t>(57-601) 344 3000 Ext 126</t>
        </is>
      </c>
      <c r="J322" s="114" t="inlineStr">
        <is>
          <t>talleresylaboratorios@itc.edu.co</t>
        </is>
      </c>
      <c r="K322" s="114" t="n"/>
      <c r="L322" s="119" t="inlineStr">
        <is>
          <t>125 · GIT Talleres y Laboratorios</t>
        </is>
      </c>
      <c r="M322" s="120" t="n">
        <v>180000000</v>
      </c>
      <c r="N322" s="119" t="inlineStr">
        <is>
          <t>Selección abreviada de menor cuantía</t>
        </is>
      </c>
      <c r="O322" s="119">
        <f>IF(LEN(IF(OR(NOT(ISNUMBER(B322)),LEN(B322)&lt;&gt;8),"UNSPSC vacío, en texto, con varios códigos o sin 8 dígitos; ","")&amp;IF(AND(ISNUMBER(B322),LEN(B322)=8),IF(MOD(B322,10000)=0,"UNSPSC a nivel de segmento o familia; ",""),"")&amp;IF(NOT(ISNUMBER(E322)),"Duración vacía o en texto; ","")&amp;IF(NOT(ISNUMBER(G322)),"Valor vacío o en texto; ","")&amp;IF(ISNUMBER(M322),IF(M322&lt;1000000,"Valor inferior a $1.000.000: verificar; ",""),"Valor no interpretable; ")&amp;IF(N322="[PENDIENTE DE VERIFICAR]","Modalidad no identificable; ","")&amp;IF(OR(ISERROR(SEARCH("@itc.edu.co",J322)),SUMPRODUCT(--ISNUMBER(SEARCH({"á","é","í","ó","ú","ñ"},J322)))&gt;0),"Correo vacío o no institucional válido; ","")&amp;IF(LEN(TRIM(D322))=0,"Sin objeto contractual; ","")&amp;IF(AND(ISNUMBER(M322),N322="Mínima cuantía"),IF(M322&gt;39850000,"Mínima cuantía con valor superior al tope citado en el instructivo 2026 ($39.850.000): verificar modalidad; ",""),"")&amp;IF(AND(ISNUMBER(M322),OR(ISNUMBER(SEARCH("prestación de servicios",D322)),ISNUMBER(SEARCH("prestar servicios",D322)),ISNUMBER(SEARCH("prestar los servicios",D322)))),IF(M322&gt;=500000000,"Prestación de servicios por $500 millones o más: posible error de digitación; ",""),""))=0,"Sin observaciones",IF(OR(NOT(ISNUMBER(B322)),LEN(B322)&lt;&gt;8),"UNSPSC vacío, en texto, con varios códigos o sin 8 dígitos; ","")&amp;IF(AND(ISNUMBER(B322),LEN(B322)=8),IF(MOD(B322,10000)=0,"UNSPSC a nivel de segmento o familia; ",""),"")&amp;IF(NOT(ISNUMBER(E322)),"Duración vacía o en texto; ","")&amp;IF(NOT(ISNUMBER(G322)),"Valor vacío o en texto; ","")&amp;IF(ISNUMBER(M322),IF(M322&lt;1000000,"Valor inferior a $1.000.000: verificar; ",""),"Valor no interpretable; ")&amp;IF(N322="[PENDIENTE DE VERIFICAR]","Modalidad no identificable; ","")&amp;IF(OR(ISERROR(SEARCH("@itc.edu.co",J322)),SUMPRODUCT(--ISNUMBER(SEARCH({"á","é","í","ó","ú","ñ"},J322)))&gt;0),"Correo vacío o no institucional válido; ","")&amp;IF(LEN(TRIM(D322))=0,"Sin objeto contractual; ","")&amp;IF(AND(ISNUMBER(M322),N322="Mínima cuantía"),IF(M322&gt;39850000,"Mínima cuantía con valor superior al tope citado en el instructivo 2026 ($39.850.000): verificar modalidad; ",""),"")&amp;IF(AND(ISNUMBER(M322),OR(ISNUMBER(SEARCH("prestación de servicios",D322)),ISNUMBER(SEARCH("prestar servicios",D322)),ISNUMBER(SEARCH("prestar los servicios",D322)))),IF(M322&gt;=500000000,"Prestación de servicios por $500 millones o más: posible error de digitación; ",""),""))</f>
        <v/>
      </c>
    </row>
    <row r="323" ht="34.2" customHeight="1" s="23">
      <c r="A323" s="114" t="inlineStr">
        <is>
          <t>PN26-319</t>
        </is>
      </c>
      <c r="B323" s="114" t="n">
        <v>41104503</v>
      </c>
      <c r="C323" s="114" t="inlineStr">
        <is>
          <t>Talleres y Laboratorios
(Metalistería)</t>
        </is>
      </c>
      <c r="D323" s="114" t="inlineStr">
        <is>
          <t>Adquisicion de equipos y maquinaria para la modernizacion de los activos que perstan el servicio en el taller de Metalistería de la Escuela Tecnológica Instituto Técnico Central.</t>
        </is>
      </c>
      <c r="E323" s="114" t="inlineStr">
        <is>
          <t>3 Meses</t>
        </is>
      </c>
      <c r="F323" s="114" t="inlineStr">
        <is>
          <t>SELECCIÓN ABREVIADA DE MENOR CUANTÍA</t>
        </is>
      </c>
      <c r="G323" s="118" t="inlineStr">
        <is>
          <t>$ 2.463.300.000</t>
        </is>
      </c>
      <c r="H323" s="114" t="inlineStr">
        <is>
          <t>Profesional Especializado 2028-15 del Área de talleres y laboratorios</t>
        </is>
      </c>
      <c r="I323" s="114" t="inlineStr">
        <is>
          <t>(57-601) 344 3000 Ext 126</t>
        </is>
      </c>
      <c r="J323" s="114" t="inlineStr">
        <is>
          <t>talleresylaboratorios@itc.edu.co</t>
        </is>
      </c>
      <c r="K323" s="114" t="n"/>
      <c r="L323" s="119" t="inlineStr">
        <is>
          <t>125 · GIT Talleres y Laboratorios</t>
        </is>
      </c>
      <c r="M323" s="120" t="n">
        <v>2463300000</v>
      </c>
      <c r="N323" s="119" t="inlineStr">
        <is>
          <t>Selección abreviada de menor cuantía</t>
        </is>
      </c>
      <c r="O323" s="119">
        <f>IF(LEN(IF(OR(NOT(ISNUMBER(B323)),LEN(B323)&lt;&gt;8),"UNSPSC vacío, en texto, con varios códigos o sin 8 dígitos; ","")&amp;IF(AND(ISNUMBER(B323),LEN(B323)=8),IF(MOD(B323,10000)=0,"UNSPSC a nivel de segmento o familia; ",""),"")&amp;IF(NOT(ISNUMBER(E323)),"Duración vacía o en texto; ","")&amp;IF(NOT(ISNUMBER(G323)),"Valor vacío o en texto; ","")&amp;IF(ISNUMBER(M323),IF(M323&lt;1000000,"Valor inferior a $1.000.000: verificar; ",""),"Valor no interpretable; ")&amp;IF(N323="[PENDIENTE DE VERIFICAR]","Modalidad no identificable; ","")&amp;IF(OR(ISERROR(SEARCH("@itc.edu.co",J323)),SUMPRODUCT(--ISNUMBER(SEARCH({"á","é","í","ó","ú","ñ"},J323)))&gt;0),"Correo vacío o no institucional válido; ","")&amp;IF(LEN(TRIM(D323))=0,"Sin objeto contractual; ","")&amp;IF(AND(ISNUMBER(M323),N323="Mínima cuantía"),IF(M323&gt;39850000,"Mínima cuantía con valor superior al tope citado en el instructivo 2026 ($39.850.000): verificar modalidad; ",""),"")&amp;IF(AND(ISNUMBER(M323),OR(ISNUMBER(SEARCH("prestación de servicios",D323)),ISNUMBER(SEARCH("prestar servicios",D323)),ISNUMBER(SEARCH("prestar los servicios",D323)))),IF(M323&gt;=500000000,"Prestación de servicios por $500 millones o más: posible error de digitación; ",""),""))=0,"Sin observaciones",IF(OR(NOT(ISNUMBER(B323)),LEN(B323)&lt;&gt;8),"UNSPSC vacío, en texto, con varios códigos o sin 8 dígitos; ","")&amp;IF(AND(ISNUMBER(B323),LEN(B323)=8),IF(MOD(B323,10000)=0,"UNSPSC a nivel de segmento o familia; ",""),"")&amp;IF(NOT(ISNUMBER(E323)),"Duración vacía o en texto; ","")&amp;IF(NOT(ISNUMBER(G323)),"Valor vacío o en texto; ","")&amp;IF(ISNUMBER(M323),IF(M323&lt;1000000,"Valor inferior a $1.000.000: verificar; ",""),"Valor no interpretable; ")&amp;IF(N323="[PENDIENTE DE VERIFICAR]","Modalidad no identificable; ","")&amp;IF(OR(ISERROR(SEARCH("@itc.edu.co",J323)),SUMPRODUCT(--ISNUMBER(SEARCH({"á","é","í","ó","ú","ñ"},J323)))&gt;0),"Correo vacío o no institucional válido; ","")&amp;IF(LEN(TRIM(D323))=0,"Sin objeto contractual; ","")&amp;IF(AND(ISNUMBER(M323),N323="Mínima cuantía"),IF(M323&gt;39850000,"Mínima cuantía con valor superior al tope citado en el instructivo 2026 ($39.850.000): verificar modalidad; ",""),"")&amp;IF(AND(ISNUMBER(M323),OR(ISNUMBER(SEARCH("prestación de servicios",D323)),ISNUMBER(SEARCH("prestar servicios",D323)),ISNUMBER(SEARCH("prestar los servicios",D323)))),IF(M323&gt;=500000000,"Prestación de servicios por $500 millones o más: posible error de digitación; ",""),""))</f>
        <v/>
      </c>
    </row>
    <row r="324" ht="34.2" customHeight="1" s="23">
      <c r="A324" s="114" t="inlineStr">
        <is>
          <t>PN26-320</t>
        </is>
      </c>
      <c r="B324" s="114" t="n">
        <v>41104503</v>
      </c>
      <c r="C324" s="114" t="inlineStr">
        <is>
          <t>Talleres y Laboratorios
(Metalistería)</t>
        </is>
      </c>
      <c r="D324" s="114" t="inlineStr">
        <is>
          <t>Adecuacion fisica de las instalaciones del para aumentar la cacidad de antencion del taller de Metalistería de la Escuela Tecnológica Instituto Técnico Central.</t>
        </is>
      </c>
      <c r="E324" s="114" t="inlineStr">
        <is>
          <t>6 Meses</t>
        </is>
      </c>
      <c r="F324" s="114" t="inlineStr">
        <is>
          <t>SELECCIÓN ABREVIADA DE MENOR CUANTÍA</t>
        </is>
      </c>
      <c r="G324" s="118" t="inlineStr">
        <is>
          <t>$ 378.000.000</t>
        </is>
      </c>
      <c r="H324" s="114" t="inlineStr">
        <is>
          <t>Profesional Especializado 2028-15 del Área de talleres y laboratorios</t>
        </is>
      </c>
      <c r="I324" s="114" t="inlineStr">
        <is>
          <t>(57-601) 344 3000 Ext 126</t>
        </is>
      </c>
      <c r="J324" s="114" t="inlineStr">
        <is>
          <t>talleresylaboratorios@itc.edu.co</t>
        </is>
      </c>
      <c r="K324" s="114" t="n"/>
      <c r="L324" s="119" t="inlineStr">
        <is>
          <t>125 · GIT Talleres y Laboratorios</t>
        </is>
      </c>
      <c r="M324" s="120" t="n">
        <v>378000000</v>
      </c>
      <c r="N324" s="119" t="inlineStr">
        <is>
          <t>Selección abreviada de menor cuantía</t>
        </is>
      </c>
      <c r="O324" s="119">
        <f>IF(LEN(IF(OR(NOT(ISNUMBER(B324)),LEN(B324)&lt;&gt;8),"UNSPSC vacío, en texto, con varios códigos o sin 8 dígitos; ","")&amp;IF(AND(ISNUMBER(B324),LEN(B324)=8),IF(MOD(B324,10000)=0,"UNSPSC a nivel de segmento o familia; ",""),"")&amp;IF(NOT(ISNUMBER(E324)),"Duración vacía o en texto; ","")&amp;IF(NOT(ISNUMBER(G324)),"Valor vacío o en texto; ","")&amp;IF(ISNUMBER(M324),IF(M324&lt;1000000,"Valor inferior a $1.000.000: verificar; ",""),"Valor no interpretable; ")&amp;IF(N324="[PENDIENTE DE VERIFICAR]","Modalidad no identificable; ","")&amp;IF(OR(ISERROR(SEARCH("@itc.edu.co",J324)),SUMPRODUCT(--ISNUMBER(SEARCH({"á","é","í","ó","ú","ñ"},J324)))&gt;0),"Correo vacío o no institucional válido; ","")&amp;IF(LEN(TRIM(D324))=0,"Sin objeto contractual; ","")&amp;IF(AND(ISNUMBER(M324),N324="Mínima cuantía"),IF(M324&gt;39850000,"Mínima cuantía con valor superior al tope citado en el instructivo 2026 ($39.850.000): verificar modalidad; ",""),"")&amp;IF(AND(ISNUMBER(M324),OR(ISNUMBER(SEARCH("prestación de servicios",D324)),ISNUMBER(SEARCH("prestar servicios",D324)),ISNUMBER(SEARCH("prestar los servicios",D324)))),IF(M324&gt;=500000000,"Prestación de servicios por $500 millones o más: posible error de digitación; ",""),""))=0,"Sin observaciones",IF(OR(NOT(ISNUMBER(B324)),LEN(B324)&lt;&gt;8),"UNSPSC vacío, en texto, con varios códigos o sin 8 dígitos; ","")&amp;IF(AND(ISNUMBER(B324),LEN(B324)=8),IF(MOD(B324,10000)=0,"UNSPSC a nivel de segmento o familia; ",""),"")&amp;IF(NOT(ISNUMBER(E324)),"Duración vacía o en texto; ","")&amp;IF(NOT(ISNUMBER(G324)),"Valor vacío o en texto; ","")&amp;IF(ISNUMBER(M324),IF(M324&lt;1000000,"Valor inferior a $1.000.000: verificar; ",""),"Valor no interpretable; ")&amp;IF(N324="[PENDIENTE DE VERIFICAR]","Modalidad no identificable; ","")&amp;IF(OR(ISERROR(SEARCH("@itc.edu.co",J324)),SUMPRODUCT(--ISNUMBER(SEARCH({"á","é","í","ó","ú","ñ"},J324)))&gt;0),"Correo vacío o no institucional válido; ","")&amp;IF(LEN(TRIM(D324))=0,"Sin objeto contractual; ","")&amp;IF(AND(ISNUMBER(M324),N324="Mínima cuantía"),IF(M324&gt;39850000,"Mínima cuantía con valor superior al tope citado en el instructivo 2026 ($39.850.000): verificar modalidad; ",""),"")&amp;IF(AND(ISNUMBER(M324),OR(ISNUMBER(SEARCH("prestación de servicios",D324)),ISNUMBER(SEARCH("prestar servicios",D324)),ISNUMBER(SEARCH("prestar los servicios",D324)))),IF(M324&gt;=500000000,"Prestación de servicios por $500 millones o más: posible error de digitación; ",""),""))</f>
        <v/>
      </c>
    </row>
    <row r="325" ht="34.2" customHeight="1" s="23">
      <c r="A325" s="114" t="inlineStr">
        <is>
          <t>PN26-321</t>
        </is>
      </c>
      <c r="B325" s="114" t="n">
        <v>41104503</v>
      </c>
      <c r="C325" s="114" t="inlineStr">
        <is>
          <t>Talleres y Laboratorios
(Metalistería)</t>
        </is>
      </c>
      <c r="D325" s="114" t="inlineStr">
        <is>
          <t>Adquisicion de un sistema de extraccion de humos y gases de soldadura para el taller de Metalistería de la Escuela Tecnológica Instituto Técnico Central.</t>
        </is>
      </c>
      <c r="E325" s="114" t="inlineStr">
        <is>
          <t>6 Meses</t>
        </is>
      </c>
      <c r="F325" s="114" t="inlineStr">
        <is>
          <t>SELECCIÓN ABREVIADA DE MENOR CUANTÍA</t>
        </is>
      </c>
      <c r="G325" s="118" t="inlineStr">
        <is>
          <t>$ 438.000.000</t>
        </is>
      </c>
      <c r="H325" s="114" t="inlineStr">
        <is>
          <t>Profesional Especializado 2028-15 del Área de talleres y laboratorios</t>
        </is>
      </c>
      <c r="I325" s="114" t="inlineStr">
        <is>
          <t>(57-601) 344 3000 Ext 126</t>
        </is>
      </c>
      <c r="J325" s="114" t="inlineStr">
        <is>
          <t>talleresylaboratorios@itc.edu.co</t>
        </is>
      </c>
      <c r="K325" s="114" t="n"/>
      <c r="L325" s="119" t="inlineStr">
        <is>
          <t>125 · GIT Talleres y Laboratorios</t>
        </is>
      </c>
      <c r="M325" s="120" t="n">
        <v>438000000</v>
      </c>
      <c r="N325" s="119" t="inlineStr">
        <is>
          <t>Selección abreviada de menor cuantía</t>
        </is>
      </c>
      <c r="O325" s="119">
        <f>IF(LEN(IF(OR(NOT(ISNUMBER(B325)),LEN(B325)&lt;&gt;8),"UNSPSC vacío, en texto, con varios códigos o sin 8 dígitos; ","")&amp;IF(AND(ISNUMBER(B325),LEN(B325)=8),IF(MOD(B325,10000)=0,"UNSPSC a nivel de segmento o familia; ",""),"")&amp;IF(NOT(ISNUMBER(E325)),"Duración vacía o en texto; ","")&amp;IF(NOT(ISNUMBER(G325)),"Valor vacío o en texto; ","")&amp;IF(ISNUMBER(M325),IF(M325&lt;1000000,"Valor inferior a $1.000.000: verificar; ",""),"Valor no interpretable; ")&amp;IF(N325="[PENDIENTE DE VERIFICAR]","Modalidad no identificable; ","")&amp;IF(OR(ISERROR(SEARCH("@itc.edu.co",J325)),SUMPRODUCT(--ISNUMBER(SEARCH({"á","é","í","ó","ú","ñ"},J325)))&gt;0),"Correo vacío o no institucional válido; ","")&amp;IF(LEN(TRIM(D325))=0,"Sin objeto contractual; ","")&amp;IF(AND(ISNUMBER(M325),N325="Mínima cuantía"),IF(M325&gt;39850000,"Mínima cuantía con valor superior al tope citado en el instructivo 2026 ($39.850.000): verificar modalidad; ",""),"")&amp;IF(AND(ISNUMBER(M325),OR(ISNUMBER(SEARCH("prestación de servicios",D325)),ISNUMBER(SEARCH("prestar servicios",D325)),ISNUMBER(SEARCH("prestar los servicios",D325)))),IF(M325&gt;=500000000,"Prestación de servicios por $500 millones o más: posible error de digitación; ",""),""))=0,"Sin observaciones",IF(OR(NOT(ISNUMBER(B325)),LEN(B325)&lt;&gt;8),"UNSPSC vacío, en texto, con varios códigos o sin 8 dígitos; ","")&amp;IF(AND(ISNUMBER(B325),LEN(B325)=8),IF(MOD(B325,10000)=0,"UNSPSC a nivel de segmento o familia; ",""),"")&amp;IF(NOT(ISNUMBER(E325)),"Duración vacía o en texto; ","")&amp;IF(NOT(ISNUMBER(G325)),"Valor vacío o en texto; ","")&amp;IF(ISNUMBER(M325),IF(M325&lt;1000000,"Valor inferior a $1.000.000: verificar; ",""),"Valor no interpretable; ")&amp;IF(N325="[PENDIENTE DE VERIFICAR]","Modalidad no identificable; ","")&amp;IF(OR(ISERROR(SEARCH("@itc.edu.co",J325)),SUMPRODUCT(--ISNUMBER(SEARCH({"á","é","í","ó","ú","ñ"},J325)))&gt;0),"Correo vacío o no institucional válido; ","")&amp;IF(LEN(TRIM(D325))=0,"Sin objeto contractual; ","")&amp;IF(AND(ISNUMBER(M325),N325="Mínima cuantía"),IF(M325&gt;39850000,"Mínima cuantía con valor superior al tope citado en el instructivo 2026 ($39.850.000): verificar modalidad; ",""),"")&amp;IF(AND(ISNUMBER(M325),OR(ISNUMBER(SEARCH("prestación de servicios",D325)),ISNUMBER(SEARCH("prestar servicios",D325)),ISNUMBER(SEARCH("prestar los servicios",D325)))),IF(M325&gt;=500000000,"Prestación de servicios por $500 millones o más: posible error de digitación; ",""),""))</f>
        <v/>
      </c>
    </row>
    <row r="326" ht="34.2" customHeight="1" s="23">
      <c r="A326" s="114" t="inlineStr">
        <is>
          <t>PN26-322</t>
        </is>
      </c>
      <c r="B326" s="114" t="inlineStr">
        <is>
          <t xml:space="preserve">41114600 </t>
        </is>
      </c>
      <c r="C326" s="114" t="inlineStr">
        <is>
          <t>Talleres y Laboratorios
(Motores y electromovilidad)</t>
        </is>
      </c>
      <c r="D326" s="114" t="inlineStr">
        <is>
          <t xml:space="preserve">PRESTACION DE SERVICIOS PARA EL MANTENIMIENTO PREVENTIVO Y CORRECTIVO A TODO COSTO PARA LA MÁQUINA DE ENSAYOS UNIVERSAL MARCA SHIMADZU DEL TALLER DE MOTORES </t>
        </is>
      </c>
      <c r="E326" s="114" t="inlineStr">
        <is>
          <t>DOS (02) MESES</t>
        </is>
      </c>
      <c r="F326" s="114" t="inlineStr">
        <is>
          <t xml:space="preserve">DIRECTA </t>
        </is>
      </c>
      <c r="G326" s="118" t="inlineStr">
        <is>
          <t>$75.000.000</t>
        </is>
      </c>
      <c r="H326" s="114" t="inlineStr">
        <is>
          <t>Profesional Especializado 2028-15 del Área de talleres y laboratorios</t>
        </is>
      </c>
      <c r="I326" s="114" t="inlineStr">
        <is>
          <t>(57-601) 344 3000 Ext 126</t>
        </is>
      </c>
      <c r="J326" s="114" t="inlineStr">
        <is>
          <t>talleresylaboratorios@itc.edu.co</t>
        </is>
      </c>
      <c r="K326" s="114" t="n"/>
      <c r="L326" s="119" t="inlineStr">
        <is>
          <t>125 · GIT Talleres y Laboratorios</t>
        </is>
      </c>
      <c r="M326" s="120" t="n">
        <v>75000000</v>
      </c>
      <c r="N326" s="119" t="inlineStr">
        <is>
          <t>Contratación directa</t>
        </is>
      </c>
      <c r="O326" s="119">
        <f>IF(LEN(IF(OR(NOT(ISNUMBER(B326)),LEN(B326)&lt;&gt;8),"UNSPSC vacío, en texto, con varios códigos o sin 8 dígitos; ","")&amp;IF(AND(ISNUMBER(B326),LEN(B326)=8),IF(MOD(B326,10000)=0,"UNSPSC a nivel de segmento o familia; ",""),"")&amp;IF(NOT(ISNUMBER(E326)),"Duración vacía o en texto; ","")&amp;IF(NOT(ISNUMBER(G326)),"Valor vacío o en texto; ","")&amp;IF(ISNUMBER(M326),IF(M326&lt;1000000,"Valor inferior a $1.000.000: verificar; ",""),"Valor no interpretable; ")&amp;IF(N326="[PENDIENTE DE VERIFICAR]","Modalidad no identificable; ","")&amp;IF(OR(ISERROR(SEARCH("@itc.edu.co",J326)),SUMPRODUCT(--ISNUMBER(SEARCH({"á","é","í","ó","ú","ñ"},J326)))&gt;0),"Correo vacío o no institucional válido; ","")&amp;IF(LEN(TRIM(D326))=0,"Sin objeto contractual; ","")&amp;IF(AND(ISNUMBER(M326),N326="Mínima cuantía"),IF(M326&gt;39850000,"Mínima cuantía con valor superior al tope citado en el instructivo 2026 ($39.850.000): verificar modalidad; ",""),"")&amp;IF(AND(ISNUMBER(M326),OR(ISNUMBER(SEARCH("prestación de servicios",D326)),ISNUMBER(SEARCH("prestar servicios",D326)),ISNUMBER(SEARCH("prestar los servicios",D326)))),IF(M326&gt;=500000000,"Prestación de servicios por $500 millones o más: posible error de digitación; ",""),""))=0,"Sin observaciones",IF(OR(NOT(ISNUMBER(B326)),LEN(B326)&lt;&gt;8),"UNSPSC vacío, en texto, con varios códigos o sin 8 dígitos; ","")&amp;IF(AND(ISNUMBER(B326),LEN(B326)=8),IF(MOD(B326,10000)=0,"UNSPSC a nivel de segmento o familia; ",""),"")&amp;IF(NOT(ISNUMBER(E326)),"Duración vacía o en texto; ","")&amp;IF(NOT(ISNUMBER(G326)),"Valor vacío o en texto; ","")&amp;IF(ISNUMBER(M326),IF(M326&lt;1000000,"Valor inferior a $1.000.000: verificar; ",""),"Valor no interpretable; ")&amp;IF(N326="[PENDIENTE DE VERIFICAR]","Modalidad no identificable; ","")&amp;IF(OR(ISERROR(SEARCH("@itc.edu.co",J326)),SUMPRODUCT(--ISNUMBER(SEARCH({"á","é","í","ó","ú","ñ"},J326)))&gt;0),"Correo vacío o no institucional válido; ","")&amp;IF(LEN(TRIM(D326))=0,"Sin objeto contractual; ","")&amp;IF(AND(ISNUMBER(M326),N326="Mínima cuantía"),IF(M326&gt;39850000,"Mínima cuantía con valor superior al tope citado en el instructivo 2026 ($39.850.000): verificar modalidad; ",""),"")&amp;IF(AND(ISNUMBER(M326),OR(ISNUMBER(SEARCH("prestación de servicios",D326)),ISNUMBER(SEARCH("prestar servicios",D326)),ISNUMBER(SEARCH("prestar los servicios",D326)))),IF(M326&gt;=500000000,"Prestación de servicios por $500 millones o más: posible error de digitación; ",""),""))</f>
        <v/>
      </c>
    </row>
    <row r="327" ht="34.2" customHeight="1" s="23">
      <c r="A327" s="114" t="inlineStr">
        <is>
          <t>PN26-323</t>
        </is>
      </c>
      <c r="B327" s="114" t="n">
        <v>22101715</v>
      </c>
      <c r="C327" s="114" t="inlineStr">
        <is>
          <t>Talleres y Laboratorios
(Motores y electromovilidad)</t>
        </is>
      </c>
      <c r="D327" s="114" t="inlineStr">
        <is>
          <t xml:space="preserve">PRESTACION DE SERVICIOS PARA EL MANTENIMIENTO PREVENTIVO Y CORRECTIVO A TODO COSTO PARA LA PLANTA DE INTRUMENTACIÓN Y CONTROL DE PROCESOS DEL TALLER DE MOTORES </t>
        </is>
      </c>
      <c r="E327" s="114" t="inlineStr">
        <is>
          <t>DOS (02) MESES</t>
        </is>
      </c>
      <c r="F327" s="114" t="inlineStr">
        <is>
          <t xml:space="preserve">DIRECTA </t>
        </is>
      </c>
      <c r="G327" s="118" t="inlineStr">
        <is>
          <t>$30.000.000</t>
        </is>
      </c>
      <c r="H327" s="114" t="inlineStr">
        <is>
          <t>Profesional Especializado 2028-15 del Área de talleres y laboratorios</t>
        </is>
      </c>
      <c r="I327" s="114" t="inlineStr">
        <is>
          <t>(57-601) 344 3000 Ext 126</t>
        </is>
      </c>
      <c r="J327" s="114" t="inlineStr">
        <is>
          <t>talleresylaboratorios@itc.edu.co</t>
        </is>
      </c>
      <c r="K327" s="114" t="n"/>
      <c r="L327" s="119" t="inlineStr">
        <is>
          <t>125 · GIT Talleres y Laboratorios</t>
        </is>
      </c>
      <c r="M327" s="120" t="n">
        <v>30000000</v>
      </c>
      <c r="N327" s="119" t="inlineStr">
        <is>
          <t>Contratación directa</t>
        </is>
      </c>
      <c r="O327" s="119">
        <f>IF(LEN(IF(OR(NOT(ISNUMBER(B327)),LEN(B327)&lt;&gt;8),"UNSPSC vacío, en texto, con varios códigos o sin 8 dígitos; ","")&amp;IF(AND(ISNUMBER(B327),LEN(B327)=8),IF(MOD(B327,10000)=0,"UNSPSC a nivel de segmento o familia; ",""),"")&amp;IF(NOT(ISNUMBER(E327)),"Duración vacía o en texto; ","")&amp;IF(NOT(ISNUMBER(G327)),"Valor vacío o en texto; ","")&amp;IF(ISNUMBER(M327),IF(M327&lt;1000000,"Valor inferior a $1.000.000: verificar; ",""),"Valor no interpretable; ")&amp;IF(N327="[PENDIENTE DE VERIFICAR]","Modalidad no identificable; ","")&amp;IF(OR(ISERROR(SEARCH("@itc.edu.co",J327)),SUMPRODUCT(--ISNUMBER(SEARCH({"á","é","í","ó","ú","ñ"},J327)))&gt;0),"Correo vacío o no institucional válido; ","")&amp;IF(LEN(TRIM(D327))=0,"Sin objeto contractual; ","")&amp;IF(AND(ISNUMBER(M327),N327="Mínima cuantía"),IF(M327&gt;39850000,"Mínima cuantía con valor superior al tope citado en el instructivo 2026 ($39.850.000): verificar modalidad; ",""),"")&amp;IF(AND(ISNUMBER(M327),OR(ISNUMBER(SEARCH("prestación de servicios",D327)),ISNUMBER(SEARCH("prestar servicios",D327)),ISNUMBER(SEARCH("prestar los servicios",D327)))),IF(M327&gt;=500000000,"Prestación de servicios por $500 millones o más: posible error de digitación; ",""),""))=0,"Sin observaciones",IF(OR(NOT(ISNUMBER(B327)),LEN(B327)&lt;&gt;8),"UNSPSC vacío, en texto, con varios códigos o sin 8 dígitos; ","")&amp;IF(AND(ISNUMBER(B327),LEN(B327)=8),IF(MOD(B327,10000)=0,"UNSPSC a nivel de segmento o familia; ",""),"")&amp;IF(NOT(ISNUMBER(E327)),"Duración vacía o en texto; ","")&amp;IF(NOT(ISNUMBER(G327)),"Valor vacío o en texto; ","")&amp;IF(ISNUMBER(M327),IF(M327&lt;1000000,"Valor inferior a $1.000.000: verificar; ",""),"Valor no interpretable; ")&amp;IF(N327="[PENDIENTE DE VERIFICAR]","Modalidad no identificable; ","")&amp;IF(OR(ISERROR(SEARCH("@itc.edu.co",J327)),SUMPRODUCT(--ISNUMBER(SEARCH({"á","é","í","ó","ú","ñ"},J327)))&gt;0),"Correo vacío o no institucional válido; ","")&amp;IF(LEN(TRIM(D327))=0,"Sin objeto contractual; ","")&amp;IF(AND(ISNUMBER(M327),N327="Mínima cuantía"),IF(M327&gt;39850000,"Mínima cuantía con valor superior al tope citado en el instructivo 2026 ($39.850.000): verificar modalidad; ",""),"")&amp;IF(AND(ISNUMBER(M327),OR(ISNUMBER(SEARCH("prestación de servicios",D327)),ISNUMBER(SEARCH("prestar servicios",D327)),ISNUMBER(SEARCH("prestar los servicios",D327)))),IF(M327&gt;=500000000,"Prestación de servicios por $500 millones o más: posible error de digitación; ",""),""))</f>
        <v/>
      </c>
    </row>
    <row r="328" ht="34.2" customHeight="1" s="23">
      <c r="A328" s="114" t="inlineStr">
        <is>
          <t>PN26-324</t>
        </is>
      </c>
      <c r="B328" s="114" t="n">
        <v>24131503</v>
      </c>
      <c r="C328" s="114" t="inlineStr">
        <is>
          <t>Talleres y Laboratorios
(Motores y electromovilidad)</t>
        </is>
      </c>
      <c r="D328" s="114" t="inlineStr">
        <is>
          <t xml:space="preserve">PRESTACION DE SERVICIOS PARA EL MANTENIMIENTO PREVENTIVO Y CORRECTIVO A TODO COSTO PARA EQUIPOS Y BANCOS DE REFRIGERACIÓN DEL TALLER DE MOTORES </t>
        </is>
      </c>
      <c r="E328" s="114" t="inlineStr">
        <is>
          <t>DOS (02) MESES</t>
        </is>
      </c>
      <c r="F328" s="114" t="inlineStr">
        <is>
          <t>SELECCIÓN ABREVIADA DE MENOR CUANTÍA</t>
        </is>
      </c>
      <c r="G328" s="118" t="inlineStr">
        <is>
          <t>$25.000.000</t>
        </is>
      </c>
      <c r="H328" s="114" t="inlineStr">
        <is>
          <t>Profesional Especializado 2028-15 del Área de talleres y laboratorios</t>
        </is>
      </c>
      <c r="I328" s="114" t="inlineStr">
        <is>
          <t>(57-601) 344 3000 Ext 126</t>
        </is>
      </c>
      <c r="J328" s="114" t="inlineStr">
        <is>
          <t>talleresylaboratorios@itc.edu.co</t>
        </is>
      </c>
      <c r="K328" s="114" t="n"/>
      <c r="L328" s="119" t="inlineStr">
        <is>
          <t>125 · GIT Talleres y Laboratorios</t>
        </is>
      </c>
      <c r="M328" s="120" t="n">
        <v>25000000</v>
      </c>
      <c r="N328" s="119" t="inlineStr">
        <is>
          <t>Selección abreviada de menor cuantía</t>
        </is>
      </c>
      <c r="O328" s="119">
        <f>IF(LEN(IF(OR(NOT(ISNUMBER(B328)),LEN(B328)&lt;&gt;8),"UNSPSC vacío, en texto, con varios códigos o sin 8 dígitos; ","")&amp;IF(AND(ISNUMBER(B328),LEN(B328)=8),IF(MOD(B328,10000)=0,"UNSPSC a nivel de segmento o familia; ",""),"")&amp;IF(NOT(ISNUMBER(E328)),"Duración vacía o en texto; ","")&amp;IF(NOT(ISNUMBER(G328)),"Valor vacío o en texto; ","")&amp;IF(ISNUMBER(M328),IF(M328&lt;1000000,"Valor inferior a $1.000.000: verificar; ",""),"Valor no interpretable; ")&amp;IF(N328="[PENDIENTE DE VERIFICAR]","Modalidad no identificable; ","")&amp;IF(OR(ISERROR(SEARCH("@itc.edu.co",J328)),SUMPRODUCT(--ISNUMBER(SEARCH({"á","é","í","ó","ú","ñ"},J328)))&gt;0),"Correo vacío o no institucional válido; ","")&amp;IF(LEN(TRIM(D328))=0,"Sin objeto contractual; ","")&amp;IF(AND(ISNUMBER(M328),N328="Mínima cuantía"),IF(M328&gt;39850000,"Mínima cuantía con valor superior al tope citado en el instructivo 2026 ($39.850.000): verificar modalidad; ",""),"")&amp;IF(AND(ISNUMBER(M328),OR(ISNUMBER(SEARCH("prestación de servicios",D328)),ISNUMBER(SEARCH("prestar servicios",D328)),ISNUMBER(SEARCH("prestar los servicios",D328)))),IF(M328&gt;=500000000,"Prestación de servicios por $500 millones o más: posible error de digitación; ",""),""))=0,"Sin observaciones",IF(OR(NOT(ISNUMBER(B328)),LEN(B328)&lt;&gt;8),"UNSPSC vacío, en texto, con varios códigos o sin 8 dígitos; ","")&amp;IF(AND(ISNUMBER(B328),LEN(B328)=8),IF(MOD(B328,10000)=0,"UNSPSC a nivel de segmento o familia; ",""),"")&amp;IF(NOT(ISNUMBER(E328)),"Duración vacía o en texto; ","")&amp;IF(NOT(ISNUMBER(G328)),"Valor vacío o en texto; ","")&amp;IF(ISNUMBER(M328),IF(M328&lt;1000000,"Valor inferior a $1.000.000: verificar; ",""),"Valor no interpretable; ")&amp;IF(N328="[PENDIENTE DE VERIFICAR]","Modalidad no identificable; ","")&amp;IF(OR(ISERROR(SEARCH("@itc.edu.co",J328)),SUMPRODUCT(--ISNUMBER(SEARCH({"á","é","í","ó","ú","ñ"},J328)))&gt;0),"Correo vacío o no institucional válido; ","")&amp;IF(LEN(TRIM(D328))=0,"Sin objeto contractual; ","")&amp;IF(AND(ISNUMBER(M328),N328="Mínima cuantía"),IF(M328&gt;39850000,"Mínima cuantía con valor superior al tope citado en el instructivo 2026 ($39.850.000): verificar modalidad; ",""),"")&amp;IF(AND(ISNUMBER(M328),OR(ISNUMBER(SEARCH("prestación de servicios",D328)),ISNUMBER(SEARCH("prestar servicios",D328)),ISNUMBER(SEARCH("prestar los servicios",D328)))),IF(M328&gt;=500000000,"Prestación de servicios por $500 millones o más: posible error de digitación; ",""),""))</f>
        <v/>
      </c>
    </row>
    <row r="329" ht="34.2" customHeight="1" s="23">
      <c r="A329" s="114" t="inlineStr">
        <is>
          <t>PN26-325</t>
        </is>
      </c>
      <c r="B329" s="114" t="n">
        <v>42191914</v>
      </c>
      <c r="C329" s="114" t="inlineStr">
        <is>
          <t>Talleres y Laboratorios
(Motores y electromovilidad)</t>
        </is>
      </c>
      <c r="D329" s="114" t="inlineStr">
        <is>
          <t>ADQUISICIÓN DE MOBILIARIO PARA ALMACÉN, GABINETES Y ARMARIOS</t>
        </is>
      </c>
      <c r="E329" s="114" t="inlineStr">
        <is>
          <t>UN (1) MES</t>
        </is>
      </c>
      <c r="F329" s="114" t="inlineStr">
        <is>
          <t>SELECCIÓN ABREVIADA DE MENOR CUANTÍA</t>
        </is>
      </c>
      <c r="G329" s="118" t="inlineStr">
        <is>
          <t>$10.000.000</t>
        </is>
      </c>
      <c r="H329" s="114" t="inlineStr">
        <is>
          <t>Profesional Especializado 2028-15 del Área de talleres y laboratorios</t>
        </is>
      </c>
      <c r="I329" s="114" t="inlineStr">
        <is>
          <t>(57-601) 344 3000 Ext 126</t>
        </is>
      </c>
      <c r="J329" s="114" t="inlineStr">
        <is>
          <t>talleresylaboratorios@itc.edu.co</t>
        </is>
      </c>
      <c r="K329" s="114" t="n"/>
      <c r="L329" s="119" t="inlineStr">
        <is>
          <t>125 · GIT Talleres y Laboratorios</t>
        </is>
      </c>
      <c r="M329" s="120" t="n">
        <v>10000000</v>
      </c>
      <c r="N329" s="119" t="inlineStr">
        <is>
          <t>Selección abreviada de menor cuantía</t>
        </is>
      </c>
      <c r="O329" s="119">
        <f>IF(LEN(IF(OR(NOT(ISNUMBER(B329)),LEN(B329)&lt;&gt;8),"UNSPSC vacío, en texto, con varios códigos o sin 8 dígitos; ","")&amp;IF(AND(ISNUMBER(B329),LEN(B329)=8),IF(MOD(B329,10000)=0,"UNSPSC a nivel de segmento o familia; ",""),"")&amp;IF(NOT(ISNUMBER(E329)),"Duración vacía o en texto; ","")&amp;IF(NOT(ISNUMBER(G329)),"Valor vacío o en texto; ","")&amp;IF(ISNUMBER(M329),IF(M329&lt;1000000,"Valor inferior a $1.000.000: verificar; ",""),"Valor no interpretable; ")&amp;IF(N329="[PENDIENTE DE VERIFICAR]","Modalidad no identificable; ","")&amp;IF(OR(ISERROR(SEARCH("@itc.edu.co",J329)),SUMPRODUCT(--ISNUMBER(SEARCH({"á","é","í","ó","ú","ñ"},J329)))&gt;0),"Correo vacío o no institucional válido; ","")&amp;IF(LEN(TRIM(D329))=0,"Sin objeto contractual; ","")&amp;IF(AND(ISNUMBER(M329),N329="Mínima cuantía"),IF(M329&gt;39850000,"Mínima cuantía con valor superior al tope citado en el instructivo 2026 ($39.850.000): verificar modalidad; ",""),"")&amp;IF(AND(ISNUMBER(M329),OR(ISNUMBER(SEARCH("prestación de servicios",D329)),ISNUMBER(SEARCH("prestar servicios",D329)),ISNUMBER(SEARCH("prestar los servicios",D329)))),IF(M329&gt;=500000000,"Prestación de servicios por $500 millones o más: posible error de digitación; ",""),""))=0,"Sin observaciones",IF(OR(NOT(ISNUMBER(B329)),LEN(B329)&lt;&gt;8),"UNSPSC vacío, en texto, con varios códigos o sin 8 dígitos; ","")&amp;IF(AND(ISNUMBER(B329),LEN(B329)=8),IF(MOD(B329,10000)=0,"UNSPSC a nivel de segmento o familia; ",""),"")&amp;IF(NOT(ISNUMBER(E329)),"Duración vacía o en texto; ","")&amp;IF(NOT(ISNUMBER(G329)),"Valor vacío o en texto; ","")&amp;IF(ISNUMBER(M329),IF(M329&lt;1000000,"Valor inferior a $1.000.000: verificar; ",""),"Valor no interpretable; ")&amp;IF(N329="[PENDIENTE DE VERIFICAR]","Modalidad no identificable; ","")&amp;IF(OR(ISERROR(SEARCH("@itc.edu.co",J329)),SUMPRODUCT(--ISNUMBER(SEARCH({"á","é","í","ó","ú","ñ"},J329)))&gt;0),"Correo vacío o no institucional válido; ","")&amp;IF(LEN(TRIM(D329))=0,"Sin objeto contractual; ","")&amp;IF(AND(ISNUMBER(M329),N329="Mínima cuantía"),IF(M329&gt;39850000,"Mínima cuantía con valor superior al tope citado en el instructivo 2026 ($39.850.000): verificar modalidad; ",""),"")&amp;IF(AND(ISNUMBER(M329),OR(ISNUMBER(SEARCH("prestación de servicios",D329)),ISNUMBER(SEARCH("prestar servicios",D329)),ISNUMBER(SEARCH("prestar los servicios",D329)))),IF(M329&gt;=500000000,"Prestación de servicios por $500 millones o más: posible error de digitación; ",""),""))</f>
        <v/>
      </c>
    </row>
    <row r="330" ht="34.2" customHeight="1" s="23">
      <c r="A330" s="114" t="inlineStr">
        <is>
          <t>PN26-326</t>
        </is>
      </c>
      <c r="B330" s="114" t="n">
        <v>43231512</v>
      </c>
      <c r="C330" s="114" t="inlineStr">
        <is>
          <t>Talleres y Laboratorios
(Motores y electromovilidad)</t>
        </is>
      </c>
      <c r="D330" s="114" t="inlineStr">
        <is>
          <t>ADQUISICIÓN DE 100 LICENCIAS DE ELECTUDE</t>
        </is>
      </c>
      <c r="E330" s="114" t="inlineStr">
        <is>
          <t>UN (1) MES</t>
        </is>
      </c>
      <c r="F330" s="114" t="inlineStr">
        <is>
          <t xml:space="preserve">DIRECTA </t>
        </is>
      </c>
      <c r="G330" s="118" t="inlineStr">
        <is>
          <t>$50.000.000</t>
        </is>
      </c>
      <c r="H330" s="114" t="inlineStr">
        <is>
          <t>Profesional Especializado 2028-15 del Área de talleres y laboratorios</t>
        </is>
      </c>
      <c r="I330" s="114" t="inlineStr">
        <is>
          <t>(57-601) 344 3000 Ext 126</t>
        </is>
      </c>
      <c r="J330" s="114" t="inlineStr">
        <is>
          <t>talleresylaboratorios@itc.edu.co</t>
        </is>
      </c>
      <c r="K330" s="114" t="n"/>
      <c r="L330" s="119" t="inlineStr">
        <is>
          <t>125 · GIT Talleres y Laboratorios</t>
        </is>
      </c>
      <c r="M330" s="120" t="n">
        <v>50000000</v>
      </c>
      <c r="N330" s="119" t="inlineStr">
        <is>
          <t>Contratación directa</t>
        </is>
      </c>
      <c r="O330" s="119">
        <f>IF(LEN(IF(OR(NOT(ISNUMBER(B330)),LEN(B330)&lt;&gt;8),"UNSPSC vacío, en texto, con varios códigos o sin 8 dígitos; ","")&amp;IF(AND(ISNUMBER(B330),LEN(B330)=8),IF(MOD(B330,10000)=0,"UNSPSC a nivel de segmento o familia; ",""),"")&amp;IF(NOT(ISNUMBER(E330)),"Duración vacía o en texto; ","")&amp;IF(NOT(ISNUMBER(G330)),"Valor vacío o en texto; ","")&amp;IF(ISNUMBER(M330),IF(M330&lt;1000000,"Valor inferior a $1.000.000: verificar; ",""),"Valor no interpretable; ")&amp;IF(N330="[PENDIENTE DE VERIFICAR]","Modalidad no identificable; ","")&amp;IF(OR(ISERROR(SEARCH("@itc.edu.co",J330)),SUMPRODUCT(--ISNUMBER(SEARCH({"á","é","í","ó","ú","ñ"},J330)))&gt;0),"Correo vacío o no institucional válido; ","")&amp;IF(LEN(TRIM(D330))=0,"Sin objeto contractual; ","")&amp;IF(AND(ISNUMBER(M330),N330="Mínima cuantía"),IF(M330&gt;39850000,"Mínima cuantía con valor superior al tope citado en el instructivo 2026 ($39.850.000): verificar modalidad; ",""),"")&amp;IF(AND(ISNUMBER(M330),OR(ISNUMBER(SEARCH("prestación de servicios",D330)),ISNUMBER(SEARCH("prestar servicios",D330)),ISNUMBER(SEARCH("prestar los servicios",D330)))),IF(M330&gt;=500000000,"Prestación de servicios por $500 millones o más: posible error de digitación; ",""),""))=0,"Sin observaciones",IF(OR(NOT(ISNUMBER(B330)),LEN(B330)&lt;&gt;8),"UNSPSC vacío, en texto, con varios códigos o sin 8 dígitos; ","")&amp;IF(AND(ISNUMBER(B330),LEN(B330)=8),IF(MOD(B330,10000)=0,"UNSPSC a nivel de segmento o familia; ",""),"")&amp;IF(NOT(ISNUMBER(E330)),"Duración vacía o en texto; ","")&amp;IF(NOT(ISNUMBER(G330)),"Valor vacío o en texto; ","")&amp;IF(ISNUMBER(M330),IF(M330&lt;1000000,"Valor inferior a $1.000.000: verificar; ",""),"Valor no interpretable; ")&amp;IF(N330="[PENDIENTE DE VERIFICAR]","Modalidad no identificable; ","")&amp;IF(OR(ISERROR(SEARCH("@itc.edu.co",J330)),SUMPRODUCT(--ISNUMBER(SEARCH({"á","é","í","ó","ú","ñ"},J330)))&gt;0),"Correo vacío o no institucional válido; ","")&amp;IF(LEN(TRIM(D330))=0,"Sin objeto contractual; ","")&amp;IF(AND(ISNUMBER(M330),N330="Mínima cuantía"),IF(M330&gt;39850000,"Mínima cuantía con valor superior al tope citado en el instructivo 2026 ($39.850.000): verificar modalidad; ",""),"")&amp;IF(AND(ISNUMBER(M330),OR(ISNUMBER(SEARCH("prestación de servicios",D330)),ISNUMBER(SEARCH("prestar servicios",D330)),ISNUMBER(SEARCH("prestar los servicios",D330)))),IF(M330&gt;=500000000,"Prestación de servicios por $500 millones o más: posible error de digitación; ",""),""))</f>
        <v/>
      </c>
    </row>
    <row r="331" ht="34.2" customHeight="1" s="23">
      <c r="A331" s="114" t="inlineStr">
        <is>
          <t>PN26-327</t>
        </is>
      </c>
      <c r="B331" s="114" t="n">
        <v>20102008</v>
      </c>
      <c r="C331" s="114" t="inlineStr">
        <is>
          <t>Talleres y Laboratorios
(Motores y electromovilidad)</t>
        </is>
      </c>
      <c r="D331" s="114" t="inlineStr">
        <is>
          <t>ADQUISICIÓN DE EQUIPOS REQUERIDOS EN DIFERENTES AREAS DEL TALLER</t>
        </is>
      </c>
      <c r="E331" s="114" t="inlineStr">
        <is>
          <t>TRES(3)MESES</t>
        </is>
      </c>
      <c r="F331" s="114" t="inlineStr">
        <is>
          <t>SELECCIÓN ABREVIADA DE MENOR CUANTÍA</t>
        </is>
      </c>
      <c r="G331" s="118" t="inlineStr">
        <is>
          <t>$20.000.000</t>
        </is>
      </c>
      <c r="H331" s="114" t="inlineStr">
        <is>
          <t>Profesional Especializado 2028-15 del Área de talleres y laboratorios</t>
        </is>
      </c>
      <c r="I331" s="114" t="inlineStr">
        <is>
          <t>(57-601) 344 3000 Ext 126</t>
        </is>
      </c>
      <c r="J331" s="114" t="inlineStr">
        <is>
          <t>talleresylaboratorios@itc.edu.co</t>
        </is>
      </c>
      <c r="K331" s="114" t="n"/>
      <c r="L331" s="119" t="inlineStr">
        <is>
          <t>125 · GIT Talleres y Laboratorios</t>
        </is>
      </c>
      <c r="M331" s="120" t="n">
        <v>20000000</v>
      </c>
      <c r="N331" s="119" t="inlineStr">
        <is>
          <t>Selección abreviada de menor cuantía</t>
        </is>
      </c>
      <c r="O331" s="119">
        <f>IF(LEN(IF(OR(NOT(ISNUMBER(B331)),LEN(B331)&lt;&gt;8),"UNSPSC vacío, en texto, con varios códigos o sin 8 dígitos; ","")&amp;IF(AND(ISNUMBER(B331),LEN(B331)=8),IF(MOD(B331,10000)=0,"UNSPSC a nivel de segmento o familia; ",""),"")&amp;IF(NOT(ISNUMBER(E331)),"Duración vacía o en texto; ","")&amp;IF(NOT(ISNUMBER(G331)),"Valor vacío o en texto; ","")&amp;IF(ISNUMBER(M331),IF(M331&lt;1000000,"Valor inferior a $1.000.000: verificar; ",""),"Valor no interpretable; ")&amp;IF(N331="[PENDIENTE DE VERIFICAR]","Modalidad no identificable; ","")&amp;IF(OR(ISERROR(SEARCH("@itc.edu.co",J331)),SUMPRODUCT(--ISNUMBER(SEARCH({"á","é","í","ó","ú","ñ"},J331)))&gt;0),"Correo vacío o no institucional válido; ","")&amp;IF(LEN(TRIM(D331))=0,"Sin objeto contractual; ","")&amp;IF(AND(ISNUMBER(M331),N331="Mínima cuantía"),IF(M331&gt;39850000,"Mínima cuantía con valor superior al tope citado en el instructivo 2026 ($39.850.000): verificar modalidad; ",""),"")&amp;IF(AND(ISNUMBER(M331),OR(ISNUMBER(SEARCH("prestación de servicios",D331)),ISNUMBER(SEARCH("prestar servicios",D331)),ISNUMBER(SEARCH("prestar los servicios",D331)))),IF(M331&gt;=500000000,"Prestación de servicios por $500 millones o más: posible error de digitación; ",""),""))=0,"Sin observaciones",IF(OR(NOT(ISNUMBER(B331)),LEN(B331)&lt;&gt;8),"UNSPSC vacío, en texto, con varios códigos o sin 8 dígitos; ","")&amp;IF(AND(ISNUMBER(B331),LEN(B331)=8),IF(MOD(B331,10000)=0,"UNSPSC a nivel de segmento o familia; ",""),"")&amp;IF(NOT(ISNUMBER(E331)),"Duración vacía o en texto; ","")&amp;IF(NOT(ISNUMBER(G331)),"Valor vacío o en texto; ","")&amp;IF(ISNUMBER(M331),IF(M331&lt;1000000,"Valor inferior a $1.000.000: verificar; ",""),"Valor no interpretable; ")&amp;IF(N331="[PENDIENTE DE VERIFICAR]","Modalidad no identificable; ","")&amp;IF(OR(ISERROR(SEARCH("@itc.edu.co",J331)),SUMPRODUCT(--ISNUMBER(SEARCH({"á","é","í","ó","ú","ñ"},J331)))&gt;0),"Correo vacío o no institucional válido; ","")&amp;IF(LEN(TRIM(D331))=0,"Sin objeto contractual; ","")&amp;IF(AND(ISNUMBER(M331),N331="Mínima cuantía"),IF(M331&gt;39850000,"Mínima cuantía con valor superior al tope citado en el instructivo 2026 ($39.850.000): verificar modalidad; ",""),"")&amp;IF(AND(ISNUMBER(M331),OR(ISNUMBER(SEARCH("prestación de servicios",D331)),ISNUMBER(SEARCH("prestar servicios",D331)),ISNUMBER(SEARCH("prestar los servicios",D331)))),IF(M331&gt;=500000000,"Prestación de servicios por $500 millones o más: posible error de digitación; ",""),""))</f>
        <v/>
      </c>
    </row>
    <row r="332" ht="148.2" customHeight="1" s="23">
      <c r="A332" s="114" t="inlineStr">
        <is>
          <t>PN26-328</t>
        </is>
      </c>
      <c r="B332" s="114" t="n">
        <v>23242300</v>
      </c>
      <c r="C332" s="114" t="inlineStr">
        <is>
          <t>Talleres y Laboratorios
(Taller de mecánica)</t>
        </is>
      </c>
      <c r="D332" s="114" t="inlineStr">
        <is>
          <t xml:space="preserve">Se requiere la adquisición de dos (2) tornos convencionales para mecanizado de metales, destinados al fortalecimiento de las capacidades técnicas y operativas del Taller de Mecánica, permitiendo la ejecución de procesos de mecanizado como cilindrado, refrentado, roscado, perforado y ranurado de piezas metálicas en actividades de formación práctica y desarrollo de proyectos.
estos equipos deberán contar minimo con lo siguiente: distancia entre puntos aproximada de 1000 mm, volteo sobre bancada cercano a 500 mm, husillo con diámetro pasante aproximado de 82 mm, sistema de 24 velocidades en rango aproximado de 9 a 1600 rpm y caja de avances tipo Norton para mecanizado de roscas métricas y en pulgadas. Así mismo, deberán incorporar motor principal cercano a 7.5 kW, sistema de refrigeración y alimentación eléctrica trifásica 220 V – 60 Hz, garantizando precisión y estabilidad en las operaciones de mecanizado. </t>
        </is>
      </c>
      <c r="E332" s="114" t="inlineStr">
        <is>
          <t>4 MESES</t>
        </is>
      </c>
      <c r="F332" s="114" t="inlineStr">
        <is>
          <t>SELECCIÓN ABREVIADA DE MENOR CUANTÍA</t>
        </is>
      </c>
      <c r="G332" s="118" t="inlineStr">
        <is>
          <t>$180.000.000</t>
        </is>
      </c>
      <c r="H332" s="114" t="inlineStr">
        <is>
          <t>Profesional Especializado 2028-15 del Área de talleres y laboratorios</t>
        </is>
      </c>
      <c r="I332" s="114" t="inlineStr">
        <is>
          <t>(57-601) 344 3000 Ext 126</t>
        </is>
      </c>
      <c r="J332" s="114" t="inlineStr">
        <is>
          <t>talleresylaboratorios@itc.edu.co</t>
        </is>
      </c>
      <c r="K332" s="114" t="n"/>
      <c r="L332" s="119" t="inlineStr">
        <is>
          <t>125 · GIT Talleres y Laboratorios</t>
        </is>
      </c>
      <c r="M332" s="120" t="n">
        <v>180000000</v>
      </c>
      <c r="N332" s="119" t="inlineStr">
        <is>
          <t>Selección abreviada de menor cuantía</t>
        </is>
      </c>
      <c r="O332" s="119">
        <f>IF(LEN(IF(OR(NOT(ISNUMBER(B332)),LEN(B332)&lt;&gt;8),"UNSPSC vacío, en texto, con varios códigos o sin 8 dígitos; ","")&amp;IF(AND(ISNUMBER(B332),LEN(B332)=8),IF(MOD(B332,10000)=0,"UNSPSC a nivel de segmento o familia; ",""),"")&amp;IF(NOT(ISNUMBER(E332)),"Duración vacía o en texto; ","")&amp;IF(NOT(ISNUMBER(G332)),"Valor vacío o en texto; ","")&amp;IF(ISNUMBER(M332),IF(M332&lt;1000000,"Valor inferior a $1.000.000: verificar; ",""),"Valor no interpretable; ")&amp;IF(N332="[PENDIENTE DE VERIFICAR]","Modalidad no identificable; ","")&amp;IF(OR(ISERROR(SEARCH("@itc.edu.co",J332)),SUMPRODUCT(--ISNUMBER(SEARCH({"á","é","í","ó","ú","ñ"},J332)))&gt;0),"Correo vacío o no institucional válido; ","")&amp;IF(LEN(TRIM(D332))=0,"Sin objeto contractual; ","")&amp;IF(AND(ISNUMBER(M332),N332="Mínima cuantía"),IF(M332&gt;39850000,"Mínima cuantía con valor superior al tope citado en el instructivo 2026 ($39.850.000): verificar modalidad; ",""),"")&amp;IF(AND(ISNUMBER(M332),OR(ISNUMBER(SEARCH("prestación de servicios",D332)),ISNUMBER(SEARCH("prestar servicios",D332)),ISNUMBER(SEARCH("prestar los servicios",D332)))),IF(M332&gt;=500000000,"Prestación de servicios por $500 millones o más: posible error de digitación; ",""),""))=0,"Sin observaciones",IF(OR(NOT(ISNUMBER(B332)),LEN(B332)&lt;&gt;8),"UNSPSC vacío, en texto, con varios códigos o sin 8 dígitos; ","")&amp;IF(AND(ISNUMBER(B332),LEN(B332)=8),IF(MOD(B332,10000)=0,"UNSPSC a nivel de segmento o familia; ",""),"")&amp;IF(NOT(ISNUMBER(E332)),"Duración vacía o en texto; ","")&amp;IF(NOT(ISNUMBER(G332)),"Valor vacío o en texto; ","")&amp;IF(ISNUMBER(M332),IF(M332&lt;1000000,"Valor inferior a $1.000.000: verificar; ",""),"Valor no interpretable; ")&amp;IF(N332="[PENDIENTE DE VERIFICAR]","Modalidad no identificable; ","")&amp;IF(OR(ISERROR(SEARCH("@itc.edu.co",J332)),SUMPRODUCT(--ISNUMBER(SEARCH({"á","é","í","ó","ú","ñ"},J332)))&gt;0),"Correo vacío o no institucional válido; ","")&amp;IF(LEN(TRIM(D332))=0,"Sin objeto contractual; ","")&amp;IF(AND(ISNUMBER(M332),N332="Mínima cuantía"),IF(M332&gt;39850000,"Mínima cuantía con valor superior al tope citado en el instructivo 2026 ($39.850.000): verificar modalidad; ",""),"")&amp;IF(AND(ISNUMBER(M332),OR(ISNUMBER(SEARCH("prestación de servicios",D332)),ISNUMBER(SEARCH("prestar servicios",D332)),ISNUMBER(SEARCH("prestar los servicios",D332)))),IF(M332&gt;=500000000,"Prestación de servicios por $500 millones o más: posible error de digitación; ",""),""))</f>
        <v/>
      </c>
    </row>
    <row r="333" ht="114" customHeight="1" s="23">
      <c r="A333" s="114" t="inlineStr">
        <is>
          <t>PN26-329</t>
        </is>
      </c>
      <c r="B333" s="114" t="n">
        <v>23241800</v>
      </c>
      <c r="C333" s="114" t="inlineStr">
        <is>
          <t>Talleres y Laboratorios
(Taller de mecánica)</t>
        </is>
      </c>
      <c r="D333" s="114" t="inlineStr">
        <is>
          <t>Se requiere la adquisición de un (1) taladro fresador para mecanizado de metales, destinado a apoyar las actividades de perforado, roscado y fresado en procesos de formación práctica y fabricación de piezas en el Taller de Mecánica.
El equipo deberá contar con rango de velocidades del husillo entre aproximadamente 95 y 1500 rpm, cono de husillo tipo CM4, recorrido de husillo cercano a 130 mm, mesa de trabajo aproximada de 800 × 240 mm, capacidad de perforación en acero cercana a 32 mm, y motor de aproximadamente 1.5 HP con alimentación eléctrica trifásica 220 V – 60 Hz, incluyendo sistema de refrigeración para operaciones de mecanizado.</t>
        </is>
      </c>
      <c r="E333" s="114" t="inlineStr">
        <is>
          <t>3 MESES</t>
        </is>
      </c>
      <c r="F333" s="114" t="inlineStr">
        <is>
          <t>SELECCIÓN ABREVIADA DE MENOR CUANTÍA</t>
        </is>
      </c>
      <c r="G333" s="118" t="inlineStr">
        <is>
          <t>$38.000.000</t>
        </is>
      </c>
      <c r="H333" s="114" t="inlineStr">
        <is>
          <t>Profesional Especializado 2028-15 del Área de talleres y laboratorios</t>
        </is>
      </c>
      <c r="I333" s="114" t="inlineStr">
        <is>
          <t>(57-601) 344 3000 Ext 126</t>
        </is>
      </c>
      <c r="J333" s="114" t="inlineStr">
        <is>
          <t>talleresylaboratorios@itc.edu.co</t>
        </is>
      </c>
      <c r="K333" s="114" t="n"/>
      <c r="L333" s="119" t="inlineStr">
        <is>
          <t>125 · GIT Talleres y Laboratorios</t>
        </is>
      </c>
      <c r="M333" s="120" t="n">
        <v>38000000</v>
      </c>
      <c r="N333" s="119" t="inlineStr">
        <is>
          <t>Selección abreviada de menor cuantía</t>
        </is>
      </c>
      <c r="O333" s="119">
        <f>IF(LEN(IF(OR(NOT(ISNUMBER(B333)),LEN(B333)&lt;&gt;8),"UNSPSC vacío, en texto, con varios códigos o sin 8 dígitos; ","")&amp;IF(AND(ISNUMBER(B333),LEN(B333)=8),IF(MOD(B333,10000)=0,"UNSPSC a nivel de segmento o familia; ",""),"")&amp;IF(NOT(ISNUMBER(E333)),"Duración vacía o en texto; ","")&amp;IF(NOT(ISNUMBER(G333)),"Valor vacío o en texto; ","")&amp;IF(ISNUMBER(M333),IF(M333&lt;1000000,"Valor inferior a $1.000.000: verificar; ",""),"Valor no interpretable; ")&amp;IF(N333="[PENDIENTE DE VERIFICAR]","Modalidad no identificable; ","")&amp;IF(OR(ISERROR(SEARCH("@itc.edu.co",J333)),SUMPRODUCT(--ISNUMBER(SEARCH({"á","é","í","ó","ú","ñ"},J333)))&gt;0),"Correo vacío o no institucional válido; ","")&amp;IF(LEN(TRIM(D333))=0,"Sin objeto contractual; ","")&amp;IF(AND(ISNUMBER(M333),N333="Mínima cuantía"),IF(M333&gt;39850000,"Mínima cuantía con valor superior al tope citado en el instructivo 2026 ($39.850.000): verificar modalidad; ",""),"")&amp;IF(AND(ISNUMBER(M333),OR(ISNUMBER(SEARCH("prestación de servicios",D333)),ISNUMBER(SEARCH("prestar servicios",D333)),ISNUMBER(SEARCH("prestar los servicios",D333)))),IF(M333&gt;=500000000,"Prestación de servicios por $500 millones o más: posible error de digitación; ",""),""))=0,"Sin observaciones",IF(OR(NOT(ISNUMBER(B333)),LEN(B333)&lt;&gt;8),"UNSPSC vacío, en texto, con varios códigos o sin 8 dígitos; ","")&amp;IF(AND(ISNUMBER(B333),LEN(B333)=8),IF(MOD(B333,10000)=0,"UNSPSC a nivel de segmento o familia; ",""),"")&amp;IF(NOT(ISNUMBER(E333)),"Duración vacía o en texto; ","")&amp;IF(NOT(ISNUMBER(G333)),"Valor vacío o en texto; ","")&amp;IF(ISNUMBER(M333),IF(M333&lt;1000000,"Valor inferior a $1.000.000: verificar; ",""),"Valor no interpretable; ")&amp;IF(N333="[PENDIENTE DE VERIFICAR]","Modalidad no identificable; ","")&amp;IF(OR(ISERROR(SEARCH("@itc.edu.co",J333)),SUMPRODUCT(--ISNUMBER(SEARCH({"á","é","í","ó","ú","ñ"},J333)))&gt;0),"Correo vacío o no institucional válido; ","")&amp;IF(LEN(TRIM(D333))=0,"Sin objeto contractual; ","")&amp;IF(AND(ISNUMBER(M333),N333="Mínima cuantía"),IF(M333&gt;39850000,"Mínima cuantía con valor superior al tope citado en el instructivo 2026 ($39.850.000): verificar modalidad; ",""),"")&amp;IF(AND(ISNUMBER(M333),OR(ISNUMBER(SEARCH("prestación de servicios",D333)),ISNUMBER(SEARCH("prestar servicios",D333)),ISNUMBER(SEARCH("prestar los servicios",D333)))),IF(M333&gt;=500000000,"Prestación de servicios por $500 millones o más: posible error de digitación; ",""),""))</f>
        <v/>
      </c>
    </row>
    <row r="334" ht="102.6" customHeight="1" s="23">
      <c r="A334" s="114" t="inlineStr">
        <is>
          <t>PN26-330</t>
        </is>
      </c>
      <c r="B334" s="114" t="n">
        <v>72151800</v>
      </c>
      <c r="C334" s="114" t="inlineStr">
        <is>
          <t>Talleres y Laboratorios
(Taller de mecánica)</t>
        </is>
      </c>
      <c r="D334" s="114" t="inlineStr">
        <is>
          <t>Se requiere la contratación del servicio de mantenimiento preventivo, correctivo, puesta a punto y puesta en marcha de las máquinas herramienta del Taller de Mecánica, con el fin de garantizar su adecuado funcionamiento, seguridad operativa y disponibilidad para el desarrollo de las actividades académicas.
El servicio deberá contemplar la revisión, diagnóstico técnico, limpieza, lubricación, ajuste, calibración y verificación de los diferentes sistemas mecánicos, eléctricos y electrónicos, así como la corrección de fallas que puedan presentarse durante la operación</t>
        </is>
      </c>
      <c r="E334" s="114" t="inlineStr">
        <is>
          <t>3 MESES</t>
        </is>
      </c>
      <c r="F334" s="114" t="inlineStr">
        <is>
          <t>SELECCIÓN ABREVIADA DE MENOR CUANTÍA</t>
        </is>
      </c>
      <c r="G334" s="118" t="inlineStr">
        <is>
          <t xml:space="preserve"> $ 1.000.000.000</t>
        </is>
      </c>
      <c r="H334" s="114" t="inlineStr">
        <is>
          <t>Profesional Especializado 2028-15 del Área de talleres y laboratorios</t>
        </is>
      </c>
      <c r="I334" s="114" t="inlineStr">
        <is>
          <t>(57-601) 344 3000 Ext 126</t>
        </is>
      </c>
      <c r="J334" s="114" t="inlineStr">
        <is>
          <t>talleresylaboratorios@itc.edu.co</t>
        </is>
      </c>
      <c r="K334" s="114" t="n"/>
      <c r="L334" s="119" t="inlineStr">
        <is>
          <t>125 · GIT Talleres y Laboratorios</t>
        </is>
      </c>
      <c r="M334" s="120" t="n">
        <v>1000000000</v>
      </c>
      <c r="N334" s="119" t="inlineStr">
        <is>
          <t>Selección abreviada de menor cuantía</t>
        </is>
      </c>
      <c r="O334" s="119">
        <f>IF(LEN(IF(OR(NOT(ISNUMBER(B334)),LEN(B334)&lt;&gt;8),"UNSPSC vacío, en texto, con varios códigos o sin 8 dígitos; ","")&amp;IF(AND(ISNUMBER(B334),LEN(B334)=8),IF(MOD(B334,10000)=0,"UNSPSC a nivel de segmento o familia; ",""),"")&amp;IF(NOT(ISNUMBER(E334)),"Duración vacía o en texto; ","")&amp;IF(NOT(ISNUMBER(G334)),"Valor vacío o en texto; ","")&amp;IF(ISNUMBER(M334),IF(M334&lt;1000000,"Valor inferior a $1.000.000: verificar; ",""),"Valor no interpretable; ")&amp;IF(N334="[PENDIENTE DE VERIFICAR]","Modalidad no identificable; ","")&amp;IF(OR(ISERROR(SEARCH("@itc.edu.co",J334)),SUMPRODUCT(--ISNUMBER(SEARCH({"á","é","í","ó","ú","ñ"},J334)))&gt;0),"Correo vacío o no institucional válido; ","")&amp;IF(LEN(TRIM(D334))=0,"Sin objeto contractual; ","")&amp;IF(AND(ISNUMBER(M334),N334="Mínima cuantía"),IF(M334&gt;39850000,"Mínima cuantía con valor superior al tope citado en el instructivo 2026 ($39.850.000): verificar modalidad; ",""),"")&amp;IF(AND(ISNUMBER(M334),OR(ISNUMBER(SEARCH("prestación de servicios",D334)),ISNUMBER(SEARCH("prestar servicios",D334)),ISNUMBER(SEARCH("prestar los servicios",D334)))),IF(M334&gt;=500000000,"Prestación de servicios por $500 millones o más: posible error de digitación; ",""),""))=0,"Sin observaciones",IF(OR(NOT(ISNUMBER(B334)),LEN(B334)&lt;&gt;8),"UNSPSC vacío, en texto, con varios códigos o sin 8 dígitos; ","")&amp;IF(AND(ISNUMBER(B334),LEN(B334)=8),IF(MOD(B334,10000)=0,"UNSPSC a nivel de segmento o familia; ",""),"")&amp;IF(NOT(ISNUMBER(E334)),"Duración vacía o en texto; ","")&amp;IF(NOT(ISNUMBER(G334)),"Valor vacío o en texto; ","")&amp;IF(ISNUMBER(M334),IF(M334&lt;1000000,"Valor inferior a $1.000.000: verificar; ",""),"Valor no interpretable; ")&amp;IF(N334="[PENDIENTE DE VERIFICAR]","Modalidad no identificable; ","")&amp;IF(OR(ISERROR(SEARCH("@itc.edu.co",J334)),SUMPRODUCT(--ISNUMBER(SEARCH({"á","é","í","ó","ú","ñ"},J334)))&gt;0),"Correo vacío o no institucional válido; ","")&amp;IF(LEN(TRIM(D334))=0,"Sin objeto contractual; ","")&amp;IF(AND(ISNUMBER(M334),N334="Mínima cuantía"),IF(M334&gt;39850000,"Mínima cuantía con valor superior al tope citado en el instructivo 2026 ($39.850.000): verificar modalidad; ",""),"")&amp;IF(AND(ISNUMBER(M334),OR(ISNUMBER(SEARCH("prestación de servicios",D334)),ISNUMBER(SEARCH("prestar servicios",D334)),ISNUMBER(SEARCH("prestar los servicios",D334)))),IF(M334&gt;=500000000,"Prestación de servicios por $500 millones o más: posible error de digitación; ",""),""))</f>
        <v/>
      </c>
    </row>
    <row r="335" ht="148.2" customHeight="1" s="23">
      <c r="A335" s="114" t="inlineStr">
        <is>
          <t>PN26-331</t>
        </is>
      </c>
      <c r="B335" s="114" t="inlineStr">
        <is>
          <t>11101700
30102400
31231100</t>
        </is>
      </c>
      <c r="C335" s="114" t="inlineStr">
        <is>
          <t>Talleres y Laboratorios
(Taller de mecánica)</t>
        </is>
      </c>
      <c r="D335" s="114" t="inlineStr">
        <is>
          <t>Se requiere la adquisición de materias primas metálicas para el Taller de Mecánica, consistentes en acero al carbono SAE/AISI 1020 en presentación de barras redondas (cilindros) y platinas en diferentes dimensiones, aluminio en barras redondas en diferentes diámetros, así como varilla cuadrada y varilla roscada en diferentes diámetros y longitudes.
Estos materiales deberán suministrarse en medidas o referencias comerciales comúnmente utilizadas en procesos de mecanizado y fabricación mecánica, con el fin de facilitar su disponibilidad y reposición en el mercado. Asimismo, se requiere que el material sea entregado en tramos de aproximadamente 1 metro y 3 metros de longitud, lo que permitirá una manipulación más segura, almacenamiento adecuado y mayor facilidad de uso en las diferentes máquinas herramienta del taller.</t>
        </is>
      </c>
      <c r="E335" s="114" t="inlineStr">
        <is>
          <t>3 MESES</t>
        </is>
      </c>
      <c r="F335" s="114" t="inlineStr">
        <is>
          <t>SELECCIÓN ABREVIADA DE MENOR CUANTÍA</t>
        </is>
      </c>
      <c r="G335" s="118" t="inlineStr">
        <is>
          <t xml:space="preserve"> $ 150.000.000</t>
        </is>
      </c>
      <c r="H335" s="114" t="inlineStr">
        <is>
          <t>Profesional Especializado 2028-15 del Área de talleres y laboratorios</t>
        </is>
      </c>
      <c r="I335" s="114" t="inlineStr">
        <is>
          <t>(57-601) 344 3000 Ext 126</t>
        </is>
      </c>
      <c r="J335" s="114" t="inlineStr">
        <is>
          <t>talleresylaboratorios@itc.edu.co</t>
        </is>
      </c>
      <c r="K335" s="114" t="n"/>
      <c r="L335" s="119" t="inlineStr">
        <is>
          <t>125 · GIT Talleres y Laboratorios</t>
        </is>
      </c>
      <c r="M335" s="120" t="n">
        <v>150000000</v>
      </c>
      <c r="N335" s="119" t="inlineStr">
        <is>
          <t>Selección abreviada de menor cuantía</t>
        </is>
      </c>
      <c r="O335" s="119">
        <f>IF(LEN(IF(OR(NOT(ISNUMBER(B335)),LEN(B335)&lt;&gt;8),"UNSPSC vacío, en texto, con varios códigos o sin 8 dígitos; ","")&amp;IF(AND(ISNUMBER(B335),LEN(B335)=8),IF(MOD(B335,10000)=0,"UNSPSC a nivel de segmento o familia; ",""),"")&amp;IF(NOT(ISNUMBER(E335)),"Duración vacía o en texto; ","")&amp;IF(NOT(ISNUMBER(G335)),"Valor vacío o en texto; ","")&amp;IF(ISNUMBER(M335),IF(M335&lt;1000000,"Valor inferior a $1.000.000: verificar; ",""),"Valor no interpretable; ")&amp;IF(N335="[PENDIENTE DE VERIFICAR]","Modalidad no identificable; ","")&amp;IF(OR(ISERROR(SEARCH("@itc.edu.co",J335)),SUMPRODUCT(--ISNUMBER(SEARCH({"á","é","í","ó","ú","ñ"},J335)))&gt;0),"Correo vacío o no institucional válido; ","")&amp;IF(LEN(TRIM(D335))=0,"Sin objeto contractual; ","")&amp;IF(AND(ISNUMBER(M335),N335="Mínima cuantía"),IF(M335&gt;39850000,"Mínima cuantía con valor superior al tope citado en el instructivo 2026 ($39.850.000): verificar modalidad; ",""),"")&amp;IF(AND(ISNUMBER(M335),OR(ISNUMBER(SEARCH("prestación de servicios",D335)),ISNUMBER(SEARCH("prestar servicios",D335)),ISNUMBER(SEARCH("prestar los servicios",D335)))),IF(M335&gt;=500000000,"Prestación de servicios por $500 millones o más: posible error de digitación; ",""),""))=0,"Sin observaciones",IF(OR(NOT(ISNUMBER(B335)),LEN(B335)&lt;&gt;8),"UNSPSC vacío, en texto, con varios códigos o sin 8 dígitos; ","")&amp;IF(AND(ISNUMBER(B335),LEN(B335)=8),IF(MOD(B335,10000)=0,"UNSPSC a nivel de segmento o familia; ",""),"")&amp;IF(NOT(ISNUMBER(E335)),"Duración vacía o en texto; ","")&amp;IF(NOT(ISNUMBER(G335)),"Valor vacío o en texto; ","")&amp;IF(ISNUMBER(M335),IF(M335&lt;1000000,"Valor inferior a $1.000.000: verificar; ",""),"Valor no interpretable; ")&amp;IF(N335="[PENDIENTE DE VERIFICAR]","Modalidad no identificable; ","")&amp;IF(OR(ISERROR(SEARCH("@itc.edu.co",J335)),SUMPRODUCT(--ISNUMBER(SEARCH({"á","é","í","ó","ú","ñ"},J335)))&gt;0),"Correo vacío o no institucional válido; ","")&amp;IF(LEN(TRIM(D335))=0,"Sin objeto contractual; ","")&amp;IF(AND(ISNUMBER(M335),N335="Mínima cuantía"),IF(M335&gt;39850000,"Mínima cuantía con valor superior al tope citado en el instructivo 2026 ($39.850.000): verificar modalidad; ",""),"")&amp;IF(AND(ISNUMBER(M335),OR(ISNUMBER(SEARCH("prestación de servicios",D335)),ISNUMBER(SEARCH("prestar servicios",D335)),ISNUMBER(SEARCH("prestar los servicios",D335)))),IF(M335&gt;=500000000,"Prestación de servicios por $500 millones o más: posible error de digitación; ",""),""))</f>
        <v/>
      </c>
    </row>
    <row r="336" ht="114" customHeight="1" s="23">
      <c r="A336" s="114" t="inlineStr">
        <is>
          <t>PN26-332</t>
        </is>
      </c>
      <c r="B336" s="114" t="n">
        <v>13102000</v>
      </c>
      <c r="C336" s="114" t="inlineStr">
        <is>
          <t>Talleres y Laboratorios
(Taller de mecánica)</t>
        </is>
      </c>
      <c r="D336" s="114" t="inlineStr">
        <is>
          <t>Se requiere la adquisición de materiales poliméricos para el Taller de Mecánica, consistentes en nylon (poliamida) en barras cilíndricas en diferentes diámetros y acrílico (PMMA).
Las barras de nylon deberán suministrarse en referencias comerciales en diferentes diámetros y en longitudes aproximadas de 1 metro, lo que facilita su almacenamiento, manipulación y preparación para su uso en las diferentes máquinas herramienta del taller. Por su parte, el acrílico deberá suministrarse en piezas de aproximadamente 8 × 8 × 2 cm, dimensiones adecuadas para el desarrollo de prácticas de mecanizado y fabricación de piezas.</t>
        </is>
      </c>
      <c r="E336" s="114" t="inlineStr">
        <is>
          <t>3 MESES</t>
        </is>
      </c>
      <c r="F336" s="114" t="inlineStr">
        <is>
          <t>SELECCIÓN ABREVIADA DE MENOR CUANTÍA</t>
        </is>
      </c>
      <c r="G336" s="118" t="inlineStr">
        <is>
          <t>$50.000.000</t>
        </is>
      </c>
      <c r="H336" s="114" t="inlineStr">
        <is>
          <t>Profesional Especializado 2028-15 del Área de talleres y laboratorios</t>
        </is>
      </c>
      <c r="I336" s="114" t="inlineStr">
        <is>
          <t>(57-601) 344 3000 Ext 126</t>
        </is>
      </c>
      <c r="J336" s="114" t="inlineStr">
        <is>
          <t>talleresylaboratorios@itc.edu.co</t>
        </is>
      </c>
      <c r="K336" s="114" t="n"/>
      <c r="L336" s="119" t="inlineStr">
        <is>
          <t>125 · GIT Talleres y Laboratorios</t>
        </is>
      </c>
      <c r="M336" s="120" t="n">
        <v>50000000</v>
      </c>
      <c r="N336" s="119" t="inlineStr">
        <is>
          <t>Selección abreviada de menor cuantía</t>
        </is>
      </c>
      <c r="O336" s="119">
        <f>IF(LEN(IF(OR(NOT(ISNUMBER(B336)),LEN(B336)&lt;&gt;8),"UNSPSC vacío, en texto, con varios códigos o sin 8 dígitos; ","")&amp;IF(AND(ISNUMBER(B336),LEN(B336)=8),IF(MOD(B336,10000)=0,"UNSPSC a nivel de segmento o familia; ",""),"")&amp;IF(NOT(ISNUMBER(E336)),"Duración vacía o en texto; ","")&amp;IF(NOT(ISNUMBER(G336)),"Valor vacío o en texto; ","")&amp;IF(ISNUMBER(M336),IF(M336&lt;1000000,"Valor inferior a $1.000.000: verificar; ",""),"Valor no interpretable; ")&amp;IF(N336="[PENDIENTE DE VERIFICAR]","Modalidad no identificable; ","")&amp;IF(OR(ISERROR(SEARCH("@itc.edu.co",J336)),SUMPRODUCT(--ISNUMBER(SEARCH({"á","é","í","ó","ú","ñ"},J336)))&gt;0),"Correo vacío o no institucional válido; ","")&amp;IF(LEN(TRIM(D336))=0,"Sin objeto contractual; ","")&amp;IF(AND(ISNUMBER(M336),N336="Mínima cuantía"),IF(M336&gt;39850000,"Mínima cuantía con valor superior al tope citado en el instructivo 2026 ($39.850.000): verificar modalidad; ",""),"")&amp;IF(AND(ISNUMBER(M336),OR(ISNUMBER(SEARCH("prestación de servicios",D336)),ISNUMBER(SEARCH("prestar servicios",D336)),ISNUMBER(SEARCH("prestar los servicios",D336)))),IF(M336&gt;=500000000,"Prestación de servicios por $500 millones o más: posible error de digitación; ",""),""))=0,"Sin observaciones",IF(OR(NOT(ISNUMBER(B336)),LEN(B336)&lt;&gt;8),"UNSPSC vacío, en texto, con varios códigos o sin 8 dígitos; ","")&amp;IF(AND(ISNUMBER(B336),LEN(B336)=8),IF(MOD(B336,10000)=0,"UNSPSC a nivel de segmento o familia; ",""),"")&amp;IF(NOT(ISNUMBER(E336)),"Duración vacía o en texto; ","")&amp;IF(NOT(ISNUMBER(G336)),"Valor vacío o en texto; ","")&amp;IF(ISNUMBER(M336),IF(M336&lt;1000000,"Valor inferior a $1.000.000: verificar; ",""),"Valor no interpretable; ")&amp;IF(N336="[PENDIENTE DE VERIFICAR]","Modalidad no identificable; ","")&amp;IF(OR(ISERROR(SEARCH("@itc.edu.co",J336)),SUMPRODUCT(--ISNUMBER(SEARCH({"á","é","í","ó","ú","ñ"},J336)))&gt;0),"Correo vacío o no institucional válido; ","")&amp;IF(LEN(TRIM(D336))=0,"Sin objeto contractual; ","")&amp;IF(AND(ISNUMBER(M336),N336="Mínima cuantía"),IF(M336&gt;39850000,"Mínima cuantía con valor superior al tope citado en el instructivo 2026 ($39.850.000): verificar modalidad; ",""),"")&amp;IF(AND(ISNUMBER(M336),OR(ISNUMBER(SEARCH("prestación de servicios",D336)),ISNUMBER(SEARCH("prestar servicios",D336)),ISNUMBER(SEARCH("prestar los servicios",D336)))),IF(M336&gt;=500000000,"Prestación de servicios por $500 millones o más: posible error de digitación; ",""),""))</f>
        <v/>
      </c>
    </row>
    <row r="337" ht="45.6" customHeight="1" s="23">
      <c r="A337" s="114" t="inlineStr">
        <is>
          <t>PN26-333</t>
        </is>
      </c>
      <c r="B337" s="114" t="n">
        <v>27113500</v>
      </c>
      <c r="C337" s="114" t="inlineStr">
        <is>
          <t>Talleres y Laboratorios
(Taller de mecánica)</t>
        </is>
      </c>
      <c r="D337" s="114" t="inlineStr">
        <is>
          <t>Se requiere la adquisición de herramientas y elementos de ferretería mecánica para el Taller de Mecánica, destinados al desarrollo de prácticas académicas, operaciones de mecanizado, medición y preparación de piezas en los diferentes equipos y estaciones de trabajo del taller.</t>
        </is>
      </c>
      <c r="E337" s="114" t="inlineStr">
        <is>
          <t>3 MESES</t>
        </is>
      </c>
      <c r="F337" s="114" t="inlineStr">
        <is>
          <t>SELECCIÓN ABREVIADA DE MENOR CUANTÍA</t>
        </is>
      </c>
      <c r="G337" s="118" t="inlineStr">
        <is>
          <t>$50.000.000</t>
        </is>
      </c>
      <c r="H337" s="114" t="inlineStr">
        <is>
          <t>Profesional Especializado 2028-15 del Área de talleres y laboratorios</t>
        </is>
      </c>
      <c r="I337" s="114" t="inlineStr">
        <is>
          <t>(57-601) 344 3000 Ext 126</t>
        </is>
      </c>
      <c r="J337" s="114" t="inlineStr">
        <is>
          <t>talleresylaboratorios@itc.edu.co</t>
        </is>
      </c>
      <c r="K337" s="114" t="n"/>
      <c r="L337" s="119" t="inlineStr">
        <is>
          <t>125 · GIT Talleres y Laboratorios</t>
        </is>
      </c>
      <c r="M337" s="120" t="n">
        <v>50000000</v>
      </c>
      <c r="N337" s="119" t="inlineStr">
        <is>
          <t>Selección abreviada de menor cuantía</t>
        </is>
      </c>
      <c r="O337" s="119">
        <f>IF(LEN(IF(OR(NOT(ISNUMBER(B337)),LEN(B337)&lt;&gt;8),"UNSPSC vacío, en texto, con varios códigos o sin 8 dígitos; ","")&amp;IF(AND(ISNUMBER(B337),LEN(B337)=8),IF(MOD(B337,10000)=0,"UNSPSC a nivel de segmento o familia; ",""),"")&amp;IF(NOT(ISNUMBER(E337)),"Duración vacía o en texto; ","")&amp;IF(NOT(ISNUMBER(G337)),"Valor vacío o en texto; ","")&amp;IF(ISNUMBER(M337),IF(M337&lt;1000000,"Valor inferior a $1.000.000: verificar; ",""),"Valor no interpretable; ")&amp;IF(N337="[PENDIENTE DE VERIFICAR]","Modalidad no identificable; ","")&amp;IF(OR(ISERROR(SEARCH("@itc.edu.co",J337)),SUMPRODUCT(--ISNUMBER(SEARCH({"á","é","í","ó","ú","ñ"},J337)))&gt;0),"Correo vacío o no institucional válido; ","")&amp;IF(LEN(TRIM(D337))=0,"Sin objeto contractual; ","")&amp;IF(AND(ISNUMBER(M337),N337="Mínima cuantía"),IF(M337&gt;39850000,"Mínima cuantía con valor superior al tope citado en el instructivo 2026 ($39.850.000): verificar modalidad; ",""),"")&amp;IF(AND(ISNUMBER(M337),OR(ISNUMBER(SEARCH("prestación de servicios",D337)),ISNUMBER(SEARCH("prestar servicios",D337)),ISNUMBER(SEARCH("prestar los servicios",D337)))),IF(M337&gt;=500000000,"Prestación de servicios por $500 millones o más: posible error de digitación; ",""),""))=0,"Sin observaciones",IF(OR(NOT(ISNUMBER(B337)),LEN(B337)&lt;&gt;8),"UNSPSC vacío, en texto, con varios códigos o sin 8 dígitos; ","")&amp;IF(AND(ISNUMBER(B337),LEN(B337)=8),IF(MOD(B337,10000)=0,"UNSPSC a nivel de segmento o familia; ",""),"")&amp;IF(NOT(ISNUMBER(E337)),"Duración vacía o en texto; ","")&amp;IF(NOT(ISNUMBER(G337)),"Valor vacío o en texto; ","")&amp;IF(ISNUMBER(M337),IF(M337&lt;1000000,"Valor inferior a $1.000.000: verificar; ",""),"Valor no interpretable; ")&amp;IF(N337="[PENDIENTE DE VERIFICAR]","Modalidad no identificable; ","")&amp;IF(OR(ISERROR(SEARCH("@itc.edu.co",J337)),SUMPRODUCT(--ISNUMBER(SEARCH({"á","é","í","ó","ú","ñ"},J337)))&gt;0),"Correo vacío o no institucional válido; ","")&amp;IF(LEN(TRIM(D337))=0,"Sin objeto contractual; ","")&amp;IF(AND(ISNUMBER(M337),N337="Mínima cuantía"),IF(M337&gt;39850000,"Mínima cuantía con valor superior al tope citado en el instructivo 2026 ($39.850.000): verificar modalidad; ",""),"")&amp;IF(AND(ISNUMBER(M337),OR(ISNUMBER(SEARCH("prestación de servicios",D337)),ISNUMBER(SEARCH("prestar servicios",D337)),ISNUMBER(SEARCH("prestar los servicios",D337)))),IF(M337&gt;=500000000,"Prestación de servicios por $500 millones o más: posible error de digitación; ",""),""))</f>
        <v/>
      </c>
    </row>
    <row r="338" ht="125.4" customHeight="1" s="23">
      <c r="A338" s="114" t="inlineStr">
        <is>
          <t>PN26-334</t>
        </is>
      </c>
      <c r="B338" s="114" t="n">
        <v>23241800</v>
      </c>
      <c r="C338" s="114" t="inlineStr">
        <is>
          <t>Talleres y Laboratorios
(Taller de fundición)</t>
        </is>
      </c>
      <c r="D338" s="114" t="inlineStr">
        <is>
          <t>Se requiere la adquisición de un (1) taladro de columna para mecanizado de metales, destinado a apoyar las actividades prácticas del Taller de Fundición, especialmente en procesos de perforado, roscado y ajuste de piezas metálicas obtenidas en procesos de fundición.
El equipo deberá contar con capacidad de perforación en acero de aproximadamente 32 mm, rango de velocidades del husillo entre 95 y 3200 rpm, cono de husillo tipo MT4, recorrido del husillo cercano a 120 mm, mesa de trabajo aproximada de 730 × 210 mm, y motor de aproximadamente 2 HP con alimentación eléctrica trifásica 220 V – 60 Hz, incluyendo sistema de refrigeración para operaciones de mecanizado.</t>
        </is>
      </c>
      <c r="E338" s="114" t="inlineStr">
        <is>
          <t>3 MESES</t>
        </is>
      </c>
      <c r="F338" s="114" t="inlineStr">
        <is>
          <t>SELECCIÓN ABREVIADA DE MENOR CUANTÍA</t>
        </is>
      </c>
      <c r="G338" s="118" t="inlineStr">
        <is>
          <t xml:space="preserve"> $18.000.000</t>
        </is>
      </c>
      <c r="H338" s="114" t="inlineStr">
        <is>
          <t>Profesional Especializado 2028-15 del Área de talleres y laboratorios</t>
        </is>
      </c>
      <c r="I338" s="114" t="inlineStr">
        <is>
          <t>(57-601) 344 3000 Ext 126</t>
        </is>
      </c>
      <c r="J338" s="114" t="inlineStr">
        <is>
          <t>talleresylaboratorios@itc.edu.co</t>
        </is>
      </c>
      <c r="K338" s="114" t="n"/>
      <c r="L338" s="119" t="inlineStr">
        <is>
          <t>125 · GIT Talleres y Laboratorios</t>
        </is>
      </c>
      <c r="M338" s="120" t="n">
        <v>18000000</v>
      </c>
      <c r="N338" s="119" t="inlineStr">
        <is>
          <t>Selección abreviada de menor cuantía</t>
        </is>
      </c>
      <c r="O338" s="119">
        <f>IF(LEN(IF(OR(NOT(ISNUMBER(B338)),LEN(B338)&lt;&gt;8),"UNSPSC vacío, en texto, con varios códigos o sin 8 dígitos; ","")&amp;IF(AND(ISNUMBER(B338),LEN(B338)=8),IF(MOD(B338,10000)=0,"UNSPSC a nivel de segmento o familia; ",""),"")&amp;IF(NOT(ISNUMBER(E338)),"Duración vacía o en texto; ","")&amp;IF(NOT(ISNUMBER(G338)),"Valor vacío o en texto; ","")&amp;IF(ISNUMBER(M338),IF(M338&lt;1000000,"Valor inferior a $1.000.000: verificar; ",""),"Valor no interpretable; ")&amp;IF(N338="[PENDIENTE DE VERIFICAR]","Modalidad no identificable; ","")&amp;IF(OR(ISERROR(SEARCH("@itc.edu.co",J338)),SUMPRODUCT(--ISNUMBER(SEARCH({"á","é","í","ó","ú","ñ"},J338)))&gt;0),"Correo vacío o no institucional válido; ","")&amp;IF(LEN(TRIM(D338))=0,"Sin objeto contractual; ","")&amp;IF(AND(ISNUMBER(M338),N338="Mínima cuantía"),IF(M338&gt;39850000,"Mínima cuantía con valor superior al tope citado en el instructivo 2026 ($39.850.000): verificar modalidad; ",""),"")&amp;IF(AND(ISNUMBER(M338),OR(ISNUMBER(SEARCH("prestación de servicios",D338)),ISNUMBER(SEARCH("prestar servicios",D338)),ISNUMBER(SEARCH("prestar los servicios",D338)))),IF(M338&gt;=500000000,"Prestación de servicios por $500 millones o más: posible error de digitación; ",""),""))=0,"Sin observaciones",IF(OR(NOT(ISNUMBER(B338)),LEN(B338)&lt;&gt;8),"UNSPSC vacío, en texto, con varios códigos o sin 8 dígitos; ","")&amp;IF(AND(ISNUMBER(B338),LEN(B338)=8),IF(MOD(B338,10000)=0,"UNSPSC a nivel de segmento o familia; ",""),"")&amp;IF(NOT(ISNUMBER(E338)),"Duración vacía o en texto; ","")&amp;IF(NOT(ISNUMBER(G338)),"Valor vacío o en texto; ","")&amp;IF(ISNUMBER(M338),IF(M338&lt;1000000,"Valor inferior a $1.000.000: verificar; ",""),"Valor no interpretable; ")&amp;IF(N338="[PENDIENTE DE VERIFICAR]","Modalidad no identificable; ","")&amp;IF(OR(ISERROR(SEARCH("@itc.edu.co",J338)),SUMPRODUCT(--ISNUMBER(SEARCH({"á","é","í","ó","ú","ñ"},J338)))&gt;0),"Correo vacío o no institucional válido; ","")&amp;IF(LEN(TRIM(D338))=0,"Sin objeto contractual; ","")&amp;IF(AND(ISNUMBER(M338),N338="Mínima cuantía"),IF(M338&gt;39850000,"Mínima cuantía con valor superior al tope citado en el instructivo 2026 ($39.850.000): verificar modalidad; ",""),"")&amp;IF(AND(ISNUMBER(M338),OR(ISNUMBER(SEARCH("prestación de servicios",D338)),ISNUMBER(SEARCH("prestar servicios",D338)),ISNUMBER(SEARCH("prestar los servicios",D338)))),IF(M338&gt;=500000000,"Prestación de servicios por $500 millones o más: posible error de digitación; ",""),""))</f>
        <v/>
      </c>
    </row>
    <row r="339" ht="125.4" customHeight="1" s="23">
      <c r="A339" s="114" t="inlineStr">
        <is>
          <t>PN26-335</t>
        </is>
      </c>
      <c r="B339" s="114" t="n">
        <v>11172000</v>
      </c>
      <c r="C339" s="114" t="inlineStr">
        <is>
          <t>Talleres y Laboratorios
(Taller de fundición)</t>
        </is>
      </c>
      <c r="D339" s="114" t="inlineStr">
        <is>
          <t>Suministro de una (1) tonelada de aluminio aleación 7178, una aleación de alta resistencia perteneciente a la serie Al-Zn-Mg-Cu. Esta aleación se caracteriza por presentar una composición química aproximada de: Zinc (Zn) entre 6,30 % y 7,30 %, Magnesio (Mg) entre 2,40 % y 3,10 %, Cobre (Cu) entre 1,60 % y 2,40 %, Hierro (Fe) hasta 1,00 %, y el balance correspondiente a aluminio (Al) con pequeñas impurezas metalúrgicas permitidas.
La aleación 7178 es reconocida por su alta resistencia mecánica, lograda principalmente por la presencia de zinc, magnesio y cobre como elementos de aleación principales. Además, es tratables térmicamente, lo que permite mejorar significativamente sus propiedades mecánicas mediante procesos de endurecimiento por precipitación.</t>
        </is>
      </c>
      <c r="E339" s="114" t="inlineStr">
        <is>
          <t>3 meses</t>
        </is>
      </c>
      <c r="F339" s="114" t="inlineStr">
        <is>
          <t xml:space="preserve">MINIMA CUANTIA </t>
        </is>
      </c>
      <c r="G339" s="118" t="inlineStr">
        <is>
          <t>$30.000.000</t>
        </is>
      </c>
      <c r="H339" s="114" t="inlineStr">
        <is>
          <t>Profesional Especializado 2028-15 del Área de talleres y laboratorios</t>
        </is>
      </c>
      <c r="I339" s="114" t="inlineStr">
        <is>
          <t>(57-601) 344 3000 Ext 126</t>
        </is>
      </c>
      <c r="J339" s="114" t="inlineStr">
        <is>
          <t>talleresylaboratorios@itc.edu.co</t>
        </is>
      </c>
      <c r="K339" s="114" t="n"/>
      <c r="L339" s="119" t="inlineStr">
        <is>
          <t>125 · GIT Talleres y Laboratorios</t>
        </is>
      </c>
      <c r="M339" s="120" t="n">
        <v>30000000</v>
      </c>
      <c r="N339" s="119" t="inlineStr">
        <is>
          <t>Mínima cuantía</t>
        </is>
      </c>
      <c r="O339" s="119">
        <f>IF(LEN(IF(OR(NOT(ISNUMBER(B339)),LEN(B339)&lt;&gt;8),"UNSPSC vacío, en texto, con varios códigos o sin 8 dígitos; ","")&amp;IF(AND(ISNUMBER(B339),LEN(B339)=8),IF(MOD(B339,10000)=0,"UNSPSC a nivel de segmento o familia; ",""),"")&amp;IF(NOT(ISNUMBER(E339)),"Duración vacía o en texto; ","")&amp;IF(NOT(ISNUMBER(G339)),"Valor vacío o en texto; ","")&amp;IF(ISNUMBER(M339),IF(M339&lt;1000000,"Valor inferior a $1.000.000: verificar; ",""),"Valor no interpretable; ")&amp;IF(N339="[PENDIENTE DE VERIFICAR]","Modalidad no identificable; ","")&amp;IF(OR(ISERROR(SEARCH("@itc.edu.co",J339)),SUMPRODUCT(--ISNUMBER(SEARCH({"á","é","í","ó","ú","ñ"},J339)))&gt;0),"Correo vacío o no institucional válido; ","")&amp;IF(LEN(TRIM(D339))=0,"Sin objeto contractual; ","")&amp;IF(AND(ISNUMBER(M339),N339="Mínima cuantía"),IF(M339&gt;39850000,"Mínima cuantía con valor superior al tope citado en el instructivo 2026 ($39.850.000): verificar modalidad; ",""),"")&amp;IF(AND(ISNUMBER(M339),OR(ISNUMBER(SEARCH("prestación de servicios",D339)),ISNUMBER(SEARCH("prestar servicios",D339)),ISNUMBER(SEARCH("prestar los servicios",D339)))),IF(M339&gt;=500000000,"Prestación de servicios por $500 millones o más: posible error de digitación; ",""),""))=0,"Sin observaciones",IF(OR(NOT(ISNUMBER(B339)),LEN(B339)&lt;&gt;8),"UNSPSC vacío, en texto, con varios códigos o sin 8 dígitos; ","")&amp;IF(AND(ISNUMBER(B339),LEN(B339)=8),IF(MOD(B339,10000)=0,"UNSPSC a nivel de segmento o familia; ",""),"")&amp;IF(NOT(ISNUMBER(E339)),"Duración vacía o en texto; ","")&amp;IF(NOT(ISNUMBER(G339)),"Valor vacío o en texto; ","")&amp;IF(ISNUMBER(M339),IF(M339&lt;1000000,"Valor inferior a $1.000.000: verificar; ",""),"Valor no interpretable; ")&amp;IF(N339="[PENDIENTE DE VERIFICAR]","Modalidad no identificable; ","")&amp;IF(OR(ISERROR(SEARCH("@itc.edu.co",J339)),SUMPRODUCT(--ISNUMBER(SEARCH({"á","é","í","ó","ú","ñ"},J339)))&gt;0),"Correo vacío o no institucional válido; ","")&amp;IF(LEN(TRIM(D339))=0,"Sin objeto contractual; ","")&amp;IF(AND(ISNUMBER(M339),N339="Mínima cuantía"),IF(M339&gt;39850000,"Mínima cuantía con valor superior al tope citado en el instructivo 2026 ($39.850.000): verificar modalidad; ",""),"")&amp;IF(AND(ISNUMBER(M339),OR(ISNUMBER(SEARCH("prestación de servicios",D339)),ISNUMBER(SEARCH("prestar servicios",D339)),ISNUMBER(SEARCH("prestar los servicios",D339)))),IF(M339&gt;=500000000,"Prestación de servicios por $500 millones o más: posible error de digitación; ",""),""))</f>
        <v/>
      </c>
    </row>
    <row r="340" ht="34.2" customHeight="1" s="23">
      <c r="A340" s="114" t="inlineStr">
        <is>
          <t>PN26-336</t>
        </is>
      </c>
      <c r="B340" s="114" t="n">
        <v>23161600</v>
      </c>
      <c r="C340" s="114" t="inlineStr">
        <is>
          <t>Talleres y Laboratorios
(Taller de fundición)</t>
        </is>
      </c>
      <c r="D340" s="114" t="inlineStr">
        <is>
          <t xml:space="preserve">Suministros de media (0,5) tonelada de arena de fundición, destinada a la elaboración de moldes en procesos de fundición de metales. </t>
        </is>
      </c>
      <c r="E340" s="114" t="inlineStr">
        <is>
          <t xml:space="preserve">1 mes </t>
        </is>
      </c>
      <c r="F340" s="114" t="inlineStr">
        <is>
          <t xml:space="preserve">MINIMA CUANTIA </t>
        </is>
      </c>
      <c r="G340" s="118" t="inlineStr">
        <is>
          <t>$1.000.000</t>
        </is>
      </c>
      <c r="H340" s="114" t="inlineStr">
        <is>
          <t>Profesional Especializado 2028-15 del Área de talleres y laboratorios</t>
        </is>
      </c>
      <c r="I340" s="114" t="inlineStr">
        <is>
          <t>(57-601) 344 3000 Ext 126</t>
        </is>
      </c>
      <c r="J340" s="114" t="inlineStr">
        <is>
          <t>talleresylaboratorios@itc.edu.co</t>
        </is>
      </c>
      <c r="K340" s="114" t="n"/>
      <c r="L340" s="119" t="inlineStr">
        <is>
          <t>125 · GIT Talleres y Laboratorios</t>
        </is>
      </c>
      <c r="M340" s="120" t="n">
        <v>1000000</v>
      </c>
      <c r="N340" s="119" t="inlineStr">
        <is>
          <t>Mínima cuantía</t>
        </is>
      </c>
      <c r="O340" s="119">
        <f>IF(LEN(IF(OR(NOT(ISNUMBER(B340)),LEN(B340)&lt;&gt;8),"UNSPSC vacío, en texto, con varios códigos o sin 8 dígitos; ","")&amp;IF(AND(ISNUMBER(B340),LEN(B340)=8),IF(MOD(B340,10000)=0,"UNSPSC a nivel de segmento o familia; ",""),"")&amp;IF(NOT(ISNUMBER(E340)),"Duración vacía o en texto; ","")&amp;IF(NOT(ISNUMBER(G340)),"Valor vacío o en texto; ","")&amp;IF(ISNUMBER(M340),IF(M340&lt;1000000,"Valor inferior a $1.000.000: verificar; ",""),"Valor no interpretable; ")&amp;IF(N340="[PENDIENTE DE VERIFICAR]","Modalidad no identificable; ","")&amp;IF(OR(ISERROR(SEARCH("@itc.edu.co",J340)),SUMPRODUCT(--ISNUMBER(SEARCH({"á","é","í","ó","ú","ñ"},J340)))&gt;0),"Correo vacío o no institucional válido; ","")&amp;IF(LEN(TRIM(D340))=0,"Sin objeto contractual; ","")&amp;IF(AND(ISNUMBER(M340),N340="Mínima cuantía"),IF(M340&gt;39850000,"Mínima cuantía con valor superior al tope citado en el instructivo 2026 ($39.850.000): verificar modalidad; ",""),"")&amp;IF(AND(ISNUMBER(M340),OR(ISNUMBER(SEARCH("prestación de servicios",D340)),ISNUMBER(SEARCH("prestar servicios",D340)),ISNUMBER(SEARCH("prestar los servicios",D340)))),IF(M340&gt;=500000000,"Prestación de servicios por $500 millones o más: posible error de digitación; ",""),""))=0,"Sin observaciones",IF(OR(NOT(ISNUMBER(B340)),LEN(B340)&lt;&gt;8),"UNSPSC vacío, en texto, con varios códigos o sin 8 dígitos; ","")&amp;IF(AND(ISNUMBER(B340),LEN(B340)=8),IF(MOD(B340,10000)=0,"UNSPSC a nivel de segmento o familia; ",""),"")&amp;IF(NOT(ISNUMBER(E340)),"Duración vacía o en texto; ","")&amp;IF(NOT(ISNUMBER(G340)),"Valor vacío o en texto; ","")&amp;IF(ISNUMBER(M340),IF(M340&lt;1000000,"Valor inferior a $1.000.000: verificar; ",""),"Valor no interpretable; ")&amp;IF(N340="[PENDIENTE DE VERIFICAR]","Modalidad no identificable; ","")&amp;IF(OR(ISERROR(SEARCH("@itc.edu.co",J340)),SUMPRODUCT(--ISNUMBER(SEARCH({"á","é","í","ó","ú","ñ"},J340)))&gt;0),"Correo vacío o no institucional válido; ","")&amp;IF(LEN(TRIM(D340))=0,"Sin objeto contractual; ","")&amp;IF(AND(ISNUMBER(M340),N340="Mínima cuantía"),IF(M340&gt;39850000,"Mínima cuantía con valor superior al tope citado en el instructivo 2026 ($39.850.000): verificar modalidad; ",""),"")&amp;IF(AND(ISNUMBER(M340),OR(ISNUMBER(SEARCH("prestación de servicios",D340)),ISNUMBER(SEARCH("prestar servicios",D340)),ISNUMBER(SEARCH("prestar los servicios",D340)))),IF(M340&gt;=500000000,"Prestación de servicios por $500 millones o más: posible error de digitación; ",""),""))</f>
        <v/>
      </c>
    </row>
    <row r="341" ht="68.40000000000001" customHeight="1" s="23">
      <c r="A341" s="114" t="inlineStr">
        <is>
          <t>PN26-337</t>
        </is>
      </c>
      <c r="B341" s="114" t="n">
        <v>12352300</v>
      </c>
      <c r="C341" s="114" t="inlineStr">
        <is>
          <t>Talleres y Laboratorios
(Taller de fundición)</t>
        </is>
      </c>
      <c r="D341" s="114" t="inlineStr">
        <is>
          <t>Adquisicion caucho de silicona líquida con catalizador, material utilizado para la elaboración de moldes flexibles y resistentes en procesos de modelado, fundición y reproducción de piezas. Este compuesto está formado por una silicona base y un catalizador, los cuales al mezclarse inician un proceso de curado que permite obtener moldes con alta elasticidad, resistencia térmica y excelente capacidad de reproducción de detalles.</t>
        </is>
      </c>
      <c r="E341" s="114" t="inlineStr">
        <is>
          <t xml:space="preserve">1 MES </t>
        </is>
      </c>
      <c r="F341" s="114" t="inlineStr">
        <is>
          <t xml:space="preserve">MINIMA CUANTIA </t>
        </is>
      </c>
      <c r="G341" s="118" t="inlineStr">
        <is>
          <t>$1.000.000</t>
        </is>
      </c>
      <c r="H341" s="114" t="inlineStr">
        <is>
          <t>Profesional Especializado 2028-15 del Área de talleres y laboratorios</t>
        </is>
      </c>
      <c r="I341" s="114" t="inlineStr">
        <is>
          <t>(57-601) 344 3000 Ext 126</t>
        </is>
      </c>
      <c r="J341" s="114" t="inlineStr">
        <is>
          <t>talleresylaboratorios@itc.edu.co</t>
        </is>
      </c>
      <c r="K341" s="114" t="n"/>
      <c r="L341" s="119" t="inlineStr">
        <is>
          <t>125 · GIT Talleres y Laboratorios</t>
        </is>
      </c>
      <c r="M341" s="120" t="n">
        <v>1000000</v>
      </c>
      <c r="N341" s="119" t="inlineStr">
        <is>
          <t>Mínima cuantía</t>
        </is>
      </c>
      <c r="O341" s="119">
        <f>IF(LEN(IF(OR(NOT(ISNUMBER(B341)),LEN(B341)&lt;&gt;8),"UNSPSC vacío, en texto, con varios códigos o sin 8 dígitos; ","")&amp;IF(AND(ISNUMBER(B341),LEN(B341)=8),IF(MOD(B341,10000)=0,"UNSPSC a nivel de segmento o familia; ",""),"")&amp;IF(NOT(ISNUMBER(E341)),"Duración vacía o en texto; ","")&amp;IF(NOT(ISNUMBER(G341)),"Valor vacío o en texto; ","")&amp;IF(ISNUMBER(M341),IF(M341&lt;1000000,"Valor inferior a $1.000.000: verificar; ",""),"Valor no interpretable; ")&amp;IF(N341="[PENDIENTE DE VERIFICAR]","Modalidad no identificable; ","")&amp;IF(OR(ISERROR(SEARCH("@itc.edu.co",J341)),SUMPRODUCT(--ISNUMBER(SEARCH({"á","é","í","ó","ú","ñ"},J341)))&gt;0),"Correo vacío o no institucional válido; ","")&amp;IF(LEN(TRIM(D341))=0,"Sin objeto contractual; ","")&amp;IF(AND(ISNUMBER(M341),N341="Mínima cuantía"),IF(M341&gt;39850000,"Mínima cuantía con valor superior al tope citado en el instructivo 2026 ($39.850.000): verificar modalidad; ",""),"")&amp;IF(AND(ISNUMBER(M341),OR(ISNUMBER(SEARCH("prestación de servicios",D341)),ISNUMBER(SEARCH("prestar servicios",D341)),ISNUMBER(SEARCH("prestar los servicios",D341)))),IF(M341&gt;=500000000,"Prestación de servicios por $500 millones o más: posible error de digitación; ",""),""))=0,"Sin observaciones",IF(OR(NOT(ISNUMBER(B341)),LEN(B341)&lt;&gt;8),"UNSPSC vacío, en texto, con varios códigos o sin 8 dígitos; ","")&amp;IF(AND(ISNUMBER(B341),LEN(B341)=8),IF(MOD(B341,10000)=0,"UNSPSC a nivel de segmento o familia; ",""),"")&amp;IF(NOT(ISNUMBER(E341)),"Duración vacía o en texto; ","")&amp;IF(NOT(ISNUMBER(G341)),"Valor vacío o en texto; ","")&amp;IF(ISNUMBER(M341),IF(M341&lt;1000000,"Valor inferior a $1.000.000: verificar; ",""),"Valor no interpretable; ")&amp;IF(N341="[PENDIENTE DE VERIFICAR]","Modalidad no identificable; ","")&amp;IF(OR(ISERROR(SEARCH("@itc.edu.co",J341)),SUMPRODUCT(--ISNUMBER(SEARCH({"á","é","í","ó","ú","ñ"},J341)))&gt;0),"Correo vacío o no institucional válido; ","")&amp;IF(LEN(TRIM(D341))=0,"Sin objeto contractual; ","")&amp;IF(AND(ISNUMBER(M341),N341="Mínima cuantía"),IF(M341&gt;39850000,"Mínima cuantía con valor superior al tope citado en el instructivo 2026 ($39.850.000): verificar modalidad; ",""),"")&amp;IF(AND(ISNUMBER(M341),OR(ISNUMBER(SEARCH("prestación de servicios",D341)),ISNUMBER(SEARCH("prestar servicios",D341)),ISNUMBER(SEARCH("prestar los servicios",D341)))),IF(M341&gt;=500000000,"Prestación de servicios por $500 millones o más: posible error de digitación; ",""),""))</f>
        <v/>
      </c>
    </row>
    <row r="342" ht="57" customHeight="1" s="23">
      <c r="A342" s="114" t="inlineStr">
        <is>
          <t>PN26-338</t>
        </is>
      </c>
      <c r="B342" s="114" t="n">
        <v>23152200</v>
      </c>
      <c r="C342" s="114" t="inlineStr">
        <is>
          <t>Talleres y Laboratorios
(Taller de fundición)</t>
        </is>
      </c>
      <c r="D342" s="114" t="inlineStr">
        <is>
          <t>Compra de una sierra de cinta horizontal, máquina herramienta utilizada para el corte de materiales metálicos como barras, tubos, perfiles y placas de acero o aluminio. Este equipo opera mediante una hoja dentada en forma de cinta continua que se desplaza sobre poleas, permitiendo realizar cortes precisos y uniformes en diferentes tipos de metales</t>
        </is>
      </c>
      <c r="E342" s="114" t="inlineStr">
        <is>
          <t xml:space="preserve">1 mes </t>
        </is>
      </c>
      <c r="F342" s="114" t="inlineStr">
        <is>
          <t xml:space="preserve">MINIMA CUANTIA </t>
        </is>
      </c>
      <c r="G342" s="118" t="inlineStr">
        <is>
          <t>$15.000.000</t>
        </is>
      </c>
      <c r="H342" s="114" t="inlineStr">
        <is>
          <t>Profesional Especializado 2028-15 del Área de talleres y laboratorios</t>
        </is>
      </c>
      <c r="I342" s="114" t="inlineStr">
        <is>
          <t>(57-601) 344 3000 Ext 126</t>
        </is>
      </c>
      <c r="J342" s="114" t="inlineStr">
        <is>
          <t>talleresylaboratorios@itc.edu.co</t>
        </is>
      </c>
      <c r="K342" s="114" t="n"/>
      <c r="L342" s="119" t="inlineStr">
        <is>
          <t>125 · GIT Talleres y Laboratorios</t>
        </is>
      </c>
      <c r="M342" s="120" t="n">
        <v>15000000</v>
      </c>
      <c r="N342" s="119" t="inlineStr">
        <is>
          <t>Mínima cuantía</t>
        </is>
      </c>
      <c r="O342" s="119">
        <f>IF(LEN(IF(OR(NOT(ISNUMBER(B342)),LEN(B342)&lt;&gt;8),"UNSPSC vacío, en texto, con varios códigos o sin 8 dígitos; ","")&amp;IF(AND(ISNUMBER(B342),LEN(B342)=8),IF(MOD(B342,10000)=0,"UNSPSC a nivel de segmento o familia; ",""),"")&amp;IF(NOT(ISNUMBER(E342)),"Duración vacía o en texto; ","")&amp;IF(NOT(ISNUMBER(G342)),"Valor vacío o en texto; ","")&amp;IF(ISNUMBER(M342),IF(M342&lt;1000000,"Valor inferior a $1.000.000: verificar; ",""),"Valor no interpretable; ")&amp;IF(N342="[PENDIENTE DE VERIFICAR]","Modalidad no identificable; ","")&amp;IF(OR(ISERROR(SEARCH("@itc.edu.co",J342)),SUMPRODUCT(--ISNUMBER(SEARCH({"á","é","í","ó","ú","ñ"},J342)))&gt;0),"Correo vacío o no institucional válido; ","")&amp;IF(LEN(TRIM(D342))=0,"Sin objeto contractual; ","")&amp;IF(AND(ISNUMBER(M342),N342="Mínima cuantía"),IF(M342&gt;39850000,"Mínima cuantía con valor superior al tope citado en el instructivo 2026 ($39.850.000): verificar modalidad; ",""),"")&amp;IF(AND(ISNUMBER(M342),OR(ISNUMBER(SEARCH("prestación de servicios",D342)),ISNUMBER(SEARCH("prestar servicios",D342)),ISNUMBER(SEARCH("prestar los servicios",D342)))),IF(M342&gt;=500000000,"Prestación de servicios por $500 millones o más: posible error de digitación; ",""),""))=0,"Sin observaciones",IF(OR(NOT(ISNUMBER(B342)),LEN(B342)&lt;&gt;8),"UNSPSC vacío, en texto, con varios códigos o sin 8 dígitos; ","")&amp;IF(AND(ISNUMBER(B342),LEN(B342)=8),IF(MOD(B342,10000)=0,"UNSPSC a nivel de segmento o familia; ",""),"")&amp;IF(NOT(ISNUMBER(E342)),"Duración vacía o en texto; ","")&amp;IF(NOT(ISNUMBER(G342)),"Valor vacío o en texto; ","")&amp;IF(ISNUMBER(M342),IF(M342&lt;1000000,"Valor inferior a $1.000.000: verificar; ",""),"Valor no interpretable; ")&amp;IF(N342="[PENDIENTE DE VERIFICAR]","Modalidad no identificable; ","")&amp;IF(OR(ISERROR(SEARCH("@itc.edu.co",J342)),SUMPRODUCT(--ISNUMBER(SEARCH({"á","é","í","ó","ú","ñ"},J342)))&gt;0),"Correo vacío o no institucional válido; ","")&amp;IF(LEN(TRIM(D342))=0,"Sin objeto contractual; ","")&amp;IF(AND(ISNUMBER(M342),N342="Mínima cuantía"),IF(M342&gt;39850000,"Mínima cuantía con valor superior al tope citado en el instructivo 2026 ($39.850.000): verificar modalidad; ",""),"")&amp;IF(AND(ISNUMBER(M342),OR(ISNUMBER(SEARCH("prestación de servicios",D342)),ISNUMBER(SEARCH("prestar servicios",D342)),ISNUMBER(SEARCH("prestar los servicios",D342)))),IF(M342&gt;=500000000,"Prestación de servicios por $500 millones o más: posible error de digitación; ",""),""))</f>
        <v/>
      </c>
    </row>
    <row r="343" ht="57" customHeight="1" s="23">
      <c r="A343" s="114" t="inlineStr">
        <is>
          <t>PN26-339</t>
        </is>
      </c>
      <c r="B343" s="114" t="n">
        <v>40101800</v>
      </c>
      <c r="C343" s="114" t="inlineStr">
        <is>
          <t>Talleres y Laboratorios
(Taller de fundición)</t>
        </is>
      </c>
      <c r="D343" s="114" t="inlineStr">
        <is>
          <t>Adquisicion de una mufla para fundición, equipo utilizado para el calentamiento y fusión de metales a altas temperaturas mediante una cámara de calentamiento cerrada y controlada. Este horno permite alcanzar temperaturas elevadas de forma uniforme, facilitando procesos como fundición, tratamiento térmico y análisis de materiales.</t>
        </is>
      </c>
      <c r="E343" s="114" t="inlineStr">
        <is>
          <t xml:space="preserve">2 MESES </t>
        </is>
      </c>
      <c r="F343" s="114" t="inlineStr">
        <is>
          <t xml:space="preserve">DIRECTA </t>
        </is>
      </c>
      <c r="G343" s="118" t="inlineStr">
        <is>
          <t>$30.000.000</t>
        </is>
      </c>
      <c r="H343" s="114" t="inlineStr">
        <is>
          <t>Profesional Especializado 2028-15 del Área de talleres y laboratorios</t>
        </is>
      </c>
      <c r="I343" s="114" t="inlineStr">
        <is>
          <t>(57-601) 344 3000 Ext 126</t>
        </is>
      </c>
      <c r="J343" s="114" t="inlineStr">
        <is>
          <t>talleresylaboratorios@itc.edu.co</t>
        </is>
      </c>
      <c r="K343" s="114" t="n"/>
      <c r="L343" s="119" t="inlineStr">
        <is>
          <t>125 · GIT Talleres y Laboratorios</t>
        </is>
      </c>
      <c r="M343" s="120" t="n">
        <v>30000000</v>
      </c>
      <c r="N343" s="119" t="inlineStr">
        <is>
          <t>Contratación directa</t>
        </is>
      </c>
      <c r="O343" s="119">
        <f>IF(LEN(IF(OR(NOT(ISNUMBER(B343)),LEN(B343)&lt;&gt;8),"UNSPSC vacío, en texto, con varios códigos o sin 8 dígitos; ","")&amp;IF(AND(ISNUMBER(B343),LEN(B343)=8),IF(MOD(B343,10000)=0,"UNSPSC a nivel de segmento o familia; ",""),"")&amp;IF(NOT(ISNUMBER(E343)),"Duración vacía o en texto; ","")&amp;IF(NOT(ISNUMBER(G343)),"Valor vacío o en texto; ","")&amp;IF(ISNUMBER(M343),IF(M343&lt;1000000,"Valor inferior a $1.000.000: verificar; ",""),"Valor no interpretable; ")&amp;IF(N343="[PENDIENTE DE VERIFICAR]","Modalidad no identificable; ","")&amp;IF(OR(ISERROR(SEARCH("@itc.edu.co",J343)),SUMPRODUCT(--ISNUMBER(SEARCH({"á","é","í","ó","ú","ñ"},J343)))&gt;0),"Correo vacío o no institucional válido; ","")&amp;IF(LEN(TRIM(D343))=0,"Sin objeto contractual; ","")&amp;IF(AND(ISNUMBER(M343),N343="Mínima cuantía"),IF(M343&gt;39850000,"Mínima cuantía con valor superior al tope citado en el instructivo 2026 ($39.850.000): verificar modalidad; ",""),"")&amp;IF(AND(ISNUMBER(M343),OR(ISNUMBER(SEARCH("prestación de servicios",D343)),ISNUMBER(SEARCH("prestar servicios",D343)),ISNUMBER(SEARCH("prestar los servicios",D343)))),IF(M343&gt;=500000000,"Prestación de servicios por $500 millones o más: posible error de digitación; ",""),""))=0,"Sin observaciones",IF(OR(NOT(ISNUMBER(B343)),LEN(B343)&lt;&gt;8),"UNSPSC vacío, en texto, con varios códigos o sin 8 dígitos; ","")&amp;IF(AND(ISNUMBER(B343),LEN(B343)=8),IF(MOD(B343,10000)=0,"UNSPSC a nivel de segmento o familia; ",""),"")&amp;IF(NOT(ISNUMBER(E343)),"Duración vacía o en texto; ","")&amp;IF(NOT(ISNUMBER(G343)),"Valor vacío o en texto; ","")&amp;IF(ISNUMBER(M343),IF(M343&lt;1000000,"Valor inferior a $1.000.000: verificar; ",""),"Valor no interpretable; ")&amp;IF(N343="[PENDIENTE DE VERIFICAR]","Modalidad no identificable; ","")&amp;IF(OR(ISERROR(SEARCH("@itc.edu.co",J343)),SUMPRODUCT(--ISNUMBER(SEARCH({"á","é","í","ó","ú","ñ"},J343)))&gt;0),"Correo vacío o no institucional válido; ","")&amp;IF(LEN(TRIM(D343))=0,"Sin objeto contractual; ","")&amp;IF(AND(ISNUMBER(M343),N343="Mínima cuantía"),IF(M343&gt;39850000,"Mínima cuantía con valor superior al tope citado en el instructivo 2026 ($39.850.000): verificar modalidad; ",""),"")&amp;IF(AND(ISNUMBER(M343),OR(ISNUMBER(SEARCH("prestación de servicios",D343)),ISNUMBER(SEARCH("prestar servicios",D343)),ISNUMBER(SEARCH("prestar los servicios",D343)))),IF(M343&gt;=500000000,"Prestación de servicios por $500 millones o más: posible error de digitación; ",""),""))</f>
        <v/>
      </c>
    </row>
    <row r="344" ht="68.40000000000001" customHeight="1" s="23">
      <c r="A344" s="114" t="inlineStr">
        <is>
          <t>PN26-340</t>
        </is>
      </c>
      <c r="B344" s="114" t="n">
        <v>23161500</v>
      </c>
      <c r="C344" s="114" t="inlineStr">
        <is>
          <t>Talleres y Laboratorios
(Taller de fundición)</t>
        </is>
      </c>
      <c r="D344" s="114" t="inlineStr">
        <is>
          <t>Adquisicion de un horno de secado de machos para fundición, equipo utilizado para el secado y endurecimiento de los machos de arena empleados en la fabricación de moldes para procesos de colada de meta garantizando mayor resistencia, estabilidad dimensional y calidad en los machos utilizados durante el proceso de fundición. Su uso contribuye a mejorar la precisión de las piezas fundidas y la eficiencia del proceso productivo.</t>
        </is>
      </c>
      <c r="E344" s="114" t="inlineStr">
        <is>
          <t xml:space="preserve">2 MESES </t>
        </is>
      </c>
      <c r="F344" s="114" t="inlineStr">
        <is>
          <t xml:space="preserve">DIRECTA </t>
        </is>
      </c>
      <c r="G344" s="118" t="inlineStr">
        <is>
          <t>$50.000.000</t>
        </is>
      </c>
      <c r="H344" s="114" t="inlineStr">
        <is>
          <t>Profesional Especializado 2028-15 del Área de talleres y laboratorios</t>
        </is>
      </c>
      <c r="I344" s="114" t="inlineStr">
        <is>
          <t>(57-601) 344 3000 Ext 126</t>
        </is>
      </c>
      <c r="J344" s="114" t="inlineStr">
        <is>
          <t>talleresylaboratorios@itc.edu.co</t>
        </is>
      </c>
      <c r="K344" s="114" t="n"/>
      <c r="L344" s="119" t="inlineStr">
        <is>
          <t>125 · GIT Talleres y Laboratorios</t>
        </is>
      </c>
      <c r="M344" s="120" t="n">
        <v>50000000</v>
      </c>
      <c r="N344" s="119" t="inlineStr">
        <is>
          <t>Contratación directa</t>
        </is>
      </c>
      <c r="O344" s="119">
        <f>IF(LEN(IF(OR(NOT(ISNUMBER(B344)),LEN(B344)&lt;&gt;8),"UNSPSC vacío, en texto, con varios códigos o sin 8 dígitos; ","")&amp;IF(AND(ISNUMBER(B344),LEN(B344)=8),IF(MOD(B344,10000)=0,"UNSPSC a nivel de segmento o familia; ",""),"")&amp;IF(NOT(ISNUMBER(E344)),"Duración vacía o en texto; ","")&amp;IF(NOT(ISNUMBER(G344)),"Valor vacío o en texto; ","")&amp;IF(ISNUMBER(M344),IF(M344&lt;1000000,"Valor inferior a $1.000.000: verificar; ",""),"Valor no interpretable; ")&amp;IF(N344="[PENDIENTE DE VERIFICAR]","Modalidad no identificable; ","")&amp;IF(OR(ISERROR(SEARCH("@itc.edu.co",J344)),SUMPRODUCT(--ISNUMBER(SEARCH({"á","é","í","ó","ú","ñ"},J344)))&gt;0),"Correo vacío o no institucional válido; ","")&amp;IF(LEN(TRIM(D344))=0,"Sin objeto contractual; ","")&amp;IF(AND(ISNUMBER(M344),N344="Mínima cuantía"),IF(M344&gt;39850000,"Mínima cuantía con valor superior al tope citado en el instructivo 2026 ($39.850.000): verificar modalidad; ",""),"")&amp;IF(AND(ISNUMBER(M344),OR(ISNUMBER(SEARCH("prestación de servicios",D344)),ISNUMBER(SEARCH("prestar servicios",D344)),ISNUMBER(SEARCH("prestar los servicios",D344)))),IF(M344&gt;=500000000,"Prestación de servicios por $500 millones o más: posible error de digitación; ",""),""))=0,"Sin observaciones",IF(OR(NOT(ISNUMBER(B344)),LEN(B344)&lt;&gt;8),"UNSPSC vacío, en texto, con varios códigos o sin 8 dígitos; ","")&amp;IF(AND(ISNUMBER(B344),LEN(B344)=8),IF(MOD(B344,10000)=0,"UNSPSC a nivel de segmento o familia; ",""),"")&amp;IF(NOT(ISNUMBER(E344)),"Duración vacía o en texto; ","")&amp;IF(NOT(ISNUMBER(G344)),"Valor vacío o en texto; ","")&amp;IF(ISNUMBER(M344),IF(M344&lt;1000000,"Valor inferior a $1.000.000: verificar; ",""),"Valor no interpretable; ")&amp;IF(N344="[PENDIENTE DE VERIFICAR]","Modalidad no identificable; ","")&amp;IF(OR(ISERROR(SEARCH("@itc.edu.co",J344)),SUMPRODUCT(--ISNUMBER(SEARCH({"á","é","í","ó","ú","ñ"},J344)))&gt;0),"Correo vacío o no institucional válido; ","")&amp;IF(LEN(TRIM(D344))=0,"Sin objeto contractual; ","")&amp;IF(AND(ISNUMBER(M344),N344="Mínima cuantía"),IF(M344&gt;39850000,"Mínima cuantía con valor superior al tope citado en el instructivo 2026 ($39.850.000): verificar modalidad; ",""),"")&amp;IF(AND(ISNUMBER(M344),OR(ISNUMBER(SEARCH("prestación de servicios",D344)),ISNUMBER(SEARCH("prestar servicios",D344)),ISNUMBER(SEARCH("prestar los servicios",D344)))),IF(M344&gt;=500000000,"Prestación de servicios por $500 millones o más: posible error de digitación; ",""),""))</f>
        <v/>
      </c>
    </row>
    <row r="345" ht="79.8" customHeight="1" s="23">
      <c r="A345" s="114" t="inlineStr">
        <is>
          <t>PN26-341</t>
        </is>
      </c>
      <c r="B345" s="114" t="n">
        <v>23161500</v>
      </c>
      <c r="C345" s="114" t="inlineStr">
        <is>
          <t>Talleres y Laboratorios
(Taller de fundición)</t>
        </is>
      </c>
      <c r="D345" s="114" t="inlineStr">
        <is>
          <t>Adquision de una máquina moldeadora para fundición, destinada a la fabricación de moldes utilizados en los procesos de colada de metales. Este equipo permite la compactación y conformado de arena de moldeo alrededor de los modelos, garantizando moldes con la forma, resistencia y precisión necesarias para la producción de piezas metálicas. Su utilización es fundamental para optimizar el proceso de fundición, mejorar la calidad de los moldes y asegurar mayor eficiencia y repetibilidad en la fabricación de componentes metálicos.</t>
        </is>
      </c>
      <c r="E345" s="114" t="inlineStr">
        <is>
          <t>3 meses</t>
        </is>
      </c>
      <c r="F345" s="114" t="inlineStr">
        <is>
          <t xml:space="preserve">MINIMA CUANTIA </t>
        </is>
      </c>
      <c r="G345" s="118" t="inlineStr">
        <is>
          <t>$40.000.000</t>
        </is>
      </c>
      <c r="H345" s="114" t="inlineStr">
        <is>
          <t>Profesional Especializado 2028-15 del Área de talleres y laboratorios</t>
        </is>
      </c>
      <c r="I345" s="114" t="inlineStr">
        <is>
          <t>(57-601) 344 3000 Ext 126</t>
        </is>
      </c>
      <c r="J345" s="114" t="inlineStr">
        <is>
          <t>talleresylaboratorios@itc.edu.co</t>
        </is>
      </c>
      <c r="K345" s="114" t="n"/>
      <c r="L345" s="119" t="inlineStr">
        <is>
          <t>125 · GIT Talleres y Laboratorios</t>
        </is>
      </c>
      <c r="M345" s="120" t="n">
        <v>40000000</v>
      </c>
      <c r="N345" s="119" t="inlineStr">
        <is>
          <t>Mínima cuantía</t>
        </is>
      </c>
      <c r="O345" s="119">
        <f>IF(LEN(IF(OR(NOT(ISNUMBER(B345)),LEN(B345)&lt;&gt;8),"UNSPSC vacío, en texto, con varios códigos o sin 8 dígitos; ","")&amp;IF(AND(ISNUMBER(B345),LEN(B345)=8),IF(MOD(B345,10000)=0,"UNSPSC a nivel de segmento o familia; ",""),"")&amp;IF(NOT(ISNUMBER(E345)),"Duración vacía o en texto; ","")&amp;IF(NOT(ISNUMBER(G345)),"Valor vacío o en texto; ","")&amp;IF(ISNUMBER(M345),IF(M345&lt;1000000,"Valor inferior a $1.000.000: verificar; ",""),"Valor no interpretable; ")&amp;IF(N345="[PENDIENTE DE VERIFICAR]","Modalidad no identificable; ","")&amp;IF(OR(ISERROR(SEARCH("@itc.edu.co",J345)),SUMPRODUCT(--ISNUMBER(SEARCH({"á","é","í","ó","ú","ñ"},J345)))&gt;0),"Correo vacío o no institucional válido; ","")&amp;IF(LEN(TRIM(D345))=0,"Sin objeto contractual; ","")&amp;IF(AND(ISNUMBER(M345),N345="Mínima cuantía"),IF(M345&gt;39850000,"Mínima cuantía con valor superior al tope citado en el instructivo 2026 ($39.850.000): verificar modalidad; ",""),"")&amp;IF(AND(ISNUMBER(M345),OR(ISNUMBER(SEARCH("prestación de servicios",D345)),ISNUMBER(SEARCH("prestar servicios",D345)),ISNUMBER(SEARCH("prestar los servicios",D345)))),IF(M345&gt;=500000000,"Prestación de servicios por $500 millones o más: posible error de digitación; ",""),""))=0,"Sin observaciones",IF(OR(NOT(ISNUMBER(B345)),LEN(B345)&lt;&gt;8),"UNSPSC vacío, en texto, con varios códigos o sin 8 dígitos; ","")&amp;IF(AND(ISNUMBER(B345),LEN(B345)=8),IF(MOD(B345,10000)=0,"UNSPSC a nivel de segmento o familia; ",""),"")&amp;IF(NOT(ISNUMBER(E345)),"Duración vacía o en texto; ","")&amp;IF(NOT(ISNUMBER(G345)),"Valor vacío o en texto; ","")&amp;IF(ISNUMBER(M345),IF(M345&lt;1000000,"Valor inferior a $1.000.000: verificar; ",""),"Valor no interpretable; ")&amp;IF(N345="[PENDIENTE DE VERIFICAR]","Modalidad no identificable; ","")&amp;IF(OR(ISERROR(SEARCH("@itc.edu.co",J345)),SUMPRODUCT(--ISNUMBER(SEARCH({"á","é","í","ó","ú","ñ"},J345)))&gt;0),"Correo vacío o no institucional válido; ","")&amp;IF(LEN(TRIM(D345))=0,"Sin objeto contractual; ","")&amp;IF(AND(ISNUMBER(M345),N345="Mínima cuantía"),IF(M345&gt;39850000,"Mínima cuantía con valor superior al tope citado en el instructivo 2026 ($39.850.000): verificar modalidad; ",""),"")&amp;IF(AND(ISNUMBER(M345),OR(ISNUMBER(SEARCH("prestación de servicios",D345)),ISNUMBER(SEARCH("prestar servicios",D345)),ISNUMBER(SEARCH("prestar los servicios",D345)))),IF(M345&gt;=500000000,"Prestación de servicios por $500 millones o más: posible error de digitación; ",""),""))</f>
        <v/>
      </c>
    </row>
    <row r="346" ht="91.2" customHeight="1" s="23">
      <c r="A346" s="114" t="inlineStr">
        <is>
          <t>PN26-342</t>
        </is>
      </c>
      <c r="B346" s="114" t="n">
        <v>23161500</v>
      </c>
      <c r="C346" s="114" t="inlineStr">
        <is>
          <t>Talleres y Laboratorios
(Taller de fundición)</t>
        </is>
      </c>
      <c r="D346" s="114" t="inlineStr">
        <is>
          <t>Prestación del servicio de mantenimiento preventivo y correctivo de horno de inducción para cuba de aluminio, incluyendo la revisión, diagnóstico, limpieza, ajuste y reparación de los componentes mecánicos, eléctricos y electrónicos del equipo. El servicio contempla la verificación del sistema de inducción, conexiones eléctricas, sistema de enfriamiento, refractario de la cuba, controladores y demás elementos asociados, con el fin de garantizar su correcto funcionamiento, seguridad operativa y eficiencia en el proceso de fundición de aluminio.</t>
        </is>
      </c>
      <c r="E346" s="114" t="inlineStr">
        <is>
          <t xml:space="preserve">1 mes </t>
        </is>
      </c>
      <c r="F346" s="114" t="inlineStr">
        <is>
          <t xml:space="preserve">DIRECTA </t>
        </is>
      </c>
      <c r="G346" s="118" t="inlineStr">
        <is>
          <t>$50.000.000</t>
        </is>
      </c>
      <c r="H346" s="114" t="inlineStr">
        <is>
          <t>Profesional Especializado 2028-15 del Área de talleres y laboratorios</t>
        </is>
      </c>
      <c r="I346" s="114" t="inlineStr">
        <is>
          <t>(57-601) 344 3000 Ext 126</t>
        </is>
      </c>
      <c r="J346" s="114" t="inlineStr">
        <is>
          <t>talleresylaboratorios@itc.edu.co</t>
        </is>
      </c>
      <c r="K346" s="114" t="n"/>
      <c r="L346" s="119" t="inlineStr">
        <is>
          <t>125 · GIT Talleres y Laboratorios</t>
        </is>
      </c>
      <c r="M346" s="120" t="n">
        <v>50000000</v>
      </c>
      <c r="N346" s="119" t="inlineStr">
        <is>
          <t>Contratación directa</t>
        </is>
      </c>
      <c r="O346" s="119">
        <f>IF(LEN(IF(OR(NOT(ISNUMBER(B346)),LEN(B346)&lt;&gt;8),"UNSPSC vacío, en texto, con varios códigos o sin 8 dígitos; ","")&amp;IF(AND(ISNUMBER(B346),LEN(B346)=8),IF(MOD(B346,10000)=0,"UNSPSC a nivel de segmento o familia; ",""),"")&amp;IF(NOT(ISNUMBER(E346)),"Duración vacía o en texto; ","")&amp;IF(NOT(ISNUMBER(G346)),"Valor vacío o en texto; ","")&amp;IF(ISNUMBER(M346),IF(M346&lt;1000000,"Valor inferior a $1.000.000: verificar; ",""),"Valor no interpretable; ")&amp;IF(N346="[PENDIENTE DE VERIFICAR]","Modalidad no identificable; ","")&amp;IF(OR(ISERROR(SEARCH("@itc.edu.co",J346)),SUMPRODUCT(--ISNUMBER(SEARCH({"á","é","í","ó","ú","ñ"},J346)))&gt;0),"Correo vacío o no institucional válido; ","")&amp;IF(LEN(TRIM(D346))=0,"Sin objeto contractual; ","")&amp;IF(AND(ISNUMBER(M346),N346="Mínima cuantía"),IF(M346&gt;39850000,"Mínima cuantía con valor superior al tope citado en el instructivo 2026 ($39.850.000): verificar modalidad; ",""),"")&amp;IF(AND(ISNUMBER(M346),OR(ISNUMBER(SEARCH("prestación de servicios",D346)),ISNUMBER(SEARCH("prestar servicios",D346)),ISNUMBER(SEARCH("prestar los servicios",D346)))),IF(M346&gt;=500000000,"Prestación de servicios por $500 millones o más: posible error de digitación; ",""),""))=0,"Sin observaciones",IF(OR(NOT(ISNUMBER(B346)),LEN(B346)&lt;&gt;8),"UNSPSC vacío, en texto, con varios códigos o sin 8 dígitos; ","")&amp;IF(AND(ISNUMBER(B346),LEN(B346)=8),IF(MOD(B346,10000)=0,"UNSPSC a nivel de segmento o familia; ",""),"")&amp;IF(NOT(ISNUMBER(E346)),"Duración vacía o en texto; ","")&amp;IF(NOT(ISNUMBER(G346)),"Valor vacío o en texto; ","")&amp;IF(ISNUMBER(M346),IF(M346&lt;1000000,"Valor inferior a $1.000.000: verificar; ",""),"Valor no interpretable; ")&amp;IF(N346="[PENDIENTE DE VERIFICAR]","Modalidad no identificable; ","")&amp;IF(OR(ISERROR(SEARCH("@itc.edu.co",J346)),SUMPRODUCT(--ISNUMBER(SEARCH({"á","é","í","ó","ú","ñ"},J346)))&gt;0),"Correo vacío o no institucional válido; ","")&amp;IF(LEN(TRIM(D346))=0,"Sin objeto contractual; ","")&amp;IF(AND(ISNUMBER(M346),N346="Mínima cuantía"),IF(M346&gt;39850000,"Mínima cuantía con valor superior al tope citado en el instructivo 2026 ($39.850.000): verificar modalidad; ",""),"")&amp;IF(AND(ISNUMBER(M346),OR(ISNUMBER(SEARCH("prestación de servicios",D346)),ISNUMBER(SEARCH("prestar servicios",D346)),ISNUMBER(SEARCH("prestar los servicios",D346)))),IF(M346&gt;=500000000,"Prestación de servicios por $500 millones o más: posible error de digitación; ",""),""))</f>
        <v/>
      </c>
    </row>
    <row r="347" ht="91.2" customHeight="1" s="23">
      <c r="A347" s="114" t="inlineStr">
        <is>
          <t>PN26-343</t>
        </is>
      </c>
      <c r="B347" s="114" t="inlineStr">
        <is>
          <t xml:space="preserve">27112000
 31201600
13111300
 60105700 </t>
        </is>
      </c>
      <c r="C347" s="114" t="inlineStr">
        <is>
          <t>Talleres y Laboratorios
(Taller de modeleria y FabLab)</t>
        </is>
      </c>
      <c r="D347" s="114" t="inlineStr">
        <is>
          <t>Adquisición de insumos, consumibles y herramientas menores para el funcionamiento del Taller de Modelería y el Laboratorio de Fabricación Digital de la ETITC, incluyendo materiales como pegantes industriales, láminas de madera, láminas de acrílico, filamentos para impresión 3D, brocas, escareadores, destornilladores, afiladores de brocas, fresas para ruteadora, bisturíes, discos de corte para madera, hojas para sierra sin fin y demás elementos de ferretería requeridos para procesos de prototipado, modelado y fabricación de piezas.</t>
        </is>
      </c>
      <c r="E347" s="114" t="inlineStr">
        <is>
          <t xml:space="preserve">2 MESES </t>
        </is>
      </c>
      <c r="F347" s="114" t="inlineStr">
        <is>
          <t>MINIMA CUANTIA</t>
        </is>
      </c>
      <c r="G347" s="118" t="inlineStr">
        <is>
          <t>$150.000.000</t>
        </is>
      </c>
      <c r="H347" s="114" t="inlineStr">
        <is>
          <t>Profesional Especializado 2028-15 del Área de talleres y laboratorios</t>
        </is>
      </c>
      <c r="I347" s="114" t="inlineStr">
        <is>
          <t>(57-601) 344 3000 Ext 126</t>
        </is>
      </c>
      <c r="J347" s="114" t="inlineStr">
        <is>
          <t>talleresylaboratorios@itc.edu.co</t>
        </is>
      </c>
      <c r="K347" s="114" t="n"/>
      <c r="L347" s="119" t="inlineStr">
        <is>
          <t>125 · GIT Talleres y Laboratorios</t>
        </is>
      </c>
      <c r="M347" s="120" t="n">
        <v>150000000</v>
      </c>
      <c r="N347" s="119" t="inlineStr">
        <is>
          <t>Mínima cuantía</t>
        </is>
      </c>
      <c r="O347" s="119">
        <f>IF(LEN(IF(OR(NOT(ISNUMBER(B347)),LEN(B347)&lt;&gt;8),"UNSPSC vacío, en texto, con varios códigos o sin 8 dígitos; ","")&amp;IF(AND(ISNUMBER(B347),LEN(B347)=8),IF(MOD(B347,10000)=0,"UNSPSC a nivel de segmento o familia; ",""),"")&amp;IF(NOT(ISNUMBER(E347)),"Duración vacía o en texto; ","")&amp;IF(NOT(ISNUMBER(G347)),"Valor vacío o en texto; ","")&amp;IF(ISNUMBER(M347),IF(M347&lt;1000000,"Valor inferior a $1.000.000: verificar; ",""),"Valor no interpretable; ")&amp;IF(N347="[PENDIENTE DE VERIFICAR]","Modalidad no identificable; ","")&amp;IF(OR(ISERROR(SEARCH("@itc.edu.co",J347)),SUMPRODUCT(--ISNUMBER(SEARCH({"á","é","í","ó","ú","ñ"},J347)))&gt;0),"Correo vacío o no institucional válido; ","")&amp;IF(LEN(TRIM(D347))=0,"Sin objeto contractual; ","")&amp;IF(AND(ISNUMBER(M347),N347="Mínima cuantía"),IF(M347&gt;39850000,"Mínima cuantía con valor superior al tope citado en el instructivo 2026 ($39.850.000): verificar modalidad; ",""),"")&amp;IF(AND(ISNUMBER(M347),OR(ISNUMBER(SEARCH("prestación de servicios",D347)),ISNUMBER(SEARCH("prestar servicios",D347)),ISNUMBER(SEARCH("prestar los servicios",D347)))),IF(M347&gt;=500000000,"Prestación de servicios por $500 millones o más: posible error de digitación; ",""),""))=0,"Sin observaciones",IF(OR(NOT(ISNUMBER(B347)),LEN(B347)&lt;&gt;8),"UNSPSC vacío, en texto, con varios códigos o sin 8 dígitos; ","")&amp;IF(AND(ISNUMBER(B347),LEN(B347)=8),IF(MOD(B347,10000)=0,"UNSPSC a nivel de segmento o familia; ",""),"")&amp;IF(NOT(ISNUMBER(E347)),"Duración vacía o en texto; ","")&amp;IF(NOT(ISNUMBER(G347)),"Valor vacío o en texto; ","")&amp;IF(ISNUMBER(M347),IF(M347&lt;1000000,"Valor inferior a $1.000.000: verificar; ",""),"Valor no interpretable; ")&amp;IF(N347="[PENDIENTE DE VERIFICAR]","Modalidad no identificable; ","")&amp;IF(OR(ISERROR(SEARCH("@itc.edu.co",J347)),SUMPRODUCT(--ISNUMBER(SEARCH({"á","é","í","ó","ú","ñ"},J347)))&gt;0),"Correo vacío o no institucional válido; ","")&amp;IF(LEN(TRIM(D347))=0,"Sin objeto contractual; ","")&amp;IF(AND(ISNUMBER(M347),N347="Mínima cuantía"),IF(M347&gt;39850000,"Mínima cuantía con valor superior al tope citado en el instructivo 2026 ($39.850.000): verificar modalidad; ",""),"")&amp;IF(AND(ISNUMBER(M347),OR(ISNUMBER(SEARCH("prestación de servicios",D347)),ISNUMBER(SEARCH("prestar servicios",D347)),ISNUMBER(SEARCH("prestar los servicios",D347)))),IF(M347&gt;=500000000,"Prestación de servicios por $500 millones o más: posible error de digitación; ",""),""))</f>
        <v/>
      </c>
    </row>
    <row r="348" ht="79.8" customHeight="1" s="23">
      <c r="A348" s="114" t="inlineStr">
        <is>
          <t>PN26-344</t>
        </is>
      </c>
      <c r="B348" s="114" t="n">
        <v>73152100</v>
      </c>
      <c r="C348" s="114" t="inlineStr">
        <is>
          <t>Talleres y Laboratorios
(Taller de modeleria y FabLab)</t>
        </is>
      </c>
      <c r="D348" s="114" t="inlineStr">
        <is>
          <t>Servicio de mantenimiento preventivo, predictivo y correctivo a todo costo para tres (3) equipos de control numérico computarizado (CNC) del Taller de Modelería y Laboratorio de Fabricación Digital de la ETITC, incluyendo diagnóstico, calibración, limpieza técnica, ajuste mecánico, verificación de sistemas eléctricos y electrónicos, cambio de piezas y consumibles necesarios, y puesta en operación de los equipos: cortadora láser CO₂ de 100W, cortadora láser de plasma MP Laser y ruteadora CNC AXIOM.</t>
        </is>
      </c>
      <c r="E348" s="114" t="inlineStr">
        <is>
          <t>3 MESES</t>
        </is>
      </c>
      <c r="F348" s="114" t="inlineStr">
        <is>
          <t>MINIMA CUANTIA</t>
        </is>
      </c>
      <c r="G348" s="118" t="inlineStr">
        <is>
          <t>$80.000.000</t>
        </is>
      </c>
      <c r="H348" s="114" t="inlineStr">
        <is>
          <t>Profesional Especializado 2028-15 del Área de talleres y laboratorios</t>
        </is>
      </c>
      <c r="I348" s="114" t="inlineStr">
        <is>
          <t>(57-601) 344 3000 Ext 126</t>
        </is>
      </c>
      <c r="J348" s="114" t="inlineStr">
        <is>
          <t>talleresylaboratorios@itc.edu.co</t>
        </is>
      </c>
      <c r="K348" s="114" t="n"/>
      <c r="L348" s="119" t="inlineStr">
        <is>
          <t>125 · GIT Talleres y Laboratorios</t>
        </is>
      </c>
      <c r="M348" s="120" t="n">
        <v>80000000</v>
      </c>
      <c r="N348" s="119" t="inlineStr">
        <is>
          <t>Mínima cuantía</t>
        </is>
      </c>
      <c r="O348" s="119">
        <f>IF(LEN(IF(OR(NOT(ISNUMBER(B348)),LEN(B348)&lt;&gt;8),"UNSPSC vacío, en texto, con varios códigos o sin 8 dígitos; ","")&amp;IF(AND(ISNUMBER(B348),LEN(B348)=8),IF(MOD(B348,10000)=0,"UNSPSC a nivel de segmento o familia; ",""),"")&amp;IF(NOT(ISNUMBER(E348)),"Duración vacía o en texto; ","")&amp;IF(NOT(ISNUMBER(G348)),"Valor vacío o en texto; ","")&amp;IF(ISNUMBER(M348),IF(M348&lt;1000000,"Valor inferior a $1.000.000: verificar; ",""),"Valor no interpretable; ")&amp;IF(N348="[PENDIENTE DE VERIFICAR]","Modalidad no identificable; ","")&amp;IF(OR(ISERROR(SEARCH("@itc.edu.co",J348)),SUMPRODUCT(--ISNUMBER(SEARCH({"á","é","í","ó","ú","ñ"},J348)))&gt;0),"Correo vacío o no institucional válido; ","")&amp;IF(LEN(TRIM(D348))=0,"Sin objeto contractual; ","")&amp;IF(AND(ISNUMBER(M348),N348="Mínima cuantía"),IF(M348&gt;39850000,"Mínima cuantía con valor superior al tope citado en el instructivo 2026 ($39.850.000): verificar modalidad; ",""),"")&amp;IF(AND(ISNUMBER(M348),OR(ISNUMBER(SEARCH("prestación de servicios",D348)),ISNUMBER(SEARCH("prestar servicios",D348)),ISNUMBER(SEARCH("prestar los servicios",D348)))),IF(M348&gt;=500000000,"Prestación de servicios por $500 millones o más: posible error de digitación; ",""),""))=0,"Sin observaciones",IF(OR(NOT(ISNUMBER(B348)),LEN(B348)&lt;&gt;8),"UNSPSC vacío, en texto, con varios códigos o sin 8 dígitos; ","")&amp;IF(AND(ISNUMBER(B348),LEN(B348)=8),IF(MOD(B348,10000)=0,"UNSPSC a nivel de segmento o familia; ",""),"")&amp;IF(NOT(ISNUMBER(E348)),"Duración vacía o en texto; ","")&amp;IF(NOT(ISNUMBER(G348)),"Valor vacío o en texto; ","")&amp;IF(ISNUMBER(M348),IF(M348&lt;1000000,"Valor inferior a $1.000.000: verificar; ",""),"Valor no interpretable; ")&amp;IF(N348="[PENDIENTE DE VERIFICAR]","Modalidad no identificable; ","")&amp;IF(OR(ISERROR(SEARCH("@itc.edu.co",J348)),SUMPRODUCT(--ISNUMBER(SEARCH({"á","é","í","ó","ú","ñ"},J348)))&gt;0),"Correo vacío o no institucional válido; ","")&amp;IF(LEN(TRIM(D348))=0,"Sin objeto contractual; ","")&amp;IF(AND(ISNUMBER(M348),N348="Mínima cuantía"),IF(M348&gt;39850000,"Mínima cuantía con valor superior al tope citado en el instructivo 2026 ($39.850.000): verificar modalidad; ",""),"")&amp;IF(AND(ISNUMBER(M348),OR(ISNUMBER(SEARCH("prestación de servicios",D348)),ISNUMBER(SEARCH("prestar servicios",D348)),ISNUMBER(SEARCH("prestar los servicios",D348)))),IF(M348&gt;=500000000,"Prestación de servicios por $500 millones o más: posible error de digitación; ",""),""))</f>
        <v/>
      </c>
    </row>
    <row r="349" ht="102.6" customHeight="1" s="23">
      <c r="A349" s="114" t="inlineStr">
        <is>
          <t>PN26-345</t>
        </is>
      </c>
      <c r="B349" s="114" t="n">
        <v>73152100</v>
      </c>
      <c r="C349" s="114" t="inlineStr">
        <is>
          <t>Talleres y Laboratorios
(Taller de modeleria y FabLab)</t>
        </is>
      </c>
      <c r="D349" s="114" t="inlineStr">
        <is>
          <t>Prestación del servicio de mantenimiento preventivo, predictivo y correctivo a todo costo para maquinaria electromecánica y herramientas eléctricas del Taller de Modelería y Laboratorio de Fabricación Digital de la ETITC, incluyendo diagnóstico, limpieza técnica, ajuste mecánico, calibración, verificación de sistemas eléctricos, lubricación, reemplazo de piezas defectuosas y puesta en funcionamiento de equipos tales como taladro fresador, taladros de árbol, sierras circulares, sierras sin fin, esmeriles, lijadoras de banda, taladros manuales, pulidoras, herramientas eléctricas manuales para trabajo en madera y demás equipos electromecánicos que hagan parte del taller.</t>
        </is>
      </c>
      <c r="E349" s="114" t="inlineStr">
        <is>
          <t xml:space="preserve">2 MESES </t>
        </is>
      </c>
      <c r="F349" s="114" t="inlineStr">
        <is>
          <t>MINIMA CUANTIA</t>
        </is>
      </c>
      <c r="G349" s="118" t="inlineStr">
        <is>
          <t>$100.000.000</t>
        </is>
      </c>
      <c r="H349" s="114" t="inlineStr">
        <is>
          <t>Profesional Especializado 2028-15 del Área de talleres y laboratorios</t>
        </is>
      </c>
      <c r="I349" s="114" t="inlineStr">
        <is>
          <t>(57-601) 344 3000 Ext 126</t>
        </is>
      </c>
      <c r="J349" s="114" t="inlineStr">
        <is>
          <t>talleresylaboratorios@itc.edu.co</t>
        </is>
      </c>
      <c r="K349" s="114" t="n"/>
      <c r="L349" s="119" t="inlineStr">
        <is>
          <t>125 · GIT Talleres y Laboratorios</t>
        </is>
      </c>
      <c r="M349" s="120" t="n">
        <v>100000000</v>
      </c>
      <c r="N349" s="119" t="inlineStr">
        <is>
          <t>Mínima cuantía</t>
        </is>
      </c>
      <c r="O349" s="119">
        <f>IF(LEN(IF(OR(NOT(ISNUMBER(B349)),LEN(B349)&lt;&gt;8),"UNSPSC vacío, en texto, con varios códigos o sin 8 dígitos; ","")&amp;IF(AND(ISNUMBER(B349),LEN(B349)=8),IF(MOD(B349,10000)=0,"UNSPSC a nivel de segmento o familia; ",""),"")&amp;IF(NOT(ISNUMBER(E349)),"Duración vacía o en texto; ","")&amp;IF(NOT(ISNUMBER(G349)),"Valor vacío o en texto; ","")&amp;IF(ISNUMBER(M349),IF(M349&lt;1000000,"Valor inferior a $1.000.000: verificar; ",""),"Valor no interpretable; ")&amp;IF(N349="[PENDIENTE DE VERIFICAR]","Modalidad no identificable; ","")&amp;IF(OR(ISERROR(SEARCH("@itc.edu.co",J349)),SUMPRODUCT(--ISNUMBER(SEARCH({"á","é","í","ó","ú","ñ"},J349)))&gt;0),"Correo vacío o no institucional válido; ","")&amp;IF(LEN(TRIM(D349))=0,"Sin objeto contractual; ","")&amp;IF(AND(ISNUMBER(M349),N349="Mínima cuantía"),IF(M349&gt;39850000,"Mínima cuantía con valor superior al tope citado en el instructivo 2026 ($39.850.000): verificar modalidad; ",""),"")&amp;IF(AND(ISNUMBER(M349),OR(ISNUMBER(SEARCH("prestación de servicios",D349)),ISNUMBER(SEARCH("prestar servicios",D349)),ISNUMBER(SEARCH("prestar los servicios",D349)))),IF(M349&gt;=500000000,"Prestación de servicios por $500 millones o más: posible error de digitación; ",""),""))=0,"Sin observaciones",IF(OR(NOT(ISNUMBER(B349)),LEN(B349)&lt;&gt;8),"UNSPSC vacío, en texto, con varios códigos o sin 8 dígitos; ","")&amp;IF(AND(ISNUMBER(B349),LEN(B349)=8),IF(MOD(B349,10000)=0,"UNSPSC a nivel de segmento o familia; ",""),"")&amp;IF(NOT(ISNUMBER(E349)),"Duración vacía o en texto; ","")&amp;IF(NOT(ISNUMBER(G349)),"Valor vacío o en texto; ","")&amp;IF(ISNUMBER(M349),IF(M349&lt;1000000,"Valor inferior a $1.000.000: verificar; ",""),"Valor no interpretable; ")&amp;IF(N349="[PENDIENTE DE VERIFICAR]","Modalidad no identificable; ","")&amp;IF(OR(ISERROR(SEARCH("@itc.edu.co",J349)),SUMPRODUCT(--ISNUMBER(SEARCH({"á","é","í","ó","ú","ñ"},J349)))&gt;0),"Correo vacío o no institucional válido; ","")&amp;IF(LEN(TRIM(D349))=0,"Sin objeto contractual; ","")&amp;IF(AND(ISNUMBER(M349),N349="Mínima cuantía"),IF(M349&gt;39850000,"Mínima cuantía con valor superior al tope citado en el instructivo 2026 ($39.850.000): verificar modalidad; ",""),"")&amp;IF(AND(ISNUMBER(M349),OR(ISNUMBER(SEARCH("prestación de servicios",D349)),ISNUMBER(SEARCH("prestar servicios",D349)),ISNUMBER(SEARCH("prestar los servicios",D349)))),IF(M349&gt;=500000000,"Prestación de servicios por $500 millones o más: posible error de digitación; ",""),""))</f>
        <v/>
      </c>
    </row>
    <row r="350" ht="91.2" customHeight="1" s="23">
      <c r="A350" s="114" t="inlineStr">
        <is>
          <t>PN26-346</t>
        </is>
      </c>
      <c r="B350" s="114" t="n">
        <v>23101500</v>
      </c>
      <c r="C350" s="114" t="inlineStr">
        <is>
          <t>Talleres y Laboratorios
(Taller de modeleria y FabLab)</t>
        </is>
      </c>
      <c r="D350" s="114" t="inlineStr">
        <is>
          <t>Adquisición de maquinaria y equipos para fortalecimiento del Taller de Modelería y del Laboratorio de Fabricación Digital de la ETITC, incluyendo una escuadradora para corte de madera de precisión, una cabina de fotocurado para el postprocesamiento de piezas fabricadas mediante impresión 3D en resina y un secador de filamento para impresión 3D. Los equipos deberán cumplir especificaciones técnicas adecuadas para uso académico y procesos de prototipado, permitiendo el procesamiento seguro y eficiente de materiales utilizados en actividades de fabricación digital y modelería.</t>
        </is>
      </c>
      <c r="E350" s="114" t="inlineStr">
        <is>
          <t xml:space="preserve">2 MESES </t>
        </is>
      </c>
      <c r="F350" s="114" t="inlineStr">
        <is>
          <t>MINIMA CUANTIA</t>
        </is>
      </c>
      <c r="G350" s="118" t="inlineStr">
        <is>
          <t>$250.000.000</t>
        </is>
      </c>
      <c r="H350" s="114" t="inlineStr">
        <is>
          <t>Profesional Especializado 2028-15 del Área de talleres y laboratorios</t>
        </is>
      </c>
      <c r="I350" s="114" t="inlineStr">
        <is>
          <t>(57-601) 344 3000 Ext 126</t>
        </is>
      </c>
      <c r="J350" s="114" t="inlineStr">
        <is>
          <t>talleresylaboratorios@itc.edu.co</t>
        </is>
      </c>
      <c r="K350" s="114" t="n"/>
      <c r="L350" s="119" t="inlineStr">
        <is>
          <t>125 · GIT Talleres y Laboratorios</t>
        </is>
      </c>
      <c r="M350" s="120" t="n">
        <v>250000000</v>
      </c>
      <c r="N350" s="119" t="inlineStr">
        <is>
          <t>Mínima cuantía</t>
        </is>
      </c>
      <c r="O350" s="119">
        <f>IF(LEN(IF(OR(NOT(ISNUMBER(B350)),LEN(B350)&lt;&gt;8),"UNSPSC vacío, en texto, con varios códigos o sin 8 dígitos; ","")&amp;IF(AND(ISNUMBER(B350),LEN(B350)=8),IF(MOD(B350,10000)=0,"UNSPSC a nivel de segmento o familia; ",""),"")&amp;IF(NOT(ISNUMBER(E350)),"Duración vacía o en texto; ","")&amp;IF(NOT(ISNUMBER(G350)),"Valor vacío o en texto; ","")&amp;IF(ISNUMBER(M350),IF(M350&lt;1000000,"Valor inferior a $1.000.000: verificar; ",""),"Valor no interpretable; ")&amp;IF(N350="[PENDIENTE DE VERIFICAR]","Modalidad no identificable; ","")&amp;IF(OR(ISERROR(SEARCH("@itc.edu.co",J350)),SUMPRODUCT(--ISNUMBER(SEARCH({"á","é","í","ó","ú","ñ"},J350)))&gt;0),"Correo vacío o no institucional válido; ","")&amp;IF(LEN(TRIM(D350))=0,"Sin objeto contractual; ","")&amp;IF(AND(ISNUMBER(M350),N350="Mínima cuantía"),IF(M350&gt;39850000,"Mínima cuantía con valor superior al tope citado en el instructivo 2026 ($39.850.000): verificar modalidad; ",""),"")&amp;IF(AND(ISNUMBER(M350),OR(ISNUMBER(SEARCH("prestación de servicios",D350)),ISNUMBER(SEARCH("prestar servicios",D350)),ISNUMBER(SEARCH("prestar los servicios",D350)))),IF(M350&gt;=500000000,"Prestación de servicios por $500 millones o más: posible error de digitación; ",""),""))=0,"Sin observaciones",IF(OR(NOT(ISNUMBER(B350)),LEN(B350)&lt;&gt;8),"UNSPSC vacío, en texto, con varios códigos o sin 8 dígitos; ","")&amp;IF(AND(ISNUMBER(B350),LEN(B350)=8),IF(MOD(B350,10000)=0,"UNSPSC a nivel de segmento o familia; ",""),"")&amp;IF(NOT(ISNUMBER(E350)),"Duración vacía o en texto; ","")&amp;IF(NOT(ISNUMBER(G350)),"Valor vacío o en texto; ","")&amp;IF(ISNUMBER(M350),IF(M350&lt;1000000,"Valor inferior a $1.000.000: verificar; ",""),"Valor no interpretable; ")&amp;IF(N350="[PENDIENTE DE VERIFICAR]","Modalidad no identificable; ","")&amp;IF(OR(ISERROR(SEARCH("@itc.edu.co",J350)),SUMPRODUCT(--ISNUMBER(SEARCH({"á","é","í","ó","ú","ñ"},J350)))&gt;0),"Correo vacío o no institucional válido; ","")&amp;IF(LEN(TRIM(D350))=0,"Sin objeto contractual; ","")&amp;IF(AND(ISNUMBER(M350),N350="Mínima cuantía"),IF(M350&gt;39850000,"Mínima cuantía con valor superior al tope citado en el instructivo 2026 ($39.850.000): verificar modalidad; ",""),"")&amp;IF(AND(ISNUMBER(M350),OR(ISNUMBER(SEARCH("prestación de servicios",D350)),ISNUMBER(SEARCH("prestar servicios",D350)),ISNUMBER(SEARCH("prestar los servicios",D350)))),IF(M350&gt;=500000000,"Prestación de servicios por $500 millones o más: posible error de digitación; ",""),""))</f>
        <v/>
      </c>
    </row>
    <row r="351" ht="136.8" customHeight="1" s="23">
      <c r="A351" s="114" t="inlineStr">
        <is>
          <t>PN26-347</t>
        </is>
      </c>
      <c r="B351" s="114" t="n">
        <v>73152100</v>
      </c>
      <c r="C351" s="114" t="inlineStr">
        <is>
          <t>Talleres y Laboratorios
(Taller de modeleria y FabLab)</t>
        </is>
      </c>
      <c r="D351" s="114" t="inlineStr">
        <is>
          <t>Prestación del servicio de mantenimiento preventivo, predictivo y correctivo a todo costo para equipos de fabricación digital del Taller de Modelería y Laboratorio de Fabricación Digital de la ETITC, incluyendo impresoras 3D de filamento marca Creality, impresoras 3D de resina, escáneres 3D marca Creality y escáneres 3D marca Artec. El servicio deberá incluir diagnóstico técnico, limpieza, calibración, ajuste mecánico y electrónico, actualización de firmware, suministro e instalación de repuestos requeridos, suministro de insumos técnicos como grasas de mantenimiento y fijadores para bandejas de impresión, así como la renovación o suministro de licencias de software necesarias para la operación y procesamiento de datos de los escáneres 3D y equipos asociados, garantizando su correcto funcionamiento y compatibilidad con los sistemas del laboratorio.</t>
        </is>
      </c>
      <c r="E351" s="114" t="inlineStr">
        <is>
          <t xml:space="preserve">2 MESES </t>
        </is>
      </c>
      <c r="F351" s="114" t="inlineStr">
        <is>
          <t>MINIMA CUANTIA</t>
        </is>
      </c>
      <c r="G351" s="118" t="inlineStr">
        <is>
          <t>$100.000.000</t>
        </is>
      </c>
      <c r="H351" s="114" t="inlineStr">
        <is>
          <t>Profesional Especializado 2028-15 del Área de talleres y laboratorios</t>
        </is>
      </c>
      <c r="I351" s="114" t="inlineStr">
        <is>
          <t>(57-601) 344 3000 Ext 126</t>
        </is>
      </c>
      <c r="J351" s="114" t="inlineStr">
        <is>
          <t>talleresylaboratorios@itc.edu.co</t>
        </is>
      </c>
      <c r="K351" s="114" t="n"/>
      <c r="L351" s="119" t="inlineStr">
        <is>
          <t>125 · GIT Talleres y Laboratorios</t>
        </is>
      </c>
      <c r="M351" s="120" t="n">
        <v>100000000</v>
      </c>
      <c r="N351" s="119" t="inlineStr">
        <is>
          <t>Mínima cuantía</t>
        </is>
      </c>
      <c r="O351" s="119">
        <f>IF(LEN(IF(OR(NOT(ISNUMBER(B351)),LEN(B351)&lt;&gt;8),"UNSPSC vacío, en texto, con varios códigos o sin 8 dígitos; ","")&amp;IF(AND(ISNUMBER(B351),LEN(B351)=8),IF(MOD(B351,10000)=0,"UNSPSC a nivel de segmento o familia; ",""),"")&amp;IF(NOT(ISNUMBER(E351)),"Duración vacía o en texto; ","")&amp;IF(NOT(ISNUMBER(G351)),"Valor vacío o en texto; ","")&amp;IF(ISNUMBER(M351),IF(M351&lt;1000000,"Valor inferior a $1.000.000: verificar; ",""),"Valor no interpretable; ")&amp;IF(N351="[PENDIENTE DE VERIFICAR]","Modalidad no identificable; ","")&amp;IF(OR(ISERROR(SEARCH("@itc.edu.co",J351)),SUMPRODUCT(--ISNUMBER(SEARCH({"á","é","í","ó","ú","ñ"},J351)))&gt;0),"Correo vacío o no institucional válido; ","")&amp;IF(LEN(TRIM(D351))=0,"Sin objeto contractual; ","")&amp;IF(AND(ISNUMBER(M351),N351="Mínima cuantía"),IF(M351&gt;39850000,"Mínima cuantía con valor superior al tope citado en el instructivo 2026 ($39.850.000): verificar modalidad; ",""),"")&amp;IF(AND(ISNUMBER(M351),OR(ISNUMBER(SEARCH("prestación de servicios",D351)),ISNUMBER(SEARCH("prestar servicios",D351)),ISNUMBER(SEARCH("prestar los servicios",D351)))),IF(M351&gt;=500000000,"Prestación de servicios por $500 millones o más: posible error de digitación; ",""),""))=0,"Sin observaciones",IF(OR(NOT(ISNUMBER(B351)),LEN(B351)&lt;&gt;8),"UNSPSC vacío, en texto, con varios códigos o sin 8 dígitos; ","")&amp;IF(AND(ISNUMBER(B351),LEN(B351)=8),IF(MOD(B351,10000)=0,"UNSPSC a nivel de segmento o familia; ",""),"")&amp;IF(NOT(ISNUMBER(E351)),"Duración vacía o en texto; ","")&amp;IF(NOT(ISNUMBER(G351)),"Valor vacío o en texto; ","")&amp;IF(ISNUMBER(M351),IF(M351&lt;1000000,"Valor inferior a $1.000.000: verificar; ",""),"Valor no interpretable; ")&amp;IF(N351="[PENDIENTE DE VERIFICAR]","Modalidad no identificable; ","")&amp;IF(OR(ISERROR(SEARCH("@itc.edu.co",J351)),SUMPRODUCT(--ISNUMBER(SEARCH({"á","é","í","ó","ú","ñ"},J351)))&gt;0),"Correo vacío o no institucional válido; ","")&amp;IF(LEN(TRIM(D351))=0,"Sin objeto contractual; ","")&amp;IF(AND(ISNUMBER(M351),N351="Mínima cuantía"),IF(M351&gt;39850000,"Mínima cuantía con valor superior al tope citado en el instructivo 2026 ($39.850.000): verificar modalidad; ",""),"")&amp;IF(AND(ISNUMBER(M351),OR(ISNUMBER(SEARCH("prestación de servicios",D351)),ISNUMBER(SEARCH("prestar servicios",D351)),ISNUMBER(SEARCH("prestar los servicios",D351)))),IF(M351&gt;=500000000,"Prestación de servicios por $500 millones o más: posible error de digitación; ",""),""))</f>
        <v/>
      </c>
    </row>
    <row r="352" ht="45.6" customHeight="1" s="23">
      <c r="A352" s="114" t="inlineStr">
        <is>
          <t>PN26-348</t>
        </is>
      </c>
      <c r="B352" s="114" t="n">
        <v>43211706</v>
      </c>
      <c r="C352" s="114" t="inlineStr">
        <is>
          <t>Talleres y Laboratorios
(Salas de sistemas)</t>
        </is>
      </c>
      <c r="D352" s="114" t="inlineStr">
        <is>
          <t>Adquisición de equipos, herramientas y materiales para la dotación  de las salas de sistemas de la Escuela Tecnológica Instituto Técnico Central.</t>
        </is>
      </c>
      <c r="E352" s="114" t="inlineStr">
        <is>
          <t>1 MES</t>
        </is>
      </c>
      <c r="F352" s="114" t="inlineStr">
        <is>
          <t>MINIMA CUANTIA</t>
        </is>
      </c>
      <c r="G352" s="118" t="inlineStr">
        <is>
          <t>$40.000.000</t>
        </is>
      </c>
      <c r="H352" s="114" t="inlineStr">
        <is>
          <t>Profesional Especializado 2028-15 del Área de talleres y laboratorios</t>
        </is>
      </c>
      <c r="I352" s="114" t="inlineStr">
        <is>
          <t>(57-601) 344 3000 Ext 126</t>
        </is>
      </c>
      <c r="J352" s="114" t="inlineStr">
        <is>
          <t>talleresylaboratorios@itc.edu.co</t>
        </is>
      </c>
      <c r="K352" s="114" t="n"/>
      <c r="L352" s="119" t="inlineStr">
        <is>
          <t>125 · GIT Talleres y Laboratorios</t>
        </is>
      </c>
      <c r="M352" s="120" t="n">
        <v>40000000</v>
      </c>
      <c r="N352" s="119" t="inlineStr">
        <is>
          <t>Mínima cuantía</t>
        </is>
      </c>
      <c r="O352" s="119">
        <f>IF(LEN(IF(OR(NOT(ISNUMBER(B352)),LEN(B352)&lt;&gt;8),"UNSPSC vacío, en texto, con varios códigos o sin 8 dígitos; ","")&amp;IF(AND(ISNUMBER(B352),LEN(B352)=8),IF(MOD(B352,10000)=0,"UNSPSC a nivel de segmento o familia; ",""),"")&amp;IF(NOT(ISNUMBER(E352)),"Duración vacía o en texto; ","")&amp;IF(NOT(ISNUMBER(G352)),"Valor vacío o en texto; ","")&amp;IF(ISNUMBER(M352),IF(M352&lt;1000000,"Valor inferior a $1.000.000: verificar; ",""),"Valor no interpretable; ")&amp;IF(N352="[PENDIENTE DE VERIFICAR]","Modalidad no identificable; ","")&amp;IF(OR(ISERROR(SEARCH("@itc.edu.co",J352)),SUMPRODUCT(--ISNUMBER(SEARCH({"á","é","í","ó","ú","ñ"},J352)))&gt;0),"Correo vacío o no institucional válido; ","")&amp;IF(LEN(TRIM(D352))=0,"Sin objeto contractual; ","")&amp;IF(AND(ISNUMBER(M352),N352="Mínima cuantía"),IF(M352&gt;39850000,"Mínima cuantía con valor superior al tope citado en el instructivo 2026 ($39.850.000): verificar modalidad; ",""),"")&amp;IF(AND(ISNUMBER(M352),OR(ISNUMBER(SEARCH("prestación de servicios",D352)),ISNUMBER(SEARCH("prestar servicios",D352)),ISNUMBER(SEARCH("prestar los servicios",D352)))),IF(M352&gt;=500000000,"Prestación de servicios por $500 millones o más: posible error de digitación; ",""),""))=0,"Sin observaciones",IF(OR(NOT(ISNUMBER(B352)),LEN(B352)&lt;&gt;8),"UNSPSC vacío, en texto, con varios códigos o sin 8 dígitos; ","")&amp;IF(AND(ISNUMBER(B352),LEN(B352)=8),IF(MOD(B352,10000)=0,"UNSPSC a nivel de segmento o familia; ",""),"")&amp;IF(NOT(ISNUMBER(E352)),"Duración vacía o en texto; ","")&amp;IF(NOT(ISNUMBER(G352)),"Valor vacío o en texto; ","")&amp;IF(ISNUMBER(M352),IF(M352&lt;1000000,"Valor inferior a $1.000.000: verificar; ",""),"Valor no interpretable; ")&amp;IF(N352="[PENDIENTE DE VERIFICAR]","Modalidad no identificable; ","")&amp;IF(OR(ISERROR(SEARCH("@itc.edu.co",J352)),SUMPRODUCT(--ISNUMBER(SEARCH({"á","é","í","ó","ú","ñ"},J352)))&gt;0),"Correo vacío o no institucional válido; ","")&amp;IF(LEN(TRIM(D352))=0,"Sin objeto contractual; ","")&amp;IF(AND(ISNUMBER(M352),N352="Mínima cuantía"),IF(M352&gt;39850000,"Mínima cuantía con valor superior al tope citado en el instructivo 2026 ($39.850.000): verificar modalidad; ",""),"")&amp;IF(AND(ISNUMBER(M352),OR(ISNUMBER(SEARCH("prestación de servicios",D352)),ISNUMBER(SEARCH("prestar servicios",D352)),ISNUMBER(SEARCH("prestar los servicios",D352)))),IF(M352&gt;=500000000,"Prestación de servicios por $500 millones o más: posible error de digitación; ",""),""))</f>
        <v/>
      </c>
    </row>
    <row r="353" ht="34.2" customHeight="1" s="23">
      <c r="A353" s="114" t="inlineStr">
        <is>
          <t>PN26-349</t>
        </is>
      </c>
      <c r="B353" s="114" t="n">
        <v>47640000</v>
      </c>
      <c r="C353" s="114" t="inlineStr">
        <is>
          <t>Talleres y Laboratorios
(Salas de sistemas)</t>
        </is>
      </c>
      <c r="D353" s="114" t="inlineStr">
        <is>
          <t>Adquisición de Kit de herramientas para salas de sistemas de la Escuela Tecnológica Instituto Técnico Central .</t>
        </is>
      </c>
      <c r="E353" s="114" t="inlineStr">
        <is>
          <t>2 MES</t>
        </is>
      </c>
      <c r="F353" s="114" t="inlineStr">
        <is>
          <t>MINIMA CUANTIA</t>
        </is>
      </c>
      <c r="G353" s="118" t="inlineStr">
        <is>
          <t>$5.000.000</t>
        </is>
      </c>
      <c r="H353" s="114" t="inlineStr">
        <is>
          <t>Profesional Especializado 2028-15 del Área de talleres y laboratorios</t>
        </is>
      </c>
      <c r="I353" s="114" t="inlineStr">
        <is>
          <t>(57-601) 344 3000 Ext 126</t>
        </is>
      </c>
      <c r="J353" s="114" t="inlineStr">
        <is>
          <t>talleresylaboratorios@itc.edu.co</t>
        </is>
      </c>
      <c r="K353" s="114" t="n"/>
      <c r="L353" s="119" t="inlineStr">
        <is>
          <t>125 · GIT Talleres y Laboratorios</t>
        </is>
      </c>
      <c r="M353" s="120" t="n">
        <v>5000000</v>
      </c>
      <c r="N353" s="119" t="inlineStr">
        <is>
          <t>Mínima cuantía</t>
        </is>
      </c>
      <c r="O353" s="119">
        <f>IF(LEN(IF(OR(NOT(ISNUMBER(B353)),LEN(B353)&lt;&gt;8),"UNSPSC vacío, en texto, con varios códigos o sin 8 dígitos; ","")&amp;IF(AND(ISNUMBER(B353),LEN(B353)=8),IF(MOD(B353,10000)=0,"UNSPSC a nivel de segmento o familia; ",""),"")&amp;IF(NOT(ISNUMBER(E353)),"Duración vacía o en texto; ","")&amp;IF(NOT(ISNUMBER(G353)),"Valor vacío o en texto; ","")&amp;IF(ISNUMBER(M353),IF(M353&lt;1000000,"Valor inferior a $1.000.000: verificar; ",""),"Valor no interpretable; ")&amp;IF(N353="[PENDIENTE DE VERIFICAR]","Modalidad no identificable; ","")&amp;IF(OR(ISERROR(SEARCH("@itc.edu.co",J353)),SUMPRODUCT(--ISNUMBER(SEARCH({"á","é","í","ó","ú","ñ"},J353)))&gt;0),"Correo vacío o no institucional válido; ","")&amp;IF(LEN(TRIM(D353))=0,"Sin objeto contractual; ","")&amp;IF(AND(ISNUMBER(M353),N353="Mínima cuantía"),IF(M353&gt;39850000,"Mínima cuantía con valor superior al tope citado en el instructivo 2026 ($39.850.000): verificar modalidad; ",""),"")&amp;IF(AND(ISNUMBER(M353),OR(ISNUMBER(SEARCH("prestación de servicios",D353)),ISNUMBER(SEARCH("prestar servicios",D353)),ISNUMBER(SEARCH("prestar los servicios",D353)))),IF(M353&gt;=500000000,"Prestación de servicios por $500 millones o más: posible error de digitación; ",""),""))=0,"Sin observaciones",IF(OR(NOT(ISNUMBER(B353)),LEN(B353)&lt;&gt;8),"UNSPSC vacío, en texto, con varios códigos o sin 8 dígitos; ","")&amp;IF(AND(ISNUMBER(B353),LEN(B353)=8),IF(MOD(B353,10000)=0,"UNSPSC a nivel de segmento o familia; ",""),"")&amp;IF(NOT(ISNUMBER(E353)),"Duración vacía o en texto; ","")&amp;IF(NOT(ISNUMBER(G353)),"Valor vacío o en texto; ","")&amp;IF(ISNUMBER(M353),IF(M353&lt;1000000,"Valor inferior a $1.000.000: verificar; ",""),"Valor no interpretable; ")&amp;IF(N353="[PENDIENTE DE VERIFICAR]","Modalidad no identificable; ","")&amp;IF(OR(ISERROR(SEARCH("@itc.edu.co",J353)),SUMPRODUCT(--ISNUMBER(SEARCH({"á","é","í","ó","ú","ñ"},J353)))&gt;0),"Correo vacío o no institucional válido; ","")&amp;IF(LEN(TRIM(D353))=0,"Sin objeto contractual; ","")&amp;IF(AND(ISNUMBER(M353),N353="Mínima cuantía"),IF(M353&gt;39850000,"Mínima cuantía con valor superior al tope citado en el instructivo 2026 ($39.850.000): verificar modalidad; ",""),"")&amp;IF(AND(ISNUMBER(M353),OR(ISNUMBER(SEARCH("prestación de servicios",D353)),ISNUMBER(SEARCH("prestar servicios",D353)),ISNUMBER(SEARCH("prestar los servicios",D353)))),IF(M353&gt;=500000000,"Prestación de servicios por $500 millones o más: posible error de digitación; ",""),""))</f>
        <v/>
      </c>
    </row>
    <row r="354" ht="91.2" customHeight="1" s="23">
      <c r="A354" s="114" t="inlineStr">
        <is>
          <t>PN26-350</t>
        </is>
      </c>
      <c r="B354" s="114" t="inlineStr">
        <is>
          <t xml:space="preserve"> 27110000 47131825 47131805</t>
        </is>
      </c>
      <c r="C354" s="114" t="inlineStr">
        <is>
          <t xml:space="preserve">
Talleres y laboratorios s. el Tintal
Laobratorios de Energias Renovables</t>
        </is>
      </c>
      <c r="D354" s="114" t="inlineStr">
        <is>
          <t>Adquisición de insumos, consumibles, herramientas menores para el funcionamiento del Laboratorio de Energías Renovables de la ETITC – Sede Tintal, incluyendo elementos necesarios para el  mantenimiento y operación de los sistemas experimentales del laboratorio. Dentro de estos se contemplan herramientas manuales, elementos de limpieza y mantenimiento de equipos, accesorios para sistemas fotovoltaicos, materiales eléctricos, consumibles para limpieza y demás elementos requeridos para actividades de  mantenimiento de sistemas de generación de energía a partir de fuentes renovables.</t>
        </is>
      </c>
      <c r="E354" s="114" t="inlineStr">
        <is>
          <t>1 MES</t>
        </is>
      </c>
      <c r="F354" s="114" t="inlineStr">
        <is>
          <t>MINIMA CUANTIA</t>
        </is>
      </c>
      <c r="G354" s="118" t="inlineStr">
        <is>
          <t>$10.000.000</t>
        </is>
      </c>
      <c r="H354" s="114" t="inlineStr">
        <is>
          <t>Profesional Especializado 2028-15 del Área de talleres y laboratorios</t>
        </is>
      </c>
      <c r="I354" s="114" t="inlineStr">
        <is>
          <t>(57-601) 344 3000 Ext 126</t>
        </is>
      </c>
      <c r="J354" s="114" t="inlineStr">
        <is>
          <t>talleresylaboratorios@itc.edu.co</t>
        </is>
      </c>
      <c r="K354" s="114" t="n"/>
      <c r="L354" s="119" t="inlineStr">
        <is>
          <t>125 · GIT Talleres y Laboratorios</t>
        </is>
      </c>
      <c r="M354" s="120" t="n">
        <v>10000000</v>
      </c>
      <c r="N354" s="119" t="inlineStr">
        <is>
          <t>Mínima cuantía</t>
        </is>
      </c>
      <c r="O354" s="119">
        <f>IF(LEN(IF(OR(NOT(ISNUMBER(B354)),LEN(B354)&lt;&gt;8),"UNSPSC vacío, en texto, con varios códigos o sin 8 dígitos; ","")&amp;IF(AND(ISNUMBER(B354),LEN(B354)=8),IF(MOD(B354,10000)=0,"UNSPSC a nivel de segmento o familia; ",""),"")&amp;IF(NOT(ISNUMBER(E354)),"Duración vacía o en texto; ","")&amp;IF(NOT(ISNUMBER(G354)),"Valor vacío o en texto; ","")&amp;IF(ISNUMBER(M354),IF(M354&lt;1000000,"Valor inferior a $1.000.000: verificar; ",""),"Valor no interpretable; ")&amp;IF(N354="[PENDIENTE DE VERIFICAR]","Modalidad no identificable; ","")&amp;IF(OR(ISERROR(SEARCH("@itc.edu.co",J354)),SUMPRODUCT(--ISNUMBER(SEARCH({"á","é","í","ó","ú","ñ"},J354)))&gt;0),"Correo vacío o no institucional válido; ","")&amp;IF(LEN(TRIM(D354))=0,"Sin objeto contractual; ","")&amp;IF(AND(ISNUMBER(M354),N354="Mínima cuantía"),IF(M354&gt;39850000,"Mínima cuantía con valor superior al tope citado en el instructivo 2026 ($39.850.000): verificar modalidad; ",""),"")&amp;IF(AND(ISNUMBER(M354),OR(ISNUMBER(SEARCH("prestación de servicios",D354)),ISNUMBER(SEARCH("prestar servicios",D354)),ISNUMBER(SEARCH("prestar los servicios",D354)))),IF(M354&gt;=500000000,"Prestación de servicios por $500 millones o más: posible error de digitación; ",""),""))=0,"Sin observaciones",IF(OR(NOT(ISNUMBER(B354)),LEN(B354)&lt;&gt;8),"UNSPSC vacío, en texto, con varios códigos o sin 8 dígitos; ","")&amp;IF(AND(ISNUMBER(B354),LEN(B354)=8),IF(MOD(B354,10000)=0,"UNSPSC a nivel de segmento o familia; ",""),"")&amp;IF(NOT(ISNUMBER(E354)),"Duración vacía o en texto; ","")&amp;IF(NOT(ISNUMBER(G354)),"Valor vacío o en texto; ","")&amp;IF(ISNUMBER(M354),IF(M354&lt;1000000,"Valor inferior a $1.000.000: verificar; ",""),"Valor no interpretable; ")&amp;IF(N354="[PENDIENTE DE VERIFICAR]","Modalidad no identificable; ","")&amp;IF(OR(ISERROR(SEARCH("@itc.edu.co",J354)),SUMPRODUCT(--ISNUMBER(SEARCH({"á","é","í","ó","ú","ñ"},J354)))&gt;0),"Correo vacío o no institucional válido; ","")&amp;IF(LEN(TRIM(D354))=0,"Sin objeto contractual; ","")&amp;IF(AND(ISNUMBER(M354),N354="Mínima cuantía"),IF(M354&gt;39850000,"Mínima cuantía con valor superior al tope citado en el instructivo 2026 ($39.850.000): verificar modalidad; ",""),"")&amp;IF(AND(ISNUMBER(M354),OR(ISNUMBER(SEARCH("prestación de servicios",D354)),ISNUMBER(SEARCH("prestar servicios",D354)),ISNUMBER(SEARCH("prestar los servicios",D354)))),IF(M354&gt;=500000000,"Prestación de servicios por $500 millones o más: posible error de digitación; ",""),""))</f>
        <v/>
      </c>
    </row>
    <row r="355" ht="45.6" customHeight="1" s="23">
      <c r="A355" s="114" t="inlineStr">
        <is>
          <t>PN26-351</t>
        </is>
      </c>
      <c r="B355" s="114" t="n">
        <v>12350000</v>
      </c>
      <c r="C355" s="114" t="inlineStr">
        <is>
          <t>Talleres y laboratorios s. el Tintal
Laboratorio de Quimica y Fisica</t>
        </is>
      </c>
      <c r="D355" s="114" t="inlineStr">
        <is>
          <t>Compra de  reactivos grado ACS/analítico, colorantes para tinciones celulares, soluciones patrón para practicas de espectroscopias,kits de análisis de aguas y suelos para muestreo en campo, medios de cultivo para practicas de microbiologia  y consumibles de laboratorio para prácticas académicas.</t>
        </is>
      </c>
      <c r="E355" s="114" t="inlineStr">
        <is>
          <t xml:space="preserve">1 MES </t>
        </is>
      </c>
      <c r="F355" s="114" t="inlineStr">
        <is>
          <t>MINIMA CUANTIA</t>
        </is>
      </c>
      <c r="G355" s="118" t="inlineStr">
        <is>
          <t>$15.858.000</t>
        </is>
      </c>
      <c r="H355" s="114" t="inlineStr">
        <is>
          <t>Profesional Especializado 2028-15 del Área de talleres y laboratorios</t>
        </is>
      </c>
      <c r="I355" s="114" t="inlineStr">
        <is>
          <t>(57-601) 344 3000 Ext 126</t>
        </is>
      </c>
      <c r="J355" s="114" t="inlineStr">
        <is>
          <t>talleresylaboratorios@itc.edu.co</t>
        </is>
      </c>
      <c r="K355" s="114" t="n"/>
      <c r="L355" s="119" t="inlineStr">
        <is>
          <t>125 · GIT Talleres y Laboratorios</t>
        </is>
      </c>
      <c r="M355" s="120" t="n">
        <v>15858000</v>
      </c>
      <c r="N355" s="119" t="inlineStr">
        <is>
          <t>Mínima cuantía</t>
        </is>
      </c>
      <c r="O355" s="119">
        <f>IF(LEN(IF(OR(NOT(ISNUMBER(B355)),LEN(B355)&lt;&gt;8),"UNSPSC vacío, en texto, con varios códigos o sin 8 dígitos; ","")&amp;IF(AND(ISNUMBER(B355),LEN(B355)=8),IF(MOD(B355,10000)=0,"UNSPSC a nivel de segmento o familia; ",""),"")&amp;IF(NOT(ISNUMBER(E355)),"Duración vacía o en texto; ","")&amp;IF(NOT(ISNUMBER(G355)),"Valor vacío o en texto; ","")&amp;IF(ISNUMBER(M355),IF(M355&lt;1000000,"Valor inferior a $1.000.000: verificar; ",""),"Valor no interpretable; ")&amp;IF(N355="[PENDIENTE DE VERIFICAR]","Modalidad no identificable; ","")&amp;IF(OR(ISERROR(SEARCH("@itc.edu.co",J355)),SUMPRODUCT(--ISNUMBER(SEARCH({"á","é","í","ó","ú","ñ"},J355)))&gt;0),"Correo vacío o no institucional válido; ","")&amp;IF(LEN(TRIM(D355))=0,"Sin objeto contractual; ","")&amp;IF(AND(ISNUMBER(M355),N355="Mínima cuantía"),IF(M355&gt;39850000,"Mínima cuantía con valor superior al tope citado en el instructivo 2026 ($39.850.000): verificar modalidad; ",""),"")&amp;IF(AND(ISNUMBER(M355),OR(ISNUMBER(SEARCH("prestación de servicios",D355)),ISNUMBER(SEARCH("prestar servicios",D355)),ISNUMBER(SEARCH("prestar los servicios",D355)))),IF(M355&gt;=500000000,"Prestación de servicios por $500 millones o más: posible error de digitación; ",""),""))=0,"Sin observaciones",IF(OR(NOT(ISNUMBER(B355)),LEN(B355)&lt;&gt;8),"UNSPSC vacío, en texto, con varios códigos o sin 8 dígitos; ","")&amp;IF(AND(ISNUMBER(B355),LEN(B355)=8),IF(MOD(B355,10000)=0,"UNSPSC a nivel de segmento o familia; ",""),"")&amp;IF(NOT(ISNUMBER(E355)),"Duración vacía o en texto; ","")&amp;IF(NOT(ISNUMBER(G355)),"Valor vacío o en texto; ","")&amp;IF(ISNUMBER(M355),IF(M355&lt;1000000,"Valor inferior a $1.000.000: verificar; ",""),"Valor no interpretable; ")&amp;IF(N355="[PENDIENTE DE VERIFICAR]","Modalidad no identificable; ","")&amp;IF(OR(ISERROR(SEARCH("@itc.edu.co",J355)),SUMPRODUCT(--ISNUMBER(SEARCH({"á","é","í","ó","ú","ñ"},J355)))&gt;0),"Correo vacío o no institucional válido; ","")&amp;IF(LEN(TRIM(D355))=0,"Sin objeto contractual; ","")&amp;IF(AND(ISNUMBER(M355),N355="Mínima cuantía"),IF(M355&gt;39850000,"Mínima cuantía con valor superior al tope citado en el instructivo 2026 ($39.850.000): verificar modalidad; ",""),"")&amp;IF(AND(ISNUMBER(M355),OR(ISNUMBER(SEARCH("prestación de servicios",D355)),ISNUMBER(SEARCH("prestar servicios",D355)),ISNUMBER(SEARCH("prestar los servicios",D355)))),IF(M355&gt;=500000000,"Prestación de servicios por $500 millones o más: posible error de digitación; ",""),""))</f>
        <v/>
      </c>
    </row>
    <row r="356" ht="34.2" customHeight="1" s="23">
      <c r="A356" s="114" t="inlineStr">
        <is>
          <t>PN26-352</t>
        </is>
      </c>
      <c r="B356" s="114" t="n">
        <v>32121615</v>
      </c>
      <c r="C356" s="114" t="inlineStr">
        <is>
          <t>Talleres y laboratorios s. el Tintal
Laboratorio de Quimica y Fisica</t>
        </is>
      </c>
      <c r="D356" s="114" t="inlineStr">
        <is>
          <t>Adquisición de componentes electrónicos para prototipado y prácticas de instrumentación para prácticas de física y automatización (cables de protoboard, resistencias de película de carbón y diodos LED).</t>
        </is>
      </c>
      <c r="E356" s="114" t="inlineStr">
        <is>
          <t xml:space="preserve">1 MES </t>
        </is>
      </c>
      <c r="F356" s="114" t="inlineStr">
        <is>
          <t>MINIMA CUANTIA</t>
        </is>
      </c>
      <c r="G356" s="118" t="inlineStr">
        <is>
          <t>$3.399.800</t>
        </is>
      </c>
      <c r="H356" s="114" t="inlineStr">
        <is>
          <t>Profesional Especializado 2028-15 del Área de talleres y laboratorios</t>
        </is>
      </c>
      <c r="I356" s="114" t="inlineStr">
        <is>
          <t>(57-601) 344 3000 Ext 126</t>
        </is>
      </c>
      <c r="J356" s="114" t="inlineStr">
        <is>
          <t>talleresylaboratorios@itc.edu.co</t>
        </is>
      </c>
      <c r="K356" s="114" t="n"/>
      <c r="L356" s="119" t="inlineStr">
        <is>
          <t>125 · GIT Talleres y Laboratorios</t>
        </is>
      </c>
      <c r="M356" s="120" t="n">
        <v>3399800</v>
      </c>
      <c r="N356" s="119" t="inlineStr">
        <is>
          <t>Mínima cuantía</t>
        </is>
      </c>
      <c r="O356" s="119">
        <f>IF(LEN(IF(OR(NOT(ISNUMBER(B356)),LEN(B356)&lt;&gt;8),"UNSPSC vacío, en texto, con varios códigos o sin 8 dígitos; ","")&amp;IF(AND(ISNUMBER(B356),LEN(B356)=8),IF(MOD(B356,10000)=0,"UNSPSC a nivel de segmento o familia; ",""),"")&amp;IF(NOT(ISNUMBER(E356)),"Duración vacía o en texto; ","")&amp;IF(NOT(ISNUMBER(G356)),"Valor vacío o en texto; ","")&amp;IF(ISNUMBER(M356),IF(M356&lt;1000000,"Valor inferior a $1.000.000: verificar; ",""),"Valor no interpretable; ")&amp;IF(N356="[PENDIENTE DE VERIFICAR]","Modalidad no identificable; ","")&amp;IF(OR(ISERROR(SEARCH("@itc.edu.co",J356)),SUMPRODUCT(--ISNUMBER(SEARCH({"á","é","í","ó","ú","ñ"},J356)))&gt;0),"Correo vacío o no institucional válido; ","")&amp;IF(LEN(TRIM(D356))=0,"Sin objeto contractual; ","")&amp;IF(AND(ISNUMBER(M356),N356="Mínima cuantía"),IF(M356&gt;39850000,"Mínima cuantía con valor superior al tope citado en el instructivo 2026 ($39.850.000): verificar modalidad; ",""),"")&amp;IF(AND(ISNUMBER(M356),OR(ISNUMBER(SEARCH("prestación de servicios",D356)),ISNUMBER(SEARCH("prestar servicios",D356)),ISNUMBER(SEARCH("prestar los servicios",D356)))),IF(M356&gt;=500000000,"Prestación de servicios por $500 millones o más: posible error de digitación; ",""),""))=0,"Sin observaciones",IF(OR(NOT(ISNUMBER(B356)),LEN(B356)&lt;&gt;8),"UNSPSC vacío, en texto, con varios códigos o sin 8 dígitos; ","")&amp;IF(AND(ISNUMBER(B356),LEN(B356)=8),IF(MOD(B356,10000)=0,"UNSPSC a nivel de segmento o familia; ",""),"")&amp;IF(NOT(ISNUMBER(E356)),"Duración vacía o en texto; ","")&amp;IF(NOT(ISNUMBER(G356)),"Valor vacío o en texto; ","")&amp;IF(ISNUMBER(M356),IF(M356&lt;1000000,"Valor inferior a $1.000.000: verificar; ",""),"Valor no interpretable; ")&amp;IF(N356="[PENDIENTE DE VERIFICAR]","Modalidad no identificable; ","")&amp;IF(OR(ISERROR(SEARCH("@itc.edu.co",J356)),SUMPRODUCT(--ISNUMBER(SEARCH({"á","é","í","ó","ú","ñ"},J356)))&gt;0),"Correo vacío o no institucional válido; ","")&amp;IF(LEN(TRIM(D356))=0,"Sin objeto contractual; ","")&amp;IF(AND(ISNUMBER(M356),N356="Mínima cuantía"),IF(M356&gt;39850000,"Mínima cuantía con valor superior al tope citado en el instructivo 2026 ($39.850.000): verificar modalidad; ",""),"")&amp;IF(AND(ISNUMBER(M356),OR(ISNUMBER(SEARCH("prestación de servicios",D356)),ISNUMBER(SEARCH("prestar servicios",D356)),ISNUMBER(SEARCH("prestar los servicios",D356)))),IF(M356&gt;=500000000,"Prestación de servicios por $500 millones o más: posible error de digitación; ",""),""))</f>
        <v/>
      </c>
    </row>
    <row r="357" ht="34.2" customHeight="1" s="23">
      <c r="A357" s="114" t="inlineStr">
        <is>
          <t>PN26-353</t>
        </is>
      </c>
      <c r="B357" s="114" t="n">
        <v>41121800</v>
      </c>
      <c r="C357" s="114" t="inlineStr">
        <is>
          <t>Talleres y laboratorios s. el Tintal
Laboratorio de Quimica y Fisica</t>
        </is>
      </c>
      <c r="D357" s="114" t="inlineStr">
        <is>
          <t>Adquisición de material de vidrio y cristalería especializada para experimentación química y biológica, para separacion de mezclas, practicas de electroquimica y cultivo biologicos</t>
        </is>
      </c>
      <c r="E357" s="114" t="inlineStr">
        <is>
          <t xml:space="preserve">1 MES </t>
        </is>
      </c>
      <c r="F357" s="114" t="inlineStr">
        <is>
          <t>MINIMA CUANTIA</t>
        </is>
      </c>
      <c r="G357" s="118" t="inlineStr">
        <is>
          <t>$10.000.000</t>
        </is>
      </c>
      <c r="H357" s="114" t="inlineStr">
        <is>
          <t>Profesional Especializado 2028-15 del Área de talleres y laboratorios</t>
        </is>
      </c>
      <c r="I357" s="114" t="inlineStr">
        <is>
          <t>(57-601) 344 3000 Ext 126</t>
        </is>
      </c>
      <c r="J357" s="114" t="inlineStr">
        <is>
          <t>talleresylaboratorios@itc.edu.co</t>
        </is>
      </c>
      <c r="K357" s="114" t="n"/>
      <c r="L357" s="119" t="inlineStr">
        <is>
          <t>125 · GIT Talleres y Laboratorios</t>
        </is>
      </c>
      <c r="M357" s="120" t="n">
        <v>10000000</v>
      </c>
      <c r="N357" s="119" t="inlineStr">
        <is>
          <t>Mínima cuantía</t>
        </is>
      </c>
      <c r="O357" s="119">
        <f>IF(LEN(IF(OR(NOT(ISNUMBER(B357)),LEN(B357)&lt;&gt;8),"UNSPSC vacío, en texto, con varios códigos o sin 8 dígitos; ","")&amp;IF(AND(ISNUMBER(B357),LEN(B357)=8),IF(MOD(B357,10000)=0,"UNSPSC a nivel de segmento o familia; ",""),"")&amp;IF(NOT(ISNUMBER(E357)),"Duración vacía o en texto; ","")&amp;IF(NOT(ISNUMBER(G357)),"Valor vacío o en texto; ","")&amp;IF(ISNUMBER(M357),IF(M357&lt;1000000,"Valor inferior a $1.000.000: verificar; ",""),"Valor no interpretable; ")&amp;IF(N357="[PENDIENTE DE VERIFICAR]","Modalidad no identificable; ","")&amp;IF(OR(ISERROR(SEARCH("@itc.edu.co",J357)),SUMPRODUCT(--ISNUMBER(SEARCH({"á","é","í","ó","ú","ñ"},J357)))&gt;0),"Correo vacío o no institucional válido; ","")&amp;IF(LEN(TRIM(D357))=0,"Sin objeto contractual; ","")&amp;IF(AND(ISNUMBER(M357),N357="Mínima cuantía"),IF(M357&gt;39850000,"Mínima cuantía con valor superior al tope citado en el instructivo 2026 ($39.850.000): verificar modalidad; ",""),"")&amp;IF(AND(ISNUMBER(M357),OR(ISNUMBER(SEARCH("prestación de servicios",D357)),ISNUMBER(SEARCH("prestar servicios",D357)),ISNUMBER(SEARCH("prestar los servicios",D357)))),IF(M357&gt;=500000000,"Prestación de servicios por $500 millones o más: posible error de digitación; ",""),""))=0,"Sin observaciones",IF(OR(NOT(ISNUMBER(B357)),LEN(B357)&lt;&gt;8),"UNSPSC vacío, en texto, con varios códigos o sin 8 dígitos; ","")&amp;IF(AND(ISNUMBER(B357),LEN(B357)=8),IF(MOD(B357,10000)=0,"UNSPSC a nivel de segmento o familia; ",""),"")&amp;IF(NOT(ISNUMBER(E357)),"Duración vacía o en texto; ","")&amp;IF(NOT(ISNUMBER(G357)),"Valor vacío o en texto; ","")&amp;IF(ISNUMBER(M357),IF(M357&lt;1000000,"Valor inferior a $1.000.000: verificar; ",""),"Valor no interpretable; ")&amp;IF(N357="[PENDIENTE DE VERIFICAR]","Modalidad no identificable; ","")&amp;IF(OR(ISERROR(SEARCH("@itc.edu.co",J357)),SUMPRODUCT(--ISNUMBER(SEARCH({"á","é","í","ó","ú","ñ"},J357)))&gt;0),"Correo vacío o no institucional válido; ","")&amp;IF(LEN(TRIM(D357))=0,"Sin objeto contractual; ","")&amp;IF(AND(ISNUMBER(M357),N357="Mínima cuantía"),IF(M357&gt;39850000,"Mínima cuantía con valor superior al tope citado en el instructivo 2026 ($39.850.000): verificar modalidad; ",""),"")&amp;IF(AND(ISNUMBER(M357),OR(ISNUMBER(SEARCH("prestación de servicios",D357)),ISNUMBER(SEARCH("prestar servicios",D357)),ISNUMBER(SEARCH("prestar los servicios",D357)))),IF(M357&gt;=500000000,"Prestación de servicios por $500 millones o más: posible error de digitación; ",""),""))</f>
        <v/>
      </c>
    </row>
    <row r="358" ht="34.2" customHeight="1" s="23">
      <c r="A358" s="114" t="inlineStr">
        <is>
          <t>PN26-354</t>
        </is>
      </c>
      <c r="B358" s="114" t="n">
        <v>41121800</v>
      </c>
      <c r="C358" s="114" t="inlineStr">
        <is>
          <t>Talleres y laboratorios s. el Tintal
Laboratorio de Quimica y Fisica</t>
        </is>
      </c>
      <c r="D358" s="114" t="inlineStr">
        <is>
          <t>Adquisición de bidones, frascos ámbar y recipientes para almacenamiento de reactivos y gestión de residuos e envases.</t>
        </is>
      </c>
      <c r="E358" s="114" t="inlineStr">
        <is>
          <t xml:space="preserve">1 MES </t>
        </is>
      </c>
      <c r="F358" s="114" t="inlineStr">
        <is>
          <t>MINIMA CUANTIA</t>
        </is>
      </c>
      <c r="G358" s="118" t="inlineStr">
        <is>
          <t>$2.500.000</t>
        </is>
      </c>
      <c r="H358" s="114" t="inlineStr">
        <is>
          <t>Profesional Especializado 2028-15 del Área de talleres y laboratorios</t>
        </is>
      </c>
      <c r="I358" s="114" t="inlineStr">
        <is>
          <t>(57-601) 344 3000 Ext 126</t>
        </is>
      </c>
      <c r="J358" s="114" t="inlineStr">
        <is>
          <t>talleresylaboratorios@itc.edu.co</t>
        </is>
      </c>
      <c r="K358" s="114" t="n"/>
      <c r="L358" s="119" t="inlineStr">
        <is>
          <t>125 · GIT Talleres y Laboratorios</t>
        </is>
      </c>
      <c r="M358" s="120" t="n">
        <v>2500000</v>
      </c>
      <c r="N358" s="119" t="inlineStr">
        <is>
          <t>Mínima cuantía</t>
        </is>
      </c>
      <c r="O358" s="119">
        <f>IF(LEN(IF(OR(NOT(ISNUMBER(B358)),LEN(B358)&lt;&gt;8),"UNSPSC vacío, en texto, con varios códigos o sin 8 dígitos; ","")&amp;IF(AND(ISNUMBER(B358),LEN(B358)=8),IF(MOD(B358,10000)=0,"UNSPSC a nivel de segmento o familia; ",""),"")&amp;IF(NOT(ISNUMBER(E358)),"Duración vacía o en texto; ","")&amp;IF(NOT(ISNUMBER(G358)),"Valor vacío o en texto; ","")&amp;IF(ISNUMBER(M358),IF(M358&lt;1000000,"Valor inferior a $1.000.000: verificar; ",""),"Valor no interpretable; ")&amp;IF(N358="[PENDIENTE DE VERIFICAR]","Modalidad no identificable; ","")&amp;IF(OR(ISERROR(SEARCH("@itc.edu.co",J358)),SUMPRODUCT(--ISNUMBER(SEARCH({"á","é","í","ó","ú","ñ"},J358)))&gt;0),"Correo vacío o no institucional válido; ","")&amp;IF(LEN(TRIM(D358))=0,"Sin objeto contractual; ","")&amp;IF(AND(ISNUMBER(M358),N358="Mínima cuantía"),IF(M358&gt;39850000,"Mínima cuantía con valor superior al tope citado en el instructivo 2026 ($39.850.000): verificar modalidad; ",""),"")&amp;IF(AND(ISNUMBER(M358),OR(ISNUMBER(SEARCH("prestación de servicios",D358)),ISNUMBER(SEARCH("prestar servicios",D358)),ISNUMBER(SEARCH("prestar los servicios",D358)))),IF(M358&gt;=500000000,"Prestación de servicios por $500 millones o más: posible error de digitación; ",""),""))=0,"Sin observaciones",IF(OR(NOT(ISNUMBER(B358)),LEN(B358)&lt;&gt;8),"UNSPSC vacío, en texto, con varios códigos o sin 8 dígitos; ","")&amp;IF(AND(ISNUMBER(B358),LEN(B358)=8),IF(MOD(B358,10000)=0,"UNSPSC a nivel de segmento o familia; ",""),"")&amp;IF(NOT(ISNUMBER(E358)),"Duración vacía o en texto; ","")&amp;IF(NOT(ISNUMBER(G358)),"Valor vacío o en texto; ","")&amp;IF(ISNUMBER(M358),IF(M358&lt;1000000,"Valor inferior a $1.000.000: verificar; ",""),"Valor no interpretable; ")&amp;IF(N358="[PENDIENTE DE VERIFICAR]","Modalidad no identificable; ","")&amp;IF(OR(ISERROR(SEARCH("@itc.edu.co",J358)),SUMPRODUCT(--ISNUMBER(SEARCH({"á","é","í","ó","ú","ñ"},J358)))&gt;0),"Correo vacío o no institucional válido; ","")&amp;IF(LEN(TRIM(D358))=0,"Sin objeto contractual; ","")&amp;IF(AND(ISNUMBER(M358),N358="Mínima cuantía"),IF(M358&gt;39850000,"Mínima cuantía con valor superior al tope citado en el instructivo 2026 ($39.850.000): verificar modalidad; ",""),"")&amp;IF(AND(ISNUMBER(M358),OR(ISNUMBER(SEARCH("prestación de servicios",D358)),ISNUMBER(SEARCH("prestar servicios",D358)),ISNUMBER(SEARCH("prestar los servicios",D358)))),IF(M358&gt;=500000000,"Prestación de servicios por $500 millones o más: posible error de digitación; ",""),""))</f>
        <v/>
      </c>
    </row>
    <row r="359" ht="57" customHeight="1" s="23">
      <c r="A359" s="114" t="inlineStr">
        <is>
          <t>PN26-355</t>
        </is>
      </c>
      <c r="B359" s="114" t="n">
        <v>72150000</v>
      </c>
      <c r="C359" s="114" t="inlineStr">
        <is>
          <t>Talleres y laboratorios s. el Tintal
Laboratorio de Quimica y Fisica</t>
        </is>
      </c>
      <c r="D359" s="114" t="inlineStr">
        <is>
          <t>Servicio de mantenimiento preventivo y correctivo para autoclaves (esterilizadores) de laboratorio, incluyendo: calibración de parámetros (temperatura, presión y tiempo), revisión de resistencias, válvulas de seguridad, sellos de puerta, sistemas de control electrónico y certificación de ciclos de esterilización.</t>
        </is>
      </c>
      <c r="E359" s="114" t="inlineStr">
        <is>
          <t xml:space="preserve">1 MES </t>
        </is>
      </c>
      <c r="F359" s="114" t="inlineStr">
        <is>
          <t xml:space="preserve">DIRECTA </t>
        </is>
      </c>
      <c r="G359" s="118" t="inlineStr">
        <is>
          <t>$5.498.400</t>
        </is>
      </c>
      <c r="H359" s="114" t="inlineStr">
        <is>
          <t>Profesional Especializado 2028-15 del Área de talleres y laboratorios</t>
        </is>
      </c>
      <c r="I359" s="114" t="inlineStr">
        <is>
          <t>(57-601) 344 3000 Ext 126</t>
        </is>
      </c>
      <c r="J359" s="114" t="inlineStr">
        <is>
          <t>talleresylaboratorios@itc.edu.co</t>
        </is>
      </c>
      <c r="K359" s="114" t="n"/>
      <c r="L359" s="119" t="inlineStr">
        <is>
          <t>125 · GIT Talleres y Laboratorios</t>
        </is>
      </c>
      <c r="M359" s="120" t="n">
        <v>5498400</v>
      </c>
      <c r="N359" s="119" t="inlineStr">
        <is>
          <t>Contratación directa</t>
        </is>
      </c>
      <c r="O359" s="119">
        <f>IF(LEN(IF(OR(NOT(ISNUMBER(B359)),LEN(B359)&lt;&gt;8),"UNSPSC vacío, en texto, con varios códigos o sin 8 dígitos; ","")&amp;IF(AND(ISNUMBER(B359),LEN(B359)=8),IF(MOD(B359,10000)=0,"UNSPSC a nivel de segmento o familia; ",""),"")&amp;IF(NOT(ISNUMBER(E359)),"Duración vacía o en texto; ","")&amp;IF(NOT(ISNUMBER(G359)),"Valor vacío o en texto; ","")&amp;IF(ISNUMBER(M359),IF(M359&lt;1000000,"Valor inferior a $1.000.000: verificar; ",""),"Valor no interpretable; ")&amp;IF(N359="[PENDIENTE DE VERIFICAR]","Modalidad no identificable; ","")&amp;IF(OR(ISERROR(SEARCH("@itc.edu.co",J359)),SUMPRODUCT(--ISNUMBER(SEARCH({"á","é","í","ó","ú","ñ"},J359)))&gt;0),"Correo vacío o no institucional válido; ","")&amp;IF(LEN(TRIM(D359))=0,"Sin objeto contractual; ","")&amp;IF(AND(ISNUMBER(M359),N359="Mínima cuantía"),IF(M359&gt;39850000,"Mínima cuantía con valor superior al tope citado en el instructivo 2026 ($39.850.000): verificar modalidad; ",""),"")&amp;IF(AND(ISNUMBER(M359),OR(ISNUMBER(SEARCH("prestación de servicios",D359)),ISNUMBER(SEARCH("prestar servicios",D359)),ISNUMBER(SEARCH("prestar los servicios",D359)))),IF(M359&gt;=500000000,"Prestación de servicios por $500 millones o más: posible error de digitación; ",""),""))=0,"Sin observaciones",IF(OR(NOT(ISNUMBER(B359)),LEN(B359)&lt;&gt;8),"UNSPSC vacío, en texto, con varios códigos o sin 8 dígitos; ","")&amp;IF(AND(ISNUMBER(B359),LEN(B359)=8),IF(MOD(B359,10000)=0,"UNSPSC a nivel de segmento o familia; ",""),"")&amp;IF(NOT(ISNUMBER(E359)),"Duración vacía o en texto; ","")&amp;IF(NOT(ISNUMBER(G359)),"Valor vacío o en texto; ","")&amp;IF(ISNUMBER(M359),IF(M359&lt;1000000,"Valor inferior a $1.000.000: verificar; ",""),"Valor no interpretable; ")&amp;IF(N359="[PENDIENTE DE VERIFICAR]","Modalidad no identificable; ","")&amp;IF(OR(ISERROR(SEARCH("@itc.edu.co",J359)),SUMPRODUCT(--ISNUMBER(SEARCH({"á","é","í","ó","ú","ñ"},J359)))&gt;0),"Correo vacío o no institucional válido; ","")&amp;IF(LEN(TRIM(D359))=0,"Sin objeto contractual; ","")&amp;IF(AND(ISNUMBER(M359),N359="Mínima cuantía"),IF(M359&gt;39850000,"Mínima cuantía con valor superior al tope citado en el instructivo 2026 ($39.850.000): verificar modalidad; ",""),"")&amp;IF(AND(ISNUMBER(M359),OR(ISNUMBER(SEARCH("prestación de servicios",D359)),ISNUMBER(SEARCH("prestar servicios",D359)),ISNUMBER(SEARCH("prestar los servicios",D359)))),IF(M359&gt;=500000000,"Prestación de servicios por $500 millones o más: posible error de digitación; ",""),""))</f>
        <v/>
      </c>
    </row>
    <row r="360" ht="45.6" customHeight="1" s="23">
      <c r="A360" s="114" t="inlineStr">
        <is>
          <t>PN26-356</t>
        </is>
      </c>
      <c r="B360" s="114" t="n">
        <v>72151200</v>
      </c>
      <c r="C360" s="114" t="inlineStr">
        <is>
          <t>Talleres y laboratorios s. el Tintal
Laboratorio de Quimica y Fisica</t>
        </is>
      </c>
      <c r="D360" s="114" t="inlineStr">
        <is>
          <t>Servicio de mantenimiento preventivo y correctivo para neveras, refrigeradores y congeladores de laboratorio, incluyendo: revisión de compresores, sistemas de refrigeración, termostatos, puertas, empaques, y calibración de sondas de temperatura.</t>
        </is>
      </c>
      <c r="E360" s="114" t="inlineStr">
        <is>
          <t xml:space="preserve">1 MES </t>
        </is>
      </c>
      <c r="F360" s="114" t="inlineStr">
        <is>
          <t xml:space="preserve">DIRECTA </t>
        </is>
      </c>
      <c r="G360" s="118" t="inlineStr">
        <is>
          <t>$7.497.200</t>
        </is>
      </c>
      <c r="H360" s="114" t="inlineStr">
        <is>
          <t>Profesional Especializado 2028-15 del Área de talleres y laboratorios</t>
        </is>
      </c>
      <c r="I360" s="114" t="inlineStr">
        <is>
          <t>(57-601) 344 3000 Ext 126</t>
        </is>
      </c>
      <c r="J360" s="114" t="inlineStr">
        <is>
          <t>talleresylaboratorios@itc.edu.co</t>
        </is>
      </c>
      <c r="K360" s="114" t="n"/>
      <c r="L360" s="119" t="inlineStr">
        <is>
          <t>125 · GIT Talleres y Laboratorios</t>
        </is>
      </c>
      <c r="M360" s="120" t="n">
        <v>7497200</v>
      </c>
      <c r="N360" s="119" t="inlineStr">
        <is>
          <t>Contratación directa</t>
        </is>
      </c>
      <c r="O360" s="119">
        <f>IF(LEN(IF(OR(NOT(ISNUMBER(B360)),LEN(B360)&lt;&gt;8),"UNSPSC vacío, en texto, con varios códigos o sin 8 dígitos; ","")&amp;IF(AND(ISNUMBER(B360),LEN(B360)=8),IF(MOD(B360,10000)=0,"UNSPSC a nivel de segmento o familia; ",""),"")&amp;IF(NOT(ISNUMBER(E360)),"Duración vacía o en texto; ","")&amp;IF(NOT(ISNUMBER(G360)),"Valor vacío o en texto; ","")&amp;IF(ISNUMBER(M360),IF(M360&lt;1000000,"Valor inferior a $1.000.000: verificar; ",""),"Valor no interpretable; ")&amp;IF(N360="[PENDIENTE DE VERIFICAR]","Modalidad no identificable; ","")&amp;IF(OR(ISERROR(SEARCH("@itc.edu.co",J360)),SUMPRODUCT(--ISNUMBER(SEARCH({"á","é","í","ó","ú","ñ"},J360)))&gt;0),"Correo vacío o no institucional válido; ","")&amp;IF(LEN(TRIM(D360))=0,"Sin objeto contractual; ","")&amp;IF(AND(ISNUMBER(M360),N360="Mínima cuantía"),IF(M360&gt;39850000,"Mínima cuantía con valor superior al tope citado en el instructivo 2026 ($39.850.000): verificar modalidad; ",""),"")&amp;IF(AND(ISNUMBER(M360),OR(ISNUMBER(SEARCH("prestación de servicios",D360)),ISNUMBER(SEARCH("prestar servicios",D360)),ISNUMBER(SEARCH("prestar los servicios",D360)))),IF(M360&gt;=500000000,"Prestación de servicios por $500 millones o más: posible error de digitación; ",""),""))=0,"Sin observaciones",IF(OR(NOT(ISNUMBER(B360)),LEN(B360)&lt;&gt;8),"UNSPSC vacío, en texto, con varios códigos o sin 8 dígitos; ","")&amp;IF(AND(ISNUMBER(B360),LEN(B360)=8),IF(MOD(B360,10000)=0,"UNSPSC a nivel de segmento o familia; ",""),"")&amp;IF(NOT(ISNUMBER(E360)),"Duración vacía o en texto; ","")&amp;IF(NOT(ISNUMBER(G360)),"Valor vacío o en texto; ","")&amp;IF(ISNUMBER(M360),IF(M360&lt;1000000,"Valor inferior a $1.000.000: verificar; ",""),"Valor no interpretable; ")&amp;IF(N360="[PENDIENTE DE VERIFICAR]","Modalidad no identificable; ","")&amp;IF(OR(ISERROR(SEARCH("@itc.edu.co",J360)),SUMPRODUCT(--ISNUMBER(SEARCH({"á","é","í","ó","ú","ñ"},J360)))&gt;0),"Correo vacío o no institucional válido; ","")&amp;IF(LEN(TRIM(D360))=0,"Sin objeto contractual; ","")&amp;IF(AND(ISNUMBER(M360),N360="Mínima cuantía"),IF(M360&gt;39850000,"Mínima cuantía con valor superior al tope citado en el instructivo 2026 ($39.850.000): verificar modalidad; ",""),"")&amp;IF(AND(ISNUMBER(M360),OR(ISNUMBER(SEARCH("prestación de servicios",D360)),ISNUMBER(SEARCH("prestar servicios",D360)),ISNUMBER(SEARCH("prestar los servicios",D360)))),IF(M360&gt;=500000000,"Prestación de servicios por $500 millones o más: posible error de digitación; ",""),""))</f>
        <v/>
      </c>
    </row>
    <row r="361" ht="57" customHeight="1" s="23">
      <c r="A361" s="114" t="inlineStr">
        <is>
          <t>PN26-357</t>
        </is>
      </c>
      <c r="B361" s="114" t="inlineStr">
        <is>
          <t>43211511 43211724</t>
        </is>
      </c>
      <c r="C361" s="114" t="inlineStr">
        <is>
          <t>Talleres y laboratorios s. el Tintal
Sala de sistemas</t>
        </is>
      </c>
      <c r="D361" s="114" t="inlineStr">
        <is>
          <t>Adquisición de 10 equipos de cómputo portátiles de última generación con sus respectivos kits de periféricos de entrada (teclado, mouse y audífonos), destinados a fortalecer la infraestructura tecnológica para las actividades académicas y administrativas de la Sede Tintal de la ETITC.</t>
        </is>
      </c>
      <c r="E361" s="114" t="inlineStr">
        <is>
          <t>1 MES</t>
        </is>
      </c>
      <c r="F361" s="114" t="inlineStr">
        <is>
          <t>MINIMA CUANTIA</t>
        </is>
      </c>
      <c r="G361" s="118" t="inlineStr">
        <is>
          <t>$60.000.000</t>
        </is>
      </c>
      <c r="H361" s="114" t="inlineStr">
        <is>
          <t>Profesional Especializado 2028-15 del Área de talleres y laboratorios</t>
        </is>
      </c>
      <c r="I361" s="114" t="inlineStr">
        <is>
          <t>(57-601) 344 3000 Ext 126</t>
        </is>
      </c>
      <c r="J361" s="114" t="inlineStr">
        <is>
          <t>talleresylaboratorios@itc.edu.co</t>
        </is>
      </c>
      <c r="K361" s="114" t="n"/>
      <c r="L361" s="119" t="inlineStr">
        <is>
          <t>125 · GIT Talleres y Laboratorios</t>
        </is>
      </c>
      <c r="M361" s="120" t="n">
        <v>60000000</v>
      </c>
      <c r="N361" s="119" t="inlineStr">
        <is>
          <t>Mínima cuantía</t>
        </is>
      </c>
      <c r="O361" s="119">
        <f>IF(LEN(IF(OR(NOT(ISNUMBER(B361)),LEN(B361)&lt;&gt;8),"UNSPSC vacío, en texto, con varios códigos o sin 8 dígitos; ","")&amp;IF(AND(ISNUMBER(B361),LEN(B361)=8),IF(MOD(B361,10000)=0,"UNSPSC a nivel de segmento o familia; ",""),"")&amp;IF(NOT(ISNUMBER(E361)),"Duración vacía o en texto; ","")&amp;IF(NOT(ISNUMBER(G361)),"Valor vacío o en texto; ","")&amp;IF(ISNUMBER(M361),IF(M361&lt;1000000,"Valor inferior a $1.000.000: verificar; ",""),"Valor no interpretable; ")&amp;IF(N361="[PENDIENTE DE VERIFICAR]","Modalidad no identificable; ","")&amp;IF(OR(ISERROR(SEARCH("@itc.edu.co",J361)),SUMPRODUCT(--ISNUMBER(SEARCH({"á","é","í","ó","ú","ñ"},J361)))&gt;0),"Correo vacío o no institucional válido; ","")&amp;IF(LEN(TRIM(D361))=0,"Sin objeto contractual; ","")&amp;IF(AND(ISNUMBER(M361),N361="Mínima cuantía"),IF(M361&gt;39850000,"Mínima cuantía con valor superior al tope citado en el instructivo 2026 ($39.850.000): verificar modalidad; ",""),"")&amp;IF(AND(ISNUMBER(M361),OR(ISNUMBER(SEARCH("prestación de servicios",D361)),ISNUMBER(SEARCH("prestar servicios",D361)),ISNUMBER(SEARCH("prestar los servicios",D361)))),IF(M361&gt;=500000000,"Prestación de servicios por $500 millones o más: posible error de digitación; ",""),""))=0,"Sin observaciones",IF(OR(NOT(ISNUMBER(B361)),LEN(B361)&lt;&gt;8),"UNSPSC vacío, en texto, con varios códigos o sin 8 dígitos; ","")&amp;IF(AND(ISNUMBER(B361),LEN(B361)=8),IF(MOD(B361,10000)=0,"UNSPSC a nivel de segmento o familia; ",""),"")&amp;IF(NOT(ISNUMBER(E361)),"Duración vacía o en texto; ","")&amp;IF(NOT(ISNUMBER(G361)),"Valor vacío o en texto; ","")&amp;IF(ISNUMBER(M361),IF(M361&lt;1000000,"Valor inferior a $1.000.000: verificar; ",""),"Valor no interpretable; ")&amp;IF(N361="[PENDIENTE DE VERIFICAR]","Modalidad no identificable; ","")&amp;IF(OR(ISERROR(SEARCH("@itc.edu.co",J361)),SUMPRODUCT(--ISNUMBER(SEARCH({"á","é","í","ó","ú","ñ"},J361)))&gt;0),"Correo vacío o no institucional válido; ","")&amp;IF(LEN(TRIM(D361))=0,"Sin objeto contractual; ","")&amp;IF(AND(ISNUMBER(M361),N361="Mínima cuantía"),IF(M361&gt;39850000,"Mínima cuantía con valor superior al tope citado en el instructivo 2026 ($39.850.000): verificar modalidad; ",""),"")&amp;IF(AND(ISNUMBER(M361),OR(ISNUMBER(SEARCH("prestación de servicios",D361)),ISNUMBER(SEARCH("prestar servicios",D361)),ISNUMBER(SEARCH("prestar los servicios",D361)))),IF(M361&gt;=500000000,"Prestación de servicios por $500 millones o más: posible error de digitación; ",""),""))</f>
        <v/>
      </c>
    </row>
    <row r="362" ht="57" customHeight="1" s="23">
      <c r="A362" s="114" t="inlineStr">
        <is>
          <t>PN26-358</t>
        </is>
      </c>
      <c r="B362" s="114" t="inlineStr">
        <is>
          <t>43211521 43211903</t>
        </is>
      </c>
      <c r="C362" s="114" t="inlineStr">
        <is>
          <t>Talleres y laboratorios s. el Tintal
Sala de sistemas</t>
        </is>
      </c>
      <c r="D362" s="114" t="inlineStr">
        <is>
          <t>Adquisición de 100 equipos de cómputo de última generación tipo "All-in-One" para la actualización tecnológica de 4 salas de sistemas, y 10 pantallas inteligentes con sistema OPS (Open Pluggable Specification) y soporte rodante para la modernización de las aulas interactivas en la Sede Tintal.</t>
        </is>
      </c>
      <c r="E362" s="114" t="inlineStr">
        <is>
          <t>1 MES</t>
        </is>
      </c>
      <c r="F362" s="114" t="inlineStr">
        <is>
          <t>MINIMA CUANTIA</t>
        </is>
      </c>
      <c r="G362" s="118" t="inlineStr">
        <is>
          <t>$600.000.000</t>
        </is>
      </c>
      <c r="H362" s="114" t="inlineStr">
        <is>
          <t>Profesional Especializado 2028-15 del Área de talleres y laboratorios</t>
        </is>
      </c>
      <c r="I362" s="114" t="inlineStr">
        <is>
          <t>(57-601) 344 3000 Ext 126</t>
        </is>
      </c>
      <c r="J362" s="114" t="inlineStr">
        <is>
          <t>talleresylaboratorios@itc.edu.co</t>
        </is>
      </c>
      <c r="K362" s="114" t="n"/>
      <c r="L362" s="119" t="inlineStr">
        <is>
          <t>125 · GIT Talleres y Laboratorios</t>
        </is>
      </c>
      <c r="M362" s="120" t="n">
        <v>600000000</v>
      </c>
      <c r="N362" s="119" t="inlineStr">
        <is>
          <t>Mínima cuantía</t>
        </is>
      </c>
      <c r="O362" s="119">
        <f>IF(LEN(IF(OR(NOT(ISNUMBER(B362)),LEN(B362)&lt;&gt;8),"UNSPSC vacío, en texto, con varios códigos o sin 8 dígitos; ","")&amp;IF(AND(ISNUMBER(B362),LEN(B362)=8),IF(MOD(B362,10000)=0,"UNSPSC a nivel de segmento o familia; ",""),"")&amp;IF(NOT(ISNUMBER(E362)),"Duración vacía o en texto; ","")&amp;IF(NOT(ISNUMBER(G362)),"Valor vacío o en texto; ","")&amp;IF(ISNUMBER(M362),IF(M362&lt;1000000,"Valor inferior a $1.000.000: verificar; ",""),"Valor no interpretable; ")&amp;IF(N362="[PENDIENTE DE VERIFICAR]","Modalidad no identificable; ","")&amp;IF(OR(ISERROR(SEARCH("@itc.edu.co",J362)),SUMPRODUCT(--ISNUMBER(SEARCH({"á","é","í","ó","ú","ñ"},J362)))&gt;0),"Correo vacío o no institucional válido; ","")&amp;IF(LEN(TRIM(D362))=0,"Sin objeto contractual; ","")&amp;IF(AND(ISNUMBER(M362),N362="Mínima cuantía"),IF(M362&gt;39850000,"Mínima cuantía con valor superior al tope citado en el instructivo 2026 ($39.850.000): verificar modalidad; ",""),"")&amp;IF(AND(ISNUMBER(M362),OR(ISNUMBER(SEARCH("prestación de servicios",D362)),ISNUMBER(SEARCH("prestar servicios",D362)),ISNUMBER(SEARCH("prestar los servicios",D362)))),IF(M362&gt;=500000000,"Prestación de servicios por $500 millones o más: posible error de digitación; ",""),""))=0,"Sin observaciones",IF(OR(NOT(ISNUMBER(B362)),LEN(B362)&lt;&gt;8),"UNSPSC vacío, en texto, con varios códigos o sin 8 dígitos; ","")&amp;IF(AND(ISNUMBER(B362),LEN(B362)=8),IF(MOD(B362,10000)=0,"UNSPSC a nivel de segmento o familia; ",""),"")&amp;IF(NOT(ISNUMBER(E362)),"Duración vacía o en texto; ","")&amp;IF(NOT(ISNUMBER(G362)),"Valor vacío o en texto; ","")&amp;IF(ISNUMBER(M362),IF(M362&lt;1000000,"Valor inferior a $1.000.000: verificar; ",""),"Valor no interpretable; ")&amp;IF(N362="[PENDIENTE DE VERIFICAR]","Modalidad no identificable; ","")&amp;IF(OR(ISERROR(SEARCH("@itc.edu.co",J362)),SUMPRODUCT(--ISNUMBER(SEARCH({"á","é","í","ó","ú","ñ"},J362)))&gt;0),"Correo vacío o no institucional válido; ","")&amp;IF(LEN(TRIM(D362))=0,"Sin objeto contractual; ","")&amp;IF(AND(ISNUMBER(M362),N362="Mínima cuantía"),IF(M362&gt;39850000,"Mínima cuantía con valor superior al tope citado en el instructivo 2026 ($39.850.000): verificar modalidad; ",""),"")&amp;IF(AND(ISNUMBER(M362),OR(ISNUMBER(SEARCH("prestación de servicios",D362)),ISNUMBER(SEARCH("prestar servicios",D362)),ISNUMBER(SEARCH("prestar los servicios",D362)))),IF(M362&gt;=500000000,"Prestación de servicios por $500 millones o más: posible error de digitación; ",""),""))</f>
        <v/>
      </c>
    </row>
    <row r="363" ht="45.6" customHeight="1" s="23">
      <c r="A363" s="114" t="inlineStr">
        <is>
          <t>PN26-359</t>
        </is>
      </c>
      <c r="B363" s="114" t="inlineStr">
        <is>
          <t>27111728 32131000 47131825 47131805</t>
        </is>
      </c>
      <c r="C363" s="114" t="inlineStr">
        <is>
          <t>Talleres y laboratorios s. el Tintal
Sala de sistemas</t>
        </is>
      </c>
      <c r="D363" s="114" t="inlineStr">
        <is>
          <t>Adquisición de 4 kits de herramientas para mantenimiento de equipos de cómputo, compuestos por: pasta térmica, juego de destornilladores de precisión, palas plásticas para apertura de equipos, cautín con soldadura, limpiador eléctrico en aerosol y espuma limpiadora para exteriores.</t>
        </is>
      </c>
      <c r="E363" s="114" t="inlineStr">
        <is>
          <t>1 MES</t>
        </is>
      </c>
      <c r="F363" s="114" t="inlineStr">
        <is>
          <t>MINIMA CUANTIA</t>
        </is>
      </c>
      <c r="G363" s="118" t="inlineStr">
        <is>
          <t>$4.000.000</t>
        </is>
      </c>
      <c r="H363" s="114" t="inlineStr">
        <is>
          <t>Profesional Especializado 2028-15 del Área de talleres y laboratorios</t>
        </is>
      </c>
      <c r="I363" s="114" t="inlineStr">
        <is>
          <t>(57-601) 344 3000 Ext 126</t>
        </is>
      </c>
      <c r="J363" s="114" t="inlineStr">
        <is>
          <t>talleresylaboratorios@itc.edu.co</t>
        </is>
      </c>
      <c r="K363" s="114" t="n"/>
      <c r="L363" s="119" t="inlineStr">
        <is>
          <t>125 · GIT Talleres y Laboratorios</t>
        </is>
      </c>
      <c r="M363" s="120" t="n">
        <v>4000000</v>
      </c>
      <c r="N363" s="119" t="inlineStr">
        <is>
          <t>Mínima cuantía</t>
        </is>
      </c>
      <c r="O363" s="119">
        <f>IF(LEN(IF(OR(NOT(ISNUMBER(B363)),LEN(B363)&lt;&gt;8),"UNSPSC vacío, en texto, con varios códigos o sin 8 dígitos; ","")&amp;IF(AND(ISNUMBER(B363),LEN(B363)=8),IF(MOD(B363,10000)=0,"UNSPSC a nivel de segmento o familia; ",""),"")&amp;IF(NOT(ISNUMBER(E363)),"Duración vacía o en texto; ","")&amp;IF(NOT(ISNUMBER(G363)),"Valor vacío o en texto; ","")&amp;IF(ISNUMBER(M363),IF(M363&lt;1000000,"Valor inferior a $1.000.000: verificar; ",""),"Valor no interpretable; ")&amp;IF(N363="[PENDIENTE DE VERIFICAR]","Modalidad no identificable; ","")&amp;IF(OR(ISERROR(SEARCH("@itc.edu.co",J363)),SUMPRODUCT(--ISNUMBER(SEARCH({"á","é","í","ó","ú","ñ"},J363)))&gt;0),"Correo vacío o no institucional válido; ","")&amp;IF(LEN(TRIM(D363))=0,"Sin objeto contractual; ","")&amp;IF(AND(ISNUMBER(M363),N363="Mínima cuantía"),IF(M363&gt;39850000,"Mínima cuantía con valor superior al tope citado en el instructivo 2026 ($39.850.000): verificar modalidad; ",""),"")&amp;IF(AND(ISNUMBER(M363),OR(ISNUMBER(SEARCH("prestación de servicios",D363)),ISNUMBER(SEARCH("prestar servicios",D363)),ISNUMBER(SEARCH("prestar los servicios",D363)))),IF(M363&gt;=500000000,"Prestación de servicios por $500 millones o más: posible error de digitación; ",""),""))=0,"Sin observaciones",IF(OR(NOT(ISNUMBER(B363)),LEN(B363)&lt;&gt;8),"UNSPSC vacío, en texto, con varios códigos o sin 8 dígitos; ","")&amp;IF(AND(ISNUMBER(B363),LEN(B363)=8),IF(MOD(B363,10000)=0,"UNSPSC a nivel de segmento o familia; ",""),"")&amp;IF(NOT(ISNUMBER(E363)),"Duración vacía o en texto; ","")&amp;IF(NOT(ISNUMBER(G363)),"Valor vacío o en texto; ","")&amp;IF(ISNUMBER(M363),IF(M363&lt;1000000,"Valor inferior a $1.000.000: verificar; ",""),"Valor no interpretable; ")&amp;IF(N363="[PENDIENTE DE VERIFICAR]","Modalidad no identificable; ","")&amp;IF(OR(ISERROR(SEARCH("@itc.edu.co",J363)),SUMPRODUCT(--ISNUMBER(SEARCH({"á","é","í","ó","ú","ñ"},J363)))&gt;0),"Correo vacío o no institucional válido; ","")&amp;IF(LEN(TRIM(D363))=0,"Sin objeto contractual; ","")&amp;IF(AND(ISNUMBER(M363),N363="Mínima cuantía"),IF(M363&gt;39850000,"Mínima cuantía con valor superior al tope citado en el instructivo 2026 ($39.850.000): verificar modalidad; ",""),"")&amp;IF(AND(ISNUMBER(M363),OR(ISNUMBER(SEARCH("prestación de servicios",D363)),ISNUMBER(SEARCH("prestar servicios",D363)),ISNUMBER(SEARCH("prestar los servicios",D363)))),IF(M363&gt;=500000000,"Prestación de servicios por $500 millones o más: posible error de digitación; ",""),""))</f>
        <v/>
      </c>
    </row>
    <row r="364" ht="34.2" customHeight="1" s="23">
      <c r="A364" s="114" t="inlineStr">
        <is>
          <t>PN26-360</t>
        </is>
      </c>
      <c r="B364" s="114" t="n">
        <v>43201830</v>
      </c>
      <c r="C364" s="114" t="inlineStr">
        <is>
          <t>Talleres y laboratorios s. el Tintal
Sala de sistemas</t>
        </is>
      </c>
      <c r="D364" s="114" t="inlineStr">
        <is>
          <t>Adquisición de 30 unidades de discos duros de estado sólido (SSD) como repuesto y soporte para la recuperación y mejora del rendimiento de los equipos de cómputo de las salas de sistemas.</t>
        </is>
      </c>
      <c r="E364" s="114" t="inlineStr">
        <is>
          <t>1 MES</t>
        </is>
      </c>
      <c r="F364" s="114" t="inlineStr">
        <is>
          <t>MINIMA CUANTIA</t>
        </is>
      </c>
      <c r="G364" s="118" t="inlineStr">
        <is>
          <t>$15.000.000</t>
        </is>
      </c>
      <c r="H364" s="114" t="inlineStr">
        <is>
          <t>Profesional Especializado 2028-15 del Área de talleres y laboratorios</t>
        </is>
      </c>
      <c r="I364" s="114" t="inlineStr">
        <is>
          <t>(57-601) 344 3000 Ext 126</t>
        </is>
      </c>
      <c r="J364" s="114" t="inlineStr">
        <is>
          <t>talleresylaboratorios@itc.edu.co</t>
        </is>
      </c>
      <c r="K364" s="114" t="n"/>
      <c r="L364" s="119" t="inlineStr">
        <is>
          <t>125 · GIT Talleres y Laboratorios</t>
        </is>
      </c>
      <c r="M364" s="120" t="n">
        <v>15000000</v>
      </c>
      <c r="N364" s="119" t="inlineStr">
        <is>
          <t>Mínima cuantía</t>
        </is>
      </c>
      <c r="O364" s="119">
        <f>IF(LEN(IF(OR(NOT(ISNUMBER(B364)),LEN(B364)&lt;&gt;8),"UNSPSC vacío, en texto, con varios códigos o sin 8 dígitos; ","")&amp;IF(AND(ISNUMBER(B364),LEN(B364)=8),IF(MOD(B364,10000)=0,"UNSPSC a nivel de segmento o familia; ",""),"")&amp;IF(NOT(ISNUMBER(E364)),"Duración vacía o en texto; ","")&amp;IF(NOT(ISNUMBER(G364)),"Valor vacío o en texto; ","")&amp;IF(ISNUMBER(M364),IF(M364&lt;1000000,"Valor inferior a $1.000.000: verificar; ",""),"Valor no interpretable; ")&amp;IF(N364="[PENDIENTE DE VERIFICAR]","Modalidad no identificable; ","")&amp;IF(OR(ISERROR(SEARCH("@itc.edu.co",J364)),SUMPRODUCT(--ISNUMBER(SEARCH({"á","é","í","ó","ú","ñ"},J364)))&gt;0),"Correo vacío o no institucional válido; ","")&amp;IF(LEN(TRIM(D364))=0,"Sin objeto contractual; ","")&amp;IF(AND(ISNUMBER(M364),N364="Mínima cuantía"),IF(M364&gt;39850000,"Mínima cuantía con valor superior al tope citado en el instructivo 2026 ($39.850.000): verificar modalidad; ",""),"")&amp;IF(AND(ISNUMBER(M364),OR(ISNUMBER(SEARCH("prestación de servicios",D364)),ISNUMBER(SEARCH("prestar servicios",D364)),ISNUMBER(SEARCH("prestar los servicios",D364)))),IF(M364&gt;=500000000,"Prestación de servicios por $500 millones o más: posible error de digitación; ",""),""))=0,"Sin observaciones",IF(OR(NOT(ISNUMBER(B364)),LEN(B364)&lt;&gt;8),"UNSPSC vacío, en texto, con varios códigos o sin 8 dígitos; ","")&amp;IF(AND(ISNUMBER(B364),LEN(B364)=8),IF(MOD(B364,10000)=0,"UNSPSC a nivel de segmento o familia; ",""),"")&amp;IF(NOT(ISNUMBER(E364)),"Duración vacía o en texto; ","")&amp;IF(NOT(ISNUMBER(G364)),"Valor vacío o en texto; ","")&amp;IF(ISNUMBER(M364),IF(M364&lt;1000000,"Valor inferior a $1.000.000: verificar; ",""),"Valor no interpretable; ")&amp;IF(N364="[PENDIENTE DE VERIFICAR]","Modalidad no identificable; ","")&amp;IF(OR(ISERROR(SEARCH("@itc.edu.co",J364)),SUMPRODUCT(--ISNUMBER(SEARCH({"á","é","í","ó","ú","ñ"},J364)))&gt;0),"Correo vacío o no institucional válido; ","")&amp;IF(LEN(TRIM(D364))=0,"Sin objeto contractual; ","")&amp;IF(AND(ISNUMBER(M364),N364="Mínima cuantía"),IF(M364&gt;39850000,"Mínima cuantía con valor superior al tope citado en el instructivo 2026 ($39.850.000): verificar modalidad; ",""),"")&amp;IF(AND(ISNUMBER(M364),OR(ISNUMBER(SEARCH("prestación de servicios",D364)),ISNUMBER(SEARCH("prestar servicios",D364)),ISNUMBER(SEARCH("prestar los servicios",D364)))),IF(M364&gt;=500000000,"Prestación de servicios por $500 millones o más: posible error de digitación; ",""),""))</f>
        <v/>
      </c>
    </row>
    <row r="365" ht="45.6" customHeight="1" s="23">
      <c r="A365" s="114" t="inlineStr">
        <is>
          <t>PN26-361</t>
        </is>
      </c>
      <c r="B365" s="114" t="n">
        <v>43211508</v>
      </c>
      <c r="C365" s="114" t="inlineStr">
        <is>
          <t>Talleres y laboratorios s. el Tintal
Laboratorio de Ciencia de Datos</t>
        </is>
      </c>
      <c r="D365" s="114" t="inlineStr">
        <is>
          <t>Adquisición de 6 equipos de cómputo portatiles para la toma de clase, especializados para el procesamiento de datos (Laptops MSI Raider GE76)</t>
        </is>
      </c>
      <c r="E365" s="114" t="inlineStr">
        <is>
          <t>1 MES</t>
        </is>
      </c>
      <c r="F365" s="114" t="inlineStr">
        <is>
          <t>MINIMA CUANTIA</t>
        </is>
      </c>
      <c r="G365" s="118" t="inlineStr">
        <is>
          <t>$42.000.000</t>
        </is>
      </c>
      <c r="H365" s="114" t="inlineStr">
        <is>
          <t>Profesional Especializado 2028-15 del Área de talleres y laboratorios</t>
        </is>
      </c>
      <c r="I365" s="114" t="inlineStr">
        <is>
          <t>(57-601) 344 3000 Ext 126</t>
        </is>
      </c>
      <c r="J365" s="114" t="inlineStr">
        <is>
          <t>talleresylaboratorios@itc.edu.co</t>
        </is>
      </c>
      <c r="K365" s="114" t="n"/>
      <c r="L365" s="119" t="inlineStr">
        <is>
          <t>125 · GIT Talleres y Laboratorios</t>
        </is>
      </c>
      <c r="M365" s="120" t="n">
        <v>42000000</v>
      </c>
      <c r="N365" s="119" t="inlineStr">
        <is>
          <t>Mínima cuantía</t>
        </is>
      </c>
      <c r="O365" s="119">
        <f>IF(LEN(IF(OR(NOT(ISNUMBER(B365)),LEN(B365)&lt;&gt;8),"UNSPSC vacío, en texto, con varios códigos o sin 8 dígitos; ","")&amp;IF(AND(ISNUMBER(B365),LEN(B365)=8),IF(MOD(B365,10000)=0,"UNSPSC a nivel de segmento o familia; ",""),"")&amp;IF(NOT(ISNUMBER(E365)),"Duración vacía o en texto; ","")&amp;IF(NOT(ISNUMBER(G365)),"Valor vacío o en texto; ","")&amp;IF(ISNUMBER(M365),IF(M365&lt;1000000,"Valor inferior a $1.000.000: verificar; ",""),"Valor no interpretable; ")&amp;IF(N365="[PENDIENTE DE VERIFICAR]","Modalidad no identificable; ","")&amp;IF(OR(ISERROR(SEARCH("@itc.edu.co",J365)),SUMPRODUCT(--ISNUMBER(SEARCH({"á","é","í","ó","ú","ñ"},J365)))&gt;0),"Correo vacío o no institucional válido; ","")&amp;IF(LEN(TRIM(D365))=0,"Sin objeto contractual; ","")&amp;IF(AND(ISNUMBER(M365),N365="Mínima cuantía"),IF(M365&gt;39850000,"Mínima cuantía con valor superior al tope citado en el instructivo 2026 ($39.850.000): verificar modalidad; ",""),"")&amp;IF(AND(ISNUMBER(M365),OR(ISNUMBER(SEARCH("prestación de servicios",D365)),ISNUMBER(SEARCH("prestar servicios",D365)),ISNUMBER(SEARCH("prestar los servicios",D365)))),IF(M365&gt;=500000000,"Prestación de servicios por $500 millones o más: posible error de digitación; ",""),""))=0,"Sin observaciones",IF(OR(NOT(ISNUMBER(B365)),LEN(B365)&lt;&gt;8),"UNSPSC vacío, en texto, con varios códigos o sin 8 dígitos; ","")&amp;IF(AND(ISNUMBER(B365),LEN(B365)=8),IF(MOD(B365,10000)=0,"UNSPSC a nivel de segmento o familia; ",""),"")&amp;IF(NOT(ISNUMBER(E365)),"Duración vacía o en texto; ","")&amp;IF(NOT(ISNUMBER(G365)),"Valor vacío o en texto; ","")&amp;IF(ISNUMBER(M365),IF(M365&lt;1000000,"Valor inferior a $1.000.000: verificar; ",""),"Valor no interpretable; ")&amp;IF(N365="[PENDIENTE DE VERIFICAR]","Modalidad no identificable; ","")&amp;IF(OR(ISERROR(SEARCH("@itc.edu.co",J365)),SUMPRODUCT(--ISNUMBER(SEARCH({"á","é","í","ó","ú","ñ"},J365)))&gt;0),"Correo vacío o no institucional válido; ","")&amp;IF(LEN(TRIM(D365))=0,"Sin objeto contractual; ","")&amp;IF(AND(ISNUMBER(M365),N365="Mínima cuantía"),IF(M365&gt;39850000,"Mínima cuantía con valor superior al tope citado en el instructivo 2026 ($39.850.000): verificar modalidad; ",""),"")&amp;IF(AND(ISNUMBER(M365),OR(ISNUMBER(SEARCH("prestación de servicios",D365)),ISNUMBER(SEARCH("prestar servicios",D365)),ISNUMBER(SEARCH("prestar los servicios",D365)))),IF(M365&gt;=500000000,"Prestación de servicios por $500 millones o más: posible error de digitación; ",""),""))</f>
        <v/>
      </c>
    </row>
    <row r="366" ht="79.8" customHeight="1" s="23">
      <c r="A366" s="114" t="inlineStr">
        <is>
          <t>PN26-362</t>
        </is>
      </c>
      <c r="B366" s="114" t="inlineStr">
        <is>
          <t xml:space="preserve">41113600 27110000 23271417 </t>
        </is>
      </c>
      <c r="C366" s="114" t="inlineStr">
        <is>
          <t>Talleres y laboratorios s. el Tintal
Taller de Electricidad y electronica</t>
        </is>
      </c>
      <c r="D366" s="114" t="inlineStr">
        <is>
          <t>Adquisición de insumos, consumibles, herramientas menores e instrumentos de medición para el funcionamiento del Laboratorio de Electricidad y Electrónica de la ETITC – Sede Tintal, destinados al desarrollo de prácticas académicas, actividades experimentales y mantenimiento de equipos. Incluye herramientas manuales, equipos de soldadura, instrumentos de medición, cables, conectores y componentes eléctricos y electrónicos necesarios para el montaje, diagnóstico y análisis de circuitos en las prácticas de laboratorio.</t>
        </is>
      </c>
      <c r="E366" s="114" t="inlineStr">
        <is>
          <t>1 MES</t>
        </is>
      </c>
      <c r="F366" s="114" t="inlineStr">
        <is>
          <t>MINIMA CUANTIA</t>
        </is>
      </c>
      <c r="G366" s="118" t="inlineStr">
        <is>
          <t>12.000.000</t>
        </is>
      </c>
      <c r="H366" s="114" t="inlineStr">
        <is>
          <t>Profesional Especializado 2028-15 del Área de talleres y laboratorios</t>
        </is>
      </c>
      <c r="I366" s="114" t="inlineStr">
        <is>
          <t>(57-601) 344 3000 Ext 126</t>
        </is>
      </c>
      <c r="J366" s="114" t="inlineStr">
        <is>
          <t>talleresylaboratorios@itc.edu.co</t>
        </is>
      </c>
      <c r="K366" s="114" t="n"/>
      <c r="L366" s="119" t="inlineStr">
        <is>
          <t>125 · GIT Talleres y Laboratorios</t>
        </is>
      </c>
      <c r="M366" s="120" t="n">
        <v>12000000</v>
      </c>
      <c r="N366" s="119" t="inlineStr">
        <is>
          <t>Mínima cuantía</t>
        </is>
      </c>
      <c r="O366" s="119">
        <f>IF(LEN(IF(OR(NOT(ISNUMBER(B366)),LEN(B366)&lt;&gt;8),"UNSPSC vacío, en texto, con varios códigos o sin 8 dígitos; ","")&amp;IF(AND(ISNUMBER(B366),LEN(B366)=8),IF(MOD(B366,10000)=0,"UNSPSC a nivel de segmento o familia; ",""),"")&amp;IF(NOT(ISNUMBER(E366)),"Duración vacía o en texto; ","")&amp;IF(NOT(ISNUMBER(G366)),"Valor vacío o en texto; ","")&amp;IF(ISNUMBER(M366),IF(M366&lt;1000000,"Valor inferior a $1.000.000: verificar; ",""),"Valor no interpretable; ")&amp;IF(N366="[PENDIENTE DE VERIFICAR]","Modalidad no identificable; ","")&amp;IF(OR(ISERROR(SEARCH("@itc.edu.co",J366)),SUMPRODUCT(--ISNUMBER(SEARCH({"á","é","í","ó","ú","ñ"},J366)))&gt;0),"Correo vacío o no institucional válido; ","")&amp;IF(LEN(TRIM(D366))=0,"Sin objeto contractual; ","")&amp;IF(AND(ISNUMBER(M366),N366="Mínima cuantía"),IF(M366&gt;39850000,"Mínima cuantía con valor superior al tope citado en el instructivo 2026 ($39.850.000): verificar modalidad; ",""),"")&amp;IF(AND(ISNUMBER(M366),OR(ISNUMBER(SEARCH("prestación de servicios",D366)),ISNUMBER(SEARCH("prestar servicios",D366)),ISNUMBER(SEARCH("prestar los servicios",D366)))),IF(M366&gt;=500000000,"Prestación de servicios por $500 millones o más: posible error de digitación; ",""),""))=0,"Sin observaciones",IF(OR(NOT(ISNUMBER(B366)),LEN(B366)&lt;&gt;8),"UNSPSC vacío, en texto, con varios códigos o sin 8 dígitos; ","")&amp;IF(AND(ISNUMBER(B366),LEN(B366)=8),IF(MOD(B366,10000)=0,"UNSPSC a nivel de segmento o familia; ",""),"")&amp;IF(NOT(ISNUMBER(E366)),"Duración vacía o en texto; ","")&amp;IF(NOT(ISNUMBER(G366)),"Valor vacío o en texto; ","")&amp;IF(ISNUMBER(M366),IF(M366&lt;1000000,"Valor inferior a $1.000.000: verificar; ",""),"Valor no interpretable; ")&amp;IF(N366="[PENDIENTE DE VERIFICAR]","Modalidad no identificable; ","")&amp;IF(OR(ISERROR(SEARCH("@itc.edu.co",J366)),SUMPRODUCT(--ISNUMBER(SEARCH({"á","é","í","ó","ú","ñ"},J366)))&gt;0),"Correo vacío o no institucional válido; ","")&amp;IF(LEN(TRIM(D366))=0,"Sin objeto contractual; ","")&amp;IF(AND(ISNUMBER(M366),N366="Mínima cuantía"),IF(M366&gt;39850000,"Mínima cuantía con valor superior al tope citado en el instructivo 2026 ($39.850.000): verificar modalidad; ",""),"")&amp;IF(AND(ISNUMBER(M366),OR(ISNUMBER(SEARCH("prestación de servicios",D366)),ISNUMBER(SEARCH("prestar servicios",D366)),ISNUMBER(SEARCH("prestar los servicios",D366)))),IF(M366&gt;=500000000,"Prestación de servicios por $500 millones o más: posible error de digitación; ",""),""))</f>
        <v/>
      </c>
    </row>
    <row r="367" ht="91.2" customHeight="1" s="23">
      <c r="A367" s="114" t="inlineStr">
        <is>
          <t>PN26-363</t>
        </is>
      </c>
      <c r="B367" s="114" t="n">
        <v>80101507</v>
      </c>
      <c r="C367" s="114" t="inlineStr">
        <is>
          <t>Oficina de relaciones interinstitucionales y de internacionalización</t>
        </is>
      </c>
      <c r="D367" s="114" t="inlineStr">
        <is>
          <t>Pago de afiliaciones institucionales a redes académicas y de cooperación como Asociación Colombiana de Facultades de Ingeniería (ACOFI), Programa Interinstitucional para el Fortalecimiento de la Investigación y el Posgrado del Pacífico – Delfín, Fondo de Desarrollo de la Educación Superior (FODESEP), Red Colombiana para la Internacionalización (RCI) de ASCUN y Red de Instituciones Técnicas Profesionales, Tecnológicas e Instituciones Universitarias Públicas de Colombia (REDTTU), con el fin de fortalecer la cooperación académica, investigativa e internacionalización institucional.</t>
        </is>
      </c>
      <c r="E367" s="114" t="n">
        <v>12</v>
      </c>
      <c r="F367" s="114" t="inlineStr">
        <is>
          <t>Mínima Cuantía</t>
        </is>
      </c>
      <c r="G367" s="118" t="n">
        <v>50000000</v>
      </c>
      <c r="H367" s="114" t="inlineStr">
        <is>
          <t>Profesional Especializado de la ORII</t>
        </is>
      </c>
      <c r="I367" s="114" t="inlineStr">
        <is>
          <t>3443000 Ext 154</t>
        </is>
      </c>
      <c r="J367" s="114" t="inlineStr">
        <is>
          <t>internacionalizacion@itc.edu.co</t>
        </is>
      </c>
      <c r="K367" s="114" t="n"/>
      <c r="L367" s="119" t="inlineStr">
        <is>
          <t>100 · Rectoría</t>
        </is>
      </c>
      <c r="M367" s="120" t="n">
        <v>50000000</v>
      </c>
      <c r="N367" s="119" t="inlineStr">
        <is>
          <t>Mínima cuantía</t>
        </is>
      </c>
      <c r="O367" s="119">
        <f>IF(LEN(IF(OR(NOT(ISNUMBER(B367)),LEN(B367)&lt;&gt;8),"UNSPSC vacío, en texto, con varios códigos o sin 8 dígitos; ","")&amp;IF(AND(ISNUMBER(B367),LEN(B367)=8),IF(MOD(B367,10000)=0,"UNSPSC a nivel de segmento o familia; ",""),"")&amp;IF(NOT(ISNUMBER(E367)),"Duración vacía o en texto; ","")&amp;IF(NOT(ISNUMBER(G367)),"Valor vacío o en texto; ","")&amp;IF(ISNUMBER(M367),IF(M367&lt;1000000,"Valor inferior a $1.000.000: verificar; ",""),"Valor no interpretable; ")&amp;IF(N367="[PENDIENTE DE VERIFICAR]","Modalidad no identificable; ","")&amp;IF(OR(ISERROR(SEARCH("@itc.edu.co",J367)),SUMPRODUCT(--ISNUMBER(SEARCH({"á","é","í","ó","ú","ñ"},J367)))&gt;0),"Correo vacío o no institucional válido; ","")&amp;IF(LEN(TRIM(D367))=0,"Sin objeto contractual; ","")&amp;IF(AND(ISNUMBER(M367),N367="Mínima cuantía"),IF(M367&gt;39850000,"Mínima cuantía con valor superior al tope citado en el instructivo 2026 ($39.850.000): verificar modalidad; ",""),"")&amp;IF(AND(ISNUMBER(M367),OR(ISNUMBER(SEARCH("prestación de servicios",D367)),ISNUMBER(SEARCH("prestar servicios",D367)),ISNUMBER(SEARCH("prestar los servicios",D367)))),IF(M367&gt;=500000000,"Prestación de servicios por $500 millones o más: posible error de digitación; ",""),""))=0,"Sin observaciones",IF(OR(NOT(ISNUMBER(B367)),LEN(B367)&lt;&gt;8),"UNSPSC vacío, en texto, con varios códigos o sin 8 dígitos; ","")&amp;IF(AND(ISNUMBER(B367),LEN(B367)=8),IF(MOD(B367,10000)=0,"UNSPSC a nivel de segmento o familia; ",""),"")&amp;IF(NOT(ISNUMBER(E367)),"Duración vacía o en texto; ","")&amp;IF(NOT(ISNUMBER(G367)),"Valor vacío o en texto; ","")&amp;IF(ISNUMBER(M367),IF(M367&lt;1000000,"Valor inferior a $1.000.000: verificar; ",""),"Valor no interpretable; ")&amp;IF(N367="[PENDIENTE DE VERIFICAR]","Modalidad no identificable; ","")&amp;IF(OR(ISERROR(SEARCH("@itc.edu.co",J367)),SUMPRODUCT(--ISNUMBER(SEARCH({"á","é","í","ó","ú","ñ"},J367)))&gt;0),"Correo vacío o no institucional válido; ","")&amp;IF(LEN(TRIM(D367))=0,"Sin objeto contractual; ","")&amp;IF(AND(ISNUMBER(M367),N367="Mínima cuantía"),IF(M367&gt;39850000,"Mínima cuantía con valor superior al tope citado en el instructivo 2026 ($39.850.000): verificar modalidad; ",""),"")&amp;IF(AND(ISNUMBER(M367),OR(ISNUMBER(SEARCH("prestación de servicios",D367)),ISNUMBER(SEARCH("prestar servicios",D367)),ISNUMBER(SEARCH("prestar los servicios",D367)))),IF(M367&gt;=500000000,"Prestación de servicios por $500 millones o más: posible error de digitación; ",""),""))</f>
        <v/>
      </c>
    </row>
    <row r="368" ht="68.40000000000001" customHeight="1" s="23">
      <c r="A368" s="114" t="inlineStr">
        <is>
          <t>PN26-364</t>
        </is>
      </c>
      <c r="B368" s="114" t="n">
        <v>43231513</v>
      </c>
      <c r="C368" s="114" t="inlineStr">
        <is>
          <t>Oficina de relaciones interinstitucionales y de internacionalización</t>
        </is>
      </c>
      <c r="D368" s="114" t="inlineStr">
        <is>
          <t>Interinstitucionales e Internacionalización
Adquisición de una plataforma tecnológica para la gestión de procesos de internacionalización institucional, que permita la administración de movilidad académica entrante y saliente, gestión de convenios internacionales, seguimiento a estudiantes y docentes en intercambio y fortalecimiento de la cooperación académica internacional.</t>
        </is>
      </c>
      <c r="E368" s="114" t="n">
        <v>5</v>
      </c>
      <c r="F368" s="114" t="inlineStr">
        <is>
          <t>Mínima Cuantía</t>
        </is>
      </c>
      <c r="G368" s="118" t="n">
        <v>7000000</v>
      </c>
      <c r="H368" s="114" t="inlineStr">
        <is>
          <t>Profesional Especializado de la ORII</t>
        </is>
      </c>
      <c r="I368" s="114" t="inlineStr">
        <is>
          <t>3443000 Ext 154</t>
        </is>
      </c>
      <c r="J368" s="114" t="inlineStr">
        <is>
          <t>internacionalizacion@itc.edu.co</t>
        </is>
      </c>
      <c r="K368" s="114" t="n"/>
      <c r="L368" s="119" t="inlineStr">
        <is>
          <t>100 · Rectoría</t>
        </is>
      </c>
      <c r="M368" s="120" t="n">
        <v>7000000</v>
      </c>
      <c r="N368" s="119" t="inlineStr">
        <is>
          <t>Mínima cuantía</t>
        </is>
      </c>
      <c r="O368" s="119">
        <f>IF(LEN(IF(OR(NOT(ISNUMBER(B368)),LEN(B368)&lt;&gt;8),"UNSPSC vacío, en texto, con varios códigos o sin 8 dígitos; ","")&amp;IF(AND(ISNUMBER(B368),LEN(B368)=8),IF(MOD(B368,10000)=0,"UNSPSC a nivel de segmento o familia; ",""),"")&amp;IF(NOT(ISNUMBER(E368)),"Duración vacía o en texto; ","")&amp;IF(NOT(ISNUMBER(G368)),"Valor vacío o en texto; ","")&amp;IF(ISNUMBER(M368),IF(M368&lt;1000000,"Valor inferior a $1.000.000: verificar; ",""),"Valor no interpretable; ")&amp;IF(N368="[PENDIENTE DE VERIFICAR]","Modalidad no identificable; ","")&amp;IF(OR(ISERROR(SEARCH("@itc.edu.co",J368)),SUMPRODUCT(--ISNUMBER(SEARCH({"á","é","í","ó","ú","ñ"},J368)))&gt;0),"Correo vacío o no institucional válido; ","")&amp;IF(LEN(TRIM(D368))=0,"Sin objeto contractual; ","")&amp;IF(AND(ISNUMBER(M368),N368="Mínima cuantía"),IF(M368&gt;39850000,"Mínima cuantía con valor superior al tope citado en el instructivo 2026 ($39.850.000): verificar modalidad; ",""),"")&amp;IF(AND(ISNUMBER(M368),OR(ISNUMBER(SEARCH("prestación de servicios",D368)),ISNUMBER(SEARCH("prestar servicios",D368)),ISNUMBER(SEARCH("prestar los servicios",D368)))),IF(M368&gt;=500000000,"Prestación de servicios por $500 millones o más: posible error de digitación; ",""),""))=0,"Sin observaciones",IF(OR(NOT(ISNUMBER(B368)),LEN(B368)&lt;&gt;8),"UNSPSC vacío, en texto, con varios códigos o sin 8 dígitos; ","")&amp;IF(AND(ISNUMBER(B368),LEN(B368)=8),IF(MOD(B368,10000)=0,"UNSPSC a nivel de segmento o familia; ",""),"")&amp;IF(NOT(ISNUMBER(E368)),"Duración vacía o en texto; ","")&amp;IF(NOT(ISNUMBER(G368)),"Valor vacío o en texto; ","")&amp;IF(ISNUMBER(M368),IF(M368&lt;1000000,"Valor inferior a $1.000.000: verificar; ",""),"Valor no interpretable; ")&amp;IF(N368="[PENDIENTE DE VERIFICAR]","Modalidad no identificable; ","")&amp;IF(OR(ISERROR(SEARCH("@itc.edu.co",J368)),SUMPRODUCT(--ISNUMBER(SEARCH({"á","é","í","ó","ú","ñ"},J368)))&gt;0),"Correo vacío o no institucional válido; ","")&amp;IF(LEN(TRIM(D368))=0,"Sin objeto contractual; ","")&amp;IF(AND(ISNUMBER(M368),N368="Mínima cuantía"),IF(M368&gt;39850000,"Mínima cuantía con valor superior al tope citado en el instructivo 2026 ($39.850.000): verificar modalidad; ",""),"")&amp;IF(AND(ISNUMBER(M368),OR(ISNUMBER(SEARCH("prestación de servicios",D368)),ISNUMBER(SEARCH("prestar servicios",D368)),ISNUMBER(SEARCH("prestar los servicios",D368)))),IF(M368&gt;=500000000,"Prestación de servicios por $500 millones o más: posible error de digitación; ",""),""))</f>
        <v/>
      </c>
    </row>
    <row r="369" ht="34.2" customHeight="1" s="23">
      <c r="A369" s="114" t="inlineStr">
        <is>
          <t>PN26-365</t>
        </is>
      </c>
      <c r="B369" s="114" t="n">
        <v>81112210</v>
      </c>
      <c r="C369" s="114" t="inlineStr">
        <is>
          <t>Vicerretoría académica-Sistemas de información Getión Académica</t>
        </is>
      </c>
      <c r="D369" s="114" t="inlineStr">
        <is>
          <t>Adquisición del soporte y las actualizaciones del sistema de información de gestión académico del bachillerato GNOSOFT de la escuela tecnológica instituto técnico central</t>
        </is>
      </c>
      <c r="E369" s="114" t="n">
        <v>12</v>
      </c>
      <c r="F369" s="114" t="inlineStr">
        <is>
          <t>DIRECTA</t>
        </is>
      </c>
      <c r="G369" s="118" t="n">
        <v>38000000</v>
      </c>
      <c r="H369" s="114" t="inlineStr">
        <is>
          <t>Profesional especializado 28-13 Sistemas de información academicos</t>
        </is>
      </c>
      <c r="I369" s="114" t="inlineStr">
        <is>
          <t>3443000 Ext 217</t>
        </is>
      </c>
      <c r="J369" s="114" t="inlineStr">
        <is>
          <t>academusoft@it.edu.co</t>
        </is>
      </c>
      <c r="K369" s="114" t="n"/>
      <c r="L369" s="119" t="inlineStr">
        <is>
          <t>120 · Vicerrectoría Académica</t>
        </is>
      </c>
      <c r="M369" s="120" t="n">
        <v>38000000</v>
      </c>
      <c r="N369" s="119" t="inlineStr">
        <is>
          <t>Contratación directa</t>
        </is>
      </c>
      <c r="O369" s="119">
        <f>IF(LEN(IF(OR(NOT(ISNUMBER(B369)),LEN(B369)&lt;&gt;8),"UNSPSC vacío, en texto, con varios códigos o sin 8 dígitos; ","")&amp;IF(AND(ISNUMBER(B369),LEN(B369)=8),IF(MOD(B369,10000)=0,"UNSPSC a nivel de segmento o familia; ",""),"")&amp;IF(NOT(ISNUMBER(E369)),"Duración vacía o en texto; ","")&amp;IF(NOT(ISNUMBER(G369)),"Valor vacío o en texto; ","")&amp;IF(ISNUMBER(M369),IF(M369&lt;1000000,"Valor inferior a $1.000.000: verificar; ",""),"Valor no interpretable; ")&amp;IF(N369="[PENDIENTE DE VERIFICAR]","Modalidad no identificable; ","")&amp;IF(OR(ISERROR(SEARCH("@itc.edu.co",J369)),SUMPRODUCT(--ISNUMBER(SEARCH({"á","é","í","ó","ú","ñ"},J369)))&gt;0),"Correo vacío o no institucional válido; ","")&amp;IF(LEN(TRIM(D369))=0,"Sin objeto contractual; ","")&amp;IF(AND(ISNUMBER(M369),N369="Mínima cuantía"),IF(M369&gt;39850000,"Mínima cuantía con valor superior al tope citado en el instructivo 2026 ($39.850.000): verificar modalidad; ",""),"")&amp;IF(AND(ISNUMBER(M369),OR(ISNUMBER(SEARCH("prestación de servicios",D369)),ISNUMBER(SEARCH("prestar servicios",D369)),ISNUMBER(SEARCH("prestar los servicios",D369)))),IF(M369&gt;=500000000,"Prestación de servicios por $500 millones o más: posible error de digitación; ",""),""))=0,"Sin observaciones",IF(OR(NOT(ISNUMBER(B369)),LEN(B369)&lt;&gt;8),"UNSPSC vacío, en texto, con varios códigos o sin 8 dígitos; ","")&amp;IF(AND(ISNUMBER(B369),LEN(B369)=8),IF(MOD(B369,10000)=0,"UNSPSC a nivel de segmento o familia; ",""),"")&amp;IF(NOT(ISNUMBER(E369)),"Duración vacía o en texto; ","")&amp;IF(NOT(ISNUMBER(G369)),"Valor vacío o en texto; ","")&amp;IF(ISNUMBER(M369),IF(M369&lt;1000000,"Valor inferior a $1.000.000: verificar; ",""),"Valor no interpretable; ")&amp;IF(N369="[PENDIENTE DE VERIFICAR]","Modalidad no identificable; ","")&amp;IF(OR(ISERROR(SEARCH("@itc.edu.co",J369)),SUMPRODUCT(--ISNUMBER(SEARCH({"á","é","í","ó","ú","ñ"},J369)))&gt;0),"Correo vacío o no institucional válido; ","")&amp;IF(LEN(TRIM(D369))=0,"Sin objeto contractual; ","")&amp;IF(AND(ISNUMBER(M369),N369="Mínima cuantía"),IF(M369&gt;39850000,"Mínima cuantía con valor superior al tope citado en el instructivo 2026 ($39.850.000): verificar modalidad; ",""),"")&amp;IF(AND(ISNUMBER(M369),OR(ISNUMBER(SEARCH("prestación de servicios",D369)),ISNUMBER(SEARCH("prestar servicios",D369)),ISNUMBER(SEARCH("prestar los servicios",D369)))),IF(M369&gt;=500000000,"Prestación de servicios por $500 millones o más: posible error de digitación; ",""),""))</f>
        <v/>
      </c>
    </row>
    <row r="370" ht="34.2" customHeight="1" s="23">
      <c r="A370" s="114" t="inlineStr">
        <is>
          <t>PN26-366</t>
        </is>
      </c>
      <c r="B370" s="114" t="n">
        <v>81112210</v>
      </c>
      <c r="C370" s="114" t="inlineStr">
        <is>
          <t>Vicerretoría académica-Sistemas de información Getión Académica</t>
        </is>
      </c>
      <c r="D370" s="114" t="inlineStr">
        <is>
          <t>Adquisición del soporte y las actualizaciones del sistema de información de gestión académico de los programas de educación superior ACADEMUSOFT de la escuela tecnológica instituto técnico central</t>
        </is>
      </c>
      <c r="E370" s="114" t="n">
        <v>12</v>
      </c>
      <c r="F370" s="114" t="inlineStr">
        <is>
          <t>DIRECTA</t>
        </is>
      </c>
      <c r="G370" s="118" t="inlineStr">
        <is>
          <t>$250.000.000</t>
        </is>
      </c>
      <c r="H370" s="114" t="inlineStr">
        <is>
          <t>Profesional especializado 28-13 Sistemas de información academicos</t>
        </is>
      </c>
      <c r="I370" s="114" t="inlineStr">
        <is>
          <t>3443000 Ext 217</t>
        </is>
      </c>
      <c r="J370" s="114" t="inlineStr">
        <is>
          <t>academusoft@it.edu.co</t>
        </is>
      </c>
      <c r="K370" s="114" t="n"/>
      <c r="L370" s="119" t="inlineStr">
        <is>
          <t>120 · Vicerrectoría Académica</t>
        </is>
      </c>
      <c r="M370" s="120" t="n">
        <v>250000000</v>
      </c>
      <c r="N370" s="119" t="inlineStr">
        <is>
          <t>Contratación directa</t>
        </is>
      </c>
      <c r="O370" s="119">
        <f>IF(LEN(IF(OR(NOT(ISNUMBER(B370)),LEN(B370)&lt;&gt;8),"UNSPSC vacío, en texto, con varios códigos o sin 8 dígitos; ","")&amp;IF(AND(ISNUMBER(B370),LEN(B370)=8),IF(MOD(B370,10000)=0,"UNSPSC a nivel de segmento o familia; ",""),"")&amp;IF(NOT(ISNUMBER(E370)),"Duración vacía o en texto; ","")&amp;IF(NOT(ISNUMBER(G370)),"Valor vacío o en texto; ","")&amp;IF(ISNUMBER(M370),IF(M370&lt;1000000,"Valor inferior a $1.000.000: verificar; ",""),"Valor no interpretable; ")&amp;IF(N370="[PENDIENTE DE VERIFICAR]","Modalidad no identificable; ","")&amp;IF(OR(ISERROR(SEARCH("@itc.edu.co",J370)),SUMPRODUCT(--ISNUMBER(SEARCH({"á","é","í","ó","ú","ñ"},J370)))&gt;0),"Correo vacío o no institucional válido; ","")&amp;IF(LEN(TRIM(D370))=0,"Sin objeto contractual; ","")&amp;IF(AND(ISNUMBER(M370),N370="Mínima cuantía"),IF(M370&gt;39850000,"Mínima cuantía con valor superior al tope citado en el instructivo 2026 ($39.850.000): verificar modalidad; ",""),"")&amp;IF(AND(ISNUMBER(M370),OR(ISNUMBER(SEARCH("prestación de servicios",D370)),ISNUMBER(SEARCH("prestar servicios",D370)),ISNUMBER(SEARCH("prestar los servicios",D370)))),IF(M370&gt;=500000000,"Prestación de servicios por $500 millones o más: posible error de digitación; ",""),""))=0,"Sin observaciones",IF(OR(NOT(ISNUMBER(B370)),LEN(B370)&lt;&gt;8),"UNSPSC vacío, en texto, con varios códigos o sin 8 dígitos; ","")&amp;IF(AND(ISNUMBER(B370),LEN(B370)=8),IF(MOD(B370,10000)=0,"UNSPSC a nivel de segmento o familia; ",""),"")&amp;IF(NOT(ISNUMBER(E370)),"Duración vacía o en texto; ","")&amp;IF(NOT(ISNUMBER(G370)),"Valor vacío o en texto; ","")&amp;IF(ISNUMBER(M370),IF(M370&lt;1000000,"Valor inferior a $1.000.000: verificar; ",""),"Valor no interpretable; ")&amp;IF(N370="[PENDIENTE DE VERIFICAR]","Modalidad no identificable; ","")&amp;IF(OR(ISERROR(SEARCH("@itc.edu.co",J370)),SUMPRODUCT(--ISNUMBER(SEARCH({"á","é","í","ó","ú","ñ"},J370)))&gt;0),"Correo vacío o no institucional válido; ","")&amp;IF(LEN(TRIM(D370))=0,"Sin objeto contractual; ","")&amp;IF(AND(ISNUMBER(M370),N370="Mínima cuantía"),IF(M370&gt;39850000,"Mínima cuantía con valor superior al tope citado en el instructivo 2026 ($39.850.000): verificar modalidad; ",""),"")&amp;IF(AND(ISNUMBER(M370),OR(ISNUMBER(SEARCH("prestación de servicios",D370)),ISNUMBER(SEARCH("prestar servicios",D370)),ISNUMBER(SEARCH("prestar los servicios",D370)))),IF(M370&gt;=500000000,"Prestación de servicios por $500 millones o más: posible error de digitación; ",""),""))</f>
        <v/>
      </c>
    </row>
    <row r="371" ht="34.2" customHeight="1" s="23">
      <c r="A371" s="114" t="inlineStr">
        <is>
          <t>PN26-367</t>
        </is>
      </c>
      <c r="B371" s="114" t="n">
        <v>43211508</v>
      </c>
      <c r="C371" s="114" t="inlineStr">
        <is>
          <t>Oficina de relaciones interinstitucionales y de internacionalización</t>
        </is>
      </c>
      <c r="D371" s="114" t="inlineStr">
        <is>
          <t>Adquisición de equipo de cómputo de escritorio con sus respectivos accesorios y software necesario para apoyar el desarrollo de las actividades administrativas y académicas de la ORII.</t>
        </is>
      </c>
      <c r="E371" s="114" t="n">
        <v>1</v>
      </c>
      <c r="F371" s="114" t="inlineStr">
        <is>
          <t>Mínima Cuantía</t>
        </is>
      </c>
      <c r="G371" s="118" t="n">
        <v>4500000</v>
      </c>
      <c r="H371" s="114" t="inlineStr">
        <is>
          <t>Profesional Especializado de la ORII</t>
        </is>
      </c>
      <c r="I371" s="114" t="inlineStr">
        <is>
          <t>3443000 Ext 154</t>
        </is>
      </c>
      <c r="J371" s="114" t="inlineStr">
        <is>
          <t>internacionalizacion@itc.edu.co</t>
        </is>
      </c>
      <c r="K371" s="114" t="n"/>
      <c r="L371" s="119" t="inlineStr">
        <is>
          <t>100 · Rectoría</t>
        </is>
      </c>
      <c r="M371" s="120" t="n">
        <v>4500000</v>
      </c>
      <c r="N371" s="119" t="inlineStr">
        <is>
          <t>Mínima cuantía</t>
        </is>
      </c>
      <c r="O371" s="119">
        <f>IF(LEN(IF(OR(NOT(ISNUMBER(B371)),LEN(B371)&lt;&gt;8),"UNSPSC vacío, en texto, con varios códigos o sin 8 dígitos; ","")&amp;IF(AND(ISNUMBER(B371),LEN(B371)=8),IF(MOD(B371,10000)=0,"UNSPSC a nivel de segmento o familia; ",""),"")&amp;IF(NOT(ISNUMBER(E371)),"Duración vacía o en texto; ","")&amp;IF(NOT(ISNUMBER(G371)),"Valor vacío o en texto; ","")&amp;IF(ISNUMBER(M371),IF(M371&lt;1000000,"Valor inferior a $1.000.000: verificar; ",""),"Valor no interpretable; ")&amp;IF(N371="[PENDIENTE DE VERIFICAR]","Modalidad no identificable; ","")&amp;IF(OR(ISERROR(SEARCH("@itc.edu.co",J371)),SUMPRODUCT(--ISNUMBER(SEARCH({"á","é","í","ó","ú","ñ"},J371)))&gt;0),"Correo vacío o no institucional válido; ","")&amp;IF(LEN(TRIM(D371))=0,"Sin objeto contractual; ","")&amp;IF(AND(ISNUMBER(M371),N371="Mínima cuantía"),IF(M371&gt;39850000,"Mínima cuantía con valor superior al tope citado en el instructivo 2026 ($39.850.000): verificar modalidad; ",""),"")&amp;IF(AND(ISNUMBER(M371),OR(ISNUMBER(SEARCH("prestación de servicios",D371)),ISNUMBER(SEARCH("prestar servicios",D371)),ISNUMBER(SEARCH("prestar los servicios",D371)))),IF(M371&gt;=500000000,"Prestación de servicios por $500 millones o más: posible error de digitación; ",""),""))=0,"Sin observaciones",IF(OR(NOT(ISNUMBER(B371)),LEN(B371)&lt;&gt;8),"UNSPSC vacío, en texto, con varios códigos o sin 8 dígitos; ","")&amp;IF(AND(ISNUMBER(B371),LEN(B371)=8),IF(MOD(B371,10000)=0,"UNSPSC a nivel de segmento o familia; ",""),"")&amp;IF(NOT(ISNUMBER(E371)),"Duración vacía o en texto; ","")&amp;IF(NOT(ISNUMBER(G371)),"Valor vacío o en texto; ","")&amp;IF(ISNUMBER(M371),IF(M371&lt;1000000,"Valor inferior a $1.000.000: verificar; ",""),"Valor no interpretable; ")&amp;IF(N371="[PENDIENTE DE VERIFICAR]","Modalidad no identificable; ","")&amp;IF(OR(ISERROR(SEARCH("@itc.edu.co",J371)),SUMPRODUCT(--ISNUMBER(SEARCH({"á","é","í","ó","ú","ñ"},J371)))&gt;0),"Correo vacío o no institucional válido; ","")&amp;IF(LEN(TRIM(D371))=0,"Sin objeto contractual; ","")&amp;IF(AND(ISNUMBER(M371),N371="Mínima cuantía"),IF(M371&gt;39850000,"Mínima cuantía con valor superior al tope citado en el instructivo 2026 ($39.850.000): verificar modalidad; ",""),"")&amp;IF(AND(ISNUMBER(M371),OR(ISNUMBER(SEARCH("prestación de servicios",D371)),ISNUMBER(SEARCH("prestar servicios",D371)),ISNUMBER(SEARCH("prestar los servicios",D371)))),IF(M371&gt;=500000000,"Prestación de servicios por $500 millones o más: posible error de digitación; ",""),""))</f>
        <v/>
      </c>
    </row>
    <row r="372" ht="34.2" customHeight="1" s="23">
      <c r="A372" s="114" t="inlineStr">
        <is>
          <t>PN26-368</t>
        </is>
      </c>
      <c r="B372" s="114" t="n">
        <v>43212105</v>
      </c>
      <c r="C372" s="114" t="inlineStr">
        <is>
          <t>Oficina de relaciones interinstitucionales y de internacionalización</t>
        </is>
      </c>
      <c r="D372" s="114" t="inlineStr">
        <is>
          <t>Adquisición de impresora multifuncional para apoyar los procesos administrativos y operativos de la ORII, incluyendo impresión, escaneo y copiado de documentos institucionales.</t>
        </is>
      </c>
      <c r="E372" s="114" t="n">
        <v>1</v>
      </c>
      <c r="F372" s="114" t="inlineStr">
        <is>
          <t>Mínima Cuantía</t>
        </is>
      </c>
      <c r="G372" s="118" t="n">
        <v>1500000</v>
      </c>
      <c r="H372" s="114" t="inlineStr">
        <is>
          <t>Profesional Especializado de la ORII</t>
        </is>
      </c>
      <c r="I372" s="114" t="inlineStr">
        <is>
          <t>3443000 Ext 154</t>
        </is>
      </c>
      <c r="J372" s="114" t="inlineStr">
        <is>
          <t>internacionalizacion@itc.edu.co</t>
        </is>
      </c>
      <c r="K372" s="114" t="n"/>
      <c r="L372" s="119" t="inlineStr">
        <is>
          <t>100 · Rectoría</t>
        </is>
      </c>
      <c r="M372" s="120" t="n">
        <v>1500000</v>
      </c>
      <c r="N372" s="119" t="inlineStr">
        <is>
          <t>Mínima cuantía</t>
        </is>
      </c>
      <c r="O372" s="119">
        <f>IF(LEN(IF(OR(NOT(ISNUMBER(B372)),LEN(B372)&lt;&gt;8),"UNSPSC vacío, en texto, con varios códigos o sin 8 dígitos; ","")&amp;IF(AND(ISNUMBER(B372),LEN(B372)=8),IF(MOD(B372,10000)=0,"UNSPSC a nivel de segmento o familia; ",""),"")&amp;IF(NOT(ISNUMBER(E372)),"Duración vacía o en texto; ","")&amp;IF(NOT(ISNUMBER(G372)),"Valor vacío o en texto; ","")&amp;IF(ISNUMBER(M372),IF(M372&lt;1000000,"Valor inferior a $1.000.000: verificar; ",""),"Valor no interpretable; ")&amp;IF(N372="[PENDIENTE DE VERIFICAR]","Modalidad no identificable; ","")&amp;IF(OR(ISERROR(SEARCH("@itc.edu.co",J372)),SUMPRODUCT(--ISNUMBER(SEARCH({"á","é","í","ó","ú","ñ"},J372)))&gt;0),"Correo vacío o no institucional válido; ","")&amp;IF(LEN(TRIM(D372))=0,"Sin objeto contractual; ","")&amp;IF(AND(ISNUMBER(M372),N372="Mínima cuantía"),IF(M372&gt;39850000,"Mínima cuantía con valor superior al tope citado en el instructivo 2026 ($39.850.000): verificar modalidad; ",""),"")&amp;IF(AND(ISNUMBER(M372),OR(ISNUMBER(SEARCH("prestación de servicios",D372)),ISNUMBER(SEARCH("prestar servicios",D372)),ISNUMBER(SEARCH("prestar los servicios",D372)))),IF(M372&gt;=500000000,"Prestación de servicios por $500 millones o más: posible error de digitación; ",""),""))=0,"Sin observaciones",IF(OR(NOT(ISNUMBER(B372)),LEN(B372)&lt;&gt;8),"UNSPSC vacío, en texto, con varios códigos o sin 8 dígitos; ","")&amp;IF(AND(ISNUMBER(B372),LEN(B372)=8),IF(MOD(B372,10000)=0,"UNSPSC a nivel de segmento o familia; ",""),"")&amp;IF(NOT(ISNUMBER(E372)),"Duración vacía o en texto; ","")&amp;IF(NOT(ISNUMBER(G372)),"Valor vacío o en texto; ","")&amp;IF(ISNUMBER(M372),IF(M372&lt;1000000,"Valor inferior a $1.000.000: verificar; ",""),"Valor no interpretable; ")&amp;IF(N372="[PENDIENTE DE VERIFICAR]","Modalidad no identificable; ","")&amp;IF(OR(ISERROR(SEARCH("@itc.edu.co",J372)),SUMPRODUCT(--ISNUMBER(SEARCH({"á","é","í","ó","ú","ñ"},J372)))&gt;0),"Correo vacío o no institucional válido; ","")&amp;IF(LEN(TRIM(D372))=0,"Sin objeto contractual; ","")&amp;IF(AND(ISNUMBER(M372),N372="Mínima cuantía"),IF(M372&gt;39850000,"Mínima cuantía con valor superior al tope citado en el instructivo 2026 ($39.850.000): verificar modalidad; ",""),"")&amp;IF(AND(ISNUMBER(M372),OR(ISNUMBER(SEARCH("prestación de servicios",D372)),ISNUMBER(SEARCH("prestar servicios",D372)),ISNUMBER(SEARCH("prestar los servicios",D372)))),IF(M372&gt;=500000000,"Prestación de servicios por $500 millones o más: posible error de digitación; ",""),""))</f>
        <v/>
      </c>
    </row>
    <row r="373" ht="34.2" customHeight="1" s="23">
      <c r="A373" s="114" t="inlineStr">
        <is>
          <t>PN26-369</t>
        </is>
      </c>
      <c r="B373" s="114" t="n">
        <v>80141600</v>
      </c>
      <c r="C373" s="114" t="inlineStr">
        <is>
          <t>Oficina de relaciones interinstitucionales y de internacionalización</t>
        </is>
      </c>
      <c r="D373" s="114" t="inlineStr">
        <is>
          <t>Gestión y financiación de movilidades académicas nacionales e internacionales (salientes y entrantes) para estudiantes, docentes e investigadores durante la vigencia 2026</t>
        </is>
      </c>
      <c r="E373" s="114" t="n">
        <v>12</v>
      </c>
      <c r="F373" s="114" t="n"/>
      <c r="G373" s="118" t="n">
        <v>1126241090</v>
      </c>
      <c r="H373" s="114" t="inlineStr">
        <is>
          <t>Profesional Especializado de la ORII</t>
        </is>
      </c>
      <c r="I373" s="114" t="inlineStr">
        <is>
          <t>3443000 Ext 154</t>
        </is>
      </c>
      <c r="J373" s="114" t="inlineStr">
        <is>
          <t>internacionalizacion@itc.edu.co</t>
        </is>
      </c>
      <c r="K373" s="114" t="n"/>
      <c r="L373" s="119" t="inlineStr">
        <is>
          <t>100 · Rectoría</t>
        </is>
      </c>
      <c r="M373" s="120" t="n">
        <v>1126241090</v>
      </c>
      <c r="N373" s="119" t="inlineStr">
        <is>
          <t>[PENDIENTE DE VERIFICAR]</t>
        </is>
      </c>
      <c r="O373" s="119">
        <f>IF(LEN(IF(OR(NOT(ISNUMBER(B373)),LEN(B373)&lt;&gt;8),"UNSPSC vacío, en texto, con varios códigos o sin 8 dígitos; ","")&amp;IF(AND(ISNUMBER(B373),LEN(B373)=8),IF(MOD(B373,10000)=0,"UNSPSC a nivel de segmento o familia; ",""),"")&amp;IF(NOT(ISNUMBER(E373)),"Duración vacía o en texto; ","")&amp;IF(NOT(ISNUMBER(G373)),"Valor vacío o en texto; ","")&amp;IF(ISNUMBER(M373),IF(M373&lt;1000000,"Valor inferior a $1.000.000: verificar; ",""),"Valor no interpretable; ")&amp;IF(N373="[PENDIENTE DE VERIFICAR]","Modalidad no identificable; ","")&amp;IF(OR(ISERROR(SEARCH("@itc.edu.co",J373)),SUMPRODUCT(--ISNUMBER(SEARCH({"á","é","í","ó","ú","ñ"},J373)))&gt;0),"Correo vacío o no institucional válido; ","")&amp;IF(LEN(TRIM(D373))=0,"Sin objeto contractual; ","")&amp;IF(AND(ISNUMBER(M373),N373="Mínima cuantía"),IF(M373&gt;39850000,"Mínima cuantía con valor superior al tope citado en el instructivo 2026 ($39.850.000): verificar modalidad; ",""),"")&amp;IF(AND(ISNUMBER(M373),OR(ISNUMBER(SEARCH("prestación de servicios",D373)),ISNUMBER(SEARCH("prestar servicios",D373)),ISNUMBER(SEARCH("prestar los servicios",D373)))),IF(M373&gt;=500000000,"Prestación de servicios por $500 millones o más: posible error de digitación; ",""),""))=0,"Sin observaciones",IF(OR(NOT(ISNUMBER(B373)),LEN(B373)&lt;&gt;8),"UNSPSC vacío, en texto, con varios códigos o sin 8 dígitos; ","")&amp;IF(AND(ISNUMBER(B373),LEN(B373)=8),IF(MOD(B373,10000)=0,"UNSPSC a nivel de segmento o familia; ",""),"")&amp;IF(NOT(ISNUMBER(E373)),"Duración vacía o en texto; ","")&amp;IF(NOT(ISNUMBER(G373)),"Valor vacío o en texto; ","")&amp;IF(ISNUMBER(M373),IF(M373&lt;1000000,"Valor inferior a $1.000.000: verificar; ",""),"Valor no interpretable; ")&amp;IF(N373="[PENDIENTE DE VERIFICAR]","Modalidad no identificable; ","")&amp;IF(OR(ISERROR(SEARCH("@itc.edu.co",J373)),SUMPRODUCT(--ISNUMBER(SEARCH({"á","é","í","ó","ú","ñ"},J373)))&gt;0),"Correo vacío o no institucional válido; ","")&amp;IF(LEN(TRIM(D373))=0,"Sin objeto contractual; ","")&amp;IF(AND(ISNUMBER(M373),N373="Mínima cuantía"),IF(M373&gt;39850000,"Mínima cuantía con valor superior al tope citado en el instructivo 2026 ($39.850.000): verificar modalidad; ",""),"")&amp;IF(AND(ISNUMBER(M373),OR(ISNUMBER(SEARCH("prestación de servicios",D373)),ISNUMBER(SEARCH("prestar servicios",D373)),ISNUMBER(SEARCH("prestar los servicios",D373)))),IF(M373&gt;=500000000,"Prestación de servicios por $500 millones o más: posible error de digitación; ",""),""))</f>
        <v/>
      </c>
    </row>
    <row r="374" ht="34.2" customHeight="1" s="23">
      <c r="A374" s="114" t="inlineStr">
        <is>
          <t>PN26-370</t>
        </is>
      </c>
      <c r="B374" s="114" t="n">
        <v>78111500</v>
      </c>
      <c r="C374" s="114" t="inlineStr">
        <is>
          <t>Oficina de relaciones interinstitucionales y de internacionalización</t>
        </is>
      </c>
      <c r="D374" s="114" t="inlineStr">
        <is>
          <t>Suministro de tiquetes aéreos nacionales e internacionales para el desarrollo de movilidades académicas, científicas e institucionales 2026, incluyendo reservas, cambios y cancelaciones.</t>
        </is>
      </c>
      <c r="E374" s="114" t="n">
        <v>12</v>
      </c>
      <c r="F374" s="114" t="n"/>
      <c r="G374" s="118" t="n">
        <v>259850000</v>
      </c>
      <c r="H374" s="114" t="inlineStr">
        <is>
          <t>Profesional Especializado de la ORII</t>
        </is>
      </c>
      <c r="I374" s="114" t="inlineStr">
        <is>
          <t>3443000 Ext 154</t>
        </is>
      </c>
      <c r="J374" s="114" t="inlineStr">
        <is>
          <t>internacionalizacion@itc.edu.co</t>
        </is>
      </c>
      <c r="K374" s="114" t="n"/>
      <c r="L374" s="119" t="inlineStr">
        <is>
          <t>100 · Rectoría</t>
        </is>
      </c>
      <c r="M374" s="120" t="n">
        <v>259850000</v>
      </c>
      <c r="N374" s="119" t="inlineStr">
        <is>
          <t>[PENDIENTE DE VERIFICAR]</t>
        </is>
      </c>
      <c r="O374" s="119">
        <f>IF(LEN(IF(OR(NOT(ISNUMBER(B374)),LEN(B374)&lt;&gt;8),"UNSPSC vacío, en texto, con varios códigos o sin 8 dígitos; ","")&amp;IF(AND(ISNUMBER(B374),LEN(B374)=8),IF(MOD(B374,10000)=0,"UNSPSC a nivel de segmento o familia; ",""),"")&amp;IF(NOT(ISNUMBER(E374)),"Duración vacía o en texto; ","")&amp;IF(NOT(ISNUMBER(G374)),"Valor vacío o en texto; ","")&amp;IF(ISNUMBER(M374),IF(M374&lt;1000000,"Valor inferior a $1.000.000: verificar; ",""),"Valor no interpretable; ")&amp;IF(N374="[PENDIENTE DE VERIFICAR]","Modalidad no identificable; ","")&amp;IF(OR(ISERROR(SEARCH("@itc.edu.co",J374)),SUMPRODUCT(--ISNUMBER(SEARCH({"á","é","í","ó","ú","ñ"},J374)))&gt;0),"Correo vacío o no institucional válido; ","")&amp;IF(LEN(TRIM(D374))=0,"Sin objeto contractual; ","")&amp;IF(AND(ISNUMBER(M374),N374="Mínima cuantía"),IF(M374&gt;39850000,"Mínima cuantía con valor superior al tope citado en el instructivo 2026 ($39.850.000): verificar modalidad; ",""),"")&amp;IF(AND(ISNUMBER(M374),OR(ISNUMBER(SEARCH("prestación de servicios",D374)),ISNUMBER(SEARCH("prestar servicios",D374)),ISNUMBER(SEARCH("prestar los servicios",D374)))),IF(M374&gt;=500000000,"Prestación de servicios por $500 millones o más: posible error de digitación; ",""),""))=0,"Sin observaciones",IF(OR(NOT(ISNUMBER(B374)),LEN(B374)&lt;&gt;8),"UNSPSC vacío, en texto, con varios códigos o sin 8 dígitos; ","")&amp;IF(AND(ISNUMBER(B374),LEN(B374)=8),IF(MOD(B374,10000)=0,"UNSPSC a nivel de segmento o familia; ",""),"")&amp;IF(NOT(ISNUMBER(E374)),"Duración vacía o en texto; ","")&amp;IF(NOT(ISNUMBER(G374)),"Valor vacío o en texto; ","")&amp;IF(ISNUMBER(M374),IF(M374&lt;1000000,"Valor inferior a $1.000.000: verificar; ",""),"Valor no interpretable; ")&amp;IF(N374="[PENDIENTE DE VERIFICAR]","Modalidad no identificable; ","")&amp;IF(OR(ISERROR(SEARCH("@itc.edu.co",J374)),SUMPRODUCT(--ISNUMBER(SEARCH({"á","é","í","ó","ú","ñ"},J374)))&gt;0),"Correo vacío o no institucional válido; ","")&amp;IF(LEN(TRIM(D374))=0,"Sin objeto contractual; ","")&amp;IF(AND(ISNUMBER(M374),N374="Mínima cuantía"),IF(M374&gt;39850000,"Mínima cuantía con valor superior al tope citado en el instructivo 2026 ($39.850.000): verificar modalidad; ",""),"")&amp;IF(AND(ISNUMBER(M374),OR(ISNUMBER(SEARCH("prestación de servicios",D374)),ISNUMBER(SEARCH("prestar servicios",D374)),ISNUMBER(SEARCH("prestar los servicios",D374)))),IF(M374&gt;=500000000,"Prestación de servicios por $500 millones o más: posible error de digitación; ",""),""))</f>
        <v/>
      </c>
    </row>
    <row r="375" ht="57" customHeight="1" s="23">
      <c r="A375" s="114" t="inlineStr">
        <is>
          <t>PN26-371</t>
        </is>
      </c>
      <c r="B375" s="114" t="n">
        <v>81111803</v>
      </c>
      <c r="C375" s="114" t="inlineStr">
        <is>
          <t>Gestión Tecnología e Informática</t>
        </is>
      </c>
      <c r="D375" s="114" t="inlineStr">
        <is>
          <t>PRESTACIÓN DE SERVICIOS PROFESIONALES CON DISPONIBILIDAD 7 X 24 EN EL ÁREA DE INFORMÁTICA Y TELECOMUNICACIONES PARA GARANTIZAR LA DISPONIBILIDAD DE LA INFRAESTRUCTURA TECNOLÓGICA Y DE LOS SERVICIOS ACADÉMICOS Y ADMINISTRATIVOS DE LA ETITC.</t>
        </is>
      </c>
      <c r="E375" s="114" t="n">
        <v>12</v>
      </c>
      <c r="F375" s="114" t="inlineStr">
        <is>
          <t>Directa</t>
        </is>
      </c>
      <c r="G375" s="118" t="n">
        <v>61944912</v>
      </c>
      <c r="H375" s="114" t="inlineStr">
        <is>
          <t>Profesional Especializado de la oficina de Gestión de TI</t>
        </is>
      </c>
      <c r="I375" s="114" t="inlineStr">
        <is>
          <t xml:space="preserve">3443000 Ext </t>
        </is>
      </c>
      <c r="J375" s="114" t="inlineStr">
        <is>
          <t>gestionit@itc.edu.co</t>
        </is>
      </c>
      <c r="K375" s="114" t="n"/>
      <c r="L375" s="119" t="inlineStr">
        <is>
          <t>132 · GIT Gestión de Informática y Telecomunicaciones</t>
        </is>
      </c>
      <c r="M375" s="120" t="n">
        <v>61944912</v>
      </c>
      <c r="N375" s="119" t="inlineStr">
        <is>
          <t>Contratación directa</t>
        </is>
      </c>
      <c r="O375" s="119">
        <f>IF(LEN(IF(OR(NOT(ISNUMBER(B375)),LEN(B375)&lt;&gt;8),"UNSPSC vacío, en texto, con varios códigos o sin 8 dígitos; ","")&amp;IF(AND(ISNUMBER(B375),LEN(B375)=8),IF(MOD(B375,10000)=0,"UNSPSC a nivel de segmento o familia; ",""),"")&amp;IF(NOT(ISNUMBER(E375)),"Duración vacía o en texto; ","")&amp;IF(NOT(ISNUMBER(G375)),"Valor vacío o en texto; ","")&amp;IF(ISNUMBER(M375),IF(M375&lt;1000000,"Valor inferior a $1.000.000: verificar; ",""),"Valor no interpretable; ")&amp;IF(N375="[PENDIENTE DE VERIFICAR]","Modalidad no identificable; ","")&amp;IF(OR(ISERROR(SEARCH("@itc.edu.co",J375)),SUMPRODUCT(--ISNUMBER(SEARCH({"á","é","í","ó","ú","ñ"},J375)))&gt;0),"Correo vacío o no institucional válido; ","")&amp;IF(LEN(TRIM(D375))=0,"Sin objeto contractual; ","")&amp;IF(AND(ISNUMBER(M375),N375="Mínima cuantía"),IF(M375&gt;39850000,"Mínima cuantía con valor superior al tope citado en el instructivo 2026 ($39.850.000): verificar modalidad; ",""),"")&amp;IF(AND(ISNUMBER(M375),OR(ISNUMBER(SEARCH("prestación de servicios",D375)),ISNUMBER(SEARCH("prestar servicios",D375)),ISNUMBER(SEARCH("prestar los servicios",D375)))),IF(M375&gt;=500000000,"Prestación de servicios por $500 millones o más: posible error de digitación; ",""),""))=0,"Sin observaciones",IF(OR(NOT(ISNUMBER(B375)),LEN(B375)&lt;&gt;8),"UNSPSC vacío, en texto, con varios códigos o sin 8 dígitos; ","")&amp;IF(AND(ISNUMBER(B375),LEN(B375)=8),IF(MOD(B375,10000)=0,"UNSPSC a nivel de segmento o familia; ",""),"")&amp;IF(NOT(ISNUMBER(E375)),"Duración vacía o en texto; ","")&amp;IF(NOT(ISNUMBER(G375)),"Valor vacío o en texto; ","")&amp;IF(ISNUMBER(M375),IF(M375&lt;1000000,"Valor inferior a $1.000.000: verificar; ",""),"Valor no interpretable; ")&amp;IF(N375="[PENDIENTE DE VERIFICAR]","Modalidad no identificable; ","")&amp;IF(OR(ISERROR(SEARCH("@itc.edu.co",J375)),SUMPRODUCT(--ISNUMBER(SEARCH({"á","é","í","ó","ú","ñ"},J375)))&gt;0),"Correo vacío o no institucional válido; ","")&amp;IF(LEN(TRIM(D375))=0,"Sin objeto contractual; ","")&amp;IF(AND(ISNUMBER(M375),N375="Mínima cuantía"),IF(M375&gt;39850000,"Mínima cuantía con valor superior al tope citado en el instructivo 2026 ($39.850.000): verificar modalidad; ",""),"")&amp;IF(AND(ISNUMBER(M375),OR(ISNUMBER(SEARCH("prestación de servicios",D375)),ISNUMBER(SEARCH("prestar servicios",D375)),ISNUMBER(SEARCH("prestar los servicios",D375)))),IF(M375&gt;=500000000,"Prestación de servicios por $500 millones o más: posible error de digitación; ",""),""))</f>
        <v/>
      </c>
    </row>
    <row r="376" ht="57" customHeight="1" s="23">
      <c r="A376" s="114" t="inlineStr">
        <is>
          <t>PN26-372</t>
        </is>
      </c>
      <c r="B376" s="114" t="n">
        <v>81112215</v>
      </c>
      <c r="C376" s="114" t="inlineStr">
        <is>
          <t>Gestión Tecnología e Informática</t>
        </is>
      </c>
      <c r="D376" s="114" t="inlineStr">
        <is>
          <t>PRESTACIÓN DE SERVICIOS PROFESIONALES ESPECIALIZADOS EN EL ÁREA DE INFORMÁTICA Y TELECOMUNICACIONES PARA ADMINISTRAR Y GARANTIZAR LA DISPONIBILIDAD DE LA PLATAFORMA MOODLE LMS (CAMPUS VIRTUAL) Y TODOS SUS COMPONENTES COMO APOYO A LAS ACTIVIDADES ACADÉMICAS Y ADMINISTRATIVAS DE LA ETITC.</t>
        </is>
      </c>
      <c r="E376" s="114" t="n">
        <v>12</v>
      </c>
      <c r="F376" s="114" t="inlineStr">
        <is>
          <t>Directa</t>
        </is>
      </c>
      <c r="G376" s="118" t="n">
        <v>61944912</v>
      </c>
      <c r="H376" s="114" t="inlineStr">
        <is>
          <t>Profesional Especializado de la oficina de Gestión de TI</t>
        </is>
      </c>
      <c r="I376" s="114" t="inlineStr">
        <is>
          <t xml:space="preserve">3443000 Ext </t>
        </is>
      </c>
      <c r="J376" s="114" t="inlineStr">
        <is>
          <t>gestionit@itc.edu.co</t>
        </is>
      </c>
      <c r="K376" s="114" t="n"/>
      <c r="L376" s="119" t="inlineStr">
        <is>
          <t>132 · GIT Gestión de Informática y Telecomunicaciones</t>
        </is>
      </c>
      <c r="M376" s="120" t="n">
        <v>61944912</v>
      </c>
      <c r="N376" s="119" t="inlineStr">
        <is>
          <t>Contratación directa</t>
        </is>
      </c>
      <c r="O376" s="119">
        <f>IF(LEN(IF(OR(NOT(ISNUMBER(B376)),LEN(B376)&lt;&gt;8),"UNSPSC vacío, en texto, con varios códigos o sin 8 dígitos; ","")&amp;IF(AND(ISNUMBER(B376),LEN(B376)=8),IF(MOD(B376,10000)=0,"UNSPSC a nivel de segmento o familia; ",""),"")&amp;IF(NOT(ISNUMBER(E376)),"Duración vacía o en texto; ","")&amp;IF(NOT(ISNUMBER(G376)),"Valor vacío o en texto; ","")&amp;IF(ISNUMBER(M376),IF(M376&lt;1000000,"Valor inferior a $1.000.000: verificar; ",""),"Valor no interpretable; ")&amp;IF(N376="[PENDIENTE DE VERIFICAR]","Modalidad no identificable; ","")&amp;IF(OR(ISERROR(SEARCH("@itc.edu.co",J376)),SUMPRODUCT(--ISNUMBER(SEARCH({"á","é","í","ó","ú","ñ"},J376)))&gt;0),"Correo vacío o no institucional válido; ","")&amp;IF(LEN(TRIM(D376))=0,"Sin objeto contractual; ","")&amp;IF(AND(ISNUMBER(M376),N376="Mínima cuantía"),IF(M376&gt;39850000,"Mínima cuantía con valor superior al tope citado en el instructivo 2026 ($39.850.000): verificar modalidad; ",""),"")&amp;IF(AND(ISNUMBER(M376),OR(ISNUMBER(SEARCH("prestación de servicios",D376)),ISNUMBER(SEARCH("prestar servicios",D376)),ISNUMBER(SEARCH("prestar los servicios",D376)))),IF(M376&gt;=500000000,"Prestación de servicios por $500 millones o más: posible error de digitación; ",""),""))=0,"Sin observaciones",IF(OR(NOT(ISNUMBER(B376)),LEN(B376)&lt;&gt;8),"UNSPSC vacío, en texto, con varios códigos o sin 8 dígitos; ","")&amp;IF(AND(ISNUMBER(B376),LEN(B376)=8),IF(MOD(B376,10000)=0,"UNSPSC a nivel de segmento o familia; ",""),"")&amp;IF(NOT(ISNUMBER(E376)),"Duración vacía o en texto; ","")&amp;IF(NOT(ISNUMBER(G376)),"Valor vacío o en texto; ","")&amp;IF(ISNUMBER(M376),IF(M376&lt;1000000,"Valor inferior a $1.000.000: verificar; ",""),"Valor no interpretable; ")&amp;IF(N376="[PENDIENTE DE VERIFICAR]","Modalidad no identificable; ","")&amp;IF(OR(ISERROR(SEARCH("@itc.edu.co",J376)),SUMPRODUCT(--ISNUMBER(SEARCH({"á","é","í","ó","ú","ñ"},J376)))&gt;0),"Correo vacío o no institucional válido; ","")&amp;IF(LEN(TRIM(D376))=0,"Sin objeto contractual; ","")&amp;IF(AND(ISNUMBER(M376),N376="Mínima cuantía"),IF(M376&gt;39850000,"Mínima cuantía con valor superior al tope citado en el instructivo 2026 ($39.850.000): verificar modalidad; ",""),"")&amp;IF(AND(ISNUMBER(M376),OR(ISNUMBER(SEARCH("prestación de servicios",D376)),ISNUMBER(SEARCH("prestar servicios",D376)),ISNUMBER(SEARCH("prestar los servicios",D376)))),IF(M376&gt;=500000000,"Prestación de servicios por $500 millones o más: posible error de digitación; ",""),""))</f>
        <v/>
      </c>
    </row>
    <row r="377" ht="45.6" customHeight="1" s="23">
      <c r="A377" s="114" t="inlineStr">
        <is>
          <t>PN26-373</t>
        </is>
      </c>
      <c r="B377" s="114" t="n">
        <v>81112205</v>
      </c>
      <c r="C377" s="114" t="inlineStr">
        <is>
          <t>Gestión Tecnología e Informática</t>
        </is>
      </c>
      <c r="D377" s="114" t="inlineStr">
        <is>
          <t xml:space="preserve">PRESTACIÓN DE SERVICIOS PROFESIONALES EN EL ÁREA DE INFORMÁTICA Y TELECOMUNICACIONES PARA LA ADMINISTRACIÓN DE LOS SISTEMAS DE INFORMACIÓN Y LAS BASES DE DATOS DE LA ETITC
</t>
        </is>
      </c>
      <c r="E377" s="114" t="n">
        <v>12</v>
      </c>
      <c r="F377" s="114" t="inlineStr">
        <is>
          <t>Directa</t>
        </is>
      </c>
      <c r="G377" s="118" t="inlineStr">
        <is>
          <t xml:space="preserve">
51029316</t>
        </is>
      </c>
      <c r="H377" s="114" t="inlineStr">
        <is>
          <t>Profesional Especializado de la oficina de Gestión de TI</t>
        </is>
      </c>
      <c r="I377" s="114" t="inlineStr">
        <is>
          <t xml:space="preserve">3443000 Ext </t>
        </is>
      </c>
      <c r="J377" s="114" t="inlineStr">
        <is>
          <t>gestionit@itc.edu.co</t>
        </is>
      </c>
      <c r="K377" s="114" t="n"/>
      <c r="L377" s="119" t="inlineStr">
        <is>
          <t>132 · GIT Gestión de Informática y Telecomunicaciones</t>
        </is>
      </c>
      <c r="M377" s="120" t="n">
        <v>51029316</v>
      </c>
      <c r="N377" s="119" t="inlineStr">
        <is>
          <t>Contratación directa</t>
        </is>
      </c>
      <c r="O377" s="119">
        <f>IF(LEN(IF(OR(NOT(ISNUMBER(B377)),LEN(B377)&lt;&gt;8),"UNSPSC vacío, en texto, con varios códigos o sin 8 dígitos; ","")&amp;IF(AND(ISNUMBER(B377),LEN(B377)=8),IF(MOD(B377,10000)=0,"UNSPSC a nivel de segmento o familia; ",""),"")&amp;IF(NOT(ISNUMBER(E377)),"Duración vacía o en texto; ","")&amp;IF(NOT(ISNUMBER(G377)),"Valor vacío o en texto; ","")&amp;IF(ISNUMBER(M377),IF(M377&lt;1000000,"Valor inferior a $1.000.000: verificar; ",""),"Valor no interpretable; ")&amp;IF(N377="[PENDIENTE DE VERIFICAR]","Modalidad no identificable; ","")&amp;IF(OR(ISERROR(SEARCH("@itc.edu.co",J377)),SUMPRODUCT(--ISNUMBER(SEARCH({"á","é","í","ó","ú","ñ"},J377)))&gt;0),"Correo vacío o no institucional válido; ","")&amp;IF(LEN(TRIM(D377))=0,"Sin objeto contractual; ","")&amp;IF(AND(ISNUMBER(M377),N377="Mínima cuantía"),IF(M377&gt;39850000,"Mínima cuantía con valor superior al tope citado en el instructivo 2026 ($39.850.000): verificar modalidad; ",""),"")&amp;IF(AND(ISNUMBER(M377),OR(ISNUMBER(SEARCH("prestación de servicios",D377)),ISNUMBER(SEARCH("prestar servicios",D377)),ISNUMBER(SEARCH("prestar los servicios",D377)))),IF(M377&gt;=500000000,"Prestación de servicios por $500 millones o más: posible error de digitación; ",""),""))=0,"Sin observaciones",IF(OR(NOT(ISNUMBER(B377)),LEN(B377)&lt;&gt;8),"UNSPSC vacío, en texto, con varios códigos o sin 8 dígitos; ","")&amp;IF(AND(ISNUMBER(B377),LEN(B377)=8),IF(MOD(B377,10000)=0,"UNSPSC a nivel de segmento o familia; ",""),"")&amp;IF(NOT(ISNUMBER(E377)),"Duración vacía o en texto; ","")&amp;IF(NOT(ISNUMBER(G377)),"Valor vacío o en texto; ","")&amp;IF(ISNUMBER(M377),IF(M377&lt;1000000,"Valor inferior a $1.000.000: verificar; ",""),"Valor no interpretable; ")&amp;IF(N377="[PENDIENTE DE VERIFICAR]","Modalidad no identificable; ","")&amp;IF(OR(ISERROR(SEARCH("@itc.edu.co",J377)),SUMPRODUCT(--ISNUMBER(SEARCH({"á","é","í","ó","ú","ñ"},J377)))&gt;0),"Correo vacío o no institucional válido; ","")&amp;IF(LEN(TRIM(D377))=0,"Sin objeto contractual; ","")&amp;IF(AND(ISNUMBER(M377),N377="Mínima cuantía"),IF(M377&gt;39850000,"Mínima cuantía con valor superior al tope citado en el instructivo 2026 ($39.850.000): verificar modalidad; ",""),"")&amp;IF(AND(ISNUMBER(M377),OR(ISNUMBER(SEARCH("prestación de servicios",D377)),ISNUMBER(SEARCH("prestar servicios",D377)),ISNUMBER(SEARCH("prestar los servicios",D377)))),IF(M377&gt;=500000000,"Prestación de servicios por $500 millones o más: posible error de digitación; ",""),""))</f>
        <v/>
      </c>
    </row>
    <row r="378" ht="79.8" customHeight="1" s="23">
      <c r="A378" s="114" t="inlineStr">
        <is>
          <t>PN26-374</t>
        </is>
      </c>
      <c r="B378" s="114" t="n">
        <v>81111811</v>
      </c>
      <c r="C378" s="114" t="inlineStr">
        <is>
          <t>Gestión Tecnología e Informática</t>
        </is>
      </c>
      <c r="D378" s="114" t="inlineStr">
        <is>
          <t xml:space="preserve">PRESTACIÓN DE SERVICIOS PROFESIONALES EN EL ÁREA DE INFORMÁTICA Y TELECOMUNICACIONES PARA ADMINISTRAR LA MESA DE AYUDA Y LAS PLATAFORMAS MICROSOFT 365, AZURE AD, AZURE MICROSOFT CLOUD SERVICES Y LA INTEGRACIÓN CON OTRAS PLATAFORMAS DE LA ESCUELA TECNOLÓGICA INSTITUTO TÉCNICO CENTRAL.
</t>
        </is>
      </c>
      <c r="E378" s="114" t="n">
        <v>12</v>
      </c>
      <c r="F378" s="114" t="inlineStr">
        <is>
          <t>Directa</t>
        </is>
      </c>
      <c r="G378" s="118" t="inlineStr">
        <is>
          <t xml:space="preserve">
51029316</t>
        </is>
      </c>
      <c r="H378" s="114" t="inlineStr">
        <is>
          <t>Profesional Especializado de la oficina de Gestión de TI</t>
        </is>
      </c>
      <c r="I378" s="114" t="inlineStr">
        <is>
          <t xml:space="preserve">3443000 Ext </t>
        </is>
      </c>
      <c r="J378" s="114" t="inlineStr">
        <is>
          <t>gestionit@itc.edu.co</t>
        </is>
      </c>
      <c r="K378" s="114" t="n"/>
      <c r="L378" s="119" t="inlineStr">
        <is>
          <t>132 · GIT Gestión de Informática y Telecomunicaciones</t>
        </is>
      </c>
      <c r="M378" s="120" t="n">
        <v>51029316</v>
      </c>
      <c r="N378" s="119" t="inlineStr">
        <is>
          <t>Contratación directa</t>
        </is>
      </c>
      <c r="O378" s="119">
        <f>IF(LEN(IF(OR(NOT(ISNUMBER(B378)),LEN(B378)&lt;&gt;8),"UNSPSC vacío, en texto, con varios códigos o sin 8 dígitos; ","")&amp;IF(AND(ISNUMBER(B378),LEN(B378)=8),IF(MOD(B378,10000)=0,"UNSPSC a nivel de segmento o familia; ",""),"")&amp;IF(NOT(ISNUMBER(E378)),"Duración vacía o en texto; ","")&amp;IF(NOT(ISNUMBER(G378)),"Valor vacío o en texto; ","")&amp;IF(ISNUMBER(M378),IF(M378&lt;1000000,"Valor inferior a $1.000.000: verificar; ",""),"Valor no interpretable; ")&amp;IF(N378="[PENDIENTE DE VERIFICAR]","Modalidad no identificable; ","")&amp;IF(OR(ISERROR(SEARCH("@itc.edu.co",J378)),SUMPRODUCT(--ISNUMBER(SEARCH({"á","é","í","ó","ú","ñ"},J378)))&gt;0),"Correo vacío o no institucional válido; ","")&amp;IF(LEN(TRIM(D378))=0,"Sin objeto contractual; ","")&amp;IF(AND(ISNUMBER(M378),N378="Mínima cuantía"),IF(M378&gt;39850000,"Mínima cuantía con valor superior al tope citado en el instructivo 2026 ($39.850.000): verificar modalidad; ",""),"")&amp;IF(AND(ISNUMBER(M378),OR(ISNUMBER(SEARCH("prestación de servicios",D378)),ISNUMBER(SEARCH("prestar servicios",D378)),ISNUMBER(SEARCH("prestar los servicios",D378)))),IF(M378&gt;=500000000,"Prestación de servicios por $500 millones o más: posible error de digitación; ",""),""))=0,"Sin observaciones",IF(OR(NOT(ISNUMBER(B378)),LEN(B378)&lt;&gt;8),"UNSPSC vacío, en texto, con varios códigos o sin 8 dígitos; ","")&amp;IF(AND(ISNUMBER(B378),LEN(B378)=8),IF(MOD(B378,10000)=0,"UNSPSC a nivel de segmento o familia; ",""),"")&amp;IF(NOT(ISNUMBER(E378)),"Duración vacía o en texto; ","")&amp;IF(NOT(ISNUMBER(G378)),"Valor vacío o en texto; ","")&amp;IF(ISNUMBER(M378),IF(M378&lt;1000000,"Valor inferior a $1.000.000: verificar; ",""),"Valor no interpretable; ")&amp;IF(N378="[PENDIENTE DE VERIFICAR]","Modalidad no identificable; ","")&amp;IF(OR(ISERROR(SEARCH("@itc.edu.co",J378)),SUMPRODUCT(--ISNUMBER(SEARCH({"á","é","í","ó","ú","ñ"},J378)))&gt;0),"Correo vacío o no institucional válido; ","")&amp;IF(LEN(TRIM(D378))=0,"Sin objeto contractual; ","")&amp;IF(AND(ISNUMBER(M378),N378="Mínima cuantía"),IF(M378&gt;39850000,"Mínima cuantía con valor superior al tope citado en el instructivo 2026 ($39.850.000): verificar modalidad; ",""),"")&amp;IF(AND(ISNUMBER(M378),OR(ISNUMBER(SEARCH("prestación de servicios",D378)),ISNUMBER(SEARCH("prestar servicios",D378)),ISNUMBER(SEARCH("prestar los servicios",D378)))),IF(M378&gt;=500000000,"Prestación de servicios por $500 millones o más: posible error de digitación; ",""),""))</f>
        <v/>
      </c>
    </row>
    <row r="379" ht="68.40000000000001" customHeight="1" s="23">
      <c r="A379" s="114" t="inlineStr">
        <is>
          <t>PN26-375</t>
        </is>
      </c>
      <c r="B379" s="114" t="n">
        <v>81111707</v>
      </c>
      <c r="C379" s="114" t="inlineStr">
        <is>
          <t>Gestión Tecnología e Informática</t>
        </is>
      </c>
      <c r="D379" s="114" t="inlineStr">
        <is>
          <t xml:space="preserve">PRESTACIÓN DE SERVICIOS PROFESIONALES EN EL ÁREA DE INFORMÁTICA Y TELECOMUNICACIONES PARA EJECUTAR ACTIVIDADES DE SEGUIMIENTO Y DOCUMENTACIÓN PARA GARANTIZAR EL CUMPLIMIENTO DE LA NORMATIVA VIGENTE EN LA INFRAESTRUCTURA TECNOLÓGICA DE LA ESCUELA TECNOLÓGICA INSTITUTO
</t>
        </is>
      </c>
      <c r="E379" s="114" t="n">
        <v>12</v>
      </c>
      <c r="F379" s="114" t="inlineStr">
        <is>
          <t>Directa</t>
        </is>
      </c>
      <c r="G379" s="118" t="n">
        <v>47346876</v>
      </c>
      <c r="H379" s="114" t="inlineStr">
        <is>
          <t>Profesional Oficina de Gestión de TI</t>
        </is>
      </c>
      <c r="I379" s="114" t="inlineStr">
        <is>
          <t xml:space="preserve">3443000 Ext </t>
        </is>
      </c>
      <c r="J379" s="114" t="inlineStr">
        <is>
          <t>gestionit@itc.edu.co</t>
        </is>
      </c>
      <c r="K379" s="114" t="n"/>
      <c r="L379" s="119" t="inlineStr">
        <is>
          <t>132 · GIT Gestión de Informática y Telecomunicaciones</t>
        </is>
      </c>
      <c r="M379" s="120" t="n">
        <v>47346876</v>
      </c>
      <c r="N379" s="119" t="inlineStr">
        <is>
          <t>Contratación directa</t>
        </is>
      </c>
      <c r="O379" s="119">
        <f>IF(LEN(IF(OR(NOT(ISNUMBER(B379)),LEN(B379)&lt;&gt;8),"UNSPSC vacío, en texto, con varios códigos o sin 8 dígitos; ","")&amp;IF(AND(ISNUMBER(B379),LEN(B379)=8),IF(MOD(B379,10000)=0,"UNSPSC a nivel de segmento o familia; ",""),"")&amp;IF(NOT(ISNUMBER(E379)),"Duración vacía o en texto; ","")&amp;IF(NOT(ISNUMBER(G379)),"Valor vacío o en texto; ","")&amp;IF(ISNUMBER(M379),IF(M379&lt;1000000,"Valor inferior a $1.000.000: verificar; ",""),"Valor no interpretable; ")&amp;IF(N379="[PENDIENTE DE VERIFICAR]","Modalidad no identificable; ","")&amp;IF(OR(ISERROR(SEARCH("@itc.edu.co",J379)),SUMPRODUCT(--ISNUMBER(SEARCH({"á","é","í","ó","ú","ñ"},J379)))&gt;0),"Correo vacío o no institucional válido; ","")&amp;IF(LEN(TRIM(D379))=0,"Sin objeto contractual; ","")&amp;IF(AND(ISNUMBER(M379),N379="Mínima cuantía"),IF(M379&gt;39850000,"Mínima cuantía con valor superior al tope citado en el instructivo 2026 ($39.850.000): verificar modalidad; ",""),"")&amp;IF(AND(ISNUMBER(M379),OR(ISNUMBER(SEARCH("prestación de servicios",D379)),ISNUMBER(SEARCH("prestar servicios",D379)),ISNUMBER(SEARCH("prestar los servicios",D379)))),IF(M379&gt;=500000000,"Prestación de servicios por $500 millones o más: posible error de digitación; ",""),""))=0,"Sin observaciones",IF(OR(NOT(ISNUMBER(B379)),LEN(B379)&lt;&gt;8),"UNSPSC vacío, en texto, con varios códigos o sin 8 dígitos; ","")&amp;IF(AND(ISNUMBER(B379),LEN(B379)=8),IF(MOD(B379,10000)=0,"UNSPSC a nivel de segmento o familia; ",""),"")&amp;IF(NOT(ISNUMBER(E379)),"Duración vacía o en texto; ","")&amp;IF(NOT(ISNUMBER(G379)),"Valor vacío o en texto; ","")&amp;IF(ISNUMBER(M379),IF(M379&lt;1000000,"Valor inferior a $1.000.000: verificar; ",""),"Valor no interpretable; ")&amp;IF(N379="[PENDIENTE DE VERIFICAR]","Modalidad no identificable; ","")&amp;IF(OR(ISERROR(SEARCH("@itc.edu.co",J379)),SUMPRODUCT(--ISNUMBER(SEARCH({"á","é","í","ó","ú","ñ"},J379)))&gt;0),"Correo vacío o no institucional válido; ","")&amp;IF(LEN(TRIM(D379))=0,"Sin objeto contractual; ","")&amp;IF(AND(ISNUMBER(M379),N379="Mínima cuantía"),IF(M379&gt;39850000,"Mínima cuantía con valor superior al tope citado en el instructivo 2026 ($39.850.000): verificar modalidad; ",""),"")&amp;IF(AND(ISNUMBER(M379),OR(ISNUMBER(SEARCH("prestación de servicios",D379)),ISNUMBER(SEARCH("prestar servicios",D379)),ISNUMBER(SEARCH("prestar los servicios",D379)))),IF(M379&gt;=500000000,"Prestación de servicios por $500 millones o más: posible error de digitación; ",""),""))</f>
        <v/>
      </c>
    </row>
    <row r="380" ht="68.40000000000001" customHeight="1" s="23">
      <c r="A380" s="114" t="inlineStr">
        <is>
          <t>PN26-376</t>
        </is>
      </c>
      <c r="B380" s="114" t="n">
        <v>81111811</v>
      </c>
      <c r="C380" s="114" t="inlineStr">
        <is>
          <t>Gestión Tecnología e Informática</t>
        </is>
      </c>
      <c r="D380" s="114" t="inlineStr">
        <is>
          <t>PRESTACIÓN DE SERVICIOS PROFESIONALES EN EL ÁREA DE INFORMÁTICA Y TELECOMUNICACIONES PARA COORDINAR EL SOPORTE DE PRIMER NIVEL CON EL PROPÓSITO DE BRINDAR RESPUESTA Y SOLUCIÓN A LOS INCIDENTES, REQUERIMIENTOS Y SOLICITUDES REGISTRADAS EN LA MESA DE SERVICIOS DE TI DE LA ETITC Y SUS SEDES.</t>
        </is>
      </c>
      <c r="E380" s="114" t="n">
        <v>12</v>
      </c>
      <c r="F380" s="114" t="inlineStr">
        <is>
          <t>Directa</t>
        </is>
      </c>
      <c r="G380" s="118" t="inlineStr">
        <is>
          <t xml:space="preserve">$ 47.469.132,00 </t>
        </is>
      </c>
      <c r="H380" s="114" t="inlineStr">
        <is>
          <t>Profesional Oficina de Gestión de TI</t>
        </is>
      </c>
      <c r="I380" s="114" t="inlineStr">
        <is>
          <t xml:space="preserve">3443000 Ext </t>
        </is>
      </c>
      <c r="J380" s="114" t="inlineStr">
        <is>
          <t>gestionit@itc.edu.co</t>
        </is>
      </c>
      <c r="K380" s="114" t="n"/>
      <c r="L380" s="119" t="inlineStr">
        <is>
          <t>132 · GIT Gestión de Informática y Telecomunicaciones</t>
        </is>
      </c>
      <c r="M380" s="120" t="n">
        <v>47469132</v>
      </c>
      <c r="N380" s="119" t="inlineStr">
        <is>
          <t>Contratación directa</t>
        </is>
      </c>
      <c r="O380" s="119">
        <f>IF(LEN(IF(OR(NOT(ISNUMBER(B380)),LEN(B380)&lt;&gt;8),"UNSPSC vacío, en texto, con varios códigos o sin 8 dígitos; ","")&amp;IF(AND(ISNUMBER(B380),LEN(B380)=8),IF(MOD(B380,10000)=0,"UNSPSC a nivel de segmento o familia; ",""),"")&amp;IF(NOT(ISNUMBER(E380)),"Duración vacía o en texto; ","")&amp;IF(NOT(ISNUMBER(G380)),"Valor vacío o en texto; ","")&amp;IF(ISNUMBER(M380),IF(M380&lt;1000000,"Valor inferior a $1.000.000: verificar; ",""),"Valor no interpretable; ")&amp;IF(N380="[PENDIENTE DE VERIFICAR]","Modalidad no identificable; ","")&amp;IF(OR(ISERROR(SEARCH("@itc.edu.co",J380)),SUMPRODUCT(--ISNUMBER(SEARCH({"á","é","í","ó","ú","ñ"},J380)))&gt;0),"Correo vacío o no institucional válido; ","")&amp;IF(LEN(TRIM(D380))=0,"Sin objeto contractual; ","")&amp;IF(AND(ISNUMBER(M380),N380="Mínima cuantía"),IF(M380&gt;39850000,"Mínima cuantía con valor superior al tope citado en el instructivo 2026 ($39.850.000): verificar modalidad; ",""),"")&amp;IF(AND(ISNUMBER(M380),OR(ISNUMBER(SEARCH("prestación de servicios",D380)),ISNUMBER(SEARCH("prestar servicios",D380)),ISNUMBER(SEARCH("prestar los servicios",D380)))),IF(M380&gt;=500000000,"Prestación de servicios por $500 millones o más: posible error de digitación; ",""),""))=0,"Sin observaciones",IF(OR(NOT(ISNUMBER(B380)),LEN(B380)&lt;&gt;8),"UNSPSC vacío, en texto, con varios códigos o sin 8 dígitos; ","")&amp;IF(AND(ISNUMBER(B380),LEN(B380)=8),IF(MOD(B380,10000)=0,"UNSPSC a nivel de segmento o familia; ",""),"")&amp;IF(NOT(ISNUMBER(E380)),"Duración vacía o en texto; ","")&amp;IF(NOT(ISNUMBER(G380)),"Valor vacío o en texto; ","")&amp;IF(ISNUMBER(M380),IF(M380&lt;1000000,"Valor inferior a $1.000.000: verificar; ",""),"Valor no interpretable; ")&amp;IF(N380="[PENDIENTE DE VERIFICAR]","Modalidad no identificable; ","")&amp;IF(OR(ISERROR(SEARCH("@itc.edu.co",J380)),SUMPRODUCT(--ISNUMBER(SEARCH({"á","é","í","ó","ú","ñ"},J380)))&gt;0),"Correo vacío o no institucional válido; ","")&amp;IF(LEN(TRIM(D380))=0,"Sin objeto contractual; ","")&amp;IF(AND(ISNUMBER(M380),N380="Mínima cuantía"),IF(M380&gt;39850000,"Mínima cuantía con valor superior al tope citado en el instructivo 2026 ($39.850.000): verificar modalidad; ",""),"")&amp;IF(AND(ISNUMBER(M380),OR(ISNUMBER(SEARCH("prestación de servicios",D380)),ISNUMBER(SEARCH("prestar servicios",D380)),ISNUMBER(SEARCH("prestar los servicios",D380)))),IF(M380&gt;=500000000,"Prestación de servicios por $500 millones o más: posible error de digitación; ",""),""))</f>
        <v/>
      </c>
    </row>
    <row r="381" ht="57" customHeight="1" s="23">
      <c r="A381" s="114" t="inlineStr">
        <is>
          <t>PN26-377</t>
        </is>
      </c>
      <c r="B381" s="114" t="n">
        <v>81112307</v>
      </c>
      <c r="C381" s="114" t="inlineStr">
        <is>
          <t>Gestión Tecnología e Informática</t>
        </is>
      </c>
      <c r="D381" s="114" t="inlineStr">
        <is>
          <t>PRESTACIÓN DE SERVICIOS COMO TECNOLOGO EN EL ÁREA DE INFORMÁTICA Y TELECOMUNICACIONES PARA BRINDAR EL SOPORTE DE PRIMER NIVEL CON EL PROPÓSITO DE BRINDAR RESPUESTA Y SOLUCIÓN A LOS INCIDENTES, REQUERIMIENTOS Y SOLICITUDES REGISTRADAS EN LA MESA DE SERVICIOS DE TI DE LA ETITC</t>
        </is>
      </c>
      <c r="E381" s="114" t="n">
        <v>12</v>
      </c>
      <c r="F381" s="114" t="inlineStr">
        <is>
          <t>Directa</t>
        </is>
      </c>
      <c r="G381" s="118" t="n">
        <v>33376740</v>
      </c>
      <c r="H381" s="114" t="inlineStr">
        <is>
          <t>Profesional Oficina de Gestión de TI</t>
        </is>
      </c>
      <c r="I381" s="114" t="inlineStr">
        <is>
          <t xml:space="preserve">3443000 Ext </t>
        </is>
      </c>
      <c r="J381" s="114" t="inlineStr">
        <is>
          <t>gestionit@itc.edu.co</t>
        </is>
      </c>
      <c r="K381" s="114" t="n"/>
      <c r="L381" s="119" t="inlineStr">
        <is>
          <t>132 · GIT Gestión de Informática y Telecomunicaciones</t>
        </is>
      </c>
      <c r="M381" s="120" t="n">
        <v>33376740</v>
      </c>
      <c r="N381" s="119" t="inlineStr">
        <is>
          <t>Contratación directa</t>
        </is>
      </c>
      <c r="O381" s="119">
        <f>IF(LEN(IF(OR(NOT(ISNUMBER(B381)),LEN(B381)&lt;&gt;8),"UNSPSC vacío, en texto, con varios códigos o sin 8 dígitos; ","")&amp;IF(AND(ISNUMBER(B381),LEN(B381)=8),IF(MOD(B381,10000)=0,"UNSPSC a nivel de segmento o familia; ",""),"")&amp;IF(NOT(ISNUMBER(E381)),"Duración vacía o en texto; ","")&amp;IF(NOT(ISNUMBER(G381)),"Valor vacío o en texto; ","")&amp;IF(ISNUMBER(M381),IF(M381&lt;1000000,"Valor inferior a $1.000.000: verificar; ",""),"Valor no interpretable; ")&amp;IF(N381="[PENDIENTE DE VERIFICAR]","Modalidad no identificable; ","")&amp;IF(OR(ISERROR(SEARCH("@itc.edu.co",J381)),SUMPRODUCT(--ISNUMBER(SEARCH({"á","é","í","ó","ú","ñ"},J381)))&gt;0),"Correo vacío o no institucional válido; ","")&amp;IF(LEN(TRIM(D381))=0,"Sin objeto contractual; ","")&amp;IF(AND(ISNUMBER(M381),N381="Mínima cuantía"),IF(M381&gt;39850000,"Mínima cuantía con valor superior al tope citado en el instructivo 2026 ($39.850.000): verificar modalidad; ",""),"")&amp;IF(AND(ISNUMBER(M381),OR(ISNUMBER(SEARCH("prestación de servicios",D381)),ISNUMBER(SEARCH("prestar servicios",D381)),ISNUMBER(SEARCH("prestar los servicios",D381)))),IF(M381&gt;=500000000,"Prestación de servicios por $500 millones o más: posible error de digitación; ",""),""))=0,"Sin observaciones",IF(OR(NOT(ISNUMBER(B381)),LEN(B381)&lt;&gt;8),"UNSPSC vacío, en texto, con varios códigos o sin 8 dígitos; ","")&amp;IF(AND(ISNUMBER(B381),LEN(B381)=8),IF(MOD(B381,10000)=0,"UNSPSC a nivel de segmento o familia; ",""),"")&amp;IF(NOT(ISNUMBER(E381)),"Duración vacía o en texto; ","")&amp;IF(NOT(ISNUMBER(G381)),"Valor vacío o en texto; ","")&amp;IF(ISNUMBER(M381),IF(M381&lt;1000000,"Valor inferior a $1.000.000: verificar; ",""),"Valor no interpretable; ")&amp;IF(N381="[PENDIENTE DE VERIFICAR]","Modalidad no identificable; ","")&amp;IF(OR(ISERROR(SEARCH("@itc.edu.co",J381)),SUMPRODUCT(--ISNUMBER(SEARCH({"á","é","í","ó","ú","ñ"},J381)))&gt;0),"Correo vacío o no institucional válido; ","")&amp;IF(LEN(TRIM(D381))=0,"Sin objeto contractual; ","")&amp;IF(AND(ISNUMBER(M381),N381="Mínima cuantía"),IF(M381&gt;39850000,"Mínima cuantía con valor superior al tope citado en el instructivo 2026 ($39.850.000): verificar modalidad; ",""),"")&amp;IF(AND(ISNUMBER(M381),OR(ISNUMBER(SEARCH("prestación de servicios",D381)),ISNUMBER(SEARCH("prestar servicios",D381)),ISNUMBER(SEARCH("prestar los servicios",D381)))),IF(M381&gt;=500000000,"Prestación de servicios por $500 millones o más: posible error de digitación; ",""),""))</f>
        <v/>
      </c>
    </row>
    <row r="382" ht="34.2" customHeight="1" s="23">
      <c r="A382" s="114" t="inlineStr">
        <is>
          <t>PN26-378</t>
        </is>
      </c>
      <c r="B382" s="114" t="n">
        <v>81111707</v>
      </c>
      <c r="C382" s="114" t="inlineStr">
        <is>
          <t>Gestión Tecnología e Informática</t>
        </is>
      </c>
      <c r="D382" s="114" t="inlineStr">
        <is>
          <t>PRESTACIÓN DE SERVICIOS PROFESIONALES ESPECIALIZADOS PARA ASESORAR Y APOYAR LOS PROCESOS TÉCNICOS Y ADMINISTRATIVOS DEL ÁREA DE INFORMÁTICA Y TELECOMUNICACIONES DE LA ETITC.</t>
        </is>
      </c>
      <c r="E382" s="114" t="n">
        <v>12</v>
      </c>
      <c r="F382" s="114" t="inlineStr">
        <is>
          <t>Directa</t>
        </is>
      </c>
      <c r="G382" s="118" t="inlineStr">
        <is>
          <t xml:space="preserve"> $ 63.437.040,00 </t>
        </is>
      </c>
      <c r="H382" s="114" t="inlineStr">
        <is>
          <t>Profesional Especializado de la oficina de Gestión de TI</t>
        </is>
      </c>
      <c r="I382" s="114" t="inlineStr">
        <is>
          <t xml:space="preserve">3443000 Ext </t>
        </is>
      </c>
      <c r="J382" s="114" t="inlineStr">
        <is>
          <t>gestionit@itc.edu.co</t>
        </is>
      </c>
      <c r="K382" s="114" t="n"/>
      <c r="L382" s="119" t="inlineStr">
        <is>
          <t>132 · GIT Gestión de Informática y Telecomunicaciones</t>
        </is>
      </c>
      <c r="M382" s="120" t="n">
        <v>63437040</v>
      </c>
      <c r="N382" s="119" t="inlineStr">
        <is>
          <t>Contratación directa</t>
        </is>
      </c>
      <c r="O382" s="119">
        <f>IF(LEN(IF(OR(NOT(ISNUMBER(B382)),LEN(B382)&lt;&gt;8),"UNSPSC vacío, en texto, con varios códigos o sin 8 dígitos; ","")&amp;IF(AND(ISNUMBER(B382),LEN(B382)=8),IF(MOD(B382,10000)=0,"UNSPSC a nivel de segmento o familia; ",""),"")&amp;IF(NOT(ISNUMBER(E382)),"Duración vacía o en texto; ","")&amp;IF(NOT(ISNUMBER(G382)),"Valor vacío o en texto; ","")&amp;IF(ISNUMBER(M382),IF(M382&lt;1000000,"Valor inferior a $1.000.000: verificar; ",""),"Valor no interpretable; ")&amp;IF(N382="[PENDIENTE DE VERIFICAR]","Modalidad no identificable; ","")&amp;IF(OR(ISERROR(SEARCH("@itc.edu.co",J382)),SUMPRODUCT(--ISNUMBER(SEARCH({"á","é","í","ó","ú","ñ"},J382)))&gt;0),"Correo vacío o no institucional válido; ","")&amp;IF(LEN(TRIM(D382))=0,"Sin objeto contractual; ","")&amp;IF(AND(ISNUMBER(M382),N382="Mínima cuantía"),IF(M382&gt;39850000,"Mínima cuantía con valor superior al tope citado en el instructivo 2026 ($39.850.000): verificar modalidad; ",""),"")&amp;IF(AND(ISNUMBER(M382),OR(ISNUMBER(SEARCH("prestación de servicios",D382)),ISNUMBER(SEARCH("prestar servicios",D382)),ISNUMBER(SEARCH("prestar los servicios",D382)))),IF(M382&gt;=500000000,"Prestación de servicios por $500 millones o más: posible error de digitación; ",""),""))=0,"Sin observaciones",IF(OR(NOT(ISNUMBER(B382)),LEN(B382)&lt;&gt;8),"UNSPSC vacío, en texto, con varios códigos o sin 8 dígitos; ","")&amp;IF(AND(ISNUMBER(B382),LEN(B382)=8),IF(MOD(B382,10000)=0,"UNSPSC a nivel de segmento o familia; ",""),"")&amp;IF(NOT(ISNUMBER(E382)),"Duración vacía o en texto; ","")&amp;IF(NOT(ISNUMBER(G382)),"Valor vacío o en texto; ","")&amp;IF(ISNUMBER(M382),IF(M382&lt;1000000,"Valor inferior a $1.000.000: verificar; ",""),"Valor no interpretable; ")&amp;IF(N382="[PENDIENTE DE VERIFICAR]","Modalidad no identificable; ","")&amp;IF(OR(ISERROR(SEARCH("@itc.edu.co",J382)),SUMPRODUCT(--ISNUMBER(SEARCH({"á","é","í","ó","ú","ñ"},J382)))&gt;0),"Correo vacío o no institucional válido; ","")&amp;IF(LEN(TRIM(D382))=0,"Sin objeto contractual; ","")&amp;IF(AND(ISNUMBER(M382),N382="Mínima cuantía"),IF(M382&gt;39850000,"Mínima cuantía con valor superior al tope citado en el instructivo 2026 ($39.850.000): verificar modalidad; ",""),"")&amp;IF(AND(ISNUMBER(M382),OR(ISNUMBER(SEARCH("prestación de servicios",D382)),ISNUMBER(SEARCH("prestar servicios",D382)),ISNUMBER(SEARCH("prestar los servicios",D382)))),IF(M382&gt;=500000000,"Prestación de servicios por $500 millones o más: posible error de digitación; ",""),""))</f>
        <v/>
      </c>
    </row>
    <row r="383" ht="68.40000000000001" customHeight="1" s="23">
      <c r="A383" s="114" t="inlineStr">
        <is>
          <t>PN26-379</t>
        </is>
      </c>
      <c r="B383" s="114" t="n">
        <v>81112307</v>
      </c>
      <c r="C383" s="114" t="inlineStr">
        <is>
          <t>Gestión Tecnología e Informática</t>
        </is>
      </c>
      <c r="D383" s="114" t="inlineStr">
        <is>
          <t xml:space="preserve">PRESTACIÓN DE SERVICIOS COMO TÉCNICO EN EL ÁREA DE INFORMÁTICA Y TELECOMUNICACIONES PARA BRINDAR EL SOPORTE DE PRIMER NIVEL PARA DAR RESPUESTA Y SOLUCIÓN A LOS INCIDENTES, REQUERIMIENTOS Y SOLICITUDES REGISTRADAS EN LA MESA DE SERVICIOS DE TI DE LA SEDE CENTRO Y TINTAL DE LA ETITC
</t>
        </is>
      </c>
      <c r="E383" s="114" t="n">
        <v>12</v>
      </c>
      <c r="F383" s="114" t="inlineStr">
        <is>
          <t>Directa</t>
        </is>
      </c>
      <c r="G383" s="118" t="inlineStr">
        <is>
          <t xml:space="preserve">$ 32.400.000,00 </t>
        </is>
      </c>
      <c r="H383" s="114" t="inlineStr">
        <is>
          <t>Profesional Oficina de Gestión de TI</t>
        </is>
      </c>
      <c r="I383" s="114" t="inlineStr">
        <is>
          <t xml:space="preserve">3443000 Ext </t>
        </is>
      </c>
      <c r="J383" s="114" t="inlineStr">
        <is>
          <t>gestionit@itc.edu.co</t>
        </is>
      </c>
      <c r="K383" s="114" t="n"/>
      <c r="L383" s="119" t="inlineStr">
        <is>
          <t>132 · GIT Gestión de Informática y Telecomunicaciones</t>
        </is>
      </c>
      <c r="M383" s="120" t="n">
        <v>32400000</v>
      </c>
      <c r="N383" s="119" t="inlineStr">
        <is>
          <t>Contratación directa</t>
        </is>
      </c>
      <c r="O383" s="119">
        <f>IF(LEN(IF(OR(NOT(ISNUMBER(B383)),LEN(B383)&lt;&gt;8),"UNSPSC vacío, en texto, con varios códigos o sin 8 dígitos; ","")&amp;IF(AND(ISNUMBER(B383),LEN(B383)=8),IF(MOD(B383,10000)=0,"UNSPSC a nivel de segmento o familia; ",""),"")&amp;IF(NOT(ISNUMBER(E383)),"Duración vacía o en texto; ","")&amp;IF(NOT(ISNUMBER(G383)),"Valor vacío o en texto; ","")&amp;IF(ISNUMBER(M383),IF(M383&lt;1000000,"Valor inferior a $1.000.000: verificar; ",""),"Valor no interpretable; ")&amp;IF(N383="[PENDIENTE DE VERIFICAR]","Modalidad no identificable; ","")&amp;IF(OR(ISERROR(SEARCH("@itc.edu.co",J383)),SUMPRODUCT(--ISNUMBER(SEARCH({"á","é","í","ó","ú","ñ"},J383)))&gt;0),"Correo vacío o no institucional válido; ","")&amp;IF(LEN(TRIM(D383))=0,"Sin objeto contractual; ","")&amp;IF(AND(ISNUMBER(M383),N383="Mínima cuantía"),IF(M383&gt;39850000,"Mínima cuantía con valor superior al tope citado en el instructivo 2026 ($39.850.000): verificar modalidad; ",""),"")&amp;IF(AND(ISNUMBER(M383),OR(ISNUMBER(SEARCH("prestación de servicios",D383)),ISNUMBER(SEARCH("prestar servicios",D383)),ISNUMBER(SEARCH("prestar los servicios",D383)))),IF(M383&gt;=500000000,"Prestación de servicios por $500 millones o más: posible error de digitación; ",""),""))=0,"Sin observaciones",IF(OR(NOT(ISNUMBER(B383)),LEN(B383)&lt;&gt;8),"UNSPSC vacío, en texto, con varios códigos o sin 8 dígitos; ","")&amp;IF(AND(ISNUMBER(B383),LEN(B383)=8),IF(MOD(B383,10000)=0,"UNSPSC a nivel de segmento o familia; ",""),"")&amp;IF(NOT(ISNUMBER(E383)),"Duración vacía o en texto; ","")&amp;IF(NOT(ISNUMBER(G383)),"Valor vacío o en texto; ","")&amp;IF(ISNUMBER(M383),IF(M383&lt;1000000,"Valor inferior a $1.000.000: verificar; ",""),"Valor no interpretable; ")&amp;IF(N383="[PENDIENTE DE VERIFICAR]","Modalidad no identificable; ","")&amp;IF(OR(ISERROR(SEARCH("@itc.edu.co",J383)),SUMPRODUCT(--ISNUMBER(SEARCH({"á","é","í","ó","ú","ñ"},J383)))&gt;0),"Correo vacío o no institucional válido; ","")&amp;IF(LEN(TRIM(D383))=0,"Sin objeto contractual; ","")&amp;IF(AND(ISNUMBER(M383),N383="Mínima cuantía"),IF(M383&gt;39850000,"Mínima cuantía con valor superior al tope citado en el instructivo 2026 ($39.850.000): verificar modalidad; ",""),"")&amp;IF(AND(ISNUMBER(M383),OR(ISNUMBER(SEARCH("prestación de servicios",D383)),ISNUMBER(SEARCH("prestar servicios",D383)),ISNUMBER(SEARCH("prestar los servicios",D383)))),IF(M383&gt;=500000000,"Prestación de servicios por $500 millones o más: posible error de digitación; ",""),""))</f>
        <v/>
      </c>
    </row>
    <row r="384" ht="68.40000000000001" customHeight="1" s="23">
      <c r="A384" s="114" t="inlineStr">
        <is>
          <t>PN26-380</t>
        </is>
      </c>
      <c r="B384" s="114" t="n">
        <v>81112307</v>
      </c>
      <c r="C384" s="114" t="inlineStr">
        <is>
          <t>Gestión Tecnología e Informática</t>
        </is>
      </c>
      <c r="D384" s="114" t="inlineStr">
        <is>
          <t xml:space="preserve">PRESTACIÓN DE SERVICIOS COMO TÉCNICO EN EL ÁREA DE INFORMÁTICA Y TELECOMUNICACIONES PARA BRINDAR SOPORTE DE PRIMER NIVEL, EJECUTAR PLANES DE MANTENIMIENTO Y ASESORIA A USUARIOS DE LOS EQUIPOS RELACIONADOS AL SISTEMA DE LAS AULAS PARA LA ALTERNANCIA DEL BACHILLERATO DE LA ETITC
</t>
        </is>
      </c>
      <c r="E384" s="114" t="n">
        <v>12</v>
      </c>
      <c r="F384" s="114" t="inlineStr">
        <is>
          <t>Directa</t>
        </is>
      </c>
      <c r="G384" s="118" t="inlineStr">
        <is>
          <t xml:space="preserve">$ 28.704.000,00 </t>
        </is>
      </c>
      <c r="H384" s="114" t="inlineStr">
        <is>
          <t>Técnico Oficina de Gestión de TI</t>
        </is>
      </c>
      <c r="I384" s="114" t="inlineStr">
        <is>
          <t xml:space="preserve">3443000 Ext </t>
        </is>
      </c>
      <c r="J384" s="114" t="inlineStr">
        <is>
          <t>gestionit@itc.edu.co</t>
        </is>
      </c>
      <c r="K384" s="114" t="n"/>
      <c r="L384" s="119" t="inlineStr">
        <is>
          <t>132 · GIT Gestión de Informática y Telecomunicaciones</t>
        </is>
      </c>
      <c r="M384" s="120" t="n">
        <v>28704000</v>
      </c>
      <c r="N384" s="119" t="inlineStr">
        <is>
          <t>Contratación directa</t>
        </is>
      </c>
      <c r="O384" s="119">
        <f>IF(LEN(IF(OR(NOT(ISNUMBER(B384)),LEN(B384)&lt;&gt;8),"UNSPSC vacío, en texto, con varios códigos o sin 8 dígitos; ","")&amp;IF(AND(ISNUMBER(B384),LEN(B384)=8),IF(MOD(B384,10000)=0,"UNSPSC a nivel de segmento o familia; ",""),"")&amp;IF(NOT(ISNUMBER(E384)),"Duración vacía o en texto; ","")&amp;IF(NOT(ISNUMBER(G384)),"Valor vacío o en texto; ","")&amp;IF(ISNUMBER(M384),IF(M384&lt;1000000,"Valor inferior a $1.000.000: verificar; ",""),"Valor no interpretable; ")&amp;IF(N384="[PENDIENTE DE VERIFICAR]","Modalidad no identificable; ","")&amp;IF(OR(ISERROR(SEARCH("@itc.edu.co",J384)),SUMPRODUCT(--ISNUMBER(SEARCH({"á","é","í","ó","ú","ñ"},J384)))&gt;0),"Correo vacío o no institucional válido; ","")&amp;IF(LEN(TRIM(D384))=0,"Sin objeto contractual; ","")&amp;IF(AND(ISNUMBER(M384),N384="Mínima cuantía"),IF(M384&gt;39850000,"Mínima cuantía con valor superior al tope citado en el instructivo 2026 ($39.850.000): verificar modalidad; ",""),"")&amp;IF(AND(ISNUMBER(M384),OR(ISNUMBER(SEARCH("prestación de servicios",D384)),ISNUMBER(SEARCH("prestar servicios",D384)),ISNUMBER(SEARCH("prestar los servicios",D384)))),IF(M384&gt;=500000000,"Prestación de servicios por $500 millones o más: posible error de digitación; ",""),""))=0,"Sin observaciones",IF(OR(NOT(ISNUMBER(B384)),LEN(B384)&lt;&gt;8),"UNSPSC vacío, en texto, con varios códigos o sin 8 dígitos; ","")&amp;IF(AND(ISNUMBER(B384),LEN(B384)=8),IF(MOD(B384,10000)=0,"UNSPSC a nivel de segmento o familia; ",""),"")&amp;IF(NOT(ISNUMBER(E384)),"Duración vacía o en texto; ","")&amp;IF(NOT(ISNUMBER(G384)),"Valor vacío o en texto; ","")&amp;IF(ISNUMBER(M384),IF(M384&lt;1000000,"Valor inferior a $1.000.000: verificar; ",""),"Valor no interpretable; ")&amp;IF(N384="[PENDIENTE DE VERIFICAR]","Modalidad no identificable; ","")&amp;IF(OR(ISERROR(SEARCH("@itc.edu.co",J384)),SUMPRODUCT(--ISNUMBER(SEARCH({"á","é","í","ó","ú","ñ"},J384)))&gt;0),"Correo vacío o no institucional válido; ","")&amp;IF(LEN(TRIM(D384))=0,"Sin objeto contractual; ","")&amp;IF(AND(ISNUMBER(M384),N384="Mínima cuantía"),IF(M384&gt;39850000,"Mínima cuantía con valor superior al tope citado en el instructivo 2026 ($39.850.000): verificar modalidad; ",""),"")&amp;IF(AND(ISNUMBER(M384),OR(ISNUMBER(SEARCH("prestación de servicios",D384)),ISNUMBER(SEARCH("prestar servicios",D384)),ISNUMBER(SEARCH("prestar los servicios",D384)))),IF(M384&gt;=500000000,"Prestación de servicios por $500 millones o más: posible error de digitación; ",""),""))</f>
        <v/>
      </c>
    </row>
    <row r="385" ht="68.40000000000001" customHeight="1" s="23">
      <c r="A385" s="114" t="inlineStr">
        <is>
          <t>PN26-381</t>
        </is>
      </c>
      <c r="B385" s="114" t="n">
        <v>81112307</v>
      </c>
      <c r="C385" s="114" t="inlineStr">
        <is>
          <t>Gestión Tecnología e Informática</t>
        </is>
      </c>
      <c r="D385" s="114" t="inlineStr">
        <is>
          <t>PRESTACIÓN DE SERVICIOS COMO TÉCNICO EN EL ÁREA DE INFORMÁTICA Y TELECOMUNICACIONES PARA BRINDAR SOPORTE DE PRIMER NIVEL, EJECUTAR PLANES DE MANTENIMIENTO Y ASESORIA A USUARIOS DE LOS EQUIPOS RELACIONADOS AL SISTEMA DE LAS AULAS PARA LA ALTERNANCIA DE LOS PROGRAMAS DE EDUCACIÓN SUPERIOR DE LA ETITC.</t>
        </is>
      </c>
      <c r="E385" s="114" t="n">
        <v>12</v>
      </c>
      <c r="F385" s="114" t="inlineStr">
        <is>
          <t>Directa</t>
        </is>
      </c>
      <c r="G385" s="118" t="n">
        <v>33376740</v>
      </c>
      <c r="H385" s="114" t="inlineStr">
        <is>
          <t>Técnico Oficina de Gestión de TI</t>
        </is>
      </c>
      <c r="I385" s="114" t="inlineStr">
        <is>
          <t xml:space="preserve">3443000 Ext </t>
        </is>
      </c>
      <c r="J385" s="114" t="inlineStr">
        <is>
          <t>gestionit@itc.edu.co</t>
        </is>
      </c>
      <c r="K385" s="114" t="n"/>
      <c r="L385" s="119" t="inlineStr">
        <is>
          <t>132 · GIT Gestión de Informática y Telecomunicaciones</t>
        </is>
      </c>
      <c r="M385" s="120" t="n">
        <v>33376740</v>
      </c>
      <c r="N385" s="119" t="inlineStr">
        <is>
          <t>Contratación directa</t>
        </is>
      </c>
      <c r="O385" s="119">
        <f>IF(LEN(IF(OR(NOT(ISNUMBER(B385)),LEN(B385)&lt;&gt;8),"UNSPSC vacío, en texto, con varios códigos o sin 8 dígitos; ","")&amp;IF(AND(ISNUMBER(B385),LEN(B385)=8),IF(MOD(B385,10000)=0,"UNSPSC a nivel de segmento o familia; ",""),"")&amp;IF(NOT(ISNUMBER(E385)),"Duración vacía o en texto; ","")&amp;IF(NOT(ISNUMBER(G385)),"Valor vacío o en texto; ","")&amp;IF(ISNUMBER(M385),IF(M385&lt;1000000,"Valor inferior a $1.000.000: verificar; ",""),"Valor no interpretable; ")&amp;IF(N385="[PENDIENTE DE VERIFICAR]","Modalidad no identificable; ","")&amp;IF(OR(ISERROR(SEARCH("@itc.edu.co",J385)),SUMPRODUCT(--ISNUMBER(SEARCH({"á","é","í","ó","ú","ñ"},J385)))&gt;0),"Correo vacío o no institucional válido; ","")&amp;IF(LEN(TRIM(D385))=0,"Sin objeto contractual; ","")&amp;IF(AND(ISNUMBER(M385),N385="Mínima cuantía"),IF(M385&gt;39850000,"Mínima cuantía con valor superior al tope citado en el instructivo 2026 ($39.850.000): verificar modalidad; ",""),"")&amp;IF(AND(ISNUMBER(M385),OR(ISNUMBER(SEARCH("prestación de servicios",D385)),ISNUMBER(SEARCH("prestar servicios",D385)),ISNUMBER(SEARCH("prestar los servicios",D385)))),IF(M385&gt;=500000000,"Prestación de servicios por $500 millones o más: posible error de digitación; ",""),""))=0,"Sin observaciones",IF(OR(NOT(ISNUMBER(B385)),LEN(B385)&lt;&gt;8),"UNSPSC vacío, en texto, con varios códigos o sin 8 dígitos; ","")&amp;IF(AND(ISNUMBER(B385),LEN(B385)=8),IF(MOD(B385,10000)=0,"UNSPSC a nivel de segmento o familia; ",""),"")&amp;IF(NOT(ISNUMBER(E385)),"Duración vacía o en texto; ","")&amp;IF(NOT(ISNUMBER(G385)),"Valor vacío o en texto; ","")&amp;IF(ISNUMBER(M385),IF(M385&lt;1000000,"Valor inferior a $1.000.000: verificar; ",""),"Valor no interpretable; ")&amp;IF(N385="[PENDIENTE DE VERIFICAR]","Modalidad no identificable; ","")&amp;IF(OR(ISERROR(SEARCH("@itc.edu.co",J385)),SUMPRODUCT(--ISNUMBER(SEARCH({"á","é","í","ó","ú","ñ"},J385)))&gt;0),"Correo vacío o no institucional válido; ","")&amp;IF(LEN(TRIM(D385))=0,"Sin objeto contractual; ","")&amp;IF(AND(ISNUMBER(M385),N385="Mínima cuantía"),IF(M385&gt;39850000,"Mínima cuantía con valor superior al tope citado en el instructivo 2026 ($39.850.000): verificar modalidad; ",""),"")&amp;IF(AND(ISNUMBER(M385),OR(ISNUMBER(SEARCH("prestación de servicios",D385)),ISNUMBER(SEARCH("prestar servicios",D385)),ISNUMBER(SEARCH("prestar los servicios",D385)))),IF(M385&gt;=500000000,"Prestación de servicios por $500 millones o más: posible error de digitación; ",""),""))</f>
        <v/>
      </c>
    </row>
    <row r="386" ht="57" customHeight="1" s="23">
      <c r="A386" s="114" t="inlineStr">
        <is>
          <t>PN26-382</t>
        </is>
      </c>
      <c r="B386" s="114" t="n">
        <v>81112307</v>
      </c>
      <c r="C386" s="114" t="inlineStr">
        <is>
          <t>Gestión Tecnología e Informática</t>
        </is>
      </c>
      <c r="D386" s="114" t="inlineStr">
        <is>
          <t>PRESTACIÓN DE SERVICIOS COMO TÉCNICO EN EL ÁREA DE INFORMÁTICA Y TELECOMUNICACIONES PARA REALIZAR APOYO EN LA ATENCIÓN, FUNCIONAMIENTO, CONFIGURACIÓN, SOPORTE Y EJECUCIÓN DE PLANES MANTENIMIENTO DE LOS ESPACIOS A CARGO DE AUDIOVISUALES DE LA SEDE CENTRO DE LA ETITC</t>
        </is>
      </c>
      <c r="E386" s="114" t="n">
        <v>12</v>
      </c>
      <c r="F386" s="114" t="inlineStr">
        <is>
          <t>Directa</t>
        </is>
      </c>
      <c r="G386" s="118" t="inlineStr">
        <is>
          <t xml:space="preserve">$ 28.704.000,00 </t>
        </is>
      </c>
      <c r="H386" s="114" t="inlineStr">
        <is>
          <t>Técnico Oficina de Gestión de TI</t>
        </is>
      </c>
      <c r="I386" s="114" t="inlineStr">
        <is>
          <t xml:space="preserve">3443000 Ext </t>
        </is>
      </c>
      <c r="J386" s="114" t="inlineStr">
        <is>
          <t>gestionit@itc.edu.co</t>
        </is>
      </c>
      <c r="K386" s="114" t="n"/>
      <c r="L386" s="119" t="inlineStr">
        <is>
          <t>132 · GIT Gestión de Informática y Telecomunicaciones</t>
        </is>
      </c>
      <c r="M386" s="120" t="n">
        <v>28704000</v>
      </c>
      <c r="N386" s="119" t="inlineStr">
        <is>
          <t>Contratación directa</t>
        </is>
      </c>
      <c r="O386" s="119">
        <f>IF(LEN(IF(OR(NOT(ISNUMBER(B386)),LEN(B386)&lt;&gt;8),"UNSPSC vacío, en texto, con varios códigos o sin 8 dígitos; ","")&amp;IF(AND(ISNUMBER(B386),LEN(B386)=8),IF(MOD(B386,10000)=0,"UNSPSC a nivel de segmento o familia; ",""),"")&amp;IF(NOT(ISNUMBER(E386)),"Duración vacía o en texto; ","")&amp;IF(NOT(ISNUMBER(G386)),"Valor vacío o en texto; ","")&amp;IF(ISNUMBER(M386),IF(M386&lt;1000000,"Valor inferior a $1.000.000: verificar; ",""),"Valor no interpretable; ")&amp;IF(N386="[PENDIENTE DE VERIFICAR]","Modalidad no identificable; ","")&amp;IF(OR(ISERROR(SEARCH("@itc.edu.co",J386)),SUMPRODUCT(--ISNUMBER(SEARCH({"á","é","í","ó","ú","ñ"},J386)))&gt;0),"Correo vacío o no institucional válido; ","")&amp;IF(LEN(TRIM(D386))=0,"Sin objeto contractual; ","")&amp;IF(AND(ISNUMBER(M386),N386="Mínima cuantía"),IF(M386&gt;39850000,"Mínima cuantía con valor superior al tope citado en el instructivo 2026 ($39.850.000): verificar modalidad; ",""),"")&amp;IF(AND(ISNUMBER(M386),OR(ISNUMBER(SEARCH("prestación de servicios",D386)),ISNUMBER(SEARCH("prestar servicios",D386)),ISNUMBER(SEARCH("prestar los servicios",D386)))),IF(M386&gt;=500000000,"Prestación de servicios por $500 millones o más: posible error de digitación; ",""),""))=0,"Sin observaciones",IF(OR(NOT(ISNUMBER(B386)),LEN(B386)&lt;&gt;8),"UNSPSC vacío, en texto, con varios códigos o sin 8 dígitos; ","")&amp;IF(AND(ISNUMBER(B386),LEN(B386)=8),IF(MOD(B386,10000)=0,"UNSPSC a nivel de segmento o familia; ",""),"")&amp;IF(NOT(ISNUMBER(E386)),"Duración vacía o en texto; ","")&amp;IF(NOT(ISNUMBER(G386)),"Valor vacío o en texto; ","")&amp;IF(ISNUMBER(M386),IF(M386&lt;1000000,"Valor inferior a $1.000.000: verificar; ",""),"Valor no interpretable; ")&amp;IF(N386="[PENDIENTE DE VERIFICAR]","Modalidad no identificable; ","")&amp;IF(OR(ISERROR(SEARCH("@itc.edu.co",J386)),SUMPRODUCT(--ISNUMBER(SEARCH({"á","é","í","ó","ú","ñ"},J386)))&gt;0),"Correo vacío o no institucional válido; ","")&amp;IF(LEN(TRIM(D386))=0,"Sin objeto contractual; ","")&amp;IF(AND(ISNUMBER(M386),N386="Mínima cuantía"),IF(M386&gt;39850000,"Mínima cuantía con valor superior al tope citado en el instructivo 2026 ($39.850.000): verificar modalidad; ",""),"")&amp;IF(AND(ISNUMBER(M386),OR(ISNUMBER(SEARCH("prestación de servicios",D386)),ISNUMBER(SEARCH("prestar servicios",D386)),ISNUMBER(SEARCH("prestar los servicios",D386)))),IF(M386&gt;=500000000,"Prestación de servicios por $500 millones o más: posible error de digitación; ",""),""))</f>
        <v/>
      </c>
    </row>
    <row r="387" ht="45.6" customHeight="1" s="23">
      <c r="A387" s="114" t="inlineStr">
        <is>
          <t>PN26-383</t>
        </is>
      </c>
      <c r="B387" s="114" t="n">
        <v>81112501</v>
      </c>
      <c r="C387" s="114" t="inlineStr">
        <is>
          <t>Gestión Tecnología e Informática</t>
        </is>
      </c>
      <c r="D387" s="114" t="inlineStr">
        <is>
          <t xml:space="preserve">ADQUISICIÓN DEL SOFTWARE DE SEGURIDAD Y SALUD EN EL TRABAJO (SST) HSEQ NUEVA VISION PARA LA ESCUELA TECNOLÓGICA INSTITUTO TÉCNICO CENTRAL.
</t>
        </is>
      </c>
      <c r="E387" s="114" t="n">
        <v>1</v>
      </c>
      <c r="F387" s="114" t="inlineStr">
        <is>
          <t>Minima Cuantía</t>
        </is>
      </c>
      <c r="G387" s="118" t="inlineStr">
        <is>
          <t xml:space="preserve">$ 6.600.000,00 </t>
        </is>
      </c>
      <c r="H387" s="114" t="inlineStr">
        <is>
          <t>Licenciamiento</t>
        </is>
      </c>
      <c r="I387" s="114" t="inlineStr">
        <is>
          <t xml:space="preserve">3443000 Ext </t>
        </is>
      </c>
      <c r="J387" s="114" t="inlineStr">
        <is>
          <t>gestionit@itc.edu.co</t>
        </is>
      </c>
      <c r="K387" s="114" t="n"/>
      <c r="L387" s="119" t="inlineStr">
        <is>
          <t>132 · GIT Gestión de Informática y Telecomunicaciones</t>
        </is>
      </c>
      <c r="M387" s="120" t="n">
        <v>6600000</v>
      </c>
      <c r="N387" s="119" t="inlineStr">
        <is>
          <t>Mínima cuantía</t>
        </is>
      </c>
      <c r="O387" s="119">
        <f>IF(LEN(IF(OR(NOT(ISNUMBER(B387)),LEN(B387)&lt;&gt;8),"UNSPSC vacío, en texto, con varios códigos o sin 8 dígitos; ","")&amp;IF(AND(ISNUMBER(B387),LEN(B387)=8),IF(MOD(B387,10000)=0,"UNSPSC a nivel de segmento o familia; ",""),"")&amp;IF(NOT(ISNUMBER(E387)),"Duración vacía o en texto; ","")&amp;IF(NOT(ISNUMBER(G387)),"Valor vacío o en texto; ","")&amp;IF(ISNUMBER(M387),IF(M387&lt;1000000,"Valor inferior a $1.000.000: verificar; ",""),"Valor no interpretable; ")&amp;IF(N387="[PENDIENTE DE VERIFICAR]","Modalidad no identificable; ","")&amp;IF(OR(ISERROR(SEARCH("@itc.edu.co",J387)),SUMPRODUCT(--ISNUMBER(SEARCH({"á","é","í","ó","ú","ñ"},J387)))&gt;0),"Correo vacío o no institucional válido; ","")&amp;IF(LEN(TRIM(D387))=0,"Sin objeto contractual; ","")&amp;IF(AND(ISNUMBER(M387),N387="Mínima cuantía"),IF(M387&gt;39850000,"Mínima cuantía con valor superior al tope citado en el instructivo 2026 ($39.850.000): verificar modalidad; ",""),"")&amp;IF(AND(ISNUMBER(M387),OR(ISNUMBER(SEARCH("prestación de servicios",D387)),ISNUMBER(SEARCH("prestar servicios",D387)),ISNUMBER(SEARCH("prestar los servicios",D387)))),IF(M387&gt;=500000000,"Prestación de servicios por $500 millones o más: posible error de digitación; ",""),""))=0,"Sin observaciones",IF(OR(NOT(ISNUMBER(B387)),LEN(B387)&lt;&gt;8),"UNSPSC vacío, en texto, con varios códigos o sin 8 dígitos; ","")&amp;IF(AND(ISNUMBER(B387),LEN(B387)=8),IF(MOD(B387,10000)=0,"UNSPSC a nivel de segmento o familia; ",""),"")&amp;IF(NOT(ISNUMBER(E387)),"Duración vacía o en texto; ","")&amp;IF(NOT(ISNUMBER(G387)),"Valor vacío o en texto; ","")&amp;IF(ISNUMBER(M387),IF(M387&lt;1000000,"Valor inferior a $1.000.000: verificar; ",""),"Valor no interpretable; ")&amp;IF(N387="[PENDIENTE DE VERIFICAR]","Modalidad no identificable; ","")&amp;IF(OR(ISERROR(SEARCH("@itc.edu.co",J387)),SUMPRODUCT(--ISNUMBER(SEARCH({"á","é","í","ó","ú","ñ"},J387)))&gt;0),"Correo vacío o no institucional válido; ","")&amp;IF(LEN(TRIM(D387))=0,"Sin objeto contractual; ","")&amp;IF(AND(ISNUMBER(M387),N387="Mínima cuantía"),IF(M387&gt;39850000,"Mínima cuantía con valor superior al tope citado en el instructivo 2026 ($39.850.000): verificar modalidad; ",""),"")&amp;IF(AND(ISNUMBER(M387),OR(ISNUMBER(SEARCH("prestación de servicios",D387)),ISNUMBER(SEARCH("prestar servicios",D387)),ISNUMBER(SEARCH("prestar los servicios",D387)))),IF(M387&gt;=500000000,"Prestación de servicios por $500 millones o más: posible error de digitación; ",""),""))</f>
        <v/>
      </c>
    </row>
    <row r="388" ht="34.2" customHeight="1" s="23">
      <c r="A388" s="114" t="inlineStr">
        <is>
          <t>PN26-384</t>
        </is>
      </c>
      <c r="B388" s="114" t="n">
        <v>81112501</v>
      </c>
      <c r="C388" s="114" t="inlineStr">
        <is>
          <t>Gestión Tecnología e Informática</t>
        </is>
      </c>
      <c r="D388" s="114" t="inlineStr">
        <is>
          <t xml:space="preserve">ADQUISICIÓN  DE QUINCE (15) LICENCIAS DEL SOFTWARE AUTOMATION STUDIO COMO APOYO A LAS ACTIVIDADES ACADÉMICAS DE LA ETITC
</t>
        </is>
      </c>
      <c r="E388" s="114" t="n">
        <v>1</v>
      </c>
      <c r="F388" s="114" t="inlineStr">
        <is>
          <t>Minima Cuantía</t>
        </is>
      </c>
      <c r="G388" s="118" t="inlineStr">
        <is>
          <t xml:space="preserve">$ 19.260.626,00 </t>
        </is>
      </c>
      <c r="H388" s="114" t="inlineStr">
        <is>
          <t>Licenciamiento</t>
        </is>
      </c>
      <c r="I388" s="114" t="inlineStr">
        <is>
          <t xml:space="preserve">3443000 Ext </t>
        </is>
      </c>
      <c r="J388" s="114" t="inlineStr">
        <is>
          <t>gestionit@itc.edu.co</t>
        </is>
      </c>
      <c r="K388" s="114" t="n"/>
      <c r="L388" s="119" t="inlineStr">
        <is>
          <t>132 · GIT Gestión de Informática y Telecomunicaciones</t>
        </is>
      </c>
      <c r="M388" s="120" t="n">
        <v>19260626</v>
      </c>
      <c r="N388" s="119" t="inlineStr">
        <is>
          <t>Mínima cuantía</t>
        </is>
      </c>
      <c r="O388" s="119">
        <f>IF(LEN(IF(OR(NOT(ISNUMBER(B388)),LEN(B388)&lt;&gt;8),"UNSPSC vacío, en texto, con varios códigos o sin 8 dígitos; ","")&amp;IF(AND(ISNUMBER(B388),LEN(B388)=8),IF(MOD(B388,10000)=0,"UNSPSC a nivel de segmento o familia; ",""),"")&amp;IF(NOT(ISNUMBER(E388)),"Duración vacía o en texto; ","")&amp;IF(NOT(ISNUMBER(G388)),"Valor vacío o en texto; ","")&amp;IF(ISNUMBER(M388),IF(M388&lt;1000000,"Valor inferior a $1.000.000: verificar; ",""),"Valor no interpretable; ")&amp;IF(N388="[PENDIENTE DE VERIFICAR]","Modalidad no identificable; ","")&amp;IF(OR(ISERROR(SEARCH("@itc.edu.co",J388)),SUMPRODUCT(--ISNUMBER(SEARCH({"á","é","í","ó","ú","ñ"},J388)))&gt;0),"Correo vacío o no institucional válido; ","")&amp;IF(LEN(TRIM(D388))=0,"Sin objeto contractual; ","")&amp;IF(AND(ISNUMBER(M388),N388="Mínima cuantía"),IF(M388&gt;39850000,"Mínima cuantía con valor superior al tope citado en el instructivo 2026 ($39.850.000): verificar modalidad; ",""),"")&amp;IF(AND(ISNUMBER(M388),OR(ISNUMBER(SEARCH("prestación de servicios",D388)),ISNUMBER(SEARCH("prestar servicios",D388)),ISNUMBER(SEARCH("prestar los servicios",D388)))),IF(M388&gt;=500000000,"Prestación de servicios por $500 millones o más: posible error de digitación; ",""),""))=0,"Sin observaciones",IF(OR(NOT(ISNUMBER(B388)),LEN(B388)&lt;&gt;8),"UNSPSC vacío, en texto, con varios códigos o sin 8 dígitos; ","")&amp;IF(AND(ISNUMBER(B388),LEN(B388)=8),IF(MOD(B388,10000)=0,"UNSPSC a nivel de segmento o familia; ",""),"")&amp;IF(NOT(ISNUMBER(E388)),"Duración vacía o en texto; ","")&amp;IF(NOT(ISNUMBER(G388)),"Valor vacío o en texto; ","")&amp;IF(ISNUMBER(M388),IF(M388&lt;1000000,"Valor inferior a $1.000.000: verificar; ",""),"Valor no interpretable; ")&amp;IF(N388="[PENDIENTE DE VERIFICAR]","Modalidad no identificable; ","")&amp;IF(OR(ISERROR(SEARCH("@itc.edu.co",J388)),SUMPRODUCT(--ISNUMBER(SEARCH({"á","é","í","ó","ú","ñ"},J388)))&gt;0),"Correo vacío o no institucional válido; ","")&amp;IF(LEN(TRIM(D388))=0,"Sin objeto contractual; ","")&amp;IF(AND(ISNUMBER(M388),N388="Mínima cuantía"),IF(M388&gt;39850000,"Mínima cuantía con valor superior al tope citado en el instructivo 2026 ($39.850.000): verificar modalidad; ",""),"")&amp;IF(AND(ISNUMBER(M388),OR(ISNUMBER(SEARCH("prestación de servicios",D388)),ISNUMBER(SEARCH("prestar servicios",D388)),ISNUMBER(SEARCH("prestar los servicios",D388)))),IF(M388&gt;=500000000,"Prestación de servicios por $500 millones o más: posible error de digitación; ",""),""))</f>
        <v/>
      </c>
    </row>
    <row r="389" ht="34.2" customHeight="1" s="23">
      <c r="A389" s="114" t="inlineStr">
        <is>
          <t>PN26-385</t>
        </is>
      </c>
      <c r="B389" s="114" t="n">
        <v>81112501</v>
      </c>
      <c r="C389" s="114" t="inlineStr">
        <is>
          <t>Gestión Tecnología e Informática</t>
        </is>
      </c>
      <c r="D389" s="114" t="inlineStr">
        <is>
          <t>ADQUISICIÓN DE TREINTA (30) LICENCIAS FLOTANTES ACADÉMICAS DEL SOFTWARE ENTERPRISE ARCHITECT PARA LA ESCUELA TECNOLOGICA INSTITUTO TÉCNICO CENTRAL.</t>
        </is>
      </c>
      <c r="E389" s="114" t="n">
        <v>1</v>
      </c>
      <c r="F389" s="114" t="inlineStr">
        <is>
          <t>Minima Cuantía</t>
        </is>
      </c>
      <c r="G389" s="118" t="inlineStr">
        <is>
          <t xml:space="preserve"> $ 14.373.330,51 </t>
        </is>
      </c>
      <c r="H389" s="114" t="inlineStr">
        <is>
          <t>Licenciamiento</t>
        </is>
      </c>
      <c r="I389" s="114" t="inlineStr">
        <is>
          <t xml:space="preserve">3443000 Ext </t>
        </is>
      </c>
      <c r="J389" s="114" t="inlineStr">
        <is>
          <t>gestionit@itc.edu.co</t>
        </is>
      </c>
      <c r="K389" s="114" t="n"/>
      <c r="L389" s="119" t="inlineStr">
        <is>
          <t>132 · GIT Gestión de Informática y Telecomunicaciones</t>
        </is>
      </c>
      <c r="M389" s="120" t="n">
        <v>14373330.51</v>
      </c>
      <c r="N389" s="119" t="inlineStr">
        <is>
          <t>Mínima cuantía</t>
        </is>
      </c>
      <c r="O389" s="119">
        <f>IF(LEN(IF(OR(NOT(ISNUMBER(B389)),LEN(B389)&lt;&gt;8),"UNSPSC vacío, en texto, con varios códigos o sin 8 dígitos; ","")&amp;IF(AND(ISNUMBER(B389),LEN(B389)=8),IF(MOD(B389,10000)=0,"UNSPSC a nivel de segmento o familia; ",""),"")&amp;IF(NOT(ISNUMBER(E389)),"Duración vacía o en texto; ","")&amp;IF(NOT(ISNUMBER(G389)),"Valor vacío o en texto; ","")&amp;IF(ISNUMBER(M389),IF(M389&lt;1000000,"Valor inferior a $1.000.000: verificar; ",""),"Valor no interpretable; ")&amp;IF(N389="[PENDIENTE DE VERIFICAR]","Modalidad no identificable; ","")&amp;IF(OR(ISERROR(SEARCH("@itc.edu.co",J389)),SUMPRODUCT(--ISNUMBER(SEARCH({"á","é","í","ó","ú","ñ"},J389)))&gt;0),"Correo vacío o no institucional válido; ","")&amp;IF(LEN(TRIM(D389))=0,"Sin objeto contractual; ","")&amp;IF(AND(ISNUMBER(M389),N389="Mínima cuantía"),IF(M389&gt;39850000,"Mínima cuantía con valor superior al tope citado en el instructivo 2026 ($39.850.000): verificar modalidad; ",""),"")&amp;IF(AND(ISNUMBER(M389),OR(ISNUMBER(SEARCH("prestación de servicios",D389)),ISNUMBER(SEARCH("prestar servicios",D389)),ISNUMBER(SEARCH("prestar los servicios",D389)))),IF(M389&gt;=500000000,"Prestación de servicios por $500 millones o más: posible error de digitación; ",""),""))=0,"Sin observaciones",IF(OR(NOT(ISNUMBER(B389)),LEN(B389)&lt;&gt;8),"UNSPSC vacío, en texto, con varios códigos o sin 8 dígitos; ","")&amp;IF(AND(ISNUMBER(B389),LEN(B389)=8),IF(MOD(B389,10000)=0,"UNSPSC a nivel de segmento o familia; ",""),"")&amp;IF(NOT(ISNUMBER(E389)),"Duración vacía o en texto; ","")&amp;IF(NOT(ISNUMBER(G389)),"Valor vacío o en texto; ","")&amp;IF(ISNUMBER(M389),IF(M389&lt;1000000,"Valor inferior a $1.000.000: verificar; ",""),"Valor no interpretable; ")&amp;IF(N389="[PENDIENTE DE VERIFICAR]","Modalidad no identificable; ","")&amp;IF(OR(ISERROR(SEARCH("@itc.edu.co",J389)),SUMPRODUCT(--ISNUMBER(SEARCH({"á","é","í","ó","ú","ñ"},J389)))&gt;0),"Correo vacío o no institucional válido; ","")&amp;IF(LEN(TRIM(D389))=0,"Sin objeto contractual; ","")&amp;IF(AND(ISNUMBER(M389),N389="Mínima cuantía"),IF(M389&gt;39850000,"Mínima cuantía con valor superior al tope citado en el instructivo 2026 ($39.850.000): verificar modalidad; ",""),"")&amp;IF(AND(ISNUMBER(M389),OR(ISNUMBER(SEARCH("prestación de servicios",D389)),ISNUMBER(SEARCH("prestar servicios",D389)),ISNUMBER(SEARCH("prestar los servicios",D389)))),IF(M389&gt;=500000000,"Prestación de servicios por $500 millones o más: posible error de digitación; ",""),""))</f>
        <v/>
      </c>
    </row>
    <row r="390" ht="45.6" customHeight="1" s="23">
      <c r="A390" s="114" t="inlineStr">
        <is>
          <t>PN26-386</t>
        </is>
      </c>
      <c r="B390" s="114" t="n">
        <v>81112501</v>
      </c>
      <c r="C390" s="114" t="inlineStr">
        <is>
          <t>Gestión Tecnología e Informática</t>
        </is>
      </c>
      <c r="D390" s="114" t="inlineStr">
        <is>
          <t xml:space="preserve">ADQUISICIÓN DE 25 LICENCIAS DEL SOFTWARE PROTEUS PARA LOS TALLERES DE ELECTRICIDAD, ELECTRONICA Y AUTOMATIZACION DE LA ESCUELA TECNOLOGICA INSTITUTO TECNICO CENTRAL.
</t>
        </is>
      </c>
      <c r="E390" s="114" t="n">
        <v>1</v>
      </c>
      <c r="F390" s="114" t="inlineStr">
        <is>
          <t>Minima Cuantía</t>
        </is>
      </c>
      <c r="G390" s="118" t="inlineStr">
        <is>
          <t xml:space="preserve">$ 18.378.360,00 </t>
        </is>
      </c>
      <c r="H390" s="114" t="inlineStr">
        <is>
          <t>Licenciamiento</t>
        </is>
      </c>
      <c r="I390" s="114" t="inlineStr">
        <is>
          <t xml:space="preserve">3443000 Ext </t>
        </is>
      </c>
      <c r="J390" s="114" t="inlineStr">
        <is>
          <t>gestionit@itc.edu.co</t>
        </is>
      </c>
      <c r="K390" s="114" t="n"/>
      <c r="L390" s="119" t="inlineStr">
        <is>
          <t>132 · GIT Gestión de Informática y Telecomunicaciones</t>
        </is>
      </c>
      <c r="M390" s="120" t="n">
        <v>18378360</v>
      </c>
      <c r="N390" s="119" t="inlineStr">
        <is>
          <t>Mínima cuantía</t>
        </is>
      </c>
      <c r="O390" s="119">
        <f>IF(LEN(IF(OR(NOT(ISNUMBER(B390)),LEN(B390)&lt;&gt;8),"UNSPSC vacío, en texto, con varios códigos o sin 8 dígitos; ","")&amp;IF(AND(ISNUMBER(B390),LEN(B390)=8),IF(MOD(B390,10000)=0,"UNSPSC a nivel de segmento o familia; ",""),"")&amp;IF(NOT(ISNUMBER(E390)),"Duración vacía o en texto; ","")&amp;IF(NOT(ISNUMBER(G390)),"Valor vacío o en texto; ","")&amp;IF(ISNUMBER(M390),IF(M390&lt;1000000,"Valor inferior a $1.000.000: verificar; ",""),"Valor no interpretable; ")&amp;IF(N390="[PENDIENTE DE VERIFICAR]","Modalidad no identificable; ","")&amp;IF(OR(ISERROR(SEARCH("@itc.edu.co",J390)),SUMPRODUCT(--ISNUMBER(SEARCH({"á","é","í","ó","ú","ñ"},J390)))&gt;0),"Correo vacío o no institucional válido; ","")&amp;IF(LEN(TRIM(D390))=0,"Sin objeto contractual; ","")&amp;IF(AND(ISNUMBER(M390),N390="Mínima cuantía"),IF(M390&gt;39850000,"Mínima cuantía con valor superior al tope citado en el instructivo 2026 ($39.850.000): verificar modalidad; ",""),"")&amp;IF(AND(ISNUMBER(M390),OR(ISNUMBER(SEARCH("prestación de servicios",D390)),ISNUMBER(SEARCH("prestar servicios",D390)),ISNUMBER(SEARCH("prestar los servicios",D390)))),IF(M390&gt;=500000000,"Prestación de servicios por $500 millones o más: posible error de digitación; ",""),""))=0,"Sin observaciones",IF(OR(NOT(ISNUMBER(B390)),LEN(B390)&lt;&gt;8),"UNSPSC vacío, en texto, con varios códigos o sin 8 dígitos; ","")&amp;IF(AND(ISNUMBER(B390),LEN(B390)=8),IF(MOD(B390,10000)=0,"UNSPSC a nivel de segmento o familia; ",""),"")&amp;IF(NOT(ISNUMBER(E390)),"Duración vacía o en texto; ","")&amp;IF(NOT(ISNUMBER(G390)),"Valor vacío o en texto; ","")&amp;IF(ISNUMBER(M390),IF(M390&lt;1000000,"Valor inferior a $1.000.000: verificar; ",""),"Valor no interpretable; ")&amp;IF(N390="[PENDIENTE DE VERIFICAR]","Modalidad no identificable; ","")&amp;IF(OR(ISERROR(SEARCH("@itc.edu.co",J390)),SUMPRODUCT(--ISNUMBER(SEARCH({"á","é","í","ó","ú","ñ"},J390)))&gt;0),"Correo vacío o no institucional válido; ","")&amp;IF(LEN(TRIM(D390))=0,"Sin objeto contractual; ","")&amp;IF(AND(ISNUMBER(M390),N390="Mínima cuantía"),IF(M390&gt;39850000,"Mínima cuantía con valor superior al tope citado en el instructivo 2026 ($39.850.000): verificar modalidad; ",""),"")&amp;IF(AND(ISNUMBER(M390),OR(ISNUMBER(SEARCH("prestación de servicios",D390)),ISNUMBER(SEARCH("prestar servicios",D390)),ISNUMBER(SEARCH("prestar los servicios",D390)))),IF(M390&gt;=500000000,"Prestación de servicios por $500 millones o más: posible error de digitación; ",""),""))</f>
        <v/>
      </c>
    </row>
    <row r="391" ht="45.6" customHeight="1" s="23">
      <c r="A391" s="114" t="inlineStr">
        <is>
          <t>PN26-387</t>
        </is>
      </c>
      <c r="B391" s="114" t="n">
        <v>81112501</v>
      </c>
      <c r="C391" s="114" t="inlineStr">
        <is>
          <t>Gestión Tecnología e Informática</t>
        </is>
      </c>
      <c r="D391" s="114" t="inlineStr">
        <is>
          <t>ADQUISICIÓN DE 23 LICENCIAS DEL ESET ENPOINT ENCRYPTION (PRO)- DESLOCK – PRO, 40 LICENCIAS DE SAFETICA PROTECTION + UEBA -DLP, 2 LICENCIAS DE ISL ONLINE SAS (1) AÑO DE SUSCRIPCION Y 1 LICENCIA ISL ONLINE ON-PREMISES (1) AÑO DE MANTENIMIENTO.</t>
        </is>
      </c>
      <c r="E391" s="114" t="n">
        <v>1</v>
      </c>
      <c r="F391" s="114" t="inlineStr">
        <is>
          <t>Minima Cuantía</t>
        </is>
      </c>
      <c r="G391" s="118" t="inlineStr">
        <is>
          <t xml:space="preserve">$ 39.995.787,34 </t>
        </is>
      </c>
      <c r="H391" s="114" t="inlineStr">
        <is>
          <t>Licenciamiento</t>
        </is>
      </c>
      <c r="I391" s="114" t="inlineStr">
        <is>
          <t xml:space="preserve">3443000 Ext </t>
        </is>
      </c>
      <c r="J391" s="114" t="inlineStr">
        <is>
          <t>gestionit@itc.edu.co</t>
        </is>
      </c>
      <c r="K391" s="114" t="n"/>
      <c r="L391" s="119" t="inlineStr">
        <is>
          <t>132 · GIT Gestión de Informática y Telecomunicaciones</t>
        </is>
      </c>
      <c r="M391" s="120" t="n">
        <v>39995787.34</v>
      </c>
      <c r="N391" s="119" t="inlineStr">
        <is>
          <t>Mínima cuantía</t>
        </is>
      </c>
      <c r="O391" s="119">
        <f>IF(LEN(IF(OR(NOT(ISNUMBER(B391)),LEN(B391)&lt;&gt;8),"UNSPSC vacío, en texto, con varios códigos o sin 8 dígitos; ","")&amp;IF(AND(ISNUMBER(B391),LEN(B391)=8),IF(MOD(B391,10000)=0,"UNSPSC a nivel de segmento o familia; ",""),"")&amp;IF(NOT(ISNUMBER(E391)),"Duración vacía o en texto; ","")&amp;IF(NOT(ISNUMBER(G391)),"Valor vacío o en texto; ","")&amp;IF(ISNUMBER(M391),IF(M391&lt;1000000,"Valor inferior a $1.000.000: verificar; ",""),"Valor no interpretable; ")&amp;IF(N391="[PENDIENTE DE VERIFICAR]","Modalidad no identificable; ","")&amp;IF(OR(ISERROR(SEARCH("@itc.edu.co",J391)),SUMPRODUCT(--ISNUMBER(SEARCH({"á","é","í","ó","ú","ñ"},J391)))&gt;0),"Correo vacío o no institucional válido; ","")&amp;IF(LEN(TRIM(D391))=0,"Sin objeto contractual; ","")&amp;IF(AND(ISNUMBER(M391),N391="Mínima cuantía"),IF(M391&gt;39850000,"Mínima cuantía con valor superior al tope citado en el instructivo 2026 ($39.850.000): verificar modalidad; ",""),"")&amp;IF(AND(ISNUMBER(M391),OR(ISNUMBER(SEARCH("prestación de servicios",D391)),ISNUMBER(SEARCH("prestar servicios",D391)),ISNUMBER(SEARCH("prestar los servicios",D391)))),IF(M391&gt;=500000000,"Prestación de servicios por $500 millones o más: posible error de digitación; ",""),""))=0,"Sin observaciones",IF(OR(NOT(ISNUMBER(B391)),LEN(B391)&lt;&gt;8),"UNSPSC vacío, en texto, con varios códigos o sin 8 dígitos; ","")&amp;IF(AND(ISNUMBER(B391),LEN(B391)=8),IF(MOD(B391,10000)=0,"UNSPSC a nivel de segmento o familia; ",""),"")&amp;IF(NOT(ISNUMBER(E391)),"Duración vacía o en texto; ","")&amp;IF(NOT(ISNUMBER(G391)),"Valor vacío o en texto; ","")&amp;IF(ISNUMBER(M391),IF(M391&lt;1000000,"Valor inferior a $1.000.000: verificar; ",""),"Valor no interpretable; ")&amp;IF(N391="[PENDIENTE DE VERIFICAR]","Modalidad no identificable; ","")&amp;IF(OR(ISERROR(SEARCH("@itc.edu.co",J391)),SUMPRODUCT(--ISNUMBER(SEARCH({"á","é","í","ó","ú","ñ"},J391)))&gt;0),"Correo vacío o no institucional válido; ","")&amp;IF(LEN(TRIM(D391))=0,"Sin objeto contractual; ","")&amp;IF(AND(ISNUMBER(M391),N391="Mínima cuantía"),IF(M391&gt;39850000,"Mínima cuantía con valor superior al tope citado en el instructivo 2026 ($39.850.000): verificar modalidad; ",""),"")&amp;IF(AND(ISNUMBER(M391),OR(ISNUMBER(SEARCH("prestación de servicios",D391)),ISNUMBER(SEARCH("prestar servicios",D391)),ISNUMBER(SEARCH("prestar los servicios",D391)))),IF(M391&gt;=500000000,"Prestación de servicios por $500 millones o más: posible error de digitación; ",""),""))</f>
        <v/>
      </c>
    </row>
    <row r="392" ht="34.2" customHeight="1" s="23">
      <c r="A392" s="114" t="inlineStr">
        <is>
          <t>PN26-388</t>
        </is>
      </c>
      <c r="B392" s="114" t="n">
        <v>81112501</v>
      </c>
      <c r="C392" s="114" t="inlineStr">
        <is>
          <t>Gestión Tecnología e Informática</t>
        </is>
      </c>
      <c r="D392" s="114" t="inlineStr">
        <is>
          <t>ADQUISICIÓN DE 400 LICENCIAS DEL ANTIVIRUS ESET® ENPOINT PROTEC ENTRY ON PREMISE Y 54 LICENCIAS DE XOPERO ON PREMISE SUSCRIPCIÓN- (1) AÑO DE MANTENIMIENTO Y SOPORTE</t>
        </is>
      </c>
      <c r="E392" s="114" t="n">
        <v>1</v>
      </c>
      <c r="F392" s="114" t="inlineStr">
        <is>
          <t>Minima Cuantía</t>
        </is>
      </c>
      <c r="G392" s="118" t="inlineStr">
        <is>
          <t xml:space="preserve">$ 40.025.413,60 </t>
        </is>
      </c>
      <c r="H392" s="114" t="inlineStr">
        <is>
          <t>Licenciamiento</t>
        </is>
      </c>
      <c r="I392" s="114" t="inlineStr">
        <is>
          <t xml:space="preserve">3443000 Ext </t>
        </is>
      </c>
      <c r="J392" s="114" t="inlineStr">
        <is>
          <t>gestionit@itc.edu.co</t>
        </is>
      </c>
      <c r="K392" s="114" t="n"/>
      <c r="L392" s="119" t="inlineStr">
        <is>
          <t>132 · GIT Gestión de Informática y Telecomunicaciones</t>
        </is>
      </c>
      <c r="M392" s="120" t="n">
        <v>40025413.6</v>
      </c>
      <c r="N392" s="119" t="inlineStr">
        <is>
          <t>Mínima cuantía</t>
        </is>
      </c>
      <c r="O392" s="119">
        <f>IF(LEN(IF(OR(NOT(ISNUMBER(B392)),LEN(B392)&lt;&gt;8),"UNSPSC vacío, en texto, con varios códigos o sin 8 dígitos; ","")&amp;IF(AND(ISNUMBER(B392),LEN(B392)=8),IF(MOD(B392,10000)=0,"UNSPSC a nivel de segmento o familia; ",""),"")&amp;IF(NOT(ISNUMBER(E392)),"Duración vacía o en texto; ","")&amp;IF(NOT(ISNUMBER(G392)),"Valor vacío o en texto; ","")&amp;IF(ISNUMBER(M392),IF(M392&lt;1000000,"Valor inferior a $1.000.000: verificar; ",""),"Valor no interpretable; ")&amp;IF(N392="[PENDIENTE DE VERIFICAR]","Modalidad no identificable; ","")&amp;IF(OR(ISERROR(SEARCH("@itc.edu.co",J392)),SUMPRODUCT(--ISNUMBER(SEARCH({"á","é","í","ó","ú","ñ"},J392)))&gt;0),"Correo vacío o no institucional válido; ","")&amp;IF(LEN(TRIM(D392))=0,"Sin objeto contractual; ","")&amp;IF(AND(ISNUMBER(M392),N392="Mínima cuantía"),IF(M392&gt;39850000,"Mínima cuantía con valor superior al tope citado en el instructivo 2026 ($39.850.000): verificar modalidad; ",""),"")&amp;IF(AND(ISNUMBER(M392),OR(ISNUMBER(SEARCH("prestación de servicios",D392)),ISNUMBER(SEARCH("prestar servicios",D392)),ISNUMBER(SEARCH("prestar los servicios",D392)))),IF(M392&gt;=500000000,"Prestación de servicios por $500 millones o más: posible error de digitación; ",""),""))=0,"Sin observaciones",IF(OR(NOT(ISNUMBER(B392)),LEN(B392)&lt;&gt;8),"UNSPSC vacío, en texto, con varios códigos o sin 8 dígitos; ","")&amp;IF(AND(ISNUMBER(B392),LEN(B392)=8),IF(MOD(B392,10000)=0,"UNSPSC a nivel de segmento o familia; ",""),"")&amp;IF(NOT(ISNUMBER(E392)),"Duración vacía o en texto; ","")&amp;IF(NOT(ISNUMBER(G392)),"Valor vacío o en texto; ","")&amp;IF(ISNUMBER(M392),IF(M392&lt;1000000,"Valor inferior a $1.000.000: verificar; ",""),"Valor no interpretable; ")&amp;IF(N392="[PENDIENTE DE VERIFICAR]","Modalidad no identificable; ","")&amp;IF(OR(ISERROR(SEARCH("@itc.edu.co",J392)),SUMPRODUCT(--ISNUMBER(SEARCH({"á","é","í","ó","ú","ñ"},J392)))&gt;0),"Correo vacío o no institucional válido; ","")&amp;IF(LEN(TRIM(D392))=0,"Sin objeto contractual; ","")&amp;IF(AND(ISNUMBER(M392),N392="Mínima cuantía"),IF(M392&gt;39850000,"Mínima cuantía con valor superior al tope citado en el instructivo 2026 ($39.850.000): verificar modalidad; ",""),"")&amp;IF(AND(ISNUMBER(M392),OR(ISNUMBER(SEARCH("prestación de servicios",D392)),ISNUMBER(SEARCH("prestar servicios",D392)),ISNUMBER(SEARCH("prestar los servicios",D392)))),IF(M392&gt;=500000000,"Prestación de servicios por $500 millones o más: posible error de digitación; ",""),""))</f>
        <v/>
      </c>
    </row>
    <row r="393" ht="34.2" customHeight="1" s="23">
      <c r="A393" s="114" t="inlineStr">
        <is>
          <t>PN26-389</t>
        </is>
      </c>
      <c r="B393" s="114" t="n">
        <v>81112501</v>
      </c>
      <c r="C393" s="114" t="inlineStr">
        <is>
          <t>Gestión Tecnología e Informática</t>
        </is>
      </c>
      <c r="D393" s="114" t="inlineStr">
        <is>
          <t xml:space="preserve">ADQUISICIÓN DE 900 LICENCIAS DE SOFTWARE REXTORE DURANTE UN AÑO PARA LA ESCUELA TECNOLÓGICA INSTITUTO TÉCNICO CENTRAL
</t>
        </is>
      </c>
      <c r="E393" s="114" t="n">
        <v>1</v>
      </c>
      <c r="F393" s="114" t="inlineStr">
        <is>
          <t>Minima Cuantía</t>
        </is>
      </c>
      <c r="G393" s="118" t="inlineStr">
        <is>
          <t xml:space="preserve">$ 38.618.118,00 </t>
        </is>
      </c>
      <c r="H393" s="114" t="inlineStr">
        <is>
          <t>Licenciamiento</t>
        </is>
      </c>
      <c r="I393" s="114" t="inlineStr">
        <is>
          <t xml:space="preserve">3443000 Ext </t>
        </is>
      </c>
      <c r="J393" s="114" t="inlineStr">
        <is>
          <t>gestionit@itc.edu.co</t>
        </is>
      </c>
      <c r="K393" s="114" t="n"/>
      <c r="L393" s="119" t="inlineStr">
        <is>
          <t>132 · GIT Gestión de Informática y Telecomunicaciones</t>
        </is>
      </c>
      <c r="M393" s="120" t="n">
        <v>38618118</v>
      </c>
      <c r="N393" s="119" t="inlineStr">
        <is>
          <t>Mínima cuantía</t>
        </is>
      </c>
      <c r="O393" s="119">
        <f>IF(LEN(IF(OR(NOT(ISNUMBER(B393)),LEN(B393)&lt;&gt;8),"UNSPSC vacío, en texto, con varios códigos o sin 8 dígitos; ","")&amp;IF(AND(ISNUMBER(B393),LEN(B393)=8),IF(MOD(B393,10000)=0,"UNSPSC a nivel de segmento o familia; ",""),"")&amp;IF(NOT(ISNUMBER(E393)),"Duración vacía o en texto; ","")&amp;IF(NOT(ISNUMBER(G393)),"Valor vacío o en texto; ","")&amp;IF(ISNUMBER(M393),IF(M393&lt;1000000,"Valor inferior a $1.000.000: verificar; ",""),"Valor no interpretable; ")&amp;IF(N393="[PENDIENTE DE VERIFICAR]","Modalidad no identificable; ","")&amp;IF(OR(ISERROR(SEARCH("@itc.edu.co",J393)),SUMPRODUCT(--ISNUMBER(SEARCH({"á","é","í","ó","ú","ñ"},J393)))&gt;0),"Correo vacío o no institucional válido; ","")&amp;IF(LEN(TRIM(D393))=0,"Sin objeto contractual; ","")&amp;IF(AND(ISNUMBER(M393),N393="Mínima cuantía"),IF(M393&gt;39850000,"Mínima cuantía con valor superior al tope citado en el instructivo 2026 ($39.850.000): verificar modalidad; ",""),"")&amp;IF(AND(ISNUMBER(M393),OR(ISNUMBER(SEARCH("prestación de servicios",D393)),ISNUMBER(SEARCH("prestar servicios",D393)),ISNUMBER(SEARCH("prestar los servicios",D393)))),IF(M393&gt;=500000000,"Prestación de servicios por $500 millones o más: posible error de digitación; ",""),""))=0,"Sin observaciones",IF(OR(NOT(ISNUMBER(B393)),LEN(B393)&lt;&gt;8),"UNSPSC vacío, en texto, con varios códigos o sin 8 dígitos; ","")&amp;IF(AND(ISNUMBER(B393),LEN(B393)=8),IF(MOD(B393,10000)=0,"UNSPSC a nivel de segmento o familia; ",""),"")&amp;IF(NOT(ISNUMBER(E393)),"Duración vacía o en texto; ","")&amp;IF(NOT(ISNUMBER(G393)),"Valor vacío o en texto; ","")&amp;IF(ISNUMBER(M393),IF(M393&lt;1000000,"Valor inferior a $1.000.000: verificar; ",""),"Valor no interpretable; ")&amp;IF(N393="[PENDIENTE DE VERIFICAR]","Modalidad no identificable; ","")&amp;IF(OR(ISERROR(SEARCH("@itc.edu.co",J393)),SUMPRODUCT(--ISNUMBER(SEARCH({"á","é","í","ó","ú","ñ"},J393)))&gt;0),"Correo vacío o no institucional válido; ","")&amp;IF(LEN(TRIM(D393))=0,"Sin objeto contractual; ","")&amp;IF(AND(ISNUMBER(M393),N393="Mínima cuantía"),IF(M393&gt;39850000,"Mínima cuantía con valor superior al tope citado en el instructivo 2026 ($39.850.000): verificar modalidad; ",""),"")&amp;IF(AND(ISNUMBER(M393),OR(ISNUMBER(SEARCH("prestación de servicios",D393)),ISNUMBER(SEARCH("prestar servicios",D393)),ISNUMBER(SEARCH("prestar los servicios",D393)))),IF(M393&gt;=500000000,"Prestación de servicios por $500 millones o más: posible error de digitación; ",""),""))</f>
        <v/>
      </c>
    </row>
    <row r="394" ht="57" customHeight="1" s="23">
      <c r="A394" s="114" t="inlineStr">
        <is>
          <t>PN26-390</t>
        </is>
      </c>
      <c r="B394" s="114" t="n">
        <v>81112501</v>
      </c>
      <c r="C394" s="114" t="inlineStr">
        <is>
          <t>Gestión Tecnología e Informática</t>
        </is>
      </c>
      <c r="D394" s="114" t="inlineStr">
        <is>
          <t xml:space="preserve">ADQUISICIÓN DEL LICENCIAMIENTO DEL SOFTWARE SOLIDWORKS EDUCATION EDITION CAMPUS PLUS DURANTE UN (1) AÑO PARA EL APOYO ACADÉMICO DE LA ESCUELA TECNOLÓGICA INSTITUTO TÉCNICO CENTRAL.
</t>
        </is>
      </c>
      <c r="E394" s="114" t="n">
        <v>1</v>
      </c>
      <c r="F394" s="114" t="inlineStr">
        <is>
          <t>Minima Cuantía</t>
        </is>
      </c>
      <c r="G394" s="118" t="inlineStr">
        <is>
          <t xml:space="preserve">$ 19.800.000,00 </t>
        </is>
      </c>
      <c r="H394" s="114" t="inlineStr">
        <is>
          <t>Licenciamiento</t>
        </is>
      </c>
      <c r="I394" s="114" t="inlineStr">
        <is>
          <t xml:space="preserve">3443000 Ext </t>
        </is>
      </c>
      <c r="J394" s="114" t="inlineStr">
        <is>
          <t>gestionit@itc.edu.co</t>
        </is>
      </c>
      <c r="K394" s="114" t="n"/>
      <c r="L394" s="119" t="inlineStr">
        <is>
          <t>132 · GIT Gestión de Informática y Telecomunicaciones</t>
        </is>
      </c>
      <c r="M394" s="120" t="n">
        <v>19800000</v>
      </c>
      <c r="N394" s="119" t="inlineStr">
        <is>
          <t>Mínima cuantía</t>
        </is>
      </c>
      <c r="O394" s="119">
        <f>IF(LEN(IF(OR(NOT(ISNUMBER(B394)),LEN(B394)&lt;&gt;8),"UNSPSC vacío, en texto, con varios códigos o sin 8 dígitos; ","")&amp;IF(AND(ISNUMBER(B394),LEN(B394)=8),IF(MOD(B394,10000)=0,"UNSPSC a nivel de segmento o familia; ",""),"")&amp;IF(NOT(ISNUMBER(E394)),"Duración vacía o en texto; ","")&amp;IF(NOT(ISNUMBER(G394)),"Valor vacío o en texto; ","")&amp;IF(ISNUMBER(M394),IF(M394&lt;1000000,"Valor inferior a $1.000.000: verificar; ",""),"Valor no interpretable; ")&amp;IF(N394="[PENDIENTE DE VERIFICAR]","Modalidad no identificable; ","")&amp;IF(OR(ISERROR(SEARCH("@itc.edu.co",J394)),SUMPRODUCT(--ISNUMBER(SEARCH({"á","é","í","ó","ú","ñ"},J394)))&gt;0),"Correo vacío o no institucional válido; ","")&amp;IF(LEN(TRIM(D394))=0,"Sin objeto contractual; ","")&amp;IF(AND(ISNUMBER(M394),N394="Mínima cuantía"),IF(M394&gt;39850000,"Mínima cuantía con valor superior al tope citado en el instructivo 2026 ($39.850.000): verificar modalidad; ",""),"")&amp;IF(AND(ISNUMBER(M394),OR(ISNUMBER(SEARCH("prestación de servicios",D394)),ISNUMBER(SEARCH("prestar servicios",D394)),ISNUMBER(SEARCH("prestar los servicios",D394)))),IF(M394&gt;=500000000,"Prestación de servicios por $500 millones o más: posible error de digitación; ",""),""))=0,"Sin observaciones",IF(OR(NOT(ISNUMBER(B394)),LEN(B394)&lt;&gt;8),"UNSPSC vacío, en texto, con varios códigos o sin 8 dígitos; ","")&amp;IF(AND(ISNUMBER(B394),LEN(B394)=8),IF(MOD(B394,10000)=0,"UNSPSC a nivel de segmento o familia; ",""),"")&amp;IF(NOT(ISNUMBER(E394)),"Duración vacía o en texto; ","")&amp;IF(NOT(ISNUMBER(G394)),"Valor vacío o en texto; ","")&amp;IF(ISNUMBER(M394),IF(M394&lt;1000000,"Valor inferior a $1.000.000: verificar; ",""),"Valor no interpretable; ")&amp;IF(N394="[PENDIENTE DE VERIFICAR]","Modalidad no identificable; ","")&amp;IF(OR(ISERROR(SEARCH("@itc.edu.co",J394)),SUMPRODUCT(--ISNUMBER(SEARCH({"á","é","í","ó","ú","ñ"},J394)))&gt;0),"Correo vacío o no institucional válido; ","")&amp;IF(LEN(TRIM(D394))=0,"Sin objeto contractual; ","")&amp;IF(AND(ISNUMBER(M394),N394="Mínima cuantía"),IF(M394&gt;39850000,"Mínima cuantía con valor superior al tope citado en el instructivo 2026 ($39.850.000): verificar modalidad; ",""),"")&amp;IF(AND(ISNUMBER(M394),OR(ISNUMBER(SEARCH("prestación de servicios",D394)),ISNUMBER(SEARCH("prestar servicios",D394)),ISNUMBER(SEARCH("prestar los servicios",D394)))),IF(M394&gt;=500000000,"Prestación de servicios por $500 millones o más: posible error de digitación; ",""),""))</f>
        <v/>
      </c>
    </row>
    <row r="395" ht="34.2" customHeight="1" s="23">
      <c r="A395" s="114" t="inlineStr">
        <is>
          <t>PN26-391</t>
        </is>
      </c>
      <c r="B395" s="114" t="n">
        <v>81112501</v>
      </c>
      <c r="C395" s="114" t="inlineStr">
        <is>
          <t>Gestión Tecnología e Informática</t>
        </is>
      </c>
      <c r="D395" s="114" t="inlineStr">
        <is>
          <t>ADQUISICIÓN DE SIMAPRO CLASSROOM - MANTENIMIENTO POR UN AÑO PARA EL APOYO ACADÉMICO DE LA ESCUELA TECNOLÓGICA INSTITUTO TÉCNICO CENTRAL</t>
        </is>
      </c>
      <c r="E395" s="114" t="n">
        <v>1</v>
      </c>
      <c r="F395" s="114" t="inlineStr">
        <is>
          <t>Minima Cuantía</t>
        </is>
      </c>
      <c r="G395" s="118" t="inlineStr">
        <is>
          <t xml:space="preserve">$ 17.533.400,50 </t>
        </is>
      </c>
      <c r="H395" s="114" t="inlineStr">
        <is>
          <t>Licenciamiento</t>
        </is>
      </c>
      <c r="I395" s="114" t="inlineStr">
        <is>
          <t xml:space="preserve">3443000 Ext </t>
        </is>
      </c>
      <c r="J395" s="114" t="inlineStr">
        <is>
          <t>gestionit@itc.edu.co</t>
        </is>
      </c>
      <c r="K395" s="114" t="n"/>
      <c r="L395" s="119" t="inlineStr">
        <is>
          <t>132 · GIT Gestión de Informática y Telecomunicaciones</t>
        </is>
      </c>
      <c r="M395" s="120" t="n">
        <v>17533400.5</v>
      </c>
      <c r="N395" s="119" t="inlineStr">
        <is>
          <t>Mínima cuantía</t>
        </is>
      </c>
      <c r="O395" s="119">
        <f>IF(LEN(IF(OR(NOT(ISNUMBER(B395)),LEN(B395)&lt;&gt;8),"UNSPSC vacío, en texto, con varios códigos o sin 8 dígitos; ","")&amp;IF(AND(ISNUMBER(B395),LEN(B395)=8),IF(MOD(B395,10000)=0,"UNSPSC a nivel de segmento o familia; ",""),"")&amp;IF(NOT(ISNUMBER(E395)),"Duración vacía o en texto; ","")&amp;IF(NOT(ISNUMBER(G395)),"Valor vacío o en texto; ","")&amp;IF(ISNUMBER(M395),IF(M395&lt;1000000,"Valor inferior a $1.000.000: verificar; ",""),"Valor no interpretable; ")&amp;IF(N395="[PENDIENTE DE VERIFICAR]","Modalidad no identificable; ","")&amp;IF(OR(ISERROR(SEARCH("@itc.edu.co",J395)),SUMPRODUCT(--ISNUMBER(SEARCH({"á","é","í","ó","ú","ñ"},J395)))&gt;0),"Correo vacío o no institucional válido; ","")&amp;IF(LEN(TRIM(D395))=0,"Sin objeto contractual; ","")&amp;IF(AND(ISNUMBER(M395),N395="Mínima cuantía"),IF(M395&gt;39850000,"Mínima cuantía con valor superior al tope citado en el instructivo 2026 ($39.850.000): verificar modalidad; ",""),"")&amp;IF(AND(ISNUMBER(M395),OR(ISNUMBER(SEARCH("prestación de servicios",D395)),ISNUMBER(SEARCH("prestar servicios",D395)),ISNUMBER(SEARCH("prestar los servicios",D395)))),IF(M395&gt;=500000000,"Prestación de servicios por $500 millones o más: posible error de digitación; ",""),""))=0,"Sin observaciones",IF(OR(NOT(ISNUMBER(B395)),LEN(B395)&lt;&gt;8),"UNSPSC vacío, en texto, con varios códigos o sin 8 dígitos; ","")&amp;IF(AND(ISNUMBER(B395),LEN(B395)=8),IF(MOD(B395,10000)=0,"UNSPSC a nivel de segmento o familia; ",""),"")&amp;IF(NOT(ISNUMBER(E395)),"Duración vacía o en texto; ","")&amp;IF(NOT(ISNUMBER(G395)),"Valor vacío o en texto; ","")&amp;IF(ISNUMBER(M395),IF(M395&lt;1000000,"Valor inferior a $1.000.000: verificar; ",""),"Valor no interpretable; ")&amp;IF(N395="[PENDIENTE DE VERIFICAR]","Modalidad no identificable; ","")&amp;IF(OR(ISERROR(SEARCH("@itc.edu.co",J395)),SUMPRODUCT(--ISNUMBER(SEARCH({"á","é","í","ó","ú","ñ"},J395)))&gt;0),"Correo vacío o no institucional válido; ","")&amp;IF(LEN(TRIM(D395))=0,"Sin objeto contractual; ","")&amp;IF(AND(ISNUMBER(M395),N395="Mínima cuantía"),IF(M395&gt;39850000,"Mínima cuantía con valor superior al tope citado en el instructivo 2026 ($39.850.000): verificar modalidad; ",""),"")&amp;IF(AND(ISNUMBER(M395),OR(ISNUMBER(SEARCH("prestación de servicios",D395)),ISNUMBER(SEARCH("prestar servicios",D395)),ISNUMBER(SEARCH("prestar los servicios",D395)))),IF(M395&gt;=500000000,"Prestación de servicios por $500 millones o más: posible error de digitación; ",""),""))</f>
        <v/>
      </c>
    </row>
    <row r="396" ht="45.6" customHeight="1" s="23">
      <c r="A396" s="114" t="inlineStr">
        <is>
          <t>PN26-392</t>
        </is>
      </c>
      <c r="B396" s="114" t="n">
        <v>81112501</v>
      </c>
      <c r="C396" s="114" t="inlineStr">
        <is>
          <t>Gestión Tecnología e Informática</t>
        </is>
      </c>
      <c r="D396" s="114" t="inlineStr">
        <is>
          <t>ADQUISICIÓN DE CUATRO (4) LICENCIAS DEL SOFTWARE ADOBE CLOUD Y DE UNA (1) LICENCIA EDUCATION ACROBAT PRO DURANTE DOCE (12) MESES COMO APOYO DEL ÁREA DE COMUNICACIONES Y MEDIOS DE LA ESCUELA TECNOLÓGICA INSTITUTO TÉCNICO CENTRAL.</t>
        </is>
      </c>
      <c r="E396" s="114" t="n">
        <v>1</v>
      </c>
      <c r="F396" s="114" t="inlineStr">
        <is>
          <t>Minima Cuantía</t>
        </is>
      </c>
      <c r="G396" s="118" t="inlineStr">
        <is>
          <t xml:space="preserve">$ 6.272.135,10 </t>
        </is>
      </c>
      <c r="H396" s="114" t="inlineStr">
        <is>
          <t>Licenciamiento</t>
        </is>
      </c>
      <c r="I396" s="114" t="inlineStr">
        <is>
          <t xml:space="preserve">3443000 Ext </t>
        </is>
      </c>
      <c r="J396" s="114" t="inlineStr">
        <is>
          <t>gestionit@itc.edu.co</t>
        </is>
      </c>
      <c r="K396" s="114" t="n"/>
      <c r="L396" s="119" t="inlineStr">
        <is>
          <t>132 · GIT Gestión de Informática y Telecomunicaciones</t>
        </is>
      </c>
      <c r="M396" s="120" t="n">
        <v>6272135.1</v>
      </c>
      <c r="N396" s="119" t="inlineStr">
        <is>
          <t>Mínima cuantía</t>
        </is>
      </c>
      <c r="O396" s="119">
        <f>IF(LEN(IF(OR(NOT(ISNUMBER(B396)),LEN(B396)&lt;&gt;8),"UNSPSC vacío, en texto, con varios códigos o sin 8 dígitos; ","")&amp;IF(AND(ISNUMBER(B396),LEN(B396)=8),IF(MOD(B396,10000)=0,"UNSPSC a nivel de segmento o familia; ",""),"")&amp;IF(NOT(ISNUMBER(E396)),"Duración vacía o en texto; ","")&amp;IF(NOT(ISNUMBER(G396)),"Valor vacío o en texto; ","")&amp;IF(ISNUMBER(M396),IF(M396&lt;1000000,"Valor inferior a $1.000.000: verificar; ",""),"Valor no interpretable; ")&amp;IF(N396="[PENDIENTE DE VERIFICAR]","Modalidad no identificable; ","")&amp;IF(OR(ISERROR(SEARCH("@itc.edu.co",J396)),SUMPRODUCT(--ISNUMBER(SEARCH({"á","é","í","ó","ú","ñ"},J396)))&gt;0),"Correo vacío o no institucional válido; ","")&amp;IF(LEN(TRIM(D396))=0,"Sin objeto contractual; ","")&amp;IF(AND(ISNUMBER(M396),N396="Mínima cuantía"),IF(M396&gt;39850000,"Mínima cuantía con valor superior al tope citado en el instructivo 2026 ($39.850.000): verificar modalidad; ",""),"")&amp;IF(AND(ISNUMBER(M396),OR(ISNUMBER(SEARCH("prestación de servicios",D396)),ISNUMBER(SEARCH("prestar servicios",D396)),ISNUMBER(SEARCH("prestar los servicios",D396)))),IF(M396&gt;=500000000,"Prestación de servicios por $500 millones o más: posible error de digitación; ",""),""))=0,"Sin observaciones",IF(OR(NOT(ISNUMBER(B396)),LEN(B396)&lt;&gt;8),"UNSPSC vacío, en texto, con varios códigos o sin 8 dígitos; ","")&amp;IF(AND(ISNUMBER(B396),LEN(B396)=8),IF(MOD(B396,10000)=0,"UNSPSC a nivel de segmento o familia; ",""),"")&amp;IF(NOT(ISNUMBER(E396)),"Duración vacía o en texto; ","")&amp;IF(NOT(ISNUMBER(G396)),"Valor vacío o en texto; ","")&amp;IF(ISNUMBER(M396),IF(M396&lt;1000000,"Valor inferior a $1.000.000: verificar; ",""),"Valor no interpretable; ")&amp;IF(N396="[PENDIENTE DE VERIFICAR]","Modalidad no identificable; ","")&amp;IF(OR(ISERROR(SEARCH("@itc.edu.co",J396)),SUMPRODUCT(--ISNUMBER(SEARCH({"á","é","í","ó","ú","ñ"},J396)))&gt;0),"Correo vacío o no institucional válido; ","")&amp;IF(LEN(TRIM(D396))=0,"Sin objeto contractual; ","")&amp;IF(AND(ISNUMBER(M396),N396="Mínima cuantía"),IF(M396&gt;39850000,"Mínima cuantía con valor superior al tope citado en el instructivo 2026 ($39.850.000): verificar modalidad; ",""),"")&amp;IF(AND(ISNUMBER(M396),OR(ISNUMBER(SEARCH("prestación de servicios",D396)),ISNUMBER(SEARCH("prestar servicios",D396)),ISNUMBER(SEARCH("prestar los servicios",D396)))),IF(M396&gt;=500000000,"Prestación de servicios por $500 millones o más: posible error de digitación; ",""),""))</f>
        <v/>
      </c>
    </row>
    <row r="397" ht="57" customHeight="1" s="23">
      <c r="A397" s="114" t="inlineStr">
        <is>
          <t>PN26-393</t>
        </is>
      </c>
      <c r="B397" s="114" t="n">
        <v>81112501</v>
      </c>
      <c r="C397" s="114" t="inlineStr">
        <is>
          <t>Gestión Tecnología e Informática</t>
        </is>
      </c>
      <c r="D397" s="114" t="inlineStr">
        <is>
          <t xml:space="preserve">ADQUISICIÓN DE	CUARENTA	(40)	PUESTOS DE LICENCIAMIENTO EN RED DEL SOFTWARE FLEXSIM PARA LA FACULTAD DE PROCESOS DE LA ESCUELA TECNOLÓGICA INSTITUTO TÉCNICO CENTRAL POR UN PERIODO DE 12 MESES.
</t>
        </is>
      </c>
      <c r="E397" s="114" t="n">
        <v>1</v>
      </c>
      <c r="F397" s="114" t="inlineStr">
        <is>
          <t>Minima Cuantía</t>
        </is>
      </c>
      <c r="G397" s="118" t="inlineStr">
        <is>
          <t xml:space="preserve">$ 17.199.061,00 </t>
        </is>
      </c>
      <c r="H397" s="114" t="inlineStr">
        <is>
          <t>Licenciamiento</t>
        </is>
      </c>
      <c r="I397" s="114" t="inlineStr">
        <is>
          <t xml:space="preserve">3443000 Ext </t>
        </is>
      </c>
      <c r="J397" s="114" t="inlineStr">
        <is>
          <t>gestionit@itc.edu.co</t>
        </is>
      </c>
      <c r="K397" s="114" t="n"/>
      <c r="L397" s="119" t="inlineStr">
        <is>
          <t>132 · GIT Gestión de Informática y Telecomunicaciones</t>
        </is>
      </c>
      <c r="M397" s="120" t="n">
        <v>17199061</v>
      </c>
      <c r="N397" s="119" t="inlineStr">
        <is>
          <t>Mínima cuantía</t>
        </is>
      </c>
      <c r="O397" s="119">
        <f>IF(LEN(IF(OR(NOT(ISNUMBER(B397)),LEN(B397)&lt;&gt;8),"UNSPSC vacío, en texto, con varios códigos o sin 8 dígitos; ","")&amp;IF(AND(ISNUMBER(B397),LEN(B397)=8),IF(MOD(B397,10000)=0,"UNSPSC a nivel de segmento o familia; ",""),"")&amp;IF(NOT(ISNUMBER(E397)),"Duración vacía o en texto; ","")&amp;IF(NOT(ISNUMBER(G397)),"Valor vacío o en texto; ","")&amp;IF(ISNUMBER(M397),IF(M397&lt;1000000,"Valor inferior a $1.000.000: verificar; ",""),"Valor no interpretable; ")&amp;IF(N397="[PENDIENTE DE VERIFICAR]","Modalidad no identificable; ","")&amp;IF(OR(ISERROR(SEARCH("@itc.edu.co",J397)),SUMPRODUCT(--ISNUMBER(SEARCH({"á","é","í","ó","ú","ñ"},J397)))&gt;0),"Correo vacío o no institucional válido; ","")&amp;IF(LEN(TRIM(D397))=0,"Sin objeto contractual; ","")&amp;IF(AND(ISNUMBER(M397),N397="Mínima cuantía"),IF(M397&gt;39850000,"Mínima cuantía con valor superior al tope citado en el instructivo 2026 ($39.850.000): verificar modalidad; ",""),"")&amp;IF(AND(ISNUMBER(M397),OR(ISNUMBER(SEARCH("prestación de servicios",D397)),ISNUMBER(SEARCH("prestar servicios",D397)),ISNUMBER(SEARCH("prestar los servicios",D397)))),IF(M397&gt;=500000000,"Prestación de servicios por $500 millones o más: posible error de digitación; ",""),""))=0,"Sin observaciones",IF(OR(NOT(ISNUMBER(B397)),LEN(B397)&lt;&gt;8),"UNSPSC vacío, en texto, con varios códigos o sin 8 dígitos; ","")&amp;IF(AND(ISNUMBER(B397),LEN(B397)=8),IF(MOD(B397,10000)=0,"UNSPSC a nivel de segmento o familia; ",""),"")&amp;IF(NOT(ISNUMBER(E397)),"Duración vacía o en texto; ","")&amp;IF(NOT(ISNUMBER(G397)),"Valor vacío o en texto; ","")&amp;IF(ISNUMBER(M397),IF(M397&lt;1000000,"Valor inferior a $1.000.000: verificar; ",""),"Valor no interpretable; ")&amp;IF(N397="[PENDIENTE DE VERIFICAR]","Modalidad no identificable; ","")&amp;IF(OR(ISERROR(SEARCH("@itc.edu.co",J397)),SUMPRODUCT(--ISNUMBER(SEARCH({"á","é","í","ó","ú","ñ"},J397)))&gt;0),"Correo vacío o no institucional válido; ","")&amp;IF(LEN(TRIM(D397))=0,"Sin objeto contractual; ","")&amp;IF(AND(ISNUMBER(M397),N397="Mínima cuantía"),IF(M397&gt;39850000,"Mínima cuantía con valor superior al tope citado en el instructivo 2026 ($39.850.000): verificar modalidad; ",""),"")&amp;IF(AND(ISNUMBER(M397),OR(ISNUMBER(SEARCH("prestación de servicios",D397)),ISNUMBER(SEARCH("prestar servicios",D397)),ISNUMBER(SEARCH("prestar los servicios",D397)))),IF(M397&gt;=500000000,"Prestación de servicios por $500 millones o más: posible error de digitación; ",""),""))</f>
        <v/>
      </c>
    </row>
    <row r="398" ht="45.6" customHeight="1" s="23">
      <c r="A398" s="114" t="inlineStr">
        <is>
          <t>PN26-394</t>
        </is>
      </c>
      <c r="B398" s="114" t="n">
        <v>81112501</v>
      </c>
      <c r="C398" s="114" t="inlineStr">
        <is>
          <t>Gestión Tecnología e Informática</t>
        </is>
      </c>
      <c r="D398" s="114" t="inlineStr">
        <is>
          <t xml:space="preserve">ADQUISICIÓN DE LICENCIAS OPEN VALUE SUBSCRIPTION FOR EDUCATION SOLUTIONS (CAMPUS AGREEMENT) DURANTE DOCE (12) MESES PARA LA ESCUELA TECNOLÓGICA INSTITUTO TÉCNICO CENTRAL 
</t>
        </is>
      </c>
      <c r="E398" s="114" t="n">
        <v>1</v>
      </c>
      <c r="F398" s="114" t="inlineStr">
        <is>
          <t>Subasta Inversa</t>
        </is>
      </c>
      <c r="G398" s="118" t="inlineStr">
        <is>
          <t xml:space="preserve">$ 198.000.000,00 </t>
        </is>
      </c>
      <c r="H398" s="114" t="inlineStr">
        <is>
          <t>Licenciamiento</t>
        </is>
      </c>
      <c r="I398" s="114" t="inlineStr">
        <is>
          <t xml:space="preserve">3443000 Ext </t>
        </is>
      </c>
      <c r="J398" s="114" t="inlineStr">
        <is>
          <t>gestionit@itc.edu.co</t>
        </is>
      </c>
      <c r="K398" s="114" t="n"/>
      <c r="L398" s="119" t="inlineStr">
        <is>
          <t>132 · GIT Gestión de Informática y Telecomunicaciones</t>
        </is>
      </c>
      <c r="M398" s="120" t="n">
        <v>198000000</v>
      </c>
      <c r="N398" s="119" t="inlineStr">
        <is>
          <t>Selección abreviada – subasta inversa</t>
        </is>
      </c>
      <c r="O398" s="119">
        <f>IF(LEN(IF(OR(NOT(ISNUMBER(B398)),LEN(B398)&lt;&gt;8),"UNSPSC vacío, en texto, con varios códigos o sin 8 dígitos; ","")&amp;IF(AND(ISNUMBER(B398),LEN(B398)=8),IF(MOD(B398,10000)=0,"UNSPSC a nivel de segmento o familia; ",""),"")&amp;IF(NOT(ISNUMBER(E398)),"Duración vacía o en texto; ","")&amp;IF(NOT(ISNUMBER(G398)),"Valor vacío o en texto; ","")&amp;IF(ISNUMBER(M398),IF(M398&lt;1000000,"Valor inferior a $1.000.000: verificar; ",""),"Valor no interpretable; ")&amp;IF(N398="[PENDIENTE DE VERIFICAR]","Modalidad no identificable; ","")&amp;IF(OR(ISERROR(SEARCH("@itc.edu.co",J398)),SUMPRODUCT(--ISNUMBER(SEARCH({"á","é","í","ó","ú","ñ"},J398)))&gt;0),"Correo vacío o no institucional válido; ","")&amp;IF(LEN(TRIM(D398))=0,"Sin objeto contractual; ","")&amp;IF(AND(ISNUMBER(M398),N398="Mínima cuantía"),IF(M398&gt;39850000,"Mínima cuantía con valor superior al tope citado en el instructivo 2026 ($39.850.000): verificar modalidad; ",""),"")&amp;IF(AND(ISNUMBER(M398),OR(ISNUMBER(SEARCH("prestación de servicios",D398)),ISNUMBER(SEARCH("prestar servicios",D398)),ISNUMBER(SEARCH("prestar los servicios",D398)))),IF(M398&gt;=500000000,"Prestación de servicios por $500 millones o más: posible error de digitación; ",""),""))=0,"Sin observaciones",IF(OR(NOT(ISNUMBER(B398)),LEN(B398)&lt;&gt;8),"UNSPSC vacío, en texto, con varios códigos o sin 8 dígitos; ","")&amp;IF(AND(ISNUMBER(B398),LEN(B398)=8),IF(MOD(B398,10000)=0,"UNSPSC a nivel de segmento o familia; ",""),"")&amp;IF(NOT(ISNUMBER(E398)),"Duración vacía o en texto; ","")&amp;IF(NOT(ISNUMBER(G398)),"Valor vacío o en texto; ","")&amp;IF(ISNUMBER(M398),IF(M398&lt;1000000,"Valor inferior a $1.000.000: verificar; ",""),"Valor no interpretable; ")&amp;IF(N398="[PENDIENTE DE VERIFICAR]","Modalidad no identificable; ","")&amp;IF(OR(ISERROR(SEARCH("@itc.edu.co",J398)),SUMPRODUCT(--ISNUMBER(SEARCH({"á","é","í","ó","ú","ñ"},J398)))&gt;0),"Correo vacío o no institucional válido; ","")&amp;IF(LEN(TRIM(D398))=0,"Sin objeto contractual; ","")&amp;IF(AND(ISNUMBER(M398),N398="Mínima cuantía"),IF(M398&gt;39850000,"Mínima cuantía con valor superior al tope citado en el instructivo 2026 ($39.850.000): verificar modalidad; ",""),"")&amp;IF(AND(ISNUMBER(M398),OR(ISNUMBER(SEARCH("prestación de servicios",D398)),ISNUMBER(SEARCH("prestar servicios",D398)),ISNUMBER(SEARCH("prestar los servicios",D398)))),IF(M398&gt;=500000000,"Prestación de servicios por $500 millones o más: posible error de digitación; ",""),""))</f>
        <v/>
      </c>
    </row>
    <row r="399" ht="22.8" customHeight="1" s="23">
      <c r="A399" s="114" t="inlineStr">
        <is>
          <t>PN26-395</t>
        </is>
      </c>
      <c r="B399" s="114" t="n">
        <v>81112501</v>
      </c>
      <c r="C399" s="114" t="inlineStr">
        <is>
          <t>Gestión Tecnología e Informática</t>
        </is>
      </c>
      <c r="D399" s="114" t="inlineStr">
        <is>
          <t xml:space="preserve">
Adquisición licencia ORACLE para bases de datos de ACADEMUSOFT</t>
        </is>
      </c>
      <c r="E399" s="114" t="n">
        <v>1</v>
      </c>
      <c r="F399" s="114" t="inlineStr">
        <is>
          <t>Subasta Inversa</t>
        </is>
      </c>
      <c r="G399" s="118" t="inlineStr">
        <is>
          <t xml:space="preserve">$ 300.000.000,00 </t>
        </is>
      </c>
      <c r="H399" s="114" t="inlineStr">
        <is>
          <t>Licenciamiento</t>
        </is>
      </c>
      <c r="I399" s="114" t="inlineStr">
        <is>
          <t xml:space="preserve">3443000 Ext </t>
        </is>
      </c>
      <c r="J399" s="114" t="inlineStr">
        <is>
          <t>gestionit@itc.edu.co</t>
        </is>
      </c>
      <c r="K399" s="114" t="n"/>
      <c r="L399" s="119" t="inlineStr">
        <is>
          <t>132 · GIT Gestión de Informática y Telecomunicaciones</t>
        </is>
      </c>
      <c r="M399" s="120" t="n">
        <v>300000000</v>
      </c>
      <c r="N399" s="119" t="inlineStr">
        <is>
          <t>Selección abreviada – subasta inversa</t>
        </is>
      </c>
      <c r="O399" s="119">
        <f>IF(LEN(IF(OR(NOT(ISNUMBER(B399)),LEN(B399)&lt;&gt;8),"UNSPSC vacío, en texto, con varios códigos o sin 8 dígitos; ","")&amp;IF(AND(ISNUMBER(B399),LEN(B399)=8),IF(MOD(B399,10000)=0,"UNSPSC a nivel de segmento o familia; ",""),"")&amp;IF(NOT(ISNUMBER(E399)),"Duración vacía o en texto; ","")&amp;IF(NOT(ISNUMBER(G399)),"Valor vacío o en texto; ","")&amp;IF(ISNUMBER(M399),IF(M399&lt;1000000,"Valor inferior a $1.000.000: verificar; ",""),"Valor no interpretable; ")&amp;IF(N399="[PENDIENTE DE VERIFICAR]","Modalidad no identificable; ","")&amp;IF(OR(ISERROR(SEARCH("@itc.edu.co",J399)),SUMPRODUCT(--ISNUMBER(SEARCH({"á","é","í","ó","ú","ñ"},J399)))&gt;0),"Correo vacío o no institucional válido; ","")&amp;IF(LEN(TRIM(D399))=0,"Sin objeto contractual; ","")&amp;IF(AND(ISNUMBER(M399),N399="Mínima cuantía"),IF(M399&gt;39850000,"Mínima cuantía con valor superior al tope citado en el instructivo 2026 ($39.850.000): verificar modalidad; ",""),"")&amp;IF(AND(ISNUMBER(M399),OR(ISNUMBER(SEARCH("prestación de servicios",D399)),ISNUMBER(SEARCH("prestar servicios",D399)),ISNUMBER(SEARCH("prestar los servicios",D399)))),IF(M399&gt;=500000000,"Prestación de servicios por $500 millones o más: posible error de digitación; ",""),""))=0,"Sin observaciones",IF(OR(NOT(ISNUMBER(B399)),LEN(B399)&lt;&gt;8),"UNSPSC vacío, en texto, con varios códigos o sin 8 dígitos; ","")&amp;IF(AND(ISNUMBER(B399),LEN(B399)=8),IF(MOD(B399,10000)=0,"UNSPSC a nivel de segmento o familia; ",""),"")&amp;IF(NOT(ISNUMBER(E399)),"Duración vacía o en texto; ","")&amp;IF(NOT(ISNUMBER(G399)),"Valor vacío o en texto; ","")&amp;IF(ISNUMBER(M399),IF(M399&lt;1000000,"Valor inferior a $1.000.000: verificar; ",""),"Valor no interpretable; ")&amp;IF(N399="[PENDIENTE DE VERIFICAR]","Modalidad no identificable; ","")&amp;IF(OR(ISERROR(SEARCH("@itc.edu.co",J399)),SUMPRODUCT(--ISNUMBER(SEARCH({"á","é","í","ó","ú","ñ"},J399)))&gt;0),"Correo vacío o no institucional válido; ","")&amp;IF(LEN(TRIM(D399))=0,"Sin objeto contractual; ","")&amp;IF(AND(ISNUMBER(M399),N399="Mínima cuantía"),IF(M399&gt;39850000,"Mínima cuantía con valor superior al tope citado en el instructivo 2026 ($39.850.000): verificar modalidad; ",""),"")&amp;IF(AND(ISNUMBER(M399),OR(ISNUMBER(SEARCH("prestación de servicios",D399)),ISNUMBER(SEARCH("prestar servicios",D399)),ISNUMBER(SEARCH("prestar los servicios",D399)))),IF(M399&gt;=500000000,"Prestación de servicios por $500 millones o más: posible error de digitación; ",""),""))</f>
        <v/>
      </c>
    </row>
    <row r="400" ht="45.6" customHeight="1" s="23">
      <c r="A400" s="114" t="inlineStr">
        <is>
          <t>PN26-396</t>
        </is>
      </c>
      <c r="B400" s="114" t="n">
        <v>81112501</v>
      </c>
      <c r="C400" s="114" t="inlineStr">
        <is>
          <t>Gestión Tecnología e Informática</t>
        </is>
      </c>
      <c r="D400" s="114" t="inlineStr">
        <is>
          <t>ADQUISICIÓN DE LICENCIAMIENTO DE SOFTWARE PTC CREO UNIVERSITY PLUS ACADEMIC CAMPUS PACK EN SU ULTIMA VERSIÓN COMO APOYO A LAS ACTIVIDADES ACADÉMICAS DE LA ESCUELA TECNOLÓGICA INSTITUTO TÉCNICO CENTRAL.</t>
        </is>
      </c>
      <c r="E400" s="114" t="n">
        <v>1</v>
      </c>
      <c r="F400" s="114" t="inlineStr">
        <is>
          <t>Minima Cuantía</t>
        </is>
      </c>
      <c r="G400" s="118" t="inlineStr">
        <is>
          <t xml:space="preserve">$ 20.268.468,00 </t>
        </is>
      </c>
      <c r="H400" s="114" t="inlineStr">
        <is>
          <t>Licenciamiento</t>
        </is>
      </c>
      <c r="I400" s="114" t="inlineStr">
        <is>
          <t xml:space="preserve">3443000 Ext </t>
        </is>
      </c>
      <c r="J400" s="114" t="inlineStr">
        <is>
          <t>gestionit@itc.edu.co</t>
        </is>
      </c>
      <c r="K400" s="114" t="n"/>
      <c r="L400" s="119" t="inlineStr">
        <is>
          <t>132 · GIT Gestión de Informática y Telecomunicaciones</t>
        </is>
      </c>
      <c r="M400" s="120" t="n">
        <v>20268468</v>
      </c>
      <c r="N400" s="119" t="inlineStr">
        <is>
          <t>Mínima cuantía</t>
        </is>
      </c>
      <c r="O400" s="119">
        <f>IF(LEN(IF(OR(NOT(ISNUMBER(B400)),LEN(B400)&lt;&gt;8),"UNSPSC vacío, en texto, con varios códigos o sin 8 dígitos; ","")&amp;IF(AND(ISNUMBER(B400),LEN(B400)=8),IF(MOD(B400,10000)=0,"UNSPSC a nivel de segmento o familia; ",""),"")&amp;IF(NOT(ISNUMBER(E400)),"Duración vacía o en texto; ","")&amp;IF(NOT(ISNUMBER(G400)),"Valor vacío o en texto; ","")&amp;IF(ISNUMBER(M400),IF(M400&lt;1000000,"Valor inferior a $1.000.000: verificar; ",""),"Valor no interpretable; ")&amp;IF(N400="[PENDIENTE DE VERIFICAR]","Modalidad no identificable; ","")&amp;IF(OR(ISERROR(SEARCH("@itc.edu.co",J400)),SUMPRODUCT(--ISNUMBER(SEARCH({"á","é","í","ó","ú","ñ"},J400)))&gt;0),"Correo vacío o no institucional válido; ","")&amp;IF(LEN(TRIM(D400))=0,"Sin objeto contractual; ","")&amp;IF(AND(ISNUMBER(M400),N400="Mínima cuantía"),IF(M400&gt;39850000,"Mínima cuantía con valor superior al tope citado en el instructivo 2026 ($39.850.000): verificar modalidad; ",""),"")&amp;IF(AND(ISNUMBER(M400),OR(ISNUMBER(SEARCH("prestación de servicios",D400)),ISNUMBER(SEARCH("prestar servicios",D400)),ISNUMBER(SEARCH("prestar los servicios",D400)))),IF(M400&gt;=500000000,"Prestación de servicios por $500 millones o más: posible error de digitación; ",""),""))=0,"Sin observaciones",IF(OR(NOT(ISNUMBER(B400)),LEN(B400)&lt;&gt;8),"UNSPSC vacío, en texto, con varios códigos o sin 8 dígitos; ","")&amp;IF(AND(ISNUMBER(B400),LEN(B400)=8),IF(MOD(B400,10000)=0,"UNSPSC a nivel de segmento o familia; ",""),"")&amp;IF(NOT(ISNUMBER(E400)),"Duración vacía o en texto; ","")&amp;IF(NOT(ISNUMBER(G400)),"Valor vacío o en texto; ","")&amp;IF(ISNUMBER(M400),IF(M400&lt;1000000,"Valor inferior a $1.000.000: verificar; ",""),"Valor no interpretable; ")&amp;IF(N400="[PENDIENTE DE VERIFICAR]","Modalidad no identificable; ","")&amp;IF(OR(ISERROR(SEARCH("@itc.edu.co",J400)),SUMPRODUCT(--ISNUMBER(SEARCH({"á","é","í","ó","ú","ñ"},J400)))&gt;0),"Correo vacío o no institucional válido; ","")&amp;IF(LEN(TRIM(D400))=0,"Sin objeto contractual; ","")&amp;IF(AND(ISNUMBER(M400),N400="Mínima cuantía"),IF(M400&gt;39850000,"Mínima cuantía con valor superior al tope citado en el instructivo 2026 ($39.850.000): verificar modalidad; ",""),"")&amp;IF(AND(ISNUMBER(M400),OR(ISNUMBER(SEARCH("prestación de servicios",D400)),ISNUMBER(SEARCH("prestar servicios",D400)),ISNUMBER(SEARCH("prestar los servicios",D400)))),IF(M400&gt;=500000000,"Prestación de servicios por $500 millones o más: posible error de digitación; ",""),""))</f>
        <v/>
      </c>
    </row>
    <row r="401" ht="45.6" customHeight="1" s="23">
      <c r="A401" s="114" t="inlineStr">
        <is>
          <t>PN26-397</t>
        </is>
      </c>
      <c r="B401" s="114" t="n">
        <v>81112501</v>
      </c>
      <c r="C401" s="114" t="inlineStr">
        <is>
          <t>Gestión Tecnología e Informática</t>
        </is>
      </c>
      <c r="D401" s="114" t="inlineStr">
        <is>
          <t xml:space="preserve">RENOVACIÓN LICENCIA CAMPUS MATLAB Y SIMULINK COMO APOYO A LAS ACTIVIDADES ACADEMICAS DE LA ESCUELA TECNOLOGICA INSTITUTO TÉCNICO CENTRAL
</t>
        </is>
      </c>
      <c r="E401" s="114" t="n">
        <v>1</v>
      </c>
      <c r="F401" s="114" t="inlineStr">
        <is>
          <t>Minima Cuantía</t>
        </is>
      </c>
      <c r="G401" s="118" t="inlineStr">
        <is>
          <t xml:space="preserve">$ 85.800.000,00 </t>
        </is>
      </c>
      <c r="H401" s="114" t="inlineStr">
        <is>
          <t>Licenciamiento</t>
        </is>
      </c>
      <c r="I401" s="114" t="inlineStr">
        <is>
          <t xml:space="preserve">3443000 Ext </t>
        </is>
      </c>
      <c r="J401" s="114" t="inlineStr">
        <is>
          <t>gestionit@itc.edu.co</t>
        </is>
      </c>
      <c r="K401" s="114" t="n"/>
      <c r="L401" s="119" t="inlineStr">
        <is>
          <t>132 · GIT Gestión de Informática y Telecomunicaciones</t>
        </is>
      </c>
      <c r="M401" s="120" t="n">
        <v>85800000</v>
      </c>
      <c r="N401" s="119" t="inlineStr">
        <is>
          <t>Mínima cuantía</t>
        </is>
      </c>
      <c r="O401" s="119">
        <f>IF(LEN(IF(OR(NOT(ISNUMBER(B401)),LEN(B401)&lt;&gt;8),"UNSPSC vacío, en texto, con varios códigos o sin 8 dígitos; ","")&amp;IF(AND(ISNUMBER(B401),LEN(B401)=8),IF(MOD(B401,10000)=0,"UNSPSC a nivel de segmento o familia; ",""),"")&amp;IF(NOT(ISNUMBER(E401)),"Duración vacía o en texto; ","")&amp;IF(NOT(ISNUMBER(G401)),"Valor vacío o en texto; ","")&amp;IF(ISNUMBER(M401),IF(M401&lt;1000000,"Valor inferior a $1.000.000: verificar; ",""),"Valor no interpretable; ")&amp;IF(N401="[PENDIENTE DE VERIFICAR]","Modalidad no identificable; ","")&amp;IF(OR(ISERROR(SEARCH("@itc.edu.co",J401)),SUMPRODUCT(--ISNUMBER(SEARCH({"á","é","í","ó","ú","ñ"},J401)))&gt;0),"Correo vacío o no institucional válido; ","")&amp;IF(LEN(TRIM(D401))=0,"Sin objeto contractual; ","")&amp;IF(AND(ISNUMBER(M401),N401="Mínima cuantía"),IF(M401&gt;39850000,"Mínima cuantía con valor superior al tope citado en el instructivo 2026 ($39.850.000): verificar modalidad; ",""),"")&amp;IF(AND(ISNUMBER(M401),OR(ISNUMBER(SEARCH("prestación de servicios",D401)),ISNUMBER(SEARCH("prestar servicios",D401)),ISNUMBER(SEARCH("prestar los servicios",D401)))),IF(M401&gt;=500000000,"Prestación de servicios por $500 millones o más: posible error de digitación; ",""),""))=0,"Sin observaciones",IF(OR(NOT(ISNUMBER(B401)),LEN(B401)&lt;&gt;8),"UNSPSC vacío, en texto, con varios códigos o sin 8 dígitos; ","")&amp;IF(AND(ISNUMBER(B401),LEN(B401)=8),IF(MOD(B401,10000)=0,"UNSPSC a nivel de segmento o familia; ",""),"")&amp;IF(NOT(ISNUMBER(E401)),"Duración vacía o en texto; ","")&amp;IF(NOT(ISNUMBER(G401)),"Valor vacío o en texto; ","")&amp;IF(ISNUMBER(M401),IF(M401&lt;1000000,"Valor inferior a $1.000.000: verificar; ",""),"Valor no interpretable; ")&amp;IF(N401="[PENDIENTE DE VERIFICAR]","Modalidad no identificable; ","")&amp;IF(OR(ISERROR(SEARCH("@itc.edu.co",J401)),SUMPRODUCT(--ISNUMBER(SEARCH({"á","é","í","ó","ú","ñ"},J401)))&gt;0),"Correo vacío o no institucional válido; ","")&amp;IF(LEN(TRIM(D401))=0,"Sin objeto contractual; ","")&amp;IF(AND(ISNUMBER(M401),N401="Mínima cuantía"),IF(M401&gt;39850000,"Mínima cuantía con valor superior al tope citado en el instructivo 2026 ($39.850.000): verificar modalidad; ",""),"")&amp;IF(AND(ISNUMBER(M401),OR(ISNUMBER(SEARCH("prestación de servicios",D401)),ISNUMBER(SEARCH("prestar servicios",D401)),ISNUMBER(SEARCH("prestar los servicios",D401)))),IF(M401&gt;=500000000,"Prestación de servicios por $500 millones o más: posible error de digitación; ",""),""))</f>
        <v/>
      </c>
    </row>
    <row r="402" ht="34.2" customHeight="1" s="23">
      <c r="A402" s="114" t="inlineStr">
        <is>
          <t>PN26-398</t>
        </is>
      </c>
      <c r="B402" s="114" t="n">
        <v>81112501</v>
      </c>
      <c r="C402" s="114" t="inlineStr">
        <is>
          <t>Gestión Tecnología e Informática</t>
        </is>
      </c>
      <c r="D402" s="114" t="inlineStr">
        <is>
          <t>LABVIEW ACADEMIC Y MULTISIM FOR TEACHING AVL</t>
        </is>
      </c>
      <c r="E402" s="114" t="n">
        <v>1</v>
      </c>
      <c r="F402" s="114" t="inlineStr">
        <is>
          <t>Minima Cuantía</t>
        </is>
      </c>
      <c r="G402" s="118" t="inlineStr">
        <is>
          <t xml:space="preserve">$ 112.200.000,00 </t>
        </is>
      </c>
      <c r="H402" s="114" t="inlineStr">
        <is>
          <t>Licenciamiento</t>
        </is>
      </c>
      <c r="I402" s="114" t="inlineStr">
        <is>
          <t xml:space="preserve">3443000 Ext </t>
        </is>
      </c>
      <c r="J402" s="114" t="inlineStr">
        <is>
          <t>gestionit@itc.edu.co</t>
        </is>
      </c>
      <c r="K402" s="114" t="n"/>
      <c r="L402" s="119" t="inlineStr">
        <is>
          <t>132 · GIT Gestión de Informática y Telecomunicaciones</t>
        </is>
      </c>
      <c r="M402" s="120" t="n">
        <v>112200000</v>
      </c>
      <c r="N402" s="119" t="inlineStr">
        <is>
          <t>Mínima cuantía</t>
        </is>
      </c>
      <c r="O402" s="119">
        <f>IF(LEN(IF(OR(NOT(ISNUMBER(B402)),LEN(B402)&lt;&gt;8),"UNSPSC vacío, en texto, con varios códigos o sin 8 dígitos; ","")&amp;IF(AND(ISNUMBER(B402),LEN(B402)=8),IF(MOD(B402,10000)=0,"UNSPSC a nivel de segmento o familia; ",""),"")&amp;IF(NOT(ISNUMBER(E402)),"Duración vacía o en texto; ","")&amp;IF(NOT(ISNUMBER(G402)),"Valor vacío o en texto; ","")&amp;IF(ISNUMBER(M402),IF(M402&lt;1000000,"Valor inferior a $1.000.000: verificar; ",""),"Valor no interpretable; ")&amp;IF(N402="[PENDIENTE DE VERIFICAR]","Modalidad no identificable; ","")&amp;IF(OR(ISERROR(SEARCH("@itc.edu.co",J402)),SUMPRODUCT(--ISNUMBER(SEARCH({"á","é","í","ó","ú","ñ"},J402)))&gt;0),"Correo vacío o no institucional válido; ","")&amp;IF(LEN(TRIM(D402))=0,"Sin objeto contractual; ","")&amp;IF(AND(ISNUMBER(M402),N402="Mínima cuantía"),IF(M402&gt;39850000,"Mínima cuantía con valor superior al tope citado en el instructivo 2026 ($39.850.000): verificar modalidad; ",""),"")&amp;IF(AND(ISNUMBER(M402),OR(ISNUMBER(SEARCH("prestación de servicios",D402)),ISNUMBER(SEARCH("prestar servicios",D402)),ISNUMBER(SEARCH("prestar los servicios",D402)))),IF(M402&gt;=500000000,"Prestación de servicios por $500 millones o más: posible error de digitación; ",""),""))=0,"Sin observaciones",IF(OR(NOT(ISNUMBER(B402)),LEN(B402)&lt;&gt;8),"UNSPSC vacío, en texto, con varios códigos o sin 8 dígitos; ","")&amp;IF(AND(ISNUMBER(B402),LEN(B402)=8),IF(MOD(B402,10000)=0,"UNSPSC a nivel de segmento o familia; ",""),"")&amp;IF(NOT(ISNUMBER(E402)),"Duración vacía o en texto; ","")&amp;IF(NOT(ISNUMBER(G402)),"Valor vacío o en texto; ","")&amp;IF(ISNUMBER(M402),IF(M402&lt;1000000,"Valor inferior a $1.000.000: verificar; ",""),"Valor no interpretable; ")&amp;IF(N402="[PENDIENTE DE VERIFICAR]","Modalidad no identificable; ","")&amp;IF(OR(ISERROR(SEARCH("@itc.edu.co",J402)),SUMPRODUCT(--ISNUMBER(SEARCH({"á","é","í","ó","ú","ñ"},J402)))&gt;0),"Correo vacío o no institucional válido; ","")&amp;IF(LEN(TRIM(D402))=0,"Sin objeto contractual; ","")&amp;IF(AND(ISNUMBER(M402),N402="Mínima cuantía"),IF(M402&gt;39850000,"Mínima cuantía con valor superior al tope citado en el instructivo 2026 ($39.850.000): verificar modalidad; ",""),"")&amp;IF(AND(ISNUMBER(M402),OR(ISNUMBER(SEARCH("prestación de servicios",D402)),ISNUMBER(SEARCH("prestar servicios",D402)),ISNUMBER(SEARCH("prestar los servicios",D402)))),IF(M402&gt;=500000000,"Prestación de servicios por $500 millones o más: posible error de digitación; ",""),""))</f>
        <v/>
      </c>
    </row>
    <row r="403" ht="34.2" customHeight="1" s="23">
      <c r="A403" s="114" t="inlineStr">
        <is>
          <t>PN26-399</t>
        </is>
      </c>
      <c r="B403" s="114" t="n">
        <v>81161700</v>
      </c>
      <c r="C403" s="114" t="inlineStr">
        <is>
          <t>Gestión Tecnología e Informática</t>
        </is>
      </c>
      <c r="D403" s="114" t="inlineStr">
        <is>
          <t>CONTRATAR EL SERVICIO DE CONECTIVIDAD PARA LA ESCUELA TECNOLÓGICA INSTITUTO TÉCNICO CENTRAL Y SUSINSTALACIONES ANEXAS</t>
        </is>
      </c>
      <c r="E403" s="114" t="n">
        <v>1</v>
      </c>
      <c r="F403" s="114" t="inlineStr">
        <is>
          <t>Subasta Inversa</t>
        </is>
      </c>
      <c r="G403" s="118" t="inlineStr">
        <is>
          <t xml:space="preserve">$ 303.087.446,51 </t>
        </is>
      </c>
      <c r="H403" s="114" t="inlineStr">
        <is>
          <t>Conectividad</t>
        </is>
      </c>
      <c r="I403" s="114" t="inlineStr">
        <is>
          <t xml:space="preserve">3443000 Ext </t>
        </is>
      </c>
      <c r="J403" s="114" t="inlineStr">
        <is>
          <t>gestionit@itc.edu.co</t>
        </is>
      </c>
      <c r="K403" s="114" t="n"/>
      <c r="L403" s="119" t="inlineStr">
        <is>
          <t>132 · GIT Gestión de Informática y Telecomunicaciones</t>
        </is>
      </c>
      <c r="M403" s="120" t="n">
        <v>303087446.51</v>
      </c>
      <c r="N403" s="119" t="inlineStr">
        <is>
          <t>Selección abreviada – subasta inversa</t>
        </is>
      </c>
      <c r="O403" s="119">
        <f>IF(LEN(IF(OR(NOT(ISNUMBER(B403)),LEN(B403)&lt;&gt;8),"UNSPSC vacío, en texto, con varios códigos o sin 8 dígitos; ","")&amp;IF(AND(ISNUMBER(B403),LEN(B403)=8),IF(MOD(B403,10000)=0,"UNSPSC a nivel de segmento o familia; ",""),"")&amp;IF(NOT(ISNUMBER(E403)),"Duración vacía o en texto; ","")&amp;IF(NOT(ISNUMBER(G403)),"Valor vacío o en texto; ","")&amp;IF(ISNUMBER(M403),IF(M403&lt;1000000,"Valor inferior a $1.000.000: verificar; ",""),"Valor no interpretable; ")&amp;IF(N403="[PENDIENTE DE VERIFICAR]","Modalidad no identificable; ","")&amp;IF(OR(ISERROR(SEARCH("@itc.edu.co",J403)),SUMPRODUCT(--ISNUMBER(SEARCH({"á","é","í","ó","ú","ñ"},J403)))&gt;0),"Correo vacío o no institucional válido; ","")&amp;IF(LEN(TRIM(D403))=0,"Sin objeto contractual; ","")&amp;IF(AND(ISNUMBER(M403),N403="Mínima cuantía"),IF(M403&gt;39850000,"Mínima cuantía con valor superior al tope citado en el instructivo 2026 ($39.850.000): verificar modalidad; ",""),"")&amp;IF(AND(ISNUMBER(M403),OR(ISNUMBER(SEARCH("prestación de servicios",D403)),ISNUMBER(SEARCH("prestar servicios",D403)),ISNUMBER(SEARCH("prestar los servicios",D403)))),IF(M403&gt;=500000000,"Prestación de servicios por $500 millones o más: posible error de digitación; ",""),""))=0,"Sin observaciones",IF(OR(NOT(ISNUMBER(B403)),LEN(B403)&lt;&gt;8),"UNSPSC vacío, en texto, con varios códigos o sin 8 dígitos; ","")&amp;IF(AND(ISNUMBER(B403),LEN(B403)=8),IF(MOD(B403,10000)=0,"UNSPSC a nivel de segmento o familia; ",""),"")&amp;IF(NOT(ISNUMBER(E403)),"Duración vacía o en texto; ","")&amp;IF(NOT(ISNUMBER(G403)),"Valor vacío o en texto; ","")&amp;IF(ISNUMBER(M403),IF(M403&lt;1000000,"Valor inferior a $1.000.000: verificar; ",""),"Valor no interpretable; ")&amp;IF(N403="[PENDIENTE DE VERIFICAR]","Modalidad no identificable; ","")&amp;IF(OR(ISERROR(SEARCH("@itc.edu.co",J403)),SUMPRODUCT(--ISNUMBER(SEARCH({"á","é","í","ó","ú","ñ"},J403)))&gt;0),"Correo vacío o no institucional válido; ","")&amp;IF(LEN(TRIM(D403))=0,"Sin objeto contractual; ","")&amp;IF(AND(ISNUMBER(M403),N403="Mínima cuantía"),IF(M403&gt;39850000,"Mínima cuantía con valor superior al tope citado en el instructivo 2026 ($39.850.000): verificar modalidad; ",""),"")&amp;IF(AND(ISNUMBER(M403),OR(ISNUMBER(SEARCH("prestación de servicios",D403)),ISNUMBER(SEARCH("prestar servicios",D403)),ISNUMBER(SEARCH("prestar los servicios",D403)))),IF(M403&gt;=500000000,"Prestación de servicios por $500 millones o más: posible error de digitación; ",""),""))</f>
        <v/>
      </c>
    </row>
    <row r="404" ht="45.6" customHeight="1" s="23">
      <c r="A404" s="114" t="inlineStr">
        <is>
          <t>PN26-400</t>
        </is>
      </c>
      <c r="B404" s="114" t="n">
        <v>81112210</v>
      </c>
      <c r="C404" s="114" t="inlineStr">
        <is>
          <t>Gestión Tecnología e Informática</t>
        </is>
      </c>
      <c r="D404" s="114" t="inlineStr">
        <is>
          <t>ADQUISICIÓN DEL PLAN DE ACTUALIZACIÓN Y SOPORTE PARA EL SOFTWARE MANTUM CMMS+ED DURANTE UN (1) AÑO PARA EL APOYO A LAS ÁREAS DE GESTIÓN DE LA ESCUELA TECNOLÓGICA INSTITUTO TÉCNICO CENTRAL (ETITC).</t>
        </is>
      </c>
      <c r="E404" s="114" t="n">
        <v>1</v>
      </c>
      <c r="F404" s="114" t="inlineStr">
        <is>
          <t>Subasta Inversa</t>
        </is>
      </c>
      <c r="G404" s="118" t="inlineStr">
        <is>
          <t xml:space="preserve">$ 303.087.446,51 </t>
        </is>
      </c>
      <c r="H404" s="114" t="inlineStr">
        <is>
          <t>Soporte Software</t>
        </is>
      </c>
      <c r="I404" s="114" t="inlineStr">
        <is>
          <t xml:space="preserve">3443000 Ext </t>
        </is>
      </c>
      <c r="J404" s="114" t="inlineStr">
        <is>
          <t>gestionit@itc.edu.co</t>
        </is>
      </c>
      <c r="K404" s="114" t="n"/>
      <c r="L404" s="119" t="inlineStr">
        <is>
          <t>132 · GIT Gestión de Informática y Telecomunicaciones</t>
        </is>
      </c>
      <c r="M404" s="120" t="n">
        <v>303087446.51</v>
      </c>
      <c r="N404" s="119" t="inlineStr">
        <is>
          <t>Selección abreviada – subasta inversa</t>
        </is>
      </c>
      <c r="O404" s="119">
        <f>IF(LEN(IF(OR(NOT(ISNUMBER(B404)),LEN(B404)&lt;&gt;8),"UNSPSC vacío, en texto, con varios códigos o sin 8 dígitos; ","")&amp;IF(AND(ISNUMBER(B404),LEN(B404)=8),IF(MOD(B404,10000)=0,"UNSPSC a nivel de segmento o familia; ",""),"")&amp;IF(NOT(ISNUMBER(E404)),"Duración vacía o en texto; ","")&amp;IF(NOT(ISNUMBER(G404)),"Valor vacío o en texto; ","")&amp;IF(ISNUMBER(M404),IF(M404&lt;1000000,"Valor inferior a $1.000.000: verificar; ",""),"Valor no interpretable; ")&amp;IF(N404="[PENDIENTE DE VERIFICAR]","Modalidad no identificable; ","")&amp;IF(OR(ISERROR(SEARCH("@itc.edu.co",J404)),SUMPRODUCT(--ISNUMBER(SEARCH({"á","é","í","ó","ú","ñ"},J404)))&gt;0),"Correo vacío o no institucional válido; ","")&amp;IF(LEN(TRIM(D404))=0,"Sin objeto contractual; ","")&amp;IF(AND(ISNUMBER(M404),N404="Mínima cuantía"),IF(M404&gt;39850000,"Mínima cuantía con valor superior al tope citado en el instructivo 2026 ($39.850.000): verificar modalidad; ",""),"")&amp;IF(AND(ISNUMBER(M404),OR(ISNUMBER(SEARCH("prestación de servicios",D404)),ISNUMBER(SEARCH("prestar servicios",D404)),ISNUMBER(SEARCH("prestar los servicios",D404)))),IF(M404&gt;=500000000,"Prestación de servicios por $500 millones o más: posible error de digitación; ",""),""))=0,"Sin observaciones",IF(OR(NOT(ISNUMBER(B404)),LEN(B404)&lt;&gt;8),"UNSPSC vacío, en texto, con varios códigos o sin 8 dígitos; ","")&amp;IF(AND(ISNUMBER(B404),LEN(B404)=8),IF(MOD(B404,10000)=0,"UNSPSC a nivel de segmento o familia; ",""),"")&amp;IF(NOT(ISNUMBER(E404)),"Duración vacía o en texto; ","")&amp;IF(NOT(ISNUMBER(G404)),"Valor vacío o en texto; ","")&amp;IF(ISNUMBER(M404),IF(M404&lt;1000000,"Valor inferior a $1.000.000: verificar; ",""),"Valor no interpretable; ")&amp;IF(N404="[PENDIENTE DE VERIFICAR]","Modalidad no identificable; ","")&amp;IF(OR(ISERROR(SEARCH("@itc.edu.co",J404)),SUMPRODUCT(--ISNUMBER(SEARCH({"á","é","í","ó","ú","ñ"},J404)))&gt;0),"Correo vacío o no institucional válido; ","")&amp;IF(LEN(TRIM(D404))=0,"Sin objeto contractual; ","")&amp;IF(AND(ISNUMBER(M404),N404="Mínima cuantía"),IF(M404&gt;39850000,"Mínima cuantía con valor superior al tope citado en el instructivo 2026 ($39.850.000): verificar modalidad; ",""),"")&amp;IF(AND(ISNUMBER(M404),OR(ISNUMBER(SEARCH("prestación de servicios",D404)),ISNUMBER(SEARCH("prestar servicios",D404)),ISNUMBER(SEARCH("prestar los servicios",D404)))),IF(M404&gt;=500000000,"Prestación de servicios por $500 millones o más: posible error de digitación; ",""),""))</f>
        <v/>
      </c>
    </row>
    <row r="405" ht="34.2" customHeight="1" s="23">
      <c r="A405" s="114" t="inlineStr">
        <is>
          <t>PN26-401</t>
        </is>
      </c>
      <c r="B405" s="114" t="n">
        <v>81112210</v>
      </c>
      <c r="C405" s="114" t="inlineStr">
        <is>
          <t>Gestión Tecnología e Informática</t>
        </is>
      </c>
      <c r="D405" s="114" t="inlineStr">
        <is>
          <t>RENOVACIÓN POR UN AÑO DEL PROGRAMA DE ASESORÍA, DESARROLLO Y SOPORTE EN LA HERRAMIENTA SIAC - METACOURIER Y MÓDULO DE GESTIÓN DOCUMENTAL ALFRESCO DE LA ETITC.</t>
        </is>
      </c>
      <c r="E405" s="114" t="n">
        <v>1</v>
      </c>
      <c r="F405" s="114" t="inlineStr">
        <is>
          <t>Minima Cuantía</t>
        </is>
      </c>
      <c r="G405" s="118" t="inlineStr">
        <is>
          <t xml:space="preserve">$ 61.510.433,60 </t>
        </is>
      </c>
      <c r="H405" s="114" t="inlineStr">
        <is>
          <t>Soporte Software</t>
        </is>
      </c>
      <c r="I405" s="114" t="inlineStr">
        <is>
          <t xml:space="preserve">3443000 Ext </t>
        </is>
      </c>
      <c r="J405" s="114" t="inlineStr">
        <is>
          <t>gestionit@itc.edu.co</t>
        </is>
      </c>
      <c r="K405" s="114" t="n"/>
      <c r="L405" s="119" t="inlineStr">
        <is>
          <t>132 · GIT Gestión de Informática y Telecomunicaciones</t>
        </is>
      </c>
      <c r="M405" s="120" t="n">
        <v>61510433.6</v>
      </c>
      <c r="N405" s="119" t="inlineStr">
        <is>
          <t>Mínima cuantía</t>
        </is>
      </c>
      <c r="O405" s="119">
        <f>IF(LEN(IF(OR(NOT(ISNUMBER(B405)),LEN(B405)&lt;&gt;8),"UNSPSC vacío, en texto, con varios códigos o sin 8 dígitos; ","")&amp;IF(AND(ISNUMBER(B405),LEN(B405)=8),IF(MOD(B405,10000)=0,"UNSPSC a nivel de segmento o familia; ",""),"")&amp;IF(NOT(ISNUMBER(E405)),"Duración vacía o en texto; ","")&amp;IF(NOT(ISNUMBER(G405)),"Valor vacío o en texto; ","")&amp;IF(ISNUMBER(M405),IF(M405&lt;1000000,"Valor inferior a $1.000.000: verificar; ",""),"Valor no interpretable; ")&amp;IF(N405="[PENDIENTE DE VERIFICAR]","Modalidad no identificable; ","")&amp;IF(OR(ISERROR(SEARCH("@itc.edu.co",J405)),SUMPRODUCT(--ISNUMBER(SEARCH({"á","é","í","ó","ú","ñ"},J405)))&gt;0),"Correo vacío o no institucional válido; ","")&amp;IF(LEN(TRIM(D405))=0,"Sin objeto contractual; ","")&amp;IF(AND(ISNUMBER(M405),N405="Mínima cuantía"),IF(M405&gt;39850000,"Mínima cuantía con valor superior al tope citado en el instructivo 2026 ($39.850.000): verificar modalidad; ",""),"")&amp;IF(AND(ISNUMBER(M405),OR(ISNUMBER(SEARCH("prestación de servicios",D405)),ISNUMBER(SEARCH("prestar servicios",D405)),ISNUMBER(SEARCH("prestar los servicios",D405)))),IF(M405&gt;=500000000,"Prestación de servicios por $500 millones o más: posible error de digitación; ",""),""))=0,"Sin observaciones",IF(OR(NOT(ISNUMBER(B405)),LEN(B405)&lt;&gt;8),"UNSPSC vacío, en texto, con varios códigos o sin 8 dígitos; ","")&amp;IF(AND(ISNUMBER(B405),LEN(B405)=8),IF(MOD(B405,10000)=0,"UNSPSC a nivel de segmento o familia; ",""),"")&amp;IF(NOT(ISNUMBER(E405)),"Duración vacía o en texto; ","")&amp;IF(NOT(ISNUMBER(G405)),"Valor vacío o en texto; ","")&amp;IF(ISNUMBER(M405),IF(M405&lt;1000000,"Valor inferior a $1.000.000: verificar; ",""),"Valor no interpretable; ")&amp;IF(N405="[PENDIENTE DE VERIFICAR]","Modalidad no identificable; ","")&amp;IF(OR(ISERROR(SEARCH("@itc.edu.co",J405)),SUMPRODUCT(--ISNUMBER(SEARCH({"á","é","í","ó","ú","ñ"},J405)))&gt;0),"Correo vacío o no institucional válido; ","")&amp;IF(LEN(TRIM(D405))=0,"Sin objeto contractual; ","")&amp;IF(AND(ISNUMBER(M405),N405="Mínima cuantía"),IF(M405&gt;39850000,"Mínima cuantía con valor superior al tope citado en el instructivo 2026 ($39.850.000): verificar modalidad; ",""),"")&amp;IF(AND(ISNUMBER(M405),OR(ISNUMBER(SEARCH("prestación de servicios",D405)),ISNUMBER(SEARCH("prestar servicios",D405)),ISNUMBER(SEARCH("prestar los servicios",D405)))),IF(M405&gt;=500000000,"Prestación de servicios por $500 millones o más: posible error de digitación; ",""),""))</f>
        <v/>
      </c>
    </row>
    <row r="406" ht="34.2" customHeight="1" s="23">
      <c r="A406" s="114" t="inlineStr">
        <is>
          <t>PN26-402</t>
        </is>
      </c>
      <c r="B406" s="114" t="n">
        <v>81112210</v>
      </c>
      <c r="C406" s="114" t="inlineStr">
        <is>
          <t>Gestión Tecnología e Informática</t>
        </is>
      </c>
      <c r="D406" s="114" t="inlineStr">
        <is>
          <t>ADQUISICIÓN DEL SOPORTE Y LAS ACTUALIZACIONES DEL SISTEMA DE INFORMACIÓN ACADÉMICO DEL BACHILLERATO GNOSOFT DE LA ESCUELA TECNOLÓGICA INSTITUTO TÉCNICO CENTRAL</t>
        </is>
      </c>
      <c r="E406" s="114" t="n">
        <v>1</v>
      </c>
      <c r="F406" s="114" t="inlineStr">
        <is>
          <t>Minima Cuantía</t>
        </is>
      </c>
      <c r="G406" s="118" t="inlineStr">
        <is>
          <t xml:space="preserve">$ 35.750.000,00 </t>
        </is>
      </c>
      <c r="H406" s="114" t="inlineStr">
        <is>
          <t>Soporte Software</t>
        </is>
      </c>
      <c r="I406" s="114" t="inlineStr">
        <is>
          <t xml:space="preserve">3443000 Ext </t>
        </is>
      </c>
      <c r="J406" s="114" t="inlineStr">
        <is>
          <t>gestionit@itc.edu.co</t>
        </is>
      </c>
      <c r="K406" s="114" t="n"/>
      <c r="L406" s="119" t="inlineStr">
        <is>
          <t>132 · GIT Gestión de Informática y Telecomunicaciones</t>
        </is>
      </c>
      <c r="M406" s="120" t="n">
        <v>35750000</v>
      </c>
      <c r="N406" s="119" t="inlineStr">
        <is>
          <t>Mínima cuantía</t>
        </is>
      </c>
      <c r="O406" s="119">
        <f>IF(LEN(IF(OR(NOT(ISNUMBER(B406)),LEN(B406)&lt;&gt;8),"UNSPSC vacío, en texto, con varios códigos o sin 8 dígitos; ","")&amp;IF(AND(ISNUMBER(B406),LEN(B406)=8),IF(MOD(B406,10000)=0,"UNSPSC a nivel de segmento o familia; ",""),"")&amp;IF(NOT(ISNUMBER(E406)),"Duración vacía o en texto; ","")&amp;IF(NOT(ISNUMBER(G406)),"Valor vacío o en texto; ","")&amp;IF(ISNUMBER(M406),IF(M406&lt;1000000,"Valor inferior a $1.000.000: verificar; ",""),"Valor no interpretable; ")&amp;IF(N406="[PENDIENTE DE VERIFICAR]","Modalidad no identificable; ","")&amp;IF(OR(ISERROR(SEARCH("@itc.edu.co",J406)),SUMPRODUCT(--ISNUMBER(SEARCH({"á","é","í","ó","ú","ñ"},J406)))&gt;0),"Correo vacío o no institucional válido; ","")&amp;IF(LEN(TRIM(D406))=0,"Sin objeto contractual; ","")&amp;IF(AND(ISNUMBER(M406),N406="Mínima cuantía"),IF(M406&gt;39850000,"Mínima cuantía con valor superior al tope citado en el instructivo 2026 ($39.850.000): verificar modalidad; ",""),"")&amp;IF(AND(ISNUMBER(M406),OR(ISNUMBER(SEARCH("prestación de servicios",D406)),ISNUMBER(SEARCH("prestar servicios",D406)),ISNUMBER(SEARCH("prestar los servicios",D406)))),IF(M406&gt;=500000000,"Prestación de servicios por $500 millones o más: posible error de digitación; ",""),""))=0,"Sin observaciones",IF(OR(NOT(ISNUMBER(B406)),LEN(B406)&lt;&gt;8),"UNSPSC vacío, en texto, con varios códigos o sin 8 dígitos; ","")&amp;IF(AND(ISNUMBER(B406),LEN(B406)=8),IF(MOD(B406,10000)=0,"UNSPSC a nivel de segmento o familia; ",""),"")&amp;IF(NOT(ISNUMBER(E406)),"Duración vacía o en texto; ","")&amp;IF(NOT(ISNUMBER(G406)),"Valor vacío o en texto; ","")&amp;IF(ISNUMBER(M406),IF(M406&lt;1000000,"Valor inferior a $1.000.000: verificar; ",""),"Valor no interpretable; ")&amp;IF(N406="[PENDIENTE DE VERIFICAR]","Modalidad no identificable; ","")&amp;IF(OR(ISERROR(SEARCH("@itc.edu.co",J406)),SUMPRODUCT(--ISNUMBER(SEARCH({"á","é","í","ó","ú","ñ"},J406)))&gt;0),"Correo vacío o no institucional válido; ","")&amp;IF(LEN(TRIM(D406))=0,"Sin objeto contractual; ","")&amp;IF(AND(ISNUMBER(M406),N406="Mínima cuantía"),IF(M406&gt;39850000,"Mínima cuantía con valor superior al tope citado en el instructivo 2026 ($39.850.000): verificar modalidad; ",""),"")&amp;IF(AND(ISNUMBER(M406),OR(ISNUMBER(SEARCH("prestación de servicios",D406)),ISNUMBER(SEARCH("prestar servicios",D406)),ISNUMBER(SEARCH("prestar los servicios",D406)))),IF(M406&gt;=500000000,"Prestación de servicios por $500 millones o más: posible error de digitación; ",""),""))</f>
        <v/>
      </c>
    </row>
    <row r="407" ht="45.6" customHeight="1" s="23">
      <c r="A407" s="114" t="inlineStr">
        <is>
          <t>PN26-403</t>
        </is>
      </c>
      <c r="B407" s="114" t="n">
        <v>81112210</v>
      </c>
      <c r="C407" s="114" t="inlineStr">
        <is>
          <t>Gestión Tecnología e Informática</t>
        </is>
      </c>
      <c r="D407" s="114" t="inlineStr">
        <is>
          <t>ADQUISICIÓN DEL SOPORTE Y LAS ACTUALIZACIONES DEL SISTEMA DE INFORMACIÓN ACADÉMICO DE LOS PROGRAMAS DE EDUCACIÓN SUPERIOR ACADEMUSOFT DE LA ESCUELA TECNOLÓGICA INSTITUTO TÉCNICO CENTRAL</t>
        </is>
      </c>
      <c r="E407" s="114" t="n">
        <v>1</v>
      </c>
      <c r="F407" s="114" t="inlineStr">
        <is>
          <t>Minima Cuantía</t>
        </is>
      </c>
      <c r="G407" s="118" t="inlineStr">
        <is>
          <t xml:space="preserve">$ 45.000.000,00 </t>
        </is>
      </c>
      <c r="H407" s="114" t="inlineStr">
        <is>
          <t>Soporte Software</t>
        </is>
      </c>
      <c r="I407" s="114" t="inlineStr">
        <is>
          <t xml:space="preserve">3443000 Ext </t>
        </is>
      </c>
      <c r="J407" s="114" t="inlineStr">
        <is>
          <t>gestionit@itc.edu.co</t>
        </is>
      </c>
      <c r="K407" s="114" t="n"/>
      <c r="L407" s="119" t="inlineStr">
        <is>
          <t>132 · GIT Gestión de Informática y Telecomunicaciones</t>
        </is>
      </c>
      <c r="M407" s="120" t="n">
        <v>45000000</v>
      </c>
      <c r="N407" s="119" t="inlineStr">
        <is>
          <t>Mínima cuantía</t>
        </is>
      </c>
      <c r="O407" s="119">
        <f>IF(LEN(IF(OR(NOT(ISNUMBER(B407)),LEN(B407)&lt;&gt;8),"UNSPSC vacío, en texto, con varios códigos o sin 8 dígitos; ","")&amp;IF(AND(ISNUMBER(B407),LEN(B407)=8),IF(MOD(B407,10000)=0,"UNSPSC a nivel de segmento o familia; ",""),"")&amp;IF(NOT(ISNUMBER(E407)),"Duración vacía o en texto; ","")&amp;IF(NOT(ISNUMBER(G407)),"Valor vacío o en texto; ","")&amp;IF(ISNUMBER(M407),IF(M407&lt;1000000,"Valor inferior a $1.000.000: verificar; ",""),"Valor no interpretable; ")&amp;IF(N407="[PENDIENTE DE VERIFICAR]","Modalidad no identificable; ","")&amp;IF(OR(ISERROR(SEARCH("@itc.edu.co",J407)),SUMPRODUCT(--ISNUMBER(SEARCH({"á","é","í","ó","ú","ñ"},J407)))&gt;0),"Correo vacío o no institucional válido; ","")&amp;IF(LEN(TRIM(D407))=0,"Sin objeto contractual; ","")&amp;IF(AND(ISNUMBER(M407),N407="Mínima cuantía"),IF(M407&gt;39850000,"Mínima cuantía con valor superior al tope citado en el instructivo 2026 ($39.850.000): verificar modalidad; ",""),"")&amp;IF(AND(ISNUMBER(M407),OR(ISNUMBER(SEARCH("prestación de servicios",D407)),ISNUMBER(SEARCH("prestar servicios",D407)),ISNUMBER(SEARCH("prestar los servicios",D407)))),IF(M407&gt;=500000000,"Prestación de servicios por $500 millones o más: posible error de digitación; ",""),""))=0,"Sin observaciones",IF(OR(NOT(ISNUMBER(B407)),LEN(B407)&lt;&gt;8),"UNSPSC vacío, en texto, con varios códigos o sin 8 dígitos; ","")&amp;IF(AND(ISNUMBER(B407),LEN(B407)=8),IF(MOD(B407,10000)=0,"UNSPSC a nivel de segmento o familia; ",""),"")&amp;IF(NOT(ISNUMBER(E407)),"Duración vacía o en texto; ","")&amp;IF(NOT(ISNUMBER(G407)),"Valor vacío o en texto; ","")&amp;IF(ISNUMBER(M407),IF(M407&lt;1000000,"Valor inferior a $1.000.000: verificar; ",""),"Valor no interpretable; ")&amp;IF(N407="[PENDIENTE DE VERIFICAR]","Modalidad no identificable; ","")&amp;IF(OR(ISERROR(SEARCH("@itc.edu.co",J407)),SUMPRODUCT(--ISNUMBER(SEARCH({"á","é","í","ó","ú","ñ"},J407)))&gt;0),"Correo vacío o no institucional válido; ","")&amp;IF(LEN(TRIM(D407))=0,"Sin objeto contractual; ","")&amp;IF(AND(ISNUMBER(M407),N407="Mínima cuantía"),IF(M407&gt;39850000,"Mínima cuantía con valor superior al tope citado en el instructivo 2026 ($39.850.000): verificar modalidad; ",""),"")&amp;IF(AND(ISNUMBER(M407),OR(ISNUMBER(SEARCH("prestación de servicios",D407)),ISNUMBER(SEARCH("prestar servicios",D407)),ISNUMBER(SEARCH("prestar los servicios",D407)))),IF(M407&gt;=500000000,"Prestación de servicios por $500 millones o más: posible error de digitación; ",""),""))</f>
        <v/>
      </c>
    </row>
    <row r="408" ht="34.2" customHeight="1" s="23">
      <c r="A408" s="114" t="inlineStr">
        <is>
          <t>PN26-404</t>
        </is>
      </c>
      <c r="B408" s="114" t="n">
        <v>81112210</v>
      </c>
      <c r="C408" s="114" t="inlineStr">
        <is>
          <t>Gestión Tecnología e Informática</t>
        </is>
      </c>
      <c r="D408" s="114" t="inlineStr">
        <is>
          <t>ADQUISICIÓN DEL SOPORTE Y LAS ACTUALIZACIONES DEL SISTEMA DE INFORMACIÓN DE LA GESTIÓN DE TALENTO HUMANO "HUMANO" DE LA ESCUELA TECNOLÓGICA INSTITUTO TÉCNICO CENTRAL</t>
        </is>
      </c>
      <c r="E408" s="114" t="n">
        <v>1</v>
      </c>
      <c r="F408" s="114" t="inlineStr">
        <is>
          <t>Minima Cuantía</t>
        </is>
      </c>
      <c r="G408" s="118" t="inlineStr">
        <is>
          <t xml:space="preserve">$ 38.000.000,00 </t>
        </is>
      </c>
      <c r="H408" s="114" t="inlineStr">
        <is>
          <t>Soporte Software</t>
        </is>
      </c>
      <c r="I408" s="114" t="inlineStr">
        <is>
          <t xml:space="preserve">3443000 Ext </t>
        </is>
      </c>
      <c r="J408" s="114" t="inlineStr">
        <is>
          <t>gestionit@itc.edu.co</t>
        </is>
      </c>
      <c r="K408" s="114" t="n"/>
      <c r="L408" s="119" t="inlineStr">
        <is>
          <t>132 · GIT Gestión de Informática y Telecomunicaciones</t>
        </is>
      </c>
      <c r="M408" s="120" t="n">
        <v>38000000</v>
      </c>
      <c r="N408" s="119" t="inlineStr">
        <is>
          <t>Mínima cuantía</t>
        </is>
      </c>
      <c r="O408" s="119">
        <f>IF(LEN(IF(OR(NOT(ISNUMBER(B408)),LEN(B408)&lt;&gt;8),"UNSPSC vacío, en texto, con varios códigos o sin 8 dígitos; ","")&amp;IF(AND(ISNUMBER(B408),LEN(B408)=8),IF(MOD(B408,10000)=0,"UNSPSC a nivel de segmento o familia; ",""),"")&amp;IF(NOT(ISNUMBER(E408)),"Duración vacía o en texto; ","")&amp;IF(NOT(ISNUMBER(G408)),"Valor vacío o en texto; ","")&amp;IF(ISNUMBER(M408),IF(M408&lt;1000000,"Valor inferior a $1.000.000: verificar; ",""),"Valor no interpretable; ")&amp;IF(N408="[PENDIENTE DE VERIFICAR]","Modalidad no identificable; ","")&amp;IF(OR(ISERROR(SEARCH("@itc.edu.co",J408)),SUMPRODUCT(--ISNUMBER(SEARCH({"á","é","í","ó","ú","ñ"},J408)))&gt;0),"Correo vacío o no institucional válido; ","")&amp;IF(LEN(TRIM(D408))=0,"Sin objeto contractual; ","")&amp;IF(AND(ISNUMBER(M408),N408="Mínima cuantía"),IF(M408&gt;39850000,"Mínima cuantía con valor superior al tope citado en el instructivo 2026 ($39.850.000): verificar modalidad; ",""),"")&amp;IF(AND(ISNUMBER(M408),OR(ISNUMBER(SEARCH("prestación de servicios",D408)),ISNUMBER(SEARCH("prestar servicios",D408)),ISNUMBER(SEARCH("prestar los servicios",D408)))),IF(M408&gt;=500000000,"Prestación de servicios por $500 millones o más: posible error de digitación; ",""),""))=0,"Sin observaciones",IF(OR(NOT(ISNUMBER(B408)),LEN(B408)&lt;&gt;8),"UNSPSC vacío, en texto, con varios códigos o sin 8 dígitos; ","")&amp;IF(AND(ISNUMBER(B408),LEN(B408)=8),IF(MOD(B408,10000)=0,"UNSPSC a nivel de segmento o familia; ",""),"")&amp;IF(NOT(ISNUMBER(E408)),"Duración vacía o en texto; ","")&amp;IF(NOT(ISNUMBER(G408)),"Valor vacío o en texto; ","")&amp;IF(ISNUMBER(M408),IF(M408&lt;1000000,"Valor inferior a $1.000.000: verificar; ",""),"Valor no interpretable; ")&amp;IF(N408="[PENDIENTE DE VERIFICAR]","Modalidad no identificable; ","")&amp;IF(OR(ISERROR(SEARCH("@itc.edu.co",J408)),SUMPRODUCT(--ISNUMBER(SEARCH({"á","é","í","ó","ú","ñ"},J408)))&gt;0),"Correo vacío o no institucional válido; ","")&amp;IF(LEN(TRIM(D408))=0,"Sin objeto contractual; ","")&amp;IF(AND(ISNUMBER(M408),N408="Mínima cuantía"),IF(M408&gt;39850000,"Mínima cuantía con valor superior al tope citado en el instructivo 2026 ($39.850.000): verificar modalidad; ",""),"")&amp;IF(AND(ISNUMBER(M408),OR(ISNUMBER(SEARCH("prestación de servicios",D408)),ISNUMBER(SEARCH("prestar servicios",D408)),ISNUMBER(SEARCH("prestar los servicios",D408)))),IF(M408&gt;=500000000,"Prestación de servicios por $500 millones o más: posible error de digitación; ",""),""))</f>
        <v/>
      </c>
    </row>
    <row r="409" ht="34.2" customHeight="1" s="23">
      <c r="A409" s="114" t="inlineStr">
        <is>
          <t>PN26-405</t>
        </is>
      </c>
      <c r="B409" s="114" t="n">
        <v>46191505</v>
      </c>
      <c r="C409" s="114" t="inlineStr">
        <is>
          <t>Gestión Tecnología e Informática</t>
        </is>
      </c>
      <c r="D409" s="114" t="inlineStr">
        <is>
          <t>MANTENIMIENTO CORRECTIVO Y PREVENTIVO DE DOS SISTEMAS DE DETECCIÓN Y EXTINCIÓN DE INCENDIOS UBICADOS EN EL DATACENTER Y EL AULA DE SEGURIDAD INFORMÁTICA DE LA ETITC</t>
        </is>
      </c>
      <c r="E409" s="114" t="n">
        <v>1</v>
      </c>
      <c r="F409" s="114" t="inlineStr">
        <is>
          <t>Minima Cuantía</t>
        </is>
      </c>
      <c r="G409" s="118" t="inlineStr">
        <is>
          <t xml:space="preserve">$ 35.000.000,00 </t>
        </is>
      </c>
      <c r="H409" s="114" t="inlineStr">
        <is>
          <t>Mantenimiento equipos de incendios</t>
        </is>
      </c>
      <c r="I409" s="114" t="inlineStr">
        <is>
          <t xml:space="preserve">3443000 Ext </t>
        </is>
      </c>
      <c r="J409" s="114" t="inlineStr">
        <is>
          <t>gestionit@itc.edu.co</t>
        </is>
      </c>
      <c r="K409" s="114" t="n"/>
      <c r="L409" s="119" t="inlineStr">
        <is>
          <t>132 · GIT Gestión de Informática y Telecomunicaciones</t>
        </is>
      </c>
      <c r="M409" s="120" t="n">
        <v>35000000</v>
      </c>
      <c r="N409" s="119" t="inlineStr">
        <is>
          <t>Mínima cuantía</t>
        </is>
      </c>
      <c r="O409" s="119">
        <f>IF(LEN(IF(OR(NOT(ISNUMBER(B409)),LEN(B409)&lt;&gt;8),"UNSPSC vacío, en texto, con varios códigos o sin 8 dígitos; ","")&amp;IF(AND(ISNUMBER(B409),LEN(B409)=8),IF(MOD(B409,10000)=0,"UNSPSC a nivel de segmento o familia; ",""),"")&amp;IF(NOT(ISNUMBER(E409)),"Duración vacía o en texto; ","")&amp;IF(NOT(ISNUMBER(G409)),"Valor vacío o en texto; ","")&amp;IF(ISNUMBER(M409),IF(M409&lt;1000000,"Valor inferior a $1.000.000: verificar; ",""),"Valor no interpretable; ")&amp;IF(N409="[PENDIENTE DE VERIFICAR]","Modalidad no identificable; ","")&amp;IF(OR(ISERROR(SEARCH("@itc.edu.co",J409)),SUMPRODUCT(--ISNUMBER(SEARCH({"á","é","í","ó","ú","ñ"},J409)))&gt;0),"Correo vacío o no institucional válido; ","")&amp;IF(LEN(TRIM(D409))=0,"Sin objeto contractual; ","")&amp;IF(AND(ISNUMBER(M409),N409="Mínima cuantía"),IF(M409&gt;39850000,"Mínima cuantía con valor superior al tope citado en el instructivo 2026 ($39.850.000): verificar modalidad; ",""),"")&amp;IF(AND(ISNUMBER(M409),OR(ISNUMBER(SEARCH("prestación de servicios",D409)),ISNUMBER(SEARCH("prestar servicios",D409)),ISNUMBER(SEARCH("prestar los servicios",D409)))),IF(M409&gt;=500000000,"Prestación de servicios por $500 millones o más: posible error de digitación; ",""),""))=0,"Sin observaciones",IF(OR(NOT(ISNUMBER(B409)),LEN(B409)&lt;&gt;8),"UNSPSC vacío, en texto, con varios códigos o sin 8 dígitos; ","")&amp;IF(AND(ISNUMBER(B409),LEN(B409)=8),IF(MOD(B409,10000)=0,"UNSPSC a nivel de segmento o familia; ",""),"")&amp;IF(NOT(ISNUMBER(E409)),"Duración vacía o en texto; ","")&amp;IF(NOT(ISNUMBER(G409)),"Valor vacío o en texto; ","")&amp;IF(ISNUMBER(M409),IF(M409&lt;1000000,"Valor inferior a $1.000.000: verificar; ",""),"Valor no interpretable; ")&amp;IF(N409="[PENDIENTE DE VERIFICAR]","Modalidad no identificable; ","")&amp;IF(OR(ISERROR(SEARCH("@itc.edu.co",J409)),SUMPRODUCT(--ISNUMBER(SEARCH({"á","é","í","ó","ú","ñ"},J409)))&gt;0),"Correo vacío o no institucional válido; ","")&amp;IF(LEN(TRIM(D409))=0,"Sin objeto contractual; ","")&amp;IF(AND(ISNUMBER(M409),N409="Mínima cuantía"),IF(M409&gt;39850000,"Mínima cuantía con valor superior al tope citado en el instructivo 2026 ($39.850.000): verificar modalidad; ",""),"")&amp;IF(AND(ISNUMBER(M409),OR(ISNUMBER(SEARCH("prestación de servicios",D409)),ISNUMBER(SEARCH("prestar servicios",D409)),ISNUMBER(SEARCH("prestar los servicios",D409)))),IF(M409&gt;=500000000,"Prestación de servicios por $500 millones o más: posible error de digitación; ",""),""))</f>
        <v/>
      </c>
    </row>
    <row r="410" ht="34.2" customHeight="1" s="23">
      <c r="A410" s="114" t="inlineStr">
        <is>
          <t>PN26-406</t>
        </is>
      </c>
      <c r="B410" s="114" t="n">
        <v>81112307</v>
      </c>
      <c r="C410" s="114" t="inlineStr">
        <is>
          <t>Gestión Tecnología e Informática</t>
        </is>
      </c>
      <c r="D410" s="114" t="inlineStr">
        <is>
          <t>Adquisición de insumos y repuestos para el mantenimiento de equipos de cómputo de la ETITC</t>
        </is>
      </c>
      <c r="E410" s="114" t="n">
        <v>1</v>
      </c>
      <c r="F410" s="114" t="inlineStr">
        <is>
          <t>Minima Cuantía</t>
        </is>
      </c>
      <c r="G410" s="118" t="inlineStr">
        <is>
          <t xml:space="preserve">$ 60.000.000,00 </t>
        </is>
      </c>
      <c r="H410" s="114" t="inlineStr">
        <is>
          <t>Adquisición</t>
        </is>
      </c>
      <c r="I410" s="114" t="inlineStr">
        <is>
          <t xml:space="preserve">3443000 Ext </t>
        </is>
      </c>
      <c r="J410" s="114" t="inlineStr">
        <is>
          <t>gestionit@itc.edu.co</t>
        </is>
      </c>
      <c r="K410" s="114" t="n"/>
      <c r="L410" s="119" t="inlineStr">
        <is>
          <t>132 · GIT Gestión de Informática y Telecomunicaciones</t>
        </is>
      </c>
      <c r="M410" s="120" t="n">
        <v>60000000</v>
      </c>
      <c r="N410" s="119" t="inlineStr">
        <is>
          <t>Mínima cuantía</t>
        </is>
      </c>
      <c r="O410" s="119">
        <f>IF(LEN(IF(OR(NOT(ISNUMBER(B410)),LEN(B410)&lt;&gt;8),"UNSPSC vacío, en texto, con varios códigos o sin 8 dígitos; ","")&amp;IF(AND(ISNUMBER(B410),LEN(B410)=8),IF(MOD(B410,10000)=0,"UNSPSC a nivel de segmento o familia; ",""),"")&amp;IF(NOT(ISNUMBER(E410)),"Duración vacía o en texto; ","")&amp;IF(NOT(ISNUMBER(G410)),"Valor vacío o en texto; ","")&amp;IF(ISNUMBER(M410),IF(M410&lt;1000000,"Valor inferior a $1.000.000: verificar; ",""),"Valor no interpretable; ")&amp;IF(N410="[PENDIENTE DE VERIFICAR]","Modalidad no identificable; ","")&amp;IF(OR(ISERROR(SEARCH("@itc.edu.co",J410)),SUMPRODUCT(--ISNUMBER(SEARCH({"á","é","í","ó","ú","ñ"},J410)))&gt;0),"Correo vacío o no institucional válido; ","")&amp;IF(LEN(TRIM(D410))=0,"Sin objeto contractual; ","")&amp;IF(AND(ISNUMBER(M410),N410="Mínima cuantía"),IF(M410&gt;39850000,"Mínima cuantía con valor superior al tope citado en el instructivo 2026 ($39.850.000): verificar modalidad; ",""),"")&amp;IF(AND(ISNUMBER(M410),OR(ISNUMBER(SEARCH("prestación de servicios",D410)),ISNUMBER(SEARCH("prestar servicios",D410)),ISNUMBER(SEARCH("prestar los servicios",D410)))),IF(M410&gt;=500000000,"Prestación de servicios por $500 millones o más: posible error de digitación; ",""),""))=0,"Sin observaciones",IF(OR(NOT(ISNUMBER(B410)),LEN(B410)&lt;&gt;8),"UNSPSC vacío, en texto, con varios códigos o sin 8 dígitos; ","")&amp;IF(AND(ISNUMBER(B410),LEN(B410)=8),IF(MOD(B410,10000)=0,"UNSPSC a nivel de segmento o familia; ",""),"")&amp;IF(NOT(ISNUMBER(E410)),"Duración vacía o en texto; ","")&amp;IF(NOT(ISNUMBER(G410)),"Valor vacío o en texto; ","")&amp;IF(ISNUMBER(M410),IF(M410&lt;1000000,"Valor inferior a $1.000.000: verificar; ",""),"Valor no interpretable; ")&amp;IF(N410="[PENDIENTE DE VERIFICAR]","Modalidad no identificable; ","")&amp;IF(OR(ISERROR(SEARCH("@itc.edu.co",J410)),SUMPRODUCT(--ISNUMBER(SEARCH({"á","é","í","ó","ú","ñ"},J410)))&gt;0),"Correo vacío o no institucional válido; ","")&amp;IF(LEN(TRIM(D410))=0,"Sin objeto contractual; ","")&amp;IF(AND(ISNUMBER(M410),N410="Mínima cuantía"),IF(M410&gt;39850000,"Mínima cuantía con valor superior al tope citado en el instructivo 2026 ($39.850.000): verificar modalidad; ",""),"")&amp;IF(AND(ISNUMBER(M410),OR(ISNUMBER(SEARCH("prestación de servicios",D410)),ISNUMBER(SEARCH("prestar servicios",D410)),ISNUMBER(SEARCH("prestar los servicios",D410)))),IF(M410&gt;=500000000,"Prestación de servicios por $500 millones o más: posible error de digitación; ",""),""))</f>
        <v/>
      </c>
    </row>
    <row r="411" ht="34.2" customHeight="1" s="23">
      <c r="A411" s="114" t="inlineStr">
        <is>
          <t>PN26-407</t>
        </is>
      </c>
      <c r="B411" s="114" t="n">
        <v>81112307</v>
      </c>
      <c r="C411" s="114" t="inlineStr">
        <is>
          <t>Gestión Tecnología e Informática</t>
        </is>
      </c>
      <c r="D411" s="114" t="inlineStr">
        <is>
          <t>Mantenimiento preventivo y correctivo de impresoras y scanners, incluye insumos de impresión</t>
        </is>
      </c>
      <c r="E411" s="114" t="n">
        <v>1</v>
      </c>
      <c r="F411" s="114" t="inlineStr">
        <is>
          <t>Minima Cuantía</t>
        </is>
      </c>
      <c r="G411" s="118" t="inlineStr">
        <is>
          <t xml:space="preserve">$ 60.000.000,00 </t>
        </is>
      </c>
      <c r="H411" s="114" t="inlineStr">
        <is>
          <t>Mantenimiento equipo de computo</t>
        </is>
      </c>
      <c r="I411" s="114" t="inlineStr">
        <is>
          <t xml:space="preserve">3443000 Ext </t>
        </is>
      </c>
      <c r="J411" s="114" t="inlineStr">
        <is>
          <t>gestionit@itc.edu.co</t>
        </is>
      </c>
      <c r="K411" s="114" t="n"/>
      <c r="L411" s="119" t="inlineStr">
        <is>
          <t>132 · GIT Gestión de Informática y Telecomunicaciones</t>
        </is>
      </c>
      <c r="M411" s="120" t="n">
        <v>60000000</v>
      </c>
      <c r="N411" s="119" t="inlineStr">
        <is>
          <t>Mínima cuantía</t>
        </is>
      </c>
      <c r="O411" s="119">
        <f>IF(LEN(IF(OR(NOT(ISNUMBER(B411)),LEN(B411)&lt;&gt;8),"UNSPSC vacío, en texto, con varios códigos o sin 8 dígitos; ","")&amp;IF(AND(ISNUMBER(B411),LEN(B411)=8),IF(MOD(B411,10000)=0,"UNSPSC a nivel de segmento o familia; ",""),"")&amp;IF(NOT(ISNUMBER(E411)),"Duración vacía o en texto; ","")&amp;IF(NOT(ISNUMBER(G411)),"Valor vacío o en texto; ","")&amp;IF(ISNUMBER(M411),IF(M411&lt;1000000,"Valor inferior a $1.000.000: verificar; ",""),"Valor no interpretable; ")&amp;IF(N411="[PENDIENTE DE VERIFICAR]","Modalidad no identificable; ","")&amp;IF(OR(ISERROR(SEARCH("@itc.edu.co",J411)),SUMPRODUCT(--ISNUMBER(SEARCH({"á","é","í","ó","ú","ñ"},J411)))&gt;0),"Correo vacío o no institucional válido; ","")&amp;IF(LEN(TRIM(D411))=0,"Sin objeto contractual; ","")&amp;IF(AND(ISNUMBER(M411),N411="Mínima cuantía"),IF(M411&gt;39850000,"Mínima cuantía con valor superior al tope citado en el instructivo 2026 ($39.850.000): verificar modalidad; ",""),"")&amp;IF(AND(ISNUMBER(M411),OR(ISNUMBER(SEARCH("prestación de servicios",D411)),ISNUMBER(SEARCH("prestar servicios",D411)),ISNUMBER(SEARCH("prestar los servicios",D411)))),IF(M411&gt;=500000000,"Prestación de servicios por $500 millones o más: posible error de digitación; ",""),""))=0,"Sin observaciones",IF(OR(NOT(ISNUMBER(B411)),LEN(B411)&lt;&gt;8),"UNSPSC vacío, en texto, con varios códigos o sin 8 dígitos; ","")&amp;IF(AND(ISNUMBER(B411),LEN(B411)=8),IF(MOD(B411,10000)=0,"UNSPSC a nivel de segmento o familia; ",""),"")&amp;IF(NOT(ISNUMBER(E411)),"Duración vacía o en texto; ","")&amp;IF(NOT(ISNUMBER(G411)),"Valor vacío o en texto; ","")&amp;IF(ISNUMBER(M411),IF(M411&lt;1000000,"Valor inferior a $1.000.000: verificar; ",""),"Valor no interpretable; ")&amp;IF(N411="[PENDIENTE DE VERIFICAR]","Modalidad no identificable; ","")&amp;IF(OR(ISERROR(SEARCH("@itc.edu.co",J411)),SUMPRODUCT(--ISNUMBER(SEARCH({"á","é","í","ó","ú","ñ"},J411)))&gt;0),"Correo vacío o no institucional válido; ","")&amp;IF(LEN(TRIM(D411))=0,"Sin objeto contractual; ","")&amp;IF(AND(ISNUMBER(M411),N411="Mínima cuantía"),IF(M411&gt;39850000,"Mínima cuantía con valor superior al tope citado en el instructivo 2026 ($39.850.000): verificar modalidad; ",""),"")&amp;IF(AND(ISNUMBER(M411),OR(ISNUMBER(SEARCH("prestación de servicios",D411)),ISNUMBER(SEARCH("prestar servicios",D411)),ISNUMBER(SEARCH("prestar los servicios",D411)))),IF(M411&gt;=500000000,"Prestación de servicios por $500 millones o más: posible error de digitación; ",""),""))</f>
        <v/>
      </c>
    </row>
    <row r="412" ht="34.2" customHeight="1" s="23">
      <c r="A412" s="114" t="inlineStr">
        <is>
          <t>PN26-408</t>
        </is>
      </c>
      <c r="B412" s="114" t="n">
        <v>81112307</v>
      </c>
      <c r="C412" s="114" t="inlineStr">
        <is>
          <t>Gestión Tecnología e Informática</t>
        </is>
      </c>
      <c r="D412" s="114" t="inlineStr">
        <is>
          <t>ADQUISICIÓN DE IMPRESORAS</t>
        </is>
      </c>
      <c r="E412" s="114" t="n">
        <v>1</v>
      </c>
      <c r="F412" s="114" t="inlineStr">
        <is>
          <t>Minima Cuantía</t>
        </is>
      </c>
      <c r="G412" s="118" t="inlineStr">
        <is>
          <t xml:space="preserve">$ 60.000.000,00 </t>
        </is>
      </c>
      <c r="H412" s="114" t="inlineStr">
        <is>
          <t>Adquisición</t>
        </is>
      </c>
      <c r="I412" s="114" t="inlineStr">
        <is>
          <t xml:space="preserve">3443000 Ext </t>
        </is>
      </c>
      <c r="J412" s="114" t="inlineStr">
        <is>
          <t>gestionit@itc.edu.co</t>
        </is>
      </c>
      <c r="K412" s="114" t="n"/>
      <c r="L412" s="119" t="inlineStr">
        <is>
          <t>132 · GIT Gestión de Informática y Telecomunicaciones</t>
        </is>
      </c>
      <c r="M412" s="120" t="n">
        <v>60000000</v>
      </c>
      <c r="N412" s="119" t="inlineStr">
        <is>
          <t>Mínima cuantía</t>
        </is>
      </c>
      <c r="O412" s="119">
        <f>IF(LEN(IF(OR(NOT(ISNUMBER(B412)),LEN(B412)&lt;&gt;8),"UNSPSC vacío, en texto, con varios códigos o sin 8 dígitos; ","")&amp;IF(AND(ISNUMBER(B412),LEN(B412)=8),IF(MOD(B412,10000)=0,"UNSPSC a nivel de segmento o familia; ",""),"")&amp;IF(NOT(ISNUMBER(E412)),"Duración vacía o en texto; ","")&amp;IF(NOT(ISNUMBER(G412)),"Valor vacío o en texto; ","")&amp;IF(ISNUMBER(M412),IF(M412&lt;1000000,"Valor inferior a $1.000.000: verificar; ",""),"Valor no interpretable; ")&amp;IF(N412="[PENDIENTE DE VERIFICAR]","Modalidad no identificable; ","")&amp;IF(OR(ISERROR(SEARCH("@itc.edu.co",J412)),SUMPRODUCT(--ISNUMBER(SEARCH({"á","é","í","ó","ú","ñ"},J412)))&gt;0),"Correo vacío o no institucional válido; ","")&amp;IF(LEN(TRIM(D412))=0,"Sin objeto contractual; ","")&amp;IF(AND(ISNUMBER(M412),N412="Mínima cuantía"),IF(M412&gt;39850000,"Mínima cuantía con valor superior al tope citado en el instructivo 2026 ($39.850.000): verificar modalidad; ",""),"")&amp;IF(AND(ISNUMBER(M412),OR(ISNUMBER(SEARCH("prestación de servicios",D412)),ISNUMBER(SEARCH("prestar servicios",D412)),ISNUMBER(SEARCH("prestar los servicios",D412)))),IF(M412&gt;=500000000,"Prestación de servicios por $500 millones o más: posible error de digitación; ",""),""))=0,"Sin observaciones",IF(OR(NOT(ISNUMBER(B412)),LEN(B412)&lt;&gt;8),"UNSPSC vacío, en texto, con varios códigos o sin 8 dígitos; ","")&amp;IF(AND(ISNUMBER(B412),LEN(B412)=8),IF(MOD(B412,10000)=0,"UNSPSC a nivel de segmento o familia; ",""),"")&amp;IF(NOT(ISNUMBER(E412)),"Duración vacía o en texto; ","")&amp;IF(NOT(ISNUMBER(G412)),"Valor vacío o en texto; ","")&amp;IF(ISNUMBER(M412),IF(M412&lt;1000000,"Valor inferior a $1.000.000: verificar; ",""),"Valor no interpretable; ")&amp;IF(N412="[PENDIENTE DE VERIFICAR]","Modalidad no identificable; ","")&amp;IF(OR(ISERROR(SEARCH("@itc.edu.co",J412)),SUMPRODUCT(--ISNUMBER(SEARCH({"á","é","í","ó","ú","ñ"},J412)))&gt;0),"Correo vacío o no institucional válido; ","")&amp;IF(LEN(TRIM(D412))=0,"Sin objeto contractual; ","")&amp;IF(AND(ISNUMBER(M412),N412="Mínima cuantía"),IF(M412&gt;39850000,"Mínima cuantía con valor superior al tope citado en el instructivo 2026 ($39.850.000): verificar modalidad; ",""),"")&amp;IF(AND(ISNUMBER(M412),OR(ISNUMBER(SEARCH("prestación de servicios",D412)),ISNUMBER(SEARCH("prestar servicios",D412)),ISNUMBER(SEARCH("prestar los servicios",D412)))),IF(M412&gt;=500000000,"Prestación de servicios por $500 millones o más: posible error de digitación; ",""),""))</f>
        <v/>
      </c>
    </row>
    <row r="413" ht="22.8" customHeight="1" s="23">
      <c r="A413" s="114" t="inlineStr">
        <is>
          <t>PN26-409</t>
        </is>
      </c>
      <c r="B413" s="114" t="n">
        <v>81112307</v>
      </c>
      <c r="C413" s="114" t="inlineStr">
        <is>
          <t>Gestión Tecnología e Informática</t>
        </is>
      </c>
      <c r="D413" s="114" t="inlineStr">
        <is>
          <t>ADQUISICIÓN DE EQUIPOS DE CÓMPUTO PARA RENOVAR SALAS</t>
        </is>
      </c>
      <c r="E413" s="114" t="n">
        <v>1</v>
      </c>
      <c r="F413" s="114" t="inlineStr">
        <is>
          <t>Subasta Inversa</t>
        </is>
      </c>
      <c r="G413" s="118" t="inlineStr">
        <is>
          <t xml:space="preserve"> $ 750.000.000,00 </t>
        </is>
      </c>
      <c r="H413" s="114" t="inlineStr">
        <is>
          <t>Adquisición</t>
        </is>
      </c>
      <c r="I413" s="114" t="inlineStr">
        <is>
          <t xml:space="preserve">3443000 Ext </t>
        </is>
      </c>
      <c r="J413" s="114" t="inlineStr">
        <is>
          <t>gestionit@itc.edu.co</t>
        </is>
      </c>
      <c r="K413" s="114" t="n"/>
      <c r="L413" s="119" t="inlineStr">
        <is>
          <t>132 · GIT Gestión de Informática y Telecomunicaciones</t>
        </is>
      </c>
      <c r="M413" s="120" t="n">
        <v>750000000</v>
      </c>
      <c r="N413" s="119" t="inlineStr">
        <is>
          <t>Selección abreviada – subasta inversa</t>
        </is>
      </c>
      <c r="O413" s="119">
        <f>IF(LEN(IF(OR(NOT(ISNUMBER(B413)),LEN(B413)&lt;&gt;8),"UNSPSC vacío, en texto, con varios códigos o sin 8 dígitos; ","")&amp;IF(AND(ISNUMBER(B413),LEN(B413)=8),IF(MOD(B413,10000)=0,"UNSPSC a nivel de segmento o familia; ",""),"")&amp;IF(NOT(ISNUMBER(E413)),"Duración vacía o en texto; ","")&amp;IF(NOT(ISNUMBER(G413)),"Valor vacío o en texto; ","")&amp;IF(ISNUMBER(M413),IF(M413&lt;1000000,"Valor inferior a $1.000.000: verificar; ",""),"Valor no interpretable; ")&amp;IF(N413="[PENDIENTE DE VERIFICAR]","Modalidad no identificable; ","")&amp;IF(OR(ISERROR(SEARCH("@itc.edu.co",J413)),SUMPRODUCT(--ISNUMBER(SEARCH({"á","é","í","ó","ú","ñ"},J413)))&gt;0),"Correo vacío o no institucional válido; ","")&amp;IF(LEN(TRIM(D413))=0,"Sin objeto contractual; ","")&amp;IF(AND(ISNUMBER(M413),N413="Mínima cuantía"),IF(M413&gt;39850000,"Mínima cuantía con valor superior al tope citado en el instructivo 2026 ($39.850.000): verificar modalidad; ",""),"")&amp;IF(AND(ISNUMBER(M413),OR(ISNUMBER(SEARCH("prestación de servicios",D413)),ISNUMBER(SEARCH("prestar servicios",D413)),ISNUMBER(SEARCH("prestar los servicios",D413)))),IF(M413&gt;=500000000,"Prestación de servicios por $500 millones o más: posible error de digitación; ",""),""))=0,"Sin observaciones",IF(OR(NOT(ISNUMBER(B413)),LEN(B413)&lt;&gt;8),"UNSPSC vacío, en texto, con varios códigos o sin 8 dígitos; ","")&amp;IF(AND(ISNUMBER(B413),LEN(B413)=8),IF(MOD(B413,10000)=0,"UNSPSC a nivel de segmento o familia; ",""),"")&amp;IF(NOT(ISNUMBER(E413)),"Duración vacía o en texto; ","")&amp;IF(NOT(ISNUMBER(G413)),"Valor vacío o en texto; ","")&amp;IF(ISNUMBER(M413),IF(M413&lt;1000000,"Valor inferior a $1.000.000: verificar; ",""),"Valor no interpretable; ")&amp;IF(N413="[PENDIENTE DE VERIFICAR]","Modalidad no identificable; ","")&amp;IF(OR(ISERROR(SEARCH("@itc.edu.co",J413)),SUMPRODUCT(--ISNUMBER(SEARCH({"á","é","í","ó","ú","ñ"},J413)))&gt;0),"Correo vacío o no institucional válido; ","")&amp;IF(LEN(TRIM(D413))=0,"Sin objeto contractual; ","")&amp;IF(AND(ISNUMBER(M413),N413="Mínima cuantía"),IF(M413&gt;39850000,"Mínima cuantía con valor superior al tope citado en el instructivo 2026 ($39.850.000): verificar modalidad; ",""),"")&amp;IF(AND(ISNUMBER(M413),OR(ISNUMBER(SEARCH("prestación de servicios",D413)),ISNUMBER(SEARCH("prestar servicios",D413)),ISNUMBER(SEARCH("prestar los servicios",D413)))),IF(M413&gt;=500000000,"Prestación de servicios por $500 millones o más: posible error de digitación; ",""),""))</f>
        <v/>
      </c>
    </row>
    <row r="414" ht="22.8" customHeight="1" s="23">
      <c r="A414" s="114" t="inlineStr">
        <is>
          <t>PN26-410</t>
        </is>
      </c>
      <c r="B414" s="114" t="n">
        <v>81112307</v>
      </c>
      <c r="C414" s="114" t="inlineStr">
        <is>
          <t>Gestión Tecnología e Informática</t>
        </is>
      </c>
      <c r="D414" s="114" t="inlineStr">
        <is>
          <t>ADQUISICIÓN DE 21 SWITCHES PARA CONECTIVIDAD EN SEDES NUEVAS</t>
        </is>
      </c>
      <c r="E414" s="114" t="n">
        <v>1</v>
      </c>
      <c r="F414" s="114" t="inlineStr">
        <is>
          <t>Subasta Inversa</t>
        </is>
      </c>
      <c r="G414" s="118" t="inlineStr">
        <is>
          <t xml:space="preserve"> $ 160.000.000,00 </t>
        </is>
      </c>
      <c r="H414" s="114" t="inlineStr">
        <is>
          <t>Adquisición</t>
        </is>
      </c>
      <c r="I414" s="114" t="inlineStr">
        <is>
          <t xml:space="preserve">3443000 Ext </t>
        </is>
      </c>
      <c r="J414" s="114" t="inlineStr">
        <is>
          <t>gestionit@itc.edu.co</t>
        </is>
      </c>
      <c r="K414" s="114" t="n"/>
      <c r="L414" s="119" t="inlineStr">
        <is>
          <t>132 · GIT Gestión de Informática y Telecomunicaciones</t>
        </is>
      </c>
      <c r="M414" s="120" t="n">
        <v>160000000</v>
      </c>
      <c r="N414" s="119" t="inlineStr">
        <is>
          <t>Selección abreviada – subasta inversa</t>
        </is>
      </c>
      <c r="O414" s="119">
        <f>IF(LEN(IF(OR(NOT(ISNUMBER(B414)),LEN(B414)&lt;&gt;8),"UNSPSC vacío, en texto, con varios códigos o sin 8 dígitos; ","")&amp;IF(AND(ISNUMBER(B414),LEN(B414)=8),IF(MOD(B414,10000)=0,"UNSPSC a nivel de segmento o familia; ",""),"")&amp;IF(NOT(ISNUMBER(E414)),"Duración vacía o en texto; ","")&amp;IF(NOT(ISNUMBER(G414)),"Valor vacío o en texto; ","")&amp;IF(ISNUMBER(M414),IF(M414&lt;1000000,"Valor inferior a $1.000.000: verificar; ",""),"Valor no interpretable; ")&amp;IF(N414="[PENDIENTE DE VERIFICAR]","Modalidad no identificable; ","")&amp;IF(OR(ISERROR(SEARCH("@itc.edu.co",J414)),SUMPRODUCT(--ISNUMBER(SEARCH({"á","é","í","ó","ú","ñ"},J414)))&gt;0),"Correo vacío o no institucional válido; ","")&amp;IF(LEN(TRIM(D414))=0,"Sin objeto contractual; ","")&amp;IF(AND(ISNUMBER(M414),N414="Mínima cuantía"),IF(M414&gt;39850000,"Mínima cuantía con valor superior al tope citado en el instructivo 2026 ($39.850.000): verificar modalidad; ",""),"")&amp;IF(AND(ISNUMBER(M414),OR(ISNUMBER(SEARCH("prestación de servicios",D414)),ISNUMBER(SEARCH("prestar servicios",D414)),ISNUMBER(SEARCH("prestar los servicios",D414)))),IF(M414&gt;=500000000,"Prestación de servicios por $500 millones o más: posible error de digitación; ",""),""))=0,"Sin observaciones",IF(OR(NOT(ISNUMBER(B414)),LEN(B414)&lt;&gt;8),"UNSPSC vacío, en texto, con varios códigos o sin 8 dígitos; ","")&amp;IF(AND(ISNUMBER(B414),LEN(B414)=8),IF(MOD(B414,10000)=0,"UNSPSC a nivel de segmento o familia; ",""),"")&amp;IF(NOT(ISNUMBER(E414)),"Duración vacía o en texto; ","")&amp;IF(NOT(ISNUMBER(G414)),"Valor vacío o en texto; ","")&amp;IF(ISNUMBER(M414),IF(M414&lt;1000000,"Valor inferior a $1.000.000: verificar; ",""),"Valor no interpretable; ")&amp;IF(N414="[PENDIENTE DE VERIFICAR]","Modalidad no identificable; ","")&amp;IF(OR(ISERROR(SEARCH("@itc.edu.co",J414)),SUMPRODUCT(--ISNUMBER(SEARCH({"á","é","í","ó","ú","ñ"},J414)))&gt;0),"Correo vacío o no institucional válido; ","")&amp;IF(LEN(TRIM(D414))=0,"Sin objeto contractual; ","")&amp;IF(AND(ISNUMBER(M414),N414="Mínima cuantía"),IF(M414&gt;39850000,"Mínima cuantía con valor superior al tope citado en el instructivo 2026 ($39.850.000): verificar modalidad; ",""),"")&amp;IF(AND(ISNUMBER(M414),OR(ISNUMBER(SEARCH("prestación de servicios",D414)),ISNUMBER(SEARCH("prestar servicios",D414)),ISNUMBER(SEARCH("prestar los servicios",D414)))),IF(M414&gt;=500000000,"Prestación de servicios por $500 millones o más: posible error de digitación; ",""),""))</f>
        <v/>
      </c>
    </row>
    <row r="415" ht="34.2" customHeight="1" s="23">
      <c r="A415" s="114" t="inlineStr">
        <is>
          <t>PN26-411</t>
        </is>
      </c>
      <c r="B415" s="114" t="n">
        <v>81112307</v>
      </c>
      <c r="C415" s="114" t="inlineStr">
        <is>
          <t>Gestión Tecnología e Informática</t>
        </is>
      </c>
      <c r="D415" s="114" t="inlineStr">
        <is>
          <t>ADQUISICIÓN DE 10 SWITCHES PARA ACTUALIZACIÓN DE EQUIPOS DE LA SEDE CENTRO</t>
        </is>
      </c>
      <c r="E415" s="114" t="n">
        <v>1</v>
      </c>
      <c r="F415" s="114" t="inlineStr">
        <is>
          <t>Minima Cuantia</t>
        </is>
      </c>
      <c r="G415" s="118" t="inlineStr">
        <is>
          <t xml:space="preserve"> $ 70.000.000,00 </t>
        </is>
      </c>
      <c r="H415" s="114" t="inlineStr">
        <is>
          <t>Adquisición</t>
        </is>
      </c>
      <c r="I415" s="114" t="inlineStr">
        <is>
          <t xml:space="preserve">3443000 Ext </t>
        </is>
      </c>
      <c r="J415" s="114" t="inlineStr">
        <is>
          <t>gestionit@itc.edu.co</t>
        </is>
      </c>
      <c r="K415" s="114" t="n"/>
      <c r="L415" s="119" t="inlineStr">
        <is>
          <t>132 · GIT Gestión de Informática y Telecomunicaciones</t>
        </is>
      </c>
      <c r="M415" s="120" t="n">
        <v>70000000</v>
      </c>
      <c r="N415" s="119" t="inlineStr">
        <is>
          <t>Mínima cuantía</t>
        </is>
      </c>
      <c r="O415" s="119">
        <f>IF(LEN(IF(OR(NOT(ISNUMBER(B415)),LEN(B415)&lt;&gt;8),"UNSPSC vacío, en texto, con varios códigos o sin 8 dígitos; ","")&amp;IF(AND(ISNUMBER(B415),LEN(B415)=8),IF(MOD(B415,10000)=0,"UNSPSC a nivel de segmento o familia; ",""),"")&amp;IF(NOT(ISNUMBER(E415)),"Duración vacía o en texto; ","")&amp;IF(NOT(ISNUMBER(G415)),"Valor vacío o en texto; ","")&amp;IF(ISNUMBER(M415),IF(M415&lt;1000000,"Valor inferior a $1.000.000: verificar; ",""),"Valor no interpretable; ")&amp;IF(N415="[PENDIENTE DE VERIFICAR]","Modalidad no identificable; ","")&amp;IF(OR(ISERROR(SEARCH("@itc.edu.co",J415)),SUMPRODUCT(--ISNUMBER(SEARCH({"á","é","í","ó","ú","ñ"},J415)))&gt;0),"Correo vacío o no institucional válido; ","")&amp;IF(LEN(TRIM(D415))=0,"Sin objeto contractual; ","")&amp;IF(AND(ISNUMBER(M415),N415="Mínima cuantía"),IF(M415&gt;39850000,"Mínima cuantía con valor superior al tope citado en el instructivo 2026 ($39.850.000): verificar modalidad; ",""),"")&amp;IF(AND(ISNUMBER(M415),OR(ISNUMBER(SEARCH("prestación de servicios",D415)),ISNUMBER(SEARCH("prestar servicios",D415)),ISNUMBER(SEARCH("prestar los servicios",D415)))),IF(M415&gt;=500000000,"Prestación de servicios por $500 millones o más: posible error de digitación; ",""),""))=0,"Sin observaciones",IF(OR(NOT(ISNUMBER(B415)),LEN(B415)&lt;&gt;8),"UNSPSC vacío, en texto, con varios códigos o sin 8 dígitos; ","")&amp;IF(AND(ISNUMBER(B415),LEN(B415)=8),IF(MOD(B415,10000)=0,"UNSPSC a nivel de segmento o familia; ",""),"")&amp;IF(NOT(ISNUMBER(E415)),"Duración vacía o en texto; ","")&amp;IF(NOT(ISNUMBER(G415)),"Valor vacío o en texto; ","")&amp;IF(ISNUMBER(M415),IF(M415&lt;1000000,"Valor inferior a $1.000.000: verificar; ",""),"Valor no interpretable; ")&amp;IF(N415="[PENDIENTE DE VERIFICAR]","Modalidad no identificable; ","")&amp;IF(OR(ISERROR(SEARCH("@itc.edu.co",J415)),SUMPRODUCT(--ISNUMBER(SEARCH({"á","é","í","ó","ú","ñ"},J415)))&gt;0),"Correo vacío o no institucional válido; ","")&amp;IF(LEN(TRIM(D415))=0,"Sin objeto contractual; ","")&amp;IF(AND(ISNUMBER(M415),N415="Mínima cuantía"),IF(M415&gt;39850000,"Mínima cuantía con valor superior al tope citado en el instructivo 2026 ($39.850.000): verificar modalidad; ",""),"")&amp;IF(AND(ISNUMBER(M415),OR(ISNUMBER(SEARCH("prestación de servicios",D415)),ISNUMBER(SEARCH("prestar servicios",D415)),ISNUMBER(SEARCH("prestar los servicios",D415)))),IF(M415&gt;=500000000,"Prestación de servicios por $500 millones o más: posible error de digitación; ",""),""))</f>
        <v/>
      </c>
    </row>
    <row r="416" ht="22.8" customHeight="1" s="23">
      <c r="A416" s="114" t="inlineStr">
        <is>
          <t>PN26-412</t>
        </is>
      </c>
      <c r="B416" s="114" t="n">
        <v>81112307</v>
      </c>
      <c r="C416" s="114" t="inlineStr">
        <is>
          <t>Gestión Tecnología e Informática</t>
        </is>
      </c>
      <c r="D416" s="114" t="inlineStr">
        <is>
          <t>ACTUALIZACIÓN WIFI</t>
        </is>
      </c>
      <c r="E416" s="114" t="n">
        <v>1</v>
      </c>
      <c r="F416" s="114" t="inlineStr">
        <is>
          <t>Subasta Inversa</t>
        </is>
      </c>
      <c r="G416" s="118" t="inlineStr">
        <is>
          <t xml:space="preserve"> $ 350.000.000,00 </t>
        </is>
      </c>
      <c r="H416" s="114" t="inlineStr">
        <is>
          <t>Actualización</t>
        </is>
      </c>
      <c r="I416" s="114" t="inlineStr">
        <is>
          <t xml:space="preserve">3443000 Ext </t>
        </is>
      </c>
      <c r="J416" s="114" t="inlineStr">
        <is>
          <t>gestionit@itc.edu.co</t>
        </is>
      </c>
      <c r="K416" s="114" t="n"/>
      <c r="L416" s="119" t="inlineStr">
        <is>
          <t>132 · GIT Gestión de Informática y Telecomunicaciones</t>
        </is>
      </c>
      <c r="M416" s="120" t="n">
        <v>350000000</v>
      </c>
      <c r="N416" s="119" t="inlineStr">
        <is>
          <t>Selección abreviada – subasta inversa</t>
        </is>
      </c>
      <c r="O416" s="119">
        <f>IF(LEN(IF(OR(NOT(ISNUMBER(B416)),LEN(B416)&lt;&gt;8),"UNSPSC vacío, en texto, con varios códigos o sin 8 dígitos; ","")&amp;IF(AND(ISNUMBER(B416),LEN(B416)=8),IF(MOD(B416,10000)=0,"UNSPSC a nivel de segmento o familia; ",""),"")&amp;IF(NOT(ISNUMBER(E416)),"Duración vacía o en texto; ","")&amp;IF(NOT(ISNUMBER(G416)),"Valor vacío o en texto; ","")&amp;IF(ISNUMBER(M416),IF(M416&lt;1000000,"Valor inferior a $1.000.000: verificar; ",""),"Valor no interpretable; ")&amp;IF(N416="[PENDIENTE DE VERIFICAR]","Modalidad no identificable; ","")&amp;IF(OR(ISERROR(SEARCH("@itc.edu.co",J416)),SUMPRODUCT(--ISNUMBER(SEARCH({"á","é","í","ó","ú","ñ"},J416)))&gt;0),"Correo vacío o no institucional válido; ","")&amp;IF(LEN(TRIM(D416))=0,"Sin objeto contractual; ","")&amp;IF(AND(ISNUMBER(M416),N416="Mínima cuantía"),IF(M416&gt;39850000,"Mínima cuantía con valor superior al tope citado en el instructivo 2026 ($39.850.000): verificar modalidad; ",""),"")&amp;IF(AND(ISNUMBER(M416),OR(ISNUMBER(SEARCH("prestación de servicios",D416)),ISNUMBER(SEARCH("prestar servicios",D416)),ISNUMBER(SEARCH("prestar los servicios",D416)))),IF(M416&gt;=500000000,"Prestación de servicios por $500 millones o más: posible error de digitación; ",""),""))=0,"Sin observaciones",IF(OR(NOT(ISNUMBER(B416)),LEN(B416)&lt;&gt;8),"UNSPSC vacío, en texto, con varios códigos o sin 8 dígitos; ","")&amp;IF(AND(ISNUMBER(B416),LEN(B416)=8),IF(MOD(B416,10000)=0,"UNSPSC a nivel de segmento o familia; ",""),"")&amp;IF(NOT(ISNUMBER(E416)),"Duración vacía o en texto; ","")&amp;IF(NOT(ISNUMBER(G416)),"Valor vacío o en texto; ","")&amp;IF(ISNUMBER(M416),IF(M416&lt;1000000,"Valor inferior a $1.000.000: verificar; ",""),"Valor no interpretable; ")&amp;IF(N416="[PENDIENTE DE VERIFICAR]","Modalidad no identificable; ","")&amp;IF(OR(ISERROR(SEARCH("@itc.edu.co",J416)),SUMPRODUCT(--ISNUMBER(SEARCH({"á","é","í","ó","ú","ñ"},J416)))&gt;0),"Correo vacío o no institucional válido; ","")&amp;IF(LEN(TRIM(D416))=0,"Sin objeto contractual; ","")&amp;IF(AND(ISNUMBER(M416),N416="Mínima cuantía"),IF(M416&gt;39850000,"Mínima cuantía con valor superior al tope citado en el instructivo 2026 ($39.850.000): verificar modalidad; ",""),"")&amp;IF(AND(ISNUMBER(M416),OR(ISNUMBER(SEARCH("prestación de servicios",D416)),ISNUMBER(SEARCH("prestar servicios",D416)),ISNUMBER(SEARCH("prestar los servicios",D416)))),IF(M416&gt;=500000000,"Prestación de servicios por $500 millones o más: posible error de digitación; ",""),""))</f>
        <v/>
      </c>
    </row>
    <row r="417" ht="34.2" customHeight="1" s="23">
      <c r="A417" s="114" t="inlineStr">
        <is>
          <t>PN26-413</t>
        </is>
      </c>
      <c r="B417" s="114" t="n">
        <v>81112210</v>
      </c>
      <c r="C417" s="114" t="inlineStr">
        <is>
          <t>Gestión Tecnología e Informática</t>
        </is>
      </c>
      <c r="D417" s="114" t="inlineStr">
        <is>
          <t xml:space="preserve">REESTRUCTURACIÓN PORTAL WEB  CON SOPORTE A DOS AÑOS
</t>
        </is>
      </c>
      <c r="E417" s="114" t="n">
        <v>1</v>
      </c>
      <c r="F417" s="114" t="inlineStr">
        <is>
          <t>Minima Cuantia</t>
        </is>
      </c>
      <c r="G417" s="118" t="inlineStr">
        <is>
          <t xml:space="preserve"> $ 60.000.000,00 </t>
        </is>
      </c>
      <c r="H417" s="114" t="inlineStr">
        <is>
          <t>Soporte Software</t>
        </is>
      </c>
      <c r="I417" s="114" t="inlineStr">
        <is>
          <t xml:space="preserve">3443000 Ext </t>
        </is>
      </c>
      <c r="J417" s="114" t="inlineStr">
        <is>
          <t>gestionit@itc.edu.co</t>
        </is>
      </c>
      <c r="K417" s="114" t="n"/>
      <c r="L417" s="119" t="inlineStr">
        <is>
          <t>132 · GIT Gestión de Informática y Telecomunicaciones</t>
        </is>
      </c>
      <c r="M417" s="120" t="n">
        <v>60000000</v>
      </c>
      <c r="N417" s="119" t="inlineStr">
        <is>
          <t>Mínima cuantía</t>
        </is>
      </c>
      <c r="O417" s="119">
        <f>IF(LEN(IF(OR(NOT(ISNUMBER(B417)),LEN(B417)&lt;&gt;8),"UNSPSC vacío, en texto, con varios códigos o sin 8 dígitos; ","")&amp;IF(AND(ISNUMBER(B417),LEN(B417)=8),IF(MOD(B417,10000)=0,"UNSPSC a nivel de segmento o familia; ",""),"")&amp;IF(NOT(ISNUMBER(E417)),"Duración vacía o en texto; ","")&amp;IF(NOT(ISNUMBER(G417)),"Valor vacío o en texto; ","")&amp;IF(ISNUMBER(M417),IF(M417&lt;1000000,"Valor inferior a $1.000.000: verificar; ",""),"Valor no interpretable; ")&amp;IF(N417="[PENDIENTE DE VERIFICAR]","Modalidad no identificable; ","")&amp;IF(OR(ISERROR(SEARCH("@itc.edu.co",J417)),SUMPRODUCT(--ISNUMBER(SEARCH({"á","é","í","ó","ú","ñ"},J417)))&gt;0),"Correo vacío o no institucional válido; ","")&amp;IF(LEN(TRIM(D417))=0,"Sin objeto contractual; ","")&amp;IF(AND(ISNUMBER(M417),N417="Mínima cuantía"),IF(M417&gt;39850000,"Mínima cuantía con valor superior al tope citado en el instructivo 2026 ($39.850.000): verificar modalidad; ",""),"")&amp;IF(AND(ISNUMBER(M417),OR(ISNUMBER(SEARCH("prestación de servicios",D417)),ISNUMBER(SEARCH("prestar servicios",D417)),ISNUMBER(SEARCH("prestar los servicios",D417)))),IF(M417&gt;=500000000,"Prestación de servicios por $500 millones o más: posible error de digitación; ",""),""))=0,"Sin observaciones",IF(OR(NOT(ISNUMBER(B417)),LEN(B417)&lt;&gt;8),"UNSPSC vacío, en texto, con varios códigos o sin 8 dígitos; ","")&amp;IF(AND(ISNUMBER(B417),LEN(B417)=8),IF(MOD(B417,10000)=0,"UNSPSC a nivel de segmento o familia; ",""),"")&amp;IF(NOT(ISNUMBER(E417)),"Duración vacía o en texto; ","")&amp;IF(NOT(ISNUMBER(G417)),"Valor vacío o en texto; ","")&amp;IF(ISNUMBER(M417),IF(M417&lt;1000000,"Valor inferior a $1.000.000: verificar; ",""),"Valor no interpretable; ")&amp;IF(N417="[PENDIENTE DE VERIFICAR]","Modalidad no identificable; ","")&amp;IF(OR(ISERROR(SEARCH("@itc.edu.co",J417)),SUMPRODUCT(--ISNUMBER(SEARCH({"á","é","í","ó","ú","ñ"},J417)))&gt;0),"Correo vacío o no institucional válido; ","")&amp;IF(LEN(TRIM(D417))=0,"Sin objeto contractual; ","")&amp;IF(AND(ISNUMBER(M417),N417="Mínima cuantía"),IF(M417&gt;39850000,"Mínima cuantía con valor superior al tope citado en el instructivo 2026 ($39.850.000): verificar modalidad; ",""),"")&amp;IF(AND(ISNUMBER(M417),OR(ISNUMBER(SEARCH("prestación de servicios",D417)),ISNUMBER(SEARCH("prestar servicios",D417)),ISNUMBER(SEARCH("prestar los servicios",D417)))),IF(M417&gt;=500000000,"Prestación de servicios por $500 millones o más: posible error de digitación; ",""),""))</f>
        <v/>
      </c>
    </row>
    <row r="418" ht="22.8" customHeight="1" s="23">
      <c r="A418" s="114" t="inlineStr">
        <is>
          <t>PN26-414</t>
        </is>
      </c>
      <c r="B418" s="114" t="n">
        <v>81112307</v>
      </c>
      <c r="C418" s="114" t="inlineStr">
        <is>
          <t>Gestión Tecnología e Informática</t>
        </is>
      </c>
      <c r="D418" s="114" t="inlineStr">
        <is>
          <t>ACTUALIZACIÓN INFRAESTRUCTURA DATACENTER (EQUIPOS ACTIVOS)</t>
        </is>
      </c>
      <c r="E418" s="114" t="n">
        <v>1</v>
      </c>
      <c r="F418" s="114" t="inlineStr">
        <is>
          <t>Subasta Inversa</t>
        </is>
      </c>
      <c r="G418" s="118" t="inlineStr">
        <is>
          <t xml:space="preserve">$ 1.670.000.000,00 </t>
        </is>
      </c>
      <c r="H418" s="114" t="inlineStr">
        <is>
          <t>Adquisición</t>
        </is>
      </c>
      <c r="I418" s="114" t="inlineStr">
        <is>
          <t xml:space="preserve">3443000 Ext </t>
        </is>
      </c>
      <c r="J418" s="114" t="inlineStr">
        <is>
          <t>gestionit@itc.edu.co</t>
        </is>
      </c>
      <c r="K418" s="114" t="n"/>
      <c r="L418" s="119" t="inlineStr">
        <is>
          <t>132 · GIT Gestión de Informática y Telecomunicaciones</t>
        </is>
      </c>
      <c r="M418" s="120" t="n">
        <v>1670000000</v>
      </c>
      <c r="N418" s="119" t="inlineStr">
        <is>
          <t>Selección abreviada – subasta inversa</t>
        </is>
      </c>
      <c r="O418" s="119">
        <f>IF(LEN(IF(OR(NOT(ISNUMBER(B418)),LEN(B418)&lt;&gt;8),"UNSPSC vacío, en texto, con varios códigos o sin 8 dígitos; ","")&amp;IF(AND(ISNUMBER(B418),LEN(B418)=8),IF(MOD(B418,10000)=0,"UNSPSC a nivel de segmento o familia; ",""),"")&amp;IF(NOT(ISNUMBER(E418)),"Duración vacía o en texto; ","")&amp;IF(NOT(ISNUMBER(G418)),"Valor vacío o en texto; ","")&amp;IF(ISNUMBER(M418),IF(M418&lt;1000000,"Valor inferior a $1.000.000: verificar; ",""),"Valor no interpretable; ")&amp;IF(N418="[PENDIENTE DE VERIFICAR]","Modalidad no identificable; ","")&amp;IF(OR(ISERROR(SEARCH("@itc.edu.co",J418)),SUMPRODUCT(--ISNUMBER(SEARCH({"á","é","í","ó","ú","ñ"},J418)))&gt;0),"Correo vacío o no institucional válido; ","")&amp;IF(LEN(TRIM(D418))=0,"Sin objeto contractual; ","")&amp;IF(AND(ISNUMBER(M418),N418="Mínima cuantía"),IF(M418&gt;39850000,"Mínima cuantía con valor superior al tope citado en el instructivo 2026 ($39.850.000): verificar modalidad; ",""),"")&amp;IF(AND(ISNUMBER(M418),OR(ISNUMBER(SEARCH("prestación de servicios",D418)),ISNUMBER(SEARCH("prestar servicios",D418)),ISNUMBER(SEARCH("prestar los servicios",D418)))),IF(M418&gt;=500000000,"Prestación de servicios por $500 millones o más: posible error de digitación; ",""),""))=0,"Sin observaciones",IF(OR(NOT(ISNUMBER(B418)),LEN(B418)&lt;&gt;8),"UNSPSC vacío, en texto, con varios códigos o sin 8 dígitos; ","")&amp;IF(AND(ISNUMBER(B418),LEN(B418)=8),IF(MOD(B418,10000)=0,"UNSPSC a nivel de segmento o familia; ",""),"")&amp;IF(NOT(ISNUMBER(E418)),"Duración vacía o en texto; ","")&amp;IF(NOT(ISNUMBER(G418)),"Valor vacío o en texto; ","")&amp;IF(ISNUMBER(M418),IF(M418&lt;1000000,"Valor inferior a $1.000.000: verificar; ",""),"Valor no interpretable; ")&amp;IF(N418="[PENDIENTE DE VERIFICAR]","Modalidad no identificable; ","")&amp;IF(OR(ISERROR(SEARCH("@itc.edu.co",J418)),SUMPRODUCT(--ISNUMBER(SEARCH({"á","é","í","ó","ú","ñ"},J418)))&gt;0),"Correo vacío o no institucional válido; ","")&amp;IF(LEN(TRIM(D418))=0,"Sin objeto contractual; ","")&amp;IF(AND(ISNUMBER(M418),N418="Mínima cuantía"),IF(M418&gt;39850000,"Mínima cuantía con valor superior al tope citado en el instructivo 2026 ($39.850.000): verificar modalidad; ",""),"")&amp;IF(AND(ISNUMBER(M418),OR(ISNUMBER(SEARCH("prestación de servicios",D418)),ISNUMBER(SEARCH("prestar servicios",D418)),ISNUMBER(SEARCH("prestar los servicios",D418)))),IF(M418&gt;=500000000,"Prestación de servicios por $500 millones o más: posible error de digitación; ",""),""))</f>
        <v/>
      </c>
    </row>
    <row r="419" ht="22.8" customHeight="1" s="23">
      <c r="A419" s="114" t="inlineStr">
        <is>
          <t>PN26-415</t>
        </is>
      </c>
      <c r="B419" s="114" t="n">
        <v>81112307</v>
      </c>
      <c r="C419" s="114" t="inlineStr">
        <is>
          <t>Gestión Tecnología e Informática</t>
        </is>
      </c>
      <c r="D419" s="114" t="inlineStr">
        <is>
          <t>ADQUISICIÓN FIREWALL PPAL Y BU</t>
        </is>
      </c>
      <c r="E419" s="114" t="n">
        <v>1</v>
      </c>
      <c r="F419" s="114" t="inlineStr">
        <is>
          <t>Subasta Inversa</t>
        </is>
      </c>
      <c r="G419" s="118" t="inlineStr">
        <is>
          <t xml:space="preserve">$ 150.000.000,00 </t>
        </is>
      </c>
      <c r="H419" s="114" t="inlineStr">
        <is>
          <t>Adquisición</t>
        </is>
      </c>
      <c r="I419" s="114" t="inlineStr">
        <is>
          <t xml:space="preserve">3443000 Ext </t>
        </is>
      </c>
      <c r="J419" s="114" t="inlineStr">
        <is>
          <t>gestionit@itc.edu.co</t>
        </is>
      </c>
      <c r="K419" s="114" t="n"/>
      <c r="L419" s="119" t="inlineStr">
        <is>
          <t>132 · GIT Gestión de Informática y Telecomunicaciones</t>
        </is>
      </c>
      <c r="M419" s="120" t="n">
        <v>150000000</v>
      </c>
      <c r="N419" s="119" t="inlineStr">
        <is>
          <t>Selección abreviada – subasta inversa</t>
        </is>
      </c>
      <c r="O419" s="119">
        <f>IF(LEN(IF(OR(NOT(ISNUMBER(B419)),LEN(B419)&lt;&gt;8),"UNSPSC vacío, en texto, con varios códigos o sin 8 dígitos; ","")&amp;IF(AND(ISNUMBER(B419),LEN(B419)=8),IF(MOD(B419,10000)=0,"UNSPSC a nivel de segmento o familia; ",""),"")&amp;IF(NOT(ISNUMBER(E419)),"Duración vacía o en texto; ","")&amp;IF(NOT(ISNUMBER(G419)),"Valor vacío o en texto; ","")&amp;IF(ISNUMBER(M419),IF(M419&lt;1000000,"Valor inferior a $1.000.000: verificar; ",""),"Valor no interpretable; ")&amp;IF(N419="[PENDIENTE DE VERIFICAR]","Modalidad no identificable; ","")&amp;IF(OR(ISERROR(SEARCH("@itc.edu.co",J419)),SUMPRODUCT(--ISNUMBER(SEARCH({"á","é","í","ó","ú","ñ"},J419)))&gt;0),"Correo vacío o no institucional válido; ","")&amp;IF(LEN(TRIM(D419))=0,"Sin objeto contractual; ","")&amp;IF(AND(ISNUMBER(M419),N419="Mínima cuantía"),IF(M419&gt;39850000,"Mínima cuantía con valor superior al tope citado en el instructivo 2026 ($39.850.000): verificar modalidad; ",""),"")&amp;IF(AND(ISNUMBER(M419),OR(ISNUMBER(SEARCH("prestación de servicios",D419)),ISNUMBER(SEARCH("prestar servicios",D419)),ISNUMBER(SEARCH("prestar los servicios",D419)))),IF(M419&gt;=500000000,"Prestación de servicios por $500 millones o más: posible error de digitación; ",""),""))=0,"Sin observaciones",IF(OR(NOT(ISNUMBER(B419)),LEN(B419)&lt;&gt;8),"UNSPSC vacío, en texto, con varios códigos o sin 8 dígitos; ","")&amp;IF(AND(ISNUMBER(B419),LEN(B419)=8),IF(MOD(B419,10000)=0,"UNSPSC a nivel de segmento o familia; ",""),"")&amp;IF(NOT(ISNUMBER(E419)),"Duración vacía o en texto; ","")&amp;IF(NOT(ISNUMBER(G419)),"Valor vacío o en texto; ","")&amp;IF(ISNUMBER(M419),IF(M419&lt;1000000,"Valor inferior a $1.000.000: verificar; ",""),"Valor no interpretable; ")&amp;IF(N419="[PENDIENTE DE VERIFICAR]","Modalidad no identificable; ","")&amp;IF(OR(ISERROR(SEARCH("@itc.edu.co",J419)),SUMPRODUCT(--ISNUMBER(SEARCH({"á","é","í","ó","ú","ñ"},J419)))&gt;0),"Correo vacío o no institucional válido; ","")&amp;IF(LEN(TRIM(D419))=0,"Sin objeto contractual; ","")&amp;IF(AND(ISNUMBER(M419),N419="Mínima cuantía"),IF(M419&gt;39850000,"Mínima cuantía con valor superior al tope citado en el instructivo 2026 ($39.850.000): verificar modalidad; ",""),"")&amp;IF(AND(ISNUMBER(M419),OR(ISNUMBER(SEARCH("prestación de servicios",D419)),ISNUMBER(SEARCH("prestar servicios",D419)),ISNUMBER(SEARCH("prestar los servicios",D419)))),IF(M419&gt;=500000000,"Prestación de servicios por $500 millones o más: posible error de digitación; ",""),""))</f>
        <v/>
      </c>
    </row>
    <row r="420" ht="22.8" customHeight="1" s="23">
      <c r="A420" s="114" t="inlineStr">
        <is>
          <t>PN26-416</t>
        </is>
      </c>
      <c r="B420" s="114" t="n">
        <v>81112307</v>
      </c>
      <c r="C420" s="114" t="inlineStr">
        <is>
          <t>Gestión Tecnología e Informática</t>
        </is>
      </c>
      <c r="D420" s="114" t="inlineStr">
        <is>
          <t>ADQUISICIÓN DE SWITH  DE CORE DATACENTER</t>
        </is>
      </c>
      <c r="E420" s="114" t="n">
        <v>1</v>
      </c>
      <c r="F420" s="114" t="inlineStr">
        <is>
          <t>Subasta Inversa</t>
        </is>
      </c>
      <c r="G420" s="118" t="inlineStr">
        <is>
          <t xml:space="preserve"> $ 650.000.000,00 </t>
        </is>
      </c>
      <c r="H420" s="114" t="inlineStr">
        <is>
          <t>Adquisición</t>
        </is>
      </c>
      <c r="I420" s="114" t="inlineStr">
        <is>
          <t xml:space="preserve">3443000 Ext </t>
        </is>
      </c>
      <c r="J420" s="114" t="inlineStr">
        <is>
          <t>gestionit@itc.edu.co</t>
        </is>
      </c>
      <c r="K420" s="114" t="n"/>
      <c r="L420" s="119" t="inlineStr">
        <is>
          <t>132 · GIT Gestión de Informática y Telecomunicaciones</t>
        </is>
      </c>
      <c r="M420" s="120" t="n">
        <v>650000000</v>
      </c>
      <c r="N420" s="119" t="inlineStr">
        <is>
          <t>Selección abreviada – subasta inversa</t>
        </is>
      </c>
      <c r="O420" s="119">
        <f>IF(LEN(IF(OR(NOT(ISNUMBER(B420)),LEN(B420)&lt;&gt;8),"UNSPSC vacío, en texto, con varios códigos o sin 8 dígitos; ","")&amp;IF(AND(ISNUMBER(B420),LEN(B420)=8),IF(MOD(B420,10000)=0,"UNSPSC a nivel de segmento o familia; ",""),"")&amp;IF(NOT(ISNUMBER(E420)),"Duración vacía o en texto; ","")&amp;IF(NOT(ISNUMBER(G420)),"Valor vacío o en texto; ","")&amp;IF(ISNUMBER(M420),IF(M420&lt;1000000,"Valor inferior a $1.000.000: verificar; ",""),"Valor no interpretable; ")&amp;IF(N420="[PENDIENTE DE VERIFICAR]","Modalidad no identificable; ","")&amp;IF(OR(ISERROR(SEARCH("@itc.edu.co",J420)),SUMPRODUCT(--ISNUMBER(SEARCH({"á","é","í","ó","ú","ñ"},J420)))&gt;0),"Correo vacío o no institucional válido; ","")&amp;IF(LEN(TRIM(D420))=0,"Sin objeto contractual; ","")&amp;IF(AND(ISNUMBER(M420),N420="Mínima cuantía"),IF(M420&gt;39850000,"Mínima cuantía con valor superior al tope citado en el instructivo 2026 ($39.850.000): verificar modalidad; ",""),"")&amp;IF(AND(ISNUMBER(M420),OR(ISNUMBER(SEARCH("prestación de servicios",D420)),ISNUMBER(SEARCH("prestar servicios",D420)),ISNUMBER(SEARCH("prestar los servicios",D420)))),IF(M420&gt;=500000000,"Prestación de servicios por $500 millones o más: posible error de digitación; ",""),""))=0,"Sin observaciones",IF(OR(NOT(ISNUMBER(B420)),LEN(B420)&lt;&gt;8),"UNSPSC vacío, en texto, con varios códigos o sin 8 dígitos; ","")&amp;IF(AND(ISNUMBER(B420),LEN(B420)=8),IF(MOD(B420,10000)=0,"UNSPSC a nivel de segmento o familia; ",""),"")&amp;IF(NOT(ISNUMBER(E420)),"Duración vacía o en texto; ","")&amp;IF(NOT(ISNUMBER(G420)),"Valor vacío o en texto; ","")&amp;IF(ISNUMBER(M420),IF(M420&lt;1000000,"Valor inferior a $1.000.000: verificar; ",""),"Valor no interpretable; ")&amp;IF(N420="[PENDIENTE DE VERIFICAR]","Modalidad no identificable; ","")&amp;IF(OR(ISERROR(SEARCH("@itc.edu.co",J420)),SUMPRODUCT(--ISNUMBER(SEARCH({"á","é","í","ó","ú","ñ"},J420)))&gt;0),"Correo vacío o no institucional válido; ","")&amp;IF(LEN(TRIM(D420))=0,"Sin objeto contractual; ","")&amp;IF(AND(ISNUMBER(M420),N420="Mínima cuantía"),IF(M420&gt;39850000,"Mínima cuantía con valor superior al tope citado en el instructivo 2026 ($39.850.000): verificar modalidad; ",""),"")&amp;IF(AND(ISNUMBER(M420),OR(ISNUMBER(SEARCH("prestación de servicios",D420)),ISNUMBER(SEARCH("prestar servicios",D420)),ISNUMBER(SEARCH("prestar los servicios",D420)))),IF(M420&gt;=500000000,"Prestación de servicios por $500 millones o más: posible error de digitación; ",""),""))</f>
        <v/>
      </c>
    </row>
    <row r="421" ht="22.8" customHeight="1" s="23">
      <c r="A421" s="114" t="inlineStr">
        <is>
          <t>PN26-417</t>
        </is>
      </c>
      <c r="B421" s="114" t="n">
        <v>81112307</v>
      </c>
      <c r="C421" s="114" t="inlineStr">
        <is>
          <t>Gestión Tecnología e Informática</t>
        </is>
      </c>
      <c r="D421" s="114" t="inlineStr">
        <is>
          <t>ADQUISICIÓN DE SWITH  DE CORE FACILIDADES</t>
        </is>
      </c>
      <c r="E421" s="114" t="n">
        <v>1</v>
      </c>
      <c r="F421" s="114" t="inlineStr">
        <is>
          <t>Subasta Inversa</t>
        </is>
      </c>
      <c r="G421" s="118" t="inlineStr">
        <is>
          <t xml:space="preserve"> $ 650.000.000,00 </t>
        </is>
      </c>
      <c r="H421" s="114" t="inlineStr">
        <is>
          <t>Adquisición</t>
        </is>
      </c>
      <c r="I421" s="114" t="inlineStr">
        <is>
          <t xml:space="preserve">3443000 Ext </t>
        </is>
      </c>
      <c r="J421" s="114" t="inlineStr">
        <is>
          <t>gestionit@itc.edu.co</t>
        </is>
      </c>
      <c r="K421" s="114" t="n"/>
      <c r="L421" s="119" t="inlineStr">
        <is>
          <t>132 · GIT Gestión de Informática y Telecomunicaciones</t>
        </is>
      </c>
      <c r="M421" s="120" t="n">
        <v>650000000</v>
      </c>
      <c r="N421" s="119" t="inlineStr">
        <is>
          <t>Selección abreviada – subasta inversa</t>
        </is>
      </c>
      <c r="O421" s="119">
        <f>IF(LEN(IF(OR(NOT(ISNUMBER(B421)),LEN(B421)&lt;&gt;8),"UNSPSC vacío, en texto, con varios códigos o sin 8 dígitos; ","")&amp;IF(AND(ISNUMBER(B421),LEN(B421)=8),IF(MOD(B421,10000)=0,"UNSPSC a nivel de segmento o familia; ",""),"")&amp;IF(NOT(ISNUMBER(E421)),"Duración vacía o en texto; ","")&amp;IF(NOT(ISNUMBER(G421)),"Valor vacío o en texto; ","")&amp;IF(ISNUMBER(M421),IF(M421&lt;1000000,"Valor inferior a $1.000.000: verificar; ",""),"Valor no interpretable; ")&amp;IF(N421="[PENDIENTE DE VERIFICAR]","Modalidad no identificable; ","")&amp;IF(OR(ISERROR(SEARCH("@itc.edu.co",J421)),SUMPRODUCT(--ISNUMBER(SEARCH({"á","é","í","ó","ú","ñ"},J421)))&gt;0),"Correo vacío o no institucional válido; ","")&amp;IF(LEN(TRIM(D421))=0,"Sin objeto contractual; ","")&amp;IF(AND(ISNUMBER(M421),N421="Mínima cuantía"),IF(M421&gt;39850000,"Mínima cuantía con valor superior al tope citado en el instructivo 2026 ($39.850.000): verificar modalidad; ",""),"")&amp;IF(AND(ISNUMBER(M421),OR(ISNUMBER(SEARCH("prestación de servicios",D421)),ISNUMBER(SEARCH("prestar servicios",D421)),ISNUMBER(SEARCH("prestar los servicios",D421)))),IF(M421&gt;=500000000,"Prestación de servicios por $500 millones o más: posible error de digitación; ",""),""))=0,"Sin observaciones",IF(OR(NOT(ISNUMBER(B421)),LEN(B421)&lt;&gt;8),"UNSPSC vacío, en texto, con varios códigos o sin 8 dígitos; ","")&amp;IF(AND(ISNUMBER(B421),LEN(B421)=8),IF(MOD(B421,10000)=0,"UNSPSC a nivel de segmento o familia; ",""),"")&amp;IF(NOT(ISNUMBER(E421)),"Duración vacía o en texto; ","")&amp;IF(NOT(ISNUMBER(G421)),"Valor vacío o en texto; ","")&amp;IF(ISNUMBER(M421),IF(M421&lt;1000000,"Valor inferior a $1.000.000: verificar; ",""),"Valor no interpretable; ")&amp;IF(N421="[PENDIENTE DE VERIFICAR]","Modalidad no identificable; ","")&amp;IF(OR(ISERROR(SEARCH("@itc.edu.co",J421)),SUMPRODUCT(--ISNUMBER(SEARCH({"á","é","í","ó","ú","ñ"},J421)))&gt;0),"Correo vacío o no institucional válido; ","")&amp;IF(LEN(TRIM(D421))=0,"Sin objeto contractual; ","")&amp;IF(AND(ISNUMBER(M421),N421="Mínima cuantía"),IF(M421&gt;39850000,"Mínima cuantía con valor superior al tope citado en el instructivo 2026 ($39.850.000): verificar modalidad; ",""),"")&amp;IF(AND(ISNUMBER(M421),OR(ISNUMBER(SEARCH("prestación de servicios",D421)),ISNUMBER(SEARCH("prestar servicios",D421)),ISNUMBER(SEARCH("prestar los servicios",D421)))),IF(M421&gt;=500000000,"Prestación de servicios por $500 millones o más: posible error de digitación; ",""),""))</f>
        <v/>
      </c>
    </row>
    <row r="422" ht="22.8" customHeight="1" s="23">
      <c r="A422" s="114" t="inlineStr">
        <is>
          <t>PN26-418</t>
        </is>
      </c>
      <c r="B422" s="114" t="n">
        <v>81112307</v>
      </c>
      <c r="C422" s="114" t="inlineStr">
        <is>
          <t>Gestión Tecnología e Informática</t>
        </is>
      </c>
      <c r="D422" s="114" t="inlineStr">
        <is>
          <t>ACTUALIZACIÓN SOPORTE SAN 2 (1AÑO)</t>
        </is>
      </c>
      <c r="E422" s="114" t="n">
        <v>1</v>
      </c>
      <c r="F422" s="114" t="inlineStr">
        <is>
          <t>Minima Cuantía</t>
        </is>
      </c>
      <c r="G422" s="118" t="inlineStr">
        <is>
          <t xml:space="preserve"> $ 35.000.000,00 </t>
        </is>
      </c>
      <c r="H422" s="114" t="inlineStr">
        <is>
          <t>Adquisición</t>
        </is>
      </c>
      <c r="I422" s="114" t="inlineStr">
        <is>
          <t xml:space="preserve">3443000 Ext </t>
        </is>
      </c>
      <c r="J422" s="114" t="inlineStr">
        <is>
          <t>gestionit@itc.edu.co</t>
        </is>
      </c>
      <c r="K422" s="114" t="n"/>
      <c r="L422" s="119" t="inlineStr">
        <is>
          <t>132 · GIT Gestión de Informática y Telecomunicaciones</t>
        </is>
      </c>
      <c r="M422" s="120" t="n">
        <v>35000000</v>
      </c>
      <c r="N422" s="119" t="inlineStr">
        <is>
          <t>Mínima cuantía</t>
        </is>
      </c>
      <c r="O422" s="119">
        <f>IF(LEN(IF(OR(NOT(ISNUMBER(B422)),LEN(B422)&lt;&gt;8),"UNSPSC vacío, en texto, con varios códigos o sin 8 dígitos; ","")&amp;IF(AND(ISNUMBER(B422),LEN(B422)=8),IF(MOD(B422,10000)=0,"UNSPSC a nivel de segmento o familia; ",""),"")&amp;IF(NOT(ISNUMBER(E422)),"Duración vacía o en texto; ","")&amp;IF(NOT(ISNUMBER(G422)),"Valor vacío o en texto; ","")&amp;IF(ISNUMBER(M422),IF(M422&lt;1000000,"Valor inferior a $1.000.000: verificar; ",""),"Valor no interpretable; ")&amp;IF(N422="[PENDIENTE DE VERIFICAR]","Modalidad no identificable; ","")&amp;IF(OR(ISERROR(SEARCH("@itc.edu.co",J422)),SUMPRODUCT(--ISNUMBER(SEARCH({"á","é","í","ó","ú","ñ"},J422)))&gt;0),"Correo vacío o no institucional válido; ","")&amp;IF(LEN(TRIM(D422))=0,"Sin objeto contractual; ","")&amp;IF(AND(ISNUMBER(M422),N422="Mínima cuantía"),IF(M422&gt;39850000,"Mínima cuantía con valor superior al tope citado en el instructivo 2026 ($39.850.000): verificar modalidad; ",""),"")&amp;IF(AND(ISNUMBER(M422),OR(ISNUMBER(SEARCH("prestación de servicios",D422)),ISNUMBER(SEARCH("prestar servicios",D422)),ISNUMBER(SEARCH("prestar los servicios",D422)))),IF(M422&gt;=500000000,"Prestación de servicios por $500 millones o más: posible error de digitación; ",""),""))=0,"Sin observaciones",IF(OR(NOT(ISNUMBER(B422)),LEN(B422)&lt;&gt;8),"UNSPSC vacío, en texto, con varios códigos o sin 8 dígitos; ","")&amp;IF(AND(ISNUMBER(B422),LEN(B422)=8),IF(MOD(B422,10000)=0,"UNSPSC a nivel de segmento o familia; ",""),"")&amp;IF(NOT(ISNUMBER(E422)),"Duración vacía o en texto; ","")&amp;IF(NOT(ISNUMBER(G422)),"Valor vacío o en texto; ","")&amp;IF(ISNUMBER(M422),IF(M422&lt;1000000,"Valor inferior a $1.000.000: verificar; ",""),"Valor no interpretable; ")&amp;IF(N422="[PENDIENTE DE VERIFICAR]","Modalidad no identificable; ","")&amp;IF(OR(ISERROR(SEARCH("@itc.edu.co",J422)),SUMPRODUCT(--ISNUMBER(SEARCH({"á","é","í","ó","ú","ñ"},J422)))&gt;0),"Correo vacío o no institucional válido; ","")&amp;IF(LEN(TRIM(D422))=0,"Sin objeto contractual; ","")&amp;IF(AND(ISNUMBER(M422),N422="Mínima cuantía"),IF(M422&gt;39850000,"Mínima cuantía con valor superior al tope citado en el instructivo 2026 ($39.850.000): verificar modalidad; ",""),"")&amp;IF(AND(ISNUMBER(M422),OR(ISNUMBER(SEARCH("prestación de servicios",D422)),ISNUMBER(SEARCH("prestar servicios",D422)),ISNUMBER(SEARCH("prestar los servicios",D422)))),IF(M422&gt;=500000000,"Prestación de servicios por $500 millones o más: posible error de digitación; ",""),""))</f>
        <v/>
      </c>
    </row>
    <row r="423" ht="34.2" customHeight="1" s="23">
      <c r="A423" s="114" t="inlineStr">
        <is>
          <t>PN26-419</t>
        </is>
      </c>
      <c r="B423" s="114" t="n">
        <v>81112307</v>
      </c>
      <c r="C423" s="114" t="inlineStr">
        <is>
          <t>Gestión Tecnología e Informática</t>
        </is>
      </c>
      <c r="D423" s="114" t="inlineStr">
        <is>
          <t xml:space="preserve">MANTENIMIENTO CON REPUESTOS SAN 2 </t>
        </is>
      </c>
      <c r="E423" s="114" t="n">
        <v>1</v>
      </c>
      <c r="F423" s="114" t="inlineStr">
        <is>
          <t>Minima Cuantía</t>
        </is>
      </c>
      <c r="G423" s="118" t="inlineStr">
        <is>
          <t xml:space="preserve"> $ 150.000.000,00 </t>
        </is>
      </c>
      <c r="H423" s="114" t="inlineStr">
        <is>
          <t>Adquisición</t>
        </is>
      </c>
      <c r="I423" s="114" t="inlineStr">
        <is>
          <t xml:space="preserve">3443000 Ext </t>
        </is>
      </c>
      <c r="J423" s="114" t="inlineStr">
        <is>
          <t>gestionit@itc.edu.co</t>
        </is>
      </c>
      <c r="K423" s="114" t="n"/>
      <c r="L423" s="119" t="inlineStr">
        <is>
          <t>132 · GIT Gestión de Informática y Telecomunicaciones</t>
        </is>
      </c>
      <c r="M423" s="120" t="n">
        <v>150000000</v>
      </c>
      <c r="N423" s="119" t="inlineStr">
        <is>
          <t>Mínima cuantía</t>
        </is>
      </c>
      <c r="O423" s="119">
        <f>IF(LEN(IF(OR(NOT(ISNUMBER(B423)),LEN(B423)&lt;&gt;8),"UNSPSC vacío, en texto, con varios códigos o sin 8 dígitos; ","")&amp;IF(AND(ISNUMBER(B423),LEN(B423)=8),IF(MOD(B423,10000)=0,"UNSPSC a nivel de segmento o familia; ",""),"")&amp;IF(NOT(ISNUMBER(E423)),"Duración vacía o en texto; ","")&amp;IF(NOT(ISNUMBER(G423)),"Valor vacío o en texto; ","")&amp;IF(ISNUMBER(M423),IF(M423&lt;1000000,"Valor inferior a $1.000.000: verificar; ",""),"Valor no interpretable; ")&amp;IF(N423="[PENDIENTE DE VERIFICAR]","Modalidad no identificable; ","")&amp;IF(OR(ISERROR(SEARCH("@itc.edu.co",J423)),SUMPRODUCT(--ISNUMBER(SEARCH({"á","é","í","ó","ú","ñ"},J423)))&gt;0),"Correo vacío o no institucional válido; ","")&amp;IF(LEN(TRIM(D423))=0,"Sin objeto contractual; ","")&amp;IF(AND(ISNUMBER(M423),N423="Mínima cuantía"),IF(M423&gt;39850000,"Mínima cuantía con valor superior al tope citado en el instructivo 2026 ($39.850.000): verificar modalidad; ",""),"")&amp;IF(AND(ISNUMBER(M423),OR(ISNUMBER(SEARCH("prestación de servicios",D423)),ISNUMBER(SEARCH("prestar servicios",D423)),ISNUMBER(SEARCH("prestar los servicios",D423)))),IF(M423&gt;=500000000,"Prestación de servicios por $500 millones o más: posible error de digitación; ",""),""))=0,"Sin observaciones",IF(OR(NOT(ISNUMBER(B423)),LEN(B423)&lt;&gt;8),"UNSPSC vacío, en texto, con varios códigos o sin 8 dígitos; ","")&amp;IF(AND(ISNUMBER(B423),LEN(B423)=8),IF(MOD(B423,10000)=0,"UNSPSC a nivel de segmento o familia; ",""),"")&amp;IF(NOT(ISNUMBER(E423)),"Duración vacía o en texto; ","")&amp;IF(NOT(ISNUMBER(G423)),"Valor vacío o en texto; ","")&amp;IF(ISNUMBER(M423),IF(M423&lt;1000000,"Valor inferior a $1.000.000: verificar; ",""),"Valor no interpretable; ")&amp;IF(N423="[PENDIENTE DE VERIFICAR]","Modalidad no identificable; ","")&amp;IF(OR(ISERROR(SEARCH("@itc.edu.co",J423)),SUMPRODUCT(--ISNUMBER(SEARCH({"á","é","í","ó","ú","ñ"},J423)))&gt;0),"Correo vacío o no institucional válido; ","")&amp;IF(LEN(TRIM(D423))=0,"Sin objeto contractual; ","")&amp;IF(AND(ISNUMBER(M423),N423="Mínima cuantía"),IF(M423&gt;39850000,"Mínima cuantía con valor superior al tope citado en el instructivo 2026 ($39.850.000): verificar modalidad; ",""),"")&amp;IF(AND(ISNUMBER(M423),OR(ISNUMBER(SEARCH("prestación de servicios",D423)),ISNUMBER(SEARCH("prestar servicios",D423)),ISNUMBER(SEARCH("prestar los servicios",D423)))),IF(M423&gt;=500000000,"Prestación de servicios por $500 millones o más: posible error de digitación; ",""),""))</f>
        <v/>
      </c>
    </row>
    <row r="424" ht="22.8" customHeight="1" s="23">
      <c r="A424" s="114" t="inlineStr">
        <is>
          <t>PN26-420</t>
        </is>
      </c>
      <c r="B424" s="114" t="n">
        <v>81112307</v>
      </c>
      <c r="C424" s="114" t="inlineStr">
        <is>
          <t>Gestión Tecnología e Informática</t>
        </is>
      </c>
      <c r="D424" s="114" t="inlineStr">
        <is>
          <t>ACTUALIZACIÓN SOPORTE FIREWALL</t>
        </is>
      </c>
      <c r="E424" s="114" t="n">
        <v>1</v>
      </c>
      <c r="F424" s="114" t="inlineStr">
        <is>
          <t>Minima Cuantía</t>
        </is>
      </c>
      <c r="G424" s="118" t="inlineStr">
        <is>
          <t xml:space="preserve"> $ 35.000.000,00 </t>
        </is>
      </c>
      <c r="H424" s="114" t="inlineStr">
        <is>
          <t>Adquisición</t>
        </is>
      </c>
      <c r="I424" s="114" t="inlineStr">
        <is>
          <t xml:space="preserve">3443000 Ext </t>
        </is>
      </c>
      <c r="J424" s="114" t="inlineStr">
        <is>
          <t>gestionit@itc.edu.co</t>
        </is>
      </c>
      <c r="K424" s="114" t="n"/>
      <c r="L424" s="119" t="inlineStr">
        <is>
          <t>132 · GIT Gestión de Informática y Telecomunicaciones</t>
        </is>
      </c>
      <c r="M424" s="120" t="n">
        <v>35000000</v>
      </c>
      <c r="N424" s="119" t="inlineStr">
        <is>
          <t>Mínima cuantía</t>
        </is>
      </c>
      <c r="O424" s="119">
        <f>IF(LEN(IF(OR(NOT(ISNUMBER(B424)),LEN(B424)&lt;&gt;8),"UNSPSC vacío, en texto, con varios códigos o sin 8 dígitos; ","")&amp;IF(AND(ISNUMBER(B424),LEN(B424)=8),IF(MOD(B424,10000)=0,"UNSPSC a nivel de segmento o familia; ",""),"")&amp;IF(NOT(ISNUMBER(E424)),"Duración vacía o en texto; ","")&amp;IF(NOT(ISNUMBER(G424)),"Valor vacío o en texto; ","")&amp;IF(ISNUMBER(M424),IF(M424&lt;1000000,"Valor inferior a $1.000.000: verificar; ",""),"Valor no interpretable; ")&amp;IF(N424="[PENDIENTE DE VERIFICAR]","Modalidad no identificable; ","")&amp;IF(OR(ISERROR(SEARCH("@itc.edu.co",J424)),SUMPRODUCT(--ISNUMBER(SEARCH({"á","é","í","ó","ú","ñ"},J424)))&gt;0),"Correo vacío o no institucional válido; ","")&amp;IF(LEN(TRIM(D424))=0,"Sin objeto contractual; ","")&amp;IF(AND(ISNUMBER(M424),N424="Mínima cuantía"),IF(M424&gt;39850000,"Mínima cuantía con valor superior al tope citado en el instructivo 2026 ($39.850.000): verificar modalidad; ",""),"")&amp;IF(AND(ISNUMBER(M424),OR(ISNUMBER(SEARCH("prestación de servicios",D424)),ISNUMBER(SEARCH("prestar servicios",D424)),ISNUMBER(SEARCH("prestar los servicios",D424)))),IF(M424&gt;=500000000,"Prestación de servicios por $500 millones o más: posible error de digitación; ",""),""))=0,"Sin observaciones",IF(OR(NOT(ISNUMBER(B424)),LEN(B424)&lt;&gt;8),"UNSPSC vacío, en texto, con varios códigos o sin 8 dígitos; ","")&amp;IF(AND(ISNUMBER(B424),LEN(B424)=8),IF(MOD(B424,10000)=0,"UNSPSC a nivel de segmento o familia; ",""),"")&amp;IF(NOT(ISNUMBER(E424)),"Duración vacía o en texto; ","")&amp;IF(NOT(ISNUMBER(G424)),"Valor vacío o en texto; ","")&amp;IF(ISNUMBER(M424),IF(M424&lt;1000000,"Valor inferior a $1.000.000: verificar; ",""),"Valor no interpretable; ")&amp;IF(N424="[PENDIENTE DE VERIFICAR]","Modalidad no identificable; ","")&amp;IF(OR(ISERROR(SEARCH("@itc.edu.co",J424)),SUMPRODUCT(--ISNUMBER(SEARCH({"á","é","í","ó","ú","ñ"},J424)))&gt;0),"Correo vacío o no institucional válido; ","")&amp;IF(LEN(TRIM(D424))=0,"Sin objeto contractual; ","")&amp;IF(AND(ISNUMBER(M424),N424="Mínima cuantía"),IF(M424&gt;39850000,"Mínima cuantía con valor superior al tope citado en el instructivo 2026 ($39.850.000): verificar modalidad; ",""),"")&amp;IF(AND(ISNUMBER(M424),OR(ISNUMBER(SEARCH("prestación de servicios",D424)),ISNUMBER(SEARCH("prestar servicios",D424)),ISNUMBER(SEARCH("prestar los servicios",D424)))),IF(M424&gt;=500000000,"Prestación de servicios por $500 millones o más: posible error de digitación; ",""),""))</f>
        <v/>
      </c>
    </row>
    <row r="425" ht="22.8" customHeight="1" s="23">
      <c r="A425" s="114" t="inlineStr">
        <is>
          <t>PN26-421</t>
        </is>
      </c>
      <c r="B425" s="114" t="n">
        <v>81112307</v>
      </c>
      <c r="C425" s="114" t="inlineStr">
        <is>
          <t>Gestión Tecnología e Informática</t>
        </is>
      </c>
      <c r="D425" s="114" t="inlineStr">
        <is>
          <t>ADQUISICIÓN DE SWITCHE DE FIBRA DE 24 PUERTOS 25 Gb</t>
        </is>
      </c>
      <c r="E425" s="114" t="n">
        <v>1</v>
      </c>
      <c r="F425" s="114" t="inlineStr">
        <is>
          <t>Subasta Inversa</t>
        </is>
      </c>
      <c r="G425" s="118" t="inlineStr">
        <is>
          <t xml:space="preserve"> $ 150.000.000,00 </t>
        </is>
      </c>
      <c r="H425" s="114" t="inlineStr">
        <is>
          <t>Adquisición</t>
        </is>
      </c>
      <c r="I425" s="114" t="inlineStr">
        <is>
          <t xml:space="preserve">3443000 Ext </t>
        </is>
      </c>
      <c r="J425" s="114" t="inlineStr">
        <is>
          <t>gestionit@itc.edu.co</t>
        </is>
      </c>
      <c r="K425" s="114" t="n"/>
      <c r="L425" s="119" t="inlineStr">
        <is>
          <t>132 · GIT Gestión de Informática y Telecomunicaciones</t>
        </is>
      </c>
      <c r="M425" s="120" t="n">
        <v>150000000</v>
      </c>
      <c r="N425" s="119" t="inlineStr">
        <is>
          <t>Selección abreviada – subasta inversa</t>
        </is>
      </c>
      <c r="O425" s="119">
        <f>IF(LEN(IF(OR(NOT(ISNUMBER(B425)),LEN(B425)&lt;&gt;8),"UNSPSC vacío, en texto, con varios códigos o sin 8 dígitos; ","")&amp;IF(AND(ISNUMBER(B425),LEN(B425)=8),IF(MOD(B425,10000)=0,"UNSPSC a nivel de segmento o familia; ",""),"")&amp;IF(NOT(ISNUMBER(E425)),"Duración vacía o en texto; ","")&amp;IF(NOT(ISNUMBER(G425)),"Valor vacío o en texto; ","")&amp;IF(ISNUMBER(M425),IF(M425&lt;1000000,"Valor inferior a $1.000.000: verificar; ",""),"Valor no interpretable; ")&amp;IF(N425="[PENDIENTE DE VERIFICAR]","Modalidad no identificable; ","")&amp;IF(OR(ISERROR(SEARCH("@itc.edu.co",J425)),SUMPRODUCT(--ISNUMBER(SEARCH({"á","é","í","ó","ú","ñ"},J425)))&gt;0),"Correo vacío o no institucional válido; ","")&amp;IF(LEN(TRIM(D425))=0,"Sin objeto contractual; ","")&amp;IF(AND(ISNUMBER(M425),N425="Mínima cuantía"),IF(M425&gt;39850000,"Mínima cuantía con valor superior al tope citado en el instructivo 2026 ($39.850.000): verificar modalidad; ",""),"")&amp;IF(AND(ISNUMBER(M425),OR(ISNUMBER(SEARCH("prestación de servicios",D425)),ISNUMBER(SEARCH("prestar servicios",D425)),ISNUMBER(SEARCH("prestar los servicios",D425)))),IF(M425&gt;=500000000,"Prestación de servicios por $500 millones o más: posible error de digitación; ",""),""))=0,"Sin observaciones",IF(OR(NOT(ISNUMBER(B425)),LEN(B425)&lt;&gt;8),"UNSPSC vacío, en texto, con varios códigos o sin 8 dígitos; ","")&amp;IF(AND(ISNUMBER(B425),LEN(B425)=8),IF(MOD(B425,10000)=0,"UNSPSC a nivel de segmento o familia; ",""),"")&amp;IF(NOT(ISNUMBER(E425)),"Duración vacía o en texto; ","")&amp;IF(NOT(ISNUMBER(G425)),"Valor vacío o en texto; ","")&amp;IF(ISNUMBER(M425),IF(M425&lt;1000000,"Valor inferior a $1.000.000: verificar; ",""),"Valor no interpretable; ")&amp;IF(N425="[PENDIENTE DE VERIFICAR]","Modalidad no identificable; ","")&amp;IF(OR(ISERROR(SEARCH("@itc.edu.co",J425)),SUMPRODUCT(--ISNUMBER(SEARCH({"á","é","í","ó","ú","ñ"},J425)))&gt;0),"Correo vacío o no institucional válido; ","")&amp;IF(LEN(TRIM(D425))=0,"Sin objeto contractual; ","")&amp;IF(AND(ISNUMBER(M425),N425="Mínima cuantía"),IF(M425&gt;39850000,"Mínima cuantía con valor superior al tope citado en el instructivo 2026 ($39.850.000): verificar modalidad; ",""),"")&amp;IF(AND(ISNUMBER(M425),OR(ISNUMBER(SEARCH("prestación de servicios",D425)),ISNUMBER(SEARCH("prestar servicios",D425)),ISNUMBER(SEARCH("prestar los servicios",D425)))),IF(M425&gt;=500000000,"Prestación de servicios por $500 millones o más: posible error de digitación; ",""),""))</f>
        <v/>
      </c>
    </row>
    <row r="426" ht="34.2" customHeight="1" s="23">
      <c r="A426" s="114" t="inlineStr">
        <is>
          <t>PN26-422</t>
        </is>
      </c>
      <c r="B426" s="114" t="n">
        <v>81112200</v>
      </c>
      <c r="C426" s="114" t="inlineStr">
        <is>
          <t xml:space="preserve">Egresados </t>
        </is>
      </c>
      <c r="D426" s="114" t="inlineStr">
        <is>
          <t>Mantenimiento y soporte de Software para el desarrollo de las actividades de la Plataforma informática Bolsa de Empleo de la Escuela Tecnológica Instituto Técnico Central.</t>
        </is>
      </c>
      <c r="E426" s="114" t="n">
        <v>1</v>
      </c>
      <c r="F426" s="114" t="inlineStr">
        <is>
          <t xml:space="preserve">Minima Cuantia </t>
        </is>
      </c>
      <c r="G426" s="118" t="n">
        <v>10500000</v>
      </c>
      <c r="H426" s="114" t="inlineStr">
        <is>
          <t xml:space="preserve">Profesional de Egresados </t>
        </is>
      </c>
      <c r="I426" s="114" t="inlineStr">
        <is>
          <t>3443000 Ext 238</t>
        </is>
      </c>
      <c r="J426" s="114" t="inlineStr">
        <is>
          <t>egresados@itc.edu.co</t>
        </is>
      </c>
      <c r="K426" s="114" t="n"/>
      <c r="L426" s="119" t="inlineStr">
        <is>
          <t>141 · GIT Extensión y Proyección Social</t>
        </is>
      </c>
      <c r="M426" s="120" t="n">
        <v>10500000</v>
      </c>
      <c r="N426" s="119" t="inlineStr">
        <is>
          <t>Mínima cuantía</t>
        </is>
      </c>
      <c r="O426" s="119">
        <f>IF(LEN(IF(OR(NOT(ISNUMBER(B426)),LEN(B426)&lt;&gt;8),"UNSPSC vacío, en texto, con varios códigos o sin 8 dígitos; ","")&amp;IF(AND(ISNUMBER(B426),LEN(B426)=8),IF(MOD(B426,10000)=0,"UNSPSC a nivel de segmento o familia; ",""),"")&amp;IF(NOT(ISNUMBER(E426)),"Duración vacía o en texto; ","")&amp;IF(NOT(ISNUMBER(G426)),"Valor vacío o en texto; ","")&amp;IF(ISNUMBER(M426),IF(M426&lt;1000000,"Valor inferior a $1.000.000: verificar; ",""),"Valor no interpretable; ")&amp;IF(N426="[PENDIENTE DE VERIFICAR]","Modalidad no identificable; ","")&amp;IF(OR(ISERROR(SEARCH("@itc.edu.co",J426)),SUMPRODUCT(--ISNUMBER(SEARCH({"á","é","í","ó","ú","ñ"},J426)))&gt;0),"Correo vacío o no institucional válido; ","")&amp;IF(LEN(TRIM(D426))=0,"Sin objeto contractual; ","")&amp;IF(AND(ISNUMBER(M426),N426="Mínima cuantía"),IF(M426&gt;39850000,"Mínima cuantía con valor superior al tope citado en el instructivo 2026 ($39.850.000): verificar modalidad; ",""),"")&amp;IF(AND(ISNUMBER(M426),OR(ISNUMBER(SEARCH("prestación de servicios",D426)),ISNUMBER(SEARCH("prestar servicios",D426)),ISNUMBER(SEARCH("prestar los servicios",D426)))),IF(M426&gt;=500000000,"Prestación de servicios por $500 millones o más: posible error de digitación; ",""),""))=0,"Sin observaciones",IF(OR(NOT(ISNUMBER(B426)),LEN(B426)&lt;&gt;8),"UNSPSC vacío, en texto, con varios códigos o sin 8 dígitos; ","")&amp;IF(AND(ISNUMBER(B426),LEN(B426)=8),IF(MOD(B426,10000)=0,"UNSPSC a nivel de segmento o familia; ",""),"")&amp;IF(NOT(ISNUMBER(E426)),"Duración vacía o en texto; ","")&amp;IF(NOT(ISNUMBER(G426)),"Valor vacío o en texto; ","")&amp;IF(ISNUMBER(M426),IF(M426&lt;1000000,"Valor inferior a $1.000.000: verificar; ",""),"Valor no interpretable; ")&amp;IF(N426="[PENDIENTE DE VERIFICAR]","Modalidad no identificable; ","")&amp;IF(OR(ISERROR(SEARCH("@itc.edu.co",J426)),SUMPRODUCT(--ISNUMBER(SEARCH({"á","é","í","ó","ú","ñ"},J426)))&gt;0),"Correo vacío o no institucional válido; ","")&amp;IF(LEN(TRIM(D426))=0,"Sin objeto contractual; ","")&amp;IF(AND(ISNUMBER(M426),N426="Mínima cuantía"),IF(M426&gt;39850000,"Mínima cuantía con valor superior al tope citado en el instructivo 2026 ($39.850.000): verificar modalidad; ",""),"")&amp;IF(AND(ISNUMBER(M426),OR(ISNUMBER(SEARCH("prestación de servicios",D426)),ISNUMBER(SEARCH("prestar servicios",D426)),ISNUMBER(SEARCH("prestar los servicios",D426)))),IF(M426&gt;=500000000,"Prestación de servicios por $500 millones o más: posible error de digitación; ",""),""))</f>
        <v/>
      </c>
    </row>
    <row r="427" ht="34.2" customHeight="1" s="23">
      <c r="A427" s="114" t="inlineStr">
        <is>
          <t>PN26-423</t>
        </is>
      </c>
      <c r="B427" s="114" t="n">
        <v>80141902</v>
      </c>
      <c r="C427" s="114" t="inlineStr">
        <is>
          <t>Egresados</t>
        </is>
      </c>
      <c r="D427" s="114" t="inlineStr">
        <is>
          <t>PRESTACION DE SERVICIOS PARA EL APOYO LOGISTICO QUE CONTEMPLE LA ATENCIÓN, ORGANIZACIÓN Y FOMENTO AL ENCUENTRO DE EGRESADOS DE LA ETITC AÑO 2026.</t>
        </is>
      </c>
      <c r="E427" s="114" t="n">
        <v>1</v>
      </c>
      <c r="F427" s="114" t="inlineStr">
        <is>
          <t xml:space="preserve">Minima Cuantia </t>
        </is>
      </c>
      <c r="G427" s="118" t="n">
        <v>27000000</v>
      </c>
      <c r="H427" s="114" t="inlineStr">
        <is>
          <t xml:space="preserve">Profesional de Egresados </t>
        </is>
      </c>
      <c r="I427" s="114" t="inlineStr">
        <is>
          <t>3443000 Ext 238</t>
        </is>
      </c>
      <c r="J427" s="114" t="n"/>
      <c r="K427" s="114" t="n"/>
      <c r="L427" s="119" t="inlineStr">
        <is>
          <t>141 · GIT Extensión y Proyección Social</t>
        </is>
      </c>
      <c r="M427" s="120" t="n">
        <v>27000000</v>
      </c>
      <c r="N427" s="119" t="inlineStr">
        <is>
          <t>Mínima cuantía</t>
        </is>
      </c>
      <c r="O427" s="119">
        <f>IF(LEN(IF(OR(NOT(ISNUMBER(B427)),LEN(B427)&lt;&gt;8),"UNSPSC vacío, en texto, con varios códigos o sin 8 dígitos; ","")&amp;IF(AND(ISNUMBER(B427),LEN(B427)=8),IF(MOD(B427,10000)=0,"UNSPSC a nivel de segmento o familia; ",""),"")&amp;IF(NOT(ISNUMBER(E427)),"Duración vacía o en texto; ","")&amp;IF(NOT(ISNUMBER(G427)),"Valor vacío o en texto; ","")&amp;IF(ISNUMBER(M427),IF(M427&lt;1000000,"Valor inferior a $1.000.000: verificar; ",""),"Valor no interpretable; ")&amp;IF(N427="[PENDIENTE DE VERIFICAR]","Modalidad no identificable; ","")&amp;IF(OR(ISERROR(SEARCH("@itc.edu.co",J427)),SUMPRODUCT(--ISNUMBER(SEARCH({"á","é","í","ó","ú","ñ"},J427)))&gt;0),"Correo vacío o no institucional válido; ","")&amp;IF(LEN(TRIM(D427))=0,"Sin objeto contractual; ","")&amp;IF(AND(ISNUMBER(M427),N427="Mínima cuantía"),IF(M427&gt;39850000,"Mínima cuantía con valor superior al tope citado en el instructivo 2026 ($39.850.000): verificar modalidad; ",""),"")&amp;IF(AND(ISNUMBER(M427),OR(ISNUMBER(SEARCH("prestación de servicios",D427)),ISNUMBER(SEARCH("prestar servicios",D427)),ISNUMBER(SEARCH("prestar los servicios",D427)))),IF(M427&gt;=500000000,"Prestación de servicios por $500 millones o más: posible error de digitación; ",""),""))=0,"Sin observaciones",IF(OR(NOT(ISNUMBER(B427)),LEN(B427)&lt;&gt;8),"UNSPSC vacío, en texto, con varios códigos o sin 8 dígitos; ","")&amp;IF(AND(ISNUMBER(B427),LEN(B427)=8),IF(MOD(B427,10000)=0,"UNSPSC a nivel de segmento o familia; ",""),"")&amp;IF(NOT(ISNUMBER(E427)),"Duración vacía o en texto; ","")&amp;IF(NOT(ISNUMBER(G427)),"Valor vacío o en texto; ","")&amp;IF(ISNUMBER(M427),IF(M427&lt;1000000,"Valor inferior a $1.000.000: verificar; ",""),"Valor no interpretable; ")&amp;IF(N427="[PENDIENTE DE VERIFICAR]","Modalidad no identificable; ","")&amp;IF(OR(ISERROR(SEARCH("@itc.edu.co",J427)),SUMPRODUCT(--ISNUMBER(SEARCH({"á","é","í","ó","ú","ñ"},J427)))&gt;0),"Correo vacío o no institucional válido; ","")&amp;IF(LEN(TRIM(D427))=0,"Sin objeto contractual; ","")&amp;IF(AND(ISNUMBER(M427),N427="Mínima cuantía"),IF(M427&gt;39850000,"Mínima cuantía con valor superior al tope citado en el instructivo 2026 ($39.850.000): verificar modalidad; ",""),"")&amp;IF(AND(ISNUMBER(M427),OR(ISNUMBER(SEARCH("prestación de servicios",D427)),ISNUMBER(SEARCH("prestar servicios",D427)),ISNUMBER(SEARCH("prestar los servicios",D427)))),IF(M427&gt;=500000000,"Prestación de servicios por $500 millones o más: posible error de digitación; ",""),""))</f>
        <v/>
      </c>
    </row>
    <row r="428" ht="57" customHeight="1" s="23">
      <c r="A428" s="114" t="inlineStr">
        <is>
          <t>PN26-424</t>
        </is>
      </c>
      <c r="B428" s="114" t="n">
        <v>44120000</v>
      </c>
      <c r="C428" s="114" t="inlineStr">
        <is>
          <t>Profesional almacen</t>
        </is>
      </c>
      <c r="D428" s="114" t="inlineStr">
        <is>
          <t>"ADQUISICIÓN DE ELEMENTOS TIPOS CONSUMIBLES TALES COMO PAPELERÍA, ÚTILES ESCOLARES O DE OFICINA E INSUMOS PARA IMPRESORA PARA EL CUMPLIMIENTO DE LAS ACTIVIDADES ACADÉMICAS Y ADMINISTRATIVAS EN LA ESCUELA TECNOLÓGICA INSTITUTO TÉCNICO CENTRAL."</t>
        </is>
      </c>
      <c r="E428" s="114" t="n">
        <v>3</v>
      </c>
      <c r="F428" s="114" t="inlineStr">
        <is>
          <t xml:space="preserve">Minima Cuantia </t>
        </is>
      </c>
      <c r="G428" s="118" t="n">
        <v>51280107</v>
      </c>
      <c r="H428" s="114" t="inlineStr">
        <is>
          <t>Profesional del area de almacen general</t>
        </is>
      </c>
      <c r="I428" s="114" t="n"/>
      <c r="J428" s="114" t="inlineStr">
        <is>
          <t>almacen@itc.edu.co</t>
        </is>
      </c>
      <c r="K428" s="114" t="n"/>
      <c r="L428" s="119" t="inlineStr">
        <is>
          <t>130 · Vicerrectoría Administrativa y Financiera</t>
        </is>
      </c>
      <c r="M428" s="120" t="n">
        <v>51280107</v>
      </c>
      <c r="N428" s="119" t="inlineStr">
        <is>
          <t>Mínima cuantía</t>
        </is>
      </c>
      <c r="O428" s="119">
        <f>IF(LEN(IF(OR(NOT(ISNUMBER(B428)),LEN(B428)&lt;&gt;8),"UNSPSC vacío, en texto, con varios códigos o sin 8 dígitos; ","")&amp;IF(AND(ISNUMBER(B428),LEN(B428)=8),IF(MOD(B428,10000)=0,"UNSPSC a nivel de segmento o familia; ",""),"")&amp;IF(NOT(ISNUMBER(E428)),"Duración vacía o en texto; ","")&amp;IF(NOT(ISNUMBER(G428)),"Valor vacío o en texto; ","")&amp;IF(ISNUMBER(M428),IF(M428&lt;1000000,"Valor inferior a $1.000.000: verificar; ",""),"Valor no interpretable; ")&amp;IF(N428="[PENDIENTE DE VERIFICAR]","Modalidad no identificable; ","")&amp;IF(OR(ISERROR(SEARCH("@itc.edu.co",J428)),SUMPRODUCT(--ISNUMBER(SEARCH({"á","é","í","ó","ú","ñ"},J428)))&gt;0),"Correo vacío o no institucional válido; ","")&amp;IF(LEN(TRIM(D428))=0,"Sin objeto contractual; ","")&amp;IF(AND(ISNUMBER(M428),N428="Mínima cuantía"),IF(M428&gt;39850000,"Mínima cuantía con valor superior al tope citado en el instructivo 2026 ($39.850.000): verificar modalidad; ",""),"")&amp;IF(AND(ISNUMBER(M428),OR(ISNUMBER(SEARCH("prestación de servicios",D428)),ISNUMBER(SEARCH("prestar servicios",D428)),ISNUMBER(SEARCH("prestar los servicios",D428)))),IF(M428&gt;=500000000,"Prestación de servicios por $500 millones o más: posible error de digitación; ",""),""))=0,"Sin observaciones",IF(OR(NOT(ISNUMBER(B428)),LEN(B428)&lt;&gt;8),"UNSPSC vacío, en texto, con varios códigos o sin 8 dígitos; ","")&amp;IF(AND(ISNUMBER(B428),LEN(B428)=8),IF(MOD(B428,10000)=0,"UNSPSC a nivel de segmento o familia; ",""),"")&amp;IF(NOT(ISNUMBER(E428)),"Duración vacía o en texto; ","")&amp;IF(NOT(ISNUMBER(G428)),"Valor vacío o en texto; ","")&amp;IF(ISNUMBER(M428),IF(M428&lt;1000000,"Valor inferior a $1.000.000: verificar; ",""),"Valor no interpretable; ")&amp;IF(N428="[PENDIENTE DE VERIFICAR]","Modalidad no identificable; ","")&amp;IF(OR(ISERROR(SEARCH("@itc.edu.co",J428)),SUMPRODUCT(--ISNUMBER(SEARCH({"á","é","í","ó","ú","ñ"},J428)))&gt;0),"Correo vacío o no institucional válido; ","")&amp;IF(LEN(TRIM(D428))=0,"Sin objeto contractual; ","")&amp;IF(AND(ISNUMBER(M428),N428="Mínima cuantía"),IF(M428&gt;39850000,"Mínima cuantía con valor superior al tope citado en el instructivo 2026 ($39.850.000): verificar modalidad; ",""),"")&amp;IF(AND(ISNUMBER(M428),OR(ISNUMBER(SEARCH("prestación de servicios",D428)),ISNUMBER(SEARCH("prestar servicios",D428)),ISNUMBER(SEARCH("prestar los servicios",D428)))),IF(M428&gt;=500000000,"Prestación de servicios por $500 millones o más: posible error de digitación; ",""),""))</f>
        <v/>
      </c>
    </row>
  </sheetData>
  <sheetProtection selectLockedCells="0" selectUnlockedCells="0" sheet="1" objects="0" insertRows="1" insertHyperlinks="1" autoFilter="0" scenarios="0" formatColumns="0" deleteColumns="1" insertColumns="1" pivotTables="1" deleteRows="1" formatCells="1" formatRows="0" sort="1" password="CC6D"/>
  <autoFilter ref="A4:O428"/>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Oficina Asesora de Planeación, ETITC</dc:creator>
  <dc:title xmlns:dc="http://purl.org/dc/elements/1.1/">Plantilla Plan de Acción 2027</dc:title>
  <dc:language xmlns:dc="http://purl.org/dc/elements/1.1/">en-US</dc:language>
  <dcterms:created xmlns:dcterms="http://purl.org/dc/terms/" xmlns:xsi="http://www.w3.org/2001/XMLSchema-instance" xsi:type="dcterms:W3CDTF">2026-10-22T16:53:44Z</dcterms:created>
  <dcterms:modified xmlns:dcterms="http://purl.org/dc/terms/" xmlns:xsi="http://www.w3.org/2001/XMLSchema-instance" xsi:type="dcterms:W3CDTF">2026-10-26T06:48:02Z</dcterms:modified>
  <cp:lastModifiedBy>Fabián Ospina</cp:lastModifiedBy>
  <cp:revision>0</cp:revision>
</cp:coreProperties>
</file>