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9.xml.rels" ContentType="application/vnd.openxmlformats-package.relationships+xml"/>
  <Override PartName="/xl/worksheets/_rels/sheet8.xml.rels" ContentType="application/vnd.openxmlformats-package.relationships+xml"/>
  <Override PartName="/xl/worksheets/_rels/sheet7.xml.rels" ContentType="application/vnd.openxmlformats-package.relationships+xml"/>
  <Override PartName="/xl/worksheets/_rels/sheet6.xml.rels" ContentType="application/vnd.openxmlformats-package.relationships+xml"/>
  <Override PartName="/xl/worksheets/_rels/sheet5.xml.rels" ContentType="application/vnd.openxmlformats-package.relationships+xml"/>
  <Override PartName="/xl/worksheets/_rels/sheet4.xml.rels" ContentType="application/vnd.openxmlformats-package.relationships+xml"/>
  <Override PartName="/xl/worksheets/_rels/sheet2.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workbookPassword="CC6D" lockStructure="1"/>
  <bookViews>
    <workbookView showHorizontalScroll="true" showVerticalScroll="true" showSheetTabs="true" xWindow="0" yWindow="0" windowWidth="16384" windowHeight="8192" tabRatio="500" firstSheet="0" activeTab="0"/>
  </bookViews>
  <sheets>
    <sheet name="Instructivo" sheetId="1" state="visible" r:id="rId3"/>
    <sheet name="Compromisos_2026" sheetId="2" state="visible" r:id="rId4"/>
    <sheet name="Buscador_Formulacion" sheetId="3" state="visible" r:id="rId5"/>
    <sheet name="Eje1_Formacion" sheetId="4" state="visible" r:id="rId6"/>
    <sheet name="Eje2_Investigacion" sheetId="5" state="visible" r:id="rId7"/>
    <sheet name="Eje3_Extension" sheetId="6" state="visible" r:id="rId8"/>
    <sheet name="Eje4_Transformacion" sheetId="7" state="visible" r:id="rId9"/>
    <sheet name="Eje5_Infraestructura" sheetId="8" state="visible" r:id="rId10"/>
    <sheet name="Eje6_Bienestar" sheetId="9" state="visible" r:id="rId11"/>
    <sheet name="Base_OAPDI" sheetId="10" state="hidden" r:id="rId12"/>
    <sheet name="Catalogos" sheetId="11" state="hidden" r:id="rId13"/>
    <sheet name="Dependencias" sheetId="12" state="hidden" r:id="rId14"/>
  </sheets>
  <definedNames>
    <definedName function="false" hidden="true" localSheetId="1" name="_xlnm._FilterDatabase" vbProcedure="false">Compromisos_2026!$A$3:$R$77</definedName>
    <definedName function="false" hidden="true" localSheetId="3" name="_xlnm._FilterDatabase" vbProcedure="false">Eje1_Formacion!$A$6:$AF$66</definedName>
    <definedName function="false" hidden="true" localSheetId="4" name="_xlnm._FilterDatabase" vbProcedure="false">Eje2_Investigacion!$A$6:$AF$22</definedName>
    <definedName function="false" hidden="true" localSheetId="5" name="_xlnm._FilterDatabase" vbProcedure="false">Eje3_Extension!$A$6:$AF$23</definedName>
    <definedName function="false" hidden="true" localSheetId="6" name="_xlnm._FilterDatabase" vbProcedure="false">Eje4_Transformacion!$A$6:$AF$59</definedName>
    <definedName function="false" hidden="true" localSheetId="7" name="_xlnm._FilterDatabase" vbProcedure="false">Eje5_Infraestructura!$A$6:$AF$27</definedName>
    <definedName function="false" hidden="true" localSheetId="8" name="_xlnm._FilterDatabase" vbProcedure="false">Eje6_Bienestar!$A$6:$AF$22</definedName>
    <definedName function="false" hidden="false" name="L_AREAS" vbProcedure="false">Dependencias!$L$5:$L$51</definedName>
    <definedName function="false" hidden="false" name="L_DECISION" vbProcedure="false">Compromisos_2026!$U$4:$U$7</definedName>
    <definedName function="false" hidden="false" name="L_DIM" vbProcedure="false">Catalogos!$AG$5:$AG$8</definedName>
    <definedName function="false" hidden="false" name="L_IMP" vbProcedure="false">Catalogos!$W$5:$W$25</definedName>
    <definedName function="false" hidden="false" name="L_METAS" vbProcedure="false">Catalogos!$L$5:$L$49</definedName>
    <definedName function="false" hidden="false" name="L_ORIGEN" vbProcedure="false">Catalogos!$AK$5:$AK$9</definedName>
    <definedName function="false" hidden="false" name="L_SINO" vbProcedure="false">Catalogos!$AI$5:$AI$6</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<sst xmlns="http://schemas.openxmlformats.org/spreadsheetml/2006/main" count="5451" uniqueCount="1621">
  <si>
    <t xml:space="preserve">Plantilla de Formulación del Plan de Acción Anual (PAA) 2027 — Escuela Tecnológica Instituto Técnico Central (ETITC)</t>
  </si>
  <si>
    <t xml:space="preserve">Oficina Asesora de Planeación y Desarrollo Institucional (OAPDI) · Versión 7 · Instrumento para las áreas funcionales · Libro protegido: solo se diligencian las celdas amarillas.</t>
  </si>
  <si>
    <t xml:space="preserve">1. Propósito</t>
  </si>
  <si>
    <t xml:space="preserve">Este libro es el instrumento con el que cada dependencia y área funcional de la ETITC formula sus acciones para la vigencia 2027. La OAPDI entrega la ruta: las metas del Plan de Desarrollo Institucional (PDI) 2025-2032 que corresponden a cada área, lo que la institución espera alcanzar en 2027, las acciones que propone la OAPDI y los compromisos pendientes de 2026. Cada área responde con las acciones, productos, fechas, indicadores y evidencias con los que contribuirá a esas metas. La propuesta completa de la OAPDI, con los cambios frente a 2026, está en el libro 'Plan de acción 2027'.</t>
  </si>
  <si>
    <t xml:space="preserve">2. Marco de referencia</t>
  </si>
  <si>
    <t xml:space="preserve">La formulación se rige por la Ley 152 de 1994 (Ley Orgánica del Plan de Desarrollo), el Modelo Integrado de Planeación y Gestión (MIPG), la estructura orgánica del Decreto 902 de 2013 y los grupos internos de trabajo de la Resolución 215 de 2022, el Mapa de Procesos GDC-DI-01 versión 9 (13 de junio de 2024), el Sistema Nacional de Acreditación (Acuerdos del Consejo Nacional de Educación Superior —CESU— 02 de 2020 y 01 de 2025) y la Guía Metodológica para la Evaluación de Impacto de la ETITC.</t>
  </si>
  <si>
    <t xml:space="preserve">3. Arquitectura del PDI</t>
  </si>
  <si>
    <t xml:space="preserve">El PDI 2025-2032 se organiza en 6 ejes estratégicos, 24 líneas de acción y 45 metas estratégicas con horizonte 2032. Cada meta se identifica con un código de cuatro niveles (eje.línea.objetivo.meta), por ejemplo 1.1.1.1. Para 2027 se retoma la codificación del PDI: el diagnóstico de la OAPDI encontró que en 2026 varias metas cambiaron de código, de enunciado o de cifra, y esta plantilla las devuelve a su forma original.</t>
  </si>
  <si>
    <t xml:space="preserve">4. Hojas del libro</t>
  </si>
  <si>
    <t xml:space="preserve">Buscador_Formulacion: el área selecciona su nombre en la lista desplegable (celda amarilla C4) y consulta sus metas, la meta institucional 2027, el aporte esperado (con las acciones que propone la OAPDI), los productos 2026 pendientes, los indicadores de impacto sugeridos, la hoja donde debe formular y sus compromisos 2026; en la parte inferior registra acciones adicionales. Eje1 a Eje6: una hoja por eje estratégico; cada fila es una meta asignada a un área y en ella el área formula su acción principal (columnas amarillas Q a AE). Compromisos_2026: hitos, compromisos vinculantes y tareas pendientes de los proyectos estructurantes (Convenio Zipazgo, Informe al Congreso 2025, Requerimiento MEN PIC/PG/PFB, Plan de Acción 2026) y del Acta CIGD 6-2026 sobre gestión energética; el área registra su decisión en las columnas amarillas. Las tablas de soporte (metas, áreas e indicadores) están ocultas y protegidas.</t>
  </si>
  <si>
    <t xml:space="preserve">5. Cómo diligenciar</t>
  </si>
  <si>
    <t xml:space="preserve">Paso 1. Vaya a Buscador_Formulacion y seleccione su área en la celda amarilla C4. Paso 2. Revise las metas asignadas, el aporte esperado para 2027 y las acciones propuestas por la OAPDI, los productos 2026 pendientes y los compromisos que le corresponden (a la derecha); registre su decisión sobre cada compromiso en la hoja Compromisos_2026. Paso 3. Abra la hoja del eje que indica la columna 'Formular en la hoja', filtre por su área (columna J) y diligencie las columnas amarillas de cada fila. Paso 4. Si una meta requiere más de una acción, o si su área quiere contribuir a una meta que no tiene asignada, regístrela en la sección 'Acciones adicionales' del buscador, eligiendo el área y la meta en las listas. Paso 5. Verifique que la columna 'Alerta de consistencia' diga OK en todas sus filas y envíe el archivo a la OAPDI.</t>
  </si>
  <si>
    <t xml:space="preserve">6. Reglas de calidad</t>
  </si>
  <si>
    <t xml:space="preserve">Las fechas deben estar dentro de 2027 y la de fin no puede ser anterior a la de inicio. El responsable se identifica con correo institucional @itc.edu.co (sin tildes). Cada acción debe tener un producto verificable, un indicador de seguimiento con meta cuantificable y al menos un indicador de impacto de la Guía Metodológica; la dimensión elegida (Valor Público, Académica, Egresados o Sector Productivo) debe corresponder a la categoría del indicador. Si la acción continúa o cierra un producto vencido o pendiente de 2026, marque 'Sí' en la columna correspondiente y menciónelo en observaciones. No registre como producto la contratación de personal ni los estudios previos: son actividades que sirven a un producto.</t>
  </si>
  <si>
    <t xml:space="preserve">7. Convenciones</t>
  </si>
  <si>
    <t xml:space="preserve">Gris: información de la OAPDI o calculada (bloqueada). Amarillo: celdas habilitadas para diligenciar; el resto del libro está protegido. El texto 'Sugerido: ( )' señala metas o valores propuestos por la OAPDI cuando ningún documento los fija; se validan en la Jornada de Planeación. La línea base cita su fuente: MPI (Matriz plurianual de inversiones 2025-2032, columna 'Línea base 2024'), RC 2025 (Informe de Rendición de Cuentas 2025) o Acta CIGD 6-2026.</t>
  </si>
  <si>
    <t xml:space="preserve">8. Advertencias de la OAPDI antes de remitir</t>
  </si>
  <si>
    <t xml:space="preserve">a) La meta 2027 se tomó de la Matriz plurianual de inversiones 2025-2032 cuando la registra; cuando ningún documento la fija, la OAPDI propone una meta marcada 'Sugerido: ( )' con su lógica de cálculo, que se valida en la Jornada de Planeación. b) El aporte esperado de cada área es una orientación de la OAPDI; cuando hay acciones propuestas, se listan con su código (A27-…), que corresponde a la numeración de acciones del Plan de acción 2027. c) La estructura de 45 metas es la de la hoja PROY de la matriz plurianual; difiere de la tabla en imagen del PDI en 1.5.1.1 (12 frente a 10 doctores) y en la ubicación del 90% de participación (4.5.1.1). d) Las áreas funcionales se tomaron del Directorio de Funcionarios 2026 de la OAPDI; las marcadas 'revisar' o 'validar' tienen la dependencia inferida. e) El texto del PDI menciona 12.000 estudiantes (pág. 39) y la tabla de metas 11.000: se usó 11.000. f) La Tabla 2 de la Guía agrupa las categorías 2 y 3, por lo que sus indicadores (IMP-06 a IMP-09) se comparten. g) Las cifras de grupos de investigación de la matriz plurianual (8 A, 16 B, 14 C) no coinciden con el PDI (1 A, 3 B, 4 C). h) El PDI no tiene una meta explícita de eficiencia energética: por decisión del CIGD 6-2026 se formula en la línea 6.1, cuyo objetivo incluye el cuidado del ambiente (metas 6.1.1.1 y 6.1.1.2), con criterios en 5.1.1.1 y 5.2.1.1. La ETITC incumple hoy el art. 237 de la Ley 2294 de 2023 y la Res. 40412 de 2024.</t>
  </si>
  <si>
    <t xml:space="preserve">9. Ejemplo de fila diligenciada (solo ilustrativo; no corresponde a una acción real)</t>
  </si>
  <si>
    <t xml:space="preserve">Hoja / fila</t>
  </si>
  <si>
    <t xml:space="preserve">Eje1_Formacion, fila de la meta 1.2.1.1 asignada a la Facultad de Sistemas (A26)</t>
  </si>
  <si>
    <t xml:space="preserve">Nombre de la acción</t>
  </si>
  <si>
    <t xml:space="preserve">Radicar en SACES el documento maestro de un programa nuevo de pregrado</t>
  </si>
  <si>
    <t xml:space="preserve">Producto esperado</t>
  </si>
  <si>
    <t xml:space="preserve">Constancia de radicación del documento maestro en SACES</t>
  </si>
  <si>
    <t xml:space="preserve">Fecha de inicio / fin</t>
  </si>
  <si>
    <t xml:space="preserve">01/02/2027 — 30/06/2027</t>
  </si>
  <si>
    <t xml:space="preserve">Responsable</t>
  </si>
  <si>
    <t xml:space="preserve">sistemas@itc.edu.co</t>
  </si>
  <si>
    <t xml:space="preserve">Indicador de seguimiento / meta / unidad</t>
  </si>
  <si>
    <t xml:space="preserve">Documentos maestros radicados / 1 / documento</t>
  </si>
  <si>
    <t xml:space="preserve">Dimensión / indicador de impacto</t>
  </si>
  <si>
    <t xml:space="preserve">Valor Público / IMP-13 · Proporción de programas académicos pertinentes (alineados con necesidades y vocación del territorio)</t>
  </si>
  <si>
    <t xml:space="preserve">¿Retoma compromiso 2026?</t>
  </si>
  <si>
    <t xml:space="preserve">Sí — continúa el documento maestro iniciado en 2026</t>
  </si>
  <si>
    <t xml:space="preserve">Evidencia verificable</t>
  </si>
  <si>
    <t xml:space="preserve">Radicado SACES y acta del Consejo Académico</t>
  </si>
  <si>
    <t xml:space="preserve">Compromisos pendientes 2026 de los proyectos estructurantes para retomar o cerrar en el PAA 2027</t>
  </si>
  <si>
    <t xml:space="preserve">Id</t>
  </si>
  <si>
    <t xml:space="preserve">Proyecto estructurante</t>
  </si>
  <si>
    <t xml:space="preserve">Tipo</t>
  </si>
  <si>
    <t xml:space="preserve">Compromiso o tarea</t>
  </si>
  <si>
    <t xml:space="preserve">Responsable según la fuente</t>
  </si>
  <si>
    <t xml:space="preserve">Id área (propuesta)</t>
  </si>
  <si>
    <t xml:space="preserve">Área funcional</t>
  </si>
  <si>
    <t xml:space="preserve">Dependencia</t>
  </si>
  <si>
    <t xml:space="preserve">Meta PDI vinculada (propuesta)</t>
  </si>
  <si>
    <t xml:space="preserve">Eje</t>
  </si>
  <si>
    <t xml:space="preserve">Estado según la fuente</t>
  </si>
  <si>
    <t xml:space="preserve">Periodo 2027</t>
  </si>
  <si>
    <t xml:space="preserve">Evidencia esperada</t>
  </si>
  <si>
    <t xml:space="preserve">Soporte normativo o documental</t>
  </si>
  <si>
    <t xml:space="preserve">Archivo fuente</t>
  </si>
  <si>
    <t xml:space="preserve">Decisión del área</t>
  </si>
  <si>
    <t xml:space="preserve">Id asignación o fila donde se formula</t>
  </si>
  <si>
    <t xml:space="preserve">Observaciones</t>
  </si>
  <si>
    <t xml:space="preserve">Aux.</t>
  </si>
  <si>
    <t xml:space="preserve">Decisiones</t>
  </si>
  <si>
    <t xml:space="preserve">CP-001</t>
  </si>
  <si>
    <t xml:space="preserve">Convenio ETITC-MinTIC / CIA Zipazgo</t>
  </si>
  <si>
    <t xml:space="preserve">Hito pendiente</t>
  </si>
  <si>
    <t xml:space="preserve">Suscribir el convenio interadministrativo ETITC-MinTIC (eventualmente tripartito con el municipio de Zipaquirá).</t>
  </si>
  <si>
    <t xml:space="preserve">Rectoría; MinTIC</t>
  </si>
  <si>
    <t xml:space="preserve">A01</t>
  </si>
  <si>
    <t xml:space="preserve">5.3.1.1</t>
  </si>
  <si>
    <t xml:space="preserve">En trámite; sin respuesta de MinTIC documentada</t>
  </si>
  <si>
    <t xml:space="preserve">Sugerido: (I semestre de 2027)</t>
  </si>
  <si>
    <t xml:space="preserve">Convenio suscrito</t>
  </si>
  <si>
    <t xml:space="preserve">Oficio 21/07/2026</t>
  </si>
  <si>
    <t xml:space="preserve">Insumo Hoja de Ruta ETITC 2027 Convenio ETITC-MinTIC CIA Zipazgo.docx</t>
  </si>
  <si>
    <t xml:space="preserve">Se retoma en 2027</t>
  </si>
  <si>
    <t xml:space="preserve">CP-002</t>
  </si>
  <si>
    <t xml:space="preserve">Legalizar el convenio (perfeccionamiento, aprobaciones y designación de supervisión).</t>
  </si>
  <si>
    <t xml:space="preserve">Secretaría General; Rectoría</t>
  </si>
  <si>
    <t xml:space="preserve">A11</t>
  </si>
  <si>
    <t xml:space="preserve">Sin iniciar: depende de la suscripción del convenio</t>
  </si>
  <si>
    <t xml:space="preserve">Posterior a la suscripción</t>
  </si>
  <si>
    <t xml:space="preserve">Actas de perfeccionamiento y designación de supervisor</t>
  </si>
  <si>
    <t xml:space="preserve">n.d.</t>
  </si>
  <si>
    <t xml:space="preserve">Se cierra en 2026</t>
  </si>
  <si>
    <t xml:space="preserve">CP-003</t>
  </si>
  <si>
    <t xml:space="preserve">Iniciar la operación académica del Centro de IA Zipazgo una vez MinTIC entregue la obra y la dotación.</t>
  </si>
  <si>
    <t xml:space="preserve">MinTIC (obra y dotación); ETITC (operación)</t>
  </si>
  <si>
    <t xml:space="preserve">A15</t>
  </si>
  <si>
    <t xml:space="preserve">Pendiente; infraestructura en construcción al 31/03/2026</t>
  </si>
  <si>
    <t xml:space="preserve">Sugerido: (2027-2, sujeto a la entrega de la obra por MinTIC)</t>
  </si>
  <si>
    <t xml:space="preserve">Acta de inicio de operación</t>
  </si>
  <si>
    <t xml:space="preserve">MEN 2026-EE-116789; Acuerdo 010/2025</t>
  </si>
  <si>
    <t xml:space="preserve">Se reasigna a otra área</t>
  </si>
  <si>
    <t xml:space="preserve">CP-004</t>
  </si>
  <si>
    <t xml:space="preserve">Definir la ruta de permanencia de la oferta en Zipaquirá antes del cierre de la ventana de lugares transitorios (admite nuevas cohortes por 2 años consecutivos).</t>
  </si>
  <si>
    <t xml:space="preserve">Vicerrectoría Académica</t>
  </si>
  <si>
    <t xml:space="preserve">1.1.1.1</t>
  </si>
  <si>
    <t xml:space="preserve">Vigente desde las resoluciones del 16/04/2026; inicio del conteo por verificar</t>
  </si>
  <si>
    <t xml:space="preserve">2027</t>
  </si>
  <si>
    <t xml:space="preserve">Decisión documentada y trámite ante el MEN</t>
  </si>
  <si>
    <t xml:space="preserve">Res. 010369, 010371, 010377, 010378, 010379 y 010417 de 2026</t>
  </si>
  <si>
    <t xml:space="preserve">No aplica (justificar)</t>
  </si>
  <si>
    <t xml:space="preserve">CP-005</t>
  </si>
  <si>
    <t xml:space="preserve">Compromiso vinculante</t>
  </si>
  <si>
    <t xml:space="preserve">Mantener designado un Coordinador del Convenio Marco de nivel directivo.</t>
  </si>
  <si>
    <t xml:space="preserve">Vigente</t>
  </si>
  <si>
    <t xml:space="preserve">Acto de designación</t>
  </si>
  <si>
    <t xml:space="preserve">Convenio Marco 27/03/2025, cláusula 6, num. 7</t>
  </si>
  <si>
    <t xml:space="preserve">CP-006</t>
  </si>
  <si>
    <t xml:space="preserve">Presentar la programación académica semestral o anual del convenio.</t>
  </si>
  <si>
    <t xml:space="preserve">Vicerrectoría Académica; Decanaturas</t>
  </si>
  <si>
    <t xml:space="preserve">Cada periodo 2027</t>
  </si>
  <si>
    <t xml:space="preserve">Documento de programación</t>
  </si>
  <si>
    <t xml:space="preserve">Convenio Marco, cláusula 6, num. 8</t>
  </si>
  <si>
    <t xml:space="preserve">CP-007</t>
  </si>
  <si>
    <t xml:space="preserve">Presentar el plan anual de trabajo 2027 del convenio.</t>
  </si>
  <si>
    <t xml:space="preserve">Anual</t>
  </si>
  <si>
    <t xml:space="preserve">Plan de trabajo 2027</t>
  </si>
  <si>
    <t xml:space="preserve">Convenio Marco, cláusula 6, num. 9</t>
  </si>
  <si>
    <t xml:space="preserve">CP-008</t>
  </si>
  <si>
    <t xml:space="preserve">Ejercer la Secretaría Técnica del Comité de Operación y Articulación.</t>
  </si>
  <si>
    <t xml:space="preserve">Vigente; frecuencia por verificar</t>
  </si>
  <si>
    <t xml:space="preserve">Periódico</t>
  </si>
  <si>
    <t xml:space="preserve">Actas del comité</t>
  </si>
  <si>
    <t xml:space="preserve">Convenio Marco, cláusulas 9 y 10</t>
  </si>
  <si>
    <t xml:space="preserve">CP-009</t>
  </si>
  <si>
    <t xml:space="preserve">Aplicar la admisión especial y las rutas con homologación de créditos para estudiantes del convenio.</t>
  </si>
  <si>
    <t xml:space="preserve">Admisiones; Registro</t>
  </si>
  <si>
    <t xml:space="preserve">A29</t>
  </si>
  <si>
    <t xml:space="preserve">2027-1 y 2027-2</t>
  </si>
  <si>
    <t xml:space="preserve">Estudiantes admitidos y homologaciones</t>
  </si>
  <si>
    <t xml:space="preserve">Convenio Marco, cláusula 6, nums. 10 y 11</t>
  </si>
  <si>
    <t xml:space="preserve">CP-010</t>
  </si>
  <si>
    <t xml:space="preserve">Reportar en SNIES a los estudiantes del convenio.</t>
  </si>
  <si>
    <t xml:space="preserve">Registro y Control Académico; OAPDI</t>
  </si>
  <si>
    <t xml:space="preserve">Según calendario SNIES</t>
  </si>
  <si>
    <t xml:space="preserve">Reporte SNIES</t>
  </si>
  <si>
    <t xml:space="preserve">Convenio Marco, cláusula 6, num. 12</t>
  </si>
  <si>
    <t xml:space="preserve">CP-011</t>
  </si>
  <si>
    <t xml:space="preserve">Compromiso institucional</t>
  </si>
  <si>
    <t xml:space="preserve">Obtener y cargar el Plan de Acción de la Facultad de IA y Zipazgo aprobado (debió presentarse en 3 meses desde el 16/05/2025; es anexo del oficio del 10/03/2026 y no está en la carpeta).</t>
  </si>
  <si>
    <t xml:space="preserve">Rectoría; OAPDI</t>
  </si>
  <si>
    <t xml:space="preserve">A05</t>
  </si>
  <si>
    <t xml:space="preserve">1.2.1.1</t>
  </si>
  <si>
    <t xml:space="preserve">Aprobado por el Consejo Directivo según el oficio del 10/03/2026; el documento no está en la carpeta de trabajo</t>
  </si>
  <si>
    <t xml:space="preserve">Antes de cerrar la formulación 2027</t>
  </si>
  <si>
    <t xml:space="preserve">Plan aprobado</t>
  </si>
  <si>
    <t xml:space="preserve">Acuerdo 010/2025, art. 2</t>
  </si>
  <si>
    <t xml:space="preserve">CP-012</t>
  </si>
  <si>
    <t xml:space="preserve">Priorizar la sostenibilidad del Centro con recursos propios y gestionar convenios de financiación.</t>
  </si>
  <si>
    <t xml:space="preserve">Rectoría; Vicerrectoría Administrativa y Financiera</t>
  </si>
  <si>
    <t xml:space="preserve">A30</t>
  </si>
  <si>
    <t xml:space="preserve">Sin montos documentados</t>
  </si>
  <si>
    <t xml:space="preserve">Certificación presupuestal</t>
  </si>
  <si>
    <t xml:space="preserve">Acuerdo 010/2025, art. 3</t>
  </si>
  <si>
    <t xml:space="preserve">CP-013</t>
  </si>
  <si>
    <t xml:space="preserve">Diseñar en 2027 cuatro programas: Tecnología en Análisis y Modelado de Datos con IA, Técnico Profesional en Ciencia de Datos Aplicada a la IA, Especialización en Gestión de Proyectos de IA y Maestría en Ciencia de Datos.</t>
  </si>
  <si>
    <t xml:space="preserve">Facultad de IA; Autoevaluación</t>
  </si>
  <si>
    <t xml:space="preserve">A46</t>
  </si>
  <si>
    <t xml:space="preserve">Proyectado</t>
  </si>
  <si>
    <t xml:space="preserve">Planes de estudio y acuerdos</t>
  </si>
  <si>
    <t xml:space="preserve">Oficio 10/03/2026, sección III</t>
  </si>
  <si>
    <t xml:space="preserve">CP-014</t>
  </si>
  <si>
    <t xml:space="preserve">Obtener registro calificado de Ingeniería en IA, Ingeniería Robótica con IA y Especialización en Soluciones de IA.</t>
  </si>
  <si>
    <t xml:space="preserve">Vicerrectoría Académica; Autoevaluación</t>
  </si>
  <si>
    <t xml:space="preserve">Ing. en IA radicada el 09/03/2026; las otras dos sin radicación documentada</t>
  </si>
  <si>
    <t xml:space="preserve">Radicados y resoluciones del MEN</t>
  </si>
  <si>
    <t xml:space="preserve">Acuerdos 04, 07 y 08 de 2026</t>
  </si>
  <si>
    <t xml:space="preserve">CP-015</t>
  </si>
  <si>
    <t xml:space="preserve">Ofertar y matricular en Zipaquirá bajo lugares transitorios (por ejemplo, 60 estudiantes por periodo en Ingeniería de Sistemas).</t>
  </si>
  <si>
    <t xml:space="preserve">Dentro de la ventana de 2 años</t>
  </si>
  <si>
    <t xml:space="preserve">Matrícula por lugar de desarrollo en SNIES</t>
  </si>
  <si>
    <t xml:space="preserve">Res. 010417 de 2026</t>
  </si>
  <si>
    <t xml:space="preserve">CP-016</t>
  </si>
  <si>
    <t xml:space="preserve">Alerta a resolver</t>
  </si>
  <si>
    <t xml:space="preserve">Tramitar la modificación del lugar de desarrollo de los programas de IA si el Centro será su sede (los Acuerdos 04, 07 y 08 fijan Bogotá).</t>
  </si>
  <si>
    <t xml:space="preserve">A08</t>
  </si>
  <si>
    <t xml:space="preserve">Sin trámite</t>
  </si>
  <si>
    <t xml:space="preserve">Solicitud de modificación ante el MEN</t>
  </si>
  <si>
    <t xml:space="preserve">Alerta 2 del insumo</t>
  </si>
  <si>
    <t xml:space="preserve">CP-017</t>
  </si>
  <si>
    <t xml:space="preserve">Informe de Gestión al Congreso 2025 (CLC)</t>
  </si>
  <si>
    <t xml:space="preserve">Fijar calendario de cierre con corte único y constituir el rezago a más tardar el 20 de enero.</t>
  </si>
  <si>
    <t xml:space="preserve">Presupuesto, con Tesorería para el PAC</t>
  </si>
  <si>
    <t xml:space="preserve">A47</t>
  </si>
  <si>
    <t xml:space="preserve">4.1.1.2</t>
  </si>
  <si>
    <t xml:space="preserve">Pendiente ratificar cifras de cierre 2025</t>
  </si>
  <si>
    <t xml:space="preserve">Enero 2027 (cierre vigencia 2026)</t>
  </si>
  <si>
    <t xml:space="preserve">Calendario y resolución de rezago</t>
  </si>
  <si>
    <t xml:space="preserve">Decreto 1068 de 2015</t>
  </si>
  <si>
    <t xml:space="preserve">Insumo Hoja de Ruta ETITC 2027 Informe de Gestión al Congreso 2025.docx</t>
  </si>
  <si>
    <t xml:space="preserve">CP-018</t>
  </si>
  <si>
    <t xml:space="preserve">Adoptar un solo calendario de remisión de insumos para el informe a la CLC, con fechas y responsables por dependencia.</t>
  </si>
  <si>
    <t xml:space="preserve">Cada dependencia; la OAPDI articula</t>
  </si>
  <si>
    <t xml:space="preserve">Tesorería y Secretaría General figuraban pendientes en el último memorando</t>
  </si>
  <si>
    <t xml:space="preserve">Ciclo 2027</t>
  </si>
  <si>
    <t xml:space="preserve">Calendario aprobado</t>
  </si>
  <si>
    <t xml:space="preserve">Art. 258 Ley 5 de 1992 (plazo de 5 días)</t>
  </si>
  <si>
    <t xml:space="preserve">CP-019</t>
  </si>
  <si>
    <t xml:space="preserve">Definir el alcance y los tiempos del visto bueno de la Vicerrectoría Administrativa y Financiera.</t>
  </si>
  <si>
    <t xml:space="preserve">Vicerrectoría Administrativa y Financiera</t>
  </si>
  <si>
    <t xml:space="preserve">Sin evidencia de visto bueno</t>
  </si>
  <si>
    <t xml:space="preserve">Procedimiento o lista de chequeo</t>
  </si>
  <si>
    <t xml:space="preserve">Matriz de cumplimiento (D02)</t>
  </si>
  <si>
    <t xml:space="preserve">CP-020</t>
  </si>
  <si>
    <t xml:space="preserve">Resolver quién ejerce la función de Jefe de Control Interno para suscribir el ECIC.</t>
  </si>
  <si>
    <t xml:space="preserve">Rectoría; Control Interno</t>
  </si>
  <si>
    <t xml:space="preserve">A04</t>
  </si>
  <si>
    <t xml:space="preserve">4.2.1.1</t>
  </si>
  <si>
    <t xml:space="preserve">Pendiente</t>
  </si>
  <si>
    <t xml:space="preserve">Antes del ciclo 2027</t>
  </si>
  <si>
    <t xml:space="preserve">Acto administrativo</t>
  </si>
  <si>
    <t xml:space="preserve">Insumo Congreso, hito firma</t>
  </si>
  <si>
    <t xml:space="preserve">CP-021</t>
  </si>
  <si>
    <t xml:space="preserve">Reservar con anticipación el consecutivo de radicación ante la CLC y tener lista la certificación de publicación.</t>
  </si>
  <si>
    <t xml:space="preserve">Secretaría General; Jurídica</t>
  </si>
  <si>
    <t xml:space="preserve">Sin evidencia de radicación del ciclo 2025</t>
  </si>
  <si>
    <t xml:space="preserve">Radicado</t>
  </si>
  <si>
    <t xml:space="preserve">Insumo Congreso, hito radicación</t>
  </si>
  <si>
    <t xml:space="preserve">CP-022</t>
  </si>
  <si>
    <t xml:space="preserve">Hallazgo CGR</t>
  </si>
  <si>
    <t xml:space="preserve">COH_10733_2025: partidas conciliatorias por $58.207.092. Depurar mensualmente con tope de 60 días y reportar al Comité de Sostenibilidad Contable.</t>
  </si>
  <si>
    <t xml:space="preserve">Tesorería y Contabilidad</t>
  </si>
  <si>
    <t xml:space="preserve">Plan de mejoramiento suscrito el 19/12/2025</t>
  </si>
  <si>
    <t xml:space="preserve">Conciliaciones mensuales</t>
  </si>
  <si>
    <t xml:space="preserve">Plan de Mejoramiento CGR</t>
  </si>
  <si>
    <t xml:space="preserve">CP-023</t>
  </si>
  <si>
    <t xml:space="preserve">COH_10784_2025: sobrestimación de Propiedad, Planta y Equipo por $26.422.262.386. Conciliar Mántum y SIIF y cerrar el saneamiento de bienes.</t>
  </si>
  <si>
    <t xml:space="preserve">Almacén, Contabilidad y Comité de Sostenibilidad</t>
  </si>
  <si>
    <t xml:space="preserve">En término</t>
  </si>
  <si>
    <t xml:space="preserve">Conciliaciones y actas de baja</t>
  </si>
  <si>
    <t xml:space="preserve">CP-024</t>
  </si>
  <si>
    <t xml:space="preserve">COH_11388_2025: reserva de $5.496.842 de un contrato ya pagado. Validar cada reserva contra pagos antes de la resolución de constitución.</t>
  </si>
  <si>
    <t xml:space="preserve">Presupuesto, con Tesorería y supervisión</t>
  </si>
  <si>
    <t xml:space="preserve">Enero 2027</t>
  </si>
  <si>
    <t xml:space="preserve">Lista de validación de reservas</t>
  </si>
  <si>
    <t xml:space="preserve">CP-025</t>
  </si>
  <si>
    <t xml:space="preserve">COH_10730_2025 y COH_10753_2025: recobro de incapacidades ($14.834.401) y pago de salarios sin reporte oportuno. Protocolo de reporte y recobro con alertas de prescripción.</t>
  </si>
  <si>
    <t xml:space="preserve">Talento Humano (nómina)</t>
  </si>
  <si>
    <t xml:space="preserve">A35</t>
  </si>
  <si>
    <t xml:space="preserve">Protocolo adoptado y conciliación nómina-contabilidad</t>
  </si>
  <si>
    <t xml:space="preserve">CP-026</t>
  </si>
  <si>
    <t xml:space="preserve">COH_10748_2025: ítem dotacional de $711.011.393 no ejecutado. Lista de verificación de entregables antes de certificar cumplimiento.</t>
  </si>
  <si>
    <t xml:space="preserve">Supervisor del contrato y Contratación [por confirmar]</t>
  </si>
  <si>
    <t xml:space="preserve">A14</t>
  </si>
  <si>
    <t xml:space="preserve">Lista de verificación en uso</t>
  </si>
  <si>
    <t xml:space="preserve">CP-027</t>
  </si>
  <si>
    <t xml:space="preserve">COH_10772_2025: provisión de procesos judiciales sin actualizar en eKOGUI. Actualización periódica y conciliación trimestral con Contabilidad.</t>
  </si>
  <si>
    <t xml:space="preserve">Asuntos Jurídicos, con Contabilidad</t>
  </si>
  <si>
    <t xml:space="preserve">A12</t>
  </si>
  <si>
    <t xml:space="preserve">Trimestral 2027</t>
  </si>
  <si>
    <t xml:space="preserve">Reportes eKOGUI conciliados</t>
  </si>
  <si>
    <t xml:space="preserve">CP-028</t>
  </si>
  <si>
    <t xml:space="preserve">Debilidad ECIC</t>
  </si>
  <si>
    <t xml:space="preserve">Formular indicadores financieros (razón corriente, margen, rotación de cartera) e incluirlos en el plan de acción.</t>
  </si>
  <si>
    <t xml:space="preserve">Contabilidad, VAF y OAPDI</t>
  </si>
  <si>
    <t xml:space="preserve">Criterios 26, 26.1 y 26.2 en NO</t>
  </si>
  <si>
    <t xml:space="preserve">Indicadores en el PAA 2027</t>
  </si>
  <si>
    <t xml:space="preserve">ECIC 2025</t>
  </si>
  <si>
    <t xml:space="preserve">CP-029</t>
  </si>
  <si>
    <t xml:space="preserve">Incluir capacitación financiera y contable en el Plan Institucional de Capacitación 2027.</t>
  </si>
  <si>
    <t xml:space="preserve">Talento Humano y Contabilidad</t>
  </si>
  <si>
    <t xml:space="preserve">Criterios 32.1 y 32.2 en NO</t>
  </si>
  <si>
    <t xml:space="preserve">PIC 2027 con temas contables</t>
  </si>
  <si>
    <t xml:space="preserve">CP-030</t>
  </si>
  <si>
    <t xml:space="preserve">Ampliar el mapa de riesgos a todo el ciclo contable con controles documentados.</t>
  </si>
  <si>
    <t xml:space="preserve">Contabilidad, Control Interno y OAPDI</t>
  </si>
  <si>
    <t xml:space="preserve">Criterios 29, 29.1 y 30 parciales</t>
  </si>
  <si>
    <t xml:space="preserve">Mapa de riesgos actualizado</t>
  </si>
  <si>
    <t xml:space="preserve">CP-031</t>
  </si>
  <si>
    <t xml:space="preserve">Socializar las políticas contables al personal del proceso y dejar evidencia.</t>
  </si>
  <si>
    <t xml:space="preserve">Contabilidad</t>
  </si>
  <si>
    <t xml:space="preserve">Criterios 1.1, 3.1 y 5.1 parciales</t>
  </si>
  <si>
    <t xml:space="preserve">Listas de asistencia</t>
  </si>
  <si>
    <t xml:space="preserve">CP-032</t>
  </si>
  <si>
    <t xml:space="preserve">Certificar el rezago real y planear compromisos y PAC desde el segundo semestre (límites del art. 78).</t>
  </si>
  <si>
    <t xml:space="preserve">Presupuesto y Tesorería</t>
  </si>
  <si>
    <t xml:space="preserve">Diferencias de 11,82% (funcionamiento) y 20,72% (inversión) frente a topes de 2% y 15%</t>
  </si>
  <si>
    <t xml:space="preserve">Certificación y plan de PAC</t>
  </si>
  <si>
    <t xml:space="preserve">Cálculo OAPDI, carta CLC</t>
  </si>
  <si>
    <t xml:space="preserve">CP-033</t>
  </si>
  <si>
    <t xml:space="preserve">Designar un responsable único de la certificación de publicación.</t>
  </si>
  <si>
    <t xml:space="preserve">Secretaría General y Control Interno</t>
  </si>
  <si>
    <t xml:space="preserve">El memorando y la matriz asignan responsables distintos</t>
  </si>
  <si>
    <t xml:space="preserve">Designación</t>
  </si>
  <si>
    <t xml:space="preserve">Memorando y matriz de cumplimiento</t>
  </si>
  <si>
    <t xml:space="preserve">CP-034</t>
  </si>
  <si>
    <t xml:space="preserve">Requerimiento MEN 2026-EE-355684 (PIC, PG, PFB)</t>
  </si>
  <si>
    <t xml:space="preserve">Cerrar los 18 numerales con soportes (2.1 a 2.5, 3.1, 3.2, 3.5 y plantilla HECAA 1.7-1.8).</t>
  </si>
  <si>
    <t xml:space="preserve">OAPDI consolida; cada dependencia sustenta</t>
  </si>
  <si>
    <t xml:space="preserve">4.2.1.2</t>
  </si>
  <si>
    <t xml:space="preserve">Al 28-sep-2026 faltaban soportes</t>
  </si>
  <si>
    <t xml:space="preserve">Inicio de 2027</t>
  </si>
  <si>
    <t xml:space="preserve">Matriz permanente de evidencias por dependencia</t>
  </si>
  <si>
    <t xml:space="preserve">Comunicación interna</t>
  </si>
  <si>
    <t xml:space="preserve">Insumo Hoja de Ruta ETITC 2027 requerimiento MEN 2026-EE-355684 (PIC, PG, PFB).docx</t>
  </si>
  <si>
    <t xml:space="preserve">CP-035</t>
  </si>
  <si>
    <t xml:space="preserve">Radicar la respuesta ante el MEN (número, fecha y término concedido).</t>
  </si>
  <si>
    <t xml:space="preserve">Jurídica proyecta y radica; Secretaría General en copia</t>
  </si>
  <si>
    <t xml:space="preserve">Sin evidencia de radicación</t>
  </si>
  <si>
    <t xml:space="preserve">Sugerido: (antes del cierre de 2026)</t>
  </si>
  <si>
    <t xml:space="preserve">Insumo MEN</t>
  </si>
  <si>
    <t xml:space="preserve">CP-036</t>
  </si>
  <si>
    <t xml:space="preserve">Compromiso derivado</t>
  </si>
  <si>
    <t xml:space="preserve">Adoptar el crecimiento neto de primer curso (método MEN) como indicador de meta, junto con nuevos atendidos.</t>
  </si>
  <si>
    <t xml:space="preserve">OAPDI; Registro y Control aporta la serie SNIES</t>
  </si>
  <si>
    <t xml:space="preserve">Brecha de 467 y 45 (num. 1.6)</t>
  </si>
  <si>
    <t xml:space="preserve">Indicador en el PAA 2027</t>
  </si>
  <si>
    <t xml:space="preserve">Num. 1.6</t>
  </si>
  <si>
    <t xml:space="preserve">CP-037</t>
  </si>
  <si>
    <t xml:space="preserve">Armonizar el calendario de admisiones con la asignación de recursos del MEN.</t>
  </si>
  <si>
    <t xml:space="preserve">Vicerrectoría Académica y Registro y Control</t>
  </si>
  <si>
    <t xml:space="preserve">Inconsistencia 4: ejecución del 100% con cero atendidos</t>
  </si>
  <si>
    <t xml:space="preserve">Calendario armonizado</t>
  </si>
  <si>
    <t xml:space="preserve">Res. 018970 de 2025</t>
  </si>
  <si>
    <t xml:space="preserve">CP-038</t>
  </si>
  <si>
    <t xml:space="preserve">Ejecutar la cohorte 2027-1 en La Primavera (Vichada) con 80 cupos adicionales; falta desagregar cupos por programa y el acto del Consejo Directivo.</t>
  </si>
  <si>
    <t xml:space="preserve">Vicerrectoría Académica; Presupuesto; Secretaría General</t>
  </si>
  <si>
    <t xml:space="preserve">Recursos $295.810.788 (Res. 019862)</t>
  </si>
  <si>
    <t xml:space="preserve">2027-1</t>
  </si>
  <si>
    <t xml:space="preserve">Matrícula de la cohorte y acto del Consejo Directivo</t>
  </si>
  <si>
    <t xml:space="preserve">Num. 1.4</t>
  </si>
  <si>
    <t xml:space="preserve">CP-039</t>
  </si>
  <si>
    <t xml:space="preserve">Unificar la meta PIC-ET 2025 (240 frente a 320) y decidir el corte del balance.</t>
  </si>
  <si>
    <t xml:space="preserve">Jefatura OAPDI con Vicerrectoría Académica</t>
  </si>
  <si>
    <t xml:space="preserve">Abierto</t>
  </si>
  <si>
    <t xml:space="preserve">Meta unificada</t>
  </si>
  <si>
    <t xml:space="preserve">Memorando, advertencias 1 a 3</t>
  </si>
  <si>
    <t xml:space="preserve">CP-040</t>
  </si>
  <si>
    <t xml:space="preserve">Fijar una cifra oficial única de recursos PIC.</t>
  </si>
  <si>
    <t xml:space="preserve">VAF (Presupuesto, Contratación, Tesorería)</t>
  </si>
  <si>
    <t xml:space="preserve">Inconsistencias 1 a 3 abiertas</t>
  </si>
  <si>
    <t xml:space="preserve">Certificación de cifra única</t>
  </si>
  <si>
    <t xml:space="preserve">Inconsistencias 1 a 3</t>
  </si>
  <si>
    <t xml:space="preserve">CP-041</t>
  </si>
  <si>
    <t xml:space="preserve">Cerrar el ciclo PFB 2025: licencias de pruebas psicológicas ($30.000.000), transporte ($115.200.000) y soportes de los proyectos 1 y 4.</t>
  </si>
  <si>
    <t xml:space="preserve">Bienestar, Contratación y VAF</t>
  </si>
  <si>
    <t xml:space="preserve">A21</t>
  </si>
  <si>
    <t xml:space="preserve">6.1.1.1</t>
  </si>
  <si>
    <t xml:space="preserve">Pruebas en fase precontractual; contrato de transporte no suscrito</t>
  </si>
  <si>
    <t xml:space="preserve">Contratos y soportes</t>
  </si>
  <si>
    <t xml:space="preserve">Num. 3.4 y 3.5; Anexo PFB (línea 6.1)</t>
  </si>
  <si>
    <t xml:space="preserve">CP-042</t>
  </si>
  <si>
    <t xml:space="preserve">Operar un tablero de seguimiento mensual del PFB (avance técnico por Bienestar y financiero por Planeación).</t>
  </si>
  <si>
    <t xml:space="preserve">Bienestar y OAPDI con Presupuesto</t>
  </si>
  <si>
    <t xml:space="preserve">Compromiso expresado al MEN</t>
  </si>
  <si>
    <t xml:space="preserve">Mensual 2027</t>
  </si>
  <si>
    <t xml:space="preserve">Tablero publicado</t>
  </si>
  <si>
    <t xml:space="preserve">Concepto MEN 2025-EE-237188</t>
  </si>
  <si>
    <t xml:space="preserve">CP-043</t>
  </si>
  <si>
    <t xml:space="preserve">Implementar un programa de permanencia basado en las causas de cancelación.</t>
  </si>
  <si>
    <t xml:space="preserve">Bienestar y Vicerrectoría Académica; Registro aporta datos</t>
  </si>
  <si>
    <t xml:space="preserve">6.2.1.1</t>
  </si>
  <si>
    <t xml:space="preserve">Cancelaciones 2025-2: 114</t>
  </si>
  <si>
    <t xml:space="preserve">Programa adoptado e indicadores</t>
  </si>
  <si>
    <t xml:space="preserve">Memorando §5</t>
  </si>
  <si>
    <t xml:space="preserve">CP-044</t>
  </si>
  <si>
    <t xml:space="preserve">Documentar y codificar los procedimientos de gratuidad (2.1, 2.2, 2.3, 2.5) y la relación de inversiones (2.4).</t>
  </si>
  <si>
    <t xml:space="preserve">VAF, Registro, Bienestar, Infraestructura, Contratación y Secretaría General</t>
  </si>
  <si>
    <t xml:space="preserve">0 de 5 soportes aportados al 28-sep</t>
  </si>
  <si>
    <t xml:space="preserve">Procedimientos codificados en el SGC</t>
  </si>
  <si>
    <t xml:space="preserve">Num. 2.1 a 2.5</t>
  </si>
  <si>
    <t xml:space="preserve">CP-045</t>
  </si>
  <si>
    <t xml:space="preserve">Completar el reporte SNIES en plantilla HECAA (incluidos 2022-1 y 2022-2) con certificación de veracidad.</t>
  </si>
  <si>
    <t xml:space="preserve">Registro y Control</t>
  </si>
  <si>
    <t xml:space="preserve">El dato 2022-2 (886) no tiene soporte</t>
  </si>
  <si>
    <t xml:space="preserve">Reporte y certificación</t>
  </si>
  <si>
    <t xml:space="preserve">Num. 1.7 y 1.8</t>
  </si>
  <si>
    <t xml:space="preserve">CP-046</t>
  </si>
  <si>
    <t xml:space="preserve">Verificar la consistencia de cifras entre MEN, SNIES, CGN y Congreso.</t>
  </si>
  <si>
    <t xml:space="preserve">OAPDI con Contabilidad y Registro</t>
  </si>
  <si>
    <t xml:space="preserve">No contrastado</t>
  </si>
  <si>
    <t xml:space="preserve">Acta de verificación</t>
  </si>
  <si>
    <t xml:space="preserve">Regla de verificación</t>
  </si>
  <si>
    <t xml:space="preserve">CP-047</t>
  </si>
  <si>
    <t xml:space="preserve">Habilitar un repositorio de solo lectura, accesible a cuentas externas, para soportes voluminosos.</t>
  </si>
  <si>
    <t xml:space="preserve">Oficina de Tecnologías de la Información</t>
  </si>
  <si>
    <t xml:space="preserve">A34</t>
  </si>
  <si>
    <t xml:space="preserve">Repositorio habilitado</t>
  </si>
  <si>
    <t xml:space="preserve">Comunicación interna §5</t>
  </si>
  <si>
    <t xml:space="preserve">CP-048</t>
  </si>
  <si>
    <t xml:space="preserve">Plan de Acción 2026 / Hoja de Ruta Power Apps</t>
  </si>
  <si>
    <t xml:space="preserve">Tarea candidata a prórroga</t>
  </si>
  <si>
    <t xml:space="preserve">Meta 1.4.1.1 (2 programas con cualificación internacional): sin ningún producto cerrado.</t>
  </si>
  <si>
    <t xml:space="preserve">Líder de Acreditación, Internacionalización, Vic. Académica</t>
  </si>
  <si>
    <t xml:space="preserve">A07</t>
  </si>
  <si>
    <t xml:space="preserve">1.4.1.1</t>
  </si>
  <si>
    <t xml:space="preserve">0/7 (0,00%)</t>
  </si>
  <si>
    <t xml:space="preserve">Productos reprogramados</t>
  </si>
  <si>
    <t xml:space="preserve">Informe Trimestral III, Tabla 7</t>
  </si>
  <si>
    <t xml:space="preserve">Insumo_Hoja_de_Ruta_ETITC_2027.docx (corte 02-09-2026)</t>
  </si>
  <si>
    <t xml:space="preserve">CP-049</t>
  </si>
  <si>
    <t xml:space="preserve">Metas 1.1.1.1 y 1.2.1.1 (cobertura y programas nuevos): procesos multianuales con 38 productos vencidos en la 1.2.</t>
  </si>
  <si>
    <t xml:space="preserve">Secretaría General, Vic. Académica, B-Learning</t>
  </si>
  <si>
    <t xml:space="preserve">1.1: 14,29%; 1.2: 16,44%</t>
  </si>
  <si>
    <t xml:space="preserve">CP-050</t>
  </si>
  <si>
    <t xml:space="preserve">Meta 1.3.1.1 (acreditación de programas): compromisos externos con fecha vinculante.</t>
  </si>
  <si>
    <t xml:space="preserve">Acreditación, Autoevaluación</t>
  </si>
  <si>
    <t xml:space="preserve">1.3.1.1</t>
  </si>
  <si>
    <t xml:space="preserve">3/18; 11 vencidos</t>
  </si>
  <si>
    <t xml:space="preserve">CP-051</t>
  </si>
  <si>
    <t xml:space="preserve">Línea 1.5 (formación docente: 24 doctorados, 48 maestrías, 276 en formación continuada): devolverla al concepto de formación del PDI.</t>
  </si>
  <si>
    <t xml:space="preserve">1.5.1.1</t>
  </si>
  <si>
    <t xml:space="preserve">0 de 3 productos, todos vencidos</t>
  </si>
  <si>
    <t xml:space="preserve">Plan de formación docente 2027</t>
  </si>
  <si>
    <t xml:space="preserve">CP-052</t>
  </si>
  <si>
    <t xml:space="preserve">Línea 2.3 (alianzas y meta de 4 patentes): restablecer de forma explícita la meta de patentes.</t>
  </si>
  <si>
    <t xml:space="preserve">Asesor de Innovación, VIET</t>
  </si>
  <si>
    <t xml:space="preserve">A40</t>
  </si>
  <si>
    <t xml:space="preserve">2.3.1.1</t>
  </si>
  <si>
    <t xml:space="preserve">2/20 (10,00%)</t>
  </si>
  <si>
    <t xml:space="preserve">Meta recodificada y productos</t>
  </si>
  <si>
    <t xml:space="preserve">CP-053</t>
  </si>
  <si>
    <t xml:space="preserve">Meta 2.4.1.1 (Centro de Pensamiento certificado): Semilleros en 0/23 y 11 productos vencidos.</t>
  </si>
  <si>
    <t xml:space="preserve">Semilleros, Centro de Pensamiento</t>
  </si>
  <si>
    <t xml:space="preserve">A39</t>
  </si>
  <si>
    <t xml:space="preserve">2.4.1.1</t>
  </si>
  <si>
    <t xml:space="preserve">13/42 (30,95%)</t>
  </si>
  <si>
    <t xml:space="preserve">CP-054</t>
  </si>
  <si>
    <t xml:space="preserve">Metas 4.1.1.1 y 4.1.1.3 (90% del PDI; acreditación institucional): Autoevaluación con 32 vencidos.</t>
  </si>
  <si>
    <t xml:space="preserve">Autoevaluación, Planeación</t>
  </si>
  <si>
    <t xml:space="preserve">4.1.1.3</t>
  </si>
  <si>
    <t xml:space="preserve">0/4 y 1/8</t>
  </si>
  <si>
    <t xml:space="preserve">CP-055</t>
  </si>
  <si>
    <t xml:space="preserve">Línea 4.2 (sistema de información estratégico; estructura 100% operando): frente más débil del eje 4.</t>
  </si>
  <si>
    <t xml:space="preserve">Gestión de Proyectos, Arquitectura Institucional</t>
  </si>
  <si>
    <t xml:space="preserve">A06</t>
  </si>
  <si>
    <t xml:space="preserve">1/16 (6,25%)</t>
  </si>
  <si>
    <t xml:space="preserve">CP-056</t>
  </si>
  <si>
    <t xml:space="preserve">Metas 4.3.1.1 y 4.4.1.1 (comunidad educativa; Top of Mind): volumen alto y rezago acumulado.</t>
  </si>
  <si>
    <t xml:space="preserve">Autoevaluación, Comunicaciones</t>
  </si>
  <si>
    <t xml:space="preserve">A02</t>
  </si>
  <si>
    <t xml:space="preserve">4.4.1.1</t>
  </si>
  <si>
    <t xml:space="preserve">4.3: 27,78%; 4.4: 19,05%</t>
  </si>
  <si>
    <t xml:space="preserve">CP-057</t>
  </si>
  <si>
    <t xml:space="preserve">Línea 5.1 (Calle 18, Ecoparque, Guaymaral): depende de decisiones de proyecto y presupuesto.</t>
  </si>
  <si>
    <t xml:space="preserve">Planeación, Arquitectura</t>
  </si>
  <si>
    <t xml:space="preserve">A31</t>
  </si>
  <si>
    <t xml:space="preserve">5.1.1.1</t>
  </si>
  <si>
    <t xml:space="preserve">0/13 (0,00%)</t>
  </si>
  <si>
    <t xml:space="preserve">CP-058</t>
  </si>
  <si>
    <t xml:space="preserve">Meta 5.4.1.1 (talleres y laboratorios vía convenios): productos nuevos con plazos en el IV trimestre.</t>
  </si>
  <si>
    <t xml:space="preserve">Apoyo a la Contratación, Mesa de Ayuda, GTI</t>
  </si>
  <si>
    <t xml:space="preserve">5.4.1.1</t>
  </si>
  <si>
    <t xml:space="preserve">0/34 (0,00%)</t>
  </si>
  <si>
    <t xml:space="preserve">CP-059</t>
  </si>
  <si>
    <t xml:space="preserve">Metas 5.2.1.2 y 5.2.1.3 (talleres actualizados; reposición de computadores): cartera heredada.</t>
  </si>
  <si>
    <t xml:space="preserve">Infraestructura, Talleres y Laboratorios, GTI</t>
  </si>
  <si>
    <t xml:space="preserve">5.2.1.2</t>
  </si>
  <si>
    <t xml:space="preserve">Línea 5.2: 20,00%</t>
  </si>
  <si>
    <t xml:space="preserve">CP-060</t>
  </si>
  <si>
    <t xml:space="preserve">Decisión de Alta Dirección</t>
  </si>
  <si>
    <t xml:space="preserve">Decidir en el CIGD la formulación de las líneas 3.1, 5.3 y 6.1, que siguen sin productos (la 5.3 acumula dos vigencias).</t>
  </si>
  <si>
    <t xml:space="preserve">Alta Dirección / CIGD; VAF para la 5.3</t>
  </si>
  <si>
    <t xml:space="preserve">Acta del CIGD</t>
  </si>
  <si>
    <t xml:space="preserve">Informe Trimestral III</t>
  </si>
  <si>
    <t xml:space="preserve">CP-061</t>
  </si>
  <si>
    <t xml:space="preserve">Metas 6.2.1.1 y 6.3.1.1 (Plan de Bienestar; rankings THE/QS).</t>
  </si>
  <si>
    <t xml:space="preserve">Bienestar Universitario</t>
  </si>
  <si>
    <t xml:space="preserve">6.2: 6,90%; 6.3: 0/2</t>
  </si>
  <si>
    <t xml:space="preserve">CP-062</t>
  </si>
  <si>
    <t xml:space="preserve">Adoptar el protocolo de mesas de trabajo en el SGC para no repetir la caída del II trimestre.</t>
  </si>
  <si>
    <t xml:space="preserve">OAPDI</t>
  </si>
  <si>
    <t xml:space="preserve">4.1.1.1</t>
  </si>
  <si>
    <t xml:space="preserve">Pendiente (plazo 31 de octubre de 2026)</t>
  </si>
  <si>
    <t xml:space="preserve">Procedimiento adoptado</t>
  </si>
  <si>
    <t xml:space="preserve">CP-063</t>
  </si>
  <si>
    <t xml:space="preserve">Extender la revisión de pertinencia a todos los productos ejecutados de 2026.</t>
  </si>
  <si>
    <t xml:space="preserve">102 revisados (83 aprobados, 19 con ajuste)</t>
  </si>
  <si>
    <t xml:space="preserve">Cierre 2026 / inicio 2027</t>
  </si>
  <si>
    <t xml:space="preserve">Matriz de aprobación</t>
  </si>
  <si>
    <t xml:space="preserve">CP-064</t>
  </si>
  <si>
    <t xml:space="preserve">Estudio de impacto 2027</t>
  </si>
  <si>
    <t xml:space="preserve">Iniciar el estudio de impacto de Egresados (primero de la ruta de 8 estudios).</t>
  </si>
  <si>
    <t xml:space="preserve">Proceso de Egresados; OAPDI con analítica de datos</t>
  </si>
  <si>
    <t xml:space="preserve">A43</t>
  </si>
  <si>
    <t xml:space="preserve">Formulado; ratificación en CIGD por verificar</t>
  </si>
  <si>
    <t xml:space="preserve">Diseño del estudio aprobado</t>
  </si>
  <si>
    <t xml:space="preserve">Informe Trimestral III, Tabla 27</t>
  </si>
  <si>
    <t xml:space="preserve">CP-065</t>
  </si>
  <si>
    <t xml:space="preserve">Iniciar el estudio de impacto de Internacionalización y cooperación.</t>
  </si>
  <si>
    <t xml:space="preserve">Internacionalización; OAPDI</t>
  </si>
  <si>
    <t xml:space="preserve">A03</t>
  </si>
  <si>
    <t xml:space="preserve">4.4.1.2</t>
  </si>
  <si>
    <t xml:space="preserve">Formulado</t>
  </si>
  <si>
    <t xml:space="preserve">CP-066</t>
  </si>
  <si>
    <t xml:space="preserve">Iniciar el estudio de impacto de Investigación (convocatoria de proyectos de interés institucional).</t>
  </si>
  <si>
    <t xml:space="preserve">Vicerrectoría de Investigación</t>
  </si>
  <si>
    <t xml:space="preserve">2.1.1.1</t>
  </si>
  <si>
    <t xml:space="preserve">Convocatoria y diseño del estudio</t>
  </si>
  <si>
    <t xml:space="preserve">CP-067</t>
  </si>
  <si>
    <t xml:space="preserve">Iniciar el estudio de impacto de servicios de bienestar y políticas académicas.</t>
  </si>
  <si>
    <t xml:space="preserve">Vicerrectoría Académica y Bienestar; OAPDI</t>
  </si>
  <si>
    <t xml:space="preserve">CP-068</t>
  </si>
  <si>
    <t xml:space="preserve">Acta CIGD 6-2026 (07-10-2026) — Gestión energética</t>
  </si>
  <si>
    <t xml:space="preserve">Compromiso de comité</t>
  </si>
  <si>
    <t xml:space="preserve">Tramitar la modificación al contrato vigente para elaborar el avance parcial del PGEE (bloques F, G y H de la sede Centro) y apoyar el cargue de la información en el Sistema Único de Usuarios de la UPME.</t>
  </si>
  <si>
    <t xml:space="preserve">Gestión Ambiental; Oficina de Contratación</t>
  </si>
  <si>
    <t xml:space="preserve">A10</t>
  </si>
  <si>
    <t xml:space="preserve">6.1.1.2</t>
  </si>
  <si>
    <t xml:space="preserve">Aprobado por el CIGD; en trámite en la vigencia 2026</t>
  </si>
  <si>
    <t xml:space="preserve">Sugerido: (recibo a satisfacción de los 5 productos a más tardar en el I trimestre de 2027)</t>
  </si>
  <si>
    <t xml:space="preserve">5 productos del avance parcial</t>
  </si>
  <si>
    <t xml:space="preserve">Res. MinEnergía 40412 de 2024</t>
  </si>
  <si>
    <t xml:space="preserve">Acta_de_Reunion_CIGD_6_2026_-_Borrador2_1.docx (punto 5 y numeral 4.2)</t>
  </si>
  <si>
    <t xml:space="preserve">CP-069</t>
  </si>
  <si>
    <t xml:space="preserve">Formalizar la designación de Juan David Fonseca, Profesional de Gestión de Infraestructura Eléctrica, como Gestor Energético Institucional (revisable para 2027).</t>
  </si>
  <si>
    <t xml:space="preserve">OAPDI; Gestión Ambiental</t>
  </si>
  <si>
    <t xml:space="preserve">Aprobada por el CIGD el 07-10-2026; acto formal en la vigencia 2026</t>
  </si>
  <si>
    <t xml:space="preserve">Sugerido: (ratificación o nueva designación en enero de 2027)</t>
  </si>
  <si>
    <t xml:space="preserve">Acta, circular o acto de designación</t>
  </si>
  <si>
    <t xml:space="preserve">Res. 40412 de 2024, art. 4, parágrafo 3</t>
  </si>
  <si>
    <t xml:space="preserve">CP-070</t>
  </si>
  <si>
    <t xml:space="preserve">Programar la auditoría energética integral, el PGEE y la Política de Gestión Energética para toda la sede Centro, como consultoría con interventoría.</t>
  </si>
  <si>
    <t xml:space="preserve">Gestión Ambiental; Oficina de Contratación; OAPDI</t>
  </si>
  <si>
    <t xml:space="preserve">Programado para la vigencia 2027</t>
  </si>
  <si>
    <t xml:space="preserve">Sugerido: (contratación en el I semestre; PGEE y política adoptados en el II semestre de 2027)</t>
  </si>
  <si>
    <t xml:space="preserve">Contratos, informe de auditoría, PGEE y política adoptados</t>
  </si>
  <si>
    <t xml:space="preserve">Ley 697 de 2001; Ley 2294 de 2023, art. 237; Res. 40412 de 2024</t>
  </si>
  <si>
    <t xml:space="preserve">CP-071</t>
  </si>
  <si>
    <t xml:space="preserve">Construir la línea base de consumo energético con la carga previa a la obra de infraestructura y comparar en consumo (kWh), no en costo.</t>
  </si>
  <si>
    <t xml:space="preserve">Gestión Ambiental; Gestión de Infraestructura Eléctrica</t>
  </si>
  <si>
    <t xml:space="preserve">Vigencia 2026</t>
  </si>
  <si>
    <t xml:space="preserve">Sugerido: (validada dentro del PGEE en 2027)</t>
  </si>
  <si>
    <t xml:space="preserve">Documento de línea base e indicadores</t>
  </si>
  <si>
    <t xml:space="preserve">Res. UPME 000016 de 2024</t>
  </si>
  <si>
    <t xml:space="preserve">CP-072</t>
  </si>
  <si>
    <t xml:space="preserve">Revisar la política ambiental, reactivar los comités previstos y diseñar la campaña institucional de uso racional de la energía y del agua.</t>
  </si>
  <si>
    <t xml:space="preserve">Gestión Ambiental; Gestión de Comunicaciones</t>
  </si>
  <si>
    <t xml:space="preserve">Fecha por definir en el acta</t>
  </si>
  <si>
    <t xml:space="preserve">Sugerido: (política y comité en el I trimestre; campaña desde 2027-1)</t>
  </si>
  <si>
    <t xml:space="preserve">Política revisada, actas de comité y piezas de campaña</t>
  </si>
  <si>
    <t xml:space="preserve">Política ambiental institucional</t>
  </si>
  <si>
    <t xml:space="preserve">CP-073</t>
  </si>
  <si>
    <t xml:space="preserve">Incorporar criterios de eficiencia energética en la planeación 2027, incluidas las nuevas sedes (Fusagasugá) y las modificaciones estructurales previstas.</t>
  </si>
  <si>
    <t xml:space="preserve">OAPDI; Planta Física</t>
  </si>
  <si>
    <t xml:space="preserve">Para la jornada de planeación de noviembre de 2026</t>
  </si>
  <si>
    <t xml:space="preserve">2027 (estudios y diseños de sedes y reforzamiento)</t>
  </si>
  <si>
    <t xml:space="preserve">Criterios en términos de referencia y diseños</t>
  </si>
  <si>
    <t xml:space="preserve">Acta CIGD 6-2026, punto 5</t>
  </si>
  <si>
    <t xml:space="preserve">CP-074</t>
  </si>
  <si>
    <t xml:space="preserve">Reportar cada año a la UPME los resultados de la gestión energética (línea base, medidas y ahorro) en el Sistema Único de Usuarios.</t>
  </si>
  <si>
    <t xml:space="preserve">Gestión Ambiental; Gestor Energético</t>
  </si>
  <si>
    <t xml:space="preserve">Incumplido a la fecha según el acta</t>
  </si>
  <si>
    <t xml:space="preserve">Sugerido: (primer reporte completo en 2027)</t>
  </si>
  <si>
    <t xml:space="preserve">Reporte radicado en el SUU</t>
  </si>
  <si>
    <t xml:space="preserve">Ley 2294 de 2023, art. 237; Circular UPME 000089 de 2025</t>
  </si>
  <si>
    <t xml:space="preserve">Buscador por área funcional y formulación de acciones adicionales 2027</t>
  </si>
  <si>
    <t xml:space="preserve">1) Seleccione su área en la celda amarilla: la tabla muestra las metas que la OAPDI le asignó y lo que debe aportar en 2027. 2) Formule esas acciones en la hoja del eje indicada. 3) Si necesita acciones adicionales, regístrelas en la sección inferior.</t>
  </si>
  <si>
    <t xml:space="preserve">Área funcional:</t>
  </si>
  <si>
    <t xml:space="preserve">A27 · IBTI (124)</t>
  </si>
  <si>
    <t xml:space="preserve">Dependencia:</t>
  </si>
  <si>
    <t xml:space="preserve">Metas asignadas:</t>
  </si>
  <si>
    <t xml:space="preserve">Proceso:</t>
  </si>
  <si>
    <t xml:space="preserve">Compromisos 2026:</t>
  </si>
  <si>
    <t xml:space="preserve">N.°</t>
  </si>
  <si>
    <t xml:space="preserve">Id asignación</t>
  </si>
  <si>
    <t xml:space="preserve">Código meta</t>
  </si>
  <si>
    <t xml:space="preserve">Meta estratégica (PDI)</t>
  </si>
  <si>
    <t xml:space="preserve">Meta institucional 2027</t>
  </si>
  <si>
    <t xml:space="preserve">Aporte esperado del área 2027</t>
  </si>
  <si>
    <t xml:space="preserve">Productos 2026</t>
  </si>
  <si>
    <t xml:space="preserve">Pendientes 2026</t>
  </si>
  <si>
    <t xml:space="preserve">Indicadores de impacto sugeridos</t>
  </si>
  <si>
    <t xml:space="preserve">Formular en la hoja</t>
  </si>
  <si>
    <t xml:space="preserve">Compromisos de proyectos</t>
  </si>
  <si>
    <t xml:space="preserve">Compromiso pendiente 2026</t>
  </si>
  <si>
    <t xml:space="preserve">Meta PDI</t>
  </si>
  <si>
    <t xml:space="preserve">La decisión sobre cada compromiso se registra en la hoja Compromisos_2026.</t>
  </si>
  <si>
    <t xml:space="preserve">ACCIONES ADICIONALES DEL ÁREA (diligenciar)</t>
  </si>
  <si>
    <t xml:space="preserve">Área funcional (lista)</t>
  </si>
  <si>
    <t xml:space="preserve">Código de meta PDI (lista)</t>
  </si>
  <si>
    <t xml:space="preserve">Línea</t>
  </si>
  <si>
    <t xml:space="preserve">Origen de la acción</t>
  </si>
  <si>
    <t xml:space="preserve">Descripción de la acción</t>
  </si>
  <si>
    <t xml:space="preserve">Fecha de inicio (dd/mm/aaaa)</t>
  </si>
  <si>
    <t xml:space="preserve">Fecha de fin (dd/mm/aaaa)</t>
  </si>
  <si>
    <t xml:space="preserve">Responsable (correo institucional)</t>
  </si>
  <si>
    <t xml:space="preserve">Indicador de seguimiento</t>
  </si>
  <si>
    <t xml:space="preserve">Meta 2027 de la acción</t>
  </si>
  <si>
    <t xml:space="preserve">Unidad de medida</t>
  </si>
  <si>
    <t xml:space="preserve">Dimensión de impacto</t>
  </si>
  <si>
    <t xml:space="preserve">Indicador de impacto (Guía Metodológica)</t>
  </si>
  <si>
    <t xml:space="preserve">Categoría de impacto (automática)</t>
  </si>
  <si>
    <t xml:space="preserve">¿Retoma un compromiso pendiente 2026?</t>
  </si>
  <si>
    <t xml:space="preserve">Alerta de consistencia</t>
  </si>
  <si>
    <t xml:space="preserve">Eje estratégico 1. Formación y pedagogía de calidad — Formulación del Plan de Acción 2027</t>
  </si>
  <si>
    <t xml:space="preserve">Objetivo estratégico del eje: Consolidar a la ETITC como un referente educativo de excelencia, ampliando su oferta académica y garantizando la calidad en todos sus programas mediante una actualización continua y una estrecha vinculación con el entorno.</t>
  </si>
  <si>
    <t xml:space="preserve">Columnas grises: base definida por la OAPDI (no modificar). Columnas amarillas: las diligencia el área responsable, una acción por fila. Si necesita formular más acciones para una meta, use la hoja Buscador_Formulacion.</t>
  </si>
  <si>
    <t xml:space="preserve">BASE DEFINIDA POR LA OAPDI</t>
  </si>
  <si>
    <t xml:space="preserve">FORMULACIÓN DEL ÁREA RESPONSABLE</t>
  </si>
  <si>
    <t xml:space="preserve">CONTROL</t>
  </si>
  <si>
    <t xml:space="preserve">Indicador de la meta</t>
  </si>
  <si>
    <t xml:space="preserve">Meta 2032</t>
  </si>
  <si>
    <t xml:space="preserve">Id área</t>
  </si>
  <si>
    <t xml:space="preserve">Proceso</t>
  </si>
  <si>
    <t xml:space="preserve">Productos 2026 (sábana vigente)</t>
  </si>
  <si>
    <t xml:space="preserve">Compromisos de proyectos estructurantes</t>
  </si>
  <si>
    <t xml:space="preserve">Eje estratégico 2. Investigación y producción técnico-científica — Formulación del Plan de Acción 2027</t>
  </si>
  <si>
    <t xml:space="preserve">Objetivo estratégico del eje: Generar y fortalecer las capacidades técnico científica y de innovación de la ETITC mediante la consolidación de la investigación aplicada, la generación de alianzas estratégicas y la integración de la innovación con la formación académica.</t>
  </si>
  <si>
    <t xml:space="preserve">Eje estratégico 3. Extensión y proyección institucional — Formulación del Plan de Acción 2027</t>
  </si>
  <si>
    <t xml:space="preserve">Objetivo estratégico del eje: Ofrecer programas y servicios innovadores y de alta calidad que respondan eficazmente a las necesidades del sector productivo y social, promoviendo su bienestar y su desarrollo sostenible.</t>
  </si>
  <si>
    <t xml:space="preserve">Eje estratégico 4. Transformación institucional — Formulación del Plan de Acción 2027</t>
  </si>
  <si>
    <t xml:space="preserve">Objetivo estratégico del eje: Pensar la ETITC mediante el desarrollo de sus horizontes de sentido, para que la comunidad contribuya en la transformación de vida de los integrantes de la institución, la sociedad y el planeta.</t>
  </si>
  <si>
    <t xml:space="preserve">Eje estratégico 5. Ampliación y modernización de la infraestructura — Formulación del Plan de Acción 2027</t>
  </si>
  <si>
    <t xml:space="preserve">Objetivo estratégico del eje: Proveer la infraestructura física y tecnológica necesaria para la calidad en la oferta educativa.</t>
  </si>
  <si>
    <t xml:space="preserve">Eje estratégico 6. Cuidado por el bienestar y la vida — Formulación del Plan de Acción 2027</t>
  </si>
  <si>
    <t xml:space="preserve">Objetivo estratégico del eje: Consolidar una cultura institucional de autocuidado, cuidado del otro, cuidado del ambiente, garantizando espacios seguros, inclusivos y sostenibles para la construcción de un bienestar integral, personal y colectivo.</t>
  </si>
  <si>
    <t xml:space="preserve">Base de metas por área funcional — PAA 2027 (la imparte la OAPDI)</t>
  </si>
  <si>
    <t xml:space="preserve">Cada fila asigna una meta del PDI a un área responsable. Las áreas con productos 2026 en la meta quedan asignadas automáticamente; las metas sin productos llevan una asignación propuesta que la OAPDI debe validar. La OAPDI diligencia la columna Q (aporte esperado del área en 2027); la meta institucional 2027 se diligencia en Catalogos!I.</t>
  </si>
  <si>
    <t xml:space="preserve">Origen de la asignación</t>
  </si>
  <si>
    <t xml:space="preserve">Ejecutados 2026</t>
  </si>
  <si>
    <t xml:space="preserve">Pendientes 2026 (vencidos + planeados)</t>
  </si>
  <si>
    <t xml:space="preserve">Aporte esperado del área en 2027 (sugerencia automática; la OAPDI puede reemplazarla)</t>
  </si>
  <si>
    <t xml:space="preserve">Hoja donde se formula</t>
  </si>
  <si>
    <t xml:space="preserve">Aux. buscador</t>
  </si>
  <si>
    <t xml:space="preserve">E1-001</t>
  </si>
  <si>
    <t xml:space="preserve">Formación y pedagogía de calidad</t>
  </si>
  <si>
    <t xml:space="preserve">1.1 Ampliación de cobertura</t>
  </si>
  <si>
    <t xml:space="preserve">Contar con 11.000 estudiantes vinculados a programas de educación superior al 2032.</t>
  </si>
  <si>
    <t xml:space="preserve">N.° de estudiantes matriculados en programas de educación superior (SNIES)</t>
  </si>
  <si>
    <t xml:space="preserve">11.000 estudiantes</t>
  </si>
  <si>
    <t xml:space="preserve">5.400 estudiantes</t>
  </si>
  <si>
    <t xml:space="preserve">100 · Rectoría</t>
  </si>
  <si>
    <t xml:space="preserve">Comunicaciones y Mercadeo</t>
  </si>
  <si>
    <t xml:space="preserve">Gestión de Comunicaciones</t>
  </si>
  <si>
    <t xml:space="preserve">Responsable en el PAA 2026</t>
  </si>
  <si>
    <t xml:space="preserve">Formular al menos una acción que contribuya a la meta institucional 2027 de esta meta.</t>
  </si>
  <si>
    <t xml:space="preserve">IMP-12; IMP-13</t>
  </si>
  <si>
    <t xml:space="preserve">Eje1_Formacion</t>
  </si>
  <si>
    <t xml:space="preserve">E1-002</t>
  </si>
  <si>
    <t xml:space="preserve">101 · Oficina Asesora de Planeación y Desarrollo Institucional</t>
  </si>
  <si>
    <t xml:space="preserve">Planeación y Plan de Acción</t>
  </si>
  <si>
    <t xml:space="preserve">Direccionamiento Institucional</t>
  </si>
  <si>
    <t xml:space="preserve">Acciones propuestas por la OAPDI (valídelas y formúlelas en esta fila o en Acciones adicionales): A27-001 Adoptar el crecimiento neto de primer curso como indicador de meta, junto con nuevos atendidos. Cerrar o reprogramar 2 producto(s) 2026 pendiente(s) de esta meta. Atender 2 compromiso(s) de proyectos estructurantes (hoja Compromisos_2026).</t>
  </si>
  <si>
    <t xml:space="preserve">E1-003</t>
  </si>
  <si>
    <t xml:space="preserve">Gestión de Proyectos</t>
  </si>
  <si>
    <t xml:space="preserve">Cerrar o reprogramar 1 producto(s) 2026 pendiente(s) de esta meta.</t>
  </si>
  <si>
    <t xml:space="preserve">E1-004</t>
  </si>
  <si>
    <t xml:space="preserve">Autoevaluación y Acreditación</t>
  </si>
  <si>
    <t xml:space="preserve">Gestión del Sistema Integrado de Aseguramiento</t>
  </si>
  <si>
    <t xml:space="preserve">E1-005</t>
  </si>
  <si>
    <t xml:space="preserve">130 · Vicerrectoría Administrativa y Financiera</t>
  </si>
  <si>
    <t xml:space="preserve">Contratación y Adquisiciones</t>
  </si>
  <si>
    <t xml:space="preserve">Gestión de Adquisiciones</t>
  </si>
  <si>
    <t xml:space="preserve">E1-006</t>
  </si>
  <si>
    <t xml:space="preserve">120 · Vicerrectoría Académica</t>
  </si>
  <si>
    <t xml:space="preserve">Despacho de la Vicerrectoría Académica</t>
  </si>
  <si>
    <t xml:space="preserve">Docencia PES</t>
  </si>
  <si>
    <t xml:space="preserve">Acciones propuestas por la OAPDI (valídelas y formúlelas en esta fila o en Acciones adicionales): A27-003 Concentrar cupos en programas con demanda creciente y revisar la oferta de programas en descenso; A27-004 Ejecutar la cohorte 2027-1 en La Primavera (Vichada) con 80 cupos adicionales. Cerrar o reprogramar 5 producto(s) 2026 pendiente(s) de esta meta. Atender 4 compromiso(s) de proyectos estructurantes (hoja Compromisos_2026).</t>
  </si>
  <si>
    <t xml:space="preserve">E1-007</t>
  </si>
  <si>
    <t xml:space="preserve">A23</t>
  </si>
  <si>
    <t xml:space="preserve">123 · Facultades</t>
  </si>
  <si>
    <t xml:space="preserve">Facultad de Mecánica</t>
  </si>
  <si>
    <t xml:space="preserve">E1-008</t>
  </si>
  <si>
    <t xml:space="preserve">Despacho de la Vicerrectoría Administrativa y Financiera</t>
  </si>
  <si>
    <t xml:space="preserve">Gestión Financiera</t>
  </si>
  <si>
    <t xml:space="preserve">E1-009</t>
  </si>
  <si>
    <t xml:space="preserve">126 · GIT Registro y Control</t>
  </si>
  <si>
    <t xml:space="preserve">GIT Registro, Control y Admisiones</t>
  </si>
  <si>
    <t xml:space="preserve">Compromiso de proyecto estructurante</t>
  </si>
  <si>
    <t xml:space="preserve">Acciones propuestas por la OAPDI (valídelas y formúlelas en esta fila o en Acciones adicionales): A27-002 Armonizar el calendario de admisiones con la asignación de recursos del MEN. Atender 3 compromiso(s) de proyectos estructurantes (hoja Compromisos_2026).</t>
  </si>
  <si>
    <t xml:space="preserve">E1-010</t>
  </si>
  <si>
    <t xml:space="preserve">Gestión Financiera (Presupuesto, Contabilidad, Tesorería)</t>
  </si>
  <si>
    <t xml:space="preserve">Atender 1 compromiso(s) de proyectos estructurantes (hoja Compromisos_2026).</t>
  </si>
  <si>
    <t xml:space="preserve">E1-011</t>
  </si>
  <si>
    <t xml:space="preserve">141 · GIT Extensión y Proyección Social</t>
  </si>
  <si>
    <t xml:space="preserve">Egresados y Bolsa de Empleo</t>
  </si>
  <si>
    <t xml:space="preserve">Egresados</t>
  </si>
  <si>
    <t xml:space="preserve">Acciones propuestas por la OAPDI (valídelas y formúlelas en esta fila o en Acciones adicionales): A27-006 Iniciar el estudio de impacto de Egresados. Atender 1 compromiso(s) de proyectos estructurantes (hoja Compromisos_2026).</t>
  </si>
  <si>
    <t xml:space="preserve">E1-012</t>
  </si>
  <si>
    <t xml:space="preserve">A45</t>
  </si>
  <si>
    <t xml:space="preserve">Sedes Tintal / Soacha-UPK / Viotá</t>
  </si>
  <si>
    <t xml:space="preserve">Acción propuesta PAA 2027</t>
  </si>
  <si>
    <t xml:space="preserve">Acciones propuestas por la OAPDI (valídelas y formúlelas en esta fila o en Acciones adicionales): A27-005 Ofertar y matricular en Zipaquirá bajo lugares de desarrollo transitorios.</t>
  </si>
  <si>
    <t xml:space="preserve">E1-013</t>
  </si>
  <si>
    <t xml:space="preserve">1.1.1.2</t>
  </si>
  <si>
    <t xml:space="preserve">Lograr que el 30% de los estudiantes del IBTI pasen a la educación superior de la ETITC.</t>
  </si>
  <si>
    <t xml:space="preserve">N.° y % de egresados del IBTI matriculados en programas de la ETITC</t>
  </si>
  <si>
    <t xml:space="preserve">30% (MPI: 250 estudiantes en 2032)</t>
  </si>
  <si>
    <t xml:space="preserve">40 estudiantes</t>
  </si>
  <si>
    <t xml:space="preserve">Cerrar o reprogramar 2 producto(s) 2026 pendiente(s) de esta meta.</t>
  </si>
  <si>
    <t xml:space="preserve">IMP-12; IMP-06</t>
  </si>
  <si>
    <t xml:space="preserve">E1-014</t>
  </si>
  <si>
    <t xml:space="preserve">E1-015</t>
  </si>
  <si>
    <t xml:space="preserve">Acciones propuestas por la OAPDI (valídelas y formúlelas en esta fila o en Acciones adicionales): A27-007 Alinear los currículos del IBTI con los programas técnicos profesionales por ciclos propedéuticos. Cerrar o reprogramar 1 producto(s) 2026 pendiente(s) de esta meta.</t>
  </si>
  <si>
    <t xml:space="preserve">E1-016</t>
  </si>
  <si>
    <t xml:space="preserve">122 · GIT Bienestar Universitario</t>
  </si>
  <si>
    <t xml:space="preserve">GIT Bienestar Universitario</t>
  </si>
  <si>
    <t xml:space="preserve">Gestión de Bienestar Universitario</t>
  </si>
  <si>
    <t xml:space="preserve">E1-017</t>
  </si>
  <si>
    <t xml:space="preserve">A22</t>
  </si>
  <si>
    <t xml:space="preserve">Facultad de Electromecánica</t>
  </si>
  <si>
    <t xml:space="preserve">E1-018</t>
  </si>
  <si>
    <t xml:space="preserve">E1-019</t>
  </si>
  <si>
    <t xml:space="preserve">A24</t>
  </si>
  <si>
    <t xml:space="preserve">Facultad de Mecatrónica</t>
  </si>
  <si>
    <t xml:space="preserve">E1-020</t>
  </si>
  <si>
    <t xml:space="preserve">A25</t>
  </si>
  <si>
    <t xml:space="preserve">Facultad de Procesos Industriales</t>
  </si>
  <si>
    <t xml:space="preserve">E1-021</t>
  </si>
  <si>
    <t xml:space="preserve">A26</t>
  </si>
  <si>
    <t xml:space="preserve">Facultad de Sistemas</t>
  </si>
  <si>
    <t xml:space="preserve">E1-022</t>
  </si>
  <si>
    <t xml:space="preserve">A27</t>
  </si>
  <si>
    <t xml:space="preserve">124 · Instituto de Bachillerato Técnico Industrial (IBTI)</t>
  </si>
  <si>
    <t xml:space="preserve">IBTI</t>
  </si>
  <si>
    <t xml:space="preserve">Docencia IBTI</t>
  </si>
  <si>
    <t xml:space="preserve">Acciones propuestas por la OAPDI (valídelas y formúlelas en esta fila o en Acciones adicionales): A27-008 Implementar la ruta de admisión y tránsito IBTI → educación superior. Cerrar o reprogramar 1 producto(s) 2026 pendiente(s) de esta meta.</t>
  </si>
  <si>
    <t xml:space="preserve">E1-023</t>
  </si>
  <si>
    <t xml:space="preserve">Acciones propuestas por la OAPDI (valídelas y formúlelas en esta fila o en Acciones adicionales): A27-009 Hacer seguimiento a la cohorte que transita y a su permanencia en el primer año. Cerrar o reprogramar 1 producto(s) 2026 pendiente(s) de esta meta.</t>
  </si>
  <si>
    <t xml:space="preserve">E1-024</t>
  </si>
  <si>
    <t xml:space="preserve">132 · GIT Gestión de Informática y Telecomunicaciones</t>
  </si>
  <si>
    <t xml:space="preserve">GIT Informática y Telecomunicaciones</t>
  </si>
  <si>
    <t xml:space="preserve">Gestión de Informática y Telecomunicaciones</t>
  </si>
  <si>
    <t xml:space="preserve">E1-025</t>
  </si>
  <si>
    <t xml:space="preserve">1.2 Oferta educativa</t>
  </si>
  <si>
    <t xml:space="preserve">Ofrecer programas de educación superior: 5 pregrados nuevos, 3 especializaciones y 3 maestrías.</t>
  </si>
  <si>
    <t xml:space="preserve">N.° de programas nuevos con registro calificado y ofertados, por nivel</t>
  </si>
  <si>
    <t xml:space="preserve">5 pregrados, 3 especializaciones, 3 maestrías</t>
  </si>
  <si>
    <t xml:space="preserve">Pregrado: 3 documentos maestros, 2 programas con registro calificado y 2 ofertados desde el II semestre. Posgrado: 2 especializaciones y 2 maestrías ofertadas en el II semestre.</t>
  </si>
  <si>
    <t xml:space="preserve">Cerrar o reprogramar 9 producto(s) 2026 pendiente(s) de esta meta.</t>
  </si>
  <si>
    <t xml:space="preserve">IMP-13; IMP-11</t>
  </si>
  <si>
    <t xml:space="preserve">E1-026</t>
  </si>
  <si>
    <t xml:space="preserve">Aseguramiento de la Calidad, MIPG y Registros Calificados</t>
  </si>
  <si>
    <t xml:space="preserve">Acciones propuestas por la OAPDI (valídelas y formúlelas en esta fila o en Acciones adicionales): A27-014 Tramitar la modificación del lugar de desarrollo de los programas de IA si se ofrecerán en Zipaquirá. Cerrar o reprogramar 8 producto(s) 2026 pendiente(s) de esta meta. Atender 1 compromiso(s) de proyectos estructurantes (hoja Compromisos_2026).</t>
  </si>
  <si>
    <t xml:space="preserve">E1-027</t>
  </si>
  <si>
    <t xml:space="preserve">110 · Secretaría General</t>
  </si>
  <si>
    <t xml:space="preserve">Despacho de Secretaría General</t>
  </si>
  <si>
    <t xml:space="preserve">Cerrar o reprogramar 10 producto(s) 2026 pendiente(s) de esta meta.</t>
  </si>
  <si>
    <t xml:space="preserve">E1-028</t>
  </si>
  <si>
    <t xml:space="preserve">Acciones propuestas por la OAPDI (valídelas y formúlelas en esta fila o en Acciones adicionales): A27-010 Reprogramar los productos 2026 vencidos de la meta (38 al 02-09-2026); A27-011 Elaborar los documentos maestros de 3 programas de pregrado; A27-013 Obtener registro calificado de Ingeniería en IA, Ingeniería Robótica con IA y Especialización en Soluciones de IA. Cerrar o reprogramar 2 producto(s) 2026 pendiente(s) de esta meta. Atender 2 compromiso(s) de proyectos estructurantes (hoja Compromisos_2026).</t>
  </si>
  <si>
    <t xml:space="preserve">E1-029</t>
  </si>
  <si>
    <t xml:space="preserve">A16</t>
  </si>
  <si>
    <t xml:space="preserve">Coordinación de Especializaciones</t>
  </si>
  <si>
    <t xml:space="preserve">Acciones propuestas por la OAPDI (valídelas y formúlelas en esta fila o en Acciones adicionales): A27-015 Ofertar 2 especializaciones y 2 maestrías en el II semestre. Cerrar o reprogramar 5 producto(s) 2026 pendiente(s) de esta meta.</t>
  </si>
  <si>
    <t xml:space="preserve">E1-030</t>
  </si>
  <si>
    <t xml:space="preserve">A17</t>
  </si>
  <si>
    <t xml:space="preserve">Unidad B-Learning</t>
  </si>
  <si>
    <t xml:space="preserve">Cerrar o reprogramar 8 producto(s) 2026 pendiente(s) de esta meta.</t>
  </si>
  <si>
    <t xml:space="preserve">E1-031</t>
  </si>
  <si>
    <t xml:space="preserve">A18</t>
  </si>
  <si>
    <t xml:space="preserve">Articulación de programas (IA)</t>
  </si>
  <si>
    <t xml:space="preserve">Cerrar o reprogramar 7 producto(s) 2026 pendiente(s) de esta meta.</t>
  </si>
  <si>
    <t xml:space="preserve">E1-032</t>
  </si>
  <si>
    <t xml:space="preserve">E1-033</t>
  </si>
  <si>
    <t xml:space="preserve">E1-034</t>
  </si>
  <si>
    <t xml:space="preserve">E1-035</t>
  </si>
  <si>
    <t xml:space="preserve">Facultad de Inteligencia Artificial (Acuerdo 010 de 2025)</t>
  </si>
  <si>
    <t xml:space="preserve">Asignación propuesta OAPDI — validar</t>
  </si>
  <si>
    <t xml:space="preserve">Acciones propuestas por la OAPDI (valídelas y formúlelas en esta fila o en Acciones adicionales): A27-012 Diseñar 4 programas nuevos de IA: Tecnología en Análisis y Modelado de Datos con IA, TP en Ciencia de Datos Aplicada a la IA, Especialización en Gestión de Proyectos de IA y Maestría en Ciencia de Datos. Atender 1 compromiso(s) de proyectos estructurantes (hoja Compromisos_2026).</t>
  </si>
  <si>
    <t xml:space="preserve">E1-036</t>
  </si>
  <si>
    <t xml:space="preserve">E1-037</t>
  </si>
  <si>
    <t xml:space="preserve">1.3 Calidad de los programas académicos</t>
  </si>
  <si>
    <t xml:space="preserve">Contar con la acreditación del 100% de los programas de la ETITC que sean acreditables.</t>
  </si>
  <si>
    <t xml:space="preserve">% de programas acreditables con acreditación vigente y N.° de programas acreditados</t>
  </si>
  <si>
    <t xml:space="preserve">100% de los acreditables (MPI: 24 programas)</t>
  </si>
  <si>
    <t xml:space="preserve">Sugerido: (mantener el 100% de los programas acreditables acreditados —18 programas con acreditación vigente, según la MPI— y radicar a tiempo las renovaciones que vencen en 2027)</t>
  </si>
  <si>
    <t xml:space="preserve">Acciones propuestas por la OAPDI (valídelas y formúlelas en esta fila o en Acciones adicionales): A27-016 Construir el calendario de vencimientos de las acreditaciones de programa 2027-2029; A27-017 Radicar las renovaciones de acreditación que vencen en 2027 y atender las visitas de pares; A27-019 Cerrar los 11 productos vencidos de acreditación de programas de 2026. Cerrar o reprogramar 7 producto(s) 2026 pendiente(s) de esta meta. Atender 1 compromiso(s) de proyectos estructurantes (hoja Compromisos_2026).</t>
  </si>
  <si>
    <t xml:space="preserve">IMP-07; IMP-18</t>
  </si>
  <si>
    <t xml:space="preserve">E1-038</t>
  </si>
  <si>
    <t xml:space="preserve">Cerrar o reprogramar 3 producto(s) 2026 pendiente(s) de esta meta.</t>
  </si>
  <si>
    <t xml:space="preserve">E1-039</t>
  </si>
  <si>
    <t xml:space="preserve">E1-040</t>
  </si>
  <si>
    <t xml:space="preserve">E1-041</t>
  </si>
  <si>
    <t xml:space="preserve">E1-042</t>
  </si>
  <si>
    <t xml:space="preserve">Acciones propuestas por la OAPDI (valídelas y formúlelas en esta fila o en Acciones adicionales): A27-018 Hacer seguimiento a los planes de mejoramiento de los programas acreditados.</t>
  </si>
  <si>
    <t xml:space="preserve">E1-043</t>
  </si>
  <si>
    <t xml:space="preserve">1.3.1.2</t>
  </si>
  <si>
    <t xml:space="preserve">Resultados de las Pruebas SABER por encima de la valoración de la media.</t>
  </si>
  <si>
    <t xml:space="preserve">Puntaje promedio institucional Saber PRO/TyT frente a la media nacional</t>
  </si>
  <si>
    <t xml:space="preserve">Por encima de la media nacional</t>
  </si>
  <si>
    <t xml:space="preserve">Sugerido: (promedio institucional de 254 puntos —mejora de 1 punto por año desde 252 en 2024— y por encima de la media nacional del grupo de referencia)</t>
  </si>
  <si>
    <t xml:space="preserve">IMP-07; IMP-19</t>
  </si>
  <si>
    <t xml:space="preserve">E1-044</t>
  </si>
  <si>
    <t xml:space="preserve">Acciones propuestas por la OAPDI (valídelas y formúlelas en esta fila o en Acciones adicionales): A27-021 Implementar estrategias de preparación para Saber PRO y TyT (talleres de ítems, simulacros). Cerrar o reprogramar 2 producto(s) 2026 pendiente(s) de esta meta.</t>
  </si>
  <si>
    <t xml:space="preserve">E1-045</t>
  </si>
  <si>
    <t xml:space="preserve">E1-046</t>
  </si>
  <si>
    <t xml:space="preserve">E1-047</t>
  </si>
  <si>
    <t xml:space="preserve">E1-048</t>
  </si>
  <si>
    <t xml:space="preserve">E1-049</t>
  </si>
  <si>
    <t xml:space="preserve">E1-050</t>
  </si>
  <si>
    <t xml:space="preserve">E1-051</t>
  </si>
  <si>
    <t xml:space="preserve">E1-052</t>
  </si>
  <si>
    <t xml:space="preserve">Acciones propuestas por la OAPDI (valídelas y formúlelas en esta fila o en Acciones adicionales): A27-020 Analizar los resultados 2025-2026 por programa y competencia; A27-022 Evaluar el efecto de las estrategias en los resultados 2027.</t>
  </si>
  <si>
    <t xml:space="preserve">E1-053</t>
  </si>
  <si>
    <t xml:space="preserve">1.4 Acreditación internacional</t>
  </si>
  <si>
    <t xml:space="preserve">Contar con 2 programas de acreditación internacional.</t>
  </si>
  <si>
    <t xml:space="preserve">N.° de programas con resultados de aprendizaje referenciados al MEC y con acreditación o reconocimiento internacional</t>
  </si>
  <si>
    <t xml:space="preserve">2 programas</t>
  </si>
  <si>
    <t xml:space="preserve">Sugerido: (2 programas —priorizando los híbridos/virtuales de IA— con resultados de aprendizaje referenciados a los 8 niveles del MEC y plan de cualificación internacional aprobado; 1 alianza con una IES o agencia extranjera para su reconocimiento)</t>
  </si>
  <si>
    <t xml:space="preserve">Internacionalización (ORII)</t>
  </si>
  <si>
    <t xml:space="preserve">Gestión de Internacionalización</t>
  </si>
  <si>
    <t xml:space="preserve">Acciones propuestas por la OAPDI (valídelas y formúlelas en esta fila o en Acciones adicionales): A27-026 Firmar una alianza con una IES o agencia extranjera para reconocimiento mutuo y movilidad virtual (COIL). Cerrar o reprogramar 1 producto(s) 2026 pendiente(s) de esta meta.</t>
  </si>
  <si>
    <t xml:space="preserve">IMP-18; IMP-07</t>
  </si>
  <si>
    <t xml:space="preserve">E1-054</t>
  </si>
  <si>
    <t xml:space="preserve">Acciones propuestas por la OAPDI (valídelas y formúlelas en esta fila o en Acciones adicionales): A27-023 Elaborar el documento técnico de referenciación al MEC y al Marco Nacional de Cualificaciones (8 niveles) y seleccionar los 2 programas. Cerrar o reprogramar 5 producto(s) 2026 pendiente(s) de esta meta. Atender 1 compromiso(s) de proyectos estructurantes (hoja Compromisos_2026).</t>
  </si>
  <si>
    <t xml:space="preserve">E1-055</t>
  </si>
  <si>
    <t xml:space="preserve">E1-056</t>
  </si>
  <si>
    <t xml:space="preserve">Acciones propuestas por la OAPDI (valídelas y formúlelas en esta fila o en Acciones adicionales): A27-024 Reescribir los resultados de aprendizaje de los 2 programas por nivel del MEC (conocimientos, destrezas, autonomía); A27-025 Diseñar la oferta virtual de los programas referenciados para captar estudiantes de otras regiones.</t>
  </si>
  <si>
    <t xml:space="preserve">E1-057</t>
  </si>
  <si>
    <t xml:space="preserve">1.5 Fortalecimiento del cuerpo docente</t>
  </si>
  <si>
    <t xml:space="preserve">Se mantienen 12 doctores en formación.</t>
  </si>
  <si>
    <t xml:space="preserve">N.° de docentes en formación doctoral</t>
  </si>
  <si>
    <t xml:space="preserve">12 doctores en formación (MPI: 10)</t>
  </si>
  <si>
    <t xml:space="preserve">2 docentes nuevos en formación doctoral (acumulado sugerido: 5)</t>
  </si>
  <si>
    <t xml:space="preserve">Acciones propuestas por la OAPDI (valídelas y formúlelas en esta fila o en Acciones adicionales): A27-028 Abrir la convocatoria de formación posgradual 2027 (doctorado); A27-029 Otorgar los apoyos para formación doctoral disciplinar. Atender 1 compromiso(s) de proyectos estructurantes (hoja Compromisos_2026).</t>
  </si>
  <si>
    <t xml:space="preserve">IMP-08; IMP-19</t>
  </si>
  <si>
    <t xml:space="preserve">E1-058</t>
  </si>
  <si>
    <t xml:space="preserve">133 · GIT Gestión de Talento Humano</t>
  </si>
  <si>
    <t xml:space="preserve">GIT Talento Humano</t>
  </si>
  <si>
    <t xml:space="preserve">Gestión de Talento Humano</t>
  </si>
  <si>
    <t xml:space="preserve">Acciones propuestas por la OAPDI (valídelas y formúlelas en esta fila o en Acciones adicionales): A27-027 Actualizar el plan integral de desarrollo profesoral.</t>
  </si>
  <si>
    <t xml:space="preserve">E1-059</t>
  </si>
  <si>
    <t xml:space="preserve">1.5.1.2</t>
  </si>
  <si>
    <t xml:space="preserve">80% en formación docentes de planta.</t>
  </si>
  <si>
    <t xml:space="preserve">% de docentes de planta en formación avanzada o continuada</t>
  </si>
  <si>
    <t xml:space="preserve">80%</t>
  </si>
  <si>
    <t xml:space="preserve">6 docentes de planta en maestría y 40 docentes en formación continuada</t>
  </si>
  <si>
    <t xml:space="preserve">Acciones propuestas por la OAPDI (valídelas y formúlelas en esta fila o en Acciones adicionales): A27-030 Identificar las necesidades de formación por facultad; A27-031 Financiar la formación de docentes de planta en maestrías disciplinares.</t>
  </si>
  <si>
    <t xml:space="preserve">E1-060</t>
  </si>
  <si>
    <t xml:space="preserve">Acciones propuestas por la OAPDI (valídelas y formúlelas en esta fila o en Acciones adicionales): A27-032 Ofrecer cursos de formación continuada a docentes.</t>
  </si>
  <si>
    <t xml:space="preserve">E2-001</t>
  </si>
  <si>
    <t xml:space="preserve">Investigación y producción técnico-científica</t>
  </si>
  <si>
    <t xml:space="preserve">2.1 Capacidades de investigación e innovación</t>
  </si>
  <si>
    <t xml:space="preserve">Contar como mínimo por vigencia con un (1) grupo de investigación en clasificación A (en MinCiencias).</t>
  </si>
  <si>
    <t xml:space="preserve">N.° de grupos categoría A/A1 en MinCiencias</t>
  </si>
  <si>
    <t xml:space="preserve">1 grupo A (MPI: 8 grupos A)</t>
  </si>
  <si>
    <t xml:space="preserve">Sugerido: (1 grupo con ruta de ascenso a categoría A aprobada y con la producción de nuevo conocimiento requerida para la siguiente medición)</t>
  </si>
  <si>
    <t xml:space="preserve">IMP-20; IMP-21</t>
  </si>
  <si>
    <t xml:space="preserve">Eje2_Investigacion</t>
  </si>
  <si>
    <t xml:space="preserve">E2-002</t>
  </si>
  <si>
    <t xml:space="preserve">140 · Vicerrectoría de Investigación, Extensión y Transferencia</t>
  </si>
  <si>
    <t xml:space="preserve">Investigación (grupos, semilleros, revista, centro de pensamiento)</t>
  </si>
  <si>
    <t xml:space="preserve">Investigación</t>
  </si>
  <si>
    <t xml:space="preserve">Acciones propuestas por la OAPDI (valídelas y formúlelas en esta fila o en Acciones adicionales): A27-033 Diagnosticar la producción de cada grupo frente al modelo de medición de MinCiencias; A27-035 Iniciar el estudio de impacto de Investigación. Cerrar o reprogramar 3 producto(s) 2026 pendiente(s) de esta meta. Atender 1 compromiso(s) de proyectos estructurantes (hoja Compromisos_2026).</t>
  </si>
  <si>
    <t xml:space="preserve">E2-003</t>
  </si>
  <si>
    <t xml:space="preserve">A38</t>
  </si>
  <si>
    <t xml:space="preserve">Despacho de la VIET</t>
  </si>
  <si>
    <t xml:space="preserve">Acciones propuestas por la OAPDI (valídelas y formúlelas en esta fila o en Acciones adicionales): A27-034 Definir la ruta de ascenso del grupo con mayor producción (metas de nuevo conocimiento y formación).</t>
  </si>
  <si>
    <t xml:space="preserve">E2-004</t>
  </si>
  <si>
    <t xml:space="preserve">2.1.1.2</t>
  </si>
  <si>
    <t xml:space="preserve">Tres (3) grupos en B.</t>
  </si>
  <si>
    <t xml:space="preserve">N.° de grupos categoría B en MinCiencias</t>
  </si>
  <si>
    <t xml:space="preserve">3 grupos B (MPI: 16)</t>
  </si>
  <si>
    <t xml:space="preserve">Sugerido: (1 grupo clasificado en B —ascenso de uno de los 2 grupos en C—)</t>
  </si>
  <si>
    <t xml:space="preserve">E2-005</t>
  </si>
  <si>
    <t xml:space="preserve">Acciones propuestas por la OAPDI (valídelas y formúlelas en esta fila o en Acciones adicionales): A27-036 Asesorar a los grupos en C (Virtus y GEA) en productos de nuevo conocimiento y apropiación; A27-037 Postular los grupos en la convocatoria de medición vigente. Cerrar o reprogramar 16 producto(s) 2026 pendiente(s) de esta meta.</t>
  </si>
  <si>
    <t xml:space="preserve">E2-006</t>
  </si>
  <si>
    <t xml:space="preserve">Innovación y Laboratorio Inteligente</t>
  </si>
  <si>
    <t xml:space="preserve">E2-007</t>
  </si>
  <si>
    <t xml:space="preserve">2.1.1.3</t>
  </si>
  <si>
    <t xml:space="preserve">Cuatro (4) grupos en C.</t>
  </si>
  <si>
    <t xml:space="preserve">N.° de grupos categoría C en MinCiencias</t>
  </si>
  <si>
    <t xml:space="preserve">4 grupos C (MPI: 14)</t>
  </si>
  <si>
    <t xml:space="preserve">Sugerido: (4 grupos en C: mantener Virtus y GEA y clasificar 2 de los 7 grupos registrados sin categoría)</t>
  </si>
  <si>
    <t xml:space="preserve">Acciones propuestas por la OAPDI (valídelas y formúlelas en esta fila o en Acciones adicionales): A27-038 Actualizar GrupLAC y CvLAC de los 7 grupos sin categoría; A27-039 Acompañar a los 2 grupos con más producción para su clasificación en C. Cerrar o reprogramar 6 producto(s) 2026 pendiente(s) de esta meta.</t>
  </si>
  <si>
    <t xml:space="preserve">E2-008</t>
  </si>
  <si>
    <t xml:space="preserve">E2-009</t>
  </si>
  <si>
    <t xml:space="preserve">2.2.1.1</t>
  </si>
  <si>
    <t xml:space="preserve">2.2 Producción técnico-científica</t>
  </si>
  <si>
    <t xml:space="preserve">Lograr como mínimo por vigencia la publicación de dos (2) artículos en revistas internacionales indexadas.</t>
  </si>
  <si>
    <t xml:space="preserve">N.° de artículos publicados en revistas internacionales indexadas</t>
  </si>
  <si>
    <t xml:space="preserve">2 por vigencia (16 en el periodo, según MPI)</t>
  </si>
  <si>
    <t xml:space="preserve">2 artículos</t>
  </si>
  <si>
    <t xml:space="preserve">Acciones propuestas por la OAPDI (valídelas y formúlelas en esta fila o en Acciones adicionales): A27-040 Abrir la convocatoria de estímulos a la publicación 2027; A27-041 Acompañar la traducción y el sometimiento a revistas internacionales indexadas. Cerrar o reprogramar 1 producto(s) 2026 pendiente(s) de esta meta.</t>
  </si>
  <si>
    <t xml:space="preserve">IMP-21; IMP-20</t>
  </si>
  <si>
    <t xml:space="preserve">E2-010</t>
  </si>
  <si>
    <t xml:space="preserve">2.2.1.2</t>
  </si>
  <si>
    <t xml:space="preserve">Lograr la publicación de ocho (8) artículos en revistas nacionales indexadas.</t>
  </si>
  <si>
    <t xml:space="preserve">N.° de artículos publicados en revistas nacionales indexadas</t>
  </si>
  <si>
    <t xml:space="preserve">8 (MPI: 8 por año, 48 en total)</t>
  </si>
  <si>
    <t xml:space="preserve">8 artículos [validar si es anual]</t>
  </si>
  <si>
    <t xml:space="preserve">Acciones propuestas por la OAPDI (valídelas y formúlelas en esta fila o en Acciones adicionales): A27-042 Fortalecer la Revista Letras ETITC y Cuadernos ETITC (pares, convocatorias); A27-043 Vincular trabajos de grado y semilleros a artículos con docentes. Cerrar o reprogramar 3 producto(s) 2026 pendiente(s) de esta meta.</t>
  </si>
  <si>
    <t xml:space="preserve">E2-011</t>
  </si>
  <si>
    <t xml:space="preserve">2.3 Alianzas estratégicas para la investigación</t>
  </si>
  <si>
    <t xml:space="preserve">Contar con cuatro (4) patentes registradas sobre la base de los desarrollos logrados con las alianzas con el sector productivo o institucional.</t>
  </si>
  <si>
    <t xml:space="preserve">N.° de solicitudes y de patentes registradas</t>
  </si>
  <si>
    <t xml:space="preserve">4 patentes</t>
  </si>
  <si>
    <t xml:space="preserve">Sugerido: (2 solicitudes de patente o modelo de utilidad radicadas ante la SIC —avance hacia 4 en 2032— y mantenimiento de la patente vigente)</t>
  </si>
  <si>
    <t xml:space="preserve">IMP-17; IMP-20</t>
  </si>
  <si>
    <t xml:space="preserve">E2-012</t>
  </si>
  <si>
    <t xml:space="preserve">Acciones propuestas por la OAPDI (valídelas y formúlelas en esta fila o en Acciones adicionales): A27-045 Formalizar alianzas de codesarrollo con IES, empresas, centros y entidades públicas. Cerrar o reprogramar 1 producto(s) 2026 pendiente(s) de esta meta.</t>
  </si>
  <si>
    <t xml:space="preserve">E2-013</t>
  </si>
  <si>
    <t xml:space="preserve">Cerrar o reprogramar 6 producto(s) 2026 pendiente(s) de esta meta.</t>
  </si>
  <si>
    <t xml:space="preserve">E2-014</t>
  </si>
  <si>
    <t xml:space="preserve">Acciones propuestas por la OAPDI (valídelas y formúlelas en esta fila o en Acciones adicionales): A27-044 Identificar desarrollos patentables aplicando el reglamento de propiedad intelectual; A27-046 Radicar las solicitudes de patente o modelo de utilidad ante la SIC; A27-047 Pagar la anualidad de la patente vigente y atender los requerimientos de la SIC. Cerrar o reprogramar 9 producto(s) 2026 pendiente(s) de esta meta. Atender 1 compromiso(s) de proyectos estructurantes (hoja Compromisos_2026).</t>
  </si>
  <si>
    <t xml:space="preserve">E2-015</t>
  </si>
  <si>
    <t xml:space="preserve">2.4 Vinculación de lo investigativo con lo académico</t>
  </si>
  <si>
    <t xml:space="preserve">Contar con un (1) centro de pensamiento y desarrollo tecnológico registrado en Colciencias (MinCiencias) y articulado con el Parque Tecnológico de Funza.</t>
  </si>
  <si>
    <t xml:space="preserve">Centro de pensamiento reconocido por MinCiencias (fase de avance)</t>
  </si>
  <si>
    <t xml:space="preserve">1 centro reconocido</t>
  </si>
  <si>
    <t xml:space="preserve">Puesta en marcha del Centro de Pensamiento</t>
  </si>
  <si>
    <t xml:space="preserve">Acciones propuestas por la OAPDI (valídelas y formúlelas en esta fila o en Acciones adicionales): A27-048 Completar las etapas del proceso de reconocimiento ante MinCiencias; A27-049 Poner en marcha el Centro de Pensamiento articulado con el Ecoparque de Funza; A27-050 Reprogramar los productos de Semilleros. Cerrar o reprogramar 21 producto(s) 2026 pendiente(s) de esta meta. Atender 1 compromiso(s) de proyectos estructurantes (hoja Compromisos_2026).</t>
  </si>
  <si>
    <t xml:space="preserve">IMP-20; IMP-03</t>
  </si>
  <si>
    <t xml:space="preserve">E2-016</t>
  </si>
  <si>
    <t xml:space="preserve">E3-001</t>
  </si>
  <si>
    <t xml:space="preserve">3.1.1.1</t>
  </si>
  <si>
    <t xml:space="preserve">Extensión y proyección institucional</t>
  </si>
  <si>
    <t xml:space="preserve">3.1 Autonomía y posicionamiento de la Extensión y Proyección Institucional</t>
  </si>
  <si>
    <t xml:space="preserve">Disponer a mediano plazo de una vicerrectoría de extensión y proyección social.</t>
  </si>
  <si>
    <t xml:space="preserve">Modelo de gestión autónoma de la extensión adoptado y operando (fase)</t>
  </si>
  <si>
    <t xml:space="preserve">Sugerido: (extensión con autonomía administrativa y financiera operando desde el GIT de Extensión y Proyección Social, sin crear una nueva vicerrectoría)</t>
  </si>
  <si>
    <t xml:space="preserve">Sugerido: (modelo de gestión autónoma de la extensión adoptado por acto administrativo: estatuto de extensión actualizado, centro de costos propio del GIT y procedimientos de la extensión en el SGC)</t>
  </si>
  <si>
    <t xml:space="preserve">IMP-18; IMP-17</t>
  </si>
  <si>
    <t xml:space="preserve">Eje3_Extension</t>
  </si>
  <si>
    <t xml:space="preserve">E3-002</t>
  </si>
  <si>
    <t xml:space="preserve">A41</t>
  </si>
  <si>
    <t xml:space="preserve">GIT Extensión y Proyección Social (incluye ETDH)</t>
  </si>
  <si>
    <t xml:space="preserve">Extensión y Proyección Social</t>
  </si>
  <si>
    <t xml:space="preserve">Acciones propuestas por la OAPDI (valídelas y formúlelas en esta fila o en Acciones adicionales): A27-051 Actualizar el estatuto o reglamento de extensión con las reglas de autonomía del GIT (contratación de servicios, precios, excedentes); A27-053 Documentar y codificar en el SGC los procedimientos de la extensión.</t>
  </si>
  <si>
    <t xml:space="preserve">E3-003</t>
  </si>
  <si>
    <t xml:space="preserve">Acciones propuestas por la OAPDI (valídelas y formúlelas en esta fila o en Acciones adicionales): A27-052 Crear el centro de costos propio de la extensión con Gestión Financiera.</t>
  </si>
  <si>
    <t xml:space="preserve">E3-004</t>
  </si>
  <si>
    <t xml:space="preserve">Acciones propuestas por la OAPDI (valídelas y formúlelas en esta fila o en Acciones adicionales): A27-054 Presentar al Consejo Directivo la propuesta de ajuste del enunciado de la meta 3.1.1.1 en la revisión del PDI.</t>
  </si>
  <si>
    <t xml:space="preserve">E3-005</t>
  </si>
  <si>
    <t xml:space="preserve">3.2.1.1</t>
  </si>
  <si>
    <t xml:space="preserve">3.2 Fortalecimiento de la innovación para la Proyección Institucional</t>
  </si>
  <si>
    <t xml:space="preserve">Diseñar y diversificar la oferta de programas de educación continuada y Educación para el Trabajo y el Desarrollo Humano.</t>
  </si>
  <si>
    <t xml:space="preserve">N.° de ofertas de educación continuada y ETDH, participantes y % en modalidad virtual</t>
  </si>
  <si>
    <t xml:space="preserve">Sugerido: (60 ofertas anuales, 30% en modalidad virtual o b-learning)</t>
  </si>
  <si>
    <t xml:space="preserve">Sugerido: (34 ofertas —+20% sobre 2025—, de las cuales al menos 8 en modalidad virtual o b-learning, y 2 programas ETDH reactivados)</t>
  </si>
  <si>
    <t xml:space="preserve">IMP-10; IMP-11</t>
  </si>
  <si>
    <t xml:space="preserve">E3-006</t>
  </si>
  <si>
    <t xml:space="preserve">Acciones propuestas por la OAPDI (valídelas y formúlelas en esta fila o en Acciones adicionales): A27-055 Analizar necesidades y mercado (egresados, empresas, regiones) y actualizar el portafolio; A27-057 Reactivar 2 programas ETDH con reglamento de formadores; A27-058 Ejecutar y evaluar la oferta 2027. Cerrar o reprogramar 4 producto(s) 2026 pendiente(s) de esta meta.</t>
  </si>
  <si>
    <t xml:space="preserve">E3-007</t>
  </si>
  <si>
    <t xml:space="preserve">Acciones propuestas por la OAPDI (valídelas y formúlelas en esta fila o en Acciones adicionales): A27-056 Virtualizar 8 ofertas con la Unidad B-Learning (certificaciones, diplomados, cursos de lenguas).</t>
  </si>
  <si>
    <t xml:space="preserve">E3-008</t>
  </si>
  <si>
    <t xml:space="preserve">3.2.1.2</t>
  </si>
  <si>
    <t xml:space="preserve">Generar ingresos para la ETITC mediante la comercialización de su portafolio de servicios, fortaleciendo su sostenibilidad financiera por vigencia.</t>
  </si>
  <si>
    <t xml:space="preserve">Ingresos por venta de servicios de extensión (millones $)</t>
  </si>
  <si>
    <t xml:space="preserve">Sugerido: (crecimiento sostenido del 7% anual)</t>
  </si>
  <si>
    <t xml:space="preserve">Sugerido: ($590 millones —7% anual sobre el recaudo 2025—)</t>
  </si>
  <si>
    <t xml:space="preserve">Acciones propuestas por la OAPDI (valídelas y formúlelas en esta fila o en Acciones adicionales): A27-059 Definir precios y metas de venta por servicio; A27-060 Ofertar certificaciones, diplomados, consultorías y cursos a la medida para empresas. Cerrar o reprogramar 8 producto(s) 2026 pendiente(s) de esta meta.</t>
  </si>
  <si>
    <t xml:space="preserve">IMP-17</t>
  </si>
  <si>
    <t xml:space="preserve">E3-009</t>
  </si>
  <si>
    <t xml:space="preserve">Acciones propuestas por la OAPDI (valídelas y formúlelas en esta fila o en Acciones adicionales): A27-061 Hacer seguimiento trimestral al recaudo con Gestión Financiera.</t>
  </si>
  <si>
    <t xml:space="preserve">E3-010</t>
  </si>
  <si>
    <t xml:space="preserve">3.2.1.3</t>
  </si>
  <si>
    <t xml:space="preserve">Implementar mecanismos de retroalimentación continua de la oferta de programas de extensión y proyección social.</t>
  </si>
  <si>
    <t xml:space="preserve">N.° de mecanismos aplicados y % de ofertas evaluadas</t>
  </si>
  <si>
    <t xml:space="preserve">Sugerido: (100% de las ofertas evaluadas cada periodo)</t>
  </si>
  <si>
    <t xml:space="preserve">Sugerido: (1 mecanismo institucional de retroalimentación aplicado al 100% de las ofertas de extensión 2027, con informe semestral)</t>
  </si>
  <si>
    <t xml:space="preserve">Acciones propuestas por la OAPDI (valídelas y formúlelas en esta fila o en Acciones adicionales): A27-062 Diseñar el instrumento único de retroalimentación (satisfacción, pertinencia, aplicación en el trabajo); A27-063 Aplicarlo al cierre de cada oferta y consolidar resultados; A27-064 Ajustar el portafolio con base en los resultados. Cerrar o reprogramar 3 producto(s) 2026 pendiente(s) de esta meta.</t>
  </si>
  <si>
    <t xml:space="preserve">IMP-18</t>
  </si>
  <si>
    <t xml:space="preserve">E3-011</t>
  </si>
  <si>
    <t xml:space="preserve">A42</t>
  </si>
  <si>
    <t xml:space="preserve">Centro de Lenguas (CEL)</t>
  </si>
  <si>
    <t xml:space="preserve">E3-012</t>
  </si>
  <si>
    <t xml:space="preserve">3.2.1.4</t>
  </si>
  <si>
    <t xml:space="preserve">Alinear la formación en una segunda lengua en la ETITC con los estándares del Marco Común Europeo de Referencia para las Lenguas.</t>
  </si>
  <si>
    <t xml:space="preserve">% de cursos de segunda lengua alineados al MCER</t>
  </si>
  <si>
    <t xml:space="preserve">Sugerido: (100% de los cursos alineados y certificados por nivel MCER)</t>
  </si>
  <si>
    <t xml:space="preserve">Sugerido: (100% de los cursos con syllabus y evaluación alineados a niveles MCER A1-B2, prueba de clasificación institucional y 2 cursos virtuales)</t>
  </si>
  <si>
    <t xml:space="preserve">Acciones propuestas por la OAPDI (valídelas y formúlelas en esta fila o en Acciones adicionales): A27-065 Diagnosticar los cursos frente a los descriptores del MCER; A27-066 Ajustar syllabus, evaluación y prueba de clasificación; A27-067 Ofrecer 2 cursos virtuales de segunda lengua. Cerrar o reprogramar 1 producto(s) 2026 pendiente(s) de esta meta.</t>
  </si>
  <si>
    <t xml:space="preserve">IMP-11; IMP-07</t>
  </si>
  <si>
    <t xml:space="preserve">E3-013</t>
  </si>
  <si>
    <t xml:space="preserve">3.3.1.1</t>
  </si>
  <si>
    <t xml:space="preserve">3.3 Interacción con el sector productivo y social</t>
  </si>
  <si>
    <t xml:space="preserve">Garantizar la participación y representación del 100% de la programación de la ETITC en eventos académicos, empresariales y de proyección social, de acuerdo con disponibilidad de recursos.</t>
  </si>
  <si>
    <t xml:space="preserve">% de la programación de eventos con participación institucional</t>
  </si>
  <si>
    <t xml:space="preserve">100%</t>
  </si>
  <si>
    <t xml:space="preserve">100% de la programación 2027</t>
  </si>
  <si>
    <t xml:space="preserve">Acciones propuestas por la OAPDI (valídelas y formúlelas en esta fila o en Acciones adicionales): A27-068 Construir la agenda anual de eventos 2027 con criterios de pertinencia; A27-069 Participar en los eventos programados y promocionar la oferta institucional. Cerrar o reprogramar 1 producto(s) 2026 pendiente(s) de esta meta.</t>
  </si>
  <si>
    <t xml:space="preserve">IMP-04; IMP-16</t>
  </si>
  <si>
    <t xml:space="preserve">E3-014</t>
  </si>
  <si>
    <t xml:space="preserve">3.3.1.2</t>
  </si>
  <si>
    <t xml:space="preserve">Ejecutar el 100% del Plan Estratégico de Comunicación de la Vicerrectoría de Extensión y Proyección Social, asegurando su efectividad y alcance.</t>
  </si>
  <si>
    <t xml:space="preserve">% de ejecución del componente de comunicación de la extensión dentro del plan institucional</t>
  </si>
  <si>
    <t xml:space="preserve">Sugerido: (componente de comunicación de la extensión incluido en el plan institucional 2025-2032 y 100% de lo programado para 2027 ejecutado)</t>
  </si>
  <si>
    <t xml:space="preserve">Acciones propuestas por la OAPDI (valídelas y formúlelas en esta fila o en Acciones adicionales): A27-071 Ejecutar las piezas y campañas de la oferta de extensión.</t>
  </si>
  <si>
    <t xml:space="preserve">IMP-16</t>
  </si>
  <si>
    <t xml:space="preserve">E3-015</t>
  </si>
  <si>
    <t xml:space="preserve">Acciones propuestas por la OAPDI (valídelas y formúlelas en esta fila o en Acciones adicionales): A27-070 Incluir el componente de comunicación de la extensión en el Plan Estratégico de Comunicaciones 2025-2032; A27-072 Medir alcance y conversión (inscritos por campaña).</t>
  </si>
  <si>
    <t xml:space="preserve">E3-016</t>
  </si>
  <si>
    <t xml:space="preserve">3.3.1.3</t>
  </si>
  <si>
    <t xml:space="preserve">Establecer convenios y fortalecer redes de colaboración con sectores productivos, sociales y educativos, tanto públicos como privados.</t>
  </si>
  <si>
    <t xml:space="preserve">N.° de convenios y redes activos</t>
  </si>
  <si>
    <t xml:space="preserve">Sugerido: (90 convenios activos)</t>
  </si>
  <si>
    <t xml:space="preserve">Sugerido: (75 convenios activos —renovación de los que vencen y 4 nuevos— y 2 redes nuevas)</t>
  </si>
  <si>
    <t xml:space="preserve">Acciones propuestas por la OAPDI (valídelas y formúlelas en esta fila o en Acciones adicionales): A27-073 Revisar el vencimiento y el uso de los 71 convenios activos; A27-074 Renovar los convenios útiles que vencen y gestionar 4 nuevos. Cerrar o reprogramar 2 producto(s) 2026 pendiente(s) de esta meta.</t>
  </si>
  <si>
    <t xml:space="preserve">IMP-03; IMP-04</t>
  </si>
  <si>
    <t xml:space="preserve">E3-017</t>
  </si>
  <si>
    <t xml:space="preserve">Acciones propuestas por la OAPDI (valídelas y formúlelas en esta fila o en Acciones adicionales): A27-075 Afiliarse a 2 redes nuevas (por ejemplo, RIUC y renovación RCI ASCUN).</t>
  </si>
  <si>
    <t xml:space="preserve">E4-001</t>
  </si>
  <si>
    <t xml:space="preserve">Transformación institucional</t>
  </si>
  <si>
    <t xml:space="preserve">4.1 Dimensión estratégica</t>
  </si>
  <si>
    <t xml:space="preserve">Cumplir al 2032 con el 90% en el Plan de Desarrollo Institucional 2025-2032 de la ETITC.</t>
  </si>
  <si>
    <t xml:space="preserve">% de avance acumulado del PDI</t>
  </si>
  <si>
    <t xml:space="preserve">90%</t>
  </si>
  <si>
    <t xml:space="preserve">33% de avance acumulado del PDI</t>
  </si>
  <si>
    <t xml:space="preserve">Acciones propuestas por la OAPDI (valídelas y formúlelas en esta fila o en Acciones adicionales): A27-076 Adoptar el protocolo de mesas de trabajo en el SGC; A27-077 Extender la revisión de pertinencia a todos los productos ejecutados; A27-078 Hacer seguimiento trimestral del PAA 2027 en el Navegador Estratégico. Cerrar o reprogramar 4 producto(s) 2026 pendiente(s) de esta meta. Atender 2 compromiso(s) de proyectos estructurantes (hoja Compromisos_2026).</t>
  </si>
  <si>
    <t xml:space="preserve">IMP-14; IMP-18</t>
  </si>
  <si>
    <t xml:space="preserve">Eje4_Transformacion</t>
  </si>
  <si>
    <t xml:space="preserve">E4-002</t>
  </si>
  <si>
    <t xml:space="preserve">Despacho de Rectoría</t>
  </si>
  <si>
    <t xml:space="preserve">Acciones propuestas por la OAPDI (valídelas y formúlelas en esta fila o en Acciones adicionales): A27-079 Adelantar los trámites de transformación a universidad (Ley 30 de 1992, Ley 749 de 2002).</t>
  </si>
  <si>
    <t xml:space="preserve">E4-003</t>
  </si>
  <si>
    <t xml:space="preserve">Alcanzar el 92% en el Índice de Desempeño Institucional del FURAG.</t>
  </si>
  <si>
    <t xml:space="preserve">Índice de Desempeño Institucional (FURAG)</t>
  </si>
  <si>
    <t xml:space="preserve">92%</t>
  </si>
  <si>
    <t xml:space="preserve">Sugerido: (90% —la trayectoria lineal de 87,7% en 2024 a 92% en 2032 da 89,3% en 2027—)</t>
  </si>
  <si>
    <t xml:space="preserve">Acciones propuestas por la OAPDI (valídelas y formúlelas en esta fila o en Acciones adicionales): A27-080 Formular el plan de mejora por política MIPG con base en el último FURAG. Cerrar o reprogramar 2 producto(s) 2026 pendiente(s) de esta meta.</t>
  </si>
  <si>
    <t xml:space="preserve">IMP-14; IMP-15</t>
  </si>
  <si>
    <t xml:space="preserve">E4-004</t>
  </si>
  <si>
    <t xml:space="preserve">A09</t>
  </si>
  <si>
    <t xml:space="preserve">Seguridad Digital y Continuidad</t>
  </si>
  <si>
    <t xml:space="preserve">Cerrar o reprogramar 17 producto(s) 2026 pendiente(s) de esta meta.</t>
  </si>
  <si>
    <t xml:space="preserve">E4-005</t>
  </si>
  <si>
    <t xml:space="preserve">E4-006</t>
  </si>
  <si>
    <t xml:space="preserve">E4-007</t>
  </si>
  <si>
    <t xml:space="preserve">Acciones propuestas por la OAPDI (valídelas y formúlelas en esta fila o en Acciones adicionales): A27-081 Fijar calendario de cierre con corte único y constituir el rezago a tiempo; A27-082 Ejecutar el Plan de Mejoramiento con la CGR (7 hallazgos, 24 metas); A27-083 Formular indicadores financieros y contables (razón corriente, margen, rotación de cartera). Atender 8 compromiso(s) de proyectos estructurantes (hoja Compromisos_2026).</t>
  </si>
  <si>
    <t xml:space="preserve">E4-008</t>
  </si>
  <si>
    <t xml:space="preserve">E4-009</t>
  </si>
  <si>
    <t xml:space="preserve">Acciones propuestas por la OAPDI (valídelas y formúlelas en esta fila o en Acciones adicionales): A27-084 Documentar y codificar los procedimientos de gratuidad. Atender 2 compromiso(s) de proyectos estructurantes (hoja Compromisos_2026).</t>
  </si>
  <si>
    <t xml:space="preserve">E4-010</t>
  </si>
  <si>
    <t xml:space="preserve">Atender 2 compromiso(s) de proyectos estructurantes (hoja Compromisos_2026).</t>
  </si>
  <si>
    <t xml:space="preserve">E4-011</t>
  </si>
  <si>
    <t xml:space="preserve">Acciones propuestas por la OAPDI (valídelas y formúlelas en esta fila o en Acciones adicionales): A27-085 Incluir capacitación contable en el Plan Institucional de Capacitación. Atender 2 compromiso(s) de proyectos estructurantes (hoja Compromisos_2026).</t>
  </si>
  <si>
    <t xml:space="preserve">E4-012</t>
  </si>
  <si>
    <t xml:space="preserve">E4-013</t>
  </si>
  <si>
    <t xml:space="preserve">Gestión Jurídica</t>
  </si>
  <si>
    <t xml:space="preserve">E4-014</t>
  </si>
  <si>
    <t xml:space="preserve">Lograr la renovación de la acreditación institucional a 8 años.</t>
  </si>
  <si>
    <t xml:space="preserve">Acreditación institucional vigente y % de ejecución del plan de mejoramiento institucional</t>
  </si>
  <si>
    <t xml:space="preserve">Renovación a 8 años</t>
  </si>
  <si>
    <t xml:space="preserve">Sugerido: (100% de las acciones del plan de mejoramiento institucional programadas para 2027 ejecutadas y sistema de seguimiento a las condiciones de calidad operando)</t>
  </si>
  <si>
    <t xml:space="preserve">IMP-14; IMP-07</t>
  </si>
  <si>
    <t xml:space="preserve">E4-015</t>
  </si>
  <si>
    <t xml:space="preserve">E4-016</t>
  </si>
  <si>
    <t xml:space="preserve">Acciones propuestas por la OAPDI (valídelas y formúlelas en esta fila o en Acciones adicionales): A27-086 Formular el plan de mejoramiento institucional derivado de las recomendaciones del CNA; A27-087 Ejecutar y hacer seguimiento semestral al plan de mejoramiento; A27-089 Cerrar los productos vencidos de Autoevaluación (32 al 02-09-2026). Cerrar o reprogramar 2 producto(s) 2026 pendiente(s) de esta meta. Atender 1 compromiso(s) de proyectos estructurantes (hoja Compromisos_2026).</t>
  </si>
  <si>
    <t xml:space="preserve">E4-017</t>
  </si>
  <si>
    <t xml:space="preserve">E4-018</t>
  </si>
  <si>
    <t xml:space="preserve">Acciones propuestas por la OAPDI (valídelas y formúlelas en esta fila o en Acciones adicionales): A27-088 Divulgar la acreditación institucional (estrategia de divulgación).</t>
  </si>
  <si>
    <t xml:space="preserve">E4-019</t>
  </si>
  <si>
    <t xml:space="preserve">4.2 Arquitectura institucional</t>
  </si>
  <si>
    <t xml:space="preserve">Contar con el 100% de la estructura organizacional académica y administrativa operando.</t>
  </si>
  <si>
    <t xml:space="preserve">% de la estructura organizacional aprobada y operando</t>
  </si>
  <si>
    <t xml:space="preserve">15 docentes de tiempo completo y 10 administrativos vinculados por formalización</t>
  </si>
  <si>
    <t xml:space="preserve">IMP-15; IMP-18</t>
  </si>
  <si>
    <t xml:space="preserve">E4-020</t>
  </si>
  <si>
    <t xml:space="preserve">E4-021</t>
  </si>
  <si>
    <t xml:space="preserve">102 · Control Interno</t>
  </si>
  <si>
    <t xml:space="preserve">Control Interno</t>
  </si>
  <si>
    <t xml:space="preserve">Gestión de Control Interno</t>
  </si>
  <si>
    <t xml:space="preserve">Acciones propuestas por la OAPDI (valídelas y formúlelas en esta fila o en Acciones adicionales): A27-091 Resolver la figura del Jefe de Control Interno. Atender 1 compromiso(s) de proyectos estructurantes (hoja Compromisos_2026).</t>
  </si>
  <si>
    <t xml:space="preserve">E4-022</t>
  </si>
  <si>
    <t xml:space="preserve">Acciones propuestas por la OAPDI (valídelas y formúlelas en esta fila o en Acciones adicionales): A27-090 Elaborar el estudio técnico de rediseño institucional para el cambio de carácter.</t>
  </si>
  <si>
    <t xml:space="preserve">E4-023</t>
  </si>
  <si>
    <t xml:space="preserve">Acciones propuestas por la OAPDI (valídelas y formúlelas en esta fila o en Acciones adicionales): A27-092 Vincular 15 docentes de tiempo completo y 10 administrativos (formalización laboral).</t>
  </si>
  <si>
    <t xml:space="preserve">E4-024</t>
  </si>
  <si>
    <t xml:space="preserve">Contar con un (1) sistema de información estratégico.</t>
  </si>
  <si>
    <t xml:space="preserve">Sistema de información estratégico operando y % de dependencias que reportan en él</t>
  </si>
  <si>
    <t xml:space="preserve">1 sistema</t>
  </si>
  <si>
    <t xml:space="preserve">Sugerido: (SIUE en operación plena: 100% de las dependencias reportando en él y 3 módulos integrados —Hoja de Ruta y Power BI, SNIES-HECAA y repositorio de evidencias—)</t>
  </si>
  <si>
    <t xml:space="preserve">Acciones propuestas por la OAPDI (valídelas y formúlelas en esta fila o en Acciones adicionales): A27-093 Formalizar el cierre de la implementación del SIUE y su manual de uso; A27-094 Integrar la Hoja de Ruta Power Apps con el SIUE. Cerrar o reprogramar 13 producto(s) 2026 pendiente(s) de esta meta. Atender 1 compromiso(s) de proyectos estructurantes (hoja Compromisos_2026).</t>
  </si>
  <si>
    <t xml:space="preserve">E4-025</t>
  </si>
  <si>
    <t xml:space="preserve">Acciones propuestas por la OAPDI (valídelas y formúlelas en esta fila o en Acciones adicionales): A27-097 Verificar la consistencia de cifras entre MEN, SNIES, CGN y Congreso desde el SIUE. Atender 2 compromiso(s) de proyectos estructurantes (hoja Compromisos_2026).</t>
  </si>
  <si>
    <t xml:space="preserve">E4-026</t>
  </si>
  <si>
    <t xml:space="preserve">Acciones propuestas por la OAPDI (valídelas y formúlelas en esta fila o en Acciones adicionales): A27-095 Completar el reporte SNIES en plantilla HECAA con certificación de veracidad. Atender 1 compromiso(s) de proyectos estructurantes (hoja Compromisos_2026).</t>
  </si>
  <si>
    <t xml:space="preserve">E4-027</t>
  </si>
  <si>
    <t xml:space="preserve">Acciones propuestas por la OAPDI (valídelas y formúlelas en esta fila o en Acciones adicionales): A27-096 Habilitar un repositorio de soportes de solo lectura para entes externos. Atender 1 compromiso(s) de proyectos estructurantes (hoja Compromisos_2026).</t>
  </si>
  <si>
    <t xml:space="preserve">E4-028</t>
  </si>
  <si>
    <t xml:space="preserve">4.2.1.3</t>
  </si>
  <si>
    <t xml:space="preserve">Consolidar el IBTI como unidad autónoma y adscrita a la Institución con un programa de tránsito inmediato a la educación superior.</t>
  </si>
  <si>
    <t xml:space="preserve">IBTI consolidado como unidad adscrita (fase)</t>
  </si>
  <si>
    <t xml:space="preserve">IBTI consolidado</t>
  </si>
  <si>
    <t xml:space="preserve">Currículos del IBTI y de los programas técnicos profesionales alineados; solicitud de adscripción ante el MEN</t>
  </si>
  <si>
    <t xml:space="preserve">Acciones propuestas por la OAPDI (valídelas y formúlelas en esta fila o en Acciones adicionales): A27-098 Alinear los currículos del IBTI y de los programas técnicos profesionales.</t>
  </si>
  <si>
    <t xml:space="preserve">E4-029</t>
  </si>
  <si>
    <t xml:space="preserve">Acciones propuestas por la OAPDI (valídelas y formúlelas en esta fila o en Acciones adicionales): A27-099 Definir la propuesta de integración de estructuras; A27-100 Gestionar la aprobación de la adscripción ante el MEN.</t>
  </si>
  <si>
    <t xml:space="preserve">E4-030</t>
  </si>
  <si>
    <t xml:space="preserve">4.3.1.1</t>
  </si>
  <si>
    <t xml:space="preserve">4.3 Gestión de la comunidad educativa</t>
  </si>
  <si>
    <t xml:space="preserve">Contar con un (1) sistema estratégico de desarrollo de la comunidad educativa.</t>
  </si>
  <si>
    <t xml:space="preserve">Sistema estratégico de desarrollo de la comunidad educativa (fase)</t>
  </si>
  <si>
    <t xml:space="preserve">Modelo de operación flexible en funcionamiento</t>
  </si>
  <si>
    <t xml:space="preserve">Acciones propuestas por la OAPDI (valídelas y formúlelas en esta fila o en Acciones adicionales): A27-101 Validar el modelo de operación flexible con la comunidad educativa; A27-102 Poner en operación el modelo y medir su adopción. Cerrar o reprogramar 7 producto(s) 2026 pendiente(s) de esta meta.</t>
  </si>
  <si>
    <t xml:space="preserve">IMP-09; IMP-15</t>
  </si>
  <si>
    <t xml:space="preserve">E4-031</t>
  </si>
  <si>
    <t xml:space="preserve">E4-032</t>
  </si>
  <si>
    <t xml:space="preserve">E4-033</t>
  </si>
  <si>
    <t xml:space="preserve">E4-034</t>
  </si>
  <si>
    <t xml:space="preserve">A19</t>
  </si>
  <si>
    <t xml:space="preserve">Regionalización</t>
  </si>
  <si>
    <t xml:space="preserve">E4-035</t>
  </si>
  <si>
    <t xml:space="preserve">4.4 Relacionamiento dialógico</t>
  </si>
  <si>
    <t xml:space="preserve">Posicionamiento en un indicador Top of Mind de universidades tecnológicas de carácter público en el país.</t>
  </si>
  <si>
    <t xml:space="preserve">Posición en el indicador Top of Mind</t>
  </si>
  <si>
    <t xml:space="preserve">1 indicador</t>
  </si>
  <si>
    <t xml:space="preserve">Sugerido: (medición de línea base Top of Mind aplicada y plan de posicionamiento ejecutado al 100% de lo programado para 2027)</t>
  </si>
  <si>
    <t xml:space="preserve">Acciones propuestas por la OAPDI (valídelas y formúlelas en esta fila o en Acciones adicionales): A27-103 Aplicar la medición de línea base de Top of Mind; A27-104 Desarrollar campañas de branding con alcance nacional y regional. Cerrar o reprogramar 32 producto(s) 2026 pendiente(s) de esta meta. Atender 1 compromiso(s) de proyectos estructurantes (hoja Compromisos_2026).</t>
  </si>
  <si>
    <t xml:space="preserve">E4-036</t>
  </si>
  <si>
    <t xml:space="preserve">E4-037</t>
  </si>
  <si>
    <t xml:space="preserve">E4-038</t>
  </si>
  <si>
    <t xml:space="preserve">E4-039</t>
  </si>
  <si>
    <t xml:space="preserve">Cerrar o reprogramar 4 producto(s) 2026 pendiente(s) de esta meta.</t>
  </si>
  <si>
    <t xml:space="preserve">E4-040</t>
  </si>
  <si>
    <t xml:space="preserve">Cinco (5) alianzas estratégicas.</t>
  </si>
  <si>
    <t xml:space="preserve">N.° de alianzas estratégicas formalizadas</t>
  </si>
  <si>
    <t xml:space="preserve">5 alianzas</t>
  </si>
  <si>
    <t xml:space="preserve">5 proyectos o alianzas estratégicas suscritos</t>
  </si>
  <si>
    <t xml:space="preserve">Acciones propuestas por la OAPDI (valídelas y formúlelas en esta fila o en Acciones adicionales): A27-105 Definir los criterios de 'alianza estratégica' y clasificar los convenios vigentes; A27-106 Suscribir como mínimo 5 proyectos con el sector empresarial, académico, ambiental y gubernamental; A27-107 Iniciar el estudio de impacto de Internacionalización y cooperación. Cerrar o reprogramar 8 producto(s) 2026 pendiente(s) de esta meta. Atender 1 compromiso(s) de proyectos estructurantes (hoja Compromisos_2026).</t>
  </si>
  <si>
    <t xml:space="preserve">E4-041</t>
  </si>
  <si>
    <t xml:space="preserve">E4-042</t>
  </si>
  <si>
    <t xml:space="preserve">4.4.1.3</t>
  </si>
  <si>
    <t xml:space="preserve">30 proyectos por cada una de las hélices: (1) sistema educativo; (2) sistema económico; (3) entorno natural; (4) el público (medios, cultura y sociedad civil) y (5) el sistema político.</t>
  </si>
  <si>
    <t xml:space="preserve">N.° de proyectos por hélice</t>
  </si>
  <si>
    <t xml:space="preserve">30 proyectos por hélice</t>
  </si>
  <si>
    <t xml:space="preserve">Sugerido: (inventario de proyectos por hélice y 5 proyectos por hélice —25 en total— en 2027, trayectoria hacia 30 por hélice en 2032)</t>
  </si>
  <si>
    <t xml:space="preserve">Acciones propuestas por la OAPDI (valídelas y formúlelas en esta fila o en Acciones adicionales): A27-108 Inventariar los proyectos vigentes y clasificarlos por hélice.</t>
  </si>
  <si>
    <t xml:space="preserve">E4-043</t>
  </si>
  <si>
    <t xml:space="preserve">Acciones propuestas por la OAPDI (valídelas y formúlelas en esta fila o en Acciones adicionales): A27-109 Formular y ejecutar 5 proyectos por hélice.</t>
  </si>
  <si>
    <t xml:space="preserve">E4-044</t>
  </si>
  <si>
    <t xml:space="preserve">4.5.1.1</t>
  </si>
  <si>
    <t xml:space="preserve">4.5 Cultura organizacional</t>
  </si>
  <si>
    <t xml:space="preserve">Lograr un 90% de participación de los grupos de valor en las acciones de cultura organizacional.</t>
  </si>
  <si>
    <t xml:space="preserve">% de participación de los grupos de valor en acciones de cultura</t>
  </si>
  <si>
    <t xml:space="preserve">Sugerido: (75% de participación de los grupos de valor —primera medición en 2027 y trayectoria hacia 90% en 2032—)</t>
  </si>
  <si>
    <t xml:space="preserve">Acciones propuestas por la OAPDI (valídelas y formúlelas en esta fila o en Acciones adicionales): A27-110 Definir la población por grupo de valor y el método de medición de participación.</t>
  </si>
  <si>
    <t xml:space="preserve">IMP-16; IMP-15</t>
  </si>
  <si>
    <t xml:space="preserve">E4-045</t>
  </si>
  <si>
    <t xml:space="preserve">A37</t>
  </si>
  <si>
    <t xml:space="preserve">Bienestar Laboral</t>
  </si>
  <si>
    <t xml:space="preserve">Acciones propuestas por la OAPDI (valídelas y formúlelas en esta fila o en Acciones adicionales): A27-111 Ejecutar el plan de bienestar e incentivos con participación de todos los servidores.</t>
  </si>
  <si>
    <t xml:space="preserve">E4-046</t>
  </si>
  <si>
    <t xml:space="preserve">4.5.1.2</t>
  </si>
  <si>
    <t xml:space="preserve">Consolidar un (1) modelo de gestión de la cultura que contemple un (1) instrumento de evaluación permanente.</t>
  </si>
  <si>
    <t xml:space="preserve">Modelo de gestión de la cultura con instrumento de evaluación (fase)</t>
  </si>
  <si>
    <t xml:space="preserve">1 modelo + 1 instrumento</t>
  </si>
  <si>
    <t xml:space="preserve">Instrumento de evaluación diseñado y aplicado</t>
  </si>
  <si>
    <t xml:space="preserve">IMP-15; IMP-14</t>
  </si>
  <si>
    <t xml:space="preserve">E4-047</t>
  </si>
  <si>
    <t xml:space="preserve">E4-048</t>
  </si>
  <si>
    <t xml:space="preserve">E4-049</t>
  </si>
  <si>
    <t xml:space="preserve">E4-050</t>
  </si>
  <si>
    <t xml:space="preserve">E4-051</t>
  </si>
  <si>
    <t xml:space="preserve">Acciones propuestas por la OAPDI (valídelas y formúlelas en esta fila o en Acciones adicionales): A27-112 Diseñar el instrumento de evaluación de la cultura organizacional; A27-113 Aplicarlo y presentar resultados al CIGD. Cerrar o reprogramar 4 producto(s) 2026 pendiente(s) de esta meta.</t>
  </si>
  <si>
    <t xml:space="preserve">E4-052</t>
  </si>
  <si>
    <t xml:space="preserve">A36</t>
  </si>
  <si>
    <t xml:space="preserve">Seguridad y Salud en el Trabajo</t>
  </si>
  <si>
    <t xml:space="preserve">E4-053</t>
  </si>
  <si>
    <t xml:space="preserve">E5-001</t>
  </si>
  <si>
    <t xml:space="preserve">Ampliación y modernización de la infraestructura</t>
  </si>
  <si>
    <t xml:space="preserve">5.1 Sedes propias</t>
  </si>
  <si>
    <t xml:space="preserve">Contar con 4 sedes: 1. Calle 18, 2. Funza, 3. Guaymaral, 4. Central, con infraestructura y dotación para la prestación de servicios educativos.</t>
  </si>
  <si>
    <t xml:space="preserve">N.° de sedes propias habilitadas y operando</t>
  </si>
  <si>
    <t xml:space="preserve">4 sedes</t>
  </si>
  <si>
    <t xml:space="preserve">Calle 18: fase III (licencias, estudios y diseños, vigencias futuras MEN). Funza: puesta en marcha fase I. Guaymaral: puesta en marcha de la sede de Bienestar.</t>
  </si>
  <si>
    <t xml:space="preserve">Eje5_Infraestructura</t>
  </si>
  <si>
    <t xml:space="preserve">E5-002</t>
  </si>
  <si>
    <t xml:space="preserve">Recursos Físicos e Infraestructura</t>
  </si>
  <si>
    <t xml:space="preserve">Gestión de Recursos Físicos</t>
  </si>
  <si>
    <t xml:space="preserve">Acciones propuestas por la OAPDI (valídelas y formúlelas en esta fila o en Acciones adicionales): A27-114 Calle 18: gestionar licencias de construcción y demolición, estudios y diseños y vigencias futuras; A27-116 Funza (Ecoparque): contratar estudios y diseños, licencias e infraestructura modular; A27-117 Guaymaral: poner en marcha la sede de Bienestar (espacios deportivos); A27-118 Adecuar los nuevos inmuebles adquiridos (estudios y diseños); A27-119 Incluir criterios de eficiencia energética y construcción sostenible en los estudios y diseños de las nuevas sedes (incluida Fusagasugá), para no generar sobrecostos futuros. Cerrar o reprogramar 3 producto(s) 2026 pendiente(s) de esta meta. Atender 2 compromiso(s) de proyectos estructurantes (hoja Compromisos_2026).</t>
  </si>
  <si>
    <t xml:space="preserve">E5-003</t>
  </si>
  <si>
    <t xml:space="preserve">E5-004</t>
  </si>
  <si>
    <t xml:space="preserve">Acciones propuestas por la OAPDI (valídelas y formúlelas en esta fila o en Acciones adicionales): A27-115 Funza: adelantar trámites de notariado, registro e impuestos de los predios.</t>
  </si>
  <si>
    <t xml:space="preserve">E5-005</t>
  </si>
  <si>
    <t xml:space="preserve">5.2.1.1</t>
  </si>
  <si>
    <t xml:space="preserve">5.2 Modernización de la infraestructura</t>
  </si>
  <si>
    <t xml:space="preserve">3 bloques reforzados estructuralmente en la sede centro.</t>
  </si>
  <si>
    <t xml:space="preserve">N.° de bloques con reforzamiento estructural terminado</t>
  </si>
  <si>
    <t xml:space="preserve">3 bloques</t>
  </si>
  <si>
    <t xml:space="preserve">Viabilidad presupuestal y permisos para los bloques pendientes</t>
  </si>
  <si>
    <t xml:space="preserve">Acciones propuestas por la OAPDI (valídelas y formúlelas en esta fila o en Acciones adicionales): A27-120 Gestionar permisos y licencias ante el Ministerio de Cultura y la curaduría; A27-122 Integrar al reforzamiento de los bloques F, G y H las medidas de la matriz de oportunidades de eficiencia energética (avance parcial PGEE 2026). Cerrar o reprogramar 19 producto(s) 2026 pendiente(s) de esta meta.</t>
  </si>
  <si>
    <t xml:space="preserve">E5-006</t>
  </si>
  <si>
    <t xml:space="preserve">Acciones propuestas por la OAPDI (valídelas y formúlelas en esta fila o en Acciones adicionales): A27-121 Obtener la viabilidad presupuestal del reforzamiento estructural.</t>
  </si>
  <si>
    <t xml:space="preserve">E5-007</t>
  </si>
  <si>
    <t xml:space="preserve">100% de los talleres y laboratorios actualizados de acuerdo con el plan maestro, modernizados y viabilizados con buenas prácticas ambientales.</t>
  </si>
  <si>
    <t xml:space="preserve">% de talleres y laboratorios modernizados</t>
  </si>
  <si>
    <t xml:space="preserve">Plan Maestro Institucional (PMI) formulado y en marcha</t>
  </si>
  <si>
    <t xml:space="preserve">IMP-07; IMP-01</t>
  </si>
  <si>
    <t xml:space="preserve">E5-008</t>
  </si>
  <si>
    <t xml:space="preserve">A28</t>
  </si>
  <si>
    <t xml:space="preserve">125 · GIT Talleres y Laboratorios</t>
  </si>
  <si>
    <t xml:space="preserve">GIT Talleres y Laboratorios</t>
  </si>
  <si>
    <t xml:space="preserve">Acciones propuestas por la OAPDI (valídelas y formúlelas en esta fila o en Acciones adicionales): A27-124 Priorizar talleres y laboratorios según el PMI y la nueva oferta; A27-125 Modernizar talleres y laboratorios según el plan de inversiones. Cerrar o reprogramar 6 producto(s) 2026 pendiente(s) de esta meta.</t>
  </si>
  <si>
    <t xml:space="preserve">E5-009</t>
  </si>
  <si>
    <t xml:space="preserve">E5-010</t>
  </si>
  <si>
    <t xml:space="preserve">Acciones propuestas por la OAPDI (valídelas y formúlelas en esta fila o en Acciones adicionales): A27-123 Contratar la consultoría del Plan Maestro Institucional. Atender 1 compromiso(s) de proyectos estructurantes (hoja Compromisos_2026).</t>
  </si>
  <si>
    <t xml:space="preserve">E5-011</t>
  </si>
  <si>
    <t xml:space="preserve">5.2.1.3</t>
  </si>
  <si>
    <t xml:space="preserve">Reposición del 100% de computadores de apoyo a la academia con antigüedad mayor a 3 años.</t>
  </si>
  <si>
    <t xml:space="preserve">% de computadores de apoyo académico con antigüedad ≤ 3 años</t>
  </si>
  <si>
    <t xml:space="preserve">Sugerido: (240 computadores de salas de sistemas repuestos —100% de las salas priorizadas— e inventario de antigüedad del parque tecnológico)</t>
  </si>
  <si>
    <t xml:space="preserve">Acciones propuestas por la OAPDI (valídelas y formúlelas en esta fila o en Acciones adicionales): A27-126 Levantar el inventario de antigüedad de los equipos académicos; A27-127 Reponer los equipos de cómputo de salas de sistemas. Cerrar o reprogramar 3 producto(s) 2026 pendiente(s) de esta meta.</t>
  </si>
  <si>
    <t xml:space="preserve">IMP-07</t>
  </si>
  <si>
    <t xml:space="preserve">E5-012</t>
  </si>
  <si>
    <t xml:space="preserve">5.3 Infraestructura de terceros</t>
  </si>
  <si>
    <t xml:space="preserve">Hacer presencia con oferta académica en 4 sedes de terceros y multicampus: 1. Zipaquirá, 2. Multicampus de Suba, 3. Soacha, 4. Multicampus Tintal.</t>
  </si>
  <si>
    <t xml:space="preserve">N.° de sedes de terceros con oferta activa</t>
  </si>
  <si>
    <t xml:space="preserve">4 sedes de terceros</t>
  </si>
  <si>
    <t xml:space="preserve">Convenio ETITC-MinTIC suscrito; oferta en Zipaquirá; oferta 2027-1 en La Primavera, Villeta y 3 municipios de Casanare</t>
  </si>
  <si>
    <t xml:space="preserve">E5-013</t>
  </si>
  <si>
    <t xml:space="preserve">Acciones propuestas por la OAPDI (valídelas y formúlelas en esta fila o en Acciones adicionales): A27-132 Poner en marcha la oferta 2027-1 en La Primavera, Villeta y municipios de Casanare.</t>
  </si>
  <si>
    <t xml:space="preserve">E5-014</t>
  </si>
  <si>
    <t xml:space="preserve">A44</t>
  </si>
  <si>
    <t xml:space="preserve">Sedes y Campus</t>
  </si>
  <si>
    <t xml:space="preserve">E5-015</t>
  </si>
  <si>
    <t xml:space="preserve">E5-016</t>
  </si>
  <si>
    <t xml:space="preserve">Acciones propuestas por la OAPDI (valídelas y formúlelas en esta fila o en Acciones adicionales): A27-128 Decidir en el CIGD la formulación de las líneas 3.1, 5.3 y 6.1; A27-129 Suscribir el convenio interadministrativo ETITC-MinTIC para el Centro de IA Zipazgo. Atender 2 compromiso(s) de proyectos estructurantes (hoja Compromisos_2026).</t>
  </si>
  <si>
    <t xml:space="preserve">E5-017</t>
  </si>
  <si>
    <t xml:space="preserve">Acciones propuestas por la OAPDI (valídelas y formúlelas en esta fila o en Acciones adicionales): A27-130 Legalizar el convenio y designar la supervisión. Atender 1 compromiso(s) de proyectos estructurantes (hoja Compromisos_2026).</t>
  </si>
  <si>
    <t xml:space="preserve">E5-018</t>
  </si>
  <si>
    <t xml:space="preserve">Acciones propuestas por la OAPDI (valídelas y formúlelas en esta fila o en Acciones adicionales): A27-131 Cumplir los compromisos del Convenio Marco con Zipaquirá (coordinador, plan anual, comité). Atender 4 compromiso(s) de proyectos estructurantes (hoja Compromisos_2026).</t>
  </si>
  <si>
    <t xml:space="preserve">E5-019</t>
  </si>
  <si>
    <t xml:space="preserve">5.4 Infraestructura para programas presenciales y semipresenciales</t>
  </si>
  <si>
    <t xml:space="preserve">Contar con el 100% de la infraestructura de talleres y laboratorios a través de convenios con instituciones y sector productivo (programas no presenciales).</t>
  </si>
  <si>
    <t xml:space="preserve">% de la infraestructura requerida cubierta por convenios</t>
  </si>
  <si>
    <t xml:space="preserve">Sugerido: (100% de los programas a distancia o híbridos ofertados en 2027 con convenio de uso de talleres y laboratorios —mínimo 3 convenios—)</t>
  </si>
  <si>
    <t xml:space="preserve">Acciones propuestas por la OAPDI (valídelas y formúlelas en esta fila o en Acciones adicionales): A27-134 Suscribir convenios de uso de talleres y laboratorios. Cerrar o reprogramar 2 producto(s) 2026 pendiente(s) de esta meta.</t>
  </si>
  <si>
    <t xml:space="preserve">IMP-13; IMP-07</t>
  </si>
  <si>
    <t xml:space="preserve">E5-020</t>
  </si>
  <si>
    <t xml:space="preserve">E5-021</t>
  </si>
  <si>
    <t xml:space="preserve">Acciones propuestas por la OAPDI (valídelas y formúlelas en esta fila o en Acciones adicionales): A27-133 Identificar la infraestructura práctica que requieren los programas no presenciales.</t>
  </si>
  <si>
    <t xml:space="preserve">E6-001</t>
  </si>
  <si>
    <t xml:space="preserve">Cuidado por el bienestar y la vida</t>
  </si>
  <si>
    <t xml:space="preserve">6.1 Condiciones para el Bienestar</t>
  </si>
  <si>
    <t xml:space="preserve">El 100% de las áreas de la Institución comprometidas con el Bienestar Universitario integral.</t>
  </si>
  <si>
    <t xml:space="preserve">% de áreas con condiciones de bienestar consolidadas · % de áreas con enlace ambiental y campaña de uso racional de energía y agua aplicada</t>
  </si>
  <si>
    <t xml:space="preserve">Sugerido: (85% de las áreas con condiciones de bienestar consolidadas y 100% de las áreas con enlace ambiental designado y campaña de uso racional de energía y agua aplicada)</t>
  </si>
  <si>
    <t xml:space="preserve">Acciones propuestas por la OAPDI (valídelas y formúlelas en esta fila o en Acciones adicionales): A27-135 Cerrar el ciclo PFB 2025 (pruebas psicológicas, transporte, soportes); A27-136 Implementar las condiciones clave para el bienestar integral (política, programas, cobertura, evaluación); A27-137 Operar el tablero mensual de seguimiento del PFB. Atender 2 compromiso(s) de proyectos estructurantes (hoja Compromisos_2026).</t>
  </si>
  <si>
    <t xml:space="preserve">IMP-16; IMP-15; IMP-01</t>
  </si>
  <si>
    <t xml:space="preserve">Eje6_Bienestar</t>
  </si>
  <si>
    <t xml:space="preserve">E6-002</t>
  </si>
  <si>
    <t xml:space="preserve">E6-003</t>
  </si>
  <si>
    <t xml:space="preserve">E6-004</t>
  </si>
  <si>
    <t xml:space="preserve">Gestión Ambiental</t>
  </si>
  <si>
    <t xml:space="preserve">Acciones propuestas por la OAPDI (valídelas y formúlelas en esta fila o en Acciones adicionales): A27-138 Cultura ambiental (1/3): revisar la política ambiental y reactivar los comités previstos en ella; A27-140 Cultura ambiental (3/3): designar un enlace ambiental por área y hacer jornadas semestrales de cuidado de espacios (luces, agua, equipos y mobiliario) con docentes, administrativos y estudiantes. Atender 1 compromiso(s) de proyectos estructurantes (hoja Compromisos_2026).</t>
  </si>
  <si>
    <t xml:space="preserve">E6-005</t>
  </si>
  <si>
    <t xml:space="preserve">Acciones propuestas por la OAPDI (valídelas y formúlelas en esta fila o en Acciones adicionales): A27-139 Cultura ambiental (2/3): diseñar y ejecutar con Comunicaciones la campaña institucional de uso racional de la energía y del agua, que explique a la comunidad el propósito de cada medida (p. ej., el apagado automático de pantallas).</t>
  </si>
  <si>
    <t xml:space="preserve">E6-006</t>
  </si>
  <si>
    <t xml:space="preserve">Consolidar las condiciones en infraestructura, dotación, recurso humano y estrategias para el bienestar integral de toda la comunidad en la Institución.</t>
  </si>
  <si>
    <t xml:space="preserve">N.° de condiciones de infraestructura, dotación y talento humano para bienestar consolidadas · Hitos de la ruta de gestión energética cumplidos (de 5) · Ahorro verificado de energía (kWh)</t>
  </si>
  <si>
    <t xml:space="preserve">Sugerido: (100% de las sedes con espacios y equipo de bienestar; 15% de ahorro de energía frente a la línea base, exigido por el plan nacional de uso eficiente de la energía)</t>
  </si>
  <si>
    <t xml:space="preserve">Sugerido: (4 proyectos PFB ejecutados al 100% y sede de Bienestar en Guaymaral operando) · Gestión energética: 5 de 5 hitos (gestor ratificado, línea base validada, auditoría integral de la sede Centro, PGEE y Política de Gestión Energética adoptados, primer reporte anual a la UPME en el SUU), planta solar operando con medición y ahorro verificado de al menos 3% en kWh en las áreas intervenidas</t>
  </si>
  <si>
    <t xml:space="preserve">Acciones propuestas por la OAPDI (valídelas y formúlelas en esta fila o en Acciones adicionales): A27-141 Formular el PFB 2027 con base en el cierre del PFB 2025; A27-142 Dotar los espacios de bienestar (incluida la sede de Guaymaral).</t>
  </si>
  <si>
    <t xml:space="preserve">IMP-05; IMP-16; IMP-01</t>
  </si>
  <si>
    <t xml:space="preserve">E6-007</t>
  </si>
  <si>
    <t xml:space="preserve">Acciones propuestas por la OAPDI (valídelas y formúlelas en esta fila o en Acciones adicionales): A27-145 Energía (3/8): validar la línea base de consumo con la carga previa a la obra, en kWh y no en costo (Res. UPME 000016 de 2024); A27-148 Energía (6/8): rehabilitar la planta solar fotovoltaica de la sede Centro (talleres de fundición) y su medición, para que la Escuela controle y registre la energía que genera; A27-149 Energía (7/8): implementar medidas de bajo costo (sensores de ocupación, apagado programado, iluminación LED, submedición eléctrica por bloque) y completar la medición sectorizada de agua. Atender 1 compromiso(s) de proyectos estructurantes (hoja Compromisos_2026).</t>
  </si>
  <si>
    <t xml:space="preserve">E6-008</t>
  </si>
  <si>
    <t xml:space="preserve">Acciones propuestas por la OAPDI (valídelas y formúlelas en esta fila o en Acciones adicionales): A27-143 Energía (1/8): recibir y cerrar el avance parcial 2026 del PGEE en los bloques F, G y H (base de información energética, línea base e indicadores, matriz de oportunidades, matriz de información y apoyo al reporte UPME); A27-146 Energía (4/8): contratar la auditoría energética integral de la sede Centro como consultoría con interventoría (solo sedes propias: el Tintal, en comodato, queda fuera); A27-147 Energía (5/8): formular y adoptar en el CIGD el PGEE y la Política de Gestión Energética, con objetivos de ahorro hacia el 15%; A27-150 Energía (8/8): reportar los resultados anuales a la UPME en el Sistema Único de Usuarios (Circular UPME 000089 de 2025); A27-151 Operar el Sistema de Gestión Ambiental: residuos peligrosos, vertimientos y saneamiento. Atender 3 compromiso(s) de proyectos estructurantes (hoja Compromisos_2026).</t>
  </si>
  <si>
    <t xml:space="preserve">E6-009</t>
  </si>
  <si>
    <t xml:space="preserve">Acciones propuestas por la OAPDI (valídelas y formúlelas en esta fila o en Acciones adicionales): A27-144 Energía (2/8): ratificar o redesignar al Gestor Energético Institucional para 2027 y definir su dedicación, para que no sea una sobrecarga. Atender 1 compromiso(s) de proyectos estructurantes (hoja Compromisos_2026).</t>
  </si>
  <si>
    <t xml:space="preserve">E6-010</t>
  </si>
  <si>
    <t xml:space="preserve">6.2 Modelo de aseguramiento del Bienestar</t>
  </si>
  <si>
    <t xml:space="preserve">Lograr el cumplimiento del 100% del Plan Institucional de Bienestar Integral 2026-2032.</t>
  </si>
  <si>
    <t xml:space="preserve">% de cumplimiento del Plan Institucional de Bienestar Integral</t>
  </si>
  <si>
    <t xml:space="preserve">Sugerido: (80% de cumplimiento del modelo de aseguramiento y cancelaciones por debajo de 2,5% del pregrado)</t>
  </si>
  <si>
    <t xml:space="preserve">IMP-06; IMP-05</t>
  </si>
  <si>
    <t xml:space="preserve">E6-011</t>
  </si>
  <si>
    <t xml:space="preserve">Acciones propuestas por la OAPDI (valídelas y formúlelas en esta fila o en Acciones adicionales): A27-152 Fijar las metas anuales 2027 del Plan Institucional de Bienestar Integral y su tablero de seguimiento; A27-153 Implementar el programa de permanencia basado en las causas de cancelación; A27-155 Iniciar el estudio de impacto de servicios de bienestar y políticas académicas. Atender 3 compromiso(s) de proyectos estructurantes (hoja Compromisos_2026).</t>
  </si>
  <si>
    <t xml:space="preserve">E6-012</t>
  </si>
  <si>
    <t xml:space="preserve">Acciones propuestas por la OAPDI (valídelas y formúlelas en esta fila o en Acciones adicionales): A27-154 Ejecutar el SG-SST y el plan de emergencias en todas las sedes (ambientes seguros).</t>
  </si>
  <si>
    <t xml:space="preserve">E6-013</t>
  </si>
  <si>
    <t xml:space="preserve">6.3.1.1</t>
  </si>
  <si>
    <t xml:space="preserve">6.3 Consolidación de la cultura de Bienestar</t>
  </si>
  <si>
    <t xml:space="preserve">Estar en el ranking de las cinco universidades colombianas reconocidas por Times Higher Education y QS World University.</t>
  </si>
  <si>
    <t xml:space="preserve">Posición en rankings THE y QS</t>
  </si>
  <si>
    <t xml:space="preserve">Top 5 nacional</t>
  </si>
  <si>
    <t xml:space="preserve">Sugerido: (ETITC registrada en los sistemas de datos de THE y QS con el primer reporte institucional enviado)</t>
  </si>
  <si>
    <t xml:space="preserve">IMP-16; IMP-07</t>
  </si>
  <si>
    <t xml:space="preserve">E6-014</t>
  </si>
  <si>
    <t xml:space="preserve">E6-015</t>
  </si>
  <si>
    <t xml:space="preserve">E6-016</t>
  </si>
  <si>
    <t xml:space="preserve">Acciones propuestas por la OAPDI (valídelas y formúlelas en esta fila o en Acciones adicionales): A27-156 Revisar los requisitos de elegibilidad de THE y QS; A27-157 Construir la matriz de indicadores que piden THE y QS (docencia, investigación, internacionalización) y su brecha; A27-158 Preparar y reportar la información institucional.</t>
  </si>
  <si>
    <t xml:space="preserve">Catálogos de referencia — PDI 2025-2032, Guía Metodológica de Impacto y listas</t>
  </si>
  <si>
    <t xml:space="preserve">La columna I (meta institucional 2027) es la única que diligencia la OAPDI en esta hoja; todo el libro la toma de aquí. Estructura oficial de 45 metas de la OAPDI (hoja PROY de la Matriz plurianual de inversiones 2025-2032); meta 2027 tomada de la matriz plurianual por ejes cuando existe.</t>
  </si>
  <si>
    <t xml:space="preserve">Nombre del eje</t>
  </si>
  <si>
    <t xml:space="preserve">Nombre de la línea</t>
  </si>
  <si>
    <t xml:space="preserve">Indicador de la meta (propuesto)</t>
  </si>
  <si>
    <t xml:space="preserve">Meta institucional 2027 (OAPDI)</t>
  </si>
  <si>
    <t xml:space="preserve">Fuente de la meta 2027</t>
  </si>
  <si>
    <t xml:space="preserve">Etiqueta para listas</t>
  </si>
  <si>
    <t xml:space="preserve">Objetivo estratégico del eje</t>
  </si>
  <si>
    <t xml:space="preserve">Objetivo estratégico de la línea</t>
  </si>
  <si>
    <t xml:space="preserve">Código</t>
  </si>
  <si>
    <t xml:space="preserve">Indicador de impacto (etiqueta de lista)</t>
  </si>
  <si>
    <t xml:space="preserve">Categoría</t>
  </si>
  <si>
    <t xml:space="preserve">Texto de la categoría</t>
  </si>
  <si>
    <t xml:space="preserve">Dimensiones de la categoría</t>
  </si>
  <si>
    <t xml:space="preserve">Categoría de impacto (Tabla 1)</t>
  </si>
  <si>
    <t xml:space="preserve">Tipo de impacto</t>
  </si>
  <si>
    <t xml:space="preserve">Dimensiones (Tabla 2)</t>
  </si>
  <si>
    <t xml:space="preserve">Dimensiones de impacto</t>
  </si>
  <si>
    <t xml:space="preserve">1.1</t>
  </si>
  <si>
    <t xml:space="preserve">Ampliación de cobertura</t>
  </si>
  <si>
    <t xml:space="preserve">MPI (meta 2027) y Proyecciones de matrícula 2020-2035 (columna Meta). Los programas nuevos aportan entre 650 (2027-1) y 883 (2027-2) estudiantes según la misma proyección.</t>
  </si>
  <si>
    <t xml:space="preserve">1.1.1.1 · Contar con 11.000 estudiantes vinculados a programas de educación superior al 2032.</t>
  </si>
  <si>
    <t xml:space="preserve">Consolidar a la ETITC como un referente educativo de excelencia, ampliando su oferta académica y garantizando la calidad en todos sus programas mediante una actualización continua y una estrecha vinculación con el entorno.</t>
  </si>
  <si>
    <t xml:space="preserve">Ampliar la cobertura de estudiantes en los programas de educación superior, asegurando el acceso equitativo y la calidad académica.</t>
  </si>
  <si>
    <t xml:space="preserve">IMP-01</t>
  </si>
  <si>
    <t xml:space="preserve">IMP-01 · Tasa de reducción de contaminación de aire, agua o suelo del territorio después del proyecto.</t>
  </si>
  <si>
    <t xml:space="preserve">C01</t>
  </si>
  <si>
    <t xml:space="preserve">Contribución al desarrollo social y comunitario, económico, sostenibilidad ambiental, sector educativo, sector productivo/industrial, desarrollo tecnológico, nacional e internacional.</t>
  </si>
  <si>
    <t xml:space="preserve">Valor Público; Sector Productivo</t>
  </si>
  <si>
    <t xml:space="preserve">Externo</t>
  </si>
  <si>
    <t xml:space="preserve">Valor Público</t>
  </si>
  <si>
    <t xml:space="preserve">Sí</t>
  </si>
  <si>
    <t xml:space="preserve">PDI — meta asignada en la base</t>
  </si>
  <si>
    <t xml:space="preserve">MPI</t>
  </si>
  <si>
    <t xml:space="preserve">1.1.1.2 · Lograr que el 30% de los estudiantes del IBTI pasen a la educación superior de la ETITC.</t>
  </si>
  <si>
    <t xml:space="preserve">Generar y fortalecer las capacidades técnico científica y de innovación de la ETITC mediante la consolidación de la investigación aplicada, la generación de alianzas estratégicas y la integración de la innovación con la formación académica.</t>
  </si>
  <si>
    <t xml:space="preserve">1.2</t>
  </si>
  <si>
    <t xml:space="preserve">Oferta educativa</t>
  </si>
  <si>
    <t xml:space="preserve">Fortalecer la oferta educativa mediante la creación y consolidación de programas de pregrado y posgrado, así como la ETDH, con modalidades virtuales que respondan a las demandas del entorno actual.</t>
  </si>
  <si>
    <t xml:space="preserve">IMP-02</t>
  </si>
  <si>
    <t xml:space="preserve">IMP-02 · Porcentaje de beneficiarios que han aumentado sus ingresos por encima de la línea de pobreza.</t>
  </si>
  <si>
    <t xml:space="preserve">C02</t>
  </si>
  <si>
    <t xml:space="preserve">Cambios curriculares y en los programas académicos.</t>
  </si>
  <si>
    <t xml:space="preserve">Interno</t>
  </si>
  <si>
    <t xml:space="preserve">Académica; Egresados</t>
  </si>
  <si>
    <t xml:space="preserve">Académica</t>
  </si>
  <si>
    <t xml:space="preserve">No</t>
  </si>
  <si>
    <t xml:space="preserve">PDI — acción adicional del área</t>
  </si>
  <si>
    <t xml:space="preserve">MPI; Acuerdos 04, 07 y 08 de 2026 y Oficio del 10/03/2026 (programas de IA).</t>
  </si>
  <si>
    <t xml:space="preserve">1.2.1.1 · Ofrecer programas de educación superior: 5 pregrados nuevos, 3 especializaciones y 3 maestrías.</t>
  </si>
  <si>
    <t xml:space="preserve">Ofrecer programas y servicios innovadores y de alta calidad que respondan eficazmente a las necesidades del sector productivo y social, promoviendo su bienestar y su desarrollo sostenible.</t>
  </si>
  <si>
    <t xml:space="preserve">1.3</t>
  </si>
  <si>
    <t xml:space="preserve">Calidad de los programas académicos</t>
  </si>
  <si>
    <t xml:space="preserve">Garantizar la alta calidad de todos los programas de la ETITC.</t>
  </si>
  <si>
    <t xml:space="preserve">IMP-03</t>
  </si>
  <si>
    <t xml:space="preserve">IMP-03 · Tasas de productividad y competitividad después del proyecto.</t>
  </si>
  <si>
    <t xml:space="preserve">C03</t>
  </si>
  <si>
    <t xml:space="preserve">Aporte al mejoramiento de los programas académicos, la construcción de comunidad académica, los resultados académicos / éxito académico y las prácticas docentes.</t>
  </si>
  <si>
    <t xml:space="preserve">Plan de mejoramiento (CGR, auditoría, autoevaluación)</t>
  </si>
  <si>
    <t xml:space="preserve">Sugerido OAPDI con base en la MPI (18 programas en 2027) y en el logro 2026.</t>
  </si>
  <si>
    <t xml:space="preserve">1.3.1.1 · Contar con la acreditación del 100% de los programas de la ETITC que sean acreditables.</t>
  </si>
  <si>
    <t xml:space="preserve">Pensar la ETITC mediante el desarrollo de sus horizontes de sentido, para que la comunidad contribuya en la transformación de vida de los integrantes de la institución, la sociedad y el planeta.</t>
  </si>
  <si>
    <t xml:space="preserve">1.4</t>
  </si>
  <si>
    <t xml:space="preserve">Acreditación internacional</t>
  </si>
  <si>
    <t xml:space="preserve">Fortalecer la oferta educativa de la ETITC mediante la acreditación internacional de sus programas de educación superior, alineados con los estándares del Marco Común Europeo de Referencia.</t>
  </si>
  <si>
    <t xml:space="preserve">IMP-04</t>
  </si>
  <si>
    <t xml:space="preserve">IMP-04 · Cantidad de grupos comunitarios establecidos o fortalecidos como resultado del proyecto.</t>
  </si>
  <si>
    <t xml:space="preserve">C04</t>
  </si>
  <si>
    <t xml:space="preserve">Transformaciones de vidas (condiciones de vida-movilidad social) de las personas con las que se interactúa.</t>
  </si>
  <si>
    <t xml:space="preserve">Interno-Externo</t>
  </si>
  <si>
    <t xml:space="preserve">Valor Público; Egresados</t>
  </si>
  <si>
    <t xml:space="preserve">Sector Productivo</t>
  </si>
  <si>
    <t xml:space="preserve">Requerimiento externo (MEN, Congreso, MinTIC)</t>
  </si>
  <si>
    <t xml:space="preserve">Sugerido OAPDI (trayectoria de mejora anual de 1 punto).</t>
  </si>
  <si>
    <t xml:space="preserve">1.3.1.2 · Resultados de las Pruebas SABER por encima de la valoración de la media.</t>
  </si>
  <si>
    <t xml:space="preserve">Proveer la infraestructura física y tecnológica necesaria para la calidad en la oferta educativa.</t>
  </si>
  <si>
    <t xml:space="preserve">1.5</t>
  </si>
  <si>
    <t xml:space="preserve">Fortalecimiento del cuerpo docente</t>
  </si>
  <si>
    <t xml:space="preserve">Garantizar que la ETITC cuente con un cuerpo docente de alta calidad mediante la implementación de un plan integral de desarrollo profesoral, orientado a la excelencia académica y al fortalecimiento de sus capacidades.</t>
  </si>
  <si>
    <t xml:space="preserve">IMP-05</t>
  </si>
  <si>
    <t xml:space="preserve">IMP-05 · Cambio en la calidad de vida comparado con generaciones anteriores atribuible a la intervención institucional.</t>
  </si>
  <si>
    <t xml:space="preserve">C05</t>
  </si>
  <si>
    <t xml:space="preserve">Transformaciones del territorio (condiciones del desarrollo, especialmente de cobertura y pertinencia en la oferta educativa).</t>
  </si>
  <si>
    <t xml:space="preserve">Sugerido OAPDI.</t>
  </si>
  <si>
    <t xml:space="preserve">1.4.1.1 · Contar con 2 programas de acreditación internacional.</t>
  </si>
  <si>
    <t xml:space="preserve">Consolidar una cultura institucional de autocuidado, cuidado del otro, cuidado del ambiente, garantizando espacios seguros, inclusivos y sostenibles para la construcción de un bienestar integral, personal y colectivo.</t>
  </si>
  <si>
    <t xml:space="preserve">2.1</t>
  </si>
  <si>
    <t xml:space="preserve">Capacidades de investigación e innovación</t>
  </si>
  <si>
    <t xml:space="preserve">Contar con una sólida capacidad de investigación.</t>
  </si>
  <si>
    <t xml:space="preserve">IMP-06</t>
  </si>
  <si>
    <t xml:space="preserve">IMP-06 · Reducción en la tasa de deserción atribuible a la intervención.</t>
  </si>
  <si>
    <t xml:space="preserve">C02-C03</t>
  </si>
  <si>
    <t xml:space="preserve">Cambios curriculares y en los programas académicos. / Aporte al mejoramiento de los programas académicos, la construcción de comunidad académica, los resultados académicos / éxito académico y las prácticas docentes. (la Tabla 2 de la Guía agrupa ambas categorías)</t>
  </si>
  <si>
    <t xml:space="preserve">C06</t>
  </si>
  <si>
    <t xml:space="preserve">Cambios en la cultura institucional (incluida la cultura de la calidad).</t>
  </si>
  <si>
    <t xml:space="preserve">MPI (2 nuevos en 2027); acumulado calculado por la OAPDI.</t>
  </si>
  <si>
    <t xml:space="preserve">1.5.1.1 · Se mantienen 12 doctores en formación.</t>
  </si>
  <si>
    <t xml:space="preserve">2.2</t>
  </si>
  <si>
    <t xml:space="preserve">Producción técnico-científica</t>
  </si>
  <si>
    <t xml:space="preserve">Aumentar la producción científico-técnica de calidad validable por su publicación en revistas indexadas nacionales e internacionales.</t>
  </si>
  <si>
    <t xml:space="preserve">IMP-07 · Resultados del valor agregado (diferencia entre el desarrollo de competencias antes de ingresar a la Escuela y lo que demuestra al egresar).</t>
  </si>
  <si>
    <t xml:space="preserve">C07</t>
  </si>
  <si>
    <t xml:space="preserve">Impacto a actores (estudiantes, docentes, administrativos, egresados) y organizaciones (sector externo y sociedad en general) en valores.</t>
  </si>
  <si>
    <t xml:space="preserve">1.5.1.2 · 80% en formación docentes de planta.</t>
  </si>
  <si>
    <t xml:space="preserve">2.3</t>
  </si>
  <si>
    <t xml:space="preserve">Alianzas estratégicas para la investigación</t>
  </si>
  <si>
    <t xml:space="preserve">Lograr el establecimiento y operación de alianzas estratégicas con instituciones de investigación en innovación en los campos de interés de la ETITC, que conduzca a la generación de patentes.</t>
  </si>
  <si>
    <t xml:space="preserve">IMP-08</t>
  </si>
  <si>
    <t xml:space="preserve">IMP-08 · Porcentaje de docentes que transforman o innovan sus prácticas tras su participación en actividades institucionales y de desarrollo docente.</t>
  </si>
  <si>
    <t xml:space="preserve">C08</t>
  </si>
  <si>
    <t xml:space="preserve">Impacto en las labores sustantivas: docencia/formación, investigación e innovación, extensión/proyección social.</t>
  </si>
  <si>
    <t xml:space="preserve">Sugerido OAPDI (secuencia C → B → A).</t>
  </si>
  <si>
    <t xml:space="preserve">2.1.1.1 · Contar como mínimo por vigencia con un (1) grupo de investigación en clasificación A (en MinCiencias).</t>
  </si>
  <si>
    <t xml:space="preserve">2.4</t>
  </si>
  <si>
    <t xml:space="preserve">Vinculación de lo investigativo con lo académico</t>
  </si>
  <si>
    <t xml:space="preserve">Establecer una integración entre los procesos de Investigación y los de Formación y Extensión de la ETITC.</t>
  </si>
  <si>
    <t xml:space="preserve">IMP-09</t>
  </si>
  <si>
    <t xml:space="preserve">IMP-09 · Nivel de percepción de trabajo colaborativo y construcción de comunidad académica de estudiantes y docentes como consecuencia de su participación en proyectos institucionales.</t>
  </si>
  <si>
    <t xml:space="preserve">C09</t>
  </si>
  <si>
    <t xml:space="preserve">Cambios en la formación integral y los aprendizajes del estudiantado.</t>
  </si>
  <si>
    <t xml:space="preserve">2.1.1.2 · Tres (3) grupos en B.</t>
  </si>
  <si>
    <t xml:space="preserve">3.1</t>
  </si>
  <si>
    <t xml:space="preserve">Autonomía y posicionamiento de la Extensión y Proyección Institucional</t>
  </si>
  <si>
    <t xml:space="preserve">Fortalecer la autonomía en la gestión de actividades de extensión y proyección social mediante la implementación de una estructura institucional sólida que amplifique el impacto social y comunitario de la ETITC.</t>
  </si>
  <si>
    <t xml:space="preserve">IMP-10</t>
  </si>
  <si>
    <t xml:space="preserve">IMP-10 · Porcentaje de beneficiarios que mejoraron las condiciones de empleo después de la intervención: nivel salarial, cargo, tipo de contrato, seguridad y salud, formalidad.</t>
  </si>
  <si>
    <t xml:space="preserve">C10</t>
  </si>
  <si>
    <t xml:space="preserve">Contribución a la solución de problemas del contexto y la creación de nuevo conocimiento.</t>
  </si>
  <si>
    <t xml:space="preserve">2.1.1.3 · Cuatro (4) grupos en C.</t>
  </si>
  <si>
    <t xml:space="preserve">3.2</t>
  </si>
  <si>
    <t xml:space="preserve">Fortalecimiento de la innovación para la Proyección Institucional</t>
  </si>
  <si>
    <t xml:space="preserve">Liderar iniciativas innovadoras en programas de extensión que contribuyan al bienestar y al desarrollo social, fortaleciendo la proyección institucional de la ETITC y avanzando hacia la meta de ampliar la cobertura educativa.</t>
  </si>
  <si>
    <t xml:space="preserve">IMP-11</t>
  </si>
  <si>
    <t xml:space="preserve">IMP-11 · Índice de empleabilidad en el corto plazo tras finalizar el programa formativo.</t>
  </si>
  <si>
    <t xml:space="preserve">Hoja PROY ('como mínimo por vigencia') y MPI.</t>
  </si>
  <si>
    <t xml:space="preserve">2.2.1.1 · Lograr como mínimo por vigencia la publicación de dos (2) artículos en revistas internacionales indexadas.</t>
  </si>
  <si>
    <t xml:space="preserve">3.3</t>
  </si>
  <si>
    <t xml:space="preserve">Interacción con el sector productivo y social</t>
  </si>
  <si>
    <t xml:space="preserve">Garantizar una sólida interacción con agentes del sector productivo y social, relacionados con el quehacer de la ETITC.</t>
  </si>
  <si>
    <t xml:space="preserve">IMP-12</t>
  </si>
  <si>
    <t xml:space="preserve">IMP-12 · Porcentaje de jóvenes de la comunidad beneficiaria que se escolarizaron con la Institución.</t>
  </si>
  <si>
    <t xml:space="preserve">2.2.1.2 · Lograr la publicación de ocho (8) artículos en revistas nacionales indexadas.</t>
  </si>
  <si>
    <t xml:space="preserve">4.1</t>
  </si>
  <si>
    <t xml:space="preserve">Dimensión estratégica</t>
  </si>
  <si>
    <t xml:space="preserve">Consolidar las capacidades institucionales para soportar su posicionamiento como universidad tecnológica de alta calidad.</t>
  </si>
  <si>
    <t xml:space="preserve">IMP-13</t>
  </si>
  <si>
    <t xml:space="preserve">IMP-13 · Proporción de programas académicos pertinentes (alineados con necesidades y vocación del territorio) ofrecidos por la Institución en el territorio.</t>
  </si>
  <si>
    <t xml:space="preserve">2.3.1.1 · Contar con cuatro (4) patentes registradas sobre la base de los desarrollos logrados con las alianzas con el sector productivo o institucional.</t>
  </si>
  <si>
    <t xml:space="preserve">4.2</t>
  </si>
  <si>
    <t xml:space="preserve">Arquitectura institucional</t>
  </si>
  <si>
    <t xml:space="preserve">Contar con una arquitectura institucional que garantice la gobernanza, efectividad y fluida comunicación entre todas las áreas de la Institución.</t>
  </si>
  <si>
    <t xml:space="preserve">IMP-14</t>
  </si>
  <si>
    <t xml:space="preserve">IMP-14 · Tasa de adopción de nuevos procesos atribuible a la implementación del sistema de calidad.</t>
  </si>
  <si>
    <t xml:space="preserve">2.4.1.1 · Contar con un (1) centro de pensamiento y desarrollo tecnológico registrado en Colciencias (MinCiencias) y articulado con el Parque Tecnológico de Funza.</t>
  </si>
  <si>
    <t xml:space="preserve">4.3</t>
  </si>
  <si>
    <t xml:space="preserve">Gestión de la comunidad educativa</t>
  </si>
  <si>
    <t xml:space="preserve">Consolidar un modelo de gestión de la [comunidad educativa] que posibilite a la institución como una universidad de alta calidad.</t>
  </si>
  <si>
    <t xml:space="preserve">IMP-15</t>
  </si>
  <si>
    <t xml:space="preserve">IMP-15 · Porcentaje de la comunidad académica satisfecha con el clima laboral después de la implementación del sistema de calidad.</t>
  </si>
  <si>
    <t xml:space="preserve">3.1.1.1 · Disponer a mediano plazo de una vicerrectoría de extensión y proyección social.</t>
  </si>
  <si>
    <t xml:space="preserve">4.4</t>
  </si>
  <si>
    <t xml:space="preserve">Relacionamiento dialógico</t>
  </si>
  <si>
    <t xml:space="preserve">Lograr el reconocimiento y posicionamiento de la institución como una universidad de alta calidad, a través de un efectivo relacionamiento con el ecosistema (estado, empresa, academia, sociedad y medio ambiente).</t>
  </si>
  <si>
    <t xml:space="preserve">IMP-16 · Porcentaje de actores que evidencian cambios significativos en sus valores y actitudes como consecuencia de las intervenciones institucionales.</t>
  </si>
  <si>
    <t xml:space="preserve">Sugerido OAPDI con base en la línea base 2025.</t>
  </si>
  <si>
    <t xml:space="preserve">3.2.1.1 · Diseñar y diversificar la oferta de programas de educación continuada y Educación para el Trabajo y el Desarrollo Humano.</t>
  </si>
  <si>
    <t xml:space="preserve">4.5</t>
  </si>
  <si>
    <t xml:space="preserve">Cultura organizacional</t>
  </si>
  <si>
    <t xml:space="preserve">Contar con una cultura comprometida con la excelencia, el conocimiento, el pensamiento crítico y la vida que impacten el bienestar y desarrollo social.</t>
  </si>
  <si>
    <t xml:space="preserve">IMP-17 · Cantidad de ingresos por productos o servicios que son resultado de la implementación de la investigación, la innovación y el desarrollo tecnológico.</t>
  </si>
  <si>
    <t xml:space="preserve">3.2.1.2 · Generar ingresos para la ETITC mediante la comercialización de su portafolio de servicios, fortaleciendo su sostenibilidad financiera por vigencia.</t>
  </si>
  <si>
    <t xml:space="preserve">5.1</t>
  </si>
  <si>
    <t xml:space="preserve">Sedes propias</t>
  </si>
  <si>
    <t xml:space="preserve">Poseer sedes a nivel distrital y departamental que permitan la ampliación de cobertura con principios de sostenibilidad.</t>
  </si>
  <si>
    <t xml:space="preserve">IMP-18 · Cantidad de procesos académicos y académico-administrativos que mejoran.</t>
  </si>
  <si>
    <t xml:space="preserve">3.2.1.3 · Implementar mecanismos de retroalimentación continua de la oferta de programas de extensión y proyección social.</t>
  </si>
  <si>
    <t xml:space="preserve">5.2</t>
  </si>
  <si>
    <t xml:space="preserve">Modernización de la infraestructura</t>
  </si>
  <si>
    <t xml:space="preserve">Fortalecer la infraestructura física y tecnológica de las sedes.</t>
  </si>
  <si>
    <t xml:space="preserve">IMP-19</t>
  </si>
  <si>
    <t xml:space="preserve">IMP-19 · Porcentaje de docentes que transforman la didáctica y la evaluación de los aprendizajes.</t>
  </si>
  <si>
    <t xml:space="preserve">3.2.1.4 · Alinear la formación en una segunda lengua en la ETITC con los estándares del Marco Común Europeo de Referencia para las Lenguas.</t>
  </si>
  <si>
    <t xml:space="preserve">5.3</t>
  </si>
  <si>
    <t xml:space="preserve">Infraestructura de terceros</t>
  </si>
  <si>
    <t xml:space="preserve">Firmar con el gobierno distrital, departamental y municipal el aporte de infraestructura y tecnología que soporte la oferta académica en la región.</t>
  </si>
  <si>
    <t xml:space="preserve">IMP-20</t>
  </si>
  <si>
    <t xml:space="preserve">IMP-20 · Porcentaje de proyectos de investigación que transformaron un proceso, un producto o una problemática de una organización o sector.</t>
  </si>
  <si>
    <t xml:space="preserve">3.3.1.1 · Garantizar la participación y representación del 100% de la programación de la ETITC en eventos académicos, empresariales y de proyección social, de acuerdo con disponibilidad de recursos.</t>
  </si>
  <si>
    <t xml:space="preserve">5.4</t>
  </si>
  <si>
    <t xml:space="preserve">Infraestructura para programas presenciales y semipresenciales</t>
  </si>
  <si>
    <t xml:space="preserve">Contar con alianzas y convenios con instituciones de educación superior a nivel nacional para soportar oferta de educación no presencial.</t>
  </si>
  <si>
    <t xml:space="preserve">IMP-21</t>
  </si>
  <si>
    <t xml:space="preserve">IMP-21 · Porcentaje de proyectos de investigación que contribuyeron al desarrollo social y comunitario, económico, sostenibilidad ambiental, sector educativo, sector productivo/industrial, desarrollo tecnológico, nacional e internacional.</t>
  </si>
  <si>
    <t xml:space="preserve">3.3.1.2 · Ejecutar el 100% del Plan Estratégico de Comunicación de la Vicerrectoría de Extensión y Proyección Social, asegurando su efectividad y alcance.</t>
  </si>
  <si>
    <t xml:space="preserve">6.1</t>
  </si>
  <si>
    <t xml:space="preserve">Condiciones para el Bienestar</t>
  </si>
  <si>
    <t xml:space="preserve">Lograr las condiciones necesarias para garantizar la vigencia de una cultura de autocuidado, cuidado del otro y cuidado del ambiente en todas las áreas de la institución.</t>
  </si>
  <si>
    <t xml:space="preserve">3.3.1.3 · Establecer convenios y fortalecer redes de colaboración con sectores productivos, sociales y educativos, tanto públicos como privados.</t>
  </si>
  <si>
    <t xml:space="preserve">6.2</t>
  </si>
  <si>
    <t xml:space="preserve">Modelo de aseguramiento del Bienestar</t>
  </si>
  <si>
    <t xml:space="preserve">Garantizar ambientes seguros, inclusivos y sostenibles que aseguren el respeto, protección y ejercicio pleno de los derechos fundamentales de la comunidad educativa.</t>
  </si>
  <si>
    <t xml:space="preserve">4.1.1.1 · Cumplir al 2032 con el 90% en el Plan de Desarrollo Institucional 2025-2032 de la ETITC.</t>
  </si>
  <si>
    <t xml:space="preserve">6.3</t>
  </si>
  <si>
    <t xml:space="preserve">Consolidación de la cultura de Bienestar</t>
  </si>
  <si>
    <t xml:space="preserve">Consolidar una cultura institucional basada en el respeto, la preservación de la vida y la construcción de un bienestar integral, personal y colectivo.</t>
  </si>
  <si>
    <t xml:space="preserve">Sugerido OAPDI. Las dos versiones de la MPI dicen 89% y 92%.</t>
  </si>
  <si>
    <t xml:space="preserve">4.1.1.2 · Alcanzar el 92% en el Índice de Desempeño Institucional del FURAG.</t>
  </si>
  <si>
    <t xml:space="preserve">4.1.1.3 · Lograr la renovación de la acreditación institucional a 8 años.</t>
  </si>
  <si>
    <t xml:space="preserve">4.2.1.1 · Contar con el 100% de la estructura organizacional académica y administrativa operando.</t>
  </si>
  <si>
    <t xml:space="preserve">4.2.1.2 · Contar con un (1) sistema de información estratégico.</t>
  </si>
  <si>
    <t xml:space="preserve">4.2.1.3 · Consolidar el IBTI como unidad autónoma y adscrita a la Institución con un programa de tránsito inmediato a la educación superior.</t>
  </si>
  <si>
    <t xml:space="preserve">4.3.1.1 · Contar con un (1) sistema estratégico de desarrollo de la comunidad educativa.</t>
  </si>
  <si>
    <t xml:space="preserve">4.4.1.1 · Posicionamiento en un indicador Top of Mind de universidades tecnológicas de carácter público en el país.</t>
  </si>
  <si>
    <t xml:space="preserve">4.4.1.2 · Cinco (5) alianzas estratégicas.</t>
  </si>
  <si>
    <t xml:space="preserve">4.4.1.3 · 30 proyectos por cada una de las hélices: (1) sistema educativo; (2) sistema económico; (3) entorno natural; (4) el público (medios, cultura y sociedad civil) y (5) el sistema político.</t>
  </si>
  <si>
    <t xml:space="preserve">4.5.1.1 · Lograr un 90% de participación de los grupos de valor en las acciones de cultura organizacional.</t>
  </si>
  <si>
    <t xml:space="preserve">Propuesta OAPDI con base en la MPI</t>
  </si>
  <si>
    <t xml:space="preserve">4.5.1.2 · Consolidar un (1) modelo de gestión de la cultura que contemple un (1) instrumento de evaluación permanente.</t>
  </si>
  <si>
    <t xml:space="preserve">5.1.1.1 · Contar con 4 sedes: 1. Calle 18, 2. Funza, 3. Guaymaral, 4. Central, con infraestructura y dotación para la prestación de servicios educativos.</t>
  </si>
  <si>
    <t xml:space="preserve">5.2.1.1 · 3 bloques reforzados estructuralmente en la sede centro.</t>
  </si>
  <si>
    <t xml:space="preserve">5.2.1.2 · 100% de los talleres y laboratorios actualizados de acuerdo con el plan maestro, modernizados y viabilizados con buenas prácticas ambientales.</t>
  </si>
  <si>
    <t xml:space="preserve">Sugerido OAPDI con base en la MPI.</t>
  </si>
  <si>
    <t xml:space="preserve">5.2.1.3 · Reposición del 100% de computadores de apoyo a la academia con antigüedad mayor a 3 años.</t>
  </si>
  <si>
    <t xml:space="preserve">MPI; insumo Zipazgo.</t>
  </si>
  <si>
    <t xml:space="preserve">5.3.1.1 · Hacer presencia con oferta académica en 4 sedes de terceros y multicampus: 1. Zipaquirá, 2. Multicampus de Suba, 3. Soacha, 4. Multicampus Tintal.</t>
  </si>
  <si>
    <t xml:space="preserve">5.4.1.1 · Contar con el 100% de la infraestructura de talleres y laboratorios a través de convenios con instituciones y sector productivo (programas no presenciales).</t>
  </si>
  <si>
    <t xml:space="preserve">Sugerido OAPDI; componente ambiental: Acta CIGD 6-2026.</t>
  </si>
  <si>
    <t xml:space="preserve">6.1.1.1 · El 100% de las áreas de la Institución comprometidas con el Bienestar Universitario integral.</t>
  </si>
  <si>
    <t xml:space="preserve">Sugerido OAPDI; componente energético: Acta CIGD 6-2026 y marco normativo citado en ella.</t>
  </si>
  <si>
    <t xml:space="preserve">6.1.1.2 · Consolidar las condiciones en infraestructura, dotación, recurso humano y estrategias para el bienestar integral de toda la comunidad en la Institución.</t>
  </si>
  <si>
    <t xml:space="preserve">6.2.1.1 · Lograr el cumplimiento del 100% del Plan Institucional de Bienestar Integral 2026-2032.</t>
  </si>
  <si>
    <t xml:space="preserve">6.3.1.1 · Estar en el ranking de las cinco universidades colombianas reconocidas por Times Higher Education y QS World University.</t>
  </si>
  <si>
    <t xml:space="preserve">Dependencias (Decreto 902 de 2013 y Resolución 215 de 2022), áreas funcionales y procesos (GDC-DI-01 V9)</t>
  </si>
  <si>
    <t xml:space="preserve">Las áreas marcadas 'Inferida — validar' no aparecen en la estructura oficial: su ubicación se tomó del PAA 2025 o del correo institucional y debe confirmarla la OAPDI.</t>
  </si>
  <si>
    <t xml:space="preserve">Norma</t>
  </si>
  <si>
    <t xml:space="preserve">Código dependencia</t>
  </si>
  <si>
    <t xml:space="preserve">Proceso (mapa GDC-DI-01 V9)</t>
  </si>
  <si>
    <t xml:space="preserve">Tipo de proceso</t>
  </si>
  <si>
    <t xml:space="preserve">Ubicación de la área</t>
  </si>
  <si>
    <t xml:space="preserve">Ref.</t>
  </si>
  <si>
    <t xml:space="preserve">100</t>
  </si>
  <si>
    <t xml:space="preserve">Rectoría</t>
  </si>
  <si>
    <t xml:space="preserve">Decreto 902 de 2013</t>
  </si>
  <si>
    <t xml:space="preserve">Estratégico</t>
  </si>
  <si>
    <t xml:space="preserve">Directorio 2026 (OAPDI)</t>
  </si>
  <si>
    <t xml:space="preserve">A01 · Despacho de Rectoría (100)</t>
  </si>
  <si>
    <t xml:space="preserve">PE-01</t>
  </si>
  <si>
    <t xml:space="preserve">101</t>
  </si>
  <si>
    <t xml:space="preserve">Oficina Asesora de Planeación y Desarrollo Institucional</t>
  </si>
  <si>
    <t xml:space="preserve">Directorio 2026 — revisar dependencia</t>
  </si>
  <si>
    <t xml:space="preserve">A02 · Comunicaciones y Mercadeo (100)</t>
  </si>
  <si>
    <t xml:space="preserve">PE-02</t>
  </si>
  <si>
    <t xml:space="preserve">102</t>
  </si>
  <si>
    <t xml:space="preserve">dependencias.json OAPDI (código 102, adscrita a Rectoría) — no figura en el gráfico del Decreto 902</t>
  </si>
  <si>
    <t xml:space="preserve">A03 · Internacionalización (ORII) (100)</t>
  </si>
  <si>
    <t xml:space="preserve">PE-03</t>
  </si>
  <si>
    <t xml:space="preserve">110</t>
  </si>
  <si>
    <t xml:space="preserve">Secretaría General</t>
  </si>
  <si>
    <t xml:space="preserve">Evaluación</t>
  </si>
  <si>
    <t xml:space="preserve">A04 · Control Interno (102)</t>
  </si>
  <si>
    <t xml:space="preserve">PE-04</t>
  </si>
  <si>
    <t xml:space="preserve">120</t>
  </si>
  <si>
    <t xml:space="preserve">A05 · Planeación y Plan de Acción (101)</t>
  </si>
  <si>
    <t xml:space="preserve">PE-05</t>
  </si>
  <si>
    <t xml:space="preserve">121</t>
  </si>
  <si>
    <t xml:space="preserve">GIT Biblioteca y Recursos Educativos</t>
  </si>
  <si>
    <t xml:space="preserve">Resolución 215 de 2022</t>
  </si>
  <si>
    <t xml:space="preserve">A06 · Gestión de Proyectos (101)</t>
  </si>
  <si>
    <t xml:space="preserve">PE-06</t>
  </si>
  <si>
    <t xml:space="preserve">122</t>
  </si>
  <si>
    <t xml:space="preserve">A07 · Autoevaluación y Acreditación (101)</t>
  </si>
  <si>
    <t xml:space="preserve">PM-01</t>
  </si>
  <si>
    <t xml:space="preserve">Misional</t>
  </si>
  <si>
    <t xml:space="preserve">123</t>
  </si>
  <si>
    <t xml:space="preserve">Facultades</t>
  </si>
  <si>
    <t xml:space="preserve">A08 · Aseguramiento de la Calidad, MIPG y Registros Calificados (101)</t>
  </si>
  <si>
    <t xml:space="preserve">PM-02</t>
  </si>
  <si>
    <t xml:space="preserve">124</t>
  </si>
  <si>
    <t xml:space="preserve">Instituto de Bachillerato Técnico Industrial (IBTI)</t>
  </si>
  <si>
    <t xml:space="preserve">132</t>
  </si>
  <si>
    <t xml:space="preserve">GIT Gestión de Informática y Telecomunicaciones</t>
  </si>
  <si>
    <t xml:space="preserve">A09 · Seguridad Digital y Continuidad (132)</t>
  </si>
  <si>
    <t xml:space="preserve">PM-03</t>
  </si>
  <si>
    <t xml:space="preserve">125</t>
  </si>
  <si>
    <t xml:space="preserve">A10 · Gestión Ambiental (101)</t>
  </si>
  <si>
    <t xml:space="preserve">PM-04</t>
  </si>
  <si>
    <t xml:space="preserve">126</t>
  </si>
  <si>
    <t xml:space="preserve">GIT Registro y Control</t>
  </si>
  <si>
    <t xml:space="preserve">A11 · Despacho de Secretaría General (110)</t>
  </si>
  <si>
    <t xml:space="preserve">PM-05</t>
  </si>
  <si>
    <t xml:space="preserve">130</t>
  </si>
  <si>
    <t xml:space="preserve">Apoyo</t>
  </si>
  <si>
    <t xml:space="preserve">A12 · Gestión Jurídica (110)</t>
  </si>
  <si>
    <t xml:space="preserve">PA-01</t>
  </si>
  <si>
    <t xml:space="preserve">131</t>
  </si>
  <si>
    <t xml:space="preserve">GIT Gestión Documental y Atención al Ciudadano</t>
  </si>
  <si>
    <t xml:space="preserve">A13</t>
  </si>
  <si>
    <t xml:space="preserve">Control Disciplinario</t>
  </si>
  <si>
    <t xml:space="preserve">Gestión de Control Disciplinario</t>
  </si>
  <si>
    <t xml:space="preserve">A13 · Control Disciplinario (110)</t>
  </si>
  <si>
    <t xml:space="preserve">PA-02</t>
  </si>
  <si>
    <t xml:space="preserve">A14 · Contratación y Adquisiciones (130)</t>
  </si>
  <si>
    <t xml:space="preserve">PA-03</t>
  </si>
  <si>
    <t xml:space="preserve">133</t>
  </si>
  <si>
    <t xml:space="preserve">GIT Gestión de Talento Humano</t>
  </si>
  <si>
    <t xml:space="preserve">A15 · Despacho de la Vicerrectoría Académica (120)</t>
  </si>
  <si>
    <t xml:space="preserve">PA-04</t>
  </si>
  <si>
    <t xml:space="preserve">Gestión Documental</t>
  </si>
  <si>
    <t xml:space="preserve">140</t>
  </si>
  <si>
    <t xml:space="preserve">Vicerrectoría de Investigación, Extensión y Transferencia</t>
  </si>
  <si>
    <t xml:space="preserve">A16 · Coordinación de Especializaciones (123)</t>
  </si>
  <si>
    <t xml:space="preserve">PA-05</t>
  </si>
  <si>
    <t xml:space="preserve">141</t>
  </si>
  <si>
    <t xml:space="preserve">GIT Extensión y Proyección Social</t>
  </si>
  <si>
    <t xml:space="preserve">Inferida — validar</t>
  </si>
  <si>
    <t xml:space="preserve">A17 · Unidad B-Learning (120)</t>
  </si>
  <si>
    <t xml:space="preserve">PA-06</t>
  </si>
  <si>
    <t xml:space="preserve">A18 · Articulación de programas (IA) (101)</t>
  </si>
  <si>
    <t xml:space="preserve">PA-07</t>
  </si>
  <si>
    <t xml:space="preserve">Gestión de Servicio al Ciudadano</t>
  </si>
  <si>
    <t xml:space="preserve">A19 · Regionalización (101)</t>
  </si>
  <si>
    <t xml:space="preserve">PV-01</t>
  </si>
  <si>
    <t xml:space="preserve">A20</t>
  </si>
  <si>
    <t xml:space="preserve">GIT Biblioteca y Recursos Académicos</t>
  </si>
  <si>
    <t xml:space="preserve">A20 · GIT Biblioteca y Recursos Académicos (121)</t>
  </si>
  <si>
    <t xml:space="preserve">PV-02</t>
  </si>
  <si>
    <t xml:space="preserve">A21 · GIT Bienestar Universitario (122)</t>
  </si>
  <si>
    <t xml:space="preserve">Estructura 902</t>
  </si>
  <si>
    <t xml:space="preserve">A22 · Facultad de Electromecánica (123)</t>
  </si>
  <si>
    <t xml:space="preserve">Las referencias PE/PM/PA/PV son internas de esta plantilla; el mapa de procesos V9 no codifica cada proceso.</t>
  </si>
  <si>
    <t xml:space="preserve">A23 · Facultad de Mecánica (123)</t>
  </si>
  <si>
    <t xml:space="preserve">A24 · Facultad de Mecatrónica (123)</t>
  </si>
  <si>
    <t xml:space="preserve">A25 · Facultad de Procesos Industriales (123)</t>
  </si>
  <si>
    <t xml:space="preserve">A26 · Facultad de Sistemas (123)</t>
  </si>
  <si>
    <t xml:space="preserve">A28 · GIT Talleres y Laboratorios (125)</t>
  </si>
  <si>
    <t xml:space="preserve">A29 · GIT Registro, Control y Admisiones (126)</t>
  </si>
  <si>
    <t xml:space="preserve">A30 · Despacho de la Vicerrectoría Administrativa y Financiera (130)</t>
  </si>
  <si>
    <t xml:space="preserve">A31 · Recursos Físicos e Infraestructura (130)</t>
  </si>
  <si>
    <t xml:space="preserve">A32</t>
  </si>
  <si>
    <t xml:space="preserve">A32 · Gestión Documental (131)</t>
  </si>
  <si>
    <t xml:space="preserve">A33</t>
  </si>
  <si>
    <t xml:space="preserve">Atención al Ciudadano</t>
  </si>
  <si>
    <t xml:space="preserve">A33 · Atención al Ciudadano (131)</t>
  </si>
  <si>
    <t xml:space="preserve">A34 · GIT Informática y Telecomunicaciones (132)</t>
  </si>
  <si>
    <t xml:space="preserve">A35 · GIT Talento Humano (133)</t>
  </si>
  <si>
    <t xml:space="preserve">A36 · Seguridad y Salud en el Trabajo (133)</t>
  </si>
  <si>
    <t xml:space="preserve">A37 · Bienestar Laboral (133)</t>
  </si>
  <si>
    <t xml:space="preserve">A38 · Despacho de la VIET (140)</t>
  </si>
  <si>
    <t xml:space="preserve">A39 · Investigación (grupos, semilleros, revista, centro de pensamiento) (140)</t>
  </si>
  <si>
    <t xml:space="preserve">A40 · Innovación y Laboratorio Inteligente (140)</t>
  </si>
  <si>
    <t xml:space="preserve">A41 · GIT Extensión y Proyección Social (incluye ETDH) (141)</t>
  </si>
  <si>
    <t xml:space="preserve">A42 · Centro de Lenguas (CEL) (141)</t>
  </si>
  <si>
    <t xml:space="preserve">A43 · Egresados y Bolsa de Empleo (141)</t>
  </si>
  <si>
    <t xml:space="preserve">A44 · Sedes y Campus (100)</t>
  </si>
  <si>
    <t xml:space="preserve">A45 · Sedes Tintal / Soacha-UPK / Viotá (120)</t>
  </si>
  <si>
    <t xml:space="preserve">Acuerdo 010 de 2025 — validar si ya opera</t>
  </si>
  <si>
    <t xml:space="preserve">A46 · Facultad de Inteligencia Artificial (Acuerdo 010 de 2025) (123)</t>
  </si>
  <si>
    <t xml:space="preserve">A47 · Gestión Financiera (Presupuesto, Contabilidad, Tesorería) (130)</t>
  </si>
</sst>
</file>

<file path=xl/styles.xml><?xml version="1.0" encoding="utf-8"?>
<styleSheet xmlns="http://schemas.openxmlformats.org/spreadsheetml/2006/main">
  <numFmts count="2">
    <numFmt numFmtId="164" formatCode="General"/>
    <numFmt numFmtId="165" formatCode="dd/mm/yyyy"/>
  </numFmts>
  <fonts count="15">
    <font>
      <sz val="11"/>
      <color theme="1"/>
      <name val="Calibri"/>
      <family val="2"/>
      <charset val="1"/>
    </font>
    <font>
      <sz val="10"/>
      <name val="Arial"/>
      <family val="0"/>
    </font>
    <font>
      <sz val="10"/>
      <name val="Arial"/>
      <family val="0"/>
    </font>
    <font>
      <sz val="10"/>
      <name val="Arial"/>
      <family val="0"/>
    </font>
    <font>
      <b val="true"/>
      <sz val="14"/>
      <color rgb="FF1E5631"/>
      <name val="Arial"/>
      <family val="2"/>
      <charset val="1"/>
    </font>
    <font>
      <i val="true"/>
      <sz val="10"/>
      <color rgb="FF595959"/>
      <name val="Arial"/>
      <family val="2"/>
      <charset val="1"/>
    </font>
    <font>
      <b val="true"/>
      <sz val="11"/>
      <color rgb="FF1E5631"/>
      <name val="Arial"/>
      <family val="2"/>
      <charset val="1"/>
    </font>
    <font>
      <sz val="10"/>
      <name val="Arial"/>
      <family val="2"/>
      <charset val="1"/>
    </font>
    <font>
      <b val="true"/>
      <sz val="10"/>
      <color rgb="FF000000"/>
      <name val="Arial"/>
      <family val="2"/>
      <charset val="1"/>
    </font>
    <font>
      <sz val="10"/>
      <color rgb="FF000000"/>
      <name val="Arial"/>
      <family val="2"/>
      <charset val="1"/>
    </font>
    <font>
      <b val="true"/>
      <sz val="10"/>
      <color rgb="FFFFFFFF"/>
      <name val="Arial"/>
      <family val="2"/>
      <charset val="1"/>
    </font>
    <font>
      <b val="true"/>
      <sz val="10"/>
      <name val="Arial"/>
      <family val="2"/>
      <charset val="1"/>
    </font>
    <font>
      <b val="true"/>
      <sz val="11"/>
      <name val="Arial"/>
      <family val="2"/>
      <charset val="1"/>
    </font>
    <font>
      <i val="true"/>
      <sz val="9"/>
      <name val="Arial"/>
      <family val="2"/>
      <charset val="1"/>
    </font>
    <font>
      <b val="true"/>
      <sz val="12"/>
      <color rgb="FF1E5631"/>
      <name val="Arial"/>
      <family val="2"/>
      <charset val="1"/>
    </font>
  </fonts>
  <fills count="7">
    <fill>
      <patternFill patternType="none"/>
    </fill>
    <fill>
      <patternFill patternType="gray125"/>
    </fill>
    <fill>
      <patternFill patternType="solid">
        <fgColor rgb="FFEDEDED"/>
        <bgColor rgb="FFFFF2CC"/>
      </patternFill>
    </fill>
    <fill>
      <patternFill patternType="solid">
        <fgColor rgb="FF1E5631"/>
        <bgColor rgb="FF333300"/>
      </patternFill>
    </fill>
    <fill>
      <patternFill patternType="solid">
        <fgColor rgb="FFFFF2CC"/>
        <bgColor rgb="FFEDEDED"/>
      </patternFill>
    </fill>
    <fill>
      <patternFill patternType="solid">
        <fgColor rgb="FFFFD966"/>
        <bgColor rgb="FFF8CBAD"/>
      </patternFill>
    </fill>
    <fill>
      <patternFill patternType="solid">
        <fgColor rgb="FF595959"/>
        <bgColor rgb="FF1E5631"/>
      </patternFill>
    </fill>
  </fills>
  <borders count="3">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style="thin">
        <color rgb="FFBFBFBF"/>
      </left>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8" fillId="2" borderId="1" xfId="0" applyFont="true" applyBorder="true" applyAlignment="true" applyProtection="false">
      <alignment horizontal="general" vertical="top" textRotation="0" wrapText="true" indent="0" shrinkToFit="false"/>
      <protection locked="true" hidden="false"/>
    </xf>
    <xf numFmtId="164" fontId="9" fillId="0" borderId="2" xfId="0" applyFont="true" applyBorder="true" applyAlignment="true" applyProtection="false">
      <alignment horizontal="general" vertical="top"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10" fillId="3" borderId="1" xfId="0" applyFont="true" applyBorder="true" applyAlignment="true" applyProtection="false">
      <alignment horizontal="center" vertical="center" textRotation="0" wrapText="tru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9" fillId="4" borderId="1" xfId="0" applyFont="true" applyBorder="true" applyAlignment="true" applyProtection="true">
      <alignment horizontal="general" vertical="top" textRotation="0" wrapText="true" indent="0" shrinkToFit="false"/>
      <protection locked="false" hidden="false"/>
    </xf>
    <xf numFmtId="164" fontId="9" fillId="2" borderId="1" xfId="0" applyFont="true" applyBorder="true" applyAlignment="true" applyProtection="false">
      <alignment horizontal="general" vertical="top" textRotation="0" wrapText="tru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12" fillId="4" borderId="2" xfId="0" applyFont="true" applyBorder="true" applyAlignment="false" applyProtection="true">
      <alignment horizontal="general" vertical="bottom" textRotation="0" wrapText="false" indent="0" shrinkToFit="false"/>
      <protection locked="fals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8" fillId="5" borderId="1" xfId="0" applyFont="true" applyBorder="true" applyAlignment="true" applyProtection="false">
      <alignment horizontal="center" vertical="center" textRotation="0" wrapText="true" indent="0" shrinkToFit="false"/>
      <protection locked="true" hidden="false"/>
    </xf>
    <xf numFmtId="165" fontId="9" fillId="4" borderId="1" xfId="0" applyFont="true" applyBorder="true" applyAlignment="true" applyProtection="true">
      <alignment horizontal="general" vertical="top" textRotation="0" wrapText="true" indent="0" shrinkToFit="false"/>
      <protection locked="false" hidden="false"/>
    </xf>
    <xf numFmtId="164" fontId="10" fillId="6" borderId="0" xfId="0" applyFont="true" applyBorder="true" applyAlignment="true" applyProtection="false">
      <alignment horizontal="center" vertical="center" textRotation="0" wrapText="true" indent="0" shrinkToFit="false"/>
      <protection locked="true" hidden="false"/>
    </xf>
    <xf numFmtId="164" fontId="11" fillId="5" borderId="0" xfId="0" applyFont="true" applyBorder="true" applyAlignment="true" applyProtection="false">
      <alignment horizontal="center" vertical="center" textRotation="0" wrapText="true" indent="0" shrinkToFit="false"/>
      <protection locked="true" hidden="false"/>
    </xf>
    <xf numFmtId="164" fontId="10" fillId="3" borderId="0" xfId="0" applyFont="true" applyBorder="false" applyAlignment="true" applyProtection="false">
      <alignment horizontal="center" vertical="center" textRotation="0" wrapText="true" indent="0" shrinkToFit="false"/>
      <protection locked="true" hidden="false"/>
    </xf>
    <xf numFmtId="164" fontId="10" fillId="6" borderId="1" xfId="0" applyFont="true" applyBorder="true" applyAlignment="true" applyProtection="fals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1">
    <dxf>
      <fill>
        <patternFill patternType="solid">
          <fgColor rgb="FF1E5631"/>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FFF2CC"/>
          <bgColor rgb="FF000000"/>
        </patternFill>
      </fill>
    </dxf>
    <dxf>
      <fill>
        <patternFill>
          <bgColor rgb="FFC6EFCE"/>
        </patternFill>
      </fill>
    </dxf>
    <dxf>
      <fill>
        <patternFill>
          <bgColor rgb="FFEDEDED"/>
        </patternFill>
      </fill>
    </dxf>
    <dxf>
      <fill>
        <patternFill>
          <bgColor rgb="FFF8CBAD"/>
        </patternFill>
      </fill>
    </dxf>
    <dxf>
      <fill>
        <patternFill patternType="solid">
          <fgColor rgb="FF595959"/>
          <bgColor rgb="FF000000"/>
        </patternFill>
      </fill>
    </dxf>
    <dxf>
      <fill>
        <patternFill patternType="solid">
          <fgColor rgb="FFEDEDED"/>
          <bgColor rgb="FF000000"/>
        </patternFill>
      </fill>
    </dxf>
    <dxf>
      <fill>
        <patternFill patternType="solid">
          <fgColor rgb="FFFFD966"/>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EDEDED"/>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FCE"/>
      <rgbColor rgb="FFFFD966"/>
      <rgbColor rgb="FF99CCFF"/>
      <rgbColor rgb="FFFF99CC"/>
      <rgbColor rgb="FFCC99FF"/>
      <rgbColor rgb="FFF8CBAD"/>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333399"/>
      <rgbColor rgb="FF1E5631"/>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drawings/drawing7.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Tema de Offic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_rels/sheet5.xml.rels><?xml version="1.0" encoding="UTF-8"?>
<Relationships xmlns="http://schemas.openxmlformats.org/package/2006/relationships"><Relationship Id="rId1" Type="http://schemas.openxmlformats.org/officeDocument/2006/relationships/drawing" Target="../drawings/drawing3.xml"/>
</Relationships>
</file>

<file path=xl/worksheets/_rels/sheet6.xml.rels><?xml version="1.0" encoding="UTF-8"?>
<Relationships xmlns="http://schemas.openxmlformats.org/package/2006/relationships"><Relationship Id="rId1" Type="http://schemas.openxmlformats.org/officeDocument/2006/relationships/drawing" Target="../drawings/drawing4.xml"/>
</Relationships>
</file>

<file path=xl/worksheets/_rels/sheet7.xml.rels><?xml version="1.0" encoding="UTF-8"?>
<Relationships xmlns="http://schemas.openxmlformats.org/package/2006/relationships"><Relationship Id="rId1" Type="http://schemas.openxmlformats.org/officeDocument/2006/relationships/drawing" Target="../drawings/drawing5.xml"/>
</Relationships>
</file>

<file path=xl/worksheets/_rels/sheet8.xml.rels><?xml version="1.0" encoding="UTF-8"?>
<Relationships xmlns="http://schemas.openxmlformats.org/package/2006/relationships"><Relationship Id="rId1" Type="http://schemas.openxmlformats.org/officeDocument/2006/relationships/drawing" Target="../drawings/drawing6.xml"/>
</Relationships>
</file>

<file path=xl/worksheets/_rels/sheet9.xml.rels><?xml version="1.0" encoding="UTF-8"?>
<Relationships xmlns="http://schemas.openxmlformats.org/package/2006/relationships"><Relationship Id="rId1" Type="http://schemas.openxmlformats.org/officeDocument/2006/relationships/drawing" Target="../drawings/drawing7.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7"/>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6796875" defaultRowHeight="14.25" zeroHeight="false" outlineLevelRow="0" outlineLevelCol="0"/>
  <cols>
    <col collapsed="false" customWidth="true" hidden="false" outlineLevel="0" max="6" min="1" style="0" width="30"/>
  </cols>
  <sheetData>
    <row r="1" customFormat="false" ht="17.25" hidden="false" customHeight="true" outlineLevel="0" collapsed="false">
      <c r="A1" s="1" t="s">
        <v>0</v>
      </c>
      <c r="B1" s="1"/>
      <c r="C1" s="1"/>
      <c r="D1" s="1"/>
      <c r="E1" s="1"/>
      <c r="F1" s="1"/>
    </row>
    <row r="2" customFormat="false" ht="42" hidden="false" customHeight="true" outlineLevel="0" collapsed="false">
      <c r="A2" s="2" t="s">
        <v>1</v>
      </c>
      <c r="B2" s="2"/>
      <c r="C2" s="2"/>
      <c r="D2" s="2"/>
      <c r="E2" s="2"/>
      <c r="F2" s="2"/>
    </row>
    <row r="4" customFormat="false" ht="14.25" hidden="false" customHeight="false" outlineLevel="0" collapsed="false">
      <c r="A4" s="3" t="s">
        <v>2</v>
      </c>
    </row>
    <row r="5" customFormat="false" ht="63.75" hidden="false" customHeight="true" outlineLevel="0" collapsed="false">
      <c r="A5" s="4" t="s">
        <v>3</v>
      </c>
      <c r="B5" s="4"/>
      <c r="C5" s="4"/>
      <c r="D5" s="4"/>
      <c r="E5" s="4"/>
      <c r="F5" s="4"/>
    </row>
    <row r="7" customFormat="false" ht="14.25" hidden="false" customHeight="false" outlineLevel="0" collapsed="false">
      <c r="A7" s="3" t="s">
        <v>4</v>
      </c>
    </row>
    <row r="8" customFormat="false" ht="75" hidden="false" customHeight="true" outlineLevel="0" collapsed="false">
      <c r="A8" s="4" t="s">
        <v>5</v>
      </c>
      <c r="B8" s="4"/>
      <c r="C8" s="4"/>
      <c r="D8" s="4"/>
      <c r="E8" s="4"/>
      <c r="F8" s="4"/>
    </row>
    <row r="10" customFormat="false" ht="14.25" hidden="false" customHeight="false" outlineLevel="0" collapsed="false">
      <c r="A10" s="3" t="s">
        <v>6</v>
      </c>
    </row>
    <row r="11" customFormat="false" ht="60" hidden="false" customHeight="true" outlineLevel="0" collapsed="false">
      <c r="A11" s="4" t="s">
        <v>7</v>
      </c>
      <c r="B11" s="4"/>
      <c r="C11" s="4"/>
      <c r="D11" s="4"/>
      <c r="E11" s="4"/>
      <c r="F11" s="4"/>
    </row>
    <row r="13" customFormat="false" ht="14.25" hidden="false" customHeight="false" outlineLevel="0" collapsed="false">
      <c r="A13" s="3" t="s">
        <v>8</v>
      </c>
    </row>
    <row r="14" customFormat="false" ht="108.75" hidden="false" customHeight="true" outlineLevel="0" collapsed="false">
      <c r="A14" s="4" t="s">
        <v>9</v>
      </c>
      <c r="B14" s="4"/>
      <c r="C14" s="4"/>
      <c r="D14" s="4"/>
      <c r="E14" s="4"/>
      <c r="F14" s="4"/>
    </row>
    <row r="16" customFormat="false" ht="14.25" hidden="false" customHeight="false" outlineLevel="0" collapsed="false">
      <c r="A16" s="3" t="s">
        <v>10</v>
      </c>
    </row>
    <row r="17" customFormat="false" ht="93.75" hidden="false" customHeight="true" outlineLevel="0" collapsed="false">
      <c r="A17" s="4" t="s">
        <v>11</v>
      </c>
      <c r="B17" s="4"/>
      <c r="C17" s="4"/>
      <c r="D17" s="4"/>
      <c r="E17" s="4"/>
      <c r="F17" s="4"/>
    </row>
    <row r="19" customFormat="false" ht="14.25" hidden="false" customHeight="false" outlineLevel="0" collapsed="false">
      <c r="A19" s="3" t="s">
        <v>12</v>
      </c>
    </row>
    <row r="20" customFormat="false" ht="90" hidden="false" customHeight="true" outlineLevel="0" collapsed="false">
      <c r="A20" s="4" t="s">
        <v>13</v>
      </c>
      <c r="B20" s="4"/>
      <c r="C20" s="4"/>
      <c r="D20" s="4"/>
      <c r="E20" s="4"/>
      <c r="F20" s="4"/>
    </row>
    <row r="22" customFormat="false" ht="14.25" hidden="false" customHeight="false" outlineLevel="0" collapsed="false">
      <c r="A22" s="3" t="s">
        <v>14</v>
      </c>
    </row>
    <row r="23" customFormat="false" ht="63.75" hidden="false" customHeight="true" outlineLevel="0" collapsed="false">
      <c r="A23" s="4" t="s">
        <v>15</v>
      </c>
      <c r="B23" s="4"/>
      <c r="C23" s="4"/>
      <c r="D23" s="4"/>
      <c r="E23" s="4"/>
      <c r="F23" s="4"/>
    </row>
    <row r="25" customFormat="false" ht="14.25" hidden="false" customHeight="false" outlineLevel="0" collapsed="false">
      <c r="A25" s="3" t="s">
        <v>16</v>
      </c>
    </row>
    <row r="26" customFormat="false" ht="153.75" hidden="false" customHeight="true" outlineLevel="0" collapsed="false">
      <c r="A26" s="4" t="s">
        <v>17</v>
      </c>
      <c r="B26" s="4"/>
      <c r="C26" s="4"/>
      <c r="D26" s="4"/>
      <c r="E26" s="4"/>
      <c r="F26" s="4"/>
    </row>
    <row r="28" customFormat="false" ht="14.25" hidden="false" customHeight="false" outlineLevel="0" collapsed="false">
      <c r="A28" s="3" t="s">
        <v>18</v>
      </c>
    </row>
    <row r="29" customFormat="false" ht="15" hidden="false" customHeight="true" outlineLevel="0" collapsed="false">
      <c r="A29" s="5" t="s">
        <v>19</v>
      </c>
      <c r="B29" s="6" t="s">
        <v>20</v>
      </c>
      <c r="C29" s="6"/>
      <c r="D29" s="6"/>
      <c r="E29" s="6"/>
      <c r="F29" s="6"/>
    </row>
    <row r="30" customFormat="false" ht="15" hidden="false" customHeight="true" outlineLevel="0" collapsed="false">
      <c r="A30" s="5" t="s">
        <v>21</v>
      </c>
      <c r="B30" s="6" t="s">
        <v>22</v>
      </c>
      <c r="C30" s="6"/>
      <c r="D30" s="6"/>
      <c r="E30" s="6"/>
      <c r="F30" s="6"/>
    </row>
    <row r="31" customFormat="false" ht="15" hidden="false" customHeight="true" outlineLevel="0" collapsed="false">
      <c r="A31" s="5" t="s">
        <v>23</v>
      </c>
      <c r="B31" s="6" t="s">
        <v>24</v>
      </c>
      <c r="C31" s="6"/>
      <c r="D31" s="6"/>
      <c r="E31" s="6"/>
      <c r="F31" s="6"/>
    </row>
    <row r="32" customFormat="false" ht="15" hidden="false" customHeight="true" outlineLevel="0" collapsed="false">
      <c r="A32" s="5" t="s">
        <v>25</v>
      </c>
      <c r="B32" s="6" t="s">
        <v>26</v>
      </c>
      <c r="C32" s="6"/>
      <c r="D32" s="6"/>
      <c r="E32" s="6"/>
      <c r="F32" s="6"/>
    </row>
    <row r="33" customFormat="false" ht="15" hidden="false" customHeight="true" outlineLevel="0" collapsed="false">
      <c r="A33" s="5" t="s">
        <v>27</v>
      </c>
      <c r="B33" s="6" t="s">
        <v>28</v>
      </c>
      <c r="C33" s="6"/>
      <c r="D33" s="6"/>
      <c r="E33" s="6"/>
      <c r="F33" s="6"/>
    </row>
    <row r="34" customFormat="false" ht="23.25" hidden="false" customHeight="true" outlineLevel="0" collapsed="false">
      <c r="A34" s="5" t="s">
        <v>29</v>
      </c>
      <c r="B34" s="6" t="s">
        <v>30</v>
      </c>
      <c r="C34" s="6"/>
      <c r="D34" s="6"/>
      <c r="E34" s="6"/>
      <c r="F34" s="6"/>
    </row>
    <row r="35" customFormat="false" ht="15" hidden="false" customHeight="true" outlineLevel="0" collapsed="false">
      <c r="A35" s="5" t="s">
        <v>31</v>
      </c>
      <c r="B35" s="6" t="s">
        <v>32</v>
      </c>
      <c r="C35" s="6"/>
      <c r="D35" s="6"/>
      <c r="E35" s="6"/>
      <c r="F35" s="6"/>
    </row>
    <row r="36" customFormat="false" ht="15" hidden="false" customHeight="true" outlineLevel="0" collapsed="false">
      <c r="A36" s="5" t="s">
        <v>33</v>
      </c>
      <c r="B36" s="6" t="s">
        <v>34</v>
      </c>
      <c r="C36" s="6"/>
      <c r="D36" s="6"/>
      <c r="E36" s="6"/>
      <c r="F36" s="6"/>
    </row>
    <row r="37" customFormat="false" ht="15" hidden="false" customHeight="true" outlineLevel="0" collapsed="false">
      <c r="A37" s="5" t="s">
        <v>35</v>
      </c>
      <c r="B37" s="6" t="s">
        <v>36</v>
      </c>
      <c r="C37" s="6"/>
      <c r="D37" s="6"/>
      <c r="E37" s="6"/>
      <c r="F37" s="6"/>
    </row>
  </sheetData>
  <sheetProtection sheet="true" password="cc6d" formatColumns="false" formatRows="false" autoFilter="false"/>
  <mergeCells count="19">
    <mergeCell ref="A1:F1"/>
    <mergeCell ref="A2:F2"/>
    <mergeCell ref="A5:F5"/>
    <mergeCell ref="A8:F8"/>
    <mergeCell ref="A11:F11"/>
    <mergeCell ref="A14:F14"/>
    <mergeCell ref="A17:F17"/>
    <mergeCell ref="A20:F20"/>
    <mergeCell ref="A23:F23"/>
    <mergeCell ref="A26:F26"/>
    <mergeCell ref="B29:F29"/>
    <mergeCell ref="B30:F30"/>
    <mergeCell ref="B31:F31"/>
    <mergeCell ref="B32:F32"/>
    <mergeCell ref="B33:F33"/>
    <mergeCell ref="B34:F34"/>
    <mergeCell ref="B35:F35"/>
    <mergeCell ref="B36:F36"/>
    <mergeCell ref="B37:F3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7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4" ySplit="3" topLeftCell="E16" activePane="bottomRight" state="frozen"/>
      <selection pane="topLeft" activeCell="A1" activeCellId="0" sqref="A1"/>
      <selection pane="topRight" activeCell="E1" activeCellId="0" sqref="E1"/>
      <selection pane="bottomLeft" activeCell="A16" activeCellId="0" sqref="A16"/>
      <selection pane="bottomRight" activeCell="E6" activeCellId="0" sqref="E6"/>
    </sheetView>
  </sheetViews>
  <sheetFormatPr defaultColWidth="8.66796875" defaultRowHeight="14.25" zeroHeight="false" outlineLevelRow="0" outlineLevelCol="0"/>
  <cols>
    <col collapsed="false" customWidth="true" hidden="false" outlineLevel="0" max="1" min="1" style="0" width="8"/>
    <col collapsed="false" customWidth="true" hidden="false" outlineLevel="0" max="2" min="2" style="0" width="22"/>
    <col collapsed="false" customWidth="true" hidden="false" outlineLevel="0" max="3" min="3" style="0" width="16"/>
    <col collapsed="false" customWidth="true" hidden="false" outlineLevel="0" max="4" min="4" style="0" width="52"/>
    <col collapsed="false" customWidth="true" hidden="false" outlineLevel="0" max="5" min="5" style="0" width="28"/>
    <col collapsed="false" customWidth="true" hidden="false" outlineLevel="0" max="6" min="6" style="0" width="8"/>
    <col collapsed="false" customWidth="true" hidden="false" outlineLevel="0" max="8" min="7" style="0" width="28"/>
    <col collapsed="false" customWidth="true" hidden="false" outlineLevel="0" max="9" min="9" style="0" width="10"/>
    <col collapsed="false" customWidth="true" hidden="false" outlineLevel="0" max="10" min="10" style="0" width="5"/>
    <col collapsed="false" customWidth="true" hidden="false" outlineLevel="0" max="11" min="11" style="0" width="30"/>
    <col collapsed="false" customWidth="true" hidden="false" outlineLevel="0" max="12" min="12" style="0" width="16"/>
    <col collapsed="false" customWidth="true" hidden="false" outlineLevel="0" max="14" min="13" style="0" width="26"/>
    <col collapsed="false" customWidth="true" hidden="false" outlineLevel="0" max="15" min="15" style="0" width="24"/>
    <col collapsed="false" customWidth="true" hidden="false" outlineLevel="0" max="16" min="16" style="0" width="18"/>
    <col collapsed="false" customWidth="true" hidden="false" outlineLevel="0" max="17" min="17" style="0" width="16"/>
    <col collapsed="false" customWidth="true" hidden="false" outlineLevel="0" max="18" min="18" style="0" width="26"/>
    <col collapsed="false" customWidth="true" hidden="true" outlineLevel="0" max="19" min="19" style="0" width="6"/>
    <col collapsed="false" customWidth="true" hidden="true" outlineLevel="0" max="21" min="21" style="0" width="13"/>
  </cols>
  <sheetData>
    <row r="1" customFormat="false" ht="17.25" hidden="false" customHeight="true" outlineLevel="0" collapsed="false">
      <c r="A1" s="7" t="s">
        <v>37</v>
      </c>
    </row>
    <row r="3" customFormat="false" ht="42" hidden="false" customHeight="true" outlineLevel="0" collapsed="false">
      <c r="A3" s="8" t="s">
        <v>38</v>
      </c>
      <c r="B3" s="8" t="s">
        <v>39</v>
      </c>
      <c r="C3" s="8" t="s">
        <v>40</v>
      </c>
      <c r="D3" s="8" t="s">
        <v>41</v>
      </c>
      <c r="E3" s="8" t="s">
        <v>42</v>
      </c>
      <c r="F3" s="8" t="s">
        <v>43</v>
      </c>
      <c r="G3" s="8" t="s">
        <v>44</v>
      </c>
      <c r="H3" s="8" t="s">
        <v>45</v>
      </c>
      <c r="I3" s="8" t="s">
        <v>46</v>
      </c>
      <c r="J3" s="8" t="s">
        <v>47</v>
      </c>
      <c r="K3" s="8" t="s">
        <v>48</v>
      </c>
      <c r="L3" s="8" t="s">
        <v>49</v>
      </c>
      <c r="M3" s="8" t="s">
        <v>50</v>
      </c>
      <c r="N3" s="8" t="s">
        <v>51</v>
      </c>
      <c r="O3" s="8" t="s">
        <v>52</v>
      </c>
      <c r="P3" s="8" t="s">
        <v>53</v>
      </c>
      <c r="Q3" s="8" t="s">
        <v>54</v>
      </c>
      <c r="R3" s="8" t="s">
        <v>55</v>
      </c>
      <c r="S3" s="8" t="s">
        <v>56</v>
      </c>
      <c r="U3" s="9" t="s">
        <v>57</v>
      </c>
    </row>
    <row r="4" customFormat="false" ht="39" hidden="false" customHeight="true" outlineLevel="0" collapsed="false">
      <c r="A4" s="10" t="s">
        <v>58</v>
      </c>
      <c r="B4" s="10" t="s">
        <v>59</v>
      </c>
      <c r="C4" s="10" t="s">
        <v>60</v>
      </c>
      <c r="D4" s="10" t="s">
        <v>61</v>
      </c>
      <c r="E4" s="10" t="s">
        <v>62</v>
      </c>
      <c r="F4" s="10" t="s">
        <v>63</v>
      </c>
      <c r="G4" s="10" t="str">
        <f aca="false">IFERROR(INDEX(Dependencias!$H$5:$H$51,MATCH(F4,Dependencias!$E$5:$E$51,0)),"")</f>
        <v>Despacho de Rectoría</v>
      </c>
      <c r="H4" s="10" t="str">
        <f aca="false">IFERROR(INDEX(Dependencias!$F$5:$F$51,MATCH(F4,Dependencias!$E$5:$E$51,0))&amp;" · "&amp;INDEX(Dependencias!$G$5:$G$51,MATCH(F4,Dependencias!$E$5:$E$51,0)),"")</f>
        <v>100 · Rectoría</v>
      </c>
      <c r="I4" s="10" t="s">
        <v>64</v>
      </c>
      <c r="J4" s="10" t="str">
        <f aca="false">LEFT(I4,1)</f>
        <v>5</v>
      </c>
      <c r="K4" s="10" t="s">
        <v>65</v>
      </c>
      <c r="L4" s="10" t="s">
        <v>66</v>
      </c>
      <c r="M4" s="10" t="s">
        <v>67</v>
      </c>
      <c r="N4" s="10" t="s">
        <v>68</v>
      </c>
      <c r="O4" s="10" t="s">
        <v>69</v>
      </c>
      <c r="P4" s="11"/>
      <c r="Q4" s="11"/>
      <c r="R4" s="11"/>
      <c r="S4" s="12" t="str">
        <f aca="false">IF(F4=LEFT(Buscador_Formulacion!$C$4,3),COUNTIF($F$4:F4,LEFT(Buscador_Formulacion!$C$4,3)),"")</f>
        <v/>
      </c>
      <c r="U4" s="13" t="s">
        <v>70</v>
      </c>
    </row>
    <row r="5" customFormat="false" ht="35.05" hidden="false" customHeight="false" outlineLevel="0" collapsed="false">
      <c r="A5" s="10" t="s">
        <v>71</v>
      </c>
      <c r="B5" s="10" t="s">
        <v>59</v>
      </c>
      <c r="C5" s="10" t="s">
        <v>60</v>
      </c>
      <c r="D5" s="10" t="s">
        <v>72</v>
      </c>
      <c r="E5" s="10" t="s">
        <v>73</v>
      </c>
      <c r="F5" s="10" t="s">
        <v>74</v>
      </c>
      <c r="G5" s="10" t="str">
        <f aca="false">IFERROR(INDEX(Dependencias!$H$5:$H$51,MATCH(F5,Dependencias!$E$5:$E$51,0)),"")</f>
        <v>Despacho de Secretaría General</v>
      </c>
      <c r="H5" s="10" t="str">
        <f aca="false">IFERROR(INDEX(Dependencias!$F$5:$F$51,MATCH(F5,Dependencias!$E$5:$E$51,0))&amp;" · "&amp;INDEX(Dependencias!$G$5:$G$51,MATCH(F5,Dependencias!$E$5:$E$51,0)),"")</f>
        <v>110 · Secretaría General</v>
      </c>
      <c r="I5" s="10" t="s">
        <v>64</v>
      </c>
      <c r="J5" s="10" t="str">
        <f aca="false">LEFT(I5,1)</f>
        <v>5</v>
      </c>
      <c r="K5" s="10" t="s">
        <v>75</v>
      </c>
      <c r="L5" s="10" t="s">
        <v>76</v>
      </c>
      <c r="M5" s="10" t="s">
        <v>77</v>
      </c>
      <c r="N5" s="10" t="s">
        <v>78</v>
      </c>
      <c r="O5" s="10" t="s">
        <v>69</v>
      </c>
      <c r="P5" s="11"/>
      <c r="Q5" s="11"/>
      <c r="R5" s="11"/>
      <c r="S5" s="12" t="str">
        <f aca="false">IF(F5=LEFT(Buscador_Formulacion!$C$4,3),COUNTIF($F$4:F5,LEFT(Buscador_Formulacion!$C$4,3)),"")</f>
        <v/>
      </c>
      <c r="U5" s="13" t="s">
        <v>79</v>
      </c>
    </row>
    <row r="6" customFormat="false" ht="52.5" hidden="false" customHeight="true" outlineLevel="0" collapsed="false">
      <c r="A6" s="10" t="s">
        <v>80</v>
      </c>
      <c r="B6" s="10" t="s">
        <v>59</v>
      </c>
      <c r="C6" s="10" t="s">
        <v>60</v>
      </c>
      <c r="D6" s="10" t="s">
        <v>81</v>
      </c>
      <c r="E6" s="10" t="s">
        <v>82</v>
      </c>
      <c r="F6" s="10" t="s">
        <v>83</v>
      </c>
      <c r="G6" s="10" t="str">
        <f aca="false">IFERROR(INDEX(Dependencias!$H$5:$H$51,MATCH(F6,Dependencias!$E$5:$E$51,0)),"")</f>
        <v>Despacho de la Vicerrectoría Académica</v>
      </c>
      <c r="H6" s="10" t="str">
        <f aca="false">IFERROR(INDEX(Dependencias!$F$5:$F$51,MATCH(F6,Dependencias!$E$5:$E$51,0))&amp;" · "&amp;INDEX(Dependencias!$G$5:$G$51,MATCH(F6,Dependencias!$E$5:$E$51,0)),"")</f>
        <v>120 · Vicerrectoría Académica</v>
      </c>
      <c r="I6" s="10" t="s">
        <v>64</v>
      </c>
      <c r="J6" s="10" t="str">
        <f aca="false">LEFT(I6,1)</f>
        <v>5</v>
      </c>
      <c r="K6" s="10" t="s">
        <v>84</v>
      </c>
      <c r="L6" s="10" t="s">
        <v>85</v>
      </c>
      <c r="M6" s="10" t="s">
        <v>86</v>
      </c>
      <c r="N6" s="10" t="s">
        <v>87</v>
      </c>
      <c r="O6" s="10" t="s">
        <v>69</v>
      </c>
      <c r="P6" s="11"/>
      <c r="Q6" s="11"/>
      <c r="R6" s="11"/>
      <c r="S6" s="12" t="str">
        <f aca="false">IF(F6=LEFT(Buscador_Formulacion!$C$4,3),COUNTIF($F$4:F6,LEFT(Buscador_Formulacion!$C$4,3)),"")</f>
        <v/>
      </c>
      <c r="U6" s="13" t="s">
        <v>88</v>
      </c>
    </row>
    <row r="7" customFormat="false" ht="39" hidden="false" customHeight="true" outlineLevel="0" collapsed="false">
      <c r="A7" s="10" t="s">
        <v>89</v>
      </c>
      <c r="B7" s="10" t="s">
        <v>59</v>
      </c>
      <c r="C7" s="10" t="s">
        <v>60</v>
      </c>
      <c r="D7" s="10" t="s">
        <v>90</v>
      </c>
      <c r="E7" s="10" t="s">
        <v>91</v>
      </c>
      <c r="F7" s="10" t="s">
        <v>83</v>
      </c>
      <c r="G7" s="10" t="str">
        <f aca="false">IFERROR(INDEX(Dependencias!$H$5:$H$51,MATCH(F7,Dependencias!$E$5:$E$51,0)),"")</f>
        <v>Despacho de la Vicerrectoría Académica</v>
      </c>
      <c r="H7" s="10" t="str">
        <f aca="false">IFERROR(INDEX(Dependencias!$F$5:$F$51,MATCH(F7,Dependencias!$E$5:$E$51,0))&amp;" · "&amp;INDEX(Dependencias!$G$5:$G$51,MATCH(F7,Dependencias!$E$5:$E$51,0)),"")</f>
        <v>120 · Vicerrectoría Académica</v>
      </c>
      <c r="I7" s="10" t="s">
        <v>92</v>
      </c>
      <c r="J7" s="10" t="str">
        <f aca="false">LEFT(I7,1)</f>
        <v>1</v>
      </c>
      <c r="K7" s="10" t="s">
        <v>93</v>
      </c>
      <c r="L7" s="10" t="s">
        <v>94</v>
      </c>
      <c r="M7" s="10" t="s">
        <v>95</v>
      </c>
      <c r="N7" s="10" t="s">
        <v>96</v>
      </c>
      <c r="O7" s="10" t="s">
        <v>69</v>
      </c>
      <c r="P7" s="11"/>
      <c r="Q7" s="11"/>
      <c r="R7" s="11"/>
      <c r="S7" s="12" t="str">
        <f aca="false">IF(F7=LEFT(Buscador_Formulacion!$C$4,3),COUNTIF($F$4:F7,LEFT(Buscador_Formulacion!$C$4,3)),"")</f>
        <v/>
      </c>
      <c r="U7" s="13" t="s">
        <v>97</v>
      </c>
    </row>
    <row r="8" customFormat="false" ht="39" hidden="false" customHeight="true" outlineLevel="0" collapsed="false">
      <c r="A8" s="10" t="s">
        <v>98</v>
      </c>
      <c r="B8" s="10" t="s">
        <v>59</v>
      </c>
      <c r="C8" s="10" t="s">
        <v>99</v>
      </c>
      <c r="D8" s="10" t="s">
        <v>100</v>
      </c>
      <c r="E8" s="10" t="s">
        <v>91</v>
      </c>
      <c r="F8" s="10" t="s">
        <v>83</v>
      </c>
      <c r="G8" s="10" t="str">
        <f aca="false">IFERROR(INDEX(Dependencias!$H$5:$H$51,MATCH(F8,Dependencias!$E$5:$E$51,0)),"")</f>
        <v>Despacho de la Vicerrectoría Académica</v>
      </c>
      <c r="H8" s="10" t="str">
        <f aca="false">IFERROR(INDEX(Dependencias!$F$5:$F$51,MATCH(F8,Dependencias!$E$5:$E$51,0))&amp;" · "&amp;INDEX(Dependencias!$G$5:$G$51,MATCH(F8,Dependencias!$E$5:$E$51,0)),"")</f>
        <v>120 · Vicerrectoría Académica</v>
      </c>
      <c r="I8" s="10" t="s">
        <v>64</v>
      </c>
      <c r="J8" s="10" t="str">
        <f aca="false">LEFT(I8,1)</f>
        <v>5</v>
      </c>
      <c r="K8" s="10" t="s">
        <v>101</v>
      </c>
      <c r="L8" s="10" t="s">
        <v>94</v>
      </c>
      <c r="M8" s="10" t="s">
        <v>102</v>
      </c>
      <c r="N8" s="10" t="s">
        <v>103</v>
      </c>
      <c r="O8" s="10" t="s">
        <v>69</v>
      </c>
      <c r="P8" s="11"/>
      <c r="Q8" s="11"/>
      <c r="R8" s="11"/>
      <c r="S8" s="12" t="str">
        <f aca="false">IF(F8=LEFT(Buscador_Formulacion!$C$4,3),COUNTIF($F$4:F8,LEFT(Buscador_Formulacion!$C$4,3)),"")</f>
        <v/>
      </c>
    </row>
    <row r="9" customFormat="false" ht="39" hidden="false" customHeight="true" outlineLevel="0" collapsed="false">
      <c r="A9" s="10" t="s">
        <v>104</v>
      </c>
      <c r="B9" s="10" t="s">
        <v>59</v>
      </c>
      <c r="C9" s="10" t="s">
        <v>99</v>
      </c>
      <c r="D9" s="10" t="s">
        <v>105</v>
      </c>
      <c r="E9" s="10" t="s">
        <v>106</v>
      </c>
      <c r="F9" s="10" t="s">
        <v>83</v>
      </c>
      <c r="G9" s="10" t="str">
        <f aca="false">IFERROR(INDEX(Dependencias!$H$5:$H$51,MATCH(F9,Dependencias!$E$5:$E$51,0)),"")</f>
        <v>Despacho de la Vicerrectoría Académica</v>
      </c>
      <c r="H9" s="10" t="str">
        <f aca="false">IFERROR(INDEX(Dependencias!$F$5:$F$51,MATCH(F9,Dependencias!$E$5:$E$51,0))&amp;" · "&amp;INDEX(Dependencias!$G$5:$G$51,MATCH(F9,Dependencias!$E$5:$E$51,0)),"")</f>
        <v>120 · Vicerrectoría Académica</v>
      </c>
      <c r="I9" s="10" t="s">
        <v>92</v>
      </c>
      <c r="J9" s="10" t="str">
        <f aca="false">LEFT(I9,1)</f>
        <v>1</v>
      </c>
      <c r="K9" s="10" t="s">
        <v>101</v>
      </c>
      <c r="L9" s="10" t="s">
        <v>107</v>
      </c>
      <c r="M9" s="10" t="s">
        <v>108</v>
      </c>
      <c r="N9" s="10" t="s">
        <v>109</v>
      </c>
      <c r="O9" s="10" t="s">
        <v>69</v>
      </c>
      <c r="P9" s="11"/>
      <c r="Q9" s="11"/>
      <c r="R9" s="11"/>
      <c r="S9" s="12" t="str">
        <f aca="false">IF(F9=LEFT(Buscador_Formulacion!$C$4,3),COUNTIF($F$4:F9,LEFT(Buscador_Formulacion!$C$4,3)),"")</f>
        <v/>
      </c>
    </row>
    <row r="10" customFormat="false" ht="39" hidden="false" customHeight="true" outlineLevel="0" collapsed="false">
      <c r="A10" s="10" t="s">
        <v>110</v>
      </c>
      <c r="B10" s="10" t="s">
        <v>59</v>
      </c>
      <c r="C10" s="10" t="s">
        <v>99</v>
      </c>
      <c r="D10" s="10" t="s">
        <v>111</v>
      </c>
      <c r="E10" s="10" t="s">
        <v>91</v>
      </c>
      <c r="F10" s="10" t="s">
        <v>83</v>
      </c>
      <c r="G10" s="10" t="str">
        <f aca="false">IFERROR(INDEX(Dependencias!$H$5:$H$51,MATCH(F10,Dependencias!$E$5:$E$51,0)),"")</f>
        <v>Despacho de la Vicerrectoría Académica</v>
      </c>
      <c r="H10" s="10" t="str">
        <f aca="false">IFERROR(INDEX(Dependencias!$F$5:$F$51,MATCH(F10,Dependencias!$E$5:$E$51,0))&amp;" · "&amp;INDEX(Dependencias!$G$5:$G$51,MATCH(F10,Dependencias!$E$5:$E$51,0)),"")</f>
        <v>120 · Vicerrectoría Académica</v>
      </c>
      <c r="I10" s="10" t="s">
        <v>64</v>
      </c>
      <c r="J10" s="10" t="str">
        <f aca="false">LEFT(I10,1)</f>
        <v>5</v>
      </c>
      <c r="K10" s="10" t="s">
        <v>101</v>
      </c>
      <c r="L10" s="10" t="s">
        <v>112</v>
      </c>
      <c r="M10" s="10" t="s">
        <v>113</v>
      </c>
      <c r="N10" s="10" t="s">
        <v>114</v>
      </c>
      <c r="O10" s="10" t="s">
        <v>69</v>
      </c>
      <c r="P10" s="11"/>
      <c r="Q10" s="11"/>
      <c r="R10" s="11"/>
      <c r="S10" s="12" t="str">
        <f aca="false">IF(F10=LEFT(Buscador_Formulacion!$C$4,3),COUNTIF($F$4:F10,LEFT(Buscador_Formulacion!$C$4,3)),"")</f>
        <v/>
      </c>
    </row>
    <row r="11" customFormat="false" ht="39" hidden="false" customHeight="true" outlineLevel="0" collapsed="false">
      <c r="A11" s="10" t="s">
        <v>115</v>
      </c>
      <c r="B11" s="10" t="s">
        <v>59</v>
      </c>
      <c r="C11" s="10" t="s">
        <v>99</v>
      </c>
      <c r="D11" s="10" t="s">
        <v>116</v>
      </c>
      <c r="E11" s="10" t="s">
        <v>91</v>
      </c>
      <c r="F11" s="10" t="s">
        <v>83</v>
      </c>
      <c r="G11" s="10" t="str">
        <f aca="false">IFERROR(INDEX(Dependencias!$H$5:$H$51,MATCH(F11,Dependencias!$E$5:$E$51,0)),"")</f>
        <v>Despacho de la Vicerrectoría Académica</v>
      </c>
      <c r="H11" s="10" t="str">
        <f aca="false">IFERROR(INDEX(Dependencias!$F$5:$F$51,MATCH(F11,Dependencias!$E$5:$E$51,0))&amp;" · "&amp;INDEX(Dependencias!$G$5:$G$51,MATCH(F11,Dependencias!$E$5:$E$51,0)),"")</f>
        <v>120 · Vicerrectoría Académica</v>
      </c>
      <c r="I11" s="10" t="s">
        <v>64</v>
      </c>
      <c r="J11" s="10" t="str">
        <f aca="false">LEFT(I11,1)</f>
        <v>5</v>
      </c>
      <c r="K11" s="10" t="s">
        <v>117</v>
      </c>
      <c r="L11" s="10" t="s">
        <v>118</v>
      </c>
      <c r="M11" s="10" t="s">
        <v>119</v>
      </c>
      <c r="N11" s="10" t="s">
        <v>120</v>
      </c>
      <c r="O11" s="10" t="s">
        <v>69</v>
      </c>
      <c r="P11" s="11"/>
      <c r="Q11" s="11"/>
      <c r="R11" s="11"/>
      <c r="S11" s="12" t="str">
        <f aca="false">IF(F11=LEFT(Buscador_Formulacion!$C$4,3),COUNTIF($F$4:F11,LEFT(Buscador_Formulacion!$C$4,3)),"")</f>
        <v/>
      </c>
    </row>
    <row r="12" customFormat="false" ht="39" hidden="false" customHeight="true" outlineLevel="0" collapsed="false">
      <c r="A12" s="10" t="s">
        <v>121</v>
      </c>
      <c r="B12" s="10" t="s">
        <v>59</v>
      </c>
      <c r="C12" s="10" t="s">
        <v>99</v>
      </c>
      <c r="D12" s="10" t="s">
        <v>122</v>
      </c>
      <c r="E12" s="10" t="s">
        <v>123</v>
      </c>
      <c r="F12" s="10" t="s">
        <v>124</v>
      </c>
      <c r="G12" s="10" t="str">
        <f aca="false">IFERROR(INDEX(Dependencias!$H$5:$H$51,MATCH(F12,Dependencias!$E$5:$E$51,0)),"")</f>
        <v>GIT Registro, Control y Admisiones</v>
      </c>
      <c r="H12" s="10" t="str">
        <f aca="false">IFERROR(INDEX(Dependencias!$F$5:$F$51,MATCH(F12,Dependencias!$E$5:$E$51,0))&amp;" · "&amp;INDEX(Dependencias!$G$5:$G$51,MATCH(F12,Dependencias!$E$5:$E$51,0)),"")</f>
        <v>126 · GIT Registro y Control</v>
      </c>
      <c r="I12" s="10" t="s">
        <v>92</v>
      </c>
      <c r="J12" s="10" t="str">
        <f aca="false">LEFT(I12,1)</f>
        <v>1</v>
      </c>
      <c r="K12" s="10" t="s">
        <v>101</v>
      </c>
      <c r="L12" s="10" t="s">
        <v>125</v>
      </c>
      <c r="M12" s="10" t="s">
        <v>126</v>
      </c>
      <c r="N12" s="10" t="s">
        <v>127</v>
      </c>
      <c r="O12" s="10" t="s">
        <v>69</v>
      </c>
      <c r="P12" s="11"/>
      <c r="Q12" s="11"/>
      <c r="R12" s="11"/>
      <c r="S12" s="12" t="str">
        <f aca="false">IF(F12=LEFT(Buscador_Formulacion!$C$4,3),COUNTIF($F$4:F12,LEFT(Buscador_Formulacion!$C$4,3)),"")</f>
        <v/>
      </c>
    </row>
    <row r="13" customFormat="false" ht="39" hidden="false" customHeight="true" outlineLevel="0" collapsed="false">
      <c r="A13" s="10" t="s">
        <v>128</v>
      </c>
      <c r="B13" s="10" t="s">
        <v>59</v>
      </c>
      <c r="C13" s="10" t="s">
        <v>99</v>
      </c>
      <c r="D13" s="10" t="s">
        <v>129</v>
      </c>
      <c r="E13" s="10" t="s">
        <v>130</v>
      </c>
      <c r="F13" s="10" t="s">
        <v>124</v>
      </c>
      <c r="G13" s="10" t="str">
        <f aca="false">IFERROR(INDEX(Dependencias!$H$5:$H$51,MATCH(F13,Dependencias!$E$5:$E$51,0)),"")</f>
        <v>GIT Registro, Control y Admisiones</v>
      </c>
      <c r="H13" s="10" t="str">
        <f aca="false">IFERROR(INDEX(Dependencias!$F$5:$F$51,MATCH(F13,Dependencias!$E$5:$E$51,0))&amp;" · "&amp;INDEX(Dependencias!$G$5:$G$51,MATCH(F13,Dependencias!$E$5:$E$51,0)),"")</f>
        <v>126 · GIT Registro y Control</v>
      </c>
      <c r="I13" s="10" t="s">
        <v>92</v>
      </c>
      <c r="J13" s="10" t="str">
        <f aca="false">LEFT(I13,1)</f>
        <v>1</v>
      </c>
      <c r="K13" s="10" t="s">
        <v>101</v>
      </c>
      <c r="L13" s="10" t="s">
        <v>131</v>
      </c>
      <c r="M13" s="10" t="s">
        <v>132</v>
      </c>
      <c r="N13" s="10" t="s">
        <v>133</v>
      </c>
      <c r="O13" s="10" t="s">
        <v>69</v>
      </c>
      <c r="P13" s="11"/>
      <c r="Q13" s="11"/>
      <c r="R13" s="11"/>
      <c r="S13" s="12" t="str">
        <f aca="false">IF(F13=LEFT(Buscador_Formulacion!$C$4,3),COUNTIF($F$4:F13,LEFT(Buscador_Formulacion!$C$4,3)),"")</f>
        <v/>
      </c>
    </row>
    <row r="14" customFormat="false" ht="52.5" hidden="false" customHeight="true" outlineLevel="0" collapsed="false">
      <c r="A14" s="10" t="s">
        <v>134</v>
      </c>
      <c r="B14" s="10" t="s">
        <v>59</v>
      </c>
      <c r="C14" s="10" t="s">
        <v>135</v>
      </c>
      <c r="D14" s="10" t="s">
        <v>136</v>
      </c>
      <c r="E14" s="10" t="s">
        <v>137</v>
      </c>
      <c r="F14" s="10" t="s">
        <v>138</v>
      </c>
      <c r="G14" s="10" t="str">
        <f aca="false">IFERROR(INDEX(Dependencias!$H$5:$H$51,MATCH(F14,Dependencias!$E$5:$E$51,0)),"")</f>
        <v>Planeación y Plan de Acción</v>
      </c>
      <c r="H14" s="10" t="str">
        <f aca="false">IFERROR(INDEX(Dependencias!$F$5:$F$51,MATCH(F14,Dependencias!$E$5:$E$51,0))&amp;" · "&amp;INDEX(Dependencias!$G$5:$G$51,MATCH(F14,Dependencias!$E$5:$E$51,0)),"")</f>
        <v>101 · Oficina Asesora de Planeación y Desarrollo Institucional</v>
      </c>
      <c r="I14" s="10" t="s">
        <v>139</v>
      </c>
      <c r="J14" s="10" t="str">
        <f aca="false">LEFT(I14,1)</f>
        <v>1</v>
      </c>
      <c r="K14" s="10" t="s">
        <v>140</v>
      </c>
      <c r="L14" s="10" t="s">
        <v>141</v>
      </c>
      <c r="M14" s="10" t="s">
        <v>142</v>
      </c>
      <c r="N14" s="10" t="s">
        <v>143</v>
      </c>
      <c r="O14" s="10" t="s">
        <v>69</v>
      </c>
      <c r="P14" s="11"/>
      <c r="Q14" s="11"/>
      <c r="R14" s="11"/>
      <c r="S14" s="12" t="str">
        <f aca="false">IF(F14=LEFT(Buscador_Formulacion!$C$4,3),COUNTIF($F$4:F14,LEFT(Buscador_Formulacion!$C$4,3)),"")</f>
        <v/>
      </c>
    </row>
    <row r="15" customFormat="false" ht="39" hidden="false" customHeight="true" outlineLevel="0" collapsed="false">
      <c r="A15" s="10" t="s">
        <v>144</v>
      </c>
      <c r="B15" s="10" t="s">
        <v>59</v>
      </c>
      <c r="C15" s="10" t="s">
        <v>135</v>
      </c>
      <c r="D15" s="10" t="s">
        <v>145</v>
      </c>
      <c r="E15" s="10" t="s">
        <v>146</v>
      </c>
      <c r="F15" s="10" t="s">
        <v>147</v>
      </c>
      <c r="G15" s="10" t="str">
        <f aca="false">IFERROR(INDEX(Dependencias!$H$5:$H$51,MATCH(F15,Dependencias!$E$5:$E$51,0)),"")</f>
        <v>Despacho de la Vicerrectoría Administrativa y Financiera</v>
      </c>
      <c r="H15" s="10" t="str">
        <f aca="false">IFERROR(INDEX(Dependencias!$F$5:$F$51,MATCH(F15,Dependencias!$E$5:$E$51,0))&amp;" · "&amp;INDEX(Dependencias!$G$5:$G$51,MATCH(F15,Dependencias!$E$5:$E$51,0)),"")</f>
        <v>130 · Vicerrectoría Administrativa y Financiera</v>
      </c>
      <c r="I15" s="10" t="s">
        <v>64</v>
      </c>
      <c r="J15" s="10" t="str">
        <f aca="false">LEFT(I15,1)</f>
        <v>5</v>
      </c>
      <c r="K15" s="10" t="s">
        <v>148</v>
      </c>
      <c r="L15" s="10" t="s">
        <v>94</v>
      </c>
      <c r="M15" s="10" t="s">
        <v>149</v>
      </c>
      <c r="N15" s="10" t="s">
        <v>150</v>
      </c>
      <c r="O15" s="10" t="s">
        <v>69</v>
      </c>
      <c r="P15" s="11"/>
      <c r="Q15" s="11"/>
      <c r="R15" s="11"/>
      <c r="S15" s="12" t="str">
        <f aca="false">IF(F15=LEFT(Buscador_Formulacion!$C$4,3),COUNTIF($F$4:F15,LEFT(Buscador_Formulacion!$C$4,3)),"")</f>
        <v/>
      </c>
    </row>
    <row r="16" customFormat="false" ht="52.5" hidden="false" customHeight="true" outlineLevel="0" collapsed="false">
      <c r="A16" s="10" t="s">
        <v>151</v>
      </c>
      <c r="B16" s="10" t="s">
        <v>59</v>
      </c>
      <c r="C16" s="10" t="s">
        <v>135</v>
      </c>
      <c r="D16" s="10" t="s">
        <v>152</v>
      </c>
      <c r="E16" s="10" t="s">
        <v>153</v>
      </c>
      <c r="F16" s="10" t="s">
        <v>154</v>
      </c>
      <c r="G16" s="10" t="str">
        <f aca="false">IFERROR(INDEX(Dependencias!$H$5:$H$51,MATCH(F16,Dependencias!$E$5:$E$51,0)),"")</f>
        <v>Facultad de Inteligencia Artificial (Acuerdo 010 de 2025)</v>
      </c>
      <c r="H16" s="10" t="str">
        <f aca="false">IFERROR(INDEX(Dependencias!$F$5:$F$51,MATCH(F16,Dependencias!$E$5:$E$51,0))&amp;" · "&amp;INDEX(Dependencias!$G$5:$G$51,MATCH(F16,Dependencias!$E$5:$E$51,0)),"")</f>
        <v>123 · Facultades</v>
      </c>
      <c r="I16" s="10" t="s">
        <v>139</v>
      </c>
      <c r="J16" s="10" t="str">
        <f aca="false">LEFT(I16,1)</f>
        <v>1</v>
      </c>
      <c r="K16" s="10" t="s">
        <v>155</v>
      </c>
      <c r="L16" s="10" t="s">
        <v>94</v>
      </c>
      <c r="M16" s="10" t="s">
        <v>156</v>
      </c>
      <c r="N16" s="10" t="s">
        <v>157</v>
      </c>
      <c r="O16" s="10" t="s">
        <v>69</v>
      </c>
      <c r="P16" s="11"/>
      <c r="Q16" s="11"/>
      <c r="R16" s="11"/>
      <c r="S16" s="12" t="str">
        <f aca="false">IF(F16=LEFT(Buscador_Formulacion!$C$4,3),COUNTIF($F$4:F16,LEFT(Buscador_Formulacion!$C$4,3)),"")</f>
        <v/>
      </c>
    </row>
    <row r="17" customFormat="false" ht="39" hidden="false" customHeight="true" outlineLevel="0" collapsed="false">
      <c r="A17" s="10" t="s">
        <v>158</v>
      </c>
      <c r="B17" s="10" t="s">
        <v>59</v>
      </c>
      <c r="C17" s="10" t="s">
        <v>135</v>
      </c>
      <c r="D17" s="10" t="s">
        <v>159</v>
      </c>
      <c r="E17" s="10" t="s">
        <v>160</v>
      </c>
      <c r="F17" s="10" t="s">
        <v>83</v>
      </c>
      <c r="G17" s="10" t="str">
        <f aca="false">IFERROR(INDEX(Dependencias!$H$5:$H$51,MATCH(F17,Dependencias!$E$5:$E$51,0)),"")</f>
        <v>Despacho de la Vicerrectoría Académica</v>
      </c>
      <c r="H17" s="10" t="str">
        <f aca="false">IFERROR(INDEX(Dependencias!$F$5:$F$51,MATCH(F17,Dependencias!$E$5:$E$51,0))&amp;" · "&amp;INDEX(Dependencias!$G$5:$G$51,MATCH(F17,Dependencias!$E$5:$E$51,0)),"")</f>
        <v>120 · Vicerrectoría Académica</v>
      </c>
      <c r="I17" s="10" t="s">
        <v>139</v>
      </c>
      <c r="J17" s="10" t="str">
        <f aca="false">LEFT(I17,1)</f>
        <v>1</v>
      </c>
      <c r="K17" s="10" t="s">
        <v>161</v>
      </c>
      <c r="L17" s="10" t="s">
        <v>94</v>
      </c>
      <c r="M17" s="10" t="s">
        <v>162</v>
      </c>
      <c r="N17" s="10" t="s">
        <v>163</v>
      </c>
      <c r="O17" s="10" t="s">
        <v>69</v>
      </c>
      <c r="P17" s="11"/>
      <c r="Q17" s="11"/>
      <c r="R17" s="11"/>
      <c r="S17" s="12" t="str">
        <f aca="false">IF(F17=LEFT(Buscador_Formulacion!$C$4,3),COUNTIF($F$4:F17,LEFT(Buscador_Formulacion!$C$4,3)),"")</f>
        <v/>
      </c>
    </row>
    <row r="18" customFormat="false" ht="39" hidden="false" customHeight="true" outlineLevel="0" collapsed="false">
      <c r="A18" s="10" t="s">
        <v>164</v>
      </c>
      <c r="B18" s="10" t="s">
        <v>59</v>
      </c>
      <c r="C18" s="10" t="s">
        <v>135</v>
      </c>
      <c r="D18" s="10" t="s">
        <v>165</v>
      </c>
      <c r="E18" s="10" t="s">
        <v>91</v>
      </c>
      <c r="F18" s="10" t="s">
        <v>83</v>
      </c>
      <c r="G18" s="10" t="str">
        <f aca="false">IFERROR(INDEX(Dependencias!$H$5:$H$51,MATCH(F18,Dependencias!$E$5:$E$51,0)),"")</f>
        <v>Despacho de la Vicerrectoría Académica</v>
      </c>
      <c r="H18" s="10" t="str">
        <f aca="false">IFERROR(INDEX(Dependencias!$F$5:$F$51,MATCH(F18,Dependencias!$E$5:$E$51,0))&amp;" · "&amp;INDEX(Dependencias!$G$5:$G$51,MATCH(F18,Dependencias!$E$5:$E$51,0)),"")</f>
        <v>120 · Vicerrectoría Académica</v>
      </c>
      <c r="I18" s="10" t="s">
        <v>92</v>
      </c>
      <c r="J18" s="10" t="str">
        <f aca="false">LEFT(I18,1)</f>
        <v>1</v>
      </c>
      <c r="K18" s="10" t="s">
        <v>101</v>
      </c>
      <c r="L18" s="10" t="s">
        <v>166</v>
      </c>
      <c r="M18" s="10" t="s">
        <v>167</v>
      </c>
      <c r="N18" s="10" t="s">
        <v>168</v>
      </c>
      <c r="O18" s="10" t="s">
        <v>69</v>
      </c>
      <c r="P18" s="11"/>
      <c r="Q18" s="11"/>
      <c r="R18" s="11"/>
      <c r="S18" s="12" t="str">
        <f aca="false">IF(F18=LEFT(Buscador_Formulacion!$C$4,3),COUNTIF($F$4:F18,LEFT(Buscador_Formulacion!$C$4,3)),"")</f>
        <v/>
      </c>
    </row>
    <row r="19" customFormat="false" ht="39" hidden="false" customHeight="true" outlineLevel="0" collapsed="false">
      <c r="A19" s="10" t="s">
        <v>169</v>
      </c>
      <c r="B19" s="10" t="s">
        <v>59</v>
      </c>
      <c r="C19" s="10" t="s">
        <v>170</v>
      </c>
      <c r="D19" s="10" t="s">
        <v>171</v>
      </c>
      <c r="E19" s="10" t="s">
        <v>160</v>
      </c>
      <c r="F19" s="10" t="s">
        <v>172</v>
      </c>
      <c r="G19" s="10" t="str">
        <f aca="false">IFERROR(INDEX(Dependencias!$H$5:$H$51,MATCH(F19,Dependencias!$E$5:$E$51,0)),"")</f>
        <v>Aseguramiento de la Calidad, MIPG y Registros Calificados</v>
      </c>
      <c r="H19" s="10" t="str">
        <f aca="false">IFERROR(INDEX(Dependencias!$F$5:$F$51,MATCH(F19,Dependencias!$E$5:$E$51,0))&amp;" · "&amp;INDEX(Dependencias!$G$5:$G$51,MATCH(F19,Dependencias!$E$5:$E$51,0)),"")</f>
        <v>101 · Oficina Asesora de Planeación y Desarrollo Institucional</v>
      </c>
      <c r="I19" s="10" t="s">
        <v>139</v>
      </c>
      <c r="J19" s="10" t="str">
        <f aca="false">LEFT(I19,1)</f>
        <v>1</v>
      </c>
      <c r="K19" s="10" t="s">
        <v>173</v>
      </c>
      <c r="L19" s="10" t="s">
        <v>94</v>
      </c>
      <c r="M19" s="10" t="s">
        <v>174</v>
      </c>
      <c r="N19" s="10" t="s">
        <v>175</v>
      </c>
      <c r="O19" s="10" t="s">
        <v>69</v>
      </c>
      <c r="P19" s="11"/>
      <c r="Q19" s="11"/>
      <c r="R19" s="11"/>
      <c r="S19" s="12" t="str">
        <f aca="false">IF(F19=LEFT(Buscador_Formulacion!$C$4,3),COUNTIF($F$4:F19,LEFT(Buscador_Formulacion!$C$4,3)),"")</f>
        <v/>
      </c>
    </row>
    <row r="20" customFormat="false" ht="39" hidden="false" customHeight="true" outlineLevel="0" collapsed="false">
      <c r="A20" s="10" t="s">
        <v>176</v>
      </c>
      <c r="B20" s="10" t="s">
        <v>177</v>
      </c>
      <c r="C20" s="10" t="s">
        <v>60</v>
      </c>
      <c r="D20" s="10" t="s">
        <v>178</v>
      </c>
      <c r="E20" s="10" t="s">
        <v>179</v>
      </c>
      <c r="F20" s="10" t="s">
        <v>180</v>
      </c>
      <c r="G20" s="10" t="str">
        <f aca="false">IFERROR(INDEX(Dependencias!$H$5:$H$51,MATCH(F20,Dependencias!$E$5:$E$51,0)),"")</f>
        <v>Gestión Financiera (Presupuesto, Contabilidad, Tesorería)</v>
      </c>
      <c r="H20" s="10" t="str">
        <f aca="false">IFERROR(INDEX(Dependencias!$F$5:$F$51,MATCH(F20,Dependencias!$E$5:$E$51,0))&amp;" · "&amp;INDEX(Dependencias!$G$5:$G$51,MATCH(F20,Dependencias!$E$5:$E$51,0)),"")</f>
        <v>130 · Vicerrectoría Administrativa y Financiera</v>
      </c>
      <c r="I20" s="10" t="s">
        <v>181</v>
      </c>
      <c r="J20" s="10" t="str">
        <f aca="false">LEFT(I20,1)</f>
        <v>4</v>
      </c>
      <c r="K20" s="10" t="s">
        <v>182</v>
      </c>
      <c r="L20" s="10" t="s">
        <v>183</v>
      </c>
      <c r="M20" s="10" t="s">
        <v>184</v>
      </c>
      <c r="N20" s="10" t="s">
        <v>185</v>
      </c>
      <c r="O20" s="10" t="s">
        <v>186</v>
      </c>
      <c r="P20" s="11"/>
      <c r="Q20" s="11"/>
      <c r="R20" s="11"/>
      <c r="S20" s="12" t="str">
        <f aca="false">IF(F20=LEFT(Buscador_Formulacion!$C$4,3),COUNTIF($F$4:F20,LEFT(Buscador_Formulacion!$C$4,3)),"")</f>
        <v/>
      </c>
    </row>
    <row r="21" customFormat="false" ht="39" hidden="false" customHeight="true" outlineLevel="0" collapsed="false">
      <c r="A21" s="10" t="s">
        <v>187</v>
      </c>
      <c r="B21" s="10" t="s">
        <v>177</v>
      </c>
      <c r="C21" s="10" t="s">
        <v>60</v>
      </c>
      <c r="D21" s="10" t="s">
        <v>188</v>
      </c>
      <c r="E21" s="10" t="s">
        <v>189</v>
      </c>
      <c r="F21" s="10" t="s">
        <v>138</v>
      </c>
      <c r="G21" s="10" t="str">
        <f aca="false">IFERROR(INDEX(Dependencias!$H$5:$H$51,MATCH(F21,Dependencias!$E$5:$E$51,0)),"")</f>
        <v>Planeación y Plan de Acción</v>
      </c>
      <c r="H21" s="10" t="str">
        <f aca="false">IFERROR(INDEX(Dependencias!$F$5:$F$51,MATCH(F21,Dependencias!$E$5:$E$51,0))&amp;" · "&amp;INDEX(Dependencias!$G$5:$G$51,MATCH(F21,Dependencias!$E$5:$E$51,0)),"")</f>
        <v>101 · Oficina Asesora de Planeación y Desarrollo Institucional</v>
      </c>
      <c r="I21" s="10" t="s">
        <v>181</v>
      </c>
      <c r="J21" s="10" t="str">
        <f aca="false">LEFT(I21,1)</f>
        <v>4</v>
      </c>
      <c r="K21" s="10" t="s">
        <v>190</v>
      </c>
      <c r="L21" s="10" t="s">
        <v>191</v>
      </c>
      <c r="M21" s="10" t="s">
        <v>192</v>
      </c>
      <c r="N21" s="10" t="s">
        <v>193</v>
      </c>
      <c r="O21" s="10" t="s">
        <v>186</v>
      </c>
      <c r="P21" s="11"/>
      <c r="Q21" s="11"/>
      <c r="R21" s="11"/>
      <c r="S21" s="12" t="str">
        <f aca="false">IF(F21=LEFT(Buscador_Formulacion!$C$4,3),COUNTIF($F$4:F21,LEFT(Buscador_Formulacion!$C$4,3)),"")</f>
        <v/>
      </c>
    </row>
    <row r="22" customFormat="false" ht="39" hidden="false" customHeight="true" outlineLevel="0" collapsed="false">
      <c r="A22" s="10" t="s">
        <v>194</v>
      </c>
      <c r="B22" s="10" t="s">
        <v>177</v>
      </c>
      <c r="C22" s="10" t="s">
        <v>60</v>
      </c>
      <c r="D22" s="10" t="s">
        <v>195</v>
      </c>
      <c r="E22" s="10" t="s">
        <v>196</v>
      </c>
      <c r="F22" s="10" t="s">
        <v>147</v>
      </c>
      <c r="G22" s="10" t="str">
        <f aca="false">IFERROR(INDEX(Dependencias!$H$5:$H$51,MATCH(F22,Dependencias!$E$5:$E$51,0)),"")</f>
        <v>Despacho de la Vicerrectoría Administrativa y Financiera</v>
      </c>
      <c r="H22" s="10" t="str">
        <f aca="false">IFERROR(INDEX(Dependencias!$F$5:$F$51,MATCH(F22,Dependencias!$E$5:$E$51,0))&amp;" · "&amp;INDEX(Dependencias!$G$5:$G$51,MATCH(F22,Dependencias!$E$5:$E$51,0)),"")</f>
        <v>130 · Vicerrectoría Administrativa y Financiera</v>
      </c>
      <c r="I22" s="10" t="s">
        <v>181</v>
      </c>
      <c r="J22" s="10" t="str">
        <f aca="false">LEFT(I22,1)</f>
        <v>4</v>
      </c>
      <c r="K22" s="10" t="s">
        <v>197</v>
      </c>
      <c r="L22" s="10" t="s">
        <v>191</v>
      </c>
      <c r="M22" s="10" t="s">
        <v>198</v>
      </c>
      <c r="N22" s="10" t="s">
        <v>199</v>
      </c>
      <c r="O22" s="10" t="s">
        <v>186</v>
      </c>
      <c r="P22" s="11"/>
      <c r="Q22" s="11"/>
      <c r="R22" s="11"/>
      <c r="S22" s="12" t="str">
        <f aca="false">IF(F22=LEFT(Buscador_Formulacion!$C$4,3),COUNTIF($F$4:F22,LEFT(Buscador_Formulacion!$C$4,3)),"")</f>
        <v/>
      </c>
    </row>
    <row r="23" customFormat="false" ht="39" hidden="false" customHeight="true" outlineLevel="0" collapsed="false">
      <c r="A23" s="10" t="s">
        <v>200</v>
      </c>
      <c r="B23" s="10" t="s">
        <v>177</v>
      </c>
      <c r="C23" s="10" t="s">
        <v>60</v>
      </c>
      <c r="D23" s="10" t="s">
        <v>201</v>
      </c>
      <c r="E23" s="10" t="s">
        <v>202</v>
      </c>
      <c r="F23" s="10" t="s">
        <v>203</v>
      </c>
      <c r="G23" s="10" t="str">
        <f aca="false">IFERROR(INDEX(Dependencias!$H$5:$H$51,MATCH(F23,Dependencias!$E$5:$E$51,0)),"")</f>
        <v>Control Interno</v>
      </c>
      <c r="H23" s="10" t="str">
        <f aca="false">IFERROR(INDEX(Dependencias!$F$5:$F$51,MATCH(F23,Dependencias!$E$5:$E$51,0))&amp;" · "&amp;INDEX(Dependencias!$G$5:$G$51,MATCH(F23,Dependencias!$E$5:$E$51,0)),"")</f>
        <v>102 · Control Interno</v>
      </c>
      <c r="I23" s="10" t="s">
        <v>204</v>
      </c>
      <c r="J23" s="10" t="str">
        <f aca="false">LEFT(I23,1)</f>
        <v>4</v>
      </c>
      <c r="K23" s="10" t="s">
        <v>205</v>
      </c>
      <c r="L23" s="10" t="s">
        <v>206</v>
      </c>
      <c r="M23" s="10" t="s">
        <v>207</v>
      </c>
      <c r="N23" s="10" t="s">
        <v>208</v>
      </c>
      <c r="O23" s="10" t="s">
        <v>186</v>
      </c>
      <c r="P23" s="11"/>
      <c r="Q23" s="11"/>
      <c r="R23" s="11"/>
      <c r="S23" s="12" t="str">
        <f aca="false">IF(F23=LEFT(Buscador_Formulacion!$C$4,3),COUNTIF($F$4:F23,LEFT(Buscador_Formulacion!$C$4,3)),"")</f>
        <v/>
      </c>
    </row>
    <row r="24" customFormat="false" ht="39" hidden="false" customHeight="true" outlineLevel="0" collapsed="false">
      <c r="A24" s="10" t="s">
        <v>209</v>
      </c>
      <c r="B24" s="10" t="s">
        <v>177</v>
      </c>
      <c r="C24" s="10" t="s">
        <v>60</v>
      </c>
      <c r="D24" s="10" t="s">
        <v>210</v>
      </c>
      <c r="E24" s="10" t="s">
        <v>211</v>
      </c>
      <c r="F24" s="10" t="s">
        <v>74</v>
      </c>
      <c r="G24" s="10" t="str">
        <f aca="false">IFERROR(INDEX(Dependencias!$H$5:$H$51,MATCH(F24,Dependencias!$E$5:$E$51,0)),"")</f>
        <v>Despacho de Secretaría General</v>
      </c>
      <c r="H24" s="10" t="str">
        <f aca="false">IFERROR(INDEX(Dependencias!$F$5:$F$51,MATCH(F24,Dependencias!$E$5:$E$51,0))&amp;" · "&amp;INDEX(Dependencias!$G$5:$G$51,MATCH(F24,Dependencias!$E$5:$E$51,0)),"")</f>
        <v>110 · Secretaría General</v>
      </c>
      <c r="I24" s="10" t="s">
        <v>181</v>
      </c>
      <c r="J24" s="10" t="str">
        <f aca="false">LEFT(I24,1)</f>
        <v>4</v>
      </c>
      <c r="K24" s="10" t="s">
        <v>212</v>
      </c>
      <c r="L24" s="10" t="s">
        <v>191</v>
      </c>
      <c r="M24" s="10" t="s">
        <v>213</v>
      </c>
      <c r="N24" s="10" t="s">
        <v>214</v>
      </c>
      <c r="O24" s="10" t="s">
        <v>186</v>
      </c>
      <c r="P24" s="11"/>
      <c r="Q24" s="11"/>
      <c r="R24" s="11"/>
      <c r="S24" s="12" t="str">
        <f aca="false">IF(F24=LEFT(Buscador_Formulacion!$C$4,3),COUNTIF($F$4:F24,LEFT(Buscador_Formulacion!$C$4,3)),"")</f>
        <v/>
      </c>
    </row>
    <row r="25" customFormat="false" ht="39" hidden="false" customHeight="true" outlineLevel="0" collapsed="false">
      <c r="A25" s="10" t="s">
        <v>215</v>
      </c>
      <c r="B25" s="10" t="s">
        <v>177</v>
      </c>
      <c r="C25" s="10" t="s">
        <v>216</v>
      </c>
      <c r="D25" s="10" t="s">
        <v>217</v>
      </c>
      <c r="E25" s="10" t="s">
        <v>218</v>
      </c>
      <c r="F25" s="10" t="s">
        <v>180</v>
      </c>
      <c r="G25" s="10" t="str">
        <f aca="false">IFERROR(INDEX(Dependencias!$H$5:$H$51,MATCH(F25,Dependencias!$E$5:$E$51,0)),"")</f>
        <v>Gestión Financiera (Presupuesto, Contabilidad, Tesorería)</v>
      </c>
      <c r="H25" s="10" t="str">
        <f aca="false">IFERROR(INDEX(Dependencias!$F$5:$F$51,MATCH(F25,Dependencias!$E$5:$E$51,0))&amp;" · "&amp;INDEX(Dependencias!$G$5:$G$51,MATCH(F25,Dependencias!$E$5:$E$51,0)),"")</f>
        <v>130 · Vicerrectoría Administrativa y Financiera</v>
      </c>
      <c r="I25" s="10" t="s">
        <v>181</v>
      </c>
      <c r="J25" s="10" t="str">
        <f aca="false">LEFT(I25,1)</f>
        <v>4</v>
      </c>
      <c r="K25" s="10" t="s">
        <v>219</v>
      </c>
      <c r="L25" s="10" t="s">
        <v>94</v>
      </c>
      <c r="M25" s="10" t="s">
        <v>220</v>
      </c>
      <c r="N25" s="10" t="s">
        <v>221</v>
      </c>
      <c r="O25" s="10" t="s">
        <v>186</v>
      </c>
      <c r="P25" s="11"/>
      <c r="Q25" s="11"/>
      <c r="R25" s="11"/>
      <c r="S25" s="12" t="str">
        <f aca="false">IF(F25=LEFT(Buscador_Formulacion!$C$4,3),COUNTIF($F$4:F25,LEFT(Buscador_Formulacion!$C$4,3)),"")</f>
        <v/>
      </c>
    </row>
    <row r="26" customFormat="false" ht="39" hidden="false" customHeight="true" outlineLevel="0" collapsed="false">
      <c r="A26" s="10" t="s">
        <v>222</v>
      </c>
      <c r="B26" s="10" t="s">
        <v>177</v>
      </c>
      <c r="C26" s="10" t="s">
        <v>216</v>
      </c>
      <c r="D26" s="10" t="s">
        <v>223</v>
      </c>
      <c r="E26" s="10" t="s">
        <v>224</v>
      </c>
      <c r="F26" s="10" t="s">
        <v>180</v>
      </c>
      <c r="G26" s="10" t="str">
        <f aca="false">IFERROR(INDEX(Dependencias!$H$5:$H$51,MATCH(F26,Dependencias!$E$5:$E$51,0)),"")</f>
        <v>Gestión Financiera (Presupuesto, Contabilidad, Tesorería)</v>
      </c>
      <c r="H26" s="10" t="str">
        <f aca="false">IFERROR(INDEX(Dependencias!$F$5:$F$51,MATCH(F26,Dependencias!$E$5:$E$51,0))&amp;" · "&amp;INDEX(Dependencias!$G$5:$G$51,MATCH(F26,Dependencias!$E$5:$E$51,0)),"")</f>
        <v>130 · Vicerrectoría Administrativa y Financiera</v>
      </c>
      <c r="I26" s="10" t="s">
        <v>181</v>
      </c>
      <c r="J26" s="10" t="str">
        <f aca="false">LEFT(I26,1)</f>
        <v>4</v>
      </c>
      <c r="K26" s="10" t="s">
        <v>225</v>
      </c>
      <c r="L26" s="10" t="s">
        <v>94</v>
      </c>
      <c r="M26" s="10" t="s">
        <v>226</v>
      </c>
      <c r="N26" s="10" t="s">
        <v>221</v>
      </c>
      <c r="O26" s="10" t="s">
        <v>186</v>
      </c>
      <c r="P26" s="11"/>
      <c r="Q26" s="11"/>
      <c r="R26" s="11"/>
      <c r="S26" s="12" t="str">
        <f aca="false">IF(F26=LEFT(Buscador_Formulacion!$C$4,3),COUNTIF($F$4:F26,LEFT(Buscador_Formulacion!$C$4,3)),"")</f>
        <v/>
      </c>
    </row>
    <row r="27" customFormat="false" ht="39" hidden="false" customHeight="true" outlineLevel="0" collapsed="false">
      <c r="A27" s="10" t="s">
        <v>227</v>
      </c>
      <c r="B27" s="10" t="s">
        <v>177</v>
      </c>
      <c r="C27" s="10" t="s">
        <v>216</v>
      </c>
      <c r="D27" s="10" t="s">
        <v>228</v>
      </c>
      <c r="E27" s="10" t="s">
        <v>229</v>
      </c>
      <c r="F27" s="10" t="s">
        <v>180</v>
      </c>
      <c r="G27" s="10" t="str">
        <f aca="false">IFERROR(INDEX(Dependencias!$H$5:$H$51,MATCH(F27,Dependencias!$E$5:$E$51,0)),"")</f>
        <v>Gestión Financiera (Presupuesto, Contabilidad, Tesorería)</v>
      </c>
      <c r="H27" s="10" t="str">
        <f aca="false">IFERROR(INDEX(Dependencias!$F$5:$F$51,MATCH(F27,Dependencias!$E$5:$E$51,0))&amp;" · "&amp;INDEX(Dependencias!$G$5:$G$51,MATCH(F27,Dependencias!$E$5:$E$51,0)),"")</f>
        <v>130 · Vicerrectoría Administrativa y Financiera</v>
      </c>
      <c r="I27" s="10" t="s">
        <v>181</v>
      </c>
      <c r="J27" s="10" t="str">
        <f aca="false">LEFT(I27,1)</f>
        <v>4</v>
      </c>
      <c r="K27" s="10" t="s">
        <v>225</v>
      </c>
      <c r="L27" s="10" t="s">
        <v>230</v>
      </c>
      <c r="M27" s="10" t="s">
        <v>231</v>
      </c>
      <c r="N27" s="10" t="s">
        <v>221</v>
      </c>
      <c r="O27" s="10" t="s">
        <v>186</v>
      </c>
      <c r="P27" s="11"/>
      <c r="Q27" s="11"/>
      <c r="R27" s="11"/>
      <c r="S27" s="12" t="str">
        <f aca="false">IF(F27=LEFT(Buscador_Formulacion!$C$4,3),COUNTIF($F$4:F27,LEFT(Buscador_Formulacion!$C$4,3)),"")</f>
        <v/>
      </c>
    </row>
    <row r="28" customFormat="false" ht="52.5" hidden="false" customHeight="true" outlineLevel="0" collapsed="false">
      <c r="A28" s="10" t="s">
        <v>232</v>
      </c>
      <c r="B28" s="10" t="s">
        <v>177</v>
      </c>
      <c r="C28" s="10" t="s">
        <v>216</v>
      </c>
      <c r="D28" s="10" t="s">
        <v>233</v>
      </c>
      <c r="E28" s="10" t="s">
        <v>234</v>
      </c>
      <c r="F28" s="10" t="s">
        <v>235</v>
      </c>
      <c r="G28" s="10" t="str">
        <f aca="false">IFERROR(INDEX(Dependencias!$H$5:$H$51,MATCH(F28,Dependencias!$E$5:$E$51,0)),"")</f>
        <v>GIT Talento Humano</v>
      </c>
      <c r="H28" s="10" t="str">
        <f aca="false">IFERROR(INDEX(Dependencias!$F$5:$F$51,MATCH(F28,Dependencias!$E$5:$E$51,0))&amp;" · "&amp;INDEX(Dependencias!$G$5:$G$51,MATCH(F28,Dependencias!$E$5:$E$51,0)),"")</f>
        <v>133 · GIT Gestión de Talento Humano</v>
      </c>
      <c r="I28" s="10" t="s">
        <v>181</v>
      </c>
      <c r="J28" s="10" t="str">
        <f aca="false">LEFT(I28,1)</f>
        <v>4</v>
      </c>
      <c r="K28" s="10" t="s">
        <v>225</v>
      </c>
      <c r="L28" s="10" t="s">
        <v>94</v>
      </c>
      <c r="M28" s="10" t="s">
        <v>236</v>
      </c>
      <c r="N28" s="10" t="s">
        <v>221</v>
      </c>
      <c r="O28" s="10" t="s">
        <v>186</v>
      </c>
      <c r="P28" s="11"/>
      <c r="Q28" s="11"/>
      <c r="R28" s="11"/>
      <c r="S28" s="12" t="str">
        <f aca="false">IF(F28=LEFT(Buscador_Formulacion!$C$4,3),COUNTIF($F$4:F28,LEFT(Buscador_Formulacion!$C$4,3)),"")</f>
        <v/>
      </c>
    </row>
    <row r="29" customFormat="false" ht="39" hidden="false" customHeight="true" outlineLevel="0" collapsed="false">
      <c r="A29" s="10" t="s">
        <v>237</v>
      </c>
      <c r="B29" s="10" t="s">
        <v>177</v>
      </c>
      <c r="C29" s="10" t="s">
        <v>216</v>
      </c>
      <c r="D29" s="10" t="s">
        <v>238</v>
      </c>
      <c r="E29" s="10" t="s">
        <v>239</v>
      </c>
      <c r="F29" s="10" t="s">
        <v>240</v>
      </c>
      <c r="G29" s="10" t="str">
        <f aca="false">IFERROR(INDEX(Dependencias!$H$5:$H$51,MATCH(F29,Dependencias!$E$5:$E$51,0)),"")</f>
        <v>Contratación y Adquisiciones</v>
      </c>
      <c r="H29" s="10" t="str">
        <f aca="false">IFERROR(INDEX(Dependencias!$F$5:$F$51,MATCH(F29,Dependencias!$E$5:$E$51,0))&amp;" · "&amp;INDEX(Dependencias!$G$5:$G$51,MATCH(F29,Dependencias!$E$5:$E$51,0)),"")</f>
        <v>130 · Vicerrectoría Administrativa y Financiera</v>
      </c>
      <c r="I29" s="10" t="s">
        <v>181</v>
      </c>
      <c r="J29" s="10" t="str">
        <f aca="false">LEFT(I29,1)</f>
        <v>4</v>
      </c>
      <c r="K29" s="10" t="s">
        <v>225</v>
      </c>
      <c r="L29" s="10" t="s">
        <v>94</v>
      </c>
      <c r="M29" s="10" t="s">
        <v>241</v>
      </c>
      <c r="N29" s="10" t="s">
        <v>221</v>
      </c>
      <c r="O29" s="10" t="s">
        <v>186</v>
      </c>
      <c r="P29" s="11"/>
      <c r="Q29" s="11"/>
      <c r="R29" s="11"/>
      <c r="S29" s="12" t="str">
        <f aca="false">IF(F29=LEFT(Buscador_Formulacion!$C$4,3),COUNTIF($F$4:F29,LEFT(Buscador_Formulacion!$C$4,3)),"")</f>
        <v/>
      </c>
    </row>
    <row r="30" customFormat="false" ht="39" hidden="false" customHeight="true" outlineLevel="0" collapsed="false">
      <c r="A30" s="10" t="s">
        <v>242</v>
      </c>
      <c r="B30" s="10" t="s">
        <v>177</v>
      </c>
      <c r="C30" s="10" t="s">
        <v>216</v>
      </c>
      <c r="D30" s="10" t="s">
        <v>243</v>
      </c>
      <c r="E30" s="10" t="s">
        <v>244</v>
      </c>
      <c r="F30" s="10" t="s">
        <v>245</v>
      </c>
      <c r="G30" s="10" t="str">
        <f aca="false">IFERROR(INDEX(Dependencias!$H$5:$H$51,MATCH(F30,Dependencias!$E$5:$E$51,0)),"")</f>
        <v>Gestión Jurídica</v>
      </c>
      <c r="H30" s="10" t="str">
        <f aca="false">IFERROR(INDEX(Dependencias!$F$5:$F$51,MATCH(F30,Dependencias!$E$5:$E$51,0))&amp;" · "&amp;INDEX(Dependencias!$G$5:$G$51,MATCH(F30,Dependencias!$E$5:$E$51,0)),"")</f>
        <v>110 · Secretaría General</v>
      </c>
      <c r="I30" s="10" t="s">
        <v>181</v>
      </c>
      <c r="J30" s="10" t="str">
        <f aca="false">LEFT(I30,1)</f>
        <v>4</v>
      </c>
      <c r="K30" s="10" t="s">
        <v>225</v>
      </c>
      <c r="L30" s="10" t="s">
        <v>246</v>
      </c>
      <c r="M30" s="10" t="s">
        <v>247</v>
      </c>
      <c r="N30" s="10" t="s">
        <v>221</v>
      </c>
      <c r="O30" s="10" t="s">
        <v>186</v>
      </c>
      <c r="P30" s="11"/>
      <c r="Q30" s="11"/>
      <c r="R30" s="11"/>
      <c r="S30" s="12" t="str">
        <f aca="false">IF(F30=LEFT(Buscador_Formulacion!$C$4,3),COUNTIF($F$4:F30,LEFT(Buscador_Formulacion!$C$4,3)),"")</f>
        <v/>
      </c>
    </row>
    <row r="31" customFormat="false" ht="39" hidden="false" customHeight="true" outlineLevel="0" collapsed="false">
      <c r="A31" s="10" t="s">
        <v>248</v>
      </c>
      <c r="B31" s="10" t="s">
        <v>177</v>
      </c>
      <c r="C31" s="10" t="s">
        <v>249</v>
      </c>
      <c r="D31" s="10" t="s">
        <v>250</v>
      </c>
      <c r="E31" s="10" t="s">
        <v>251</v>
      </c>
      <c r="F31" s="10" t="s">
        <v>180</v>
      </c>
      <c r="G31" s="10" t="str">
        <f aca="false">IFERROR(INDEX(Dependencias!$H$5:$H$51,MATCH(F31,Dependencias!$E$5:$E$51,0)),"")</f>
        <v>Gestión Financiera (Presupuesto, Contabilidad, Tesorería)</v>
      </c>
      <c r="H31" s="10" t="str">
        <f aca="false">IFERROR(INDEX(Dependencias!$F$5:$F$51,MATCH(F31,Dependencias!$E$5:$E$51,0))&amp;" · "&amp;INDEX(Dependencias!$G$5:$G$51,MATCH(F31,Dependencias!$E$5:$E$51,0)),"")</f>
        <v>130 · Vicerrectoría Administrativa y Financiera</v>
      </c>
      <c r="I31" s="10" t="s">
        <v>181</v>
      </c>
      <c r="J31" s="10" t="str">
        <f aca="false">LEFT(I31,1)</f>
        <v>4</v>
      </c>
      <c r="K31" s="10" t="s">
        <v>252</v>
      </c>
      <c r="L31" s="10" t="s">
        <v>94</v>
      </c>
      <c r="M31" s="10" t="s">
        <v>253</v>
      </c>
      <c r="N31" s="10" t="s">
        <v>254</v>
      </c>
      <c r="O31" s="10" t="s">
        <v>186</v>
      </c>
      <c r="P31" s="11"/>
      <c r="Q31" s="11"/>
      <c r="R31" s="11"/>
      <c r="S31" s="12" t="str">
        <f aca="false">IF(F31=LEFT(Buscador_Formulacion!$C$4,3),COUNTIF($F$4:F31,LEFT(Buscador_Formulacion!$C$4,3)),"")</f>
        <v/>
      </c>
    </row>
    <row r="32" customFormat="false" ht="39" hidden="false" customHeight="true" outlineLevel="0" collapsed="false">
      <c r="A32" s="10" t="s">
        <v>255</v>
      </c>
      <c r="B32" s="10" t="s">
        <v>177</v>
      </c>
      <c r="C32" s="10" t="s">
        <v>249</v>
      </c>
      <c r="D32" s="10" t="s">
        <v>256</v>
      </c>
      <c r="E32" s="10" t="s">
        <v>257</v>
      </c>
      <c r="F32" s="10" t="s">
        <v>235</v>
      </c>
      <c r="G32" s="10" t="str">
        <f aca="false">IFERROR(INDEX(Dependencias!$H$5:$H$51,MATCH(F32,Dependencias!$E$5:$E$51,0)),"")</f>
        <v>GIT Talento Humano</v>
      </c>
      <c r="H32" s="10" t="str">
        <f aca="false">IFERROR(INDEX(Dependencias!$F$5:$F$51,MATCH(F32,Dependencias!$E$5:$E$51,0))&amp;" · "&amp;INDEX(Dependencias!$G$5:$G$51,MATCH(F32,Dependencias!$E$5:$E$51,0)),"")</f>
        <v>133 · GIT Gestión de Talento Humano</v>
      </c>
      <c r="I32" s="10" t="s">
        <v>181</v>
      </c>
      <c r="J32" s="10" t="str">
        <f aca="false">LEFT(I32,1)</f>
        <v>4</v>
      </c>
      <c r="K32" s="10" t="s">
        <v>258</v>
      </c>
      <c r="L32" s="10" t="s">
        <v>94</v>
      </c>
      <c r="M32" s="10" t="s">
        <v>259</v>
      </c>
      <c r="N32" s="10" t="s">
        <v>254</v>
      </c>
      <c r="O32" s="10" t="s">
        <v>186</v>
      </c>
      <c r="P32" s="11"/>
      <c r="Q32" s="11"/>
      <c r="R32" s="11"/>
      <c r="S32" s="12" t="str">
        <f aca="false">IF(F32=LEFT(Buscador_Formulacion!$C$4,3),COUNTIF($F$4:F32,LEFT(Buscador_Formulacion!$C$4,3)),"")</f>
        <v/>
      </c>
    </row>
    <row r="33" customFormat="false" ht="39" hidden="false" customHeight="true" outlineLevel="0" collapsed="false">
      <c r="A33" s="10" t="s">
        <v>260</v>
      </c>
      <c r="B33" s="10" t="s">
        <v>177</v>
      </c>
      <c r="C33" s="10" t="s">
        <v>249</v>
      </c>
      <c r="D33" s="10" t="s">
        <v>261</v>
      </c>
      <c r="E33" s="10" t="s">
        <v>262</v>
      </c>
      <c r="F33" s="10" t="s">
        <v>180</v>
      </c>
      <c r="G33" s="10" t="str">
        <f aca="false">IFERROR(INDEX(Dependencias!$H$5:$H$51,MATCH(F33,Dependencias!$E$5:$E$51,0)),"")</f>
        <v>Gestión Financiera (Presupuesto, Contabilidad, Tesorería)</v>
      </c>
      <c r="H33" s="10" t="str">
        <f aca="false">IFERROR(INDEX(Dependencias!$F$5:$F$51,MATCH(F33,Dependencias!$E$5:$E$51,0))&amp;" · "&amp;INDEX(Dependencias!$G$5:$G$51,MATCH(F33,Dependencias!$E$5:$E$51,0)),"")</f>
        <v>130 · Vicerrectoría Administrativa y Financiera</v>
      </c>
      <c r="I33" s="10" t="s">
        <v>181</v>
      </c>
      <c r="J33" s="10" t="str">
        <f aca="false">LEFT(I33,1)</f>
        <v>4</v>
      </c>
      <c r="K33" s="10" t="s">
        <v>263</v>
      </c>
      <c r="L33" s="10" t="s">
        <v>94</v>
      </c>
      <c r="M33" s="10" t="s">
        <v>264</v>
      </c>
      <c r="N33" s="10" t="s">
        <v>254</v>
      </c>
      <c r="O33" s="10" t="s">
        <v>186</v>
      </c>
      <c r="P33" s="11"/>
      <c r="Q33" s="11"/>
      <c r="R33" s="11"/>
      <c r="S33" s="12" t="str">
        <f aca="false">IF(F33=LEFT(Buscador_Formulacion!$C$4,3),COUNTIF($F$4:F33,LEFT(Buscador_Formulacion!$C$4,3)),"")</f>
        <v/>
      </c>
    </row>
    <row r="34" customFormat="false" ht="39" hidden="false" customHeight="true" outlineLevel="0" collapsed="false">
      <c r="A34" s="10" t="s">
        <v>265</v>
      </c>
      <c r="B34" s="10" t="s">
        <v>177</v>
      </c>
      <c r="C34" s="10" t="s">
        <v>249</v>
      </c>
      <c r="D34" s="10" t="s">
        <v>266</v>
      </c>
      <c r="E34" s="10" t="s">
        <v>267</v>
      </c>
      <c r="F34" s="10" t="s">
        <v>180</v>
      </c>
      <c r="G34" s="10" t="str">
        <f aca="false">IFERROR(INDEX(Dependencias!$H$5:$H$51,MATCH(F34,Dependencias!$E$5:$E$51,0)),"")</f>
        <v>Gestión Financiera (Presupuesto, Contabilidad, Tesorería)</v>
      </c>
      <c r="H34" s="10" t="str">
        <f aca="false">IFERROR(INDEX(Dependencias!$F$5:$F$51,MATCH(F34,Dependencias!$E$5:$E$51,0))&amp;" · "&amp;INDEX(Dependencias!$G$5:$G$51,MATCH(F34,Dependencias!$E$5:$E$51,0)),"")</f>
        <v>130 · Vicerrectoría Administrativa y Financiera</v>
      </c>
      <c r="I34" s="10" t="s">
        <v>181</v>
      </c>
      <c r="J34" s="10" t="str">
        <f aca="false">LEFT(I34,1)</f>
        <v>4</v>
      </c>
      <c r="K34" s="10" t="s">
        <v>268</v>
      </c>
      <c r="L34" s="10" t="s">
        <v>94</v>
      </c>
      <c r="M34" s="10" t="s">
        <v>269</v>
      </c>
      <c r="N34" s="10" t="s">
        <v>254</v>
      </c>
      <c r="O34" s="10" t="s">
        <v>186</v>
      </c>
      <c r="P34" s="11"/>
      <c r="Q34" s="11"/>
      <c r="R34" s="11"/>
      <c r="S34" s="12" t="str">
        <f aca="false">IF(F34=LEFT(Buscador_Formulacion!$C$4,3),COUNTIF($F$4:F34,LEFT(Buscador_Formulacion!$C$4,3)),"")</f>
        <v/>
      </c>
    </row>
    <row r="35" customFormat="false" ht="52.5" hidden="false" customHeight="true" outlineLevel="0" collapsed="false">
      <c r="A35" s="10" t="s">
        <v>270</v>
      </c>
      <c r="B35" s="10" t="s">
        <v>177</v>
      </c>
      <c r="C35" s="10" t="s">
        <v>249</v>
      </c>
      <c r="D35" s="10" t="s">
        <v>271</v>
      </c>
      <c r="E35" s="10" t="s">
        <v>272</v>
      </c>
      <c r="F35" s="10" t="s">
        <v>180</v>
      </c>
      <c r="G35" s="10" t="str">
        <f aca="false">IFERROR(INDEX(Dependencias!$H$5:$H$51,MATCH(F35,Dependencias!$E$5:$E$51,0)),"")</f>
        <v>Gestión Financiera (Presupuesto, Contabilidad, Tesorería)</v>
      </c>
      <c r="H35" s="10" t="str">
        <f aca="false">IFERROR(INDEX(Dependencias!$F$5:$F$51,MATCH(F35,Dependencias!$E$5:$E$51,0))&amp;" · "&amp;INDEX(Dependencias!$G$5:$G$51,MATCH(F35,Dependencias!$E$5:$E$51,0)),"")</f>
        <v>130 · Vicerrectoría Administrativa y Financiera</v>
      </c>
      <c r="I35" s="10" t="s">
        <v>181</v>
      </c>
      <c r="J35" s="10" t="str">
        <f aca="false">LEFT(I35,1)</f>
        <v>4</v>
      </c>
      <c r="K35" s="10" t="s">
        <v>273</v>
      </c>
      <c r="L35" s="10" t="s">
        <v>94</v>
      </c>
      <c r="M35" s="10" t="s">
        <v>274</v>
      </c>
      <c r="N35" s="10" t="s">
        <v>275</v>
      </c>
      <c r="O35" s="10" t="s">
        <v>186</v>
      </c>
      <c r="P35" s="11"/>
      <c r="Q35" s="11"/>
      <c r="R35" s="11"/>
      <c r="S35" s="12" t="str">
        <f aca="false">IF(F35=LEFT(Buscador_Formulacion!$C$4,3),COUNTIF($F$4:F35,LEFT(Buscador_Formulacion!$C$4,3)),"")</f>
        <v/>
      </c>
    </row>
    <row r="36" customFormat="false" ht="39" hidden="false" customHeight="true" outlineLevel="0" collapsed="false">
      <c r="A36" s="10" t="s">
        <v>276</v>
      </c>
      <c r="B36" s="10" t="s">
        <v>177</v>
      </c>
      <c r="C36" s="10" t="s">
        <v>249</v>
      </c>
      <c r="D36" s="10" t="s">
        <v>277</v>
      </c>
      <c r="E36" s="10" t="s">
        <v>278</v>
      </c>
      <c r="F36" s="10" t="s">
        <v>74</v>
      </c>
      <c r="G36" s="10" t="str">
        <f aca="false">IFERROR(INDEX(Dependencias!$H$5:$H$51,MATCH(F36,Dependencias!$E$5:$E$51,0)),"")</f>
        <v>Despacho de Secretaría General</v>
      </c>
      <c r="H36" s="10" t="str">
        <f aca="false">IFERROR(INDEX(Dependencias!$F$5:$F$51,MATCH(F36,Dependencias!$E$5:$E$51,0))&amp;" · "&amp;INDEX(Dependencias!$G$5:$G$51,MATCH(F36,Dependencias!$E$5:$E$51,0)),"")</f>
        <v>110 · Secretaría General</v>
      </c>
      <c r="I36" s="10" t="s">
        <v>181</v>
      </c>
      <c r="J36" s="10" t="str">
        <f aca="false">LEFT(I36,1)</f>
        <v>4</v>
      </c>
      <c r="K36" s="10" t="s">
        <v>279</v>
      </c>
      <c r="L36" s="10" t="s">
        <v>94</v>
      </c>
      <c r="M36" s="10" t="s">
        <v>280</v>
      </c>
      <c r="N36" s="10" t="s">
        <v>281</v>
      </c>
      <c r="O36" s="10" t="s">
        <v>186</v>
      </c>
      <c r="P36" s="11"/>
      <c r="Q36" s="11"/>
      <c r="R36" s="11"/>
      <c r="S36" s="12" t="str">
        <f aca="false">IF(F36=LEFT(Buscador_Formulacion!$C$4,3),COUNTIF($F$4:F36,LEFT(Buscador_Formulacion!$C$4,3)),"")</f>
        <v/>
      </c>
    </row>
    <row r="37" customFormat="false" ht="52.5" hidden="false" customHeight="true" outlineLevel="0" collapsed="false">
      <c r="A37" s="10" t="s">
        <v>282</v>
      </c>
      <c r="B37" s="10" t="s">
        <v>283</v>
      </c>
      <c r="C37" s="10" t="s">
        <v>60</v>
      </c>
      <c r="D37" s="10" t="s">
        <v>284</v>
      </c>
      <c r="E37" s="10" t="s">
        <v>285</v>
      </c>
      <c r="F37" s="10" t="s">
        <v>138</v>
      </c>
      <c r="G37" s="10" t="str">
        <f aca="false">IFERROR(INDEX(Dependencias!$H$5:$H$51,MATCH(F37,Dependencias!$E$5:$E$51,0)),"")</f>
        <v>Planeación y Plan de Acción</v>
      </c>
      <c r="H37" s="10" t="str">
        <f aca="false">IFERROR(INDEX(Dependencias!$F$5:$F$51,MATCH(F37,Dependencias!$E$5:$E$51,0))&amp;" · "&amp;INDEX(Dependencias!$G$5:$G$51,MATCH(F37,Dependencias!$E$5:$E$51,0)),"")</f>
        <v>101 · Oficina Asesora de Planeación y Desarrollo Institucional</v>
      </c>
      <c r="I37" s="10" t="s">
        <v>286</v>
      </c>
      <c r="J37" s="10" t="str">
        <f aca="false">LEFT(I37,1)</f>
        <v>4</v>
      </c>
      <c r="K37" s="10" t="s">
        <v>287</v>
      </c>
      <c r="L37" s="10" t="s">
        <v>288</v>
      </c>
      <c r="M37" s="10" t="s">
        <v>289</v>
      </c>
      <c r="N37" s="10" t="s">
        <v>290</v>
      </c>
      <c r="O37" s="10" t="s">
        <v>291</v>
      </c>
      <c r="P37" s="11"/>
      <c r="Q37" s="11"/>
      <c r="R37" s="11"/>
      <c r="S37" s="12" t="str">
        <f aca="false">IF(F37=LEFT(Buscador_Formulacion!$C$4,3),COUNTIF($F$4:F37,LEFT(Buscador_Formulacion!$C$4,3)),"")</f>
        <v/>
      </c>
    </row>
    <row r="38" customFormat="false" ht="52.5" hidden="false" customHeight="true" outlineLevel="0" collapsed="false">
      <c r="A38" s="10" t="s">
        <v>292</v>
      </c>
      <c r="B38" s="10" t="s">
        <v>283</v>
      </c>
      <c r="C38" s="10" t="s">
        <v>60</v>
      </c>
      <c r="D38" s="10" t="s">
        <v>293</v>
      </c>
      <c r="E38" s="10" t="s">
        <v>294</v>
      </c>
      <c r="F38" s="10" t="s">
        <v>245</v>
      </c>
      <c r="G38" s="10" t="str">
        <f aca="false">IFERROR(INDEX(Dependencias!$H$5:$H$51,MATCH(F38,Dependencias!$E$5:$E$51,0)),"")</f>
        <v>Gestión Jurídica</v>
      </c>
      <c r="H38" s="10" t="str">
        <f aca="false">IFERROR(INDEX(Dependencias!$F$5:$F$51,MATCH(F38,Dependencias!$E$5:$E$51,0))&amp;" · "&amp;INDEX(Dependencias!$G$5:$G$51,MATCH(F38,Dependencias!$E$5:$E$51,0)),"")</f>
        <v>110 · Secretaría General</v>
      </c>
      <c r="I38" s="10" t="s">
        <v>181</v>
      </c>
      <c r="J38" s="10" t="str">
        <f aca="false">LEFT(I38,1)</f>
        <v>4</v>
      </c>
      <c r="K38" s="10" t="s">
        <v>295</v>
      </c>
      <c r="L38" s="10" t="s">
        <v>296</v>
      </c>
      <c r="M38" s="10" t="s">
        <v>213</v>
      </c>
      <c r="N38" s="10" t="s">
        <v>297</v>
      </c>
      <c r="O38" s="10" t="s">
        <v>291</v>
      </c>
      <c r="P38" s="11"/>
      <c r="Q38" s="11"/>
      <c r="R38" s="11"/>
      <c r="S38" s="12" t="str">
        <f aca="false">IF(F38=LEFT(Buscador_Formulacion!$C$4,3),COUNTIF($F$4:F38,LEFT(Buscador_Formulacion!$C$4,3)),"")</f>
        <v/>
      </c>
    </row>
    <row r="39" customFormat="false" ht="52.5" hidden="false" customHeight="true" outlineLevel="0" collapsed="false">
      <c r="A39" s="10" t="s">
        <v>298</v>
      </c>
      <c r="B39" s="10" t="s">
        <v>283</v>
      </c>
      <c r="C39" s="10" t="s">
        <v>299</v>
      </c>
      <c r="D39" s="10" t="s">
        <v>300</v>
      </c>
      <c r="E39" s="10" t="s">
        <v>301</v>
      </c>
      <c r="F39" s="10" t="s">
        <v>138</v>
      </c>
      <c r="G39" s="10" t="str">
        <f aca="false">IFERROR(INDEX(Dependencias!$H$5:$H$51,MATCH(F39,Dependencias!$E$5:$E$51,0)),"")</f>
        <v>Planeación y Plan de Acción</v>
      </c>
      <c r="H39" s="10" t="str">
        <f aca="false">IFERROR(INDEX(Dependencias!$F$5:$F$51,MATCH(F39,Dependencias!$E$5:$E$51,0))&amp;" · "&amp;INDEX(Dependencias!$G$5:$G$51,MATCH(F39,Dependencias!$E$5:$E$51,0)),"")</f>
        <v>101 · Oficina Asesora de Planeación y Desarrollo Institucional</v>
      </c>
      <c r="I39" s="10" t="s">
        <v>92</v>
      </c>
      <c r="J39" s="10" t="str">
        <f aca="false">LEFT(I39,1)</f>
        <v>1</v>
      </c>
      <c r="K39" s="10" t="s">
        <v>302</v>
      </c>
      <c r="L39" s="10" t="s">
        <v>94</v>
      </c>
      <c r="M39" s="10" t="s">
        <v>303</v>
      </c>
      <c r="N39" s="10" t="s">
        <v>304</v>
      </c>
      <c r="O39" s="10" t="s">
        <v>291</v>
      </c>
      <c r="P39" s="11"/>
      <c r="Q39" s="11"/>
      <c r="R39" s="11"/>
      <c r="S39" s="12" t="str">
        <f aca="false">IF(F39=LEFT(Buscador_Formulacion!$C$4,3),COUNTIF($F$4:F39,LEFT(Buscador_Formulacion!$C$4,3)),"")</f>
        <v/>
      </c>
    </row>
    <row r="40" customFormat="false" ht="52.5" hidden="false" customHeight="true" outlineLevel="0" collapsed="false">
      <c r="A40" s="10" t="s">
        <v>305</v>
      </c>
      <c r="B40" s="10" t="s">
        <v>283</v>
      </c>
      <c r="C40" s="10" t="s">
        <v>299</v>
      </c>
      <c r="D40" s="10" t="s">
        <v>306</v>
      </c>
      <c r="E40" s="10" t="s">
        <v>307</v>
      </c>
      <c r="F40" s="10" t="s">
        <v>124</v>
      </c>
      <c r="G40" s="10" t="str">
        <f aca="false">IFERROR(INDEX(Dependencias!$H$5:$H$51,MATCH(F40,Dependencias!$E$5:$E$51,0)),"")</f>
        <v>GIT Registro, Control y Admisiones</v>
      </c>
      <c r="H40" s="10" t="str">
        <f aca="false">IFERROR(INDEX(Dependencias!$F$5:$F$51,MATCH(F40,Dependencias!$E$5:$E$51,0))&amp;" · "&amp;INDEX(Dependencias!$G$5:$G$51,MATCH(F40,Dependencias!$E$5:$E$51,0)),"")</f>
        <v>126 · GIT Registro y Control</v>
      </c>
      <c r="I40" s="10" t="s">
        <v>92</v>
      </c>
      <c r="J40" s="10" t="str">
        <f aca="false">LEFT(I40,1)</f>
        <v>1</v>
      </c>
      <c r="K40" s="10" t="s">
        <v>308</v>
      </c>
      <c r="L40" s="10" t="s">
        <v>94</v>
      </c>
      <c r="M40" s="10" t="s">
        <v>309</v>
      </c>
      <c r="N40" s="10" t="s">
        <v>310</v>
      </c>
      <c r="O40" s="10" t="s">
        <v>291</v>
      </c>
      <c r="P40" s="11"/>
      <c r="Q40" s="11"/>
      <c r="R40" s="11"/>
      <c r="S40" s="12" t="str">
        <f aca="false">IF(F40=LEFT(Buscador_Formulacion!$C$4,3),COUNTIF($F$4:F40,LEFT(Buscador_Formulacion!$C$4,3)),"")</f>
        <v/>
      </c>
    </row>
    <row r="41" customFormat="false" ht="52.5" hidden="false" customHeight="true" outlineLevel="0" collapsed="false">
      <c r="A41" s="10" t="s">
        <v>311</v>
      </c>
      <c r="B41" s="10" t="s">
        <v>283</v>
      </c>
      <c r="C41" s="10" t="s">
        <v>299</v>
      </c>
      <c r="D41" s="10" t="s">
        <v>312</v>
      </c>
      <c r="E41" s="10" t="s">
        <v>313</v>
      </c>
      <c r="F41" s="10" t="s">
        <v>83</v>
      </c>
      <c r="G41" s="10" t="str">
        <f aca="false">IFERROR(INDEX(Dependencias!$H$5:$H$51,MATCH(F41,Dependencias!$E$5:$E$51,0)),"")</f>
        <v>Despacho de la Vicerrectoría Académica</v>
      </c>
      <c r="H41" s="10" t="str">
        <f aca="false">IFERROR(INDEX(Dependencias!$F$5:$F$51,MATCH(F41,Dependencias!$E$5:$E$51,0))&amp;" · "&amp;INDEX(Dependencias!$G$5:$G$51,MATCH(F41,Dependencias!$E$5:$E$51,0)),"")</f>
        <v>120 · Vicerrectoría Académica</v>
      </c>
      <c r="I41" s="10" t="s">
        <v>92</v>
      </c>
      <c r="J41" s="10" t="str">
        <f aca="false">LEFT(I41,1)</f>
        <v>1</v>
      </c>
      <c r="K41" s="10" t="s">
        <v>314</v>
      </c>
      <c r="L41" s="10" t="s">
        <v>315</v>
      </c>
      <c r="M41" s="10" t="s">
        <v>316</v>
      </c>
      <c r="N41" s="10" t="s">
        <v>317</v>
      </c>
      <c r="O41" s="10" t="s">
        <v>291</v>
      </c>
      <c r="P41" s="11"/>
      <c r="Q41" s="11"/>
      <c r="R41" s="11"/>
      <c r="S41" s="12" t="str">
        <f aca="false">IF(F41=LEFT(Buscador_Formulacion!$C$4,3),COUNTIF($F$4:F41,LEFT(Buscador_Formulacion!$C$4,3)),"")</f>
        <v/>
      </c>
    </row>
    <row r="42" customFormat="false" ht="52.5" hidden="false" customHeight="true" outlineLevel="0" collapsed="false">
      <c r="A42" s="10" t="s">
        <v>318</v>
      </c>
      <c r="B42" s="10" t="s">
        <v>283</v>
      </c>
      <c r="C42" s="10" t="s">
        <v>299</v>
      </c>
      <c r="D42" s="10" t="s">
        <v>319</v>
      </c>
      <c r="E42" s="10" t="s">
        <v>320</v>
      </c>
      <c r="F42" s="10" t="s">
        <v>138</v>
      </c>
      <c r="G42" s="10" t="str">
        <f aca="false">IFERROR(INDEX(Dependencias!$H$5:$H$51,MATCH(F42,Dependencias!$E$5:$E$51,0)),"")</f>
        <v>Planeación y Plan de Acción</v>
      </c>
      <c r="H42" s="10" t="str">
        <f aca="false">IFERROR(INDEX(Dependencias!$F$5:$F$51,MATCH(F42,Dependencias!$E$5:$E$51,0))&amp;" · "&amp;INDEX(Dependencias!$G$5:$G$51,MATCH(F42,Dependencias!$E$5:$E$51,0)),"")</f>
        <v>101 · Oficina Asesora de Planeación y Desarrollo Institucional</v>
      </c>
      <c r="I42" s="10" t="s">
        <v>92</v>
      </c>
      <c r="J42" s="10" t="str">
        <f aca="false">LEFT(I42,1)</f>
        <v>1</v>
      </c>
      <c r="K42" s="10" t="s">
        <v>321</v>
      </c>
      <c r="L42" s="10" t="s">
        <v>288</v>
      </c>
      <c r="M42" s="10" t="s">
        <v>322</v>
      </c>
      <c r="N42" s="10" t="s">
        <v>323</v>
      </c>
      <c r="O42" s="10" t="s">
        <v>291</v>
      </c>
      <c r="P42" s="11"/>
      <c r="Q42" s="11"/>
      <c r="R42" s="11"/>
      <c r="S42" s="12" t="str">
        <f aca="false">IF(F42=LEFT(Buscador_Formulacion!$C$4,3),COUNTIF($F$4:F42,LEFT(Buscador_Formulacion!$C$4,3)),"")</f>
        <v/>
      </c>
    </row>
    <row r="43" customFormat="false" ht="52.5" hidden="false" customHeight="true" outlineLevel="0" collapsed="false">
      <c r="A43" s="10" t="s">
        <v>324</v>
      </c>
      <c r="B43" s="10" t="s">
        <v>283</v>
      </c>
      <c r="C43" s="10" t="s">
        <v>299</v>
      </c>
      <c r="D43" s="10" t="s">
        <v>325</v>
      </c>
      <c r="E43" s="10" t="s">
        <v>326</v>
      </c>
      <c r="F43" s="10" t="s">
        <v>180</v>
      </c>
      <c r="G43" s="10" t="str">
        <f aca="false">IFERROR(INDEX(Dependencias!$H$5:$H$51,MATCH(F43,Dependencias!$E$5:$E$51,0)),"")</f>
        <v>Gestión Financiera (Presupuesto, Contabilidad, Tesorería)</v>
      </c>
      <c r="H43" s="10" t="str">
        <f aca="false">IFERROR(INDEX(Dependencias!$F$5:$F$51,MATCH(F43,Dependencias!$E$5:$E$51,0))&amp;" · "&amp;INDEX(Dependencias!$G$5:$G$51,MATCH(F43,Dependencias!$E$5:$E$51,0)),"")</f>
        <v>130 · Vicerrectoría Administrativa y Financiera</v>
      </c>
      <c r="I43" s="10" t="s">
        <v>92</v>
      </c>
      <c r="J43" s="10" t="str">
        <f aca="false">LEFT(I43,1)</f>
        <v>1</v>
      </c>
      <c r="K43" s="10" t="s">
        <v>327</v>
      </c>
      <c r="L43" s="10" t="s">
        <v>288</v>
      </c>
      <c r="M43" s="10" t="s">
        <v>328</v>
      </c>
      <c r="N43" s="10" t="s">
        <v>329</v>
      </c>
      <c r="O43" s="10" t="s">
        <v>291</v>
      </c>
      <c r="P43" s="11"/>
      <c r="Q43" s="11"/>
      <c r="R43" s="11"/>
      <c r="S43" s="12" t="str">
        <f aca="false">IF(F43=LEFT(Buscador_Formulacion!$C$4,3),COUNTIF($F$4:F43,LEFT(Buscador_Formulacion!$C$4,3)),"")</f>
        <v/>
      </c>
    </row>
    <row r="44" customFormat="false" ht="52.5" hidden="false" customHeight="true" outlineLevel="0" collapsed="false">
      <c r="A44" s="10" t="s">
        <v>330</v>
      </c>
      <c r="B44" s="10" t="s">
        <v>283</v>
      </c>
      <c r="C44" s="10" t="s">
        <v>299</v>
      </c>
      <c r="D44" s="10" t="s">
        <v>331</v>
      </c>
      <c r="E44" s="10" t="s">
        <v>332</v>
      </c>
      <c r="F44" s="10" t="s">
        <v>333</v>
      </c>
      <c r="G44" s="10" t="str">
        <f aca="false">IFERROR(INDEX(Dependencias!$H$5:$H$51,MATCH(F44,Dependencias!$E$5:$E$51,0)),"")</f>
        <v>GIT Bienestar Universitario</v>
      </c>
      <c r="H44" s="10" t="str">
        <f aca="false">IFERROR(INDEX(Dependencias!$F$5:$F$51,MATCH(F44,Dependencias!$E$5:$E$51,0))&amp;" · "&amp;INDEX(Dependencias!$G$5:$G$51,MATCH(F44,Dependencias!$E$5:$E$51,0)),"")</f>
        <v>122 · GIT Bienestar Universitario</v>
      </c>
      <c r="I44" s="10" t="s">
        <v>334</v>
      </c>
      <c r="J44" s="10" t="str">
        <f aca="false">LEFT(I44,1)</f>
        <v>6</v>
      </c>
      <c r="K44" s="10" t="s">
        <v>335</v>
      </c>
      <c r="L44" s="10" t="s">
        <v>288</v>
      </c>
      <c r="M44" s="10" t="s">
        <v>336</v>
      </c>
      <c r="N44" s="10" t="s">
        <v>337</v>
      </c>
      <c r="O44" s="10" t="s">
        <v>291</v>
      </c>
      <c r="P44" s="11"/>
      <c r="Q44" s="11"/>
      <c r="R44" s="11"/>
      <c r="S44" s="12" t="str">
        <f aca="false">IF(F44=LEFT(Buscador_Formulacion!$C$4,3),COUNTIF($F$4:F44,LEFT(Buscador_Formulacion!$C$4,3)),"")</f>
        <v/>
      </c>
    </row>
    <row r="45" customFormat="false" ht="52.5" hidden="false" customHeight="true" outlineLevel="0" collapsed="false">
      <c r="A45" s="10" t="s">
        <v>338</v>
      </c>
      <c r="B45" s="10" t="s">
        <v>283</v>
      </c>
      <c r="C45" s="10" t="s">
        <v>299</v>
      </c>
      <c r="D45" s="10" t="s">
        <v>339</v>
      </c>
      <c r="E45" s="10" t="s">
        <v>340</v>
      </c>
      <c r="F45" s="10" t="s">
        <v>333</v>
      </c>
      <c r="G45" s="10" t="str">
        <f aca="false">IFERROR(INDEX(Dependencias!$H$5:$H$51,MATCH(F45,Dependencias!$E$5:$E$51,0)),"")</f>
        <v>GIT Bienestar Universitario</v>
      </c>
      <c r="H45" s="10" t="str">
        <f aca="false">IFERROR(INDEX(Dependencias!$F$5:$F$51,MATCH(F45,Dependencias!$E$5:$E$51,0))&amp;" · "&amp;INDEX(Dependencias!$G$5:$G$51,MATCH(F45,Dependencias!$E$5:$E$51,0)),"")</f>
        <v>122 · GIT Bienestar Universitario</v>
      </c>
      <c r="I45" s="10" t="s">
        <v>334</v>
      </c>
      <c r="J45" s="10" t="str">
        <f aca="false">LEFT(I45,1)</f>
        <v>6</v>
      </c>
      <c r="K45" s="10" t="s">
        <v>341</v>
      </c>
      <c r="L45" s="10" t="s">
        <v>342</v>
      </c>
      <c r="M45" s="10" t="s">
        <v>343</v>
      </c>
      <c r="N45" s="10" t="s">
        <v>344</v>
      </c>
      <c r="O45" s="10" t="s">
        <v>291</v>
      </c>
      <c r="P45" s="11"/>
      <c r="Q45" s="11"/>
      <c r="R45" s="11"/>
      <c r="S45" s="12" t="str">
        <f aca="false">IF(F45=LEFT(Buscador_Formulacion!$C$4,3),COUNTIF($F$4:F45,LEFT(Buscador_Formulacion!$C$4,3)),"")</f>
        <v/>
      </c>
    </row>
    <row r="46" customFormat="false" ht="52.5" hidden="false" customHeight="true" outlineLevel="0" collapsed="false">
      <c r="A46" s="10" t="s">
        <v>345</v>
      </c>
      <c r="B46" s="10" t="s">
        <v>283</v>
      </c>
      <c r="C46" s="10" t="s">
        <v>299</v>
      </c>
      <c r="D46" s="10" t="s">
        <v>346</v>
      </c>
      <c r="E46" s="10" t="s">
        <v>347</v>
      </c>
      <c r="F46" s="10" t="s">
        <v>333</v>
      </c>
      <c r="G46" s="10" t="str">
        <f aca="false">IFERROR(INDEX(Dependencias!$H$5:$H$51,MATCH(F46,Dependencias!$E$5:$E$51,0)),"")</f>
        <v>GIT Bienestar Universitario</v>
      </c>
      <c r="H46" s="10" t="str">
        <f aca="false">IFERROR(INDEX(Dependencias!$F$5:$F$51,MATCH(F46,Dependencias!$E$5:$E$51,0))&amp;" · "&amp;INDEX(Dependencias!$G$5:$G$51,MATCH(F46,Dependencias!$E$5:$E$51,0)),"")</f>
        <v>122 · GIT Bienestar Universitario</v>
      </c>
      <c r="I46" s="10" t="s">
        <v>348</v>
      </c>
      <c r="J46" s="10" t="str">
        <f aca="false">LEFT(I46,1)</f>
        <v>6</v>
      </c>
      <c r="K46" s="10" t="s">
        <v>349</v>
      </c>
      <c r="L46" s="10" t="s">
        <v>94</v>
      </c>
      <c r="M46" s="10" t="s">
        <v>350</v>
      </c>
      <c r="N46" s="10" t="s">
        <v>351</v>
      </c>
      <c r="O46" s="10" t="s">
        <v>291</v>
      </c>
      <c r="P46" s="11"/>
      <c r="Q46" s="11"/>
      <c r="R46" s="11"/>
      <c r="S46" s="12" t="str">
        <f aca="false">IF(F46=LEFT(Buscador_Formulacion!$C$4,3),COUNTIF($F$4:F46,LEFT(Buscador_Formulacion!$C$4,3)),"")</f>
        <v/>
      </c>
    </row>
    <row r="47" customFormat="false" ht="52.5" hidden="false" customHeight="true" outlineLevel="0" collapsed="false">
      <c r="A47" s="10" t="s">
        <v>352</v>
      </c>
      <c r="B47" s="10" t="s">
        <v>283</v>
      </c>
      <c r="C47" s="10" t="s">
        <v>299</v>
      </c>
      <c r="D47" s="10" t="s">
        <v>353</v>
      </c>
      <c r="E47" s="10" t="s">
        <v>354</v>
      </c>
      <c r="F47" s="10" t="s">
        <v>147</v>
      </c>
      <c r="G47" s="10" t="str">
        <f aca="false">IFERROR(INDEX(Dependencias!$H$5:$H$51,MATCH(F47,Dependencias!$E$5:$E$51,0)),"")</f>
        <v>Despacho de la Vicerrectoría Administrativa y Financiera</v>
      </c>
      <c r="H47" s="10" t="str">
        <f aca="false">IFERROR(INDEX(Dependencias!$F$5:$F$51,MATCH(F47,Dependencias!$E$5:$E$51,0))&amp;" · "&amp;INDEX(Dependencias!$G$5:$G$51,MATCH(F47,Dependencias!$E$5:$E$51,0)),"")</f>
        <v>130 · Vicerrectoría Administrativa y Financiera</v>
      </c>
      <c r="I47" s="10" t="s">
        <v>181</v>
      </c>
      <c r="J47" s="10" t="str">
        <f aca="false">LEFT(I47,1)</f>
        <v>4</v>
      </c>
      <c r="K47" s="10" t="s">
        <v>355</v>
      </c>
      <c r="L47" s="10" t="s">
        <v>94</v>
      </c>
      <c r="M47" s="10" t="s">
        <v>356</v>
      </c>
      <c r="N47" s="10" t="s">
        <v>357</v>
      </c>
      <c r="O47" s="10" t="s">
        <v>291</v>
      </c>
      <c r="P47" s="11"/>
      <c r="Q47" s="11"/>
      <c r="R47" s="11"/>
      <c r="S47" s="12" t="str">
        <f aca="false">IF(F47=LEFT(Buscador_Formulacion!$C$4,3),COUNTIF($F$4:F47,LEFT(Buscador_Formulacion!$C$4,3)),"")</f>
        <v/>
      </c>
    </row>
    <row r="48" customFormat="false" ht="52.5" hidden="false" customHeight="true" outlineLevel="0" collapsed="false">
      <c r="A48" s="10" t="s">
        <v>358</v>
      </c>
      <c r="B48" s="10" t="s">
        <v>283</v>
      </c>
      <c r="C48" s="10" t="s">
        <v>299</v>
      </c>
      <c r="D48" s="10" t="s">
        <v>359</v>
      </c>
      <c r="E48" s="10" t="s">
        <v>360</v>
      </c>
      <c r="F48" s="10" t="s">
        <v>124</v>
      </c>
      <c r="G48" s="10" t="str">
        <f aca="false">IFERROR(INDEX(Dependencias!$H$5:$H$51,MATCH(F48,Dependencias!$E$5:$E$51,0)),"")</f>
        <v>GIT Registro, Control y Admisiones</v>
      </c>
      <c r="H48" s="10" t="str">
        <f aca="false">IFERROR(INDEX(Dependencias!$F$5:$F$51,MATCH(F48,Dependencias!$E$5:$E$51,0))&amp;" · "&amp;INDEX(Dependencias!$G$5:$G$51,MATCH(F48,Dependencias!$E$5:$E$51,0)),"")</f>
        <v>126 · GIT Registro y Control</v>
      </c>
      <c r="I48" s="10" t="s">
        <v>286</v>
      </c>
      <c r="J48" s="10" t="str">
        <f aca="false">LEFT(I48,1)</f>
        <v>4</v>
      </c>
      <c r="K48" s="10" t="s">
        <v>361</v>
      </c>
      <c r="L48" s="10" t="s">
        <v>94</v>
      </c>
      <c r="M48" s="10" t="s">
        <v>362</v>
      </c>
      <c r="N48" s="10" t="s">
        <v>363</v>
      </c>
      <c r="O48" s="10" t="s">
        <v>291</v>
      </c>
      <c r="P48" s="11"/>
      <c r="Q48" s="11"/>
      <c r="R48" s="11"/>
      <c r="S48" s="12" t="str">
        <f aca="false">IF(F48=LEFT(Buscador_Formulacion!$C$4,3),COUNTIF($F$4:F48,LEFT(Buscador_Formulacion!$C$4,3)),"")</f>
        <v/>
      </c>
    </row>
    <row r="49" customFormat="false" ht="52.5" hidden="false" customHeight="true" outlineLevel="0" collapsed="false">
      <c r="A49" s="10" t="s">
        <v>364</v>
      </c>
      <c r="B49" s="10" t="s">
        <v>283</v>
      </c>
      <c r="C49" s="10" t="s">
        <v>299</v>
      </c>
      <c r="D49" s="10" t="s">
        <v>365</v>
      </c>
      <c r="E49" s="10" t="s">
        <v>366</v>
      </c>
      <c r="F49" s="10" t="s">
        <v>138</v>
      </c>
      <c r="G49" s="10" t="str">
        <f aca="false">IFERROR(INDEX(Dependencias!$H$5:$H$51,MATCH(F49,Dependencias!$E$5:$E$51,0)),"")</f>
        <v>Planeación y Plan de Acción</v>
      </c>
      <c r="H49" s="10" t="str">
        <f aca="false">IFERROR(INDEX(Dependencias!$F$5:$F$51,MATCH(F49,Dependencias!$E$5:$E$51,0))&amp;" · "&amp;INDEX(Dependencias!$G$5:$G$51,MATCH(F49,Dependencias!$E$5:$E$51,0)),"")</f>
        <v>101 · Oficina Asesora de Planeación y Desarrollo Institucional</v>
      </c>
      <c r="I49" s="10" t="s">
        <v>286</v>
      </c>
      <c r="J49" s="10" t="str">
        <f aca="false">LEFT(I49,1)</f>
        <v>4</v>
      </c>
      <c r="K49" s="10" t="s">
        <v>367</v>
      </c>
      <c r="L49" s="10" t="s">
        <v>94</v>
      </c>
      <c r="M49" s="10" t="s">
        <v>368</v>
      </c>
      <c r="N49" s="10" t="s">
        <v>369</v>
      </c>
      <c r="O49" s="10" t="s">
        <v>291</v>
      </c>
      <c r="P49" s="11"/>
      <c r="Q49" s="11"/>
      <c r="R49" s="11"/>
      <c r="S49" s="12" t="str">
        <f aca="false">IF(F49=LEFT(Buscador_Formulacion!$C$4,3),COUNTIF($F$4:F49,LEFT(Buscador_Formulacion!$C$4,3)),"")</f>
        <v/>
      </c>
    </row>
    <row r="50" customFormat="false" ht="52.5" hidden="false" customHeight="true" outlineLevel="0" collapsed="false">
      <c r="A50" s="10" t="s">
        <v>370</v>
      </c>
      <c r="B50" s="10" t="s">
        <v>283</v>
      </c>
      <c r="C50" s="10" t="s">
        <v>299</v>
      </c>
      <c r="D50" s="10" t="s">
        <v>371</v>
      </c>
      <c r="E50" s="10" t="s">
        <v>372</v>
      </c>
      <c r="F50" s="10" t="s">
        <v>373</v>
      </c>
      <c r="G50" s="10" t="str">
        <f aca="false">IFERROR(INDEX(Dependencias!$H$5:$H$51,MATCH(F50,Dependencias!$E$5:$E$51,0)),"")</f>
        <v>GIT Informática y Telecomunicaciones</v>
      </c>
      <c r="H50" s="10" t="str">
        <f aca="false">IFERROR(INDEX(Dependencias!$F$5:$F$51,MATCH(F50,Dependencias!$E$5:$E$51,0))&amp;" · "&amp;INDEX(Dependencias!$G$5:$G$51,MATCH(F50,Dependencias!$E$5:$E$51,0)),"")</f>
        <v>132 · GIT Gestión de Informática y Telecomunicaciones</v>
      </c>
      <c r="I50" s="10" t="s">
        <v>286</v>
      </c>
      <c r="J50" s="10" t="str">
        <f aca="false">LEFT(I50,1)</f>
        <v>4</v>
      </c>
      <c r="K50" s="10" t="s">
        <v>205</v>
      </c>
      <c r="L50" s="10" t="s">
        <v>94</v>
      </c>
      <c r="M50" s="10" t="s">
        <v>374</v>
      </c>
      <c r="N50" s="10" t="s">
        <v>375</v>
      </c>
      <c r="O50" s="10" t="s">
        <v>291</v>
      </c>
      <c r="P50" s="11"/>
      <c r="Q50" s="11"/>
      <c r="R50" s="11"/>
      <c r="S50" s="12" t="str">
        <f aca="false">IF(F50=LEFT(Buscador_Formulacion!$C$4,3),COUNTIF($F$4:F50,LEFT(Buscador_Formulacion!$C$4,3)),"")</f>
        <v/>
      </c>
    </row>
    <row r="51" customFormat="false" ht="39" hidden="false" customHeight="true" outlineLevel="0" collapsed="false">
      <c r="A51" s="10" t="s">
        <v>376</v>
      </c>
      <c r="B51" s="10" t="s">
        <v>377</v>
      </c>
      <c r="C51" s="10" t="s">
        <v>378</v>
      </c>
      <c r="D51" s="10" t="s">
        <v>379</v>
      </c>
      <c r="E51" s="10" t="s">
        <v>380</v>
      </c>
      <c r="F51" s="10" t="s">
        <v>381</v>
      </c>
      <c r="G51" s="10" t="str">
        <f aca="false">IFERROR(INDEX(Dependencias!$H$5:$H$51,MATCH(F51,Dependencias!$E$5:$E$51,0)),"")</f>
        <v>Autoevaluación y Acreditación</v>
      </c>
      <c r="H51" s="10" t="str">
        <f aca="false">IFERROR(INDEX(Dependencias!$F$5:$F$51,MATCH(F51,Dependencias!$E$5:$E$51,0))&amp;" · "&amp;INDEX(Dependencias!$G$5:$G$51,MATCH(F51,Dependencias!$E$5:$E$51,0)),"")</f>
        <v>101 · Oficina Asesora de Planeación y Desarrollo Institucional</v>
      </c>
      <c r="I51" s="10" t="s">
        <v>382</v>
      </c>
      <c r="J51" s="10" t="str">
        <f aca="false">LEFT(I51,1)</f>
        <v>1</v>
      </c>
      <c r="K51" s="10" t="s">
        <v>383</v>
      </c>
      <c r="L51" s="10" t="s">
        <v>94</v>
      </c>
      <c r="M51" s="10" t="s">
        <v>384</v>
      </c>
      <c r="N51" s="10" t="s">
        <v>385</v>
      </c>
      <c r="O51" s="10" t="s">
        <v>386</v>
      </c>
      <c r="P51" s="11"/>
      <c r="Q51" s="11"/>
      <c r="R51" s="11"/>
      <c r="S51" s="12" t="str">
        <f aca="false">IF(F51=LEFT(Buscador_Formulacion!$C$4,3),COUNTIF($F$4:F51,LEFT(Buscador_Formulacion!$C$4,3)),"")</f>
        <v/>
      </c>
    </row>
    <row r="52" customFormat="false" ht="39" hidden="false" customHeight="true" outlineLevel="0" collapsed="false">
      <c r="A52" s="10" t="s">
        <v>387</v>
      </c>
      <c r="B52" s="10" t="s">
        <v>377</v>
      </c>
      <c r="C52" s="10" t="s">
        <v>378</v>
      </c>
      <c r="D52" s="10" t="s">
        <v>388</v>
      </c>
      <c r="E52" s="10" t="s">
        <v>389</v>
      </c>
      <c r="F52" s="10" t="s">
        <v>83</v>
      </c>
      <c r="G52" s="10" t="str">
        <f aca="false">IFERROR(INDEX(Dependencias!$H$5:$H$51,MATCH(F52,Dependencias!$E$5:$E$51,0)),"")</f>
        <v>Despacho de la Vicerrectoría Académica</v>
      </c>
      <c r="H52" s="10" t="str">
        <f aca="false">IFERROR(INDEX(Dependencias!$F$5:$F$51,MATCH(F52,Dependencias!$E$5:$E$51,0))&amp;" · "&amp;INDEX(Dependencias!$G$5:$G$51,MATCH(F52,Dependencias!$E$5:$E$51,0)),"")</f>
        <v>120 · Vicerrectoría Académica</v>
      </c>
      <c r="I52" s="10" t="s">
        <v>139</v>
      </c>
      <c r="J52" s="10" t="str">
        <f aca="false">LEFT(I52,1)</f>
        <v>1</v>
      </c>
      <c r="K52" s="10" t="s">
        <v>390</v>
      </c>
      <c r="L52" s="10" t="s">
        <v>94</v>
      </c>
      <c r="M52" s="10" t="s">
        <v>384</v>
      </c>
      <c r="N52" s="10" t="s">
        <v>385</v>
      </c>
      <c r="O52" s="10" t="s">
        <v>386</v>
      </c>
      <c r="P52" s="11"/>
      <c r="Q52" s="11"/>
      <c r="R52" s="11"/>
      <c r="S52" s="12" t="str">
        <f aca="false">IF(F52=LEFT(Buscador_Formulacion!$C$4,3),COUNTIF($F$4:F52,LEFT(Buscador_Formulacion!$C$4,3)),"")</f>
        <v/>
      </c>
    </row>
    <row r="53" customFormat="false" ht="39" hidden="false" customHeight="true" outlineLevel="0" collapsed="false">
      <c r="A53" s="10" t="s">
        <v>391</v>
      </c>
      <c r="B53" s="10" t="s">
        <v>377</v>
      </c>
      <c r="C53" s="10" t="s">
        <v>378</v>
      </c>
      <c r="D53" s="10" t="s">
        <v>392</v>
      </c>
      <c r="E53" s="10" t="s">
        <v>393</v>
      </c>
      <c r="F53" s="10" t="s">
        <v>381</v>
      </c>
      <c r="G53" s="10" t="str">
        <f aca="false">IFERROR(INDEX(Dependencias!$H$5:$H$51,MATCH(F53,Dependencias!$E$5:$E$51,0)),"")</f>
        <v>Autoevaluación y Acreditación</v>
      </c>
      <c r="H53" s="10" t="str">
        <f aca="false">IFERROR(INDEX(Dependencias!$F$5:$F$51,MATCH(F53,Dependencias!$E$5:$E$51,0))&amp;" · "&amp;INDEX(Dependencias!$G$5:$G$51,MATCH(F53,Dependencias!$E$5:$E$51,0)),"")</f>
        <v>101 · Oficina Asesora de Planeación y Desarrollo Institucional</v>
      </c>
      <c r="I53" s="10" t="s">
        <v>394</v>
      </c>
      <c r="J53" s="10" t="str">
        <f aca="false">LEFT(I53,1)</f>
        <v>1</v>
      </c>
      <c r="K53" s="10" t="s">
        <v>395</v>
      </c>
      <c r="L53" s="10" t="s">
        <v>94</v>
      </c>
      <c r="M53" s="10" t="s">
        <v>384</v>
      </c>
      <c r="N53" s="10" t="s">
        <v>385</v>
      </c>
      <c r="O53" s="10" t="s">
        <v>386</v>
      </c>
      <c r="P53" s="11"/>
      <c r="Q53" s="11"/>
      <c r="R53" s="11"/>
      <c r="S53" s="12" t="str">
        <f aca="false">IF(F53=LEFT(Buscador_Formulacion!$C$4,3),COUNTIF($F$4:F53,LEFT(Buscador_Formulacion!$C$4,3)),"")</f>
        <v/>
      </c>
    </row>
    <row r="54" customFormat="false" ht="39" hidden="false" customHeight="true" outlineLevel="0" collapsed="false">
      <c r="A54" s="10" t="s">
        <v>396</v>
      </c>
      <c r="B54" s="10" t="s">
        <v>377</v>
      </c>
      <c r="C54" s="10" t="s">
        <v>378</v>
      </c>
      <c r="D54" s="10" t="s">
        <v>397</v>
      </c>
      <c r="E54" s="10" t="s">
        <v>91</v>
      </c>
      <c r="F54" s="10" t="s">
        <v>83</v>
      </c>
      <c r="G54" s="10" t="str">
        <f aca="false">IFERROR(INDEX(Dependencias!$H$5:$H$51,MATCH(F54,Dependencias!$E$5:$E$51,0)),"")</f>
        <v>Despacho de la Vicerrectoría Académica</v>
      </c>
      <c r="H54" s="10" t="str">
        <f aca="false">IFERROR(INDEX(Dependencias!$F$5:$F$51,MATCH(F54,Dependencias!$E$5:$E$51,0))&amp;" · "&amp;INDEX(Dependencias!$G$5:$G$51,MATCH(F54,Dependencias!$E$5:$E$51,0)),"")</f>
        <v>120 · Vicerrectoría Académica</v>
      </c>
      <c r="I54" s="10" t="s">
        <v>398</v>
      </c>
      <c r="J54" s="10" t="str">
        <f aca="false">LEFT(I54,1)</f>
        <v>1</v>
      </c>
      <c r="K54" s="10" t="s">
        <v>399</v>
      </c>
      <c r="L54" s="10" t="s">
        <v>94</v>
      </c>
      <c r="M54" s="10" t="s">
        <v>400</v>
      </c>
      <c r="N54" s="10" t="s">
        <v>385</v>
      </c>
      <c r="O54" s="10" t="s">
        <v>386</v>
      </c>
      <c r="P54" s="11"/>
      <c r="Q54" s="11"/>
      <c r="R54" s="11"/>
      <c r="S54" s="12" t="str">
        <f aca="false">IF(F54=LEFT(Buscador_Formulacion!$C$4,3),COUNTIF($F$4:F54,LEFT(Buscador_Formulacion!$C$4,3)),"")</f>
        <v/>
      </c>
    </row>
    <row r="55" customFormat="false" ht="39" hidden="false" customHeight="true" outlineLevel="0" collapsed="false">
      <c r="A55" s="10" t="s">
        <v>401</v>
      </c>
      <c r="B55" s="10" t="s">
        <v>377</v>
      </c>
      <c r="C55" s="10" t="s">
        <v>378</v>
      </c>
      <c r="D55" s="10" t="s">
        <v>402</v>
      </c>
      <c r="E55" s="10" t="s">
        <v>403</v>
      </c>
      <c r="F55" s="10" t="s">
        <v>404</v>
      </c>
      <c r="G55" s="10" t="str">
        <f aca="false">IFERROR(INDEX(Dependencias!$H$5:$H$51,MATCH(F55,Dependencias!$E$5:$E$51,0)),"")</f>
        <v>Innovación y Laboratorio Inteligente</v>
      </c>
      <c r="H55" s="10" t="str">
        <f aca="false">IFERROR(INDEX(Dependencias!$F$5:$F$51,MATCH(F55,Dependencias!$E$5:$E$51,0))&amp;" · "&amp;INDEX(Dependencias!$G$5:$G$51,MATCH(F55,Dependencias!$E$5:$E$51,0)),"")</f>
        <v>140 · Vicerrectoría de Investigación, Extensión y Transferencia</v>
      </c>
      <c r="I55" s="10" t="s">
        <v>405</v>
      </c>
      <c r="J55" s="10" t="str">
        <f aca="false">LEFT(I55,1)</f>
        <v>2</v>
      </c>
      <c r="K55" s="10" t="s">
        <v>406</v>
      </c>
      <c r="L55" s="10" t="s">
        <v>94</v>
      </c>
      <c r="M55" s="10" t="s">
        <v>407</v>
      </c>
      <c r="N55" s="10" t="s">
        <v>385</v>
      </c>
      <c r="O55" s="10" t="s">
        <v>386</v>
      </c>
      <c r="P55" s="11"/>
      <c r="Q55" s="11"/>
      <c r="R55" s="11"/>
      <c r="S55" s="12" t="str">
        <f aca="false">IF(F55=LEFT(Buscador_Formulacion!$C$4,3),COUNTIF($F$4:F55,LEFT(Buscador_Formulacion!$C$4,3)),"")</f>
        <v/>
      </c>
    </row>
    <row r="56" customFormat="false" ht="39" hidden="false" customHeight="true" outlineLevel="0" collapsed="false">
      <c r="A56" s="10" t="s">
        <v>408</v>
      </c>
      <c r="B56" s="10" t="s">
        <v>377</v>
      </c>
      <c r="C56" s="10" t="s">
        <v>378</v>
      </c>
      <c r="D56" s="10" t="s">
        <v>409</v>
      </c>
      <c r="E56" s="10" t="s">
        <v>410</v>
      </c>
      <c r="F56" s="10" t="s">
        <v>411</v>
      </c>
      <c r="G56" s="10" t="str">
        <f aca="false">IFERROR(INDEX(Dependencias!$H$5:$H$51,MATCH(F56,Dependencias!$E$5:$E$51,0)),"")</f>
        <v>Investigación (grupos, semilleros, revista, centro de pensamiento)</v>
      </c>
      <c r="H56" s="10" t="str">
        <f aca="false">IFERROR(INDEX(Dependencias!$F$5:$F$51,MATCH(F56,Dependencias!$E$5:$E$51,0))&amp;" · "&amp;INDEX(Dependencias!$G$5:$G$51,MATCH(F56,Dependencias!$E$5:$E$51,0)),"")</f>
        <v>140 · Vicerrectoría de Investigación, Extensión y Transferencia</v>
      </c>
      <c r="I56" s="10" t="s">
        <v>412</v>
      </c>
      <c r="J56" s="10" t="str">
        <f aca="false">LEFT(I56,1)</f>
        <v>2</v>
      </c>
      <c r="K56" s="10" t="s">
        <v>413</v>
      </c>
      <c r="L56" s="10" t="s">
        <v>94</v>
      </c>
      <c r="M56" s="10" t="s">
        <v>384</v>
      </c>
      <c r="N56" s="10" t="s">
        <v>385</v>
      </c>
      <c r="O56" s="10" t="s">
        <v>386</v>
      </c>
      <c r="P56" s="11"/>
      <c r="Q56" s="11"/>
      <c r="R56" s="11"/>
      <c r="S56" s="12" t="str">
        <f aca="false">IF(F56=LEFT(Buscador_Formulacion!$C$4,3),COUNTIF($F$4:F56,LEFT(Buscador_Formulacion!$C$4,3)),"")</f>
        <v/>
      </c>
    </row>
    <row r="57" customFormat="false" ht="39" hidden="false" customHeight="true" outlineLevel="0" collapsed="false">
      <c r="A57" s="10" t="s">
        <v>414</v>
      </c>
      <c r="B57" s="10" t="s">
        <v>377</v>
      </c>
      <c r="C57" s="10" t="s">
        <v>378</v>
      </c>
      <c r="D57" s="10" t="s">
        <v>415</v>
      </c>
      <c r="E57" s="10" t="s">
        <v>416</v>
      </c>
      <c r="F57" s="10" t="s">
        <v>381</v>
      </c>
      <c r="G57" s="10" t="str">
        <f aca="false">IFERROR(INDEX(Dependencias!$H$5:$H$51,MATCH(F57,Dependencias!$E$5:$E$51,0)),"")</f>
        <v>Autoevaluación y Acreditación</v>
      </c>
      <c r="H57" s="10" t="str">
        <f aca="false">IFERROR(INDEX(Dependencias!$F$5:$F$51,MATCH(F57,Dependencias!$E$5:$E$51,0))&amp;" · "&amp;INDEX(Dependencias!$G$5:$G$51,MATCH(F57,Dependencias!$E$5:$E$51,0)),"")</f>
        <v>101 · Oficina Asesora de Planeación y Desarrollo Institucional</v>
      </c>
      <c r="I57" s="10" t="s">
        <v>417</v>
      </c>
      <c r="J57" s="10" t="str">
        <f aca="false">LEFT(I57,1)</f>
        <v>4</v>
      </c>
      <c r="K57" s="10" t="s">
        <v>418</v>
      </c>
      <c r="L57" s="10" t="s">
        <v>94</v>
      </c>
      <c r="M57" s="10" t="s">
        <v>384</v>
      </c>
      <c r="N57" s="10" t="s">
        <v>385</v>
      </c>
      <c r="O57" s="10" t="s">
        <v>386</v>
      </c>
      <c r="P57" s="11"/>
      <c r="Q57" s="11"/>
      <c r="R57" s="11"/>
      <c r="S57" s="12" t="str">
        <f aca="false">IF(F57=LEFT(Buscador_Formulacion!$C$4,3),COUNTIF($F$4:F57,LEFT(Buscador_Formulacion!$C$4,3)),"")</f>
        <v/>
      </c>
    </row>
    <row r="58" customFormat="false" ht="39" hidden="false" customHeight="true" outlineLevel="0" collapsed="false">
      <c r="A58" s="10" t="s">
        <v>419</v>
      </c>
      <c r="B58" s="10" t="s">
        <v>377</v>
      </c>
      <c r="C58" s="10" t="s">
        <v>378</v>
      </c>
      <c r="D58" s="10" t="s">
        <v>420</v>
      </c>
      <c r="E58" s="10" t="s">
        <v>421</v>
      </c>
      <c r="F58" s="10" t="s">
        <v>422</v>
      </c>
      <c r="G58" s="10" t="str">
        <f aca="false">IFERROR(INDEX(Dependencias!$H$5:$H$51,MATCH(F58,Dependencias!$E$5:$E$51,0)),"")</f>
        <v>Gestión de Proyectos</v>
      </c>
      <c r="H58" s="10" t="str">
        <f aca="false">IFERROR(INDEX(Dependencias!$F$5:$F$51,MATCH(F58,Dependencias!$E$5:$E$51,0))&amp;" · "&amp;INDEX(Dependencias!$G$5:$G$51,MATCH(F58,Dependencias!$E$5:$E$51,0)),"")</f>
        <v>101 · Oficina Asesora de Planeación y Desarrollo Institucional</v>
      </c>
      <c r="I58" s="10" t="s">
        <v>286</v>
      </c>
      <c r="J58" s="10" t="str">
        <f aca="false">LEFT(I58,1)</f>
        <v>4</v>
      </c>
      <c r="K58" s="10" t="s">
        <v>423</v>
      </c>
      <c r="L58" s="10" t="s">
        <v>94</v>
      </c>
      <c r="M58" s="10" t="s">
        <v>384</v>
      </c>
      <c r="N58" s="10" t="s">
        <v>385</v>
      </c>
      <c r="O58" s="10" t="s">
        <v>386</v>
      </c>
      <c r="P58" s="11"/>
      <c r="Q58" s="11"/>
      <c r="R58" s="11"/>
      <c r="S58" s="12" t="str">
        <f aca="false">IF(F58=LEFT(Buscador_Formulacion!$C$4,3),COUNTIF($F$4:F58,LEFT(Buscador_Formulacion!$C$4,3)),"")</f>
        <v/>
      </c>
    </row>
    <row r="59" customFormat="false" ht="39" hidden="false" customHeight="true" outlineLevel="0" collapsed="false">
      <c r="A59" s="10" t="s">
        <v>424</v>
      </c>
      <c r="B59" s="10" t="s">
        <v>377</v>
      </c>
      <c r="C59" s="10" t="s">
        <v>378</v>
      </c>
      <c r="D59" s="10" t="s">
        <v>425</v>
      </c>
      <c r="E59" s="10" t="s">
        <v>426</v>
      </c>
      <c r="F59" s="10" t="s">
        <v>427</v>
      </c>
      <c r="G59" s="10" t="str">
        <f aca="false">IFERROR(INDEX(Dependencias!$H$5:$H$51,MATCH(F59,Dependencias!$E$5:$E$51,0)),"")</f>
        <v>Comunicaciones y Mercadeo</v>
      </c>
      <c r="H59" s="10" t="str">
        <f aca="false">IFERROR(INDEX(Dependencias!$F$5:$F$51,MATCH(F59,Dependencias!$E$5:$E$51,0))&amp;" · "&amp;INDEX(Dependencias!$G$5:$G$51,MATCH(F59,Dependencias!$E$5:$E$51,0)),"")</f>
        <v>100 · Rectoría</v>
      </c>
      <c r="I59" s="10" t="s">
        <v>428</v>
      </c>
      <c r="J59" s="10" t="str">
        <f aca="false">LEFT(I59,1)</f>
        <v>4</v>
      </c>
      <c r="K59" s="10" t="s">
        <v>429</v>
      </c>
      <c r="L59" s="10" t="s">
        <v>94</v>
      </c>
      <c r="M59" s="10" t="s">
        <v>384</v>
      </c>
      <c r="N59" s="10" t="s">
        <v>385</v>
      </c>
      <c r="O59" s="10" t="s">
        <v>386</v>
      </c>
      <c r="P59" s="11"/>
      <c r="Q59" s="11"/>
      <c r="R59" s="11"/>
      <c r="S59" s="12" t="str">
        <f aca="false">IF(F59=LEFT(Buscador_Formulacion!$C$4,3),COUNTIF($F$4:F59,LEFT(Buscador_Formulacion!$C$4,3)),"")</f>
        <v/>
      </c>
    </row>
    <row r="60" customFormat="false" ht="39" hidden="false" customHeight="true" outlineLevel="0" collapsed="false">
      <c r="A60" s="10" t="s">
        <v>430</v>
      </c>
      <c r="B60" s="10" t="s">
        <v>377</v>
      </c>
      <c r="C60" s="10" t="s">
        <v>378</v>
      </c>
      <c r="D60" s="10" t="s">
        <v>431</v>
      </c>
      <c r="E60" s="10" t="s">
        <v>432</v>
      </c>
      <c r="F60" s="10" t="s">
        <v>433</v>
      </c>
      <c r="G60" s="10" t="str">
        <f aca="false">IFERROR(INDEX(Dependencias!$H$5:$H$51,MATCH(F60,Dependencias!$E$5:$E$51,0)),"")</f>
        <v>Recursos Físicos e Infraestructura</v>
      </c>
      <c r="H60" s="10" t="str">
        <f aca="false">IFERROR(INDEX(Dependencias!$F$5:$F$51,MATCH(F60,Dependencias!$E$5:$E$51,0))&amp;" · "&amp;INDEX(Dependencias!$G$5:$G$51,MATCH(F60,Dependencias!$E$5:$E$51,0)),"")</f>
        <v>130 · Vicerrectoría Administrativa y Financiera</v>
      </c>
      <c r="I60" s="10" t="s">
        <v>434</v>
      </c>
      <c r="J60" s="10" t="str">
        <f aca="false">LEFT(I60,1)</f>
        <v>5</v>
      </c>
      <c r="K60" s="10" t="s">
        <v>435</v>
      </c>
      <c r="L60" s="10" t="s">
        <v>94</v>
      </c>
      <c r="M60" s="10" t="s">
        <v>384</v>
      </c>
      <c r="N60" s="10" t="s">
        <v>385</v>
      </c>
      <c r="O60" s="10" t="s">
        <v>386</v>
      </c>
      <c r="P60" s="11"/>
      <c r="Q60" s="11"/>
      <c r="R60" s="11"/>
      <c r="S60" s="12" t="str">
        <f aca="false">IF(F60=LEFT(Buscador_Formulacion!$C$4,3),COUNTIF($F$4:F60,LEFT(Buscador_Formulacion!$C$4,3)),"")</f>
        <v/>
      </c>
    </row>
    <row r="61" customFormat="false" ht="39" hidden="false" customHeight="true" outlineLevel="0" collapsed="false">
      <c r="A61" s="10" t="s">
        <v>436</v>
      </c>
      <c r="B61" s="10" t="s">
        <v>377</v>
      </c>
      <c r="C61" s="10" t="s">
        <v>378</v>
      </c>
      <c r="D61" s="10" t="s">
        <v>437</v>
      </c>
      <c r="E61" s="10" t="s">
        <v>438</v>
      </c>
      <c r="F61" s="10" t="s">
        <v>373</v>
      </c>
      <c r="G61" s="10" t="str">
        <f aca="false">IFERROR(INDEX(Dependencias!$H$5:$H$51,MATCH(F61,Dependencias!$E$5:$E$51,0)),"")</f>
        <v>GIT Informática y Telecomunicaciones</v>
      </c>
      <c r="H61" s="10" t="str">
        <f aca="false">IFERROR(INDEX(Dependencias!$F$5:$F$51,MATCH(F61,Dependencias!$E$5:$E$51,0))&amp;" · "&amp;INDEX(Dependencias!$G$5:$G$51,MATCH(F61,Dependencias!$E$5:$E$51,0)),"")</f>
        <v>132 · GIT Gestión de Informática y Telecomunicaciones</v>
      </c>
      <c r="I61" s="10" t="s">
        <v>439</v>
      </c>
      <c r="J61" s="10" t="str">
        <f aca="false">LEFT(I61,1)</f>
        <v>5</v>
      </c>
      <c r="K61" s="10" t="s">
        <v>440</v>
      </c>
      <c r="L61" s="10" t="s">
        <v>94</v>
      </c>
      <c r="M61" s="10" t="s">
        <v>384</v>
      </c>
      <c r="N61" s="10" t="s">
        <v>385</v>
      </c>
      <c r="O61" s="10" t="s">
        <v>386</v>
      </c>
      <c r="P61" s="11"/>
      <c r="Q61" s="11"/>
      <c r="R61" s="11"/>
      <c r="S61" s="12" t="str">
        <f aca="false">IF(F61=LEFT(Buscador_Formulacion!$C$4,3),COUNTIF($F$4:F61,LEFT(Buscador_Formulacion!$C$4,3)),"")</f>
        <v/>
      </c>
    </row>
    <row r="62" customFormat="false" ht="39" hidden="false" customHeight="true" outlineLevel="0" collapsed="false">
      <c r="A62" s="10" t="s">
        <v>441</v>
      </c>
      <c r="B62" s="10" t="s">
        <v>377</v>
      </c>
      <c r="C62" s="10" t="s">
        <v>378</v>
      </c>
      <c r="D62" s="10" t="s">
        <v>442</v>
      </c>
      <c r="E62" s="10" t="s">
        <v>443</v>
      </c>
      <c r="F62" s="10" t="s">
        <v>433</v>
      </c>
      <c r="G62" s="10" t="str">
        <f aca="false">IFERROR(INDEX(Dependencias!$H$5:$H$51,MATCH(F62,Dependencias!$E$5:$E$51,0)),"")</f>
        <v>Recursos Físicos e Infraestructura</v>
      </c>
      <c r="H62" s="10" t="str">
        <f aca="false">IFERROR(INDEX(Dependencias!$F$5:$F$51,MATCH(F62,Dependencias!$E$5:$E$51,0))&amp;" · "&amp;INDEX(Dependencias!$G$5:$G$51,MATCH(F62,Dependencias!$E$5:$E$51,0)),"")</f>
        <v>130 · Vicerrectoría Administrativa y Financiera</v>
      </c>
      <c r="I62" s="10" t="s">
        <v>444</v>
      </c>
      <c r="J62" s="10" t="str">
        <f aca="false">LEFT(I62,1)</f>
        <v>5</v>
      </c>
      <c r="K62" s="10" t="s">
        <v>445</v>
      </c>
      <c r="L62" s="10" t="s">
        <v>94</v>
      </c>
      <c r="M62" s="10" t="s">
        <v>384</v>
      </c>
      <c r="N62" s="10" t="s">
        <v>385</v>
      </c>
      <c r="O62" s="10" t="s">
        <v>386</v>
      </c>
      <c r="P62" s="11"/>
      <c r="Q62" s="11"/>
      <c r="R62" s="11"/>
      <c r="S62" s="12" t="str">
        <f aca="false">IF(F62=LEFT(Buscador_Formulacion!$C$4,3),COUNTIF($F$4:F62,LEFT(Buscador_Formulacion!$C$4,3)),"")</f>
        <v/>
      </c>
    </row>
    <row r="63" customFormat="false" ht="39" hidden="false" customHeight="true" outlineLevel="0" collapsed="false">
      <c r="A63" s="10" t="s">
        <v>446</v>
      </c>
      <c r="B63" s="10" t="s">
        <v>377</v>
      </c>
      <c r="C63" s="10" t="s">
        <v>447</v>
      </c>
      <c r="D63" s="10" t="s">
        <v>448</v>
      </c>
      <c r="E63" s="10" t="s">
        <v>449</v>
      </c>
      <c r="F63" s="10" t="s">
        <v>63</v>
      </c>
      <c r="G63" s="10" t="str">
        <f aca="false">IFERROR(INDEX(Dependencias!$H$5:$H$51,MATCH(F63,Dependencias!$E$5:$E$51,0)),"")</f>
        <v>Despacho de Rectoría</v>
      </c>
      <c r="H63" s="10" t="str">
        <f aca="false">IFERROR(INDEX(Dependencias!$F$5:$F$51,MATCH(F63,Dependencias!$E$5:$E$51,0))&amp;" · "&amp;INDEX(Dependencias!$G$5:$G$51,MATCH(F63,Dependencias!$E$5:$E$51,0)),"")</f>
        <v>100 · Rectoría</v>
      </c>
      <c r="I63" s="10" t="s">
        <v>64</v>
      </c>
      <c r="J63" s="10" t="str">
        <f aca="false">LEFT(I63,1)</f>
        <v>5</v>
      </c>
      <c r="K63" s="10" t="s">
        <v>205</v>
      </c>
      <c r="L63" s="10" t="s">
        <v>141</v>
      </c>
      <c r="M63" s="10" t="s">
        <v>450</v>
      </c>
      <c r="N63" s="10" t="s">
        <v>451</v>
      </c>
      <c r="O63" s="10" t="s">
        <v>386</v>
      </c>
      <c r="P63" s="11"/>
      <c r="Q63" s="11"/>
      <c r="R63" s="11"/>
      <c r="S63" s="12" t="str">
        <f aca="false">IF(F63=LEFT(Buscador_Formulacion!$C$4,3),COUNTIF($F$4:F63,LEFT(Buscador_Formulacion!$C$4,3)),"")</f>
        <v/>
      </c>
    </row>
    <row r="64" customFormat="false" ht="39" hidden="false" customHeight="true" outlineLevel="0" collapsed="false">
      <c r="A64" s="10" t="s">
        <v>452</v>
      </c>
      <c r="B64" s="10" t="s">
        <v>377</v>
      </c>
      <c r="C64" s="10" t="s">
        <v>378</v>
      </c>
      <c r="D64" s="10" t="s">
        <v>453</v>
      </c>
      <c r="E64" s="10" t="s">
        <v>454</v>
      </c>
      <c r="F64" s="10" t="s">
        <v>333</v>
      </c>
      <c r="G64" s="10" t="str">
        <f aca="false">IFERROR(INDEX(Dependencias!$H$5:$H$51,MATCH(F64,Dependencias!$E$5:$E$51,0)),"")</f>
        <v>GIT Bienestar Universitario</v>
      </c>
      <c r="H64" s="10" t="str">
        <f aca="false">IFERROR(INDEX(Dependencias!$F$5:$F$51,MATCH(F64,Dependencias!$E$5:$E$51,0))&amp;" · "&amp;INDEX(Dependencias!$G$5:$G$51,MATCH(F64,Dependencias!$E$5:$E$51,0)),"")</f>
        <v>122 · GIT Bienestar Universitario</v>
      </c>
      <c r="I64" s="10" t="s">
        <v>348</v>
      </c>
      <c r="J64" s="10" t="str">
        <f aca="false">LEFT(I64,1)</f>
        <v>6</v>
      </c>
      <c r="K64" s="10" t="s">
        <v>455</v>
      </c>
      <c r="L64" s="10" t="s">
        <v>94</v>
      </c>
      <c r="M64" s="10" t="s">
        <v>384</v>
      </c>
      <c r="N64" s="10" t="s">
        <v>385</v>
      </c>
      <c r="O64" s="10" t="s">
        <v>386</v>
      </c>
      <c r="P64" s="11"/>
      <c r="Q64" s="11"/>
      <c r="R64" s="11"/>
      <c r="S64" s="12" t="str">
        <f aca="false">IF(F64=LEFT(Buscador_Formulacion!$C$4,3),COUNTIF($F$4:F64,LEFT(Buscador_Formulacion!$C$4,3)),"")</f>
        <v/>
      </c>
    </row>
    <row r="65" customFormat="false" ht="39" hidden="false" customHeight="true" outlineLevel="0" collapsed="false">
      <c r="A65" s="10" t="s">
        <v>456</v>
      </c>
      <c r="B65" s="10" t="s">
        <v>377</v>
      </c>
      <c r="C65" s="10" t="s">
        <v>60</v>
      </c>
      <c r="D65" s="10" t="s">
        <v>457</v>
      </c>
      <c r="E65" s="10" t="s">
        <v>458</v>
      </c>
      <c r="F65" s="10" t="s">
        <v>138</v>
      </c>
      <c r="G65" s="10" t="str">
        <f aca="false">IFERROR(INDEX(Dependencias!$H$5:$H$51,MATCH(F65,Dependencias!$E$5:$E$51,0)),"")</f>
        <v>Planeación y Plan de Acción</v>
      </c>
      <c r="H65" s="10" t="str">
        <f aca="false">IFERROR(INDEX(Dependencias!$F$5:$F$51,MATCH(F65,Dependencias!$E$5:$E$51,0))&amp;" · "&amp;INDEX(Dependencias!$G$5:$G$51,MATCH(F65,Dependencias!$E$5:$E$51,0)),"")</f>
        <v>101 · Oficina Asesora de Planeación y Desarrollo Institucional</v>
      </c>
      <c r="I65" s="10" t="s">
        <v>459</v>
      </c>
      <c r="J65" s="10" t="str">
        <f aca="false">LEFT(I65,1)</f>
        <v>4</v>
      </c>
      <c r="K65" s="10" t="s">
        <v>460</v>
      </c>
      <c r="L65" s="10" t="s">
        <v>288</v>
      </c>
      <c r="M65" s="10" t="s">
        <v>461</v>
      </c>
      <c r="N65" s="10" t="s">
        <v>451</v>
      </c>
      <c r="O65" s="10" t="s">
        <v>386</v>
      </c>
      <c r="P65" s="11"/>
      <c r="Q65" s="11"/>
      <c r="R65" s="11"/>
      <c r="S65" s="12" t="str">
        <f aca="false">IF(F65=LEFT(Buscador_Formulacion!$C$4,3),COUNTIF($F$4:F65,LEFT(Buscador_Formulacion!$C$4,3)),"")</f>
        <v/>
      </c>
    </row>
    <row r="66" customFormat="false" ht="39" hidden="false" customHeight="true" outlineLevel="0" collapsed="false">
      <c r="A66" s="10" t="s">
        <v>462</v>
      </c>
      <c r="B66" s="10" t="s">
        <v>377</v>
      </c>
      <c r="C66" s="10" t="s">
        <v>60</v>
      </c>
      <c r="D66" s="10" t="s">
        <v>463</v>
      </c>
      <c r="E66" s="10" t="s">
        <v>458</v>
      </c>
      <c r="F66" s="10" t="s">
        <v>138</v>
      </c>
      <c r="G66" s="10" t="str">
        <f aca="false">IFERROR(INDEX(Dependencias!$H$5:$H$51,MATCH(F66,Dependencias!$E$5:$E$51,0)),"")</f>
        <v>Planeación y Plan de Acción</v>
      </c>
      <c r="H66" s="10" t="str">
        <f aca="false">IFERROR(INDEX(Dependencias!$F$5:$F$51,MATCH(F66,Dependencias!$E$5:$E$51,0))&amp;" · "&amp;INDEX(Dependencias!$G$5:$G$51,MATCH(F66,Dependencias!$E$5:$E$51,0)),"")</f>
        <v>101 · Oficina Asesora de Planeación y Desarrollo Institucional</v>
      </c>
      <c r="I66" s="10" t="s">
        <v>459</v>
      </c>
      <c r="J66" s="10" t="str">
        <f aca="false">LEFT(I66,1)</f>
        <v>4</v>
      </c>
      <c r="K66" s="10" t="s">
        <v>464</v>
      </c>
      <c r="L66" s="10" t="s">
        <v>465</v>
      </c>
      <c r="M66" s="10" t="s">
        <v>466</v>
      </c>
      <c r="N66" s="10" t="s">
        <v>451</v>
      </c>
      <c r="O66" s="10" t="s">
        <v>386</v>
      </c>
      <c r="P66" s="11"/>
      <c r="Q66" s="11"/>
      <c r="R66" s="11"/>
      <c r="S66" s="12" t="str">
        <f aca="false">IF(F66=LEFT(Buscador_Formulacion!$C$4,3),COUNTIF($F$4:F66,LEFT(Buscador_Formulacion!$C$4,3)),"")</f>
        <v/>
      </c>
    </row>
    <row r="67" customFormat="false" ht="39" hidden="false" customHeight="true" outlineLevel="0" collapsed="false">
      <c r="A67" s="10" t="s">
        <v>467</v>
      </c>
      <c r="B67" s="10" t="s">
        <v>377</v>
      </c>
      <c r="C67" s="10" t="s">
        <v>468</v>
      </c>
      <c r="D67" s="10" t="s">
        <v>469</v>
      </c>
      <c r="E67" s="10" t="s">
        <v>470</v>
      </c>
      <c r="F67" s="10" t="s">
        <v>471</v>
      </c>
      <c r="G67" s="10" t="str">
        <f aca="false">IFERROR(INDEX(Dependencias!$H$5:$H$51,MATCH(F67,Dependencias!$E$5:$E$51,0)),"")</f>
        <v>Egresados y Bolsa de Empleo</v>
      </c>
      <c r="H67" s="10" t="str">
        <f aca="false">IFERROR(INDEX(Dependencias!$F$5:$F$51,MATCH(F67,Dependencias!$E$5:$E$51,0))&amp;" · "&amp;INDEX(Dependencias!$G$5:$G$51,MATCH(F67,Dependencias!$E$5:$E$51,0)),"")</f>
        <v>141 · GIT Extensión y Proyección Social</v>
      </c>
      <c r="I67" s="10" t="s">
        <v>92</v>
      </c>
      <c r="J67" s="10" t="str">
        <f aca="false">LEFT(I67,1)</f>
        <v>1</v>
      </c>
      <c r="K67" s="10" t="s">
        <v>472</v>
      </c>
      <c r="L67" s="10" t="s">
        <v>94</v>
      </c>
      <c r="M67" s="10" t="s">
        <v>473</v>
      </c>
      <c r="N67" s="10" t="s">
        <v>474</v>
      </c>
      <c r="O67" s="10" t="s">
        <v>386</v>
      </c>
      <c r="P67" s="11"/>
      <c r="Q67" s="11"/>
      <c r="R67" s="11"/>
      <c r="S67" s="12" t="str">
        <f aca="false">IF(F67=LEFT(Buscador_Formulacion!$C$4,3),COUNTIF($F$4:F67,LEFT(Buscador_Formulacion!$C$4,3)),"")</f>
        <v/>
      </c>
    </row>
    <row r="68" customFormat="false" ht="39" hidden="false" customHeight="true" outlineLevel="0" collapsed="false">
      <c r="A68" s="10" t="s">
        <v>475</v>
      </c>
      <c r="B68" s="10" t="s">
        <v>377</v>
      </c>
      <c r="C68" s="10" t="s">
        <v>468</v>
      </c>
      <c r="D68" s="10" t="s">
        <v>476</v>
      </c>
      <c r="E68" s="10" t="s">
        <v>477</v>
      </c>
      <c r="F68" s="10" t="s">
        <v>478</v>
      </c>
      <c r="G68" s="10" t="str">
        <f aca="false">IFERROR(INDEX(Dependencias!$H$5:$H$51,MATCH(F68,Dependencias!$E$5:$E$51,0)),"")</f>
        <v>Internacionalización (ORII)</v>
      </c>
      <c r="H68" s="10" t="str">
        <f aca="false">IFERROR(INDEX(Dependencias!$F$5:$F$51,MATCH(F68,Dependencias!$E$5:$E$51,0))&amp;" · "&amp;INDEX(Dependencias!$G$5:$G$51,MATCH(F68,Dependencias!$E$5:$E$51,0)),"")</f>
        <v>100 · Rectoría</v>
      </c>
      <c r="I68" s="10" t="s">
        <v>479</v>
      </c>
      <c r="J68" s="10" t="str">
        <f aca="false">LEFT(I68,1)</f>
        <v>4</v>
      </c>
      <c r="K68" s="10" t="s">
        <v>480</v>
      </c>
      <c r="L68" s="10" t="s">
        <v>94</v>
      </c>
      <c r="M68" s="10" t="s">
        <v>473</v>
      </c>
      <c r="N68" s="10" t="s">
        <v>474</v>
      </c>
      <c r="O68" s="10" t="s">
        <v>386</v>
      </c>
      <c r="P68" s="11"/>
      <c r="Q68" s="11"/>
      <c r="R68" s="11"/>
      <c r="S68" s="12" t="str">
        <f aca="false">IF(F68=LEFT(Buscador_Formulacion!$C$4,3),COUNTIF($F$4:F68,LEFT(Buscador_Formulacion!$C$4,3)),"")</f>
        <v/>
      </c>
    </row>
    <row r="69" customFormat="false" ht="39" hidden="false" customHeight="true" outlineLevel="0" collapsed="false">
      <c r="A69" s="10" t="s">
        <v>481</v>
      </c>
      <c r="B69" s="10" t="s">
        <v>377</v>
      </c>
      <c r="C69" s="10" t="s">
        <v>468</v>
      </c>
      <c r="D69" s="10" t="s">
        <v>482</v>
      </c>
      <c r="E69" s="10" t="s">
        <v>483</v>
      </c>
      <c r="F69" s="10" t="s">
        <v>411</v>
      </c>
      <c r="G69" s="10" t="str">
        <f aca="false">IFERROR(INDEX(Dependencias!$H$5:$H$51,MATCH(F69,Dependencias!$E$5:$E$51,0)),"")</f>
        <v>Investigación (grupos, semilleros, revista, centro de pensamiento)</v>
      </c>
      <c r="H69" s="10" t="str">
        <f aca="false">IFERROR(INDEX(Dependencias!$F$5:$F$51,MATCH(F69,Dependencias!$E$5:$E$51,0))&amp;" · "&amp;INDEX(Dependencias!$G$5:$G$51,MATCH(F69,Dependencias!$E$5:$E$51,0)),"")</f>
        <v>140 · Vicerrectoría de Investigación, Extensión y Transferencia</v>
      </c>
      <c r="I69" s="10" t="s">
        <v>484</v>
      </c>
      <c r="J69" s="10" t="str">
        <f aca="false">LEFT(I69,1)</f>
        <v>2</v>
      </c>
      <c r="K69" s="10" t="s">
        <v>480</v>
      </c>
      <c r="L69" s="10" t="s">
        <v>94</v>
      </c>
      <c r="M69" s="10" t="s">
        <v>485</v>
      </c>
      <c r="N69" s="10" t="s">
        <v>474</v>
      </c>
      <c r="O69" s="10" t="s">
        <v>386</v>
      </c>
      <c r="P69" s="11"/>
      <c r="Q69" s="11"/>
      <c r="R69" s="11"/>
      <c r="S69" s="12" t="str">
        <f aca="false">IF(F69=LEFT(Buscador_Formulacion!$C$4,3),COUNTIF($F$4:F69,LEFT(Buscador_Formulacion!$C$4,3)),"")</f>
        <v/>
      </c>
    </row>
    <row r="70" customFormat="false" ht="39" hidden="false" customHeight="true" outlineLevel="0" collapsed="false">
      <c r="A70" s="10" t="s">
        <v>486</v>
      </c>
      <c r="B70" s="10" t="s">
        <v>377</v>
      </c>
      <c r="C70" s="10" t="s">
        <v>468</v>
      </c>
      <c r="D70" s="10" t="s">
        <v>487</v>
      </c>
      <c r="E70" s="10" t="s">
        <v>488</v>
      </c>
      <c r="F70" s="10" t="s">
        <v>333</v>
      </c>
      <c r="G70" s="10" t="str">
        <f aca="false">IFERROR(INDEX(Dependencias!$H$5:$H$51,MATCH(F70,Dependencias!$E$5:$E$51,0)),"")</f>
        <v>GIT Bienestar Universitario</v>
      </c>
      <c r="H70" s="10" t="str">
        <f aca="false">IFERROR(INDEX(Dependencias!$F$5:$F$51,MATCH(F70,Dependencias!$E$5:$E$51,0))&amp;" · "&amp;INDEX(Dependencias!$G$5:$G$51,MATCH(F70,Dependencias!$E$5:$E$51,0)),"")</f>
        <v>122 · GIT Bienestar Universitario</v>
      </c>
      <c r="I70" s="10" t="s">
        <v>348</v>
      </c>
      <c r="J70" s="10" t="str">
        <f aca="false">LEFT(I70,1)</f>
        <v>6</v>
      </c>
      <c r="K70" s="10" t="s">
        <v>480</v>
      </c>
      <c r="L70" s="10" t="s">
        <v>94</v>
      </c>
      <c r="M70" s="10" t="s">
        <v>473</v>
      </c>
      <c r="N70" s="10" t="s">
        <v>474</v>
      </c>
      <c r="O70" s="10" t="s">
        <v>386</v>
      </c>
      <c r="P70" s="11"/>
      <c r="Q70" s="11"/>
      <c r="R70" s="11"/>
      <c r="S70" s="12" t="str">
        <f aca="false">IF(F70=LEFT(Buscador_Formulacion!$C$4,3),COUNTIF($F$4:F70,LEFT(Buscador_Formulacion!$C$4,3)),"")</f>
        <v/>
      </c>
    </row>
    <row r="71" customFormat="false" ht="66" hidden="false" customHeight="true" outlineLevel="0" collapsed="false">
      <c r="A71" s="10" t="s">
        <v>489</v>
      </c>
      <c r="B71" s="10" t="s">
        <v>490</v>
      </c>
      <c r="C71" s="10" t="s">
        <v>491</v>
      </c>
      <c r="D71" s="10" t="s">
        <v>492</v>
      </c>
      <c r="E71" s="10" t="s">
        <v>493</v>
      </c>
      <c r="F71" s="10" t="s">
        <v>494</v>
      </c>
      <c r="G71" s="10" t="str">
        <f aca="false">IFERROR(INDEX(Dependencias!$H$5:$H$51,MATCH(F71,Dependencias!$E$5:$E$51,0)),"")</f>
        <v>Gestión Ambiental</v>
      </c>
      <c r="H71" s="10" t="str">
        <f aca="false">IFERROR(INDEX(Dependencias!$F$5:$F$51,MATCH(F71,Dependencias!$E$5:$E$51,0))&amp;" · "&amp;INDEX(Dependencias!$G$5:$G$51,MATCH(F71,Dependencias!$E$5:$E$51,0)),"")</f>
        <v>101 · Oficina Asesora de Planeación y Desarrollo Institucional</v>
      </c>
      <c r="I71" s="10" t="s">
        <v>495</v>
      </c>
      <c r="J71" s="10" t="str">
        <f aca="false">LEFT(I71,1)</f>
        <v>6</v>
      </c>
      <c r="K71" s="10" t="s">
        <v>496</v>
      </c>
      <c r="L71" s="10" t="s">
        <v>497</v>
      </c>
      <c r="M71" s="10" t="s">
        <v>498</v>
      </c>
      <c r="N71" s="10" t="s">
        <v>499</v>
      </c>
      <c r="O71" s="10" t="s">
        <v>500</v>
      </c>
      <c r="P71" s="11"/>
      <c r="Q71" s="11"/>
      <c r="R71" s="11"/>
      <c r="S71" s="12" t="str">
        <f aca="false">IF(F71=LEFT(Buscador_Formulacion!$C$4,3),COUNTIF($F$4:F71,LEFT(Buscador_Formulacion!$C$4,3)),"")</f>
        <v/>
      </c>
    </row>
    <row r="72" customFormat="false" ht="66" hidden="false" customHeight="true" outlineLevel="0" collapsed="false">
      <c r="A72" s="10" t="s">
        <v>501</v>
      </c>
      <c r="B72" s="10" t="s">
        <v>490</v>
      </c>
      <c r="C72" s="10" t="s">
        <v>491</v>
      </c>
      <c r="D72" s="10" t="s">
        <v>502</v>
      </c>
      <c r="E72" s="10" t="s">
        <v>503</v>
      </c>
      <c r="F72" s="10" t="s">
        <v>138</v>
      </c>
      <c r="G72" s="10" t="str">
        <f aca="false">IFERROR(INDEX(Dependencias!$H$5:$H$51,MATCH(F72,Dependencias!$E$5:$E$51,0)),"")</f>
        <v>Planeación y Plan de Acción</v>
      </c>
      <c r="H72" s="10" t="str">
        <f aca="false">IFERROR(INDEX(Dependencias!$F$5:$F$51,MATCH(F72,Dependencias!$E$5:$E$51,0))&amp;" · "&amp;INDEX(Dependencias!$G$5:$G$51,MATCH(F72,Dependencias!$E$5:$E$51,0)),"")</f>
        <v>101 · Oficina Asesora de Planeación y Desarrollo Institucional</v>
      </c>
      <c r="I72" s="10" t="s">
        <v>495</v>
      </c>
      <c r="J72" s="10" t="str">
        <f aca="false">LEFT(I72,1)</f>
        <v>6</v>
      </c>
      <c r="K72" s="10" t="s">
        <v>504</v>
      </c>
      <c r="L72" s="10" t="s">
        <v>505</v>
      </c>
      <c r="M72" s="10" t="s">
        <v>506</v>
      </c>
      <c r="N72" s="10" t="s">
        <v>507</v>
      </c>
      <c r="O72" s="10" t="s">
        <v>500</v>
      </c>
      <c r="P72" s="11"/>
      <c r="Q72" s="11"/>
      <c r="R72" s="11"/>
      <c r="S72" s="12" t="str">
        <f aca="false">IF(F72=LEFT(Buscador_Formulacion!$C$4,3),COUNTIF($F$4:F72,LEFT(Buscador_Formulacion!$C$4,3)),"")</f>
        <v/>
      </c>
    </row>
    <row r="73" customFormat="false" ht="92.25" hidden="false" customHeight="true" outlineLevel="0" collapsed="false">
      <c r="A73" s="10" t="s">
        <v>508</v>
      </c>
      <c r="B73" s="10" t="s">
        <v>490</v>
      </c>
      <c r="C73" s="10" t="s">
        <v>491</v>
      </c>
      <c r="D73" s="10" t="s">
        <v>509</v>
      </c>
      <c r="E73" s="10" t="s">
        <v>510</v>
      </c>
      <c r="F73" s="10" t="s">
        <v>494</v>
      </c>
      <c r="G73" s="10" t="str">
        <f aca="false">IFERROR(INDEX(Dependencias!$H$5:$H$51,MATCH(F73,Dependencias!$E$5:$E$51,0)),"")</f>
        <v>Gestión Ambiental</v>
      </c>
      <c r="H73" s="10" t="str">
        <f aca="false">IFERROR(INDEX(Dependencias!$F$5:$F$51,MATCH(F73,Dependencias!$E$5:$E$51,0))&amp;" · "&amp;INDEX(Dependencias!$G$5:$G$51,MATCH(F73,Dependencias!$E$5:$E$51,0)),"")</f>
        <v>101 · Oficina Asesora de Planeación y Desarrollo Institucional</v>
      </c>
      <c r="I73" s="10" t="s">
        <v>495</v>
      </c>
      <c r="J73" s="10" t="str">
        <f aca="false">LEFT(I73,1)</f>
        <v>6</v>
      </c>
      <c r="K73" s="10" t="s">
        <v>511</v>
      </c>
      <c r="L73" s="10" t="s">
        <v>512</v>
      </c>
      <c r="M73" s="10" t="s">
        <v>513</v>
      </c>
      <c r="N73" s="10" t="s">
        <v>514</v>
      </c>
      <c r="O73" s="10" t="s">
        <v>500</v>
      </c>
      <c r="P73" s="11"/>
      <c r="Q73" s="11"/>
      <c r="R73" s="11"/>
      <c r="S73" s="12" t="str">
        <f aca="false">IF(F73=LEFT(Buscador_Formulacion!$C$4,3),COUNTIF($F$4:F73,LEFT(Buscador_Formulacion!$C$4,3)),"")</f>
        <v/>
      </c>
    </row>
    <row r="74" customFormat="false" ht="52.5" hidden="false" customHeight="true" outlineLevel="0" collapsed="false">
      <c r="A74" s="10" t="s">
        <v>515</v>
      </c>
      <c r="B74" s="10" t="s">
        <v>490</v>
      </c>
      <c r="C74" s="10" t="s">
        <v>491</v>
      </c>
      <c r="D74" s="10" t="s">
        <v>516</v>
      </c>
      <c r="E74" s="10" t="s">
        <v>517</v>
      </c>
      <c r="F74" s="10" t="s">
        <v>433</v>
      </c>
      <c r="G74" s="10" t="str">
        <f aca="false">IFERROR(INDEX(Dependencias!$H$5:$H$51,MATCH(F74,Dependencias!$E$5:$E$51,0)),"")</f>
        <v>Recursos Físicos e Infraestructura</v>
      </c>
      <c r="H74" s="10" t="str">
        <f aca="false">IFERROR(INDEX(Dependencias!$F$5:$F$51,MATCH(F74,Dependencias!$E$5:$E$51,0))&amp;" · "&amp;INDEX(Dependencias!$G$5:$G$51,MATCH(F74,Dependencias!$E$5:$E$51,0)),"")</f>
        <v>130 · Vicerrectoría Administrativa y Financiera</v>
      </c>
      <c r="I74" s="10" t="s">
        <v>495</v>
      </c>
      <c r="J74" s="10" t="str">
        <f aca="false">LEFT(I74,1)</f>
        <v>6</v>
      </c>
      <c r="K74" s="10" t="s">
        <v>518</v>
      </c>
      <c r="L74" s="10" t="s">
        <v>519</v>
      </c>
      <c r="M74" s="10" t="s">
        <v>520</v>
      </c>
      <c r="N74" s="10" t="s">
        <v>521</v>
      </c>
      <c r="O74" s="10" t="s">
        <v>500</v>
      </c>
      <c r="P74" s="11"/>
      <c r="Q74" s="11"/>
      <c r="R74" s="11"/>
      <c r="S74" s="12" t="str">
        <f aca="false">IF(F74=LEFT(Buscador_Formulacion!$C$4,3),COUNTIF($F$4:F74,LEFT(Buscador_Formulacion!$C$4,3)),"")</f>
        <v/>
      </c>
    </row>
    <row r="75" customFormat="false" ht="66" hidden="false" customHeight="true" outlineLevel="0" collapsed="false">
      <c r="A75" s="10" t="s">
        <v>522</v>
      </c>
      <c r="B75" s="10" t="s">
        <v>490</v>
      </c>
      <c r="C75" s="10" t="s">
        <v>491</v>
      </c>
      <c r="D75" s="10" t="s">
        <v>523</v>
      </c>
      <c r="E75" s="10" t="s">
        <v>524</v>
      </c>
      <c r="F75" s="10" t="s">
        <v>494</v>
      </c>
      <c r="G75" s="10" t="str">
        <f aca="false">IFERROR(INDEX(Dependencias!$H$5:$H$51,MATCH(F75,Dependencias!$E$5:$E$51,0)),"")</f>
        <v>Gestión Ambiental</v>
      </c>
      <c r="H75" s="10" t="str">
        <f aca="false">IFERROR(INDEX(Dependencias!$F$5:$F$51,MATCH(F75,Dependencias!$E$5:$E$51,0))&amp;" · "&amp;INDEX(Dependencias!$G$5:$G$51,MATCH(F75,Dependencias!$E$5:$E$51,0)),"")</f>
        <v>101 · Oficina Asesora de Planeación y Desarrollo Institucional</v>
      </c>
      <c r="I75" s="10" t="s">
        <v>334</v>
      </c>
      <c r="J75" s="10" t="str">
        <f aca="false">LEFT(I75,1)</f>
        <v>6</v>
      </c>
      <c r="K75" s="10" t="s">
        <v>525</v>
      </c>
      <c r="L75" s="10" t="s">
        <v>526</v>
      </c>
      <c r="M75" s="10" t="s">
        <v>527</v>
      </c>
      <c r="N75" s="10" t="s">
        <v>528</v>
      </c>
      <c r="O75" s="10" t="s">
        <v>500</v>
      </c>
      <c r="P75" s="11"/>
      <c r="Q75" s="11"/>
      <c r="R75" s="11"/>
      <c r="S75" s="12" t="str">
        <f aca="false">IF(F75=LEFT(Buscador_Formulacion!$C$4,3),COUNTIF($F$4:F75,LEFT(Buscador_Formulacion!$C$4,3)),"")</f>
        <v/>
      </c>
    </row>
    <row r="76" customFormat="false" ht="39" hidden="false" customHeight="true" outlineLevel="0" collapsed="false">
      <c r="A76" s="10" t="s">
        <v>529</v>
      </c>
      <c r="B76" s="10" t="s">
        <v>490</v>
      </c>
      <c r="C76" s="10" t="s">
        <v>491</v>
      </c>
      <c r="D76" s="10" t="s">
        <v>530</v>
      </c>
      <c r="E76" s="10" t="s">
        <v>531</v>
      </c>
      <c r="F76" s="10" t="s">
        <v>433</v>
      </c>
      <c r="G76" s="10" t="str">
        <f aca="false">IFERROR(INDEX(Dependencias!$H$5:$H$51,MATCH(F76,Dependencias!$E$5:$E$51,0)),"")</f>
        <v>Recursos Físicos e Infraestructura</v>
      </c>
      <c r="H76" s="10" t="str">
        <f aca="false">IFERROR(INDEX(Dependencias!$F$5:$F$51,MATCH(F76,Dependencias!$E$5:$E$51,0))&amp;" · "&amp;INDEX(Dependencias!$G$5:$G$51,MATCH(F76,Dependencias!$E$5:$E$51,0)),"")</f>
        <v>130 · Vicerrectoría Administrativa y Financiera</v>
      </c>
      <c r="I76" s="10" t="s">
        <v>434</v>
      </c>
      <c r="J76" s="10" t="str">
        <f aca="false">LEFT(I76,1)</f>
        <v>5</v>
      </c>
      <c r="K76" s="10" t="s">
        <v>532</v>
      </c>
      <c r="L76" s="10" t="s">
        <v>533</v>
      </c>
      <c r="M76" s="10" t="s">
        <v>534</v>
      </c>
      <c r="N76" s="10" t="s">
        <v>535</v>
      </c>
      <c r="O76" s="10" t="s">
        <v>500</v>
      </c>
      <c r="P76" s="11"/>
      <c r="Q76" s="11"/>
      <c r="R76" s="11"/>
      <c r="S76" s="12" t="str">
        <f aca="false">IF(F76=LEFT(Buscador_Formulacion!$C$4,3),COUNTIF($F$4:F76,LEFT(Buscador_Formulacion!$C$4,3)),"")</f>
        <v/>
      </c>
    </row>
    <row r="77" customFormat="false" ht="39" hidden="false" customHeight="true" outlineLevel="0" collapsed="false">
      <c r="A77" s="10" t="s">
        <v>536</v>
      </c>
      <c r="B77" s="10" t="s">
        <v>490</v>
      </c>
      <c r="C77" s="10" t="s">
        <v>99</v>
      </c>
      <c r="D77" s="10" t="s">
        <v>537</v>
      </c>
      <c r="E77" s="10" t="s">
        <v>538</v>
      </c>
      <c r="F77" s="10" t="s">
        <v>494</v>
      </c>
      <c r="G77" s="10" t="str">
        <f aca="false">IFERROR(INDEX(Dependencias!$H$5:$H$51,MATCH(F77,Dependencias!$E$5:$E$51,0)),"")</f>
        <v>Gestión Ambiental</v>
      </c>
      <c r="H77" s="10" t="str">
        <f aca="false">IFERROR(INDEX(Dependencias!$F$5:$F$51,MATCH(F77,Dependencias!$E$5:$E$51,0))&amp;" · "&amp;INDEX(Dependencias!$G$5:$G$51,MATCH(F77,Dependencias!$E$5:$E$51,0)),"")</f>
        <v>101 · Oficina Asesora de Planeación y Desarrollo Institucional</v>
      </c>
      <c r="I77" s="10" t="s">
        <v>495</v>
      </c>
      <c r="J77" s="10" t="str">
        <f aca="false">LEFT(I77,1)</f>
        <v>6</v>
      </c>
      <c r="K77" s="10" t="s">
        <v>539</v>
      </c>
      <c r="L77" s="10" t="s">
        <v>540</v>
      </c>
      <c r="M77" s="10" t="s">
        <v>541</v>
      </c>
      <c r="N77" s="10" t="s">
        <v>542</v>
      </c>
      <c r="O77" s="10" t="s">
        <v>500</v>
      </c>
      <c r="P77" s="11"/>
      <c r="Q77" s="11"/>
      <c r="R77" s="11"/>
      <c r="S77" s="12" t="str">
        <f aca="false">IF(F77=LEFT(Buscador_Formulacion!$C$4,3),COUNTIF($F$4:F77,LEFT(Buscador_Formulacion!$C$4,3)),"")</f>
        <v/>
      </c>
    </row>
  </sheetData>
  <sheetProtection sheet="true" password="cc6d" formatColumns="false" formatRows="false" autoFilter="false"/>
  <autoFilter ref="A3:R77"/>
  <dataValidations count="1">
    <dataValidation allowBlank="true" errorStyle="stop" operator="between" showDropDown="false" showErrorMessage="false" showInputMessage="false" sqref="P4:P77" type="list">
      <formula1>L_DECISION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W15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C4" activeCellId="0" sqref="C4"/>
    </sheetView>
  </sheetViews>
  <sheetFormatPr defaultColWidth="8.66796875" defaultRowHeight="14.25" zeroHeight="false" outlineLevelRow="0" outlineLevelCol="0"/>
  <cols>
    <col collapsed="false" customWidth="true" hidden="false" outlineLevel="0" max="1" min="1" style="0" width="6"/>
    <col collapsed="false" customWidth="true" hidden="false" outlineLevel="0" max="3" min="2" style="0" width="30"/>
    <col collapsed="false" customWidth="true" hidden="false" outlineLevel="0" max="4" min="4" style="0" width="22"/>
    <col collapsed="false" customWidth="true" hidden="false" outlineLevel="0" max="5" min="5" style="0" width="26"/>
    <col collapsed="false" customWidth="true" hidden="false" outlineLevel="0" max="6" min="6" style="0" width="40"/>
    <col collapsed="false" customWidth="true" hidden="false" outlineLevel="0" max="7" min="7" style="0" width="30"/>
    <col collapsed="false" customWidth="true" hidden="false" outlineLevel="0" max="8" min="8" style="0" width="32"/>
    <col collapsed="false" customWidth="true" hidden="false" outlineLevel="0" max="9" min="9" style="0" width="40"/>
    <col collapsed="false" customWidth="true" hidden="false" outlineLevel="0" max="10" min="10" style="0" width="30"/>
    <col collapsed="false" customWidth="true" hidden="false" outlineLevel="0" max="12" min="11" style="0" width="12"/>
    <col collapsed="false" customWidth="true" hidden="false" outlineLevel="0" max="13" min="13" style="0" width="26"/>
    <col collapsed="false" customWidth="true" hidden="false" outlineLevel="0" max="14" min="14" style="0" width="28"/>
    <col collapsed="false" customWidth="true" hidden="false" outlineLevel="0" max="16" min="15" style="0" width="12"/>
    <col collapsed="false" customWidth="true" hidden="false" outlineLevel="0" max="17" min="17" style="0" width="16"/>
    <col collapsed="false" customWidth="true" hidden="false" outlineLevel="0" max="18" min="18" style="0" width="40"/>
    <col collapsed="false" customWidth="true" hidden="false" outlineLevel="0" max="19" min="19" style="0" width="30"/>
    <col collapsed="false" customWidth="true" hidden="false" outlineLevel="0" max="20" min="20" style="0" width="14"/>
    <col collapsed="false" customWidth="true" hidden="false" outlineLevel="0" max="21" min="21" style="0" width="30"/>
    <col collapsed="false" customWidth="true" hidden="false" outlineLevel="0" max="22" min="22" style="0" width="28"/>
    <col collapsed="false" customWidth="true" hidden="false" outlineLevel="0" max="23" min="23" style="0" width="30"/>
  </cols>
  <sheetData>
    <row r="1" customFormat="false" ht="17.25" hidden="false" customHeight="true" outlineLevel="0" collapsed="false">
      <c r="A1" s="7" t="s">
        <v>543</v>
      </c>
    </row>
    <row r="2" customFormat="false" ht="30" hidden="false" customHeight="true" outlineLevel="0" collapsed="false">
      <c r="A2" s="2" t="s">
        <v>544</v>
      </c>
      <c r="B2" s="2"/>
      <c r="C2" s="2"/>
      <c r="D2" s="2"/>
      <c r="E2" s="2"/>
      <c r="F2" s="2"/>
      <c r="G2" s="2"/>
      <c r="H2" s="2"/>
      <c r="I2" s="2"/>
      <c r="J2" s="2"/>
      <c r="K2" s="2"/>
      <c r="L2" s="2"/>
      <c r="M2" s="2"/>
      <c r="N2" s="2"/>
    </row>
    <row r="4" customFormat="false" ht="14.25" hidden="false" customHeight="false" outlineLevel="0" collapsed="false">
      <c r="B4" s="9" t="s">
        <v>545</v>
      </c>
      <c r="C4" s="14" t="s">
        <v>546</v>
      </c>
      <c r="D4" s="14"/>
      <c r="E4" s="14"/>
      <c r="F4" s="14"/>
      <c r="G4" s="9" t="s">
        <v>547</v>
      </c>
      <c r="H4" s="9" t="str">
        <f aca="false">IFERROR(INDEX(Dependencias!$F$5:$F$51,MATCH(LEFT($C$4,3),Dependencias!$E$5:$E$51,0))&amp;" · "&amp;INDEX(Dependencias!$G$5:$G$51,MATCH(LEFT($C$4,3),Dependencias!$E$5:$E$51,0)),"")</f>
        <v>124 · Instituto de Bachillerato Técnico Industrial (IBTI)</v>
      </c>
    </row>
    <row r="5" customFormat="false" ht="14.25" hidden="false" customHeight="false" outlineLevel="0" collapsed="false">
      <c r="B5" s="9" t="s">
        <v>548</v>
      </c>
      <c r="C5" s="13" t="n">
        <f aca="false">COUNTIF(Base_OAPDI!$I$5:$I$187,LEFT($C$4,3))</f>
        <v>2</v>
      </c>
      <c r="G5" s="9" t="s">
        <v>549</v>
      </c>
      <c r="H5" s="0" t="str">
        <f aca="false">IFERROR(INDEX(Dependencias!$I$5:$I$51,MATCH(LEFT($C$4,3),Dependencias!$E$5:$E$51,0)),"")</f>
        <v>Docencia IBTI</v>
      </c>
    </row>
    <row r="6" customFormat="false" ht="14.25" hidden="false" customHeight="false" outlineLevel="0" collapsed="false">
      <c r="B6" s="9" t="s">
        <v>550</v>
      </c>
      <c r="C6" s="13" t="n">
        <f aca="false">COUNTIF(Compromisos_2026!$F$4:$F$77,LEFT($C$4,3))</f>
        <v>0</v>
      </c>
    </row>
    <row r="7" customFormat="false" ht="42" hidden="false" customHeight="true" outlineLevel="0" collapsed="false">
      <c r="A7" s="8" t="s">
        <v>551</v>
      </c>
      <c r="B7" s="8" t="s">
        <v>552</v>
      </c>
      <c r="C7" s="8" t="s">
        <v>47</v>
      </c>
      <c r="D7" s="8" t="s">
        <v>553</v>
      </c>
      <c r="E7" s="8" t="s">
        <v>554</v>
      </c>
      <c r="F7" s="8" t="s">
        <v>555</v>
      </c>
      <c r="G7" s="8" t="s">
        <v>556</v>
      </c>
      <c r="H7" s="8" t="s">
        <v>557</v>
      </c>
      <c r="I7" s="8" t="s">
        <v>558</v>
      </c>
      <c r="J7" s="8" t="s">
        <v>559</v>
      </c>
      <c r="K7" s="8" t="s">
        <v>560</v>
      </c>
      <c r="L7" s="8" t="s">
        <v>561</v>
      </c>
      <c r="N7" s="8" t="s">
        <v>551</v>
      </c>
      <c r="O7" s="8" t="s">
        <v>38</v>
      </c>
      <c r="P7" s="8" t="s">
        <v>39</v>
      </c>
      <c r="Q7" s="8" t="s">
        <v>562</v>
      </c>
      <c r="R7" s="8" t="s">
        <v>563</v>
      </c>
      <c r="S7" s="8" t="s">
        <v>53</v>
      </c>
    </row>
    <row r="8" customFormat="false" ht="52.5" hidden="false" customHeight="true" outlineLevel="0" collapsed="false">
      <c r="A8" s="10" t="n">
        <v>1</v>
      </c>
      <c r="B8" s="10" t="str">
        <f aca="false">IFERROR(INDEX(Base_OAPDI!$A$5:$A$187,MATCH($A8,Base_OAPDI!$U$5:$U$187,0)),"")</f>
        <v>E1-022</v>
      </c>
      <c r="C8" s="10" t="str">
        <f aca="false">IFERROR(INDEX(Base_OAPDI!$C$5:$C$187,MATCH($A8,Base_OAPDI!$U$5:$U$187,0)),"")</f>
        <v>Formación y pedagogía de calidad</v>
      </c>
      <c r="D8" s="10" t="str">
        <f aca="false">IFERROR(INDEX(Base_OAPDI!$B$5:$B$187,MATCH($A8,Base_OAPDI!$U$5:$U$187,0)),"")</f>
        <v>1.1.1.2</v>
      </c>
      <c r="E8" s="10" t="str">
        <f aca="false">IFERROR(INDEX(Base_OAPDI!$E$5:$E$187,MATCH($A8,Base_OAPDI!$U$5:$U$187,0)),"")</f>
        <v>Lograr que el 30% de los estudiantes del IBTI pasen a la educación superior de la ETITC.</v>
      </c>
      <c r="F8" s="10" t="str">
        <f aca="false">IFERROR(INDEX(Base_OAPDI!$H$5:$H$187,MATCH($A8,Base_OAPDI!$U$5:$U$187,0)),"")</f>
        <v>40 estudiantes</v>
      </c>
      <c r="G8" s="10" t="str">
        <f aca="false">IFERROR(INDEX(Base_OAPDI!$R$5:$R$187,MATCH($A8,Base_OAPDI!$U$5:$U$187,0)),"")</f>
        <v>Acciones propuestas por la OAPDI (valídelas y formúlelas en esta fila o en Acciones adicionales): A27-008 Implementar la ruta de admisión y tránsito IBTI → educación superior. Cerrar o reprogramar 1 producto(s) 2026 pendiente(s) de esta meta.</v>
      </c>
      <c r="H8" s="10" t="n">
        <f aca="false">IFERROR(INDEX(Base_OAPDI!$N$5:$N$187,MATCH($A8,Base_OAPDI!$U$5:$U$187,0)),"")</f>
        <v>3</v>
      </c>
      <c r="I8" s="10" t="n">
        <f aca="false">IFERROR(INDEX(Base_OAPDI!$P$5:$P$187,MATCH($A8,Base_OAPDI!$U$5:$U$187,0)),"")</f>
        <v>1</v>
      </c>
      <c r="J8" s="10" t="str">
        <f aca="false">IFERROR(INDEX(Base_OAPDI!$S$5:$S$187,MATCH($A8,Base_OAPDI!$U$5:$U$187,0)),"")</f>
        <v>IMP-12; IMP-06</v>
      </c>
      <c r="K8" s="10" t="str">
        <f aca="false">IFERROR(INDEX(Base_OAPDI!$T$5:$T$187,MATCH($A8,Base_OAPDI!$U$5:$U$187,0)),"")</f>
        <v>Eje1_Formacion</v>
      </c>
      <c r="L8" s="10" t="n">
        <f aca="false">IFERROR(INDEX(Base_OAPDI!$Q$5:$Q$187,MATCH($A8,Base_OAPDI!$U$5:$U$187,0)),"")</f>
        <v>0</v>
      </c>
      <c r="N8" s="10" t="n">
        <v>1</v>
      </c>
      <c r="O8" s="10" t="str">
        <f aca="false">IFERROR(INDEX(Compromisos_2026!$A$4:$A$77,MATCH($N8,Compromisos_2026!$S$4:$S$77,0))&amp;"","")</f>
        <v/>
      </c>
      <c r="P8" s="10" t="str">
        <f aca="false">IFERROR(INDEX(Compromisos_2026!$B$4:$B$77,MATCH($N8,Compromisos_2026!$S$4:$S$77,0))&amp;"","")</f>
        <v/>
      </c>
      <c r="Q8" s="10" t="str">
        <f aca="false">IFERROR(INDEX(Compromisos_2026!$D$4:$D$77,MATCH($N8,Compromisos_2026!$S$4:$S$77,0))&amp;"","")</f>
        <v/>
      </c>
      <c r="R8" s="10" t="str">
        <f aca="false">IFERROR(INDEX(Compromisos_2026!$I$4:$I$77,MATCH($N8,Compromisos_2026!$S$4:$S$77,0))&amp;"","")</f>
        <v/>
      </c>
      <c r="S8" s="10" t="str">
        <f aca="false">IFERROR(INDEX(Compromisos_2026!$P$4:$P$77,MATCH($N8,Compromisos_2026!$S$4:$S$77,0))&amp;"","")</f>
        <v/>
      </c>
    </row>
    <row r="9" customFormat="false" ht="66" hidden="false" customHeight="true" outlineLevel="0" collapsed="false">
      <c r="A9" s="12" t="n">
        <v>2</v>
      </c>
      <c r="B9" s="12" t="str">
        <f aca="false">IFERROR(INDEX(Base_OAPDI!$A$5:$A$187,MATCH($A9,Base_OAPDI!$U$5:$U$187,0)),"")</f>
        <v>E4-028</v>
      </c>
      <c r="C9" s="12" t="str">
        <f aca="false">IFERROR(INDEX(Base_OAPDI!$C$5:$C$187,MATCH($A9,Base_OAPDI!$U$5:$U$187,0)),"")</f>
        <v>Transformación institucional</v>
      </c>
      <c r="D9" s="12" t="str">
        <f aca="false">IFERROR(INDEX(Base_OAPDI!$B$5:$B$187,MATCH($A9,Base_OAPDI!$U$5:$U$187,0)),"")</f>
        <v>4.2.1.3</v>
      </c>
      <c r="E9" s="12" t="str">
        <f aca="false">IFERROR(INDEX(Base_OAPDI!$E$5:$E$187,MATCH($A9,Base_OAPDI!$U$5:$U$187,0)),"")</f>
        <v>Consolidar el IBTI como unidad autónoma y adscrita a la Institución con un programa de tránsito inmediato a la educación superior.</v>
      </c>
      <c r="F9" s="12" t="str">
        <f aca="false">IFERROR(INDEX(Base_OAPDI!$H$5:$H$187,MATCH($A9,Base_OAPDI!$U$5:$U$187,0)),"")</f>
        <v>Currículos del IBTI y de los programas técnicos profesionales alineados; solicitud de adscripción ante el MEN</v>
      </c>
      <c r="G9" s="12" t="str">
        <f aca="false">IFERROR(INDEX(Base_OAPDI!$R$5:$R$187,MATCH($A9,Base_OAPDI!$U$5:$U$187,0)),"")</f>
        <v>Acciones propuestas por la OAPDI (valídelas y formúlelas en esta fila o en Acciones adicionales): A27-098 Alinear los currículos del IBTI y de los programas técnicos profesionales.</v>
      </c>
      <c r="H9" s="12" t="n">
        <f aca="false">IFERROR(INDEX(Base_OAPDI!$N$5:$N$187,MATCH($A9,Base_OAPDI!$U$5:$U$187,0)),"")</f>
        <v>0</v>
      </c>
      <c r="I9" s="12" t="n">
        <f aca="false">IFERROR(INDEX(Base_OAPDI!$P$5:$P$187,MATCH($A9,Base_OAPDI!$U$5:$U$187,0)),"")</f>
        <v>0</v>
      </c>
      <c r="J9" s="12" t="str">
        <f aca="false">IFERROR(INDEX(Base_OAPDI!$S$5:$S$187,MATCH($A9,Base_OAPDI!$U$5:$U$187,0)),"")</f>
        <v>IMP-12; IMP-06</v>
      </c>
      <c r="K9" s="12" t="str">
        <f aca="false">IFERROR(INDEX(Base_OAPDI!$T$5:$T$187,MATCH($A9,Base_OAPDI!$U$5:$U$187,0)),"")</f>
        <v>Eje4_Transformacion</v>
      </c>
      <c r="L9" s="12" t="n">
        <f aca="false">IFERROR(INDEX(Base_OAPDI!$Q$5:$Q$187,MATCH($A9,Base_OAPDI!$U$5:$U$187,0)),"")</f>
        <v>0</v>
      </c>
      <c r="N9" s="12" t="n">
        <v>2</v>
      </c>
      <c r="O9" s="12" t="str">
        <f aca="false">IFERROR(INDEX(Compromisos_2026!$A$4:$A$77,MATCH($N9,Compromisos_2026!$S$4:$S$77,0))&amp;"","")</f>
        <v/>
      </c>
      <c r="P9" s="12" t="str">
        <f aca="false">IFERROR(INDEX(Compromisos_2026!$B$4:$B$77,MATCH($N9,Compromisos_2026!$S$4:$S$77,0))&amp;"","")</f>
        <v/>
      </c>
      <c r="Q9" s="12" t="str">
        <f aca="false">IFERROR(INDEX(Compromisos_2026!$D$4:$D$77,MATCH($N9,Compromisos_2026!$S$4:$S$77,0))&amp;"","")</f>
        <v/>
      </c>
      <c r="R9" s="12" t="str">
        <f aca="false">IFERROR(INDEX(Compromisos_2026!$I$4:$I$77,MATCH($N9,Compromisos_2026!$S$4:$S$77,0))&amp;"","")</f>
        <v/>
      </c>
      <c r="S9" s="12" t="str">
        <f aca="false">IFERROR(INDEX(Compromisos_2026!$P$4:$P$77,MATCH($N9,Compromisos_2026!$S$4:$S$77,0))&amp;"","")</f>
        <v/>
      </c>
    </row>
    <row r="10" customFormat="false" ht="14.25" hidden="false" customHeight="false" outlineLevel="0" collapsed="false">
      <c r="A10" s="10" t="n">
        <v>3</v>
      </c>
      <c r="B10" s="10" t="str">
        <f aca="false">IFERROR(INDEX(Base_OAPDI!$A$5:$A$187,MATCH($A10,Base_OAPDI!$U$5:$U$187,0)),"")</f>
        <v/>
      </c>
      <c r="C10" s="10" t="str">
        <f aca="false">IFERROR(INDEX(Base_OAPDI!$C$5:$C$187,MATCH($A10,Base_OAPDI!$U$5:$U$187,0)),"")</f>
        <v/>
      </c>
      <c r="D10" s="10" t="str">
        <f aca="false">IFERROR(INDEX(Base_OAPDI!$B$5:$B$187,MATCH($A10,Base_OAPDI!$U$5:$U$187,0)),"")</f>
        <v/>
      </c>
      <c r="E10" s="10" t="str">
        <f aca="false">IFERROR(INDEX(Base_OAPDI!$E$5:$E$187,MATCH($A10,Base_OAPDI!$U$5:$U$187,0)),"")</f>
        <v/>
      </c>
      <c r="F10" s="10" t="str">
        <f aca="false">IFERROR(INDEX(Base_OAPDI!$H$5:$H$187,MATCH($A10,Base_OAPDI!$U$5:$U$187,0)),"")</f>
        <v/>
      </c>
      <c r="G10" s="10" t="str">
        <f aca="false">IFERROR(INDEX(Base_OAPDI!$R$5:$R$187,MATCH($A10,Base_OAPDI!$U$5:$U$187,0)),"")</f>
        <v/>
      </c>
      <c r="H10" s="10" t="str">
        <f aca="false">IFERROR(INDEX(Base_OAPDI!$N$5:$N$187,MATCH($A10,Base_OAPDI!$U$5:$U$187,0)),"")</f>
        <v/>
      </c>
      <c r="I10" s="10" t="str">
        <f aca="false">IFERROR(INDEX(Base_OAPDI!$P$5:$P$187,MATCH($A10,Base_OAPDI!$U$5:$U$187,0)),"")</f>
        <v/>
      </c>
      <c r="J10" s="10" t="str">
        <f aca="false">IFERROR(INDEX(Base_OAPDI!$S$5:$S$187,MATCH($A10,Base_OAPDI!$U$5:$U$187,0)),"")</f>
        <v/>
      </c>
      <c r="K10" s="10" t="str">
        <f aca="false">IFERROR(INDEX(Base_OAPDI!$T$5:$T$187,MATCH($A10,Base_OAPDI!$U$5:$U$187,0)),"")</f>
        <v/>
      </c>
      <c r="L10" s="10" t="str">
        <f aca="false">IFERROR(INDEX(Base_OAPDI!$Q$5:$Q$187,MATCH($A10,Base_OAPDI!$U$5:$U$187,0)),"")</f>
        <v/>
      </c>
      <c r="N10" s="10" t="n">
        <v>3</v>
      </c>
      <c r="O10" s="10" t="str">
        <f aca="false">IFERROR(INDEX(Compromisos_2026!$A$4:$A$77,MATCH($N10,Compromisos_2026!$S$4:$S$77,0))&amp;"","")</f>
        <v/>
      </c>
      <c r="P10" s="10" t="str">
        <f aca="false">IFERROR(INDEX(Compromisos_2026!$B$4:$B$77,MATCH($N10,Compromisos_2026!$S$4:$S$77,0))&amp;"","")</f>
        <v/>
      </c>
      <c r="Q10" s="10" t="str">
        <f aca="false">IFERROR(INDEX(Compromisos_2026!$D$4:$D$77,MATCH($N10,Compromisos_2026!$S$4:$S$77,0))&amp;"","")</f>
        <v/>
      </c>
      <c r="R10" s="10" t="str">
        <f aca="false">IFERROR(INDEX(Compromisos_2026!$I$4:$I$77,MATCH($N10,Compromisos_2026!$S$4:$S$77,0))&amp;"","")</f>
        <v/>
      </c>
      <c r="S10" s="10" t="str">
        <f aca="false">IFERROR(INDEX(Compromisos_2026!$P$4:$P$77,MATCH($N10,Compromisos_2026!$S$4:$S$77,0))&amp;"","")</f>
        <v/>
      </c>
    </row>
    <row r="11" customFormat="false" ht="14.25" hidden="false" customHeight="false" outlineLevel="0" collapsed="false">
      <c r="A11" s="12" t="n">
        <v>4</v>
      </c>
      <c r="B11" s="12" t="str">
        <f aca="false">IFERROR(INDEX(Base_OAPDI!$A$5:$A$187,MATCH($A11,Base_OAPDI!$U$5:$U$187,0)),"")</f>
        <v/>
      </c>
      <c r="C11" s="12" t="str">
        <f aca="false">IFERROR(INDEX(Base_OAPDI!$C$5:$C$187,MATCH($A11,Base_OAPDI!$U$5:$U$187,0)),"")</f>
        <v/>
      </c>
      <c r="D11" s="12" t="str">
        <f aca="false">IFERROR(INDEX(Base_OAPDI!$B$5:$B$187,MATCH($A11,Base_OAPDI!$U$5:$U$187,0)),"")</f>
        <v/>
      </c>
      <c r="E11" s="12" t="str">
        <f aca="false">IFERROR(INDEX(Base_OAPDI!$E$5:$E$187,MATCH($A11,Base_OAPDI!$U$5:$U$187,0)),"")</f>
        <v/>
      </c>
      <c r="F11" s="12" t="str">
        <f aca="false">IFERROR(INDEX(Base_OAPDI!$H$5:$H$187,MATCH($A11,Base_OAPDI!$U$5:$U$187,0)),"")</f>
        <v/>
      </c>
      <c r="G11" s="12" t="str">
        <f aca="false">IFERROR(INDEX(Base_OAPDI!$R$5:$R$187,MATCH($A11,Base_OAPDI!$U$5:$U$187,0)),"")</f>
        <v/>
      </c>
      <c r="H11" s="12" t="str">
        <f aca="false">IFERROR(INDEX(Base_OAPDI!$N$5:$N$187,MATCH($A11,Base_OAPDI!$U$5:$U$187,0)),"")</f>
        <v/>
      </c>
      <c r="I11" s="12" t="str">
        <f aca="false">IFERROR(INDEX(Base_OAPDI!$P$5:$P$187,MATCH($A11,Base_OAPDI!$U$5:$U$187,0)),"")</f>
        <v/>
      </c>
      <c r="J11" s="12" t="str">
        <f aca="false">IFERROR(INDEX(Base_OAPDI!$S$5:$S$187,MATCH($A11,Base_OAPDI!$U$5:$U$187,0)),"")</f>
        <v/>
      </c>
      <c r="K11" s="12" t="str">
        <f aca="false">IFERROR(INDEX(Base_OAPDI!$T$5:$T$187,MATCH($A11,Base_OAPDI!$U$5:$U$187,0)),"")</f>
        <v/>
      </c>
      <c r="L11" s="12" t="str">
        <f aca="false">IFERROR(INDEX(Base_OAPDI!$Q$5:$Q$187,MATCH($A11,Base_OAPDI!$U$5:$U$187,0)),"")</f>
        <v/>
      </c>
      <c r="N11" s="12" t="n">
        <v>4</v>
      </c>
      <c r="O11" s="12" t="str">
        <f aca="false">IFERROR(INDEX(Compromisos_2026!$A$4:$A$77,MATCH($N11,Compromisos_2026!$S$4:$S$77,0))&amp;"","")</f>
        <v/>
      </c>
      <c r="P11" s="12" t="str">
        <f aca="false">IFERROR(INDEX(Compromisos_2026!$B$4:$B$77,MATCH($N11,Compromisos_2026!$S$4:$S$77,0))&amp;"","")</f>
        <v/>
      </c>
      <c r="Q11" s="12" t="str">
        <f aca="false">IFERROR(INDEX(Compromisos_2026!$D$4:$D$77,MATCH($N11,Compromisos_2026!$S$4:$S$77,0))&amp;"","")</f>
        <v/>
      </c>
      <c r="R11" s="12" t="str">
        <f aca="false">IFERROR(INDEX(Compromisos_2026!$I$4:$I$77,MATCH($N11,Compromisos_2026!$S$4:$S$77,0))&amp;"","")</f>
        <v/>
      </c>
      <c r="S11" s="12" t="str">
        <f aca="false">IFERROR(INDEX(Compromisos_2026!$P$4:$P$77,MATCH($N11,Compromisos_2026!$S$4:$S$77,0))&amp;"","")</f>
        <v/>
      </c>
    </row>
    <row r="12" customFormat="false" ht="14.25" hidden="false" customHeight="false" outlineLevel="0" collapsed="false">
      <c r="A12" s="10" t="n">
        <v>5</v>
      </c>
      <c r="B12" s="10" t="str">
        <f aca="false">IFERROR(INDEX(Base_OAPDI!$A$5:$A$187,MATCH($A12,Base_OAPDI!$U$5:$U$187,0)),"")</f>
        <v/>
      </c>
      <c r="C12" s="10" t="str">
        <f aca="false">IFERROR(INDEX(Base_OAPDI!$C$5:$C$187,MATCH($A12,Base_OAPDI!$U$5:$U$187,0)),"")</f>
        <v/>
      </c>
      <c r="D12" s="10" t="str">
        <f aca="false">IFERROR(INDEX(Base_OAPDI!$B$5:$B$187,MATCH($A12,Base_OAPDI!$U$5:$U$187,0)),"")</f>
        <v/>
      </c>
      <c r="E12" s="10" t="str">
        <f aca="false">IFERROR(INDEX(Base_OAPDI!$E$5:$E$187,MATCH($A12,Base_OAPDI!$U$5:$U$187,0)),"")</f>
        <v/>
      </c>
      <c r="F12" s="10" t="str">
        <f aca="false">IFERROR(INDEX(Base_OAPDI!$H$5:$H$187,MATCH($A12,Base_OAPDI!$U$5:$U$187,0)),"")</f>
        <v/>
      </c>
      <c r="G12" s="10" t="str">
        <f aca="false">IFERROR(INDEX(Base_OAPDI!$R$5:$R$187,MATCH($A12,Base_OAPDI!$U$5:$U$187,0)),"")</f>
        <v/>
      </c>
      <c r="H12" s="10" t="str">
        <f aca="false">IFERROR(INDEX(Base_OAPDI!$N$5:$N$187,MATCH($A12,Base_OAPDI!$U$5:$U$187,0)),"")</f>
        <v/>
      </c>
      <c r="I12" s="10" t="str">
        <f aca="false">IFERROR(INDEX(Base_OAPDI!$P$5:$P$187,MATCH($A12,Base_OAPDI!$U$5:$U$187,0)),"")</f>
        <v/>
      </c>
      <c r="J12" s="10" t="str">
        <f aca="false">IFERROR(INDEX(Base_OAPDI!$S$5:$S$187,MATCH($A12,Base_OAPDI!$U$5:$U$187,0)),"")</f>
        <v/>
      </c>
      <c r="K12" s="10" t="str">
        <f aca="false">IFERROR(INDEX(Base_OAPDI!$T$5:$T$187,MATCH($A12,Base_OAPDI!$U$5:$U$187,0)),"")</f>
        <v/>
      </c>
      <c r="L12" s="10" t="str">
        <f aca="false">IFERROR(INDEX(Base_OAPDI!$Q$5:$Q$187,MATCH($A12,Base_OAPDI!$U$5:$U$187,0)),"")</f>
        <v/>
      </c>
      <c r="N12" s="10" t="n">
        <v>5</v>
      </c>
      <c r="O12" s="10" t="str">
        <f aca="false">IFERROR(INDEX(Compromisos_2026!$A$4:$A$77,MATCH($N12,Compromisos_2026!$S$4:$S$77,0))&amp;"","")</f>
        <v/>
      </c>
      <c r="P12" s="10" t="str">
        <f aca="false">IFERROR(INDEX(Compromisos_2026!$B$4:$B$77,MATCH($N12,Compromisos_2026!$S$4:$S$77,0))&amp;"","")</f>
        <v/>
      </c>
      <c r="Q12" s="10" t="str">
        <f aca="false">IFERROR(INDEX(Compromisos_2026!$D$4:$D$77,MATCH($N12,Compromisos_2026!$S$4:$S$77,0))&amp;"","")</f>
        <v/>
      </c>
      <c r="R12" s="10" t="str">
        <f aca="false">IFERROR(INDEX(Compromisos_2026!$I$4:$I$77,MATCH($N12,Compromisos_2026!$S$4:$S$77,0))&amp;"","")</f>
        <v/>
      </c>
      <c r="S12" s="10" t="str">
        <f aca="false">IFERROR(INDEX(Compromisos_2026!$P$4:$P$77,MATCH($N12,Compromisos_2026!$S$4:$S$77,0))&amp;"","")</f>
        <v/>
      </c>
    </row>
    <row r="13" customFormat="false" ht="14.25" hidden="false" customHeight="false" outlineLevel="0" collapsed="false">
      <c r="A13" s="12" t="n">
        <v>6</v>
      </c>
      <c r="B13" s="12" t="str">
        <f aca="false">IFERROR(INDEX(Base_OAPDI!$A$5:$A$187,MATCH($A13,Base_OAPDI!$U$5:$U$187,0)),"")</f>
        <v/>
      </c>
      <c r="C13" s="12" t="str">
        <f aca="false">IFERROR(INDEX(Base_OAPDI!$C$5:$C$187,MATCH($A13,Base_OAPDI!$U$5:$U$187,0)),"")</f>
        <v/>
      </c>
      <c r="D13" s="12" t="str">
        <f aca="false">IFERROR(INDEX(Base_OAPDI!$B$5:$B$187,MATCH($A13,Base_OAPDI!$U$5:$U$187,0)),"")</f>
        <v/>
      </c>
      <c r="E13" s="12" t="str">
        <f aca="false">IFERROR(INDEX(Base_OAPDI!$E$5:$E$187,MATCH($A13,Base_OAPDI!$U$5:$U$187,0)),"")</f>
        <v/>
      </c>
      <c r="F13" s="12" t="str">
        <f aca="false">IFERROR(INDEX(Base_OAPDI!$H$5:$H$187,MATCH($A13,Base_OAPDI!$U$5:$U$187,0)),"")</f>
        <v/>
      </c>
      <c r="G13" s="12" t="str">
        <f aca="false">IFERROR(INDEX(Base_OAPDI!$R$5:$R$187,MATCH($A13,Base_OAPDI!$U$5:$U$187,0)),"")</f>
        <v/>
      </c>
      <c r="H13" s="12" t="str">
        <f aca="false">IFERROR(INDEX(Base_OAPDI!$N$5:$N$187,MATCH($A13,Base_OAPDI!$U$5:$U$187,0)),"")</f>
        <v/>
      </c>
      <c r="I13" s="12" t="str">
        <f aca="false">IFERROR(INDEX(Base_OAPDI!$P$5:$P$187,MATCH($A13,Base_OAPDI!$U$5:$U$187,0)),"")</f>
        <v/>
      </c>
      <c r="J13" s="12" t="str">
        <f aca="false">IFERROR(INDEX(Base_OAPDI!$S$5:$S$187,MATCH($A13,Base_OAPDI!$U$5:$U$187,0)),"")</f>
        <v/>
      </c>
      <c r="K13" s="12" t="str">
        <f aca="false">IFERROR(INDEX(Base_OAPDI!$T$5:$T$187,MATCH($A13,Base_OAPDI!$U$5:$U$187,0)),"")</f>
        <v/>
      </c>
      <c r="L13" s="12" t="str">
        <f aca="false">IFERROR(INDEX(Base_OAPDI!$Q$5:$Q$187,MATCH($A13,Base_OAPDI!$U$5:$U$187,0)),"")</f>
        <v/>
      </c>
      <c r="N13" s="12" t="n">
        <v>6</v>
      </c>
      <c r="O13" s="12" t="str">
        <f aca="false">IFERROR(INDEX(Compromisos_2026!$A$4:$A$77,MATCH($N13,Compromisos_2026!$S$4:$S$77,0))&amp;"","")</f>
        <v/>
      </c>
      <c r="P13" s="12" t="str">
        <f aca="false">IFERROR(INDEX(Compromisos_2026!$B$4:$B$77,MATCH($N13,Compromisos_2026!$S$4:$S$77,0))&amp;"","")</f>
        <v/>
      </c>
      <c r="Q13" s="12" t="str">
        <f aca="false">IFERROR(INDEX(Compromisos_2026!$D$4:$D$77,MATCH($N13,Compromisos_2026!$S$4:$S$77,0))&amp;"","")</f>
        <v/>
      </c>
      <c r="R13" s="12" t="str">
        <f aca="false">IFERROR(INDEX(Compromisos_2026!$I$4:$I$77,MATCH($N13,Compromisos_2026!$S$4:$S$77,0))&amp;"","")</f>
        <v/>
      </c>
      <c r="S13" s="12" t="str">
        <f aca="false">IFERROR(INDEX(Compromisos_2026!$P$4:$P$77,MATCH($N13,Compromisos_2026!$S$4:$S$77,0))&amp;"","")</f>
        <v/>
      </c>
    </row>
    <row r="14" customFormat="false" ht="14.25" hidden="false" customHeight="false" outlineLevel="0" collapsed="false">
      <c r="A14" s="10" t="n">
        <v>7</v>
      </c>
      <c r="B14" s="10" t="str">
        <f aca="false">IFERROR(INDEX(Base_OAPDI!$A$5:$A$187,MATCH($A14,Base_OAPDI!$U$5:$U$187,0)),"")</f>
        <v/>
      </c>
      <c r="C14" s="10" t="str">
        <f aca="false">IFERROR(INDEX(Base_OAPDI!$C$5:$C$187,MATCH($A14,Base_OAPDI!$U$5:$U$187,0)),"")</f>
        <v/>
      </c>
      <c r="D14" s="10" t="str">
        <f aca="false">IFERROR(INDEX(Base_OAPDI!$B$5:$B$187,MATCH($A14,Base_OAPDI!$U$5:$U$187,0)),"")</f>
        <v/>
      </c>
      <c r="E14" s="10" t="str">
        <f aca="false">IFERROR(INDEX(Base_OAPDI!$E$5:$E$187,MATCH($A14,Base_OAPDI!$U$5:$U$187,0)),"")</f>
        <v/>
      </c>
      <c r="F14" s="10" t="str">
        <f aca="false">IFERROR(INDEX(Base_OAPDI!$H$5:$H$187,MATCH($A14,Base_OAPDI!$U$5:$U$187,0)),"")</f>
        <v/>
      </c>
      <c r="G14" s="10" t="str">
        <f aca="false">IFERROR(INDEX(Base_OAPDI!$R$5:$R$187,MATCH($A14,Base_OAPDI!$U$5:$U$187,0)),"")</f>
        <v/>
      </c>
      <c r="H14" s="10" t="str">
        <f aca="false">IFERROR(INDEX(Base_OAPDI!$N$5:$N$187,MATCH($A14,Base_OAPDI!$U$5:$U$187,0)),"")</f>
        <v/>
      </c>
      <c r="I14" s="10" t="str">
        <f aca="false">IFERROR(INDEX(Base_OAPDI!$P$5:$P$187,MATCH($A14,Base_OAPDI!$U$5:$U$187,0)),"")</f>
        <v/>
      </c>
      <c r="J14" s="10" t="str">
        <f aca="false">IFERROR(INDEX(Base_OAPDI!$S$5:$S$187,MATCH($A14,Base_OAPDI!$U$5:$U$187,0)),"")</f>
        <v/>
      </c>
      <c r="K14" s="10" t="str">
        <f aca="false">IFERROR(INDEX(Base_OAPDI!$T$5:$T$187,MATCH($A14,Base_OAPDI!$U$5:$U$187,0)),"")</f>
        <v/>
      </c>
      <c r="L14" s="10" t="str">
        <f aca="false">IFERROR(INDEX(Base_OAPDI!$Q$5:$Q$187,MATCH($A14,Base_OAPDI!$U$5:$U$187,0)),"")</f>
        <v/>
      </c>
      <c r="N14" s="10" t="n">
        <v>7</v>
      </c>
      <c r="O14" s="10" t="str">
        <f aca="false">IFERROR(INDEX(Compromisos_2026!$A$4:$A$77,MATCH($N14,Compromisos_2026!$S$4:$S$77,0))&amp;"","")</f>
        <v/>
      </c>
      <c r="P14" s="10" t="str">
        <f aca="false">IFERROR(INDEX(Compromisos_2026!$B$4:$B$77,MATCH($N14,Compromisos_2026!$S$4:$S$77,0))&amp;"","")</f>
        <v/>
      </c>
      <c r="Q14" s="10" t="str">
        <f aca="false">IFERROR(INDEX(Compromisos_2026!$D$4:$D$77,MATCH($N14,Compromisos_2026!$S$4:$S$77,0))&amp;"","")</f>
        <v/>
      </c>
      <c r="R14" s="10" t="str">
        <f aca="false">IFERROR(INDEX(Compromisos_2026!$I$4:$I$77,MATCH($N14,Compromisos_2026!$S$4:$S$77,0))&amp;"","")</f>
        <v/>
      </c>
      <c r="S14" s="10" t="str">
        <f aca="false">IFERROR(INDEX(Compromisos_2026!$P$4:$P$77,MATCH($N14,Compromisos_2026!$S$4:$S$77,0))&amp;"","")</f>
        <v/>
      </c>
    </row>
    <row r="15" customFormat="false" ht="14.25" hidden="false" customHeight="false" outlineLevel="0" collapsed="false">
      <c r="A15" s="12" t="n">
        <v>8</v>
      </c>
      <c r="B15" s="12" t="str">
        <f aca="false">IFERROR(INDEX(Base_OAPDI!$A$5:$A$187,MATCH($A15,Base_OAPDI!$U$5:$U$187,0)),"")</f>
        <v/>
      </c>
      <c r="C15" s="12" t="str">
        <f aca="false">IFERROR(INDEX(Base_OAPDI!$C$5:$C$187,MATCH($A15,Base_OAPDI!$U$5:$U$187,0)),"")</f>
        <v/>
      </c>
      <c r="D15" s="12" t="str">
        <f aca="false">IFERROR(INDEX(Base_OAPDI!$B$5:$B$187,MATCH($A15,Base_OAPDI!$U$5:$U$187,0)),"")</f>
        <v/>
      </c>
      <c r="E15" s="12" t="str">
        <f aca="false">IFERROR(INDEX(Base_OAPDI!$E$5:$E$187,MATCH($A15,Base_OAPDI!$U$5:$U$187,0)),"")</f>
        <v/>
      </c>
      <c r="F15" s="12" t="str">
        <f aca="false">IFERROR(INDEX(Base_OAPDI!$H$5:$H$187,MATCH($A15,Base_OAPDI!$U$5:$U$187,0)),"")</f>
        <v/>
      </c>
      <c r="G15" s="12" t="str">
        <f aca="false">IFERROR(INDEX(Base_OAPDI!$R$5:$R$187,MATCH($A15,Base_OAPDI!$U$5:$U$187,0)),"")</f>
        <v/>
      </c>
      <c r="H15" s="12" t="str">
        <f aca="false">IFERROR(INDEX(Base_OAPDI!$N$5:$N$187,MATCH($A15,Base_OAPDI!$U$5:$U$187,0)),"")</f>
        <v/>
      </c>
      <c r="I15" s="12" t="str">
        <f aca="false">IFERROR(INDEX(Base_OAPDI!$P$5:$P$187,MATCH($A15,Base_OAPDI!$U$5:$U$187,0)),"")</f>
        <v/>
      </c>
      <c r="J15" s="12" t="str">
        <f aca="false">IFERROR(INDEX(Base_OAPDI!$S$5:$S$187,MATCH($A15,Base_OAPDI!$U$5:$U$187,0)),"")</f>
        <v/>
      </c>
      <c r="K15" s="12" t="str">
        <f aca="false">IFERROR(INDEX(Base_OAPDI!$T$5:$T$187,MATCH($A15,Base_OAPDI!$U$5:$U$187,0)),"")</f>
        <v/>
      </c>
      <c r="L15" s="12" t="str">
        <f aca="false">IFERROR(INDEX(Base_OAPDI!$Q$5:$Q$187,MATCH($A15,Base_OAPDI!$U$5:$U$187,0)),"")</f>
        <v/>
      </c>
      <c r="N15" s="12" t="n">
        <v>8</v>
      </c>
      <c r="O15" s="12" t="str">
        <f aca="false">IFERROR(INDEX(Compromisos_2026!$A$4:$A$77,MATCH($N15,Compromisos_2026!$S$4:$S$77,0))&amp;"","")</f>
        <v/>
      </c>
      <c r="P15" s="12" t="str">
        <f aca="false">IFERROR(INDEX(Compromisos_2026!$B$4:$B$77,MATCH($N15,Compromisos_2026!$S$4:$S$77,0))&amp;"","")</f>
        <v/>
      </c>
      <c r="Q15" s="12" t="str">
        <f aca="false">IFERROR(INDEX(Compromisos_2026!$D$4:$D$77,MATCH($N15,Compromisos_2026!$S$4:$S$77,0))&amp;"","")</f>
        <v/>
      </c>
      <c r="R15" s="12" t="str">
        <f aca="false">IFERROR(INDEX(Compromisos_2026!$I$4:$I$77,MATCH($N15,Compromisos_2026!$S$4:$S$77,0))&amp;"","")</f>
        <v/>
      </c>
      <c r="S15" s="12" t="str">
        <f aca="false">IFERROR(INDEX(Compromisos_2026!$P$4:$P$77,MATCH($N15,Compromisos_2026!$S$4:$S$77,0))&amp;"","")</f>
        <v/>
      </c>
    </row>
    <row r="16" customFormat="false" ht="14.25" hidden="false" customHeight="false" outlineLevel="0" collapsed="false">
      <c r="A16" s="10" t="n">
        <v>9</v>
      </c>
      <c r="B16" s="10" t="str">
        <f aca="false">IFERROR(INDEX(Base_OAPDI!$A$5:$A$187,MATCH($A16,Base_OAPDI!$U$5:$U$187,0)),"")</f>
        <v/>
      </c>
      <c r="C16" s="10" t="str">
        <f aca="false">IFERROR(INDEX(Base_OAPDI!$C$5:$C$187,MATCH($A16,Base_OAPDI!$U$5:$U$187,0)),"")</f>
        <v/>
      </c>
      <c r="D16" s="10" t="str">
        <f aca="false">IFERROR(INDEX(Base_OAPDI!$B$5:$B$187,MATCH($A16,Base_OAPDI!$U$5:$U$187,0)),"")</f>
        <v/>
      </c>
      <c r="E16" s="10" t="str">
        <f aca="false">IFERROR(INDEX(Base_OAPDI!$E$5:$E$187,MATCH($A16,Base_OAPDI!$U$5:$U$187,0)),"")</f>
        <v/>
      </c>
      <c r="F16" s="10" t="str">
        <f aca="false">IFERROR(INDEX(Base_OAPDI!$H$5:$H$187,MATCH($A16,Base_OAPDI!$U$5:$U$187,0)),"")</f>
        <v/>
      </c>
      <c r="G16" s="10" t="str">
        <f aca="false">IFERROR(INDEX(Base_OAPDI!$R$5:$R$187,MATCH($A16,Base_OAPDI!$U$5:$U$187,0)),"")</f>
        <v/>
      </c>
      <c r="H16" s="10" t="str">
        <f aca="false">IFERROR(INDEX(Base_OAPDI!$N$5:$N$187,MATCH($A16,Base_OAPDI!$U$5:$U$187,0)),"")</f>
        <v/>
      </c>
      <c r="I16" s="10" t="str">
        <f aca="false">IFERROR(INDEX(Base_OAPDI!$P$5:$P$187,MATCH($A16,Base_OAPDI!$U$5:$U$187,0)),"")</f>
        <v/>
      </c>
      <c r="J16" s="10" t="str">
        <f aca="false">IFERROR(INDEX(Base_OAPDI!$S$5:$S$187,MATCH($A16,Base_OAPDI!$U$5:$U$187,0)),"")</f>
        <v/>
      </c>
      <c r="K16" s="10" t="str">
        <f aca="false">IFERROR(INDEX(Base_OAPDI!$T$5:$T$187,MATCH($A16,Base_OAPDI!$U$5:$U$187,0)),"")</f>
        <v/>
      </c>
      <c r="L16" s="10" t="str">
        <f aca="false">IFERROR(INDEX(Base_OAPDI!$Q$5:$Q$187,MATCH($A16,Base_OAPDI!$U$5:$U$187,0)),"")</f>
        <v/>
      </c>
      <c r="N16" s="10" t="n">
        <v>9</v>
      </c>
      <c r="O16" s="10" t="str">
        <f aca="false">IFERROR(INDEX(Compromisos_2026!$A$4:$A$77,MATCH($N16,Compromisos_2026!$S$4:$S$77,0))&amp;"","")</f>
        <v/>
      </c>
      <c r="P16" s="10" t="str">
        <f aca="false">IFERROR(INDEX(Compromisos_2026!$B$4:$B$77,MATCH($N16,Compromisos_2026!$S$4:$S$77,0))&amp;"","")</f>
        <v/>
      </c>
      <c r="Q16" s="10" t="str">
        <f aca="false">IFERROR(INDEX(Compromisos_2026!$D$4:$D$77,MATCH($N16,Compromisos_2026!$S$4:$S$77,0))&amp;"","")</f>
        <v/>
      </c>
      <c r="R16" s="10" t="str">
        <f aca="false">IFERROR(INDEX(Compromisos_2026!$I$4:$I$77,MATCH($N16,Compromisos_2026!$S$4:$S$77,0))&amp;"","")</f>
        <v/>
      </c>
      <c r="S16" s="10" t="str">
        <f aca="false">IFERROR(INDEX(Compromisos_2026!$P$4:$P$77,MATCH($N16,Compromisos_2026!$S$4:$S$77,0))&amp;"","")</f>
        <v/>
      </c>
    </row>
    <row r="17" customFormat="false" ht="14.25" hidden="false" customHeight="false" outlineLevel="0" collapsed="false">
      <c r="A17" s="12" t="n">
        <v>10</v>
      </c>
      <c r="B17" s="12" t="str">
        <f aca="false">IFERROR(INDEX(Base_OAPDI!$A$5:$A$187,MATCH($A17,Base_OAPDI!$U$5:$U$187,0)),"")</f>
        <v/>
      </c>
      <c r="C17" s="12" t="str">
        <f aca="false">IFERROR(INDEX(Base_OAPDI!$C$5:$C$187,MATCH($A17,Base_OAPDI!$U$5:$U$187,0)),"")</f>
        <v/>
      </c>
      <c r="D17" s="12" t="str">
        <f aca="false">IFERROR(INDEX(Base_OAPDI!$B$5:$B$187,MATCH($A17,Base_OAPDI!$U$5:$U$187,0)),"")</f>
        <v/>
      </c>
      <c r="E17" s="12" t="str">
        <f aca="false">IFERROR(INDEX(Base_OAPDI!$E$5:$E$187,MATCH($A17,Base_OAPDI!$U$5:$U$187,0)),"")</f>
        <v/>
      </c>
      <c r="F17" s="12" t="str">
        <f aca="false">IFERROR(INDEX(Base_OAPDI!$H$5:$H$187,MATCH($A17,Base_OAPDI!$U$5:$U$187,0)),"")</f>
        <v/>
      </c>
      <c r="G17" s="12" t="str">
        <f aca="false">IFERROR(INDEX(Base_OAPDI!$R$5:$R$187,MATCH($A17,Base_OAPDI!$U$5:$U$187,0)),"")</f>
        <v/>
      </c>
      <c r="H17" s="12" t="str">
        <f aca="false">IFERROR(INDEX(Base_OAPDI!$N$5:$N$187,MATCH($A17,Base_OAPDI!$U$5:$U$187,0)),"")</f>
        <v/>
      </c>
      <c r="I17" s="12" t="str">
        <f aca="false">IFERROR(INDEX(Base_OAPDI!$P$5:$P$187,MATCH($A17,Base_OAPDI!$U$5:$U$187,0)),"")</f>
        <v/>
      </c>
      <c r="J17" s="12" t="str">
        <f aca="false">IFERROR(INDEX(Base_OAPDI!$S$5:$S$187,MATCH($A17,Base_OAPDI!$U$5:$U$187,0)),"")</f>
        <v/>
      </c>
      <c r="K17" s="12" t="str">
        <f aca="false">IFERROR(INDEX(Base_OAPDI!$T$5:$T$187,MATCH($A17,Base_OAPDI!$U$5:$U$187,0)),"")</f>
        <v/>
      </c>
      <c r="L17" s="12" t="str">
        <f aca="false">IFERROR(INDEX(Base_OAPDI!$Q$5:$Q$187,MATCH($A17,Base_OAPDI!$U$5:$U$187,0)),"")</f>
        <v/>
      </c>
      <c r="N17" s="12" t="n">
        <v>10</v>
      </c>
      <c r="O17" s="12" t="str">
        <f aca="false">IFERROR(INDEX(Compromisos_2026!$A$4:$A$77,MATCH($N17,Compromisos_2026!$S$4:$S$77,0))&amp;"","")</f>
        <v/>
      </c>
      <c r="P17" s="12" t="str">
        <f aca="false">IFERROR(INDEX(Compromisos_2026!$B$4:$B$77,MATCH($N17,Compromisos_2026!$S$4:$S$77,0))&amp;"","")</f>
        <v/>
      </c>
      <c r="Q17" s="12" t="str">
        <f aca="false">IFERROR(INDEX(Compromisos_2026!$D$4:$D$77,MATCH($N17,Compromisos_2026!$S$4:$S$77,0))&amp;"","")</f>
        <v/>
      </c>
      <c r="R17" s="12" t="str">
        <f aca="false">IFERROR(INDEX(Compromisos_2026!$I$4:$I$77,MATCH($N17,Compromisos_2026!$S$4:$S$77,0))&amp;"","")</f>
        <v/>
      </c>
      <c r="S17" s="12" t="str">
        <f aca="false">IFERROR(INDEX(Compromisos_2026!$P$4:$P$77,MATCH($N17,Compromisos_2026!$S$4:$S$77,0))&amp;"","")</f>
        <v/>
      </c>
    </row>
    <row r="18" customFormat="false" ht="14.25" hidden="false" customHeight="false" outlineLevel="0" collapsed="false">
      <c r="A18" s="10" t="n">
        <v>11</v>
      </c>
      <c r="B18" s="10" t="str">
        <f aca="false">IFERROR(INDEX(Base_OAPDI!$A$5:$A$187,MATCH($A18,Base_OAPDI!$U$5:$U$187,0)),"")</f>
        <v/>
      </c>
      <c r="C18" s="10" t="str">
        <f aca="false">IFERROR(INDEX(Base_OAPDI!$C$5:$C$187,MATCH($A18,Base_OAPDI!$U$5:$U$187,0)),"")</f>
        <v/>
      </c>
      <c r="D18" s="10" t="str">
        <f aca="false">IFERROR(INDEX(Base_OAPDI!$B$5:$B$187,MATCH($A18,Base_OAPDI!$U$5:$U$187,0)),"")</f>
        <v/>
      </c>
      <c r="E18" s="10" t="str">
        <f aca="false">IFERROR(INDEX(Base_OAPDI!$E$5:$E$187,MATCH($A18,Base_OAPDI!$U$5:$U$187,0)),"")</f>
        <v/>
      </c>
      <c r="F18" s="10" t="str">
        <f aca="false">IFERROR(INDEX(Base_OAPDI!$H$5:$H$187,MATCH($A18,Base_OAPDI!$U$5:$U$187,0)),"")</f>
        <v/>
      </c>
      <c r="G18" s="10" t="str">
        <f aca="false">IFERROR(INDEX(Base_OAPDI!$R$5:$R$187,MATCH($A18,Base_OAPDI!$U$5:$U$187,0)),"")</f>
        <v/>
      </c>
      <c r="H18" s="10" t="str">
        <f aca="false">IFERROR(INDEX(Base_OAPDI!$N$5:$N$187,MATCH($A18,Base_OAPDI!$U$5:$U$187,0)),"")</f>
        <v/>
      </c>
      <c r="I18" s="10" t="str">
        <f aca="false">IFERROR(INDEX(Base_OAPDI!$P$5:$P$187,MATCH($A18,Base_OAPDI!$U$5:$U$187,0)),"")</f>
        <v/>
      </c>
      <c r="J18" s="10" t="str">
        <f aca="false">IFERROR(INDEX(Base_OAPDI!$S$5:$S$187,MATCH($A18,Base_OAPDI!$U$5:$U$187,0)),"")</f>
        <v/>
      </c>
      <c r="K18" s="10" t="str">
        <f aca="false">IFERROR(INDEX(Base_OAPDI!$T$5:$T$187,MATCH($A18,Base_OAPDI!$U$5:$U$187,0)),"")</f>
        <v/>
      </c>
      <c r="L18" s="10" t="str">
        <f aca="false">IFERROR(INDEX(Base_OAPDI!$Q$5:$Q$187,MATCH($A18,Base_OAPDI!$U$5:$U$187,0)),"")</f>
        <v/>
      </c>
      <c r="N18" s="10" t="n">
        <v>11</v>
      </c>
      <c r="O18" s="10" t="str">
        <f aca="false">IFERROR(INDEX(Compromisos_2026!$A$4:$A$77,MATCH($N18,Compromisos_2026!$S$4:$S$77,0))&amp;"","")</f>
        <v/>
      </c>
      <c r="P18" s="10" t="str">
        <f aca="false">IFERROR(INDEX(Compromisos_2026!$B$4:$B$77,MATCH($N18,Compromisos_2026!$S$4:$S$77,0))&amp;"","")</f>
        <v/>
      </c>
      <c r="Q18" s="10" t="str">
        <f aca="false">IFERROR(INDEX(Compromisos_2026!$D$4:$D$77,MATCH($N18,Compromisos_2026!$S$4:$S$77,0))&amp;"","")</f>
        <v/>
      </c>
      <c r="R18" s="10" t="str">
        <f aca="false">IFERROR(INDEX(Compromisos_2026!$I$4:$I$77,MATCH($N18,Compromisos_2026!$S$4:$S$77,0))&amp;"","")</f>
        <v/>
      </c>
      <c r="S18" s="10" t="str">
        <f aca="false">IFERROR(INDEX(Compromisos_2026!$P$4:$P$77,MATCH($N18,Compromisos_2026!$S$4:$S$77,0))&amp;"","")</f>
        <v/>
      </c>
    </row>
    <row r="19" customFormat="false" ht="14.25" hidden="false" customHeight="false" outlineLevel="0" collapsed="false">
      <c r="A19" s="12" t="n">
        <v>12</v>
      </c>
      <c r="B19" s="12" t="str">
        <f aca="false">IFERROR(INDEX(Base_OAPDI!$A$5:$A$187,MATCH($A19,Base_OAPDI!$U$5:$U$187,0)),"")</f>
        <v/>
      </c>
      <c r="C19" s="12" t="str">
        <f aca="false">IFERROR(INDEX(Base_OAPDI!$C$5:$C$187,MATCH($A19,Base_OAPDI!$U$5:$U$187,0)),"")</f>
        <v/>
      </c>
      <c r="D19" s="12" t="str">
        <f aca="false">IFERROR(INDEX(Base_OAPDI!$B$5:$B$187,MATCH($A19,Base_OAPDI!$U$5:$U$187,0)),"")</f>
        <v/>
      </c>
      <c r="E19" s="12" t="str">
        <f aca="false">IFERROR(INDEX(Base_OAPDI!$E$5:$E$187,MATCH($A19,Base_OAPDI!$U$5:$U$187,0)),"")</f>
        <v/>
      </c>
      <c r="F19" s="12" t="str">
        <f aca="false">IFERROR(INDEX(Base_OAPDI!$H$5:$H$187,MATCH($A19,Base_OAPDI!$U$5:$U$187,0)),"")</f>
        <v/>
      </c>
      <c r="G19" s="12" t="str">
        <f aca="false">IFERROR(INDEX(Base_OAPDI!$R$5:$R$187,MATCH($A19,Base_OAPDI!$U$5:$U$187,0)),"")</f>
        <v/>
      </c>
      <c r="H19" s="12" t="str">
        <f aca="false">IFERROR(INDEX(Base_OAPDI!$N$5:$N$187,MATCH($A19,Base_OAPDI!$U$5:$U$187,0)),"")</f>
        <v/>
      </c>
      <c r="I19" s="12" t="str">
        <f aca="false">IFERROR(INDEX(Base_OAPDI!$P$5:$P$187,MATCH($A19,Base_OAPDI!$U$5:$U$187,0)),"")</f>
        <v/>
      </c>
      <c r="J19" s="12" t="str">
        <f aca="false">IFERROR(INDEX(Base_OAPDI!$S$5:$S$187,MATCH($A19,Base_OAPDI!$U$5:$U$187,0)),"")</f>
        <v/>
      </c>
      <c r="K19" s="12" t="str">
        <f aca="false">IFERROR(INDEX(Base_OAPDI!$T$5:$T$187,MATCH($A19,Base_OAPDI!$U$5:$U$187,0)),"")</f>
        <v/>
      </c>
      <c r="L19" s="12" t="str">
        <f aca="false">IFERROR(INDEX(Base_OAPDI!$Q$5:$Q$187,MATCH($A19,Base_OAPDI!$U$5:$U$187,0)),"")</f>
        <v/>
      </c>
      <c r="N19" s="12" t="n">
        <v>12</v>
      </c>
      <c r="O19" s="12" t="str">
        <f aca="false">IFERROR(INDEX(Compromisos_2026!$A$4:$A$77,MATCH($N19,Compromisos_2026!$S$4:$S$77,0))&amp;"","")</f>
        <v/>
      </c>
      <c r="P19" s="12" t="str">
        <f aca="false">IFERROR(INDEX(Compromisos_2026!$B$4:$B$77,MATCH($N19,Compromisos_2026!$S$4:$S$77,0))&amp;"","")</f>
        <v/>
      </c>
      <c r="Q19" s="12" t="str">
        <f aca="false">IFERROR(INDEX(Compromisos_2026!$D$4:$D$77,MATCH($N19,Compromisos_2026!$S$4:$S$77,0))&amp;"","")</f>
        <v/>
      </c>
      <c r="R19" s="12" t="str">
        <f aca="false">IFERROR(INDEX(Compromisos_2026!$I$4:$I$77,MATCH($N19,Compromisos_2026!$S$4:$S$77,0))&amp;"","")</f>
        <v/>
      </c>
      <c r="S19" s="12" t="str">
        <f aca="false">IFERROR(INDEX(Compromisos_2026!$P$4:$P$77,MATCH($N19,Compromisos_2026!$S$4:$S$77,0))&amp;"","")</f>
        <v/>
      </c>
    </row>
    <row r="20" customFormat="false" ht="14.25" hidden="false" customHeight="false" outlineLevel="0" collapsed="false">
      <c r="A20" s="10" t="n">
        <v>13</v>
      </c>
      <c r="B20" s="10" t="str">
        <f aca="false">IFERROR(INDEX(Base_OAPDI!$A$5:$A$187,MATCH($A20,Base_OAPDI!$U$5:$U$187,0)),"")</f>
        <v/>
      </c>
      <c r="C20" s="10" t="str">
        <f aca="false">IFERROR(INDEX(Base_OAPDI!$C$5:$C$187,MATCH($A20,Base_OAPDI!$U$5:$U$187,0)),"")</f>
        <v/>
      </c>
      <c r="D20" s="10" t="str">
        <f aca="false">IFERROR(INDEX(Base_OAPDI!$B$5:$B$187,MATCH($A20,Base_OAPDI!$U$5:$U$187,0)),"")</f>
        <v/>
      </c>
      <c r="E20" s="10" t="str">
        <f aca="false">IFERROR(INDEX(Base_OAPDI!$E$5:$E$187,MATCH($A20,Base_OAPDI!$U$5:$U$187,0)),"")</f>
        <v/>
      </c>
      <c r="F20" s="10" t="str">
        <f aca="false">IFERROR(INDEX(Base_OAPDI!$H$5:$H$187,MATCH($A20,Base_OAPDI!$U$5:$U$187,0)),"")</f>
        <v/>
      </c>
      <c r="G20" s="10" t="str">
        <f aca="false">IFERROR(INDEX(Base_OAPDI!$R$5:$R$187,MATCH($A20,Base_OAPDI!$U$5:$U$187,0)),"")</f>
        <v/>
      </c>
      <c r="H20" s="10" t="str">
        <f aca="false">IFERROR(INDEX(Base_OAPDI!$N$5:$N$187,MATCH($A20,Base_OAPDI!$U$5:$U$187,0)),"")</f>
        <v/>
      </c>
      <c r="I20" s="10" t="str">
        <f aca="false">IFERROR(INDEX(Base_OAPDI!$P$5:$P$187,MATCH($A20,Base_OAPDI!$U$5:$U$187,0)),"")</f>
        <v/>
      </c>
      <c r="J20" s="10" t="str">
        <f aca="false">IFERROR(INDEX(Base_OAPDI!$S$5:$S$187,MATCH($A20,Base_OAPDI!$U$5:$U$187,0)),"")</f>
        <v/>
      </c>
      <c r="K20" s="10" t="str">
        <f aca="false">IFERROR(INDEX(Base_OAPDI!$T$5:$T$187,MATCH($A20,Base_OAPDI!$U$5:$U$187,0)),"")</f>
        <v/>
      </c>
      <c r="L20" s="10" t="str">
        <f aca="false">IFERROR(INDEX(Base_OAPDI!$Q$5:$Q$187,MATCH($A20,Base_OAPDI!$U$5:$U$187,0)),"")</f>
        <v/>
      </c>
      <c r="N20" s="10" t="n">
        <v>13</v>
      </c>
      <c r="O20" s="10" t="str">
        <f aca="false">IFERROR(INDEX(Compromisos_2026!$A$4:$A$77,MATCH($N20,Compromisos_2026!$S$4:$S$77,0))&amp;"","")</f>
        <v/>
      </c>
      <c r="P20" s="10" t="str">
        <f aca="false">IFERROR(INDEX(Compromisos_2026!$B$4:$B$77,MATCH($N20,Compromisos_2026!$S$4:$S$77,0))&amp;"","")</f>
        <v/>
      </c>
      <c r="Q20" s="10" t="str">
        <f aca="false">IFERROR(INDEX(Compromisos_2026!$D$4:$D$77,MATCH($N20,Compromisos_2026!$S$4:$S$77,0))&amp;"","")</f>
        <v/>
      </c>
      <c r="R20" s="10" t="str">
        <f aca="false">IFERROR(INDEX(Compromisos_2026!$I$4:$I$77,MATCH($N20,Compromisos_2026!$S$4:$S$77,0))&amp;"","")</f>
        <v/>
      </c>
      <c r="S20" s="10" t="str">
        <f aca="false">IFERROR(INDEX(Compromisos_2026!$P$4:$P$77,MATCH($N20,Compromisos_2026!$S$4:$S$77,0))&amp;"","")</f>
        <v/>
      </c>
    </row>
    <row r="21" customFormat="false" ht="14.25" hidden="false" customHeight="false" outlineLevel="0" collapsed="false">
      <c r="A21" s="12" t="n">
        <v>14</v>
      </c>
      <c r="B21" s="12" t="str">
        <f aca="false">IFERROR(INDEX(Base_OAPDI!$A$5:$A$187,MATCH($A21,Base_OAPDI!$U$5:$U$187,0)),"")</f>
        <v/>
      </c>
      <c r="C21" s="12" t="str">
        <f aca="false">IFERROR(INDEX(Base_OAPDI!$C$5:$C$187,MATCH($A21,Base_OAPDI!$U$5:$U$187,0)),"")</f>
        <v/>
      </c>
      <c r="D21" s="12" t="str">
        <f aca="false">IFERROR(INDEX(Base_OAPDI!$B$5:$B$187,MATCH($A21,Base_OAPDI!$U$5:$U$187,0)),"")</f>
        <v/>
      </c>
      <c r="E21" s="12" t="str">
        <f aca="false">IFERROR(INDEX(Base_OAPDI!$E$5:$E$187,MATCH($A21,Base_OAPDI!$U$5:$U$187,0)),"")</f>
        <v/>
      </c>
      <c r="F21" s="12" t="str">
        <f aca="false">IFERROR(INDEX(Base_OAPDI!$H$5:$H$187,MATCH($A21,Base_OAPDI!$U$5:$U$187,0)),"")</f>
        <v/>
      </c>
      <c r="G21" s="12" t="str">
        <f aca="false">IFERROR(INDEX(Base_OAPDI!$R$5:$R$187,MATCH($A21,Base_OAPDI!$U$5:$U$187,0)),"")</f>
        <v/>
      </c>
      <c r="H21" s="12" t="str">
        <f aca="false">IFERROR(INDEX(Base_OAPDI!$N$5:$N$187,MATCH($A21,Base_OAPDI!$U$5:$U$187,0)),"")</f>
        <v/>
      </c>
      <c r="I21" s="12" t="str">
        <f aca="false">IFERROR(INDEX(Base_OAPDI!$P$5:$P$187,MATCH($A21,Base_OAPDI!$U$5:$U$187,0)),"")</f>
        <v/>
      </c>
      <c r="J21" s="12" t="str">
        <f aca="false">IFERROR(INDEX(Base_OAPDI!$S$5:$S$187,MATCH($A21,Base_OAPDI!$U$5:$U$187,0)),"")</f>
        <v/>
      </c>
      <c r="K21" s="12" t="str">
        <f aca="false">IFERROR(INDEX(Base_OAPDI!$T$5:$T$187,MATCH($A21,Base_OAPDI!$U$5:$U$187,0)),"")</f>
        <v/>
      </c>
      <c r="L21" s="12" t="str">
        <f aca="false">IFERROR(INDEX(Base_OAPDI!$Q$5:$Q$187,MATCH($A21,Base_OAPDI!$U$5:$U$187,0)),"")</f>
        <v/>
      </c>
      <c r="N21" s="12" t="n">
        <v>14</v>
      </c>
      <c r="O21" s="12" t="str">
        <f aca="false">IFERROR(INDEX(Compromisos_2026!$A$4:$A$77,MATCH($N21,Compromisos_2026!$S$4:$S$77,0))&amp;"","")</f>
        <v/>
      </c>
      <c r="P21" s="12" t="str">
        <f aca="false">IFERROR(INDEX(Compromisos_2026!$B$4:$B$77,MATCH($N21,Compromisos_2026!$S$4:$S$77,0))&amp;"","")</f>
        <v/>
      </c>
      <c r="Q21" s="12" t="str">
        <f aca="false">IFERROR(INDEX(Compromisos_2026!$D$4:$D$77,MATCH($N21,Compromisos_2026!$S$4:$S$77,0))&amp;"","")</f>
        <v/>
      </c>
      <c r="R21" s="12" t="str">
        <f aca="false">IFERROR(INDEX(Compromisos_2026!$I$4:$I$77,MATCH($N21,Compromisos_2026!$S$4:$S$77,0))&amp;"","")</f>
        <v/>
      </c>
      <c r="S21" s="12" t="str">
        <f aca="false">IFERROR(INDEX(Compromisos_2026!$P$4:$P$77,MATCH($N21,Compromisos_2026!$S$4:$S$77,0))&amp;"","")</f>
        <v/>
      </c>
    </row>
    <row r="22" customFormat="false" ht="14.25" hidden="false" customHeight="false" outlineLevel="0" collapsed="false">
      <c r="A22" s="10" t="n">
        <v>15</v>
      </c>
      <c r="B22" s="10" t="str">
        <f aca="false">IFERROR(INDEX(Base_OAPDI!$A$5:$A$187,MATCH($A22,Base_OAPDI!$U$5:$U$187,0)),"")</f>
        <v/>
      </c>
      <c r="C22" s="10" t="str">
        <f aca="false">IFERROR(INDEX(Base_OAPDI!$C$5:$C$187,MATCH($A22,Base_OAPDI!$U$5:$U$187,0)),"")</f>
        <v/>
      </c>
      <c r="D22" s="10" t="str">
        <f aca="false">IFERROR(INDEX(Base_OAPDI!$B$5:$B$187,MATCH($A22,Base_OAPDI!$U$5:$U$187,0)),"")</f>
        <v/>
      </c>
      <c r="E22" s="10" t="str">
        <f aca="false">IFERROR(INDEX(Base_OAPDI!$E$5:$E$187,MATCH($A22,Base_OAPDI!$U$5:$U$187,0)),"")</f>
        <v/>
      </c>
      <c r="F22" s="10" t="str">
        <f aca="false">IFERROR(INDEX(Base_OAPDI!$H$5:$H$187,MATCH($A22,Base_OAPDI!$U$5:$U$187,0)),"")</f>
        <v/>
      </c>
      <c r="G22" s="10" t="str">
        <f aca="false">IFERROR(INDEX(Base_OAPDI!$R$5:$R$187,MATCH($A22,Base_OAPDI!$U$5:$U$187,0)),"")</f>
        <v/>
      </c>
      <c r="H22" s="10" t="str">
        <f aca="false">IFERROR(INDEX(Base_OAPDI!$N$5:$N$187,MATCH($A22,Base_OAPDI!$U$5:$U$187,0)),"")</f>
        <v/>
      </c>
      <c r="I22" s="10" t="str">
        <f aca="false">IFERROR(INDEX(Base_OAPDI!$P$5:$P$187,MATCH($A22,Base_OAPDI!$U$5:$U$187,0)),"")</f>
        <v/>
      </c>
      <c r="J22" s="10" t="str">
        <f aca="false">IFERROR(INDEX(Base_OAPDI!$S$5:$S$187,MATCH($A22,Base_OAPDI!$U$5:$U$187,0)),"")</f>
        <v/>
      </c>
      <c r="K22" s="10" t="str">
        <f aca="false">IFERROR(INDEX(Base_OAPDI!$T$5:$T$187,MATCH($A22,Base_OAPDI!$U$5:$U$187,0)),"")</f>
        <v/>
      </c>
      <c r="L22" s="10" t="str">
        <f aca="false">IFERROR(INDEX(Base_OAPDI!$Q$5:$Q$187,MATCH($A22,Base_OAPDI!$U$5:$U$187,0)),"")</f>
        <v/>
      </c>
      <c r="N22" s="10" t="n">
        <v>15</v>
      </c>
      <c r="O22" s="10" t="str">
        <f aca="false">IFERROR(INDEX(Compromisos_2026!$A$4:$A$77,MATCH($N22,Compromisos_2026!$S$4:$S$77,0))&amp;"","")</f>
        <v/>
      </c>
      <c r="P22" s="10" t="str">
        <f aca="false">IFERROR(INDEX(Compromisos_2026!$B$4:$B$77,MATCH($N22,Compromisos_2026!$S$4:$S$77,0))&amp;"","")</f>
        <v/>
      </c>
      <c r="Q22" s="10" t="str">
        <f aca="false">IFERROR(INDEX(Compromisos_2026!$D$4:$D$77,MATCH($N22,Compromisos_2026!$S$4:$S$77,0))&amp;"","")</f>
        <v/>
      </c>
      <c r="R22" s="10" t="str">
        <f aca="false">IFERROR(INDEX(Compromisos_2026!$I$4:$I$77,MATCH($N22,Compromisos_2026!$S$4:$S$77,0))&amp;"","")</f>
        <v/>
      </c>
      <c r="S22" s="10" t="str">
        <f aca="false">IFERROR(INDEX(Compromisos_2026!$P$4:$P$77,MATCH($N22,Compromisos_2026!$S$4:$S$77,0))&amp;"","")</f>
        <v/>
      </c>
    </row>
    <row r="23" customFormat="false" ht="14.25" hidden="false" customHeight="false" outlineLevel="0" collapsed="false">
      <c r="A23" s="12" t="n">
        <v>16</v>
      </c>
      <c r="B23" s="12" t="str">
        <f aca="false">IFERROR(INDEX(Base_OAPDI!$A$5:$A$187,MATCH($A23,Base_OAPDI!$U$5:$U$187,0)),"")</f>
        <v/>
      </c>
      <c r="C23" s="12" t="str">
        <f aca="false">IFERROR(INDEX(Base_OAPDI!$C$5:$C$187,MATCH($A23,Base_OAPDI!$U$5:$U$187,0)),"")</f>
        <v/>
      </c>
      <c r="D23" s="12" t="str">
        <f aca="false">IFERROR(INDEX(Base_OAPDI!$B$5:$B$187,MATCH($A23,Base_OAPDI!$U$5:$U$187,0)),"")</f>
        <v/>
      </c>
      <c r="E23" s="12" t="str">
        <f aca="false">IFERROR(INDEX(Base_OAPDI!$E$5:$E$187,MATCH($A23,Base_OAPDI!$U$5:$U$187,0)),"")</f>
        <v/>
      </c>
      <c r="F23" s="12" t="str">
        <f aca="false">IFERROR(INDEX(Base_OAPDI!$H$5:$H$187,MATCH($A23,Base_OAPDI!$U$5:$U$187,0)),"")</f>
        <v/>
      </c>
      <c r="G23" s="12" t="str">
        <f aca="false">IFERROR(INDEX(Base_OAPDI!$R$5:$R$187,MATCH($A23,Base_OAPDI!$U$5:$U$187,0)),"")</f>
        <v/>
      </c>
      <c r="H23" s="12" t="str">
        <f aca="false">IFERROR(INDEX(Base_OAPDI!$N$5:$N$187,MATCH($A23,Base_OAPDI!$U$5:$U$187,0)),"")</f>
        <v/>
      </c>
      <c r="I23" s="12" t="str">
        <f aca="false">IFERROR(INDEX(Base_OAPDI!$P$5:$P$187,MATCH($A23,Base_OAPDI!$U$5:$U$187,0)),"")</f>
        <v/>
      </c>
      <c r="J23" s="12" t="str">
        <f aca="false">IFERROR(INDEX(Base_OAPDI!$S$5:$S$187,MATCH($A23,Base_OAPDI!$U$5:$U$187,0)),"")</f>
        <v/>
      </c>
      <c r="K23" s="12" t="str">
        <f aca="false">IFERROR(INDEX(Base_OAPDI!$T$5:$T$187,MATCH($A23,Base_OAPDI!$U$5:$U$187,0)),"")</f>
        <v/>
      </c>
      <c r="L23" s="12" t="str">
        <f aca="false">IFERROR(INDEX(Base_OAPDI!$Q$5:$Q$187,MATCH($A23,Base_OAPDI!$U$5:$U$187,0)),"")</f>
        <v/>
      </c>
      <c r="N23" s="12" t="n">
        <v>16</v>
      </c>
      <c r="O23" s="12" t="str">
        <f aca="false">IFERROR(INDEX(Compromisos_2026!$A$4:$A$77,MATCH($N23,Compromisos_2026!$S$4:$S$77,0))&amp;"","")</f>
        <v/>
      </c>
      <c r="P23" s="12" t="str">
        <f aca="false">IFERROR(INDEX(Compromisos_2026!$B$4:$B$77,MATCH($N23,Compromisos_2026!$S$4:$S$77,0))&amp;"","")</f>
        <v/>
      </c>
      <c r="Q23" s="12" t="str">
        <f aca="false">IFERROR(INDEX(Compromisos_2026!$D$4:$D$77,MATCH($N23,Compromisos_2026!$S$4:$S$77,0))&amp;"","")</f>
        <v/>
      </c>
      <c r="R23" s="12" t="str">
        <f aca="false">IFERROR(INDEX(Compromisos_2026!$I$4:$I$77,MATCH($N23,Compromisos_2026!$S$4:$S$77,0))&amp;"","")</f>
        <v/>
      </c>
      <c r="S23" s="12" t="str">
        <f aca="false">IFERROR(INDEX(Compromisos_2026!$P$4:$P$77,MATCH($N23,Compromisos_2026!$S$4:$S$77,0))&amp;"","")</f>
        <v/>
      </c>
    </row>
    <row r="24" customFormat="false" ht="14.25" hidden="false" customHeight="false" outlineLevel="0" collapsed="false">
      <c r="A24" s="10" t="n">
        <v>17</v>
      </c>
      <c r="B24" s="10" t="str">
        <f aca="false">IFERROR(INDEX(Base_OAPDI!$A$5:$A$187,MATCH($A24,Base_OAPDI!$U$5:$U$187,0)),"")</f>
        <v/>
      </c>
      <c r="C24" s="10" t="str">
        <f aca="false">IFERROR(INDEX(Base_OAPDI!$C$5:$C$187,MATCH($A24,Base_OAPDI!$U$5:$U$187,0)),"")</f>
        <v/>
      </c>
      <c r="D24" s="10" t="str">
        <f aca="false">IFERROR(INDEX(Base_OAPDI!$B$5:$B$187,MATCH($A24,Base_OAPDI!$U$5:$U$187,0)),"")</f>
        <v/>
      </c>
      <c r="E24" s="10" t="str">
        <f aca="false">IFERROR(INDEX(Base_OAPDI!$E$5:$E$187,MATCH($A24,Base_OAPDI!$U$5:$U$187,0)),"")</f>
        <v/>
      </c>
      <c r="F24" s="10" t="str">
        <f aca="false">IFERROR(INDEX(Base_OAPDI!$H$5:$H$187,MATCH($A24,Base_OAPDI!$U$5:$U$187,0)),"")</f>
        <v/>
      </c>
      <c r="G24" s="10" t="str">
        <f aca="false">IFERROR(INDEX(Base_OAPDI!$R$5:$R$187,MATCH($A24,Base_OAPDI!$U$5:$U$187,0)),"")</f>
        <v/>
      </c>
      <c r="H24" s="10" t="str">
        <f aca="false">IFERROR(INDEX(Base_OAPDI!$N$5:$N$187,MATCH($A24,Base_OAPDI!$U$5:$U$187,0)),"")</f>
        <v/>
      </c>
      <c r="I24" s="10" t="str">
        <f aca="false">IFERROR(INDEX(Base_OAPDI!$P$5:$P$187,MATCH($A24,Base_OAPDI!$U$5:$U$187,0)),"")</f>
        <v/>
      </c>
      <c r="J24" s="10" t="str">
        <f aca="false">IFERROR(INDEX(Base_OAPDI!$S$5:$S$187,MATCH($A24,Base_OAPDI!$U$5:$U$187,0)),"")</f>
        <v/>
      </c>
      <c r="K24" s="10" t="str">
        <f aca="false">IFERROR(INDEX(Base_OAPDI!$T$5:$T$187,MATCH($A24,Base_OAPDI!$U$5:$U$187,0)),"")</f>
        <v/>
      </c>
      <c r="L24" s="10" t="str">
        <f aca="false">IFERROR(INDEX(Base_OAPDI!$Q$5:$Q$187,MATCH($A24,Base_OAPDI!$U$5:$U$187,0)),"")</f>
        <v/>
      </c>
      <c r="N24" s="10" t="n">
        <v>17</v>
      </c>
      <c r="O24" s="10" t="str">
        <f aca="false">IFERROR(INDEX(Compromisos_2026!$A$4:$A$77,MATCH($N24,Compromisos_2026!$S$4:$S$77,0))&amp;"","")</f>
        <v/>
      </c>
      <c r="P24" s="10" t="str">
        <f aca="false">IFERROR(INDEX(Compromisos_2026!$B$4:$B$77,MATCH($N24,Compromisos_2026!$S$4:$S$77,0))&amp;"","")</f>
        <v/>
      </c>
      <c r="Q24" s="10" t="str">
        <f aca="false">IFERROR(INDEX(Compromisos_2026!$D$4:$D$77,MATCH($N24,Compromisos_2026!$S$4:$S$77,0))&amp;"","")</f>
        <v/>
      </c>
      <c r="R24" s="10" t="str">
        <f aca="false">IFERROR(INDEX(Compromisos_2026!$I$4:$I$77,MATCH($N24,Compromisos_2026!$S$4:$S$77,0))&amp;"","")</f>
        <v/>
      </c>
      <c r="S24" s="10" t="str">
        <f aca="false">IFERROR(INDEX(Compromisos_2026!$P$4:$P$77,MATCH($N24,Compromisos_2026!$S$4:$S$77,0))&amp;"","")</f>
        <v/>
      </c>
    </row>
    <row r="25" customFormat="false" ht="14.25" hidden="false" customHeight="false" outlineLevel="0" collapsed="false">
      <c r="A25" s="12" t="n">
        <v>18</v>
      </c>
      <c r="B25" s="12" t="str">
        <f aca="false">IFERROR(INDEX(Base_OAPDI!$A$5:$A$187,MATCH($A25,Base_OAPDI!$U$5:$U$187,0)),"")</f>
        <v/>
      </c>
      <c r="C25" s="12" t="str">
        <f aca="false">IFERROR(INDEX(Base_OAPDI!$C$5:$C$187,MATCH($A25,Base_OAPDI!$U$5:$U$187,0)),"")</f>
        <v/>
      </c>
      <c r="D25" s="12" t="str">
        <f aca="false">IFERROR(INDEX(Base_OAPDI!$B$5:$B$187,MATCH($A25,Base_OAPDI!$U$5:$U$187,0)),"")</f>
        <v/>
      </c>
      <c r="E25" s="12" t="str">
        <f aca="false">IFERROR(INDEX(Base_OAPDI!$E$5:$E$187,MATCH($A25,Base_OAPDI!$U$5:$U$187,0)),"")</f>
        <v/>
      </c>
      <c r="F25" s="12" t="str">
        <f aca="false">IFERROR(INDEX(Base_OAPDI!$H$5:$H$187,MATCH($A25,Base_OAPDI!$U$5:$U$187,0)),"")</f>
        <v/>
      </c>
      <c r="G25" s="12" t="str">
        <f aca="false">IFERROR(INDEX(Base_OAPDI!$R$5:$R$187,MATCH($A25,Base_OAPDI!$U$5:$U$187,0)),"")</f>
        <v/>
      </c>
      <c r="H25" s="12" t="str">
        <f aca="false">IFERROR(INDEX(Base_OAPDI!$N$5:$N$187,MATCH($A25,Base_OAPDI!$U$5:$U$187,0)),"")</f>
        <v/>
      </c>
      <c r="I25" s="12" t="str">
        <f aca="false">IFERROR(INDEX(Base_OAPDI!$P$5:$P$187,MATCH($A25,Base_OAPDI!$U$5:$U$187,0)),"")</f>
        <v/>
      </c>
      <c r="J25" s="12" t="str">
        <f aca="false">IFERROR(INDEX(Base_OAPDI!$S$5:$S$187,MATCH($A25,Base_OAPDI!$U$5:$U$187,0)),"")</f>
        <v/>
      </c>
      <c r="K25" s="12" t="str">
        <f aca="false">IFERROR(INDEX(Base_OAPDI!$T$5:$T$187,MATCH($A25,Base_OAPDI!$U$5:$U$187,0)),"")</f>
        <v/>
      </c>
      <c r="L25" s="12" t="str">
        <f aca="false">IFERROR(INDEX(Base_OAPDI!$Q$5:$Q$187,MATCH($A25,Base_OAPDI!$U$5:$U$187,0)),"")</f>
        <v/>
      </c>
      <c r="N25" s="12" t="n">
        <v>18</v>
      </c>
      <c r="O25" s="12" t="str">
        <f aca="false">IFERROR(INDEX(Compromisos_2026!$A$4:$A$77,MATCH($N25,Compromisos_2026!$S$4:$S$77,0))&amp;"","")</f>
        <v/>
      </c>
      <c r="P25" s="12" t="str">
        <f aca="false">IFERROR(INDEX(Compromisos_2026!$B$4:$B$77,MATCH($N25,Compromisos_2026!$S$4:$S$77,0))&amp;"","")</f>
        <v/>
      </c>
      <c r="Q25" s="12" t="str">
        <f aca="false">IFERROR(INDEX(Compromisos_2026!$D$4:$D$77,MATCH($N25,Compromisos_2026!$S$4:$S$77,0))&amp;"","")</f>
        <v/>
      </c>
      <c r="R25" s="12" t="str">
        <f aca="false">IFERROR(INDEX(Compromisos_2026!$I$4:$I$77,MATCH($N25,Compromisos_2026!$S$4:$S$77,0))&amp;"","")</f>
        <v/>
      </c>
      <c r="S25" s="12" t="str">
        <f aca="false">IFERROR(INDEX(Compromisos_2026!$P$4:$P$77,MATCH($N25,Compromisos_2026!$S$4:$S$77,0))&amp;"","")</f>
        <v/>
      </c>
    </row>
    <row r="26" customFormat="false" ht="14.25" hidden="false" customHeight="false" outlineLevel="0" collapsed="false">
      <c r="A26" s="10" t="n">
        <v>19</v>
      </c>
      <c r="B26" s="10" t="str">
        <f aca="false">IFERROR(INDEX(Base_OAPDI!$A$5:$A$187,MATCH($A26,Base_OAPDI!$U$5:$U$187,0)),"")</f>
        <v/>
      </c>
      <c r="C26" s="10" t="str">
        <f aca="false">IFERROR(INDEX(Base_OAPDI!$C$5:$C$187,MATCH($A26,Base_OAPDI!$U$5:$U$187,0)),"")</f>
        <v/>
      </c>
      <c r="D26" s="10" t="str">
        <f aca="false">IFERROR(INDEX(Base_OAPDI!$B$5:$B$187,MATCH($A26,Base_OAPDI!$U$5:$U$187,0)),"")</f>
        <v/>
      </c>
      <c r="E26" s="10" t="str">
        <f aca="false">IFERROR(INDEX(Base_OAPDI!$E$5:$E$187,MATCH($A26,Base_OAPDI!$U$5:$U$187,0)),"")</f>
        <v/>
      </c>
      <c r="F26" s="10" t="str">
        <f aca="false">IFERROR(INDEX(Base_OAPDI!$H$5:$H$187,MATCH($A26,Base_OAPDI!$U$5:$U$187,0)),"")</f>
        <v/>
      </c>
      <c r="G26" s="10" t="str">
        <f aca="false">IFERROR(INDEX(Base_OAPDI!$R$5:$R$187,MATCH($A26,Base_OAPDI!$U$5:$U$187,0)),"")</f>
        <v/>
      </c>
      <c r="H26" s="10" t="str">
        <f aca="false">IFERROR(INDEX(Base_OAPDI!$N$5:$N$187,MATCH($A26,Base_OAPDI!$U$5:$U$187,0)),"")</f>
        <v/>
      </c>
      <c r="I26" s="10" t="str">
        <f aca="false">IFERROR(INDEX(Base_OAPDI!$P$5:$P$187,MATCH($A26,Base_OAPDI!$U$5:$U$187,0)),"")</f>
        <v/>
      </c>
      <c r="J26" s="10" t="str">
        <f aca="false">IFERROR(INDEX(Base_OAPDI!$S$5:$S$187,MATCH($A26,Base_OAPDI!$U$5:$U$187,0)),"")</f>
        <v/>
      </c>
      <c r="K26" s="10" t="str">
        <f aca="false">IFERROR(INDEX(Base_OAPDI!$T$5:$T$187,MATCH($A26,Base_OAPDI!$U$5:$U$187,0)),"")</f>
        <v/>
      </c>
      <c r="L26" s="10" t="str">
        <f aca="false">IFERROR(INDEX(Base_OAPDI!$Q$5:$Q$187,MATCH($A26,Base_OAPDI!$U$5:$U$187,0)),"")</f>
        <v/>
      </c>
      <c r="N26" s="10" t="n">
        <v>19</v>
      </c>
      <c r="O26" s="10" t="str">
        <f aca="false">IFERROR(INDEX(Compromisos_2026!$A$4:$A$77,MATCH($N26,Compromisos_2026!$S$4:$S$77,0))&amp;"","")</f>
        <v/>
      </c>
      <c r="P26" s="10" t="str">
        <f aca="false">IFERROR(INDEX(Compromisos_2026!$B$4:$B$77,MATCH($N26,Compromisos_2026!$S$4:$S$77,0))&amp;"","")</f>
        <v/>
      </c>
      <c r="Q26" s="10" t="str">
        <f aca="false">IFERROR(INDEX(Compromisos_2026!$D$4:$D$77,MATCH($N26,Compromisos_2026!$S$4:$S$77,0))&amp;"","")</f>
        <v/>
      </c>
      <c r="R26" s="10" t="str">
        <f aca="false">IFERROR(INDEX(Compromisos_2026!$I$4:$I$77,MATCH($N26,Compromisos_2026!$S$4:$S$77,0))&amp;"","")</f>
        <v/>
      </c>
      <c r="S26" s="10" t="str">
        <f aca="false">IFERROR(INDEX(Compromisos_2026!$P$4:$P$77,MATCH($N26,Compromisos_2026!$S$4:$S$77,0))&amp;"","")</f>
        <v/>
      </c>
    </row>
    <row r="27" customFormat="false" ht="14.25" hidden="false" customHeight="false" outlineLevel="0" collapsed="false">
      <c r="A27" s="12" t="n">
        <v>20</v>
      </c>
      <c r="B27" s="12" t="str">
        <f aca="false">IFERROR(INDEX(Base_OAPDI!$A$5:$A$187,MATCH($A27,Base_OAPDI!$U$5:$U$187,0)),"")</f>
        <v/>
      </c>
      <c r="C27" s="12" t="str">
        <f aca="false">IFERROR(INDEX(Base_OAPDI!$C$5:$C$187,MATCH($A27,Base_OAPDI!$U$5:$U$187,0)),"")</f>
        <v/>
      </c>
      <c r="D27" s="12" t="str">
        <f aca="false">IFERROR(INDEX(Base_OAPDI!$B$5:$B$187,MATCH($A27,Base_OAPDI!$U$5:$U$187,0)),"")</f>
        <v/>
      </c>
      <c r="E27" s="12" t="str">
        <f aca="false">IFERROR(INDEX(Base_OAPDI!$E$5:$E$187,MATCH($A27,Base_OAPDI!$U$5:$U$187,0)),"")</f>
        <v/>
      </c>
      <c r="F27" s="12" t="str">
        <f aca="false">IFERROR(INDEX(Base_OAPDI!$H$5:$H$187,MATCH($A27,Base_OAPDI!$U$5:$U$187,0)),"")</f>
        <v/>
      </c>
      <c r="G27" s="12" t="str">
        <f aca="false">IFERROR(INDEX(Base_OAPDI!$R$5:$R$187,MATCH($A27,Base_OAPDI!$U$5:$U$187,0)),"")</f>
        <v/>
      </c>
      <c r="H27" s="12" t="str">
        <f aca="false">IFERROR(INDEX(Base_OAPDI!$N$5:$N$187,MATCH($A27,Base_OAPDI!$U$5:$U$187,0)),"")</f>
        <v/>
      </c>
      <c r="I27" s="12" t="str">
        <f aca="false">IFERROR(INDEX(Base_OAPDI!$P$5:$P$187,MATCH($A27,Base_OAPDI!$U$5:$U$187,0)),"")</f>
        <v/>
      </c>
      <c r="J27" s="12" t="str">
        <f aca="false">IFERROR(INDEX(Base_OAPDI!$S$5:$S$187,MATCH($A27,Base_OAPDI!$U$5:$U$187,0)),"")</f>
        <v/>
      </c>
      <c r="K27" s="12" t="str">
        <f aca="false">IFERROR(INDEX(Base_OAPDI!$T$5:$T$187,MATCH($A27,Base_OAPDI!$U$5:$U$187,0)),"")</f>
        <v/>
      </c>
      <c r="L27" s="12" t="str">
        <f aca="false">IFERROR(INDEX(Base_OAPDI!$Q$5:$Q$187,MATCH($A27,Base_OAPDI!$U$5:$U$187,0)),"")</f>
        <v/>
      </c>
      <c r="N27" s="12" t="n">
        <v>20</v>
      </c>
      <c r="O27" s="12" t="str">
        <f aca="false">IFERROR(INDEX(Compromisos_2026!$A$4:$A$77,MATCH($N27,Compromisos_2026!$S$4:$S$77,0))&amp;"","")</f>
        <v/>
      </c>
      <c r="P27" s="12" t="str">
        <f aca="false">IFERROR(INDEX(Compromisos_2026!$B$4:$B$77,MATCH($N27,Compromisos_2026!$S$4:$S$77,0))&amp;"","")</f>
        <v/>
      </c>
      <c r="Q27" s="12" t="str">
        <f aca="false">IFERROR(INDEX(Compromisos_2026!$D$4:$D$77,MATCH($N27,Compromisos_2026!$S$4:$S$77,0))&amp;"","")</f>
        <v/>
      </c>
      <c r="R27" s="12" t="str">
        <f aca="false">IFERROR(INDEX(Compromisos_2026!$I$4:$I$77,MATCH($N27,Compromisos_2026!$S$4:$S$77,0))&amp;"","")</f>
        <v/>
      </c>
      <c r="S27" s="12" t="str">
        <f aca="false">IFERROR(INDEX(Compromisos_2026!$P$4:$P$77,MATCH($N27,Compromisos_2026!$S$4:$S$77,0))&amp;"","")</f>
        <v/>
      </c>
    </row>
    <row r="28" customFormat="false" ht="14.25" hidden="false" customHeight="false" outlineLevel="0" collapsed="false">
      <c r="A28" s="10" t="n">
        <v>21</v>
      </c>
      <c r="B28" s="10" t="str">
        <f aca="false">IFERROR(INDEX(Base_OAPDI!$A$5:$A$187,MATCH($A28,Base_OAPDI!$U$5:$U$187,0)),"")</f>
        <v/>
      </c>
      <c r="C28" s="10" t="str">
        <f aca="false">IFERROR(INDEX(Base_OAPDI!$C$5:$C$187,MATCH($A28,Base_OAPDI!$U$5:$U$187,0)),"")</f>
        <v/>
      </c>
      <c r="D28" s="10" t="str">
        <f aca="false">IFERROR(INDEX(Base_OAPDI!$B$5:$B$187,MATCH($A28,Base_OAPDI!$U$5:$U$187,0)),"")</f>
        <v/>
      </c>
      <c r="E28" s="10" t="str">
        <f aca="false">IFERROR(INDEX(Base_OAPDI!$E$5:$E$187,MATCH($A28,Base_OAPDI!$U$5:$U$187,0)),"")</f>
        <v/>
      </c>
      <c r="F28" s="10" t="str">
        <f aca="false">IFERROR(INDEX(Base_OAPDI!$H$5:$H$187,MATCH($A28,Base_OAPDI!$U$5:$U$187,0)),"")</f>
        <v/>
      </c>
      <c r="G28" s="10" t="str">
        <f aca="false">IFERROR(INDEX(Base_OAPDI!$R$5:$R$187,MATCH($A28,Base_OAPDI!$U$5:$U$187,0)),"")</f>
        <v/>
      </c>
      <c r="H28" s="10" t="str">
        <f aca="false">IFERROR(INDEX(Base_OAPDI!$N$5:$N$187,MATCH($A28,Base_OAPDI!$U$5:$U$187,0)),"")</f>
        <v/>
      </c>
      <c r="I28" s="10" t="str">
        <f aca="false">IFERROR(INDEX(Base_OAPDI!$P$5:$P$187,MATCH($A28,Base_OAPDI!$U$5:$U$187,0)),"")</f>
        <v/>
      </c>
      <c r="J28" s="10" t="str">
        <f aca="false">IFERROR(INDEX(Base_OAPDI!$S$5:$S$187,MATCH($A28,Base_OAPDI!$U$5:$U$187,0)),"")</f>
        <v/>
      </c>
      <c r="K28" s="10" t="str">
        <f aca="false">IFERROR(INDEX(Base_OAPDI!$T$5:$T$187,MATCH($A28,Base_OAPDI!$U$5:$U$187,0)),"")</f>
        <v/>
      </c>
      <c r="L28" s="10" t="str">
        <f aca="false">IFERROR(INDEX(Base_OAPDI!$Q$5:$Q$187,MATCH($A28,Base_OAPDI!$U$5:$U$187,0)),"")</f>
        <v/>
      </c>
      <c r="N28" s="10" t="n">
        <v>21</v>
      </c>
      <c r="O28" s="10" t="str">
        <f aca="false">IFERROR(INDEX(Compromisos_2026!$A$4:$A$77,MATCH($N28,Compromisos_2026!$S$4:$S$77,0))&amp;"","")</f>
        <v/>
      </c>
      <c r="P28" s="10" t="str">
        <f aca="false">IFERROR(INDEX(Compromisos_2026!$B$4:$B$77,MATCH($N28,Compromisos_2026!$S$4:$S$77,0))&amp;"","")</f>
        <v/>
      </c>
      <c r="Q28" s="10" t="str">
        <f aca="false">IFERROR(INDEX(Compromisos_2026!$D$4:$D$77,MATCH($N28,Compromisos_2026!$S$4:$S$77,0))&amp;"","")</f>
        <v/>
      </c>
      <c r="R28" s="10" t="str">
        <f aca="false">IFERROR(INDEX(Compromisos_2026!$I$4:$I$77,MATCH($N28,Compromisos_2026!$S$4:$S$77,0))&amp;"","")</f>
        <v/>
      </c>
      <c r="S28" s="10" t="str">
        <f aca="false">IFERROR(INDEX(Compromisos_2026!$P$4:$P$77,MATCH($N28,Compromisos_2026!$S$4:$S$77,0))&amp;"","")</f>
        <v/>
      </c>
    </row>
    <row r="29" customFormat="false" ht="14.25" hidden="false" customHeight="false" outlineLevel="0" collapsed="false">
      <c r="A29" s="12" t="n">
        <v>22</v>
      </c>
      <c r="B29" s="12" t="str">
        <f aca="false">IFERROR(INDEX(Base_OAPDI!$A$5:$A$187,MATCH($A29,Base_OAPDI!$U$5:$U$187,0)),"")</f>
        <v/>
      </c>
      <c r="C29" s="12" t="str">
        <f aca="false">IFERROR(INDEX(Base_OAPDI!$C$5:$C$187,MATCH($A29,Base_OAPDI!$U$5:$U$187,0)),"")</f>
        <v/>
      </c>
      <c r="D29" s="12" t="str">
        <f aca="false">IFERROR(INDEX(Base_OAPDI!$B$5:$B$187,MATCH($A29,Base_OAPDI!$U$5:$U$187,0)),"")</f>
        <v/>
      </c>
      <c r="E29" s="12" t="str">
        <f aca="false">IFERROR(INDEX(Base_OAPDI!$E$5:$E$187,MATCH($A29,Base_OAPDI!$U$5:$U$187,0)),"")</f>
        <v/>
      </c>
      <c r="F29" s="12" t="str">
        <f aca="false">IFERROR(INDEX(Base_OAPDI!$H$5:$H$187,MATCH($A29,Base_OAPDI!$U$5:$U$187,0)),"")</f>
        <v/>
      </c>
      <c r="G29" s="12" t="str">
        <f aca="false">IFERROR(INDEX(Base_OAPDI!$R$5:$R$187,MATCH($A29,Base_OAPDI!$U$5:$U$187,0)),"")</f>
        <v/>
      </c>
      <c r="H29" s="12" t="str">
        <f aca="false">IFERROR(INDEX(Base_OAPDI!$N$5:$N$187,MATCH($A29,Base_OAPDI!$U$5:$U$187,0)),"")</f>
        <v/>
      </c>
      <c r="I29" s="12" t="str">
        <f aca="false">IFERROR(INDEX(Base_OAPDI!$P$5:$P$187,MATCH($A29,Base_OAPDI!$U$5:$U$187,0)),"")</f>
        <v/>
      </c>
      <c r="J29" s="12" t="str">
        <f aca="false">IFERROR(INDEX(Base_OAPDI!$S$5:$S$187,MATCH($A29,Base_OAPDI!$U$5:$U$187,0)),"")</f>
        <v/>
      </c>
      <c r="K29" s="12" t="str">
        <f aca="false">IFERROR(INDEX(Base_OAPDI!$T$5:$T$187,MATCH($A29,Base_OAPDI!$U$5:$U$187,0)),"")</f>
        <v/>
      </c>
      <c r="L29" s="12" t="str">
        <f aca="false">IFERROR(INDEX(Base_OAPDI!$Q$5:$Q$187,MATCH($A29,Base_OAPDI!$U$5:$U$187,0)),"")</f>
        <v/>
      </c>
      <c r="N29" s="12" t="n">
        <v>22</v>
      </c>
      <c r="O29" s="12" t="str">
        <f aca="false">IFERROR(INDEX(Compromisos_2026!$A$4:$A$77,MATCH($N29,Compromisos_2026!$S$4:$S$77,0))&amp;"","")</f>
        <v/>
      </c>
      <c r="P29" s="12" t="str">
        <f aca="false">IFERROR(INDEX(Compromisos_2026!$B$4:$B$77,MATCH($N29,Compromisos_2026!$S$4:$S$77,0))&amp;"","")</f>
        <v/>
      </c>
      <c r="Q29" s="12" t="str">
        <f aca="false">IFERROR(INDEX(Compromisos_2026!$D$4:$D$77,MATCH($N29,Compromisos_2026!$S$4:$S$77,0))&amp;"","")</f>
        <v/>
      </c>
      <c r="R29" s="12" t="str">
        <f aca="false">IFERROR(INDEX(Compromisos_2026!$I$4:$I$77,MATCH($N29,Compromisos_2026!$S$4:$S$77,0))&amp;"","")</f>
        <v/>
      </c>
      <c r="S29" s="12" t="str">
        <f aca="false">IFERROR(INDEX(Compromisos_2026!$P$4:$P$77,MATCH($N29,Compromisos_2026!$S$4:$S$77,0))&amp;"","")</f>
        <v/>
      </c>
    </row>
    <row r="30" customFormat="false" ht="14.25" hidden="false" customHeight="false" outlineLevel="0" collapsed="false">
      <c r="A30" s="10" t="n">
        <v>23</v>
      </c>
      <c r="B30" s="10" t="str">
        <f aca="false">IFERROR(INDEX(Base_OAPDI!$A$5:$A$187,MATCH($A30,Base_OAPDI!$U$5:$U$187,0)),"")</f>
        <v/>
      </c>
      <c r="C30" s="10" t="str">
        <f aca="false">IFERROR(INDEX(Base_OAPDI!$C$5:$C$187,MATCH($A30,Base_OAPDI!$U$5:$U$187,0)),"")</f>
        <v/>
      </c>
      <c r="D30" s="10" t="str">
        <f aca="false">IFERROR(INDEX(Base_OAPDI!$B$5:$B$187,MATCH($A30,Base_OAPDI!$U$5:$U$187,0)),"")</f>
        <v/>
      </c>
      <c r="E30" s="10" t="str">
        <f aca="false">IFERROR(INDEX(Base_OAPDI!$E$5:$E$187,MATCH($A30,Base_OAPDI!$U$5:$U$187,0)),"")</f>
        <v/>
      </c>
      <c r="F30" s="10" t="str">
        <f aca="false">IFERROR(INDEX(Base_OAPDI!$H$5:$H$187,MATCH($A30,Base_OAPDI!$U$5:$U$187,0)),"")</f>
        <v/>
      </c>
      <c r="G30" s="10" t="str">
        <f aca="false">IFERROR(INDEX(Base_OAPDI!$R$5:$R$187,MATCH($A30,Base_OAPDI!$U$5:$U$187,0)),"")</f>
        <v/>
      </c>
      <c r="H30" s="10" t="str">
        <f aca="false">IFERROR(INDEX(Base_OAPDI!$N$5:$N$187,MATCH($A30,Base_OAPDI!$U$5:$U$187,0)),"")</f>
        <v/>
      </c>
      <c r="I30" s="10" t="str">
        <f aca="false">IFERROR(INDEX(Base_OAPDI!$P$5:$P$187,MATCH($A30,Base_OAPDI!$U$5:$U$187,0)),"")</f>
        <v/>
      </c>
      <c r="J30" s="10" t="str">
        <f aca="false">IFERROR(INDEX(Base_OAPDI!$S$5:$S$187,MATCH($A30,Base_OAPDI!$U$5:$U$187,0)),"")</f>
        <v/>
      </c>
      <c r="K30" s="10" t="str">
        <f aca="false">IFERROR(INDEX(Base_OAPDI!$T$5:$T$187,MATCH($A30,Base_OAPDI!$U$5:$U$187,0)),"")</f>
        <v/>
      </c>
      <c r="L30" s="10" t="str">
        <f aca="false">IFERROR(INDEX(Base_OAPDI!$Q$5:$Q$187,MATCH($A30,Base_OAPDI!$U$5:$U$187,0)),"")</f>
        <v/>
      </c>
      <c r="N30" s="10" t="n">
        <v>23</v>
      </c>
      <c r="O30" s="10" t="str">
        <f aca="false">IFERROR(INDEX(Compromisos_2026!$A$4:$A$77,MATCH($N30,Compromisos_2026!$S$4:$S$77,0))&amp;"","")</f>
        <v/>
      </c>
      <c r="P30" s="10" t="str">
        <f aca="false">IFERROR(INDEX(Compromisos_2026!$B$4:$B$77,MATCH($N30,Compromisos_2026!$S$4:$S$77,0))&amp;"","")</f>
        <v/>
      </c>
      <c r="Q30" s="10" t="str">
        <f aca="false">IFERROR(INDEX(Compromisos_2026!$D$4:$D$77,MATCH($N30,Compromisos_2026!$S$4:$S$77,0))&amp;"","")</f>
        <v/>
      </c>
      <c r="R30" s="10" t="str">
        <f aca="false">IFERROR(INDEX(Compromisos_2026!$I$4:$I$77,MATCH($N30,Compromisos_2026!$S$4:$S$77,0))&amp;"","")</f>
        <v/>
      </c>
      <c r="S30" s="10" t="str">
        <f aca="false">IFERROR(INDEX(Compromisos_2026!$P$4:$P$77,MATCH($N30,Compromisos_2026!$S$4:$S$77,0))&amp;"","")</f>
        <v/>
      </c>
    </row>
    <row r="31" customFormat="false" ht="14.25" hidden="false" customHeight="false" outlineLevel="0" collapsed="false">
      <c r="A31" s="12" t="n">
        <v>24</v>
      </c>
      <c r="B31" s="12" t="str">
        <f aca="false">IFERROR(INDEX(Base_OAPDI!$A$5:$A$187,MATCH($A31,Base_OAPDI!$U$5:$U$187,0)),"")</f>
        <v/>
      </c>
      <c r="C31" s="12" t="str">
        <f aca="false">IFERROR(INDEX(Base_OAPDI!$C$5:$C$187,MATCH($A31,Base_OAPDI!$U$5:$U$187,0)),"")</f>
        <v/>
      </c>
      <c r="D31" s="12" t="str">
        <f aca="false">IFERROR(INDEX(Base_OAPDI!$B$5:$B$187,MATCH($A31,Base_OAPDI!$U$5:$U$187,0)),"")</f>
        <v/>
      </c>
      <c r="E31" s="12" t="str">
        <f aca="false">IFERROR(INDEX(Base_OAPDI!$E$5:$E$187,MATCH($A31,Base_OAPDI!$U$5:$U$187,0)),"")</f>
        <v/>
      </c>
      <c r="F31" s="12" t="str">
        <f aca="false">IFERROR(INDEX(Base_OAPDI!$H$5:$H$187,MATCH($A31,Base_OAPDI!$U$5:$U$187,0)),"")</f>
        <v/>
      </c>
      <c r="G31" s="12" t="str">
        <f aca="false">IFERROR(INDEX(Base_OAPDI!$R$5:$R$187,MATCH($A31,Base_OAPDI!$U$5:$U$187,0)),"")</f>
        <v/>
      </c>
      <c r="H31" s="12" t="str">
        <f aca="false">IFERROR(INDEX(Base_OAPDI!$N$5:$N$187,MATCH($A31,Base_OAPDI!$U$5:$U$187,0)),"")</f>
        <v/>
      </c>
      <c r="I31" s="12" t="str">
        <f aca="false">IFERROR(INDEX(Base_OAPDI!$P$5:$P$187,MATCH($A31,Base_OAPDI!$U$5:$U$187,0)),"")</f>
        <v/>
      </c>
      <c r="J31" s="12" t="str">
        <f aca="false">IFERROR(INDEX(Base_OAPDI!$S$5:$S$187,MATCH($A31,Base_OAPDI!$U$5:$U$187,0)),"")</f>
        <v/>
      </c>
      <c r="K31" s="12" t="str">
        <f aca="false">IFERROR(INDEX(Base_OAPDI!$T$5:$T$187,MATCH($A31,Base_OAPDI!$U$5:$U$187,0)),"")</f>
        <v/>
      </c>
      <c r="L31" s="12" t="str">
        <f aca="false">IFERROR(INDEX(Base_OAPDI!$Q$5:$Q$187,MATCH($A31,Base_OAPDI!$U$5:$U$187,0)),"")</f>
        <v/>
      </c>
      <c r="N31" s="12" t="n">
        <v>24</v>
      </c>
      <c r="O31" s="12" t="str">
        <f aca="false">IFERROR(INDEX(Compromisos_2026!$A$4:$A$77,MATCH($N31,Compromisos_2026!$S$4:$S$77,0))&amp;"","")</f>
        <v/>
      </c>
      <c r="P31" s="12" t="str">
        <f aca="false">IFERROR(INDEX(Compromisos_2026!$B$4:$B$77,MATCH($N31,Compromisos_2026!$S$4:$S$77,0))&amp;"","")</f>
        <v/>
      </c>
      <c r="Q31" s="12" t="str">
        <f aca="false">IFERROR(INDEX(Compromisos_2026!$D$4:$D$77,MATCH($N31,Compromisos_2026!$S$4:$S$77,0))&amp;"","")</f>
        <v/>
      </c>
      <c r="R31" s="12" t="str">
        <f aca="false">IFERROR(INDEX(Compromisos_2026!$I$4:$I$77,MATCH($N31,Compromisos_2026!$S$4:$S$77,0))&amp;"","")</f>
        <v/>
      </c>
      <c r="S31" s="12" t="str">
        <f aca="false">IFERROR(INDEX(Compromisos_2026!$P$4:$P$77,MATCH($N31,Compromisos_2026!$S$4:$S$77,0))&amp;"","")</f>
        <v/>
      </c>
    </row>
    <row r="32" customFormat="false" ht="14.25" hidden="false" customHeight="false" outlineLevel="0" collapsed="false">
      <c r="A32" s="10" t="n">
        <v>25</v>
      </c>
      <c r="B32" s="10" t="str">
        <f aca="false">IFERROR(INDEX(Base_OAPDI!$A$5:$A$187,MATCH($A32,Base_OAPDI!$U$5:$U$187,0)),"")</f>
        <v/>
      </c>
      <c r="C32" s="10" t="str">
        <f aca="false">IFERROR(INDEX(Base_OAPDI!$C$5:$C$187,MATCH($A32,Base_OAPDI!$U$5:$U$187,0)),"")</f>
        <v/>
      </c>
      <c r="D32" s="10" t="str">
        <f aca="false">IFERROR(INDEX(Base_OAPDI!$B$5:$B$187,MATCH($A32,Base_OAPDI!$U$5:$U$187,0)),"")</f>
        <v/>
      </c>
      <c r="E32" s="10" t="str">
        <f aca="false">IFERROR(INDEX(Base_OAPDI!$E$5:$E$187,MATCH($A32,Base_OAPDI!$U$5:$U$187,0)),"")</f>
        <v/>
      </c>
      <c r="F32" s="10" t="str">
        <f aca="false">IFERROR(INDEX(Base_OAPDI!$H$5:$H$187,MATCH($A32,Base_OAPDI!$U$5:$U$187,0)),"")</f>
        <v/>
      </c>
      <c r="G32" s="10" t="str">
        <f aca="false">IFERROR(INDEX(Base_OAPDI!$R$5:$R$187,MATCH($A32,Base_OAPDI!$U$5:$U$187,0)),"")</f>
        <v/>
      </c>
      <c r="H32" s="10" t="str">
        <f aca="false">IFERROR(INDEX(Base_OAPDI!$N$5:$N$187,MATCH($A32,Base_OAPDI!$U$5:$U$187,0)),"")</f>
        <v/>
      </c>
      <c r="I32" s="10" t="str">
        <f aca="false">IFERROR(INDEX(Base_OAPDI!$P$5:$P$187,MATCH($A32,Base_OAPDI!$U$5:$U$187,0)),"")</f>
        <v/>
      </c>
      <c r="J32" s="10" t="str">
        <f aca="false">IFERROR(INDEX(Base_OAPDI!$S$5:$S$187,MATCH($A32,Base_OAPDI!$U$5:$U$187,0)),"")</f>
        <v/>
      </c>
      <c r="K32" s="10" t="str">
        <f aca="false">IFERROR(INDEX(Base_OAPDI!$T$5:$T$187,MATCH($A32,Base_OAPDI!$U$5:$U$187,0)),"")</f>
        <v/>
      </c>
      <c r="L32" s="10" t="str">
        <f aca="false">IFERROR(INDEX(Base_OAPDI!$Q$5:$Q$187,MATCH($A32,Base_OAPDI!$U$5:$U$187,0)),"")</f>
        <v/>
      </c>
      <c r="N32" s="10" t="n">
        <v>25</v>
      </c>
      <c r="O32" s="10" t="str">
        <f aca="false">IFERROR(INDEX(Compromisos_2026!$A$4:$A$77,MATCH($N32,Compromisos_2026!$S$4:$S$77,0))&amp;"","")</f>
        <v/>
      </c>
      <c r="P32" s="10" t="str">
        <f aca="false">IFERROR(INDEX(Compromisos_2026!$B$4:$B$77,MATCH($N32,Compromisos_2026!$S$4:$S$77,0))&amp;"","")</f>
        <v/>
      </c>
      <c r="Q32" s="10" t="str">
        <f aca="false">IFERROR(INDEX(Compromisos_2026!$D$4:$D$77,MATCH($N32,Compromisos_2026!$S$4:$S$77,0))&amp;"","")</f>
        <v/>
      </c>
      <c r="R32" s="10" t="str">
        <f aca="false">IFERROR(INDEX(Compromisos_2026!$I$4:$I$77,MATCH($N32,Compromisos_2026!$S$4:$S$77,0))&amp;"","")</f>
        <v/>
      </c>
      <c r="S32" s="10" t="str">
        <f aca="false">IFERROR(INDEX(Compromisos_2026!$P$4:$P$77,MATCH($N32,Compromisos_2026!$S$4:$S$77,0))&amp;"","")</f>
        <v/>
      </c>
    </row>
    <row r="33" customFormat="false" ht="14.25" hidden="false" customHeight="false" outlineLevel="0" collapsed="false">
      <c r="A33" s="12" t="n">
        <v>26</v>
      </c>
      <c r="B33" s="12" t="str">
        <f aca="false">IFERROR(INDEX(Base_OAPDI!$A$5:$A$187,MATCH($A33,Base_OAPDI!$U$5:$U$187,0)),"")</f>
        <v/>
      </c>
      <c r="C33" s="12" t="str">
        <f aca="false">IFERROR(INDEX(Base_OAPDI!$C$5:$C$187,MATCH($A33,Base_OAPDI!$U$5:$U$187,0)),"")</f>
        <v/>
      </c>
      <c r="D33" s="12" t="str">
        <f aca="false">IFERROR(INDEX(Base_OAPDI!$B$5:$B$187,MATCH($A33,Base_OAPDI!$U$5:$U$187,0)),"")</f>
        <v/>
      </c>
      <c r="E33" s="12" t="str">
        <f aca="false">IFERROR(INDEX(Base_OAPDI!$E$5:$E$187,MATCH($A33,Base_OAPDI!$U$5:$U$187,0)),"")</f>
        <v/>
      </c>
      <c r="F33" s="12" t="str">
        <f aca="false">IFERROR(INDEX(Base_OAPDI!$H$5:$H$187,MATCH($A33,Base_OAPDI!$U$5:$U$187,0)),"")</f>
        <v/>
      </c>
      <c r="G33" s="12" t="str">
        <f aca="false">IFERROR(INDEX(Base_OAPDI!$R$5:$R$187,MATCH($A33,Base_OAPDI!$U$5:$U$187,0)),"")</f>
        <v/>
      </c>
      <c r="H33" s="12" t="str">
        <f aca="false">IFERROR(INDEX(Base_OAPDI!$N$5:$N$187,MATCH($A33,Base_OAPDI!$U$5:$U$187,0)),"")</f>
        <v/>
      </c>
      <c r="I33" s="12" t="str">
        <f aca="false">IFERROR(INDEX(Base_OAPDI!$P$5:$P$187,MATCH($A33,Base_OAPDI!$U$5:$U$187,0)),"")</f>
        <v/>
      </c>
      <c r="J33" s="12" t="str">
        <f aca="false">IFERROR(INDEX(Base_OAPDI!$S$5:$S$187,MATCH($A33,Base_OAPDI!$U$5:$U$187,0)),"")</f>
        <v/>
      </c>
      <c r="K33" s="12" t="str">
        <f aca="false">IFERROR(INDEX(Base_OAPDI!$T$5:$T$187,MATCH($A33,Base_OAPDI!$U$5:$U$187,0)),"")</f>
        <v/>
      </c>
      <c r="L33" s="12" t="str">
        <f aca="false">IFERROR(INDEX(Base_OAPDI!$Q$5:$Q$187,MATCH($A33,Base_OAPDI!$U$5:$U$187,0)),"")</f>
        <v/>
      </c>
      <c r="N33" s="15" t="s">
        <v>564</v>
      </c>
    </row>
    <row r="34" customFormat="false" ht="14.25" hidden="false" customHeight="false" outlineLevel="0" collapsed="false">
      <c r="A34" s="10" t="n">
        <v>27</v>
      </c>
      <c r="B34" s="10" t="str">
        <f aca="false">IFERROR(INDEX(Base_OAPDI!$A$5:$A$187,MATCH($A34,Base_OAPDI!$U$5:$U$187,0)),"")</f>
        <v/>
      </c>
      <c r="C34" s="10" t="str">
        <f aca="false">IFERROR(INDEX(Base_OAPDI!$C$5:$C$187,MATCH($A34,Base_OAPDI!$U$5:$U$187,0)),"")</f>
        <v/>
      </c>
      <c r="D34" s="10" t="str">
        <f aca="false">IFERROR(INDEX(Base_OAPDI!$B$5:$B$187,MATCH($A34,Base_OAPDI!$U$5:$U$187,0)),"")</f>
        <v/>
      </c>
      <c r="E34" s="10" t="str">
        <f aca="false">IFERROR(INDEX(Base_OAPDI!$E$5:$E$187,MATCH($A34,Base_OAPDI!$U$5:$U$187,0)),"")</f>
        <v/>
      </c>
      <c r="F34" s="10" t="str">
        <f aca="false">IFERROR(INDEX(Base_OAPDI!$H$5:$H$187,MATCH($A34,Base_OAPDI!$U$5:$U$187,0)),"")</f>
        <v/>
      </c>
      <c r="G34" s="10" t="str">
        <f aca="false">IFERROR(INDEX(Base_OAPDI!$R$5:$R$187,MATCH($A34,Base_OAPDI!$U$5:$U$187,0)),"")</f>
        <v/>
      </c>
      <c r="H34" s="10" t="str">
        <f aca="false">IFERROR(INDEX(Base_OAPDI!$N$5:$N$187,MATCH($A34,Base_OAPDI!$U$5:$U$187,0)),"")</f>
        <v/>
      </c>
      <c r="I34" s="10" t="str">
        <f aca="false">IFERROR(INDEX(Base_OAPDI!$P$5:$P$187,MATCH($A34,Base_OAPDI!$U$5:$U$187,0)),"")</f>
        <v/>
      </c>
      <c r="J34" s="10" t="str">
        <f aca="false">IFERROR(INDEX(Base_OAPDI!$S$5:$S$187,MATCH($A34,Base_OAPDI!$U$5:$U$187,0)),"")</f>
        <v/>
      </c>
      <c r="K34" s="10" t="str">
        <f aca="false">IFERROR(INDEX(Base_OAPDI!$T$5:$T$187,MATCH($A34,Base_OAPDI!$U$5:$U$187,0)),"")</f>
        <v/>
      </c>
      <c r="L34" s="10" t="str">
        <f aca="false">IFERROR(INDEX(Base_OAPDI!$Q$5:$Q$187,MATCH($A34,Base_OAPDI!$U$5:$U$187,0)),"")</f>
        <v/>
      </c>
    </row>
    <row r="35" customFormat="false" ht="14.25" hidden="false" customHeight="false" outlineLevel="0" collapsed="false">
      <c r="A35" s="12" t="n">
        <v>28</v>
      </c>
      <c r="B35" s="12" t="str">
        <f aca="false">IFERROR(INDEX(Base_OAPDI!$A$5:$A$187,MATCH($A35,Base_OAPDI!$U$5:$U$187,0)),"")</f>
        <v/>
      </c>
      <c r="C35" s="12" t="str">
        <f aca="false">IFERROR(INDEX(Base_OAPDI!$C$5:$C$187,MATCH($A35,Base_OAPDI!$U$5:$U$187,0)),"")</f>
        <v/>
      </c>
      <c r="D35" s="12" t="str">
        <f aca="false">IFERROR(INDEX(Base_OAPDI!$B$5:$B$187,MATCH($A35,Base_OAPDI!$U$5:$U$187,0)),"")</f>
        <v/>
      </c>
      <c r="E35" s="12" t="str">
        <f aca="false">IFERROR(INDEX(Base_OAPDI!$E$5:$E$187,MATCH($A35,Base_OAPDI!$U$5:$U$187,0)),"")</f>
        <v/>
      </c>
      <c r="F35" s="12" t="str">
        <f aca="false">IFERROR(INDEX(Base_OAPDI!$H$5:$H$187,MATCH($A35,Base_OAPDI!$U$5:$U$187,0)),"")</f>
        <v/>
      </c>
      <c r="G35" s="12" t="str">
        <f aca="false">IFERROR(INDEX(Base_OAPDI!$R$5:$R$187,MATCH($A35,Base_OAPDI!$U$5:$U$187,0)),"")</f>
        <v/>
      </c>
      <c r="H35" s="12" t="str">
        <f aca="false">IFERROR(INDEX(Base_OAPDI!$N$5:$N$187,MATCH($A35,Base_OAPDI!$U$5:$U$187,0)),"")</f>
        <v/>
      </c>
      <c r="I35" s="12" t="str">
        <f aca="false">IFERROR(INDEX(Base_OAPDI!$P$5:$P$187,MATCH($A35,Base_OAPDI!$U$5:$U$187,0)),"")</f>
        <v/>
      </c>
      <c r="J35" s="12" t="str">
        <f aca="false">IFERROR(INDEX(Base_OAPDI!$S$5:$S$187,MATCH($A35,Base_OAPDI!$U$5:$U$187,0)),"")</f>
        <v/>
      </c>
      <c r="K35" s="12" t="str">
        <f aca="false">IFERROR(INDEX(Base_OAPDI!$T$5:$T$187,MATCH($A35,Base_OAPDI!$U$5:$U$187,0)),"")</f>
        <v/>
      </c>
      <c r="L35" s="12" t="str">
        <f aca="false">IFERROR(INDEX(Base_OAPDI!$Q$5:$Q$187,MATCH($A35,Base_OAPDI!$U$5:$U$187,0)),"")</f>
        <v/>
      </c>
    </row>
    <row r="36" customFormat="false" ht="14.25" hidden="false" customHeight="false" outlineLevel="0" collapsed="false">
      <c r="A36" s="10" t="n">
        <v>29</v>
      </c>
      <c r="B36" s="10" t="str">
        <f aca="false">IFERROR(INDEX(Base_OAPDI!$A$5:$A$187,MATCH($A36,Base_OAPDI!$U$5:$U$187,0)),"")</f>
        <v/>
      </c>
      <c r="C36" s="10" t="str">
        <f aca="false">IFERROR(INDEX(Base_OAPDI!$C$5:$C$187,MATCH($A36,Base_OAPDI!$U$5:$U$187,0)),"")</f>
        <v/>
      </c>
      <c r="D36" s="10" t="str">
        <f aca="false">IFERROR(INDEX(Base_OAPDI!$B$5:$B$187,MATCH($A36,Base_OAPDI!$U$5:$U$187,0)),"")</f>
        <v/>
      </c>
      <c r="E36" s="10" t="str">
        <f aca="false">IFERROR(INDEX(Base_OAPDI!$E$5:$E$187,MATCH($A36,Base_OAPDI!$U$5:$U$187,0)),"")</f>
        <v/>
      </c>
      <c r="F36" s="10" t="str">
        <f aca="false">IFERROR(INDEX(Base_OAPDI!$H$5:$H$187,MATCH($A36,Base_OAPDI!$U$5:$U$187,0)),"")</f>
        <v/>
      </c>
      <c r="G36" s="10" t="str">
        <f aca="false">IFERROR(INDEX(Base_OAPDI!$R$5:$R$187,MATCH($A36,Base_OAPDI!$U$5:$U$187,0)),"")</f>
        <v/>
      </c>
      <c r="H36" s="10" t="str">
        <f aca="false">IFERROR(INDEX(Base_OAPDI!$N$5:$N$187,MATCH($A36,Base_OAPDI!$U$5:$U$187,0)),"")</f>
        <v/>
      </c>
      <c r="I36" s="10" t="str">
        <f aca="false">IFERROR(INDEX(Base_OAPDI!$P$5:$P$187,MATCH($A36,Base_OAPDI!$U$5:$U$187,0)),"")</f>
        <v/>
      </c>
      <c r="J36" s="10" t="str">
        <f aca="false">IFERROR(INDEX(Base_OAPDI!$S$5:$S$187,MATCH($A36,Base_OAPDI!$U$5:$U$187,0)),"")</f>
        <v/>
      </c>
      <c r="K36" s="10" t="str">
        <f aca="false">IFERROR(INDEX(Base_OAPDI!$T$5:$T$187,MATCH($A36,Base_OAPDI!$U$5:$U$187,0)),"")</f>
        <v/>
      </c>
      <c r="L36" s="10" t="str">
        <f aca="false">IFERROR(INDEX(Base_OAPDI!$Q$5:$Q$187,MATCH($A36,Base_OAPDI!$U$5:$U$187,0)),"")</f>
        <v/>
      </c>
    </row>
    <row r="37" customFormat="false" ht="14.25" hidden="false" customHeight="false" outlineLevel="0" collapsed="false">
      <c r="A37" s="12" t="n">
        <v>30</v>
      </c>
      <c r="B37" s="12" t="str">
        <f aca="false">IFERROR(INDEX(Base_OAPDI!$A$5:$A$187,MATCH($A37,Base_OAPDI!$U$5:$U$187,0)),"")</f>
        <v/>
      </c>
      <c r="C37" s="12" t="str">
        <f aca="false">IFERROR(INDEX(Base_OAPDI!$C$5:$C$187,MATCH($A37,Base_OAPDI!$U$5:$U$187,0)),"")</f>
        <v/>
      </c>
      <c r="D37" s="12" t="str">
        <f aca="false">IFERROR(INDEX(Base_OAPDI!$B$5:$B$187,MATCH($A37,Base_OAPDI!$U$5:$U$187,0)),"")</f>
        <v/>
      </c>
      <c r="E37" s="12" t="str">
        <f aca="false">IFERROR(INDEX(Base_OAPDI!$E$5:$E$187,MATCH($A37,Base_OAPDI!$U$5:$U$187,0)),"")</f>
        <v/>
      </c>
      <c r="F37" s="12" t="str">
        <f aca="false">IFERROR(INDEX(Base_OAPDI!$H$5:$H$187,MATCH($A37,Base_OAPDI!$U$5:$U$187,0)),"")</f>
        <v/>
      </c>
      <c r="G37" s="12" t="str">
        <f aca="false">IFERROR(INDEX(Base_OAPDI!$R$5:$R$187,MATCH($A37,Base_OAPDI!$U$5:$U$187,0)),"")</f>
        <v/>
      </c>
      <c r="H37" s="12" t="str">
        <f aca="false">IFERROR(INDEX(Base_OAPDI!$N$5:$N$187,MATCH($A37,Base_OAPDI!$U$5:$U$187,0)),"")</f>
        <v/>
      </c>
      <c r="I37" s="12" t="str">
        <f aca="false">IFERROR(INDEX(Base_OAPDI!$P$5:$P$187,MATCH($A37,Base_OAPDI!$U$5:$U$187,0)),"")</f>
        <v/>
      </c>
      <c r="J37" s="12" t="str">
        <f aca="false">IFERROR(INDEX(Base_OAPDI!$S$5:$S$187,MATCH($A37,Base_OAPDI!$U$5:$U$187,0)),"")</f>
        <v/>
      </c>
      <c r="K37" s="12" t="str">
        <f aca="false">IFERROR(INDEX(Base_OAPDI!$T$5:$T$187,MATCH($A37,Base_OAPDI!$U$5:$U$187,0)),"")</f>
        <v/>
      </c>
      <c r="L37" s="12" t="str">
        <f aca="false">IFERROR(INDEX(Base_OAPDI!$Q$5:$Q$187,MATCH($A37,Base_OAPDI!$U$5:$U$187,0)),"")</f>
        <v/>
      </c>
    </row>
    <row r="38" customFormat="false" ht="14.25" hidden="false" customHeight="false" outlineLevel="0" collapsed="false">
      <c r="A38" s="10" t="n">
        <v>31</v>
      </c>
      <c r="B38" s="10" t="str">
        <f aca="false">IFERROR(INDEX(Base_OAPDI!$A$5:$A$187,MATCH($A38,Base_OAPDI!$U$5:$U$187,0)),"")</f>
        <v/>
      </c>
      <c r="C38" s="10" t="str">
        <f aca="false">IFERROR(INDEX(Base_OAPDI!$C$5:$C$187,MATCH($A38,Base_OAPDI!$U$5:$U$187,0)),"")</f>
        <v/>
      </c>
      <c r="D38" s="10" t="str">
        <f aca="false">IFERROR(INDEX(Base_OAPDI!$B$5:$B$187,MATCH($A38,Base_OAPDI!$U$5:$U$187,0)),"")</f>
        <v/>
      </c>
      <c r="E38" s="10" t="str">
        <f aca="false">IFERROR(INDEX(Base_OAPDI!$E$5:$E$187,MATCH($A38,Base_OAPDI!$U$5:$U$187,0)),"")</f>
        <v/>
      </c>
      <c r="F38" s="10" t="str">
        <f aca="false">IFERROR(INDEX(Base_OAPDI!$H$5:$H$187,MATCH($A38,Base_OAPDI!$U$5:$U$187,0)),"")</f>
        <v/>
      </c>
      <c r="G38" s="10" t="str">
        <f aca="false">IFERROR(INDEX(Base_OAPDI!$R$5:$R$187,MATCH($A38,Base_OAPDI!$U$5:$U$187,0)),"")</f>
        <v/>
      </c>
      <c r="H38" s="10" t="str">
        <f aca="false">IFERROR(INDEX(Base_OAPDI!$N$5:$N$187,MATCH($A38,Base_OAPDI!$U$5:$U$187,0)),"")</f>
        <v/>
      </c>
      <c r="I38" s="10" t="str">
        <f aca="false">IFERROR(INDEX(Base_OAPDI!$P$5:$P$187,MATCH($A38,Base_OAPDI!$U$5:$U$187,0)),"")</f>
        <v/>
      </c>
      <c r="J38" s="10" t="str">
        <f aca="false">IFERROR(INDEX(Base_OAPDI!$S$5:$S$187,MATCH($A38,Base_OAPDI!$U$5:$U$187,0)),"")</f>
        <v/>
      </c>
      <c r="K38" s="10" t="str">
        <f aca="false">IFERROR(INDEX(Base_OAPDI!$T$5:$T$187,MATCH($A38,Base_OAPDI!$U$5:$U$187,0)),"")</f>
        <v/>
      </c>
      <c r="L38" s="10" t="str">
        <f aca="false">IFERROR(INDEX(Base_OAPDI!$Q$5:$Q$187,MATCH($A38,Base_OAPDI!$U$5:$U$187,0)),"")</f>
        <v/>
      </c>
    </row>
    <row r="39" customFormat="false" ht="14.25" hidden="false" customHeight="false" outlineLevel="0" collapsed="false">
      <c r="A39" s="12" t="n">
        <v>32</v>
      </c>
      <c r="B39" s="12" t="str">
        <f aca="false">IFERROR(INDEX(Base_OAPDI!$A$5:$A$187,MATCH($A39,Base_OAPDI!$U$5:$U$187,0)),"")</f>
        <v/>
      </c>
      <c r="C39" s="12" t="str">
        <f aca="false">IFERROR(INDEX(Base_OAPDI!$C$5:$C$187,MATCH($A39,Base_OAPDI!$U$5:$U$187,0)),"")</f>
        <v/>
      </c>
      <c r="D39" s="12" t="str">
        <f aca="false">IFERROR(INDEX(Base_OAPDI!$B$5:$B$187,MATCH($A39,Base_OAPDI!$U$5:$U$187,0)),"")</f>
        <v/>
      </c>
      <c r="E39" s="12" t="str">
        <f aca="false">IFERROR(INDEX(Base_OAPDI!$E$5:$E$187,MATCH($A39,Base_OAPDI!$U$5:$U$187,0)),"")</f>
        <v/>
      </c>
      <c r="F39" s="12" t="str">
        <f aca="false">IFERROR(INDEX(Base_OAPDI!$H$5:$H$187,MATCH($A39,Base_OAPDI!$U$5:$U$187,0)),"")</f>
        <v/>
      </c>
      <c r="G39" s="12" t="str">
        <f aca="false">IFERROR(INDEX(Base_OAPDI!$R$5:$R$187,MATCH($A39,Base_OAPDI!$U$5:$U$187,0)),"")</f>
        <v/>
      </c>
      <c r="H39" s="12" t="str">
        <f aca="false">IFERROR(INDEX(Base_OAPDI!$N$5:$N$187,MATCH($A39,Base_OAPDI!$U$5:$U$187,0)),"")</f>
        <v/>
      </c>
      <c r="I39" s="12" t="str">
        <f aca="false">IFERROR(INDEX(Base_OAPDI!$P$5:$P$187,MATCH($A39,Base_OAPDI!$U$5:$U$187,0)),"")</f>
        <v/>
      </c>
      <c r="J39" s="12" t="str">
        <f aca="false">IFERROR(INDEX(Base_OAPDI!$S$5:$S$187,MATCH($A39,Base_OAPDI!$U$5:$U$187,0)),"")</f>
        <v/>
      </c>
      <c r="K39" s="12" t="str">
        <f aca="false">IFERROR(INDEX(Base_OAPDI!$T$5:$T$187,MATCH($A39,Base_OAPDI!$U$5:$U$187,0)),"")</f>
        <v/>
      </c>
      <c r="L39" s="12" t="str">
        <f aca="false">IFERROR(INDEX(Base_OAPDI!$Q$5:$Q$187,MATCH($A39,Base_OAPDI!$U$5:$U$187,0)),"")</f>
        <v/>
      </c>
    </row>
    <row r="40" customFormat="false" ht="14.25" hidden="false" customHeight="false" outlineLevel="0" collapsed="false">
      <c r="A40" s="10" t="n">
        <v>33</v>
      </c>
      <c r="B40" s="10" t="str">
        <f aca="false">IFERROR(INDEX(Base_OAPDI!$A$5:$A$187,MATCH($A40,Base_OAPDI!$U$5:$U$187,0)),"")</f>
        <v/>
      </c>
      <c r="C40" s="10" t="str">
        <f aca="false">IFERROR(INDEX(Base_OAPDI!$C$5:$C$187,MATCH($A40,Base_OAPDI!$U$5:$U$187,0)),"")</f>
        <v/>
      </c>
      <c r="D40" s="10" t="str">
        <f aca="false">IFERROR(INDEX(Base_OAPDI!$B$5:$B$187,MATCH($A40,Base_OAPDI!$U$5:$U$187,0)),"")</f>
        <v/>
      </c>
      <c r="E40" s="10" t="str">
        <f aca="false">IFERROR(INDEX(Base_OAPDI!$E$5:$E$187,MATCH($A40,Base_OAPDI!$U$5:$U$187,0)),"")</f>
        <v/>
      </c>
      <c r="F40" s="10" t="str">
        <f aca="false">IFERROR(INDEX(Base_OAPDI!$H$5:$H$187,MATCH($A40,Base_OAPDI!$U$5:$U$187,0)),"")</f>
        <v/>
      </c>
      <c r="G40" s="10" t="str">
        <f aca="false">IFERROR(INDEX(Base_OAPDI!$R$5:$R$187,MATCH($A40,Base_OAPDI!$U$5:$U$187,0)),"")</f>
        <v/>
      </c>
      <c r="H40" s="10" t="str">
        <f aca="false">IFERROR(INDEX(Base_OAPDI!$N$5:$N$187,MATCH($A40,Base_OAPDI!$U$5:$U$187,0)),"")</f>
        <v/>
      </c>
      <c r="I40" s="10" t="str">
        <f aca="false">IFERROR(INDEX(Base_OAPDI!$P$5:$P$187,MATCH($A40,Base_OAPDI!$U$5:$U$187,0)),"")</f>
        <v/>
      </c>
      <c r="J40" s="10" t="str">
        <f aca="false">IFERROR(INDEX(Base_OAPDI!$S$5:$S$187,MATCH($A40,Base_OAPDI!$U$5:$U$187,0)),"")</f>
        <v/>
      </c>
      <c r="K40" s="10" t="str">
        <f aca="false">IFERROR(INDEX(Base_OAPDI!$T$5:$T$187,MATCH($A40,Base_OAPDI!$U$5:$U$187,0)),"")</f>
        <v/>
      </c>
      <c r="L40" s="10" t="str">
        <f aca="false">IFERROR(INDEX(Base_OAPDI!$Q$5:$Q$187,MATCH($A40,Base_OAPDI!$U$5:$U$187,0)),"")</f>
        <v/>
      </c>
    </row>
    <row r="41" customFormat="false" ht="14.25" hidden="false" customHeight="false" outlineLevel="0" collapsed="false">
      <c r="A41" s="12" t="n">
        <v>34</v>
      </c>
      <c r="B41" s="12" t="str">
        <f aca="false">IFERROR(INDEX(Base_OAPDI!$A$5:$A$187,MATCH($A41,Base_OAPDI!$U$5:$U$187,0)),"")</f>
        <v/>
      </c>
      <c r="C41" s="12" t="str">
        <f aca="false">IFERROR(INDEX(Base_OAPDI!$C$5:$C$187,MATCH($A41,Base_OAPDI!$U$5:$U$187,0)),"")</f>
        <v/>
      </c>
      <c r="D41" s="12" t="str">
        <f aca="false">IFERROR(INDEX(Base_OAPDI!$B$5:$B$187,MATCH($A41,Base_OAPDI!$U$5:$U$187,0)),"")</f>
        <v/>
      </c>
      <c r="E41" s="12" t="str">
        <f aca="false">IFERROR(INDEX(Base_OAPDI!$E$5:$E$187,MATCH($A41,Base_OAPDI!$U$5:$U$187,0)),"")</f>
        <v/>
      </c>
      <c r="F41" s="12" t="str">
        <f aca="false">IFERROR(INDEX(Base_OAPDI!$H$5:$H$187,MATCH($A41,Base_OAPDI!$U$5:$U$187,0)),"")</f>
        <v/>
      </c>
      <c r="G41" s="12" t="str">
        <f aca="false">IFERROR(INDEX(Base_OAPDI!$R$5:$R$187,MATCH($A41,Base_OAPDI!$U$5:$U$187,0)),"")</f>
        <v/>
      </c>
      <c r="H41" s="12" t="str">
        <f aca="false">IFERROR(INDEX(Base_OAPDI!$N$5:$N$187,MATCH($A41,Base_OAPDI!$U$5:$U$187,0)),"")</f>
        <v/>
      </c>
      <c r="I41" s="12" t="str">
        <f aca="false">IFERROR(INDEX(Base_OAPDI!$P$5:$P$187,MATCH($A41,Base_OAPDI!$U$5:$U$187,0)),"")</f>
        <v/>
      </c>
      <c r="J41" s="12" t="str">
        <f aca="false">IFERROR(INDEX(Base_OAPDI!$S$5:$S$187,MATCH($A41,Base_OAPDI!$U$5:$U$187,0)),"")</f>
        <v/>
      </c>
      <c r="K41" s="12" t="str">
        <f aca="false">IFERROR(INDEX(Base_OAPDI!$T$5:$T$187,MATCH($A41,Base_OAPDI!$U$5:$U$187,0)),"")</f>
        <v/>
      </c>
      <c r="L41" s="12" t="str">
        <f aca="false">IFERROR(INDEX(Base_OAPDI!$Q$5:$Q$187,MATCH($A41,Base_OAPDI!$U$5:$U$187,0)),"")</f>
        <v/>
      </c>
    </row>
    <row r="42" customFormat="false" ht="14.25" hidden="false" customHeight="false" outlineLevel="0" collapsed="false">
      <c r="A42" s="10" t="n">
        <v>35</v>
      </c>
      <c r="B42" s="10" t="str">
        <f aca="false">IFERROR(INDEX(Base_OAPDI!$A$5:$A$187,MATCH($A42,Base_OAPDI!$U$5:$U$187,0)),"")</f>
        <v/>
      </c>
      <c r="C42" s="10" t="str">
        <f aca="false">IFERROR(INDEX(Base_OAPDI!$C$5:$C$187,MATCH($A42,Base_OAPDI!$U$5:$U$187,0)),"")</f>
        <v/>
      </c>
      <c r="D42" s="10" t="str">
        <f aca="false">IFERROR(INDEX(Base_OAPDI!$B$5:$B$187,MATCH($A42,Base_OAPDI!$U$5:$U$187,0)),"")</f>
        <v/>
      </c>
      <c r="E42" s="10" t="str">
        <f aca="false">IFERROR(INDEX(Base_OAPDI!$E$5:$E$187,MATCH($A42,Base_OAPDI!$U$5:$U$187,0)),"")</f>
        <v/>
      </c>
      <c r="F42" s="10" t="str">
        <f aca="false">IFERROR(INDEX(Base_OAPDI!$H$5:$H$187,MATCH($A42,Base_OAPDI!$U$5:$U$187,0)),"")</f>
        <v/>
      </c>
      <c r="G42" s="10" t="str">
        <f aca="false">IFERROR(INDEX(Base_OAPDI!$R$5:$R$187,MATCH($A42,Base_OAPDI!$U$5:$U$187,0)),"")</f>
        <v/>
      </c>
      <c r="H42" s="10" t="str">
        <f aca="false">IFERROR(INDEX(Base_OAPDI!$N$5:$N$187,MATCH($A42,Base_OAPDI!$U$5:$U$187,0)),"")</f>
        <v/>
      </c>
      <c r="I42" s="10" t="str">
        <f aca="false">IFERROR(INDEX(Base_OAPDI!$P$5:$P$187,MATCH($A42,Base_OAPDI!$U$5:$U$187,0)),"")</f>
        <v/>
      </c>
      <c r="J42" s="10" t="str">
        <f aca="false">IFERROR(INDEX(Base_OAPDI!$S$5:$S$187,MATCH($A42,Base_OAPDI!$U$5:$U$187,0)),"")</f>
        <v/>
      </c>
      <c r="K42" s="10" t="str">
        <f aca="false">IFERROR(INDEX(Base_OAPDI!$T$5:$T$187,MATCH($A42,Base_OAPDI!$U$5:$U$187,0)),"")</f>
        <v/>
      </c>
      <c r="L42" s="10" t="str">
        <f aca="false">IFERROR(INDEX(Base_OAPDI!$Q$5:$Q$187,MATCH($A42,Base_OAPDI!$U$5:$U$187,0)),"")</f>
        <v/>
      </c>
    </row>
    <row r="43" customFormat="false" ht="14.25" hidden="false" customHeight="false" outlineLevel="0" collapsed="false">
      <c r="A43" s="12" t="n">
        <v>36</v>
      </c>
      <c r="B43" s="12" t="str">
        <f aca="false">IFERROR(INDEX(Base_OAPDI!$A$5:$A$187,MATCH($A43,Base_OAPDI!$U$5:$U$187,0)),"")</f>
        <v/>
      </c>
      <c r="C43" s="12" t="str">
        <f aca="false">IFERROR(INDEX(Base_OAPDI!$C$5:$C$187,MATCH($A43,Base_OAPDI!$U$5:$U$187,0)),"")</f>
        <v/>
      </c>
      <c r="D43" s="12" t="str">
        <f aca="false">IFERROR(INDEX(Base_OAPDI!$B$5:$B$187,MATCH($A43,Base_OAPDI!$U$5:$U$187,0)),"")</f>
        <v/>
      </c>
      <c r="E43" s="12" t="str">
        <f aca="false">IFERROR(INDEX(Base_OAPDI!$E$5:$E$187,MATCH($A43,Base_OAPDI!$U$5:$U$187,0)),"")</f>
        <v/>
      </c>
      <c r="F43" s="12" t="str">
        <f aca="false">IFERROR(INDEX(Base_OAPDI!$H$5:$H$187,MATCH($A43,Base_OAPDI!$U$5:$U$187,0)),"")</f>
        <v/>
      </c>
      <c r="G43" s="12" t="str">
        <f aca="false">IFERROR(INDEX(Base_OAPDI!$R$5:$R$187,MATCH($A43,Base_OAPDI!$U$5:$U$187,0)),"")</f>
        <v/>
      </c>
      <c r="H43" s="12" t="str">
        <f aca="false">IFERROR(INDEX(Base_OAPDI!$N$5:$N$187,MATCH($A43,Base_OAPDI!$U$5:$U$187,0)),"")</f>
        <v/>
      </c>
      <c r="I43" s="12" t="str">
        <f aca="false">IFERROR(INDEX(Base_OAPDI!$P$5:$P$187,MATCH($A43,Base_OAPDI!$U$5:$U$187,0)),"")</f>
        <v/>
      </c>
      <c r="J43" s="12" t="str">
        <f aca="false">IFERROR(INDEX(Base_OAPDI!$S$5:$S$187,MATCH($A43,Base_OAPDI!$U$5:$U$187,0)),"")</f>
        <v/>
      </c>
      <c r="K43" s="12" t="str">
        <f aca="false">IFERROR(INDEX(Base_OAPDI!$T$5:$T$187,MATCH($A43,Base_OAPDI!$U$5:$U$187,0)),"")</f>
        <v/>
      </c>
      <c r="L43" s="12" t="str">
        <f aca="false">IFERROR(INDEX(Base_OAPDI!$Q$5:$Q$187,MATCH($A43,Base_OAPDI!$U$5:$U$187,0)),"")</f>
        <v/>
      </c>
    </row>
    <row r="44" customFormat="false" ht="14.25" hidden="false" customHeight="false" outlineLevel="0" collapsed="false">
      <c r="A44" s="10" t="n">
        <v>37</v>
      </c>
      <c r="B44" s="10" t="str">
        <f aca="false">IFERROR(INDEX(Base_OAPDI!$A$5:$A$187,MATCH($A44,Base_OAPDI!$U$5:$U$187,0)),"")</f>
        <v/>
      </c>
      <c r="C44" s="10" t="str">
        <f aca="false">IFERROR(INDEX(Base_OAPDI!$C$5:$C$187,MATCH($A44,Base_OAPDI!$U$5:$U$187,0)),"")</f>
        <v/>
      </c>
      <c r="D44" s="10" t="str">
        <f aca="false">IFERROR(INDEX(Base_OAPDI!$B$5:$B$187,MATCH($A44,Base_OAPDI!$U$5:$U$187,0)),"")</f>
        <v/>
      </c>
      <c r="E44" s="10" t="str">
        <f aca="false">IFERROR(INDEX(Base_OAPDI!$E$5:$E$187,MATCH($A44,Base_OAPDI!$U$5:$U$187,0)),"")</f>
        <v/>
      </c>
      <c r="F44" s="10" t="str">
        <f aca="false">IFERROR(INDEX(Base_OAPDI!$H$5:$H$187,MATCH($A44,Base_OAPDI!$U$5:$U$187,0)),"")</f>
        <v/>
      </c>
      <c r="G44" s="10" t="str">
        <f aca="false">IFERROR(INDEX(Base_OAPDI!$R$5:$R$187,MATCH($A44,Base_OAPDI!$U$5:$U$187,0)),"")</f>
        <v/>
      </c>
      <c r="H44" s="10" t="str">
        <f aca="false">IFERROR(INDEX(Base_OAPDI!$N$5:$N$187,MATCH($A44,Base_OAPDI!$U$5:$U$187,0)),"")</f>
        <v/>
      </c>
      <c r="I44" s="10" t="str">
        <f aca="false">IFERROR(INDEX(Base_OAPDI!$P$5:$P$187,MATCH($A44,Base_OAPDI!$U$5:$U$187,0)),"")</f>
        <v/>
      </c>
      <c r="J44" s="10" t="str">
        <f aca="false">IFERROR(INDEX(Base_OAPDI!$S$5:$S$187,MATCH($A44,Base_OAPDI!$U$5:$U$187,0)),"")</f>
        <v/>
      </c>
      <c r="K44" s="10" t="str">
        <f aca="false">IFERROR(INDEX(Base_OAPDI!$T$5:$T$187,MATCH($A44,Base_OAPDI!$U$5:$U$187,0)),"")</f>
        <v/>
      </c>
      <c r="L44" s="10" t="str">
        <f aca="false">IFERROR(INDEX(Base_OAPDI!$Q$5:$Q$187,MATCH($A44,Base_OAPDI!$U$5:$U$187,0)),"")</f>
        <v/>
      </c>
    </row>
    <row r="45" customFormat="false" ht="14.25" hidden="false" customHeight="false" outlineLevel="0" collapsed="false">
      <c r="A45" s="12" t="n">
        <v>38</v>
      </c>
      <c r="B45" s="12" t="str">
        <f aca="false">IFERROR(INDEX(Base_OAPDI!$A$5:$A$187,MATCH($A45,Base_OAPDI!$U$5:$U$187,0)),"")</f>
        <v/>
      </c>
      <c r="C45" s="12" t="str">
        <f aca="false">IFERROR(INDEX(Base_OAPDI!$C$5:$C$187,MATCH($A45,Base_OAPDI!$U$5:$U$187,0)),"")</f>
        <v/>
      </c>
      <c r="D45" s="12" t="str">
        <f aca="false">IFERROR(INDEX(Base_OAPDI!$B$5:$B$187,MATCH($A45,Base_OAPDI!$U$5:$U$187,0)),"")</f>
        <v/>
      </c>
      <c r="E45" s="12" t="str">
        <f aca="false">IFERROR(INDEX(Base_OAPDI!$E$5:$E$187,MATCH($A45,Base_OAPDI!$U$5:$U$187,0)),"")</f>
        <v/>
      </c>
      <c r="F45" s="12" t="str">
        <f aca="false">IFERROR(INDEX(Base_OAPDI!$H$5:$H$187,MATCH($A45,Base_OAPDI!$U$5:$U$187,0)),"")</f>
        <v/>
      </c>
      <c r="G45" s="12" t="str">
        <f aca="false">IFERROR(INDEX(Base_OAPDI!$R$5:$R$187,MATCH($A45,Base_OAPDI!$U$5:$U$187,0)),"")</f>
        <v/>
      </c>
      <c r="H45" s="12" t="str">
        <f aca="false">IFERROR(INDEX(Base_OAPDI!$N$5:$N$187,MATCH($A45,Base_OAPDI!$U$5:$U$187,0)),"")</f>
        <v/>
      </c>
      <c r="I45" s="12" t="str">
        <f aca="false">IFERROR(INDEX(Base_OAPDI!$P$5:$P$187,MATCH($A45,Base_OAPDI!$U$5:$U$187,0)),"")</f>
        <v/>
      </c>
      <c r="J45" s="12" t="str">
        <f aca="false">IFERROR(INDEX(Base_OAPDI!$S$5:$S$187,MATCH($A45,Base_OAPDI!$U$5:$U$187,0)),"")</f>
        <v/>
      </c>
      <c r="K45" s="12" t="str">
        <f aca="false">IFERROR(INDEX(Base_OAPDI!$T$5:$T$187,MATCH($A45,Base_OAPDI!$U$5:$U$187,0)),"")</f>
        <v/>
      </c>
      <c r="L45" s="12" t="str">
        <f aca="false">IFERROR(INDEX(Base_OAPDI!$Q$5:$Q$187,MATCH($A45,Base_OAPDI!$U$5:$U$187,0)),"")</f>
        <v/>
      </c>
    </row>
    <row r="46" customFormat="false" ht="14.25" hidden="false" customHeight="false" outlineLevel="0" collapsed="false">
      <c r="A46" s="10" t="n">
        <v>39</v>
      </c>
      <c r="B46" s="10" t="str">
        <f aca="false">IFERROR(INDEX(Base_OAPDI!$A$5:$A$187,MATCH($A46,Base_OAPDI!$U$5:$U$187,0)),"")</f>
        <v/>
      </c>
      <c r="C46" s="10" t="str">
        <f aca="false">IFERROR(INDEX(Base_OAPDI!$C$5:$C$187,MATCH($A46,Base_OAPDI!$U$5:$U$187,0)),"")</f>
        <v/>
      </c>
      <c r="D46" s="10" t="str">
        <f aca="false">IFERROR(INDEX(Base_OAPDI!$B$5:$B$187,MATCH($A46,Base_OAPDI!$U$5:$U$187,0)),"")</f>
        <v/>
      </c>
      <c r="E46" s="10" t="str">
        <f aca="false">IFERROR(INDEX(Base_OAPDI!$E$5:$E$187,MATCH($A46,Base_OAPDI!$U$5:$U$187,0)),"")</f>
        <v/>
      </c>
      <c r="F46" s="10" t="str">
        <f aca="false">IFERROR(INDEX(Base_OAPDI!$H$5:$H$187,MATCH($A46,Base_OAPDI!$U$5:$U$187,0)),"")</f>
        <v/>
      </c>
      <c r="G46" s="10" t="str">
        <f aca="false">IFERROR(INDEX(Base_OAPDI!$R$5:$R$187,MATCH($A46,Base_OAPDI!$U$5:$U$187,0)),"")</f>
        <v/>
      </c>
      <c r="H46" s="10" t="str">
        <f aca="false">IFERROR(INDEX(Base_OAPDI!$N$5:$N$187,MATCH($A46,Base_OAPDI!$U$5:$U$187,0)),"")</f>
        <v/>
      </c>
      <c r="I46" s="10" t="str">
        <f aca="false">IFERROR(INDEX(Base_OAPDI!$P$5:$P$187,MATCH($A46,Base_OAPDI!$U$5:$U$187,0)),"")</f>
        <v/>
      </c>
      <c r="J46" s="10" t="str">
        <f aca="false">IFERROR(INDEX(Base_OAPDI!$S$5:$S$187,MATCH($A46,Base_OAPDI!$U$5:$U$187,0)),"")</f>
        <v/>
      </c>
      <c r="K46" s="10" t="str">
        <f aca="false">IFERROR(INDEX(Base_OAPDI!$T$5:$T$187,MATCH($A46,Base_OAPDI!$U$5:$U$187,0)),"")</f>
        <v/>
      </c>
      <c r="L46" s="10" t="str">
        <f aca="false">IFERROR(INDEX(Base_OAPDI!$Q$5:$Q$187,MATCH($A46,Base_OAPDI!$U$5:$U$187,0)),"")</f>
        <v/>
      </c>
    </row>
    <row r="47" customFormat="false" ht="14.25" hidden="false" customHeight="false" outlineLevel="0" collapsed="false">
      <c r="A47" s="12" t="n">
        <v>40</v>
      </c>
      <c r="B47" s="12" t="str">
        <f aca="false">IFERROR(INDEX(Base_OAPDI!$A$5:$A$187,MATCH($A47,Base_OAPDI!$U$5:$U$187,0)),"")</f>
        <v/>
      </c>
      <c r="C47" s="12" t="str">
        <f aca="false">IFERROR(INDEX(Base_OAPDI!$C$5:$C$187,MATCH($A47,Base_OAPDI!$U$5:$U$187,0)),"")</f>
        <v/>
      </c>
      <c r="D47" s="12" t="str">
        <f aca="false">IFERROR(INDEX(Base_OAPDI!$B$5:$B$187,MATCH($A47,Base_OAPDI!$U$5:$U$187,0)),"")</f>
        <v/>
      </c>
      <c r="E47" s="12" t="str">
        <f aca="false">IFERROR(INDEX(Base_OAPDI!$E$5:$E$187,MATCH($A47,Base_OAPDI!$U$5:$U$187,0)),"")</f>
        <v/>
      </c>
      <c r="F47" s="12" t="str">
        <f aca="false">IFERROR(INDEX(Base_OAPDI!$H$5:$H$187,MATCH($A47,Base_OAPDI!$U$5:$U$187,0)),"")</f>
        <v/>
      </c>
      <c r="G47" s="12" t="str">
        <f aca="false">IFERROR(INDEX(Base_OAPDI!$R$5:$R$187,MATCH($A47,Base_OAPDI!$U$5:$U$187,0)),"")</f>
        <v/>
      </c>
      <c r="H47" s="12" t="str">
        <f aca="false">IFERROR(INDEX(Base_OAPDI!$N$5:$N$187,MATCH($A47,Base_OAPDI!$U$5:$U$187,0)),"")</f>
        <v/>
      </c>
      <c r="I47" s="12" t="str">
        <f aca="false">IFERROR(INDEX(Base_OAPDI!$P$5:$P$187,MATCH($A47,Base_OAPDI!$U$5:$U$187,0)),"")</f>
        <v/>
      </c>
      <c r="J47" s="12" t="str">
        <f aca="false">IFERROR(INDEX(Base_OAPDI!$S$5:$S$187,MATCH($A47,Base_OAPDI!$U$5:$U$187,0)),"")</f>
        <v/>
      </c>
      <c r="K47" s="12" t="str">
        <f aca="false">IFERROR(INDEX(Base_OAPDI!$T$5:$T$187,MATCH($A47,Base_OAPDI!$U$5:$U$187,0)),"")</f>
        <v/>
      </c>
      <c r="L47" s="12" t="str">
        <f aca="false">IFERROR(INDEX(Base_OAPDI!$Q$5:$Q$187,MATCH($A47,Base_OAPDI!$U$5:$U$187,0)),"")</f>
        <v/>
      </c>
    </row>
    <row r="49" customFormat="false" ht="15" hidden="false" customHeight="true" outlineLevel="0" collapsed="false">
      <c r="A49" s="16" t="s">
        <v>565</v>
      </c>
    </row>
    <row r="50" customFormat="false" ht="42" hidden="false" customHeight="true" outlineLevel="0" collapsed="false">
      <c r="A50" s="17" t="s">
        <v>551</v>
      </c>
      <c r="B50" s="17" t="s">
        <v>566</v>
      </c>
      <c r="C50" s="17" t="s">
        <v>567</v>
      </c>
      <c r="D50" s="17" t="s">
        <v>47</v>
      </c>
      <c r="E50" s="17" t="s">
        <v>568</v>
      </c>
      <c r="F50" s="17" t="s">
        <v>554</v>
      </c>
      <c r="G50" s="17" t="s">
        <v>569</v>
      </c>
      <c r="H50" s="17" t="s">
        <v>21</v>
      </c>
      <c r="I50" s="17" t="s">
        <v>570</v>
      </c>
      <c r="J50" s="17" t="s">
        <v>23</v>
      </c>
      <c r="K50" s="17" t="s">
        <v>571</v>
      </c>
      <c r="L50" s="17" t="s">
        <v>572</v>
      </c>
      <c r="M50" s="17" t="s">
        <v>573</v>
      </c>
      <c r="N50" s="17" t="s">
        <v>574</v>
      </c>
      <c r="O50" s="17" t="s">
        <v>575</v>
      </c>
      <c r="P50" s="17" t="s">
        <v>576</v>
      </c>
      <c r="Q50" s="17" t="s">
        <v>577</v>
      </c>
      <c r="R50" s="17" t="s">
        <v>578</v>
      </c>
      <c r="S50" s="17" t="s">
        <v>579</v>
      </c>
      <c r="T50" s="17" t="s">
        <v>580</v>
      </c>
      <c r="U50" s="17" t="s">
        <v>35</v>
      </c>
      <c r="V50" s="17" t="s">
        <v>55</v>
      </c>
      <c r="W50" s="8" t="s">
        <v>581</v>
      </c>
    </row>
    <row r="51" customFormat="false" ht="14.25" hidden="false" customHeight="false" outlineLevel="0" collapsed="false">
      <c r="A51" s="12" t="n">
        <v>1</v>
      </c>
      <c r="B51" s="11"/>
      <c r="C51" s="11"/>
      <c r="D51" s="12" t="str">
        <f aca="false">IF(C51="","",INDEX(Catalogos!$C$5:$C$49,MATCH(LEFT(C51,7),Catalogos!$A$5:$A$49,0)))</f>
        <v/>
      </c>
      <c r="E51" s="12" t="str">
        <f aca="false">IF(C51="","",INDEX(Catalogos!$D$5:$D$49,MATCH(LEFT(C51,7),Catalogos!$A$5:$A$49,0))&amp;" "&amp;INDEX(Catalogos!$E$5:$E$49,MATCH(LEFT(C51,7),Catalogos!$A$5:$A$49,0)))</f>
        <v/>
      </c>
      <c r="F51" s="12" t="str">
        <f aca="false">IF(C51="","",INDEX(Catalogos!$F$5:$F$49,MATCH(LEFT(C51,7),Catalogos!$A$5:$A$49,0)))</f>
        <v/>
      </c>
      <c r="G51" s="11"/>
      <c r="H51" s="11"/>
      <c r="I51" s="11"/>
      <c r="J51" s="11"/>
      <c r="K51" s="18"/>
      <c r="L51" s="18"/>
      <c r="M51" s="11"/>
      <c r="N51" s="11"/>
      <c r="O51" s="11"/>
      <c r="P51" s="11"/>
      <c r="Q51" s="11"/>
      <c r="R51" s="11"/>
      <c r="S51" s="12" t="str">
        <f aca="false">IF(R51="","",INDEX(Catalogos!$Y$5:$Y$25,MATCH(R51,L_IMP,0)))</f>
        <v/>
      </c>
      <c r="T51" s="11"/>
      <c r="U51" s="11"/>
      <c r="V51" s="11"/>
      <c r="W51" s="10" t="str">
        <f aca="false">IF(H51="","Pendiente por formular",IF(OR(J51="",K51="",L51="",M51="",N51="",O51="",Q51="",R51="",B51="",C51="",G51=""),"Incompleta: faltan campos obligatorios",IF(OR(NOT(ISNUMBER(K51)),NOT(ISNUMBER(L51))),"Fecha inválida",IF(L51&lt;K51,"La fecha de fin es anterior a la de inicio",IF(OR(YEAR(K51)&lt;&gt;2027,YEAR(L51)&lt;&gt;2027),"Fechas fuera de la vigencia 2027",IF(ISERROR(SEARCH("@itc.edu.co",M51)),"El responsable no tiene correo institucional",IF(ISERROR(SEARCH(Q51,INDEX(Catalogos!$Z$5:$Z$25,MATCH(R51,L_IMP,0)))),"La dimensión no corresponde al indicador de impacto","OK")))))))</f>
        <v>Pendiente por formular</v>
      </c>
    </row>
    <row r="52" customFormat="false" ht="14.25" hidden="false" customHeight="false" outlineLevel="0" collapsed="false">
      <c r="A52" s="12" t="n">
        <v>2</v>
      </c>
      <c r="B52" s="11"/>
      <c r="C52" s="11"/>
      <c r="D52" s="12" t="str">
        <f aca="false">IF(C52="","",INDEX(Catalogos!$C$5:$C$49,MATCH(LEFT(C52,7),Catalogos!$A$5:$A$49,0)))</f>
        <v/>
      </c>
      <c r="E52" s="12" t="str">
        <f aca="false">IF(C52="","",INDEX(Catalogos!$D$5:$D$49,MATCH(LEFT(C52,7),Catalogos!$A$5:$A$49,0))&amp;" "&amp;INDEX(Catalogos!$E$5:$E$49,MATCH(LEFT(C52,7),Catalogos!$A$5:$A$49,0)))</f>
        <v/>
      </c>
      <c r="F52" s="12" t="str">
        <f aca="false">IF(C52="","",INDEX(Catalogos!$F$5:$F$49,MATCH(LEFT(C52,7),Catalogos!$A$5:$A$49,0)))</f>
        <v/>
      </c>
      <c r="G52" s="11"/>
      <c r="H52" s="11"/>
      <c r="I52" s="11"/>
      <c r="J52" s="11"/>
      <c r="K52" s="18"/>
      <c r="L52" s="18"/>
      <c r="M52" s="11"/>
      <c r="N52" s="11"/>
      <c r="O52" s="11"/>
      <c r="P52" s="11"/>
      <c r="Q52" s="11"/>
      <c r="R52" s="11"/>
      <c r="S52" s="12" t="str">
        <f aca="false">IF(R52="","",INDEX(Catalogos!$Y$5:$Y$25,MATCH(R52,L_IMP,0)))</f>
        <v/>
      </c>
      <c r="T52" s="11"/>
      <c r="U52" s="11"/>
      <c r="V52" s="11"/>
      <c r="W52" s="10" t="str">
        <f aca="false">IF(H52="","Pendiente por formular",IF(OR(J52="",K52="",L52="",M52="",N52="",O52="",Q52="",R52="",B52="",C52="",G52=""),"Incompleta: faltan campos obligatorios",IF(OR(NOT(ISNUMBER(K52)),NOT(ISNUMBER(L52))),"Fecha inválida",IF(L52&lt;K52,"La fecha de fin es anterior a la de inicio",IF(OR(YEAR(K52)&lt;&gt;2027,YEAR(L52)&lt;&gt;2027),"Fechas fuera de la vigencia 2027",IF(ISERROR(SEARCH("@itc.edu.co",M52)),"El responsable no tiene correo institucional",IF(ISERROR(SEARCH(Q52,INDEX(Catalogos!$Z$5:$Z$25,MATCH(R52,L_IMP,0)))),"La dimensión no corresponde al indicador de impacto","OK")))))))</f>
        <v>Pendiente por formular</v>
      </c>
    </row>
    <row r="53" customFormat="false" ht="14.25" hidden="false" customHeight="false" outlineLevel="0" collapsed="false">
      <c r="A53" s="12" t="n">
        <v>3</v>
      </c>
      <c r="B53" s="11"/>
      <c r="C53" s="11"/>
      <c r="D53" s="12" t="str">
        <f aca="false">IF(C53="","",INDEX(Catalogos!$C$5:$C$49,MATCH(LEFT(C53,7),Catalogos!$A$5:$A$49,0)))</f>
        <v/>
      </c>
      <c r="E53" s="12" t="str">
        <f aca="false">IF(C53="","",INDEX(Catalogos!$D$5:$D$49,MATCH(LEFT(C53,7),Catalogos!$A$5:$A$49,0))&amp;" "&amp;INDEX(Catalogos!$E$5:$E$49,MATCH(LEFT(C53,7),Catalogos!$A$5:$A$49,0)))</f>
        <v/>
      </c>
      <c r="F53" s="12" t="str">
        <f aca="false">IF(C53="","",INDEX(Catalogos!$F$5:$F$49,MATCH(LEFT(C53,7),Catalogos!$A$5:$A$49,0)))</f>
        <v/>
      </c>
      <c r="G53" s="11"/>
      <c r="H53" s="11"/>
      <c r="I53" s="11"/>
      <c r="J53" s="11"/>
      <c r="K53" s="18"/>
      <c r="L53" s="18"/>
      <c r="M53" s="11"/>
      <c r="N53" s="11"/>
      <c r="O53" s="11"/>
      <c r="P53" s="11"/>
      <c r="Q53" s="11"/>
      <c r="R53" s="11"/>
      <c r="S53" s="12" t="str">
        <f aca="false">IF(R53="","",INDEX(Catalogos!$Y$5:$Y$25,MATCH(R53,L_IMP,0)))</f>
        <v/>
      </c>
      <c r="T53" s="11"/>
      <c r="U53" s="11"/>
      <c r="V53" s="11"/>
      <c r="W53" s="10" t="str">
        <f aca="false">IF(H53="","Pendiente por formular",IF(OR(J53="",K53="",L53="",M53="",N53="",O53="",Q53="",R53="",B53="",C53="",G53=""),"Incompleta: faltan campos obligatorios",IF(OR(NOT(ISNUMBER(K53)),NOT(ISNUMBER(L53))),"Fecha inválida",IF(L53&lt;K53,"La fecha de fin es anterior a la de inicio",IF(OR(YEAR(K53)&lt;&gt;2027,YEAR(L53)&lt;&gt;2027),"Fechas fuera de la vigencia 2027",IF(ISERROR(SEARCH("@itc.edu.co",M53)),"El responsable no tiene correo institucional",IF(ISERROR(SEARCH(Q53,INDEX(Catalogos!$Z$5:$Z$25,MATCH(R53,L_IMP,0)))),"La dimensión no corresponde al indicador de impacto","OK")))))))</f>
        <v>Pendiente por formular</v>
      </c>
    </row>
    <row r="54" customFormat="false" ht="14.25" hidden="false" customHeight="false" outlineLevel="0" collapsed="false">
      <c r="A54" s="12" t="n">
        <v>4</v>
      </c>
      <c r="B54" s="11"/>
      <c r="C54" s="11"/>
      <c r="D54" s="12" t="str">
        <f aca="false">IF(C54="","",INDEX(Catalogos!$C$5:$C$49,MATCH(LEFT(C54,7),Catalogos!$A$5:$A$49,0)))</f>
        <v/>
      </c>
      <c r="E54" s="12" t="str">
        <f aca="false">IF(C54="","",INDEX(Catalogos!$D$5:$D$49,MATCH(LEFT(C54,7),Catalogos!$A$5:$A$49,0))&amp;" "&amp;INDEX(Catalogos!$E$5:$E$49,MATCH(LEFT(C54,7),Catalogos!$A$5:$A$49,0)))</f>
        <v/>
      </c>
      <c r="F54" s="12" t="str">
        <f aca="false">IF(C54="","",INDEX(Catalogos!$F$5:$F$49,MATCH(LEFT(C54,7),Catalogos!$A$5:$A$49,0)))</f>
        <v/>
      </c>
      <c r="G54" s="11"/>
      <c r="H54" s="11"/>
      <c r="I54" s="11"/>
      <c r="J54" s="11"/>
      <c r="K54" s="18"/>
      <c r="L54" s="18"/>
      <c r="M54" s="11"/>
      <c r="N54" s="11"/>
      <c r="O54" s="11"/>
      <c r="P54" s="11"/>
      <c r="Q54" s="11"/>
      <c r="R54" s="11"/>
      <c r="S54" s="12" t="str">
        <f aca="false">IF(R54="","",INDEX(Catalogos!$Y$5:$Y$25,MATCH(R54,L_IMP,0)))</f>
        <v/>
      </c>
      <c r="T54" s="11"/>
      <c r="U54" s="11"/>
      <c r="V54" s="11"/>
      <c r="W54" s="10" t="str">
        <f aca="false">IF(H54="","Pendiente por formular",IF(OR(J54="",K54="",L54="",M54="",N54="",O54="",Q54="",R54="",B54="",C54="",G54=""),"Incompleta: faltan campos obligatorios",IF(OR(NOT(ISNUMBER(K54)),NOT(ISNUMBER(L54))),"Fecha inválida",IF(L54&lt;K54,"La fecha de fin es anterior a la de inicio",IF(OR(YEAR(K54)&lt;&gt;2027,YEAR(L54)&lt;&gt;2027),"Fechas fuera de la vigencia 2027",IF(ISERROR(SEARCH("@itc.edu.co",M54)),"El responsable no tiene correo institucional",IF(ISERROR(SEARCH(Q54,INDEX(Catalogos!$Z$5:$Z$25,MATCH(R54,L_IMP,0)))),"La dimensión no corresponde al indicador de impacto","OK")))))))</f>
        <v>Pendiente por formular</v>
      </c>
    </row>
    <row r="55" customFormat="false" ht="14.25" hidden="false" customHeight="false" outlineLevel="0" collapsed="false">
      <c r="A55" s="12" t="n">
        <v>5</v>
      </c>
      <c r="B55" s="11"/>
      <c r="C55" s="11"/>
      <c r="D55" s="12" t="str">
        <f aca="false">IF(C55="","",INDEX(Catalogos!$C$5:$C$49,MATCH(LEFT(C55,7),Catalogos!$A$5:$A$49,0)))</f>
        <v/>
      </c>
      <c r="E55" s="12" t="str">
        <f aca="false">IF(C55="","",INDEX(Catalogos!$D$5:$D$49,MATCH(LEFT(C55,7),Catalogos!$A$5:$A$49,0))&amp;" "&amp;INDEX(Catalogos!$E$5:$E$49,MATCH(LEFT(C55,7),Catalogos!$A$5:$A$49,0)))</f>
        <v/>
      </c>
      <c r="F55" s="12" t="str">
        <f aca="false">IF(C55="","",INDEX(Catalogos!$F$5:$F$49,MATCH(LEFT(C55,7),Catalogos!$A$5:$A$49,0)))</f>
        <v/>
      </c>
      <c r="G55" s="11"/>
      <c r="H55" s="11"/>
      <c r="I55" s="11"/>
      <c r="J55" s="11"/>
      <c r="K55" s="18"/>
      <c r="L55" s="18"/>
      <c r="M55" s="11"/>
      <c r="N55" s="11"/>
      <c r="O55" s="11"/>
      <c r="P55" s="11"/>
      <c r="Q55" s="11"/>
      <c r="R55" s="11"/>
      <c r="S55" s="12" t="str">
        <f aca="false">IF(R55="","",INDEX(Catalogos!$Y$5:$Y$25,MATCH(R55,L_IMP,0)))</f>
        <v/>
      </c>
      <c r="T55" s="11"/>
      <c r="U55" s="11"/>
      <c r="V55" s="11"/>
      <c r="W55" s="10" t="str">
        <f aca="false">IF(H55="","Pendiente por formular",IF(OR(J55="",K55="",L55="",M55="",N55="",O55="",Q55="",R55="",B55="",C55="",G55=""),"Incompleta: faltan campos obligatorios",IF(OR(NOT(ISNUMBER(K55)),NOT(ISNUMBER(L55))),"Fecha inválida",IF(L55&lt;K55,"La fecha de fin es anterior a la de inicio",IF(OR(YEAR(K55)&lt;&gt;2027,YEAR(L55)&lt;&gt;2027),"Fechas fuera de la vigencia 2027",IF(ISERROR(SEARCH("@itc.edu.co",M55)),"El responsable no tiene correo institucional",IF(ISERROR(SEARCH(Q55,INDEX(Catalogos!$Z$5:$Z$25,MATCH(R55,L_IMP,0)))),"La dimensión no corresponde al indicador de impacto","OK")))))))</f>
        <v>Pendiente por formular</v>
      </c>
    </row>
    <row r="56" customFormat="false" ht="14.25" hidden="false" customHeight="false" outlineLevel="0" collapsed="false">
      <c r="A56" s="12" t="n">
        <v>6</v>
      </c>
      <c r="B56" s="11"/>
      <c r="C56" s="11"/>
      <c r="D56" s="12" t="str">
        <f aca="false">IF(C56="","",INDEX(Catalogos!$C$5:$C$49,MATCH(LEFT(C56,7),Catalogos!$A$5:$A$49,0)))</f>
        <v/>
      </c>
      <c r="E56" s="12" t="str">
        <f aca="false">IF(C56="","",INDEX(Catalogos!$D$5:$D$49,MATCH(LEFT(C56,7),Catalogos!$A$5:$A$49,0))&amp;" "&amp;INDEX(Catalogos!$E$5:$E$49,MATCH(LEFT(C56,7),Catalogos!$A$5:$A$49,0)))</f>
        <v/>
      </c>
      <c r="F56" s="12" t="str">
        <f aca="false">IF(C56="","",INDEX(Catalogos!$F$5:$F$49,MATCH(LEFT(C56,7),Catalogos!$A$5:$A$49,0)))</f>
        <v/>
      </c>
      <c r="G56" s="11"/>
      <c r="H56" s="11"/>
      <c r="I56" s="11"/>
      <c r="J56" s="11"/>
      <c r="K56" s="18"/>
      <c r="L56" s="18"/>
      <c r="M56" s="11"/>
      <c r="N56" s="11"/>
      <c r="O56" s="11"/>
      <c r="P56" s="11"/>
      <c r="Q56" s="11"/>
      <c r="R56" s="11"/>
      <c r="S56" s="12" t="str">
        <f aca="false">IF(R56="","",INDEX(Catalogos!$Y$5:$Y$25,MATCH(R56,L_IMP,0)))</f>
        <v/>
      </c>
      <c r="T56" s="11"/>
      <c r="U56" s="11"/>
      <c r="V56" s="11"/>
      <c r="W56" s="10" t="str">
        <f aca="false">IF(H56="","Pendiente por formular",IF(OR(J56="",K56="",L56="",M56="",N56="",O56="",Q56="",R56="",B56="",C56="",G56=""),"Incompleta: faltan campos obligatorios",IF(OR(NOT(ISNUMBER(K56)),NOT(ISNUMBER(L56))),"Fecha inválida",IF(L56&lt;K56,"La fecha de fin es anterior a la de inicio",IF(OR(YEAR(K56)&lt;&gt;2027,YEAR(L56)&lt;&gt;2027),"Fechas fuera de la vigencia 2027",IF(ISERROR(SEARCH("@itc.edu.co",M56)),"El responsable no tiene correo institucional",IF(ISERROR(SEARCH(Q56,INDEX(Catalogos!$Z$5:$Z$25,MATCH(R56,L_IMP,0)))),"La dimensión no corresponde al indicador de impacto","OK")))))))</f>
        <v>Pendiente por formular</v>
      </c>
    </row>
    <row r="57" customFormat="false" ht="14.25" hidden="false" customHeight="false" outlineLevel="0" collapsed="false">
      <c r="A57" s="12" t="n">
        <v>7</v>
      </c>
      <c r="B57" s="11"/>
      <c r="C57" s="11"/>
      <c r="D57" s="12" t="str">
        <f aca="false">IF(C57="","",INDEX(Catalogos!$C$5:$C$49,MATCH(LEFT(C57,7),Catalogos!$A$5:$A$49,0)))</f>
        <v/>
      </c>
      <c r="E57" s="12" t="str">
        <f aca="false">IF(C57="","",INDEX(Catalogos!$D$5:$D$49,MATCH(LEFT(C57,7),Catalogos!$A$5:$A$49,0))&amp;" "&amp;INDEX(Catalogos!$E$5:$E$49,MATCH(LEFT(C57,7),Catalogos!$A$5:$A$49,0)))</f>
        <v/>
      </c>
      <c r="F57" s="12" t="str">
        <f aca="false">IF(C57="","",INDEX(Catalogos!$F$5:$F$49,MATCH(LEFT(C57,7),Catalogos!$A$5:$A$49,0)))</f>
        <v/>
      </c>
      <c r="G57" s="11"/>
      <c r="H57" s="11"/>
      <c r="I57" s="11"/>
      <c r="J57" s="11"/>
      <c r="K57" s="18"/>
      <c r="L57" s="18"/>
      <c r="M57" s="11"/>
      <c r="N57" s="11"/>
      <c r="O57" s="11"/>
      <c r="P57" s="11"/>
      <c r="Q57" s="11"/>
      <c r="R57" s="11"/>
      <c r="S57" s="12" t="str">
        <f aca="false">IF(R57="","",INDEX(Catalogos!$Y$5:$Y$25,MATCH(R57,L_IMP,0)))</f>
        <v/>
      </c>
      <c r="T57" s="11"/>
      <c r="U57" s="11"/>
      <c r="V57" s="11"/>
      <c r="W57" s="10" t="str">
        <f aca="false">IF(H57="","Pendiente por formular",IF(OR(J57="",K57="",L57="",M57="",N57="",O57="",Q57="",R57="",B57="",C57="",G57=""),"Incompleta: faltan campos obligatorios",IF(OR(NOT(ISNUMBER(K57)),NOT(ISNUMBER(L57))),"Fecha inválida",IF(L57&lt;K57,"La fecha de fin es anterior a la de inicio",IF(OR(YEAR(K57)&lt;&gt;2027,YEAR(L57)&lt;&gt;2027),"Fechas fuera de la vigencia 2027",IF(ISERROR(SEARCH("@itc.edu.co",M57)),"El responsable no tiene correo institucional",IF(ISERROR(SEARCH(Q57,INDEX(Catalogos!$Z$5:$Z$25,MATCH(R57,L_IMP,0)))),"La dimensión no corresponde al indicador de impacto","OK")))))))</f>
        <v>Pendiente por formular</v>
      </c>
    </row>
    <row r="58" customFormat="false" ht="14.25" hidden="false" customHeight="false" outlineLevel="0" collapsed="false">
      <c r="A58" s="12" t="n">
        <v>8</v>
      </c>
      <c r="B58" s="11"/>
      <c r="C58" s="11"/>
      <c r="D58" s="12" t="str">
        <f aca="false">IF(C58="","",INDEX(Catalogos!$C$5:$C$49,MATCH(LEFT(C58,7),Catalogos!$A$5:$A$49,0)))</f>
        <v/>
      </c>
      <c r="E58" s="12" t="str">
        <f aca="false">IF(C58="","",INDEX(Catalogos!$D$5:$D$49,MATCH(LEFT(C58,7),Catalogos!$A$5:$A$49,0))&amp;" "&amp;INDEX(Catalogos!$E$5:$E$49,MATCH(LEFT(C58,7),Catalogos!$A$5:$A$49,0)))</f>
        <v/>
      </c>
      <c r="F58" s="12" t="str">
        <f aca="false">IF(C58="","",INDEX(Catalogos!$F$5:$F$49,MATCH(LEFT(C58,7),Catalogos!$A$5:$A$49,0)))</f>
        <v/>
      </c>
      <c r="G58" s="11"/>
      <c r="H58" s="11"/>
      <c r="I58" s="11"/>
      <c r="J58" s="11"/>
      <c r="K58" s="18"/>
      <c r="L58" s="18"/>
      <c r="M58" s="11"/>
      <c r="N58" s="11"/>
      <c r="O58" s="11"/>
      <c r="P58" s="11"/>
      <c r="Q58" s="11"/>
      <c r="R58" s="11"/>
      <c r="S58" s="12" t="str">
        <f aca="false">IF(R58="","",INDEX(Catalogos!$Y$5:$Y$25,MATCH(R58,L_IMP,0)))</f>
        <v/>
      </c>
      <c r="T58" s="11"/>
      <c r="U58" s="11"/>
      <c r="V58" s="11"/>
      <c r="W58" s="10" t="str">
        <f aca="false">IF(H58="","Pendiente por formular",IF(OR(J58="",K58="",L58="",M58="",N58="",O58="",Q58="",R58="",B58="",C58="",G58=""),"Incompleta: faltan campos obligatorios",IF(OR(NOT(ISNUMBER(K58)),NOT(ISNUMBER(L58))),"Fecha inválida",IF(L58&lt;K58,"La fecha de fin es anterior a la de inicio",IF(OR(YEAR(K58)&lt;&gt;2027,YEAR(L58)&lt;&gt;2027),"Fechas fuera de la vigencia 2027",IF(ISERROR(SEARCH("@itc.edu.co",M58)),"El responsable no tiene correo institucional",IF(ISERROR(SEARCH(Q58,INDEX(Catalogos!$Z$5:$Z$25,MATCH(R58,L_IMP,0)))),"La dimensión no corresponde al indicador de impacto","OK")))))))</f>
        <v>Pendiente por formular</v>
      </c>
    </row>
    <row r="59" customFormat="false" ht="14.25" hidden="false" customHeight="false" outlineLevel="0" collapsed="false">
      <c r="A59" s="12" t="n">
        <v>9</v>
      </c>
      <c r="B59" s="11"/>
      <c r="C59" s="11"/>
      <c r="D59" s="12" t="str">
        <f aca="false">IF(C59="","",INDEX(Catalogos!$C$5:$C$49,MATCH(LEFT(C59,7),Catalogos!$A$5:$A$49,0)))</f>
        <v/>
      </c>
      <c r="E59" s="12" t="str">
        <f aca="false">IF(C59="","",INDEX(Catalogos!$D$5:$D$49,MATCH(LEFT(C59,7),Catalogos!$A$5:$A$49,0))&amp;" "&amp;INDEX(Catalogos!$E$5:$E$49,MATCH(LEFT(C59,7),Catalogos!$A$5:$A$49,0)))</f>
        <v/>
      </c>
      <c r="F59" s="12" t="str">
        <f aca="false">IF(C59="","",INDEX(Catalogos!$F$5:$F$49,MATCH(LEFT(C59,7),Catalogos!$A$5:$A$49,0)))</f>
        <v/>
      </c>
      <c r="G59" s="11"/>
      <c r="H59" s="11"/>
      <c r="I59" s="11"/>
      <c r="J59" s="11"/>
      <c r="K59" s="18"/>
      <c r="L59" s="18"/>
      <c r="M59" s="11"/>
      <c r="N59" s="11"/>
      <c r="O59" s="11"/>
      <c r="P59" s="11"/>
      <c r="Q59" s="11"/>
      <c r="R59" s="11"/>
      <c r="S59" s="12" t="str">
        <f aca="false">IF(R59="","",INDEX(Catalogos!$Y$5:$Y$25,MATCH(R59,L_IMP,0)))</f>
        <v/>
      </c>
      <c r="T59" s="11"/>
      <c r="U59" s="11"/>
      <c r="V59" s="11"/>
      <c r="W59" s="10" t="str">
        <f aca="false">IF(H59="","Pendiente por formular",IF(OR(J59="",K59="",L59="",M59="",N59="",O59="",Q59="",R59="",B59="",C59="",G59=""),"Incompleta: faltan campos obligatorios",IF(OR(NOT(ISNUMBER(K59)),NOT(ISNUMBER(L59))),"Fecha inválida",IF(L59&lt;K59,"La fecha de fin es anterior a la de inicio",IF(OR(YEAR(K59)&lt;&gt;2027,YEAR(L59)&lt;&gt;2027),"Fechas fuera de la vigencia 2027",IF(ISERROR(SEARCH("@itc.edu.co",M59)),"El responsable no tiene correo institucional",IF(ISERROR(SEARCH(Q59,INDEX(Catalogos!$Z$5:$Z$25,MATCH(R59,L_IMP,0)))),"La dimensión no corresponde al indicador de impacto","OK")))))))</f>
        <v>Pendiente por formular</v>
      </c>
    </row>
    <row r="60" customFormat="false" ht="14.25" hidden="false" customHeight="false" outlineLevel="0" collapsed="false">
      <c r="A60" s="12" t="n">
        <v>10</v>
      </c>
      <c r="B60" s="11"/>
      <c r="C60" s="11"/>
      <c r="D60" s="12" t="str">
        <f aca="false">IF(C60="","",INDEX(Catalogos!$C$5:$C$49,MATCH(LEFT(C60,7),Catalogos!$A$5:$A$49,0)))</f>
        <v/>
      </c>
      <c r="E60" s="12" t="str">
        <f aca="false">IF(C60="","",INDEX(Catalogos!$D$5:$D$49,MATCH(LEFT(C60,7),Catalogos!$A$5:$A$49,0))&amp;" "&amp;INDEX(Catalogos!$E$5:$E$49,MATCH(LEFT(C60,7),Catalogos!$A$5:$A$49,0)))</f>
        <v/>
      </c>
      <c r="F60" s="12" t="str">
        <f aca="false">IF(C60="","",INDEX(Catalogos!$F$5:$F$49,MATCH(LEFT(C60,7),Catalogos!$A$5:$A$49,0)))</f>
        <v/>
      </c>
      <c r="G60" s="11"/>
      <c r="H60" s="11"/>
      <c r="I60" s="11"/>
      <c r="J60" s="11"/>
      <c r="K60" s="18"/>
      <c r="L60" s="18"/>
      <c r="M60" s="11"/>
      <c r="N60" s="11"/>
      <c r="O60" s="11"/>
      <c r="P60" s="11"/>
      <c r="Q60" s="11"/>
      <c r="R60" s="11"/>
      <c r="S60" s="12" t="str">
        <f aca="false">IF(R60="","",INDEX(Catalogos!$Y$5:$Y$25,MATCH(R60,L_IMP,0)))</f>
        <v/>
      </c>
      <c r="T60" s="11"/>
      <c r="U60" s="11"/>
      <c r="V60" s="11"/>
      <c r="W60" s="10" t="str">
        <f aca="false">IF(H60="","Pendiente por formular",IF(OR(J60="",K60="",L60="",M60="",N60="",O60="",Q60="",R60="",B60="",C60="",G60=""),"Incompleta: faltan campos obligatorios",IF(OR(NOT(ISNUMBER(K60)),NOT(ISNUMBER(L60))),"Fecha inválida",IF(L60&lt;K60,"La fecha de fin es anterior a la de inicio",IF(OR(YEAR(K60)&lt;&gt;2027,YEAR(L60)&lt;&gt;2027),"Fechas fuera de la vigencia 2027",IF(ISERROR(SEARCH("@itc.edu.co",M60)),"El responsable no tiene correo institucional",IF(ISERROR(SEARCH(Q60,INDEX(Catalogos!$Z$5:$Z$25,MATCH(R60,L_IMP,0)))),"La dimensión no corresponde al indicador de impacto","OK")))))))</f>
        <v>Pendiente por formular</v>
      </c>
    </row>
    <row r="61" customFormat="false" ht="14.25" hidden="false" customHeight="false" outlineLevel="0" collapsed="false">
      <c r="A61" s="12" t="n">
        <v>11</v>
      </c>
      <c r="B61" s="11"/>
      <c r="C61" s="11"/>
      <c r="D61" s="12" t="str">
        <f aca="false">IF(C61="","",INDEX(Catalogos!$C$5:$C$49,MATCH(LEFT(C61,7),Catalogos!$A$5:$A$49,0)))</f>
        <v/>
      </c>
      <c r="E61" s="12" t="str">
        <f aca="false">IF(C61="","",INDEX(Catalogos!$D$5:$D$49,MATCH(LEFT(C61,7),Catalogos!$A$5:$A$49,0))&amp;" "&amp;INDEX(Catalogos!$E$5:$E$49,MATCH(LEFT(C61,7),Catalogos!$A$5:$A$49,0)))</f>
        <v/>
      </c>
      <c r="F61" s="12" t="str">
        <f aca="false">IF(C61="","",INDEX(Catalogos!$F$5:$F$49,MATCH(LEFT(C61,7),Catalogos!$A$5:$A$49,0)))</f>
        <v/>
      </c>
      <c r="G61" s="11"/>
      <c r="H61" s="11"/>
      <c r="I61" s="11"/>
      <c r="J61" s="11"/>
      <c r="K61" s="18"/>
      <c r="L61" s="18"/>
      <c r="M61" s="11"/>
      <c r="N61" s="11"/>
      <c r="O61" s="11"/>
      <c r="P61" s="11"/>
      <c r="Q61" s="11"/>
      <c r="R61" s="11"/>
      <c r="S61" s="12" t="str">
        <f aca="false">IF(R61="","",INDEX(Catalogos!$Y$5:$Y$25,MATCH(R61,L_IMP,0)))</f>
        <v/>
      </c>
      <c r="T61" s="11"/>
      <c r="U61" s="11"/>
      <c r="V61" s="11"/>
      <c r="W61" s="10" t="str">
        <f aca="false">IF(H61="","Pendiente por formular",IF(OR(J61="",K61="",L61="",M61="",N61="",O61="",Q61="",R61="",B61="",C61="",G61=""),"Incompleta: faltan campos obligatorios",IF(OR(NOT(ISNUMBER(K61)),NOT(ISNUMBER(L61))),"Fecha inválida",IF(L61&lt;K61,"La fecha de fin es anterior a la de inicio",IF(OR(YEAR(K61)&lt;&gt;2027,YEAR(L61)&lt;&gt;2027),"Fechas fuera de la vigencia 2027",IF(ISERROR(SEARCH("@itc.edu.co",M61)),"El responsable no tiene correo institucional",IF(ISERROR(SEARCH(Q61,INDEX(Catalogos!$Z$5:$Z$25,MATCH(R61,L_IMP,0)))),"La dimensión no corresponde al indicador de impacto","OK")))))))</f>
        <v>Pendiente por formular</v>
      </c>
    </row>
    <row r="62" customFormat="false" ht="14.25" hidden="false" customHeight="false" outlineLevel="0" collapsed="false">
      <c r="A62" s="12" t="n">
        <v>12</v>
      </c>
      <c r="B62" s="11"/>
      <c r="C62" s="11"/>
      <c r="D62" s="12" t="str">
        <f aca="false">IF(C62="","",INDEX(Catalogos!$C$5:$C$49,MATCH(LEFT(C62,7),Catalogos!$A$5:$A$49,0)))</f>
        <v/>
      </c>
      <c r="E62" s="12" t="str">
        <f aca="false">IF(C62="","",INDEX(Catalogos!$D$5:$D$49,MATCH(LEFT(C62,7),Catalogos!$A$5:$A$49,0))&amp;" "&amp;INDEX(Catalogos!$E$5:$E$49,MATCH(LEFT(C62,7),Catalogos!$A$5:$A$49,0)))</f>
        <v/>
      </c>
      <c r="F62" s="12" t="str">
        <f aca="false">IF(C62="","",INDEX(Catalogos!$F$5:$F$49,MATCH(LEFT(C62,7),Catalogos!$A$5:$A$49,0)))</f>
        <v/>
      </c>
      <c r="G62" s="11"/>
      <c r="H62" s="11"/>
      <c r="I62" s="11"/>
      <c r="J62" s="11"/>
      <c r="K62" s="18"/>
      <c r="L62" s="18"/>
      <c r="M62" s="11"/>
      <c r="N62" s="11"/>
      <c r="O62" s="11"/>
      <c r="P62" s="11"/>
      <c r="Q62" s="11"/>
      <c r="R62" s="11"/>
      <c r="S62" s="12" t="str">
        <f aca="false">IF(R62="","",INDEX(Catalogos!$Y$5:$Y$25,MATCH(R62,L_IMP,0)))</f>
        <v/>
      </c>
      <c r="T62" s="11"/>
      <c r="U62" s="11"/>
      <c r="V62" s="11"/>
      <c r="W62" s="10" t="str">
        <f aca="false">IF(H62="","Pendiente por formular",IF(OR(J62="",K62="",L62="",M62="",N62="",O62="",Q62="",R62="",B62="",C62="",G62=""),"Incompleta: faltan campos obligatorios",IF(OR(NOT(ISNUMBER(K62)),NOT(ISNUMBER(L62))),"Fecha inválida",IF(L62&lt;K62,"La fecha de fin es anterior a la de inicio",IF(OR(YEAR(K62)&lt;&gt;2027,YEAR(L62)&lt;&gt;2027),"Fechas fuera de la vigencia 2027",IF(ISERROR(SEARCH("@itc.edu.co",M62)),"El responsable no tiene correo institucional",IF(ISERROR(SEARCH(Q62,INDEX(Catalogos!$Z$5:$Z$25,MATCH(R62,L_IMP,0)))),"La dimensión no corresponde al indicador de impacto","OK")))))))</f>
        <v>Pendiente por formular</v>
      </c>
    </row>
    <row r="63" customFormat="false" ht="14.25" hidden="false" customHeight="false" outlineLevel="0" collapsed="false">
      <c r="A63" s="12" t="n">
        <v>13</v>
      </c>
      <c r="B63" s="11"/>
      <c r="C63" s="11"/>
      <c r="D63" s="12" t="str">
        <f aca="false">IF(C63="","",INDEX(Catalogos!$C$5:$C$49,MATCH(LEFT(C63,7),Catalogos!$A$5:$A$49,0)))</f>
        <v/>
      </c>
      <c r="E63" s="12" t="str">
        <f aca="false">IF(C63="","",INDEX(Catalogos!$D$5:$D$49,MATCH(LEFT(C63,7),Catalogos!$A$5:$A$49,0))&amp;" "&amp;INDEX(Catalogos!$E$5:$E$49,MATCH(LEFT(C63,7),Catalogos!$A$5:$A$49,0)))</f>
        <v/>
      </c>
      <c r="F63" s="12" t="str">
        <f aca="false">IF(C63="","",INDEX(Catalogos!$F$5:$F$49,MATCH(LEFT(C63,7),Catalogos!$A$5:$A$49,0)))</f>
        <v/>
      </c>
      <c r="G63" s="11"/>
      <c r="H63" s="11"/>
      <c r="I63" s="11"/>
      <c r="J63" s="11"/>
      <c r="K63" s="18"/>
      <c r="L63" s="18"/>
      <c r="M63" s="11"/>
      <c r="N63" s="11"/>
      <c r="O63" s="11"/>
      <c r="P63" s="11"/>
      <c r="Q63" s="11"/>
      <c r="R63" s="11"/>
      <c r="S63" s="12" t="str">
        <f aca="false">IF(R63="","",INDEX(Catalogos!$Y$5:$Y$25,MATCH(R63,L_IMP,0)))</f>
        <v/>
      </c>
      <c r="T63" s="11"/>
      <c r="U63" s="11"/>
      <c r="V63" s="11"/>
      <c r="W63" s="10" t="str">
        <f aca="false">IF(H63="","Pendiente por formular",IF(OR(J63="",K63="",L63="",M63="",N63="",O63="",Q63="",R63="",B63="",C63="",G63=""),"Incompleta: faltan campos obligatorios",IF(OR(NOT(ISNUMBER(K63)),NOT(ISNUMBER(L63))),"Fecha inválida",IF(L63&lt;K63,"La fecha de fin es anterior a la de inicio",IF(OR(YEAR(K63)&lt;&gt;2027,YEAR(L63)&lt;&gt;2027),"Fechas fuera de la vigencia 2027",IF(ISERROR(SEARCH("@itc.edu.co",M63)),"El responsable no tiene correo institucional",IF(ISERROR(SEARCH(Q63,INDEX(Catalogos!$Z$5:$Z$25,MATCH(R63,L_IMP,0)))),"La dimensión no corresponde al indicador de impacto","OK")))))))</f>
        <v>Pendiente por formular</v>
      </c>
    </row>
    <row r="64" customFormat="false" ht="14.25" hidden="false" customHeight="false" outlineLevel="0" collapsed="false">
      <c r="A64" s="12" t="n">
        <v>14</v>
      </c>
      <c r="B64" s="11"/>
      <c r="C64" s="11"/>
      <c r="D64" s="12" t="str">
        <f aca="false">IF(C64="","",INDEX(Catalogos!$C$5:$C$49,MATCH(LEFT(C64,7),Catalogos!$A$5:$A$49,0)))</f>
        <v/>
      </c>
      <c r="E64" s="12" t="str">
        <f aca="false">IF(C64="","",INDEX(Catalogos!$D$5:$D$49,MATCH(LEFT(C64,7),Catalogos!$A$5:$A$49,0))&amp;" "&amp;INDEX(Catalogos!$E$5:$E$49,MATCH(LEFT(C64,7),Catalogos!$A$5:$A$49,0)))</f>
        <v/>
      </c>
      <c r="F64" s="12" t="str">
        <f aca="false">IF(C64="","",INDEX(Catalogos!$F$5:$F$49,MATCH(LEFT(C64,7),Catalogos!$A$5:$A$49,0)))</f>
        <v/>
      </c>
      <c r="G64" s="11"/>
      <c r="H64" s="11"/>
      <c r="I64" s="11"/>
      <c r="J64" s="11"/>
      <c r="K64" s="18"/>
      <c r="L64" s="18"/>
      <c r="M64" s="11"/>
      <c r="N64" s="11"/>
      <c r="O64" s="11"/>
      <c r="P64" s="11"/>
      <c r="Q64" s="11"/>
      <c r="R64" s="11"/>
      <c r="S64" s="12" t="str">
        <f aca="false">IF(R64="","",INDEX(Catalogos!$Y$5:$Y$25,MATCH(R64,L_IMP,0)))</f>
        <v/>
      </c>
      <c r="T64" s="11"/>
      <c r="U64" s="11"/>
      <c r="V64" s="11"/>
      <c r="W64" s="10" t="str">
        <f aca="false">IF(H64="","Pendiente por formular",IF(OR(J64="",K64="",L64="",M64="",N64="",O64="",Q64="",R64="",B64="",C64="",G64=""),"Incompleta: faltan campos obligatorios",IF(OR(NOT(ISNUMBER(K64)),NOT(ISNUMBER(L64))),"Fecha inválida",IF(L64&lt;K64,"La fecha de fin es anterior a la de inicio",IF(OR(YEAR(K64)&lt;&gt;2027,YEAR(L64)&lt;&gt;2027),"Fechas fuera de la vigencia 2027",IF(ISERROR(SEARCH("@itc.edu.co",M64)),"El responsable no tiene correo institucional",IF(ISERROR(SEARCH(Q64,INDEX(Catalogos!$Z$5:$Z$25,MATCH(R64,L_IMP,0)))),"La dimensión no corresponde al indicador de impacto","OK")))))))</f>
        <v>Pendiente por formular</v>
      </c>
    </row>
    <row r="65" customFormat="false" ht="14.25" hidden="false" customHeight="false" outlineLevel="0" collapsed="false">
      <c r="A65" s="12" t="n">
        <v>15</v>
      </c>
      <c r="B65" s="11"/>
      <c r="C65" s="11"/>
      <c r="D65" s="12" t="str">
        <f aca="false">IF(C65="","",INDEX(Catalogos!$C$5:$C$49,MATCH(LEFT(C65,7),Catalogos!$A$5:$A$49,0)))</f>
        <v/>
      </c>
      <c r="E65" s="12" t="str">
        <f aca="false">IF(C65="","",INDEX(Catalogos!$D$5:$D$49,MATCH(LEFT(C65,7),Catalogos!$A$5:$A$49,0))&amp;" "&amp;INDEX(Catalogos!$E$5:$E$49,MATCH(LEFT(C65,7),Catalogos!$A$5:$A$49,0)))</f>
        <v/>
      </c>
      <c r="F65" s="12" t="str">
        <f aca="false">IF(C65="","",INDEX(Catalogos!$F$5:$F$49,MATCH(LEFT(C65,7),Catalogos!$A$5:$A$49,0)))</f>
        <v/>
      </c>
      <c r="G65" s="11"/>
      <c r="H65" s="11"/>
      <c r="I65" s="11"/>
      <c r="J65" s="11"/>
      <c r="K65" s="18"/>
      <c r="L65" s="18"/>
      <c r="M65" s="11"/>
      <c r="N65" s="11"/>
      <c r="O65" s="11"/>
      <c r="P65" s="11"/>
      <c r="Q65" s="11"/>
      <c r="R65" s="11"/>
      <c r="S65" s="12" t="str">
        <f aca="false">IF(R65="","",INDEX(Catalogos!$Y$5:$Y$25,MATCH(R65,L_IMP,0)))</f>
        <v/>
      </c>
      <c r="T65" s="11"/>
      <c r="U65" s="11"/>
      <c r="V65" s="11"/>
      <c r="W65" s="10" t="str">
        <f aca="false">IF(H65="","Pendiente por formular",IF(OR(J65="",K65="",L65="",M65="",N65="",O65="",Q65="",R65="",B65="",C65="",G65=""),"Incompleta: faltan campos obligatorios",IF(OR(NOT(ISNUMBER(K65)),NOT(ISNUMBER(L65))),"Fecha inválida",IF(L65&lt;K65,"La fecha de fin es anterior a la de inicio",IF(OR(YEAR(K65)&lt;&gt;2027,YEAR(L65)&lt;&gt;2027),"Fechas fuera de la vigencia 2027",IF(ISERROR(SEARCH("@itc.edu.co",M65)),"El responsable no tiene correo institucional",IF(ISERROR(SEARCH(Q65,INDEX(Catalogos!$Z$5:$Z$25,MATCH(R65,L_IMP,0)))),"La dimensión no corresponde al indicador de impacto","OK")))))))</f>
        <v>Pendiente por formular</v>
      </c>
    </row>
    <row r="66" customFormat="false" ht="14.25" hidden="false" customHeight="false" outlineLevel="0" collapsed="false">
      <c r="A66" s="12" t="n">
        <v>16</v>
      </c>
      <c r="B66" s="11"/>
      <c r="C66" s="11"/>
      <c r="D66" s="12" t="str">
        <f aca="false">IF(C66="","",INDEX(Catalogos!$C$5:$C$49,MATCH(LEFT(C66,7),Catalogos!$A$5:$A$49,0)))</f>
        <v/>
      </c>
      <c r="E66" s="12" t="str">
        <f aca="false">IF(C66="","",INDEX(Catalogos!$D$5:$D$49,MATCH(LEFT(C66,7),Catalogos!$A$5:$A$49,0))&amp;" "&amp;INDEX(Catalogos!$E$5:$E$49,MATCH(LEFT(C66,7),Catalogos!$A$5:$A$49,0)))</f>
        <v/>
      </c>
      <c r="F66" s="12" t="str">
        <f aca="false">IF(C66="","",INDEX(Catalogos!$F$5:$F$49,MATCH(LEFT(C66,7),Catalogos!$A$5:$A$49,0)))</f>
        <v/>
      </c>
      <c r="G66" s="11"/>
      <c r="H66" s="11"/>
      <c r="I66" s="11"/>
      <c r="J66" s="11"/>
      <c r="K66" s="18"/>
      <c r="L66" s="18"/>
      <c r="M66" s="11"/>
      <c r="N66" s="11"/>
      <c r="O66" s="11"/>
      <c r="P66" s="11"/>
      <c r="Q66" s="11"/>
      <c r="R66" s="11"/>
      <c r="S66" s="12" t="str">
        <f aca="false">IF(R66="","",INDEX(Catalogos!$Y$5:$Y$25,MATCH(R66,L_IMP,0)))</f>
        <v/>
      </c>
      <c r="T66" s="11"/>
      <c r="U66" s="11"/>
      <c r="V66" s="11"/>
      <c r="W66" s="10" t="str">
        <f aca="false">IF(H66="","Pendiente por formular",IF(OR(J66="",K66="",L66="",M66="",N66="",O66="",Q66="",R66="",B66="",C66="",G66=""),"Incompleta: faltan campos obligatorios",IF(OR(NOT(ISNUMBER(K66)),NOT(ISNUMBER(L66))),"Fecha inválida",IF(L66&lt;K66,"La fecha de fin es anterior a la de inicio",IF(OR(YEAR(K66)&lt;&gt;2027,YEAR(L66)&lt;&gt;2027),"Fechas fuera de la vigencia 2027",IF(ISERROR(SEARCH("@itc.edu.co",M66)),"El responsable no tiene correo institucional",IF(ISERROR(SEARCH(Q66,INDEX(Catalogos!$Z$5:$Z$25,MATCH(R66,L_IMP,0)))),"La dimensión no corresponde al indicador de impacto","OK")))))))</f>
        <v>Pendiente por formular</v>
      </c>
    </row>
    <row r="67" customFormat="false" ht="14.25" hidden="false" customHeight="false" outlineLevel="0" collapsed="false">
      <c r="A67" s="12" t="n">
        <v>17</v>
      </c>
      <c r="B67" s="11"/>
      <c r="C67" s="11"/>
      <c r="D67" s="12" t="str">
        <f aca="false">IF(C67="","",INDEX(Catalogos!$C$5:$C$49,MATCH(LEFT(C67,7),Catalogos!$A$5:$A$49,0)))</f>
        <v/>
      </c>
      <c r="E67" s="12" t="str">
        <f aca="false">IF(C67="","",INDEX(Catalogos!$D$5:$D$49,MATCH(LEFT(C67,7),Catalogos!$A$5:$A$49,0))&amp;" "&amp;INDEX(Catalogos!$E$5:$E$49,MATCH(LEFT(C67,7),Catalogos!$A$5:$A$49,0)))</f>
        <v/>
      </c>
      <c r="F67" s="12" t="str">
        <f aca="false">IF(C67="","",INDEX(Catalogos!$F$5:$F$49,MATCH(LEFT(C67,7),Catalogos!$A$5:$A$49,0)))</f>
        <v/>
      </c>
      <c r="G67" s="11"/>
      <c r="H67" s="11"/>
      <c r="I67" s="11"/>
      <c r="J67" s="11"/>
      <c r="K67" s="18"/>
      <c r="L67" s="18"/>
      <c r="M67" s="11"/>
      <c r="N67" s="11"/>
      <c r="O67" s="11"/>
      <c r="P67" s="11"/>
      <c r="Q67" s="11"/>
      <c r="R67" s="11"/>
      <c r="S67" s="12" t="str">
        <f aca="false">IF(R67="","",INDEX(Catalogos!$Y$5:$Y$25,MATCH(R67,L_IMP,0)))</f>
        <v/>
      </c>
      <c r="T67" s="11"/>
      <c r="U67" s="11"/>
      <c r="V67" s="11"/>
      <c r="W67" s="10" t="str">
        <f aca="false">IF(H67="","Pendiente por formular",IF(OR(J67="",K67="",L67="",M67="",N67="",O67="",Q67="",R67="",B67="",C67="",G67=""),"Incompleta: faltan campos obligatorios",IF(OR(NOT(ISNUMBER(K67)),NOT(ISNUMBER(L67))),"Fecha inválida",IF(L67&lt;K67,"La fecha de fin es anterior a la de inicio",IF(OR(YEAR(K67)&lt;&gt;2027,YEAR(L67)&lt;&gt;2027),"Fechas fuera de la vigencia 2027",IF(ISERROR(SEARCH("@itc.edu.co",M67)),"El responsable no tiene correo institucional",IF(ISERROR(SEARCH(Q67,INDEX(Catalogos!$Z$5:$Z$25,MATCH(R67,L_IMP,0)))),"La dimensión no corresponde al indicador de impacto","OK")))))))</f>
        <v>Pendiente por formular</v>
      </c>
    </row>
    <row r="68" customFormat="false" ht="14.25" hidden="false" customHeight="false" outlineLevel="0" collapsed="false">
      <c r="A68" s="12" t="n">
        <v>18</v>
      </c>
      <c r="B68" s="11"/>
      <c r="C68" s="11"/>
      <c r="D68" s="12" t="str">
        <f aca="false">IF(C68="","",INDEX(Catalogos!$C$5:$C$49,MATCH(LEFT(C68,7),Catalogos!$A$5:$A$49,0)))</f>
        <v/>
      </c>
      <c r="E68" s="12" t="str">
        <f aca="false">IF(C68="","",INDEX(Catalogos!$D$5:$D$49,MATCH(LEFT(C68,7),Catalogos!$A$5:$A$49,0))&amp;" "&amp;INDEX(Catalogos!$E$5:$E$49,MATCH(LEFT(C68,7),Catalogos!$A$5:$A$49,0)))</f>
        <v/>
      </c>
      <c r="F68" s="12" t="str">
        <f aca="false">IF(C68="","",INDEX(Catalogos!$F$5:$F$49,MATCH(LEFT(C68,7),Catalogos!$A$5:$A$49,0)))</f>
        <v/>
      </c>
      <c r="G68" s="11"/>
      <c r="H68" s="11"/>
      <c r="I68" s="11"/>
      <c r="J68" s="11"/>
      <c r="K68" s="18"/>
      <c r="L68" s="18"/>
      <c r="M68" s="11"/>
      <c r="N68" s="11"/>
      <c r="O68" s="11"/>
      <c r="P68" s="11"/>
      <c r="Q68" s="11"/>
      <c r="R68" s="11"/>
      <c r="S68" s="12" t="str">
        <f aca="false">IF(R68="","",INDEX(Catalogos!$Y$5:$Y$25,MATCH(R68,L_IMP,0)))</f>
        <v/>
      </c>
      <c r="T68" s="11"/>
      <c r="U68" s="11"/>
      <c r="V68" s="11"/>
      <c r="W68" s="10" t="str">
        <f aca="false">IF(H68="","Pendiente por formular",IF(OR(J68="",K68="",L68="",M68="",N68="",O68="",Q68="",R68="",B68="",C68="",G68=""),"Incompleta: faltan campos obligatorios",IF(OR(NOT(ISNUMBER(K68)),NOT(ISNUMBER(L68))),"Fecha inválida",IF(L68&lt;K68,"La fecha de fin es anterior a la de inicio",IF(OR(YEAR(K68)&lt;&gt;2027,YEAR(L68)&lt;&gt;2027),"Fechas fuera de la vigencia 2027",IF(ISERROR(SEARCH("@itc.edu.co",M68)),"El responsable no tiene correo institucional",IF(ISERROR(SEARCH(Q68,INDEX(Catalogos!$Z$5:$Z$25,MATCH(R68,L_IMP,0)))),"La dimensión no corresponde al indicador de impacto","OK")))))))</f>
        <v>Pendiente por formular</v>
      </c>
    </row>
    <row r="69" customFormat="false" ht="14.25" hidden="false" customHeight="false" outlineLevel="0" collapsed="false">
      <c r="A69" s="12" t="n">
        <v>19</v>
      </c>
      <c r="B69" s="11"/>
      <c r="C69" s="11"/>
      <c r="D69" s="12" t="str">
        <f aca="false">IF(C69="","",INDEX(Catalogos!$C$5:$C$49,MATCH(LEFT(C69,7),Catalogos!$A$5:$A$49,0)))</f>
        <v/>
      </c>
      <c r="E69" s="12" t="str">
        <f aca="false">IF(C69="","",INDEX(Catalogos!$D$5:$D$49,MATCH(LEFT(C69,7),Catalogos!$A$5:$A$49,0))&amp;" "&amp;INDEX(Catalogos!$E$5:$E$49,MATCH(LEFT(C69,7),Catalogos!$A$5:$A$49,0)))</f>
        <v/>
      </c>
      <c r="F69" s="12" t="str">
        <f aca="false">IF(C69="","",INDEX(Catalogos!$F$5:$F$49,MATCH(LEFT(C69,7),Catalogos!$A$5:$A$49,0)))</f>
        <v/>
      </c>
      <c r="G69" s="11"/>
      <c r="H69" s="11"/>
      <c r="I69" s="11"/>
      <c r="J69" s="11"/>
      <c r="K69" s="18"/>
      <c r="L69" s="18"/>
      <c r="M69" s="11"/>
      <c r="N69" s="11"/>
      <c r="O69" s="11"/>
      <c r="P69" s="11"/>
      <c r="Q69" s="11"/>
      <c r="R69" s="11"/>
      <c r="S69" s="12" t="str">
        <f aca="false">IF(R69="","",INDEX(Catalogos!$Y$5:$Y$25,MATCH(R69,L_IMP,0)))</f>
        <v/>
      </c>
      <c r="T69" s="11"/>
      <c r="U69" s="11"/>
      <c r="V69" s="11"/>
      <c r="W69" s="10" t="str">
        <f aca="false">IF(H69="","Pendiente por formular",IF(OR(J69="",K69="",L69="",M69="",N69="",O69="",Q69="",R69="",B69="",C69="",G69=""),"Incompleta: faltan campos obligatorios",IF(OR(NOT(ISNUMBER(K69)),NOT(ISNUMBER(L69))),"Fecha inválida",IF(L69&lt;K69,"La fecha de fin es anterior a la de inicio",IF(OR(YEAR(K69)&lt;&gt;2027,YEAR(L69)&lt;&gt;2027),"Fechas fuera de la vigencia 2027",IF(ISERROR(SEARCH("@itc.edu.co",M69)),"El responsable no tiene correo institucional",IF(ISERROR(SEARCH(Q69,INDEX(Catalogos!$Z$5:$Z$25,MATCH(R69,L_IMP,0)))),"La dimensión no corresponde al indicador de impacto","OK")))))))</f>
        <v>Pendiente por formular</v>
      </c>
    </row>
    <row r="70" customFormat="false" ht="14.25" hidden="false" customHeight="false" outlineLevel="0" collapsed="false">
      <c r="A70" s="12" t="n">
        <v>20</v>
      </c>
      <c r="B70" s="11"/>
      <c r="C70" s="11"/>
      <c r="D70" s="12" t="str">
        <f aca="false">IF(C70="","",INDEX(Catalogos!$C$5:$C$49,MATCH(LEFT(C70,7),Catalogos!$A$5:$A$49,0)))</f>
        <v/>
      </c>
      <c r="E70" s="12" t="str">
        <f aca="false">IF(C70="","",INDEX(Catalogos!$D$5:$D$49,MATCH(LEFT(C70,7),Catalogos!$A$5:$A$49,0))&amp;" "&amp;INDEX(Catalogos!$E$5:$E$49,MATCH(LEFT(C70,7),Catalogos!$A$5:$A$49,0)))</f>
        <v/>
      </c>
      <c r="F70" s="12" t="str">
        <f aca="false">IF(C70="","",INDEX(Catalogos!$F$5:$F$49,MATCH(LEFT(C70,7),Catalogos!$A$5:$A$49,0)))</f>
        <v/>
      </c>
      <c r="G70" s="11"/>
      <c r="H70" s="11"/>
      <c r="I70" s="11"/>
      <c r="J70" s="11"/>
      <c r="K70" s="18"/>
      <c r="L70" s="18"/>
      <c r="M70" s="11"/>
      <c r="N70" s="11"/>
      <c r="O70" s="11"/>
      <c r="P70" s="11"/>
      <c r="Q70" s="11"/>
      <c r="R70" s="11"/>
      <c r="S70" s="12" t="str">
        <f aca="false">IF(R70="","",INDEX(Catalogos!$Y$5:$Y$25,MATCH(R70,L_IMP,0)))</f>
        <v/>
      </c>
      <c r="T70" s="11"/>
      <c r="U70" s="11"/>
      <c r="V70" s="11"/>
      <c r="W70" s="10" t="str">
        <f aca="false">IF(H70="","Pendiente por formular",IF(OR(J70="",K70="",L70="",M70="",N70="",O70="",Q70="",R70="",B70="",C70="",G70=""),"Incompleta: faltan campos obligatorios",IF(OR(NOT(ISNUMBER(K70)),NOT(ISNUMBER(L70))),"Fecha inválida",IF(L70&lt;K70,"La fecha de fin es anterior a la de inicio",IF(OR(YEAR(K70)&lt;&gt;2027,YEAR(L70)&lt;&gt;2027),"Fechas fuera de la vigencia 2027",IF(ISERROR(SEARCH("@itc.edu.co",M70)),"El responsable no tiene correo institucional",IF(ISERROR(SEARCH(Q70,INDEX(Catalogos!$Z$5:$Z$25,MATCH(R70,L_IMP,0)))),"La dimensión no corresponde al indicador de impacto","OK")))))))</f>
        <v>Pendiente por formular</v>
      </c>
    </row>
    <row r="71" customFormat="false" ht="14.25" hidden="false" customHeight="false" outlineLevel="0" collapsed="false">
      <c r="A71" s="12" t="n">
        <v>21</v>
      </c>
      <c r="B71" s="11"/>
      <c r="C71" s="11"/>
      <c r="D71" s="12" t="str">
        <f aca="false">IF(C71="","",INDEX(Catalogos!$C$5:$C$49,MATCH(LEFT(C71,7),Catalogos!$A$5:$A$49,0)))</f>
        <v/>
      </c>
      <c r="E71" s="12" t="str">
        <f aca="false">IF(C71="","",INDEX(Catalogos!$D$5:$D$49,MATCH(LEFT(C71,7),Catalogos!$A$5:$A$49,0))&amp;" "&amp;INDEX(Catalogos!$E$5:$E$49,MATCH(LEFT(C71,7),Catalogos!$A$5:$A$49,0)))</f>
        <v/>
      </c>
      <c r="F71" s="12" t="str">
        <f aca="false">IF(C71="","",INDEX(Catalogos!$F$5:$F$49,MATCH(LEFT(C71,7),Catalogos!$A$5:$A$49,0)))</f>
        <v/>
      </c>
      <c r="G71" s="11"/>
      <c r="H71" s="11"/>
      <c r="I71" s="11"/>
      <c r="J71" s="11"/>
      <c r="K71" s="18"/>
      <c r="L71" s="18"/>
      <c r="M71" s="11"/>
      <c r="N71" s="11"/>
      <c r="O71" s="11"/>
      <c r="P71" s="11"/>
      <c r="Q71" s="11"/>
      <c r="R71" s="11"/>
      <c r="S71" s="12" t="str">
        <f aca="false">IF(R71="","",INDEX(Catalogos!$Y$5:$Y$25,MATCH(R71,L_IMP,0)))</f>
        <v/>
      </c>
      <c r="T71" s="11"/>
      <c r="U71" s="11"/>
      <c r="V71" s="11"/>
      <c r="W71" s="10" t="str">
        <f aca="false">IF(H71="","Pendiente por formular",IF(OR(J71="",K71="",L71="",M71="",N71="",O71="",Q71="",R71="",B71="",C71="",G71=""),"Incompleta: faltan campos obligatorios",IF(OR(NOT(ISNUMBER(K71)),NOT(ISNUMBER(L71))),"Fecha inválida",IF(L71&lt;K71,"La fecha de fin es anterior a la de inicio",IF(OR(YEAR(K71)&lt;&gt;2027,YEAR(L71)&lt;&gt;2027),"Fechas fuera de la vigencia 2027",IF(ISERROR(SEARCH("@itc.edu.co",M71)),"El responsable no tiene correo institucional",IF(ISERROR(SEARCH(Q71,INDEX(Catalogos!$Z$5:$Z$25,MATCH(R71,L_IMP,0)))),"La dimensión no corresponde al indicador de impacto","OK")))))))</f>
        <v>Pendiente por formular</v>
      </c>
    </row>
    <row r="72" customFormat="false" ht="14.25" hidden="false" customHeight="false" outlineLevel="0" collapsed="false">
      <c r="A72" s="12" t="n">
        <v>22</v>
      </c>
      <c r="B72" s="11"/>
      <c r="C72" s="11"/>
      <c r="D72" s="12" t="str">
        <f aca="false">IF(C72="","",INDEX(Catalogos!$C$5:$C$49,MATCH(LEFT(C72,7),Catalogos!$A$5:$A$49,0)))</f>
        <v/>
      </c>
      <c r="E72" s="12" t="str">
        <f aca="false">IF(C72="","",INDEX(Catalogos!$D$5:$D$49,MATCH(LEFT(C72,7),Catalogos!$A$5:$A$49,0))&amp;" "&amp;INDEX(Catalogos!$E$5:$E$49,MATCH(LEFT(C72,7),Catalogos!$A$5:$A$49,0)))</f>
        <v/>
      </c>
      <c r="F72" s="12" t="str">
        <f aca="false">IF(C72="","",INDEX(Catalogos!$F$5:$F$49,MATCH(LEFT(C72,7),Catalogos!$A$5:$A$49,0)))</f>
        <v/>
      </c>
      <c r="G72" s="11"/>
      <c r="H72" s="11"/>
      <c r="I72" s="11"/>
      <c r="J72" s="11"/>
      <c r="K72" s="18"/>
      <c r="L72" s="18"/>
      <c r="M72" s="11"/>
      <c r="N72" s="11"/>
      <c r="O72" s="11"/>
      <c r="P72" s="11"/>
      <c r="Q72" s="11"/>
      <c r="R72" s="11"/>
      <c r="S72" s="12" t="str">
        <f aca="false">IF(R72="","",INDEX(Catalogos!$Y$5:$Y$25,MATCH(R72,L_IMP,0)))</f>
        <v/>
      </c>
      <c r="T72" s="11"/>
      <c r="U72" s="11"/>
      <c r="V72" s="11"/>
      <c r="W72" s="10" t="str">
        <f aca="false">IF(H72="","Pendiente por formular",IF(OR(J72="",K72="",L72="",M72="",N72="",O72="",Q72="",R72="",B72="",C72="",G72=""),"Incompleta: faltan campos obligatorios",IF(OR(NOT(ISNUMBER(K72)),NOT(ISNUMBER(L72))),"Fecha inválida",IF(L72&lt;K72,"La fecha de fin es anterior a la de inicio",IF(OR(YEAR(K72)&lt;&gt;2027,YEAR(L72)&lt;&gt;2027),"Fechas fuera de la vigencia 2027",IF(ISERROR(SEARCH("@itc.edu.co",M72)),"El responsable no tiene correo institucional",IF(ISERROR(SEARCH(Q72,INDEX(Catalogos!$Z$5:$Z$25,MATCH(R72,L_IMP,0)))),"La dimensión no corresponde al indicador de impacto","OK")))))))</f>
        <v>Pendiente por formular</v>
      </c>
    </row>
    <row r="73" customFormat="false" ht="14.25" hidden="false" customHeight="false" outlineLevel="0" collapsed="false">
      <c r="A73" s="12" t="n">
        <v>23</v>
      </c>
      <c r="B73" s="11"/>
      <c r="C73" s="11"/>
      <c r="D73" s="12" t="str">
        <f aca="false">IF(C73="","",INDEX(Catalogos!$C$5:$C$49,MATCH(LEFT(C73,7),Catalogos!$A$5:$A$49,0)))</f>
        <v/>
      </c>
      <c r="E73" s="12" t="str">
        <f aca="false">IF(C73="","",INDEX(Catalogos!$D$5:$D$49,MATCH(LEFT(C73,7),Catalogos!$A$5:$A$49,0))&amp;" "&amp;INDEX(Catalogos!$E$5:$E$49,MATCH(LEFT(C73,7),Catalogos!$A$5:$A$49,0)))</f>
        <v/>
      </c>
      <c r="F73" s="12" t="str">
        <f aca="false">IF(C73="","",INDEX(Catalogos!$F$5:$F$49,MATCH(LEFT(C73,7),Catalogos!$A$5:$A$49,0)))</f>
        <v/>
      </c>
      <c r="G73" s="11"/>
      <c r="H73" s="11"/>
      <c r="I73" s="11"/>
      <c r="J73" s="11"/>
      <c r="K73" s="18"/>
      <c r="L73" s="18"/>
      <c r="M73" s="11"/>
      <c r="N73" s="11"/>
      <c r="O73" s="11"/>
      <c r="P73" s="11"/>
      <c r="Q73" s="11"/>
      <c r="R73" s="11"/>
      <c r="S73" s="12" t="str">
        <f aca="false">IF(R73="","",INDEX(Catalogos!$Y$5:$Y$25,MATCH(R73,L_IMP,0)))</f>
        <v/>
      </c>
      <c r="T73" s="11"/>
      <c r="U73" s="11"/>
      <c r="V73" s="11"/>
      <c r="W73" s="10" t="str">
        <f aca="false">IF(H73="","Pendiente por formular",IF(OR(J73="",K73="",L73="",M73="",N73="",O73="",Q73="",R73="",B73="",C73="",G73=""),"Incompleta: faltan campos obligatorios",IF(OR(NOT(ISNUMBER(K73)),NOT(ISNUMBER(L73))),"Fecha inválida",IF(L73&lt;K73,"La fecha de fin es anterior a la de inicio",IF(OR(YEAR(K73)&lt;&gt;2027,YEAR(L73)&lt;&gt;2027),"Fechas fuera de la vigencia 2027",IF(ISERROR(SEARCH("@itc.edu.co",M73)),"El responsable no tiene correo institucional",IF(ISERROR(SEARCH(Q73,INDEX(Catalogos!$Z$5:$Z$25,MATCH(R73,L_IMP,0)))),"La dimensión no corresponde al indicador de impacto","OK")))))))</f>
        <v>Pendiente por formular</v>
      </c>
    </row>
    <row r="74" customFormat="false" ht="14.25" hidden="false" customHeight="false" outlineLevel="0" collapsed="false">
      <c r="A74" s="12" t="n">
        <v>24</v>
      </c>
      <c r="B74" s="11"/>
      <c r="C74" s="11"/>
      <c r="D74" s="12" t="str">
        <f aca="false">IF(C74="","",INDEX(Catalogos!$C$5:$C$49,MATCH(LEFT(C74,7),Catalogos!$A$5:$A$49,0)))</f>
        <v/>
      </c>
      <c r="E74" s="12" t="str">
        <f aca="false">IF(C74="","",INDEX(Catalogos!$D$5:$D$49,MATCH(LEFT(C74,7),Catalogos!$A$5:$A$49,0))&amp;" "&amp;INDEX(Catalogos!$E$5:$E$49,MATCH(LEFT(C74,7),Catalogos!$A$5:$A$49,0)))</f>
        <v/>
      </c>
      <c r="F74" s="12" t="str">
        <f aca="false">IF(C74="","",INDEX(Catalogos!$F$5:$F$49,MATCH(LEFT(C74,7),Catalogos!$A$5:$A$49,0)))</f>
        <v/>
      </c>
      <c r="G74" s="11"/>
      <c r="H74" s="11"/>
      <c r="I74" s="11"/>
      <c r="J74" s="11"/>
      <c r="K74" s="18"/>
      <c r="L74" s="18"/>
      <c r="M74" s="11"/>
      <c r="N74" s="11"/>
      <c r="O74" s="11"/>
      <c r="P74" s="11"/>
      <c r="Q74" s="11"/>
      <c r="R74" s="11"/>
      <c r="S74" s="12" t="str">
        <f aca="false">IF(R74="","",INDEX(Catalogos!$Y$5:$Y$25,MATCH(R74,L_IMP,0)))</f>
        <v/>
      </c>
      <c r="T74" s="11"/>
      <c r="U74" s="11"/>
      <c r="V74" s="11"/>
      <c r="W74" s="10" t="str">
        <f aca="false">IF(H74="","Pendiente por formular",IF(OR(J74="",K74="",L74="",M74="",N74="",O74="",Q74="",R74="",B74="",C74="",G74=""),"Incompleta: faltan campos obligatorios",IF(OR(NOT(ISNUMBER(K74)),NOT(ISNUMBER(L74))),"Fecha inválida",IF(L74&lt;K74,"La fecha de fin es anterior a la de inicio",IF(OR(YEAR(K74)&lt;&gt;2027,YEAR(L74)&lt;&gt;2027),"Fechas fuera de la vigencia 2027",IF(ISERROR(SEARCH("@itc.edu.co",M74)),"El responsable no tiene correo institucional",IF(ISERROR(SEARCH(Q74,INDEX(Catalogos!$Z$5:$Z$25,MATCH(R74,L_IMP,0)))),"La dimensión no corresponde al indicador de impacto","OK")))))))</f>
        <v>Pendiente por formular</v>
      </c>
    </row>
    <row r="75" customFormat="false" ht="14.25" hidden="false" customHeight="false" outlineLevel="0" collapsed="false">
      <c r="A75" s="12" t="n">
        <v>25</v>
      </c>
      <c r="B75" s="11"/>
      <c r="C75" s="11"/>
      <c r="D75" s="12" t="str">
        <f aca="false">IF(C75="","",INDEX(Catalogos!$C$5:$C$49,MATCH(LEFT(C75,7),Catalogos!$A$5:$A$49,0)))</f>
        <v/>
      </c>
      <c r="E75" s="12" t="str">
        <f aca="false">IF(C75="","",INDEX(Catalogos!$D$5:$D$49,MATCH(LEFT(C75,7),Catalogos!$A$5:$A$49,0))&amp;" "&amp;INDEX(Catalogos!$E$5:$E$49,MATCH(LEFT(C75,7),Catalogos!$A$5:$A$49,0)))</f>
        <v/>
      </c>
      <c r="F75" s="12" t="str">
        <f aca="false">IF(C75="","",INDEX(Catalogos!$F$5:$F$49,MATCH(LEFT(C75,7),Catalogos!$A$5:$A$49,0)))</f>
        <v/>
      </c>
      <c r="G75" s="11"/>
      <c r="H75" s="11"/>
      <c r="I75" s="11"/>
      <c r="J75" s="11"/>
      <c r="K75" s="18"/>
      <c r="L75" s="18"/>
      <c r="M75" s="11"/>
      <c r="N75" s="11"/>
      <c r="O75" s="11"/>
      <c r="P75" s="11"/>
      <c r="Q75" s="11"/>
      <c r="R75" s="11"/>
      <c r="S75" s="12" t="str">
        <f aca="false">IF(R75="","",INDEX(Catalogos!$Y$5:$Y$25,MATCH(R75,L_IMP,0)))</f>
        <v/>
      </c>
      <c r="T75" s="11"/>
      <c r="U75" s="11"/>
      <c r="V75" s="11"/>
      <c r="W75" s="10" t="str">
        <f aca="false">IF(H75="","Pendiente por formular",IF(OR(J75="",K75="",L75="",M75="",N75="",O75="",Q75="",R75="",B75="",C75="",G75=""),"Incompleta: faltan campos obligatorios",IF(OR(NOT(ISNUMBER(K75)),NOT(ISNUMBER(L75))),"Fecha inválida",IF(L75&lt;K75,"La fecha de fin es anterior a la de inicio",IF(OR(YEAR(K75)&lt;&gt;2027,YEAR(L75)&lt;&gt;2027),"Fechas fuera de la vigencia 2027",IF(ISERROR(SEARCH("@itc.edu.co",M75)),"El responsable no tiene correo institucional",IF(ISERROR(SEARCH(Q75,INDEX(Catalogos!$Z$5:$Z$25,MATCH(R75,L_IMP,0)))),"La dimensión no corresponde al indicador de impacto","OK")))))))</f>
        <v>Pendiente por formular</v>
      </c>
    </row>
    <row r="76" customFormat="false" ht="14.25" hidden="false" customHeight="false" outlineLevel="0" collapsed="false">
      <c r="A76" s="12" t="n">
        <v>26</v>
      </c>
      <c r="B76" s="11"/>
      <c r="C76" s="11"/>
      <c r="D76" s="12" t="str">
        <f aca="false">IF(C76="","",INDEX(Catalogos!$C$5:$C$49,MATCH(LEFT(C76,7),Catalogos!$A$5:$A$49,0)))</f>
        <v/>
      </c>
      <c r="E76" s="12" t="str">
        <f aca="false">IF(C76="","",INDEX(Catalogos!$D$5:$D$49,MATCH(LEFT(C76,7),Catalogos!$A$5:$A$49,0))&amp;" "&amp;INDEX(Catalogos!$E$5:$E$49,MATCH(LEFT(C76,7),Catalogos!$A$5:$A$49,0)))</f>
        <v/>
      </c>
      <c r="F76" s="12" t="str">
        <f aca="false">IF(C76="","",INDEX(Catalogos!$F$5:$F$49,MATCH(LEFT(C76,7),Catalogos!$A$5:$A$49,0)))</f>
        <v/>
      </c>
      <c r="G76" s="11"/>
      <c r="H76" s="11"/>
      <c r="I76" s="11"/>
      <c r="J76" s="11"/>
      <c r="K76" s="18"/>
      <c r="L76" s="18"/>
      <c r="M76" s="11"/>
      <c r="N76" s="11"/>
      <c r="O76" s="11"/>
      <c r="P76" s="11"/>
      <c r="Q76" s="11"/>
      <c r="R76" s="11"/>
      <c r="S76" s="12" t="str">
        <f aca="false">IF(R76="","",INDEX(Catalogos!$Y$5:$Y$25,MATCH(R76,L_IMP,0)))</f>
        <v/>
      </c>
      <c r="T76" s="11"/>
      <c r="U76" s="11"/>
      <c r="V76" s="11"/>
      <c r="W76" s="10" t="str">
        <f aca="false">IF(H76="","Pendiente por formular",IF(OR(J76="",K76="",L76="",M76="",N76="",O76="",Q76="",R76="",B76="",C76="",G76=""),"Incompleta: faltan campos obligatorios",IF(OR(NOT(ISNUMBER(K76)),NOT(ISNUMBER(L76))),"Fecha inválida",IF(L76&lt;K76,"La fecha de fin es anterior a la de inicio",IF(OR(YEAR(K76)&lt;&gt;2027,YEAR(L76)&lt;&gt;2027),"Fechas fuera de la vigencia 2027",IF(ISERROR(SEARCH("@itc.edu.co",M76)),"El responsable no tiene correo institucional",IF(ISERROR(SEARCH(Q76,INDEX(Catalogos!$Z$5:$Z$25,MATCH(R76,L_IMP,0)))),"La dimensión no corresponde al indicador de impacto","OK")))))))</f>
        <v>Pendiente por formular</v>
      </c>
    </row>
    <row r="77" customFormat="false" ht="14.25" hidden="false" customHeight="false" outlineLevel="0" collapsed="false">
      <c r="A77" s="12" t="n">
        <v>27</v>
      </c>
      <c r="B77" s="11"/>
      <c r="C77" s="11"/>
      <c r="D77" s="12" t="str">
        <f aca="false">IF(C77="","",INDEX(Catalogos!$C$5:$C$49,MATCH(LEFT(C77,7),Catalogos!$A$5:$A$49,0)))</f>
        <v/>
      </c>
      <c r="E77" s="12" t="str">
        <f aca="false">IF(C77="","",INDEX(Catalogos!$D$5:$D$49,MATCH(LEFT(C77,7),Catalogos!$A$5:$A$49,0))&amp;" "&amp;INDEX(Catalogos!$E$5:$E$49,MATCH(LEFT(C77,7),Catalogos!$A$5:$A$49,0)))</f>
        <v/>
      </c>
      <c r="F77" s="12" t="str">
        <f aca="false">IF(C77="","",INDEX(Catalogos!$F$5:$F$49,MATCH(LEFT(C77,7),Catalogos!$A$5:$A$49,0)))</f>
        <v/>
      </c>
      <c r="G77" s="11"/>
      <c r="H77" s="11"/>
      <c r="I77" s="11"/>
      <c r="J77" s="11"/>
      <c r="K77" s="18"/>
      <c r="L77" s="18"/>
      <c r="M77" s="11"/>
      <c r="N77" s="11"/>
      <c r="O77" s="11"/>
      <c r="P77" s="11"/>
      <c r="Q77" s="11"/>
      <c r="R77" s="11"/>
      <c r="S77" s="12" t="str">
        <f aca="false">IF(R77="","",INDEX(Catalogos!$Y$5:$Y$25,MATCH(R77,L_IMP,0)))</f>
        <v/>
      </c>
      <c r="T77" s="11"/>
      <c r="U77" s="11"/>
      <c r="V77" s="11"/>
      <c r="W77" s="10" t="str">
        <f aca="false">IF(H77="","Pendiente por formular",IF(OR(J77="",K77="",L77="",M77="",N77="",O77="",Q77="",R77="",B77="",C77="",G77=""),"Incompleta: faltan campos obligatorios",IF(OR(NOT(ISNUMBER(K77)),NOT(ISNUMBER(L77))),"Fecha inválida",IF(L77&lt;K77,"La fecha de fin es anterior a la de inicio",IF(OR(YEAR(K77)&lt;&gt;2027,YEAR(L77)&lt;&gt;2027),"Fechas fuera de la vigencia 2027",IF(ISERROR(SEARCH("@itc.edu.co",M77)),"El responsable no tiene correo institucional",IF(ISERROR(SEARCH(Q77,INDEX(Catalogos!$Z$5:$Z$25,MATCH(R77,L_IMP,0)))),"La dimensión no corresponde al indicador de impacto","OK")))))))</f>
        <v>Pendiente por formular</v>
      </c>
    </row>
    <row r="78" customFormat="false" ht="14.25" hidden="false" customHeight="false" outlineLevel="0" collapsed="false">
      <c r="A78" s="12" t="n">
        <v>28</v>
      </c>
      <c r="B78" s="11"/>
      <c r="C78" s="11"/>
      <c r="D78" s="12" t="str">
        <f aca="false">IF(C78="","",INDEX(Catalogos!$C$5:$C$49,MATCH(LEFT(C78,7),Catalogos!$A$5:$A$49,0)))</f>
        <v/>
      </c>
      <c r="E78" s="12" t="str">
        <f aca="false">IF(C78="","",INDEX(Catalogos!$D$5:$D$49,MATCH(LEFT(C78,7),Catalogos!$A$5:$A$49,0))&amp;" "&amp;INDEX(Catalogos!$E$5:$E$49,MATCH(LEFT(C78,7),Catalogos!$A$5:$A$49,0)))</f>
        <v/>
      </c>
      <c r="F78" s="12" t="str">
        <f aca="false">IF(C78="","",INDEX(Catalogos!$F$5:$F$49,MATCH(LEFT(C78,7),Catalogos!$A$5:$A$49,0)))</f>
        <v/>
      </c>
      <c r="G78" s="11"/>
      <c r="H78" s="11"/>
      <c r="I78" s="11"/>
      <c r="J78" s="11"/>
      <c r="K78" s="18"/>
      <c r="L78" s="18"/>
      <c r="M78" s="11"/>
      <c r="N78" s="11"/>
      <c r="O78" s="11"/>
      <c r="P78" s="11"/>
      <c r="Q78" s="11"/>
      <c r="R78" s="11"/>
      <c r="S78" s="12" t="str">
        <f aca="false">IF(R78="","",INDEX(Catalogos!$Y$5:$Y$25,MATCH(R78,L_IMP,0)))</f>
        <v/>
      </c>
      <c r="T78" s="11"/>
      <c r="U78" s="11"/>
      <c r="V78" s="11"/>
      <c r="W78" s="10" t="str">
        <f aca="false">IF(H78="","Pendiente por formular",IF(OR(J78="",K78="",L78="",M78="",N78="",O78="",Q78="",R78="",B78="",C78="",G78=""),"Incompleta: faltan campos obligatorios",IF(OR(NOT(ISNUMBER(K78)),NOT(ISNUMBER(L78))),"Fecha inválida",IF(L78&lt;K78,"La fecha de fin es anterior a la de inicio",IF(OR(YEAR(K78)&lt;&gt;2027,YEAR(L78)&lt;&gt;2027),"Fechas fuera de la vigencia 2027",IF(ISERROR(SEARCH("@itc.edu.co",M78)),"El responsable no tiene correo institucional",IF(ISERROR(SEARCH(Q78,INDEX(Catalogos!$Z$5:$Z$25,MATCH(R78,L_IMP,0)))),"La dimensión no corresponde al indicador de impacto","OK")))))))</f>
        <v>Pendiente por formular</v>
      </c>
    </row>
    <row r="79" customFormat="false" ht="14.25" hidden="false" customHeight="false" outlineLevel="0" collapsed="false">
      <c r="A79" s="12" t="n">
        <v>29</v>
      </c>
      <c r="B79" s="11"/>
      <c r="C79" s="11"/>
      <c r="D79" s="12" t="str">
        <f aca="false">IF(C79="","",INDEX(Catalogos!$C$5:$C$49,MATCH(LEFT(C79,7),Catalogos!$A$5:$A$49,0)))</f>
        <v/>
      </c>
      <c r="E79" s="12" t="str">
        <f aca="false">IF(C79="","",INDEX(Catalogos!$D$5:$D$49,MATCH(LEFT(C79,7),Catalogos!$A$5:$A$49,0))&amp;" "&amp;INDEX(Catalogos!$E$5:$E$49,MATCH(LEFT(C79,7),Catalogos!$A$5:$A$49,0)))</f>
        <v/>
      </c>
      <c r="F79" s="12" t="str">
        <f aca="false">IF(C79="","",INDEX(Catalogos!$F$5:$F$49,MATCH(LEFT(C79,7),Catalogos!$A$5:$A$49,0)))</f>
        <v/>
      </c>
      <c r="G79" s="11"/>
      <c r="H79" s="11"/>
      <c r="I79" s="11"/>
      <c r="J79" s="11"/>
      <c r="K79" s="18"/>
      <c r="L79" s="18"/>
      <c r="M79" s="11"/>
      <c r="N79" s="11"/>
      <c r="O79" s="11"/>
      <c r="P79" s="11"/>
      <c r="Q79" s="11"/>
      <c r="R79" s="11"/>
      <c r="S79" s="12" t="str">
        <f aca="false">IF(R79="","",INDEX(Catalogos!$Y$5:$Y$25,MATCH(R79,L_IMP,0)))</f>
        <v/>
      </c>
      <c r="T79" s="11"/>
      <c r="U79" s="11"/>
      <c r="V79" s="11"/>
      <c r="W79" s="10" t="str">
        <f aca="false">IF(H79="","Pendiente por formular",IF(OR(J79="",K79="",L79="",M79="",N79="",O79="",Q79="",R79="",B79="",C79="",G79=""),"Incompleta: faltan campos obligatorios",IF(OR(NOT(ISNUMBER(K79)),NOT(ISNUMBER(L79))),"Fecha inválida",IF(L79&lt;K79,"La fecha de fin es anterior a la de inicio",IF(OR(YEAR(K79)&lt;&gt;2027,YEAR(L79)&lt;&gt;2027),"Fechas fuera de la vigencia 2027",IF(ISERROR(SEARCH("@itc.edu.co",M79)),"El responsable no tiene correo institucional",IF(ISERROR(SEARCH(Q79,INDEX(Catalogos!$Z$5:$Z$25,MATCH(R79,L_IMP,0)))),"La dimensión no corresponde al indicador de impacto","OK")))))))</f>
        <v>Pendiente por formular</v>
      </c>
    </row>
    <row r="80" customFormat="false" ht="14.25" hidden="false" customHeight="false" outlineLevel="0" collapsed="false">
      <c r="A80" s="12" t="n">
        <v>30</v>
      </c>
      <c r="B80" s="11"/>
      <c r="C80" s="11"/>
      <c r="D80" s="12" t="str">
        <f aca="false">IF(C80="","",INDEX(Catalogos!$C$5:$C$49,MATCH(LEFT(C80,7),Catalogos!$A$5:$A$49,0)))</f>
        <v/>
      </c>
      <c r="E80" s="12" t="str">
        <f aca="false">IF(C80="","",INDEX(Catalogos!$D$5:$D$49,MATCH(LEFT(C80,7),Catalogos!$A$5:$A$49,0))&amp;" "&amp;INDEX(Catalogos!$E$5:$E$49,MATCH(LEFT(C80,7),Catalogos!$A$5:$A$49,0)))</f>
        <v/>
      </c>
      <c r="F80" s="12" t="str">
        <f aca="false">IF(C80="","",INDEX(Catalogos!$F$5:$F$49,MATCH(LEFT(C80,7),Catalogos!$A$5:$A$49,0)))</f>
        <v/>
      </c>
      <c r="G80" s="11"/>
      <c r="H80" s="11"/>
      <c r="I80" s="11"/>
      <c r="J80" s="11"/>
      <c r="K80" s="18"/>
      <c r="L80" s="18"/>
      <c r="M80" s="11"/>
      <c r="N80" s="11"/>
      <c r="O80" s="11"/>
      <c r="P80" s="11"/>
      <c r="Q80" s="11"/>
      <c r="R80" s="11"/>
      <c r="S80" s="12" t="str">
        <f aca="false">IF(R80="","",INDEX(Catalogos!$Y$5:$Y$25,MATCH(R80,L_IMP,0)))</f>
        <v/>
      </c>
      <c r="T80" s="11"/>
      <c r="U80" s="11"/>
      <c r="V80" s="11"/>
      <c r="W80" s="10" t="str">
        <f aca="false">IF(H80="","Pendiente por formular",IF(OR(J80="",K80="",L80="",M80="",N80="",O80="",Q80="",R80="",B80="",C80="",G80=""),"Incompleta: faltan campos obligatorios",IF(OR(NOT(ISNUMBER(K80)),NOT(ISNUMBER(L80))),"Fecha inválida",IF(L80&lt;K80,"La fecha de fin es anterior a la de inicio",IF(OR(YEAR(K80)&lt;&gt;2027,YEAR(L80)&lt;&gt;2027),"Fechas fuera de la vigencia 2027",IF(ISERROR(SEARCH("@itc.edu.co",M80)),"El responsable no tiene correo institucional",IF(ISERROR(SEARCH(Q80,INDEX(Catalogos!$Z$5:$Z$25,MATCH(R80,L_IMP,0)))),"La dimensión no corresponde al indicador de impacto","OK")))))))</f>
        <v>Pendiente por formular</v>
      </c>
    </row>
    <row r="81" customFormat="false" ht="14.25" hidden="false" customHeight="false" outlineLevel="0" collapsed="false">
      <c r="A81" s="12" t="n">
        <v>31</v>
      </c>
      <c r="B81" s="11"/>
      <c r="C81" s="11"/>
      <c r="D81" s="12" t="str">
        <f aca="false">IF(C81="","",INDEX(Catalogos!$C$5:$C$49,MATCH(LEFT(C81,7),Catalogos!$A$5:$A$49,0)))</f>
        <v/>
      </c>
      <c r="E81" s="12" t="str">
        <f aca="false">IF(C81="","",INDEX(Catalogos!$D$5:$D$49,MATCH(LEFT(C81,7),Catalogos!$A$5:$A$49,0))&amp;" "&amp;INDEX(Catalogos!$E$5:$E$49,MATCH(LEFT(C81,7),Catalogos!$A$5:$A$49,0)))</f>
        <v/>
      </c>
      <c r="F81" s="12" t="str">
        <f aca="false">IF(C81="","",INDEX(Catalogos!$F$5:$F$49,MATCH(LEFT(C81,7),Catalogos!$A$5:$A$49,0)))</f>
        <v/>
      </c>
      <c r="G81" s="11"/>
      <c r="H81" s="11"/>
      <c r="I81" s="11"/>
      <c r="J81" s="11"/>
      <c r="K81" s="18"/>
      <c r="L81" s="18"/>
      <c r="M81" s="11"/>
      <c r="N81" s="11"/>
      <c r="O81" s="11"/>
      <c r="P81" s="11"/>
      <c r="Q81" s="11"/>
      <c r="R81" s="11"/>
      <c r="S81" s="12" t="str">
        <f aca="false">IF(R81="","",INDEX(Catalogos!$Y$5:$Y$25,MATCH(R81,L_IMP,0)))</f>
        <v/>
      </c>
      <c r="T81" s="11"/>
      <c r="U81" s="11"/>
      <c r="V81" s="11"/>
      <c r="W81" s="10" t="str">
        <f aca="false">IF(H81="","Pendiente por formular",IF(OR(J81="",K81="",L81="",M81="",N81="",O81="",Q81="",R81="",B81="",C81="",G81=""),"Incompleta: faltan campos obligatorios",IF(OR(NOT(ISNUMBER(K81)),NOT(ISNUMBER(L81))),"Fecha inválida",IF(L81&lt;K81,"La fecha de fin es anterior a la de inicio",IF(OR(YEAR(K81)&lt;&gt;2027,YEAR(L81)&lt;&gt;2027),"Fechas fuera de la vigencia 2027",IF(ISERROR(SEARCH("@itc.edu.co",M81)),"El responsable no tiene correo institucional",IF(ISERROR(SEARCH(Q81,INDEX(Catalogos!$Z$5:$Z$25,MATCH(R81,L_IMP,0)))),"La dimensión no corresponde al indicador de impacto","OK")))))))</f>
        <v>Pendiente por formular</v>
      </c>
    </row>
    <row r="82" customFormat="false" ht="14.25" hidden="false" customHeight="false" outlineLevel="0" collapsed="false">
      <c r="A82" s="12" t="n">
        <v>32</v>
      </c>
      <c r="B82" s="11"/>
      <c r="C82" s="11"/>
      <c r="D82" s="12" t="str">
        <f aca="false">IF(C82="","",INDEX(Catalogos!$C$5:$C$49,MATCH(LEFT(C82,7),Catalogos!$A$5:$A$49,0)))</f>
        <v/>
      </c>
      <c r="E82" s="12" t="str">
        <f aca="false">IF(C82="","",INDEX(Catalogos!$D$5:$D$49,MATCH(LEFT(C82,7),Catalogos!$A$5:$A$49,0))&amp;" "&amp;INDEX(Catalogos!$E$5:$E$49,MATCH(LEFT(C82,7),Catalogos!$A$5:$A$49,0)))</f>
        <v/>
      </c>
      <c r="F82" s="12" t="str">
        <f aca="false">IF(C82="","",INDEX(Catalogos!$F$5:$F$49,MATCH(LEFT(C82,7),Catalogos!$A$5:$A$49,0)))</f>
        <v/>
      </c>
      <c r="G82" s="11"/>
      <c r="H82" s="11"/>
      <c r="I82" s="11"/>
      <c r="J82" s="11"/>
      <c r="K82" s="18"/>
      <c r="L82" s="18"/>
      <c r="M82" s="11"/>
      <c r="N82" s="11"/>
      <c r="O82" s="11"/>
      <c r="P82" s="11"/>
      <c r="Q82" s="11"/>
      <c r="R82" s="11"/>
      <c r="S82" s="12" t="str">
        <f aca="false">IF(R82="","",INDEX(Catalogos!$Y$5:$Y$25,MATCH(R82,L_IMP,0)))</f>
        <v/>
      </c>
      <c r="T82" s="11"/>
      <c r="U82" s="11"/>
      <c r="V82" s="11"/>
      <c r="W82" s="10" t="str">
        <f aca="false">IF(H82="","Pendiente por formular",IF(OR(J82="",K82="",L82="",M82="",N82="",O82="",Q82="",R82="",B82="",C82="",G82=""),"Incompleta: faltan campos obligatorios",IF(OR(NOT(ISNUMBER(K82)),NOT(ISNUMBER(L82))),"Fecha inválida",IF(L82&lt;K82,"La fecha de fin es anterior a la de inicio",IF(OR(YEAR(K82)&lt;&gt;2027,YEAR(L82)&lt;&gt;2027),"Fechas fuera de la vigencia 2027",IF(ISERROR(SEARCH("@itc.edu.co",M82)),"El responsable no tiene correo institucional",IF(ISERROR(SEARCH(Q82,INDEX(Catalogos!$Z$5:$Z$25,MATCH(R82,L_IMP,0)))),"La dimensión no corresponde al indicador de impacto","OK")))))))</f>
        <v>Pendiente por formular</v>
      </c>
    </row>
    <row r="83" customFormat="false" ht="14.25" hidden="false" customHeight="false" outlineLevel="0" collapsed="false">
      <c r="A83" s="12" t="n">
        <v>33</v>
      </c>
      <c r="B83" s="11"/>
      <c r="C83" s="11"/>
      <c r="D83" s="12" t="str">
        <f aca="false">IF(C83="","",INDEX(Catalogos!$C$5:$C$49,MATCH(LEFT(C83,7),Catalogos!$A$5:$A$49,0)))</f>
        <v/>
      </c>
      <c r="E83" s="12" t="str">
        <f aca="false">IF(C83="","",INDEX(Catalogos!$D$5:$D$49,MATCH(LEFT(C83,7),Catalogos!$A$5:$A$49,0))&amp;" "&amp;INDEX(Catalogos!$E$5:$E$49,MATCH(LEFT(C83,7),Catalogos!$A$5:$A$49,0)))</f>
        <v/>
      </c>
      <c r="F83" s="12" t="str">
        <f aca="false">IF(C83="","",INDEX(Catalogos!$F$5:$F$49,MATCH(LEFT(C83,7),Catalogos!$A$5:$A$49,0)))</f>
        <v/>
      </c>
      <c r="G83" s="11"/>
      <c r="H83" s="11"/>
      <c r="I83" s="11"/>
      <c r="J83" s="11"/>
      <c r="K83" s="18"/>
      <c r="L83" s="18"/>
      <c r="M83" s="11"/>
      <c r="N83" s="11"/>
      <c r="O83" s="11"/>
      <c r="P83" s="11"/>
      <c r="Q83" s="11"/>
      <c r="R83" s="11"/>
      <c r="S83" s="12" t="str">
        <f aca="false">IF(R83="","",INDEX(Catalogos!$Y$5:$Y$25,MATCH(R83,L_IMP,0)))</f>
        <v/>
      </c>
      <c r="T83" s="11"/>
      <c r="U83" s="11"/>
      <c r="V83" s="11"/>
      <c r="W83" s="10" t="str">
        <f aca="false">IF(H83="","Pendiente por formular",IF(OR(J83="",K83="",L83="",M83="",N83="",O83="",Q83="",R83="",B83="",C83="",G83=""),"Incompleta: faltan campos obligatorios",IF(OR(NOT(ISNUMBER(K83)),NOT(ISNUMBER(L83))),"Fecha inválida",IF(L83&lt;K83,"La fecha de fin es anterior a la de inicio",IF(OR(YEAR(K83)&lt;&gt;2027,YEAR(L83)&lt;&gt;2027),"Fechas fuera de la vigencia 2027",IF(ISERROR(SEARCH("@itc.edu.co",M83)),"El responsable no tiene correo institucional",IF(ISERROR(SEARCH(Q83,INDEX(Catalogos!$Z$5:$Z$25,MATCH(R83,L_IMP,0)))),"La dimensión no corresponde al indicador de impacto","OK")))))))</f>
        <v>Pendiente por formular</v>
      </c>
    </row>
    <row r="84" customFormat="false" ht="14.25" hidden="false" customHeight="false" outlineLevel="0" collapsed="false">
      <c r="A84" s="12" t="n">
        <v>34</v>
      </c>
      <c r="B84" s="11"/>
      <c r="C84" s="11"/>
      <c r="D84" s="12" t="str">
        <f aca="false">IF(C84="","",INDEX(Catalogos!$C$5:$C$49,MATCH(LEFT(C84,7),Catalogos!$A$5:$A$49,0)))</f>
        <v/>
      </c>
      <c r="E84" s="12" t="str">
        <f aca="false">IF(C84="","",INDEX(Catalogos!$D$5:$D$49,MATCH(LEFT(C84,7),Catalogos!$A$5:$A$49,0))&amp;" "&amp;INDEX(Catalogos!$E$5:$E$49,MATCH(LEFT(C84,7),Catalogos!$A$5:$A$49,0)))</f>
        <v/>
      </c>
      <c r="F84" s="12" t="str">
        <f aca="false">IF(C84="","",INDEX(Catalogos!$F$5:$F$49,MATCH(LEFT(C84,7),Catalogos!$A$5:$A$49,0)))</f>
        <v/>
      </c>
      <c r="G84" s="11"/>
      <c r="H84" s="11"/>
      <c r="I84" s="11"/>
      <c r="J84" s="11"/>
      <c r="K84" s="18"/>
      <c r="L84" s="18"/>
      <c r="M84" s="11"/>
      <c r="N84" s="11"/>
      <c r="O84" s="11"/>
      <c r="P84" s="11"/>
      <c r="Q84" s="11"/>
      <c r="R84" s="11"/>
      <c r="S84" s="12" t="str">
        <f aca="false">IF(R84="","",INDEX(Catalogos!$Y$5:$Y$25,MATCH(R84,L_IMP,0)))</f>
        <v/>
      </c>
      <c r="T84" s="11"/>
      <c r="U84" s="11"/>
      <c r="V84" s="11"/>
      <c r="W84" s="10" t="str">
        <f aca="false">IF(H84="","Pendiente por formular",IF(OR(J84="",K84="",L84="",M84="",N84="",O84="",Q84="",R84="",B84="",C84="",G84=""),"Incompleta: faltan campos obligatorios",IF(OR(NOT(ISNUMBER(K84)),NOT(ISNUMBER(L84))),"Fecha inválida",IF(L84&lt;K84,"La fecha de fin es anterior a la de inicio",IF(OR(YEAR(K84)&lt;&gt;2027,YEAR(L84)&lt;&gt;2027),"Fechas fuera de la vigencia 2027",IF(ISERROR(SEARCH("@itc.edu.co",M84)),"El responsable no tiene correo institucional",IF(ISERROR(SEARCH(Q84,INDEX(Catalogos!$Z$5:$Z$25,MATCH(R84,L_IMP,0)))),"La dimensión no corresponde al indicador de impacto","OK")))))))</f>
        <v>Pendiente por formular</v>
      </c>
    </row>
    <row r="85" customFormat="false" ht="14.25" hidden="false" customHeight="false" outlineLevel="0" collapsed="false">
      <c r="A85" s="12" t="n">
        <v>35</v>
      </c>
      <c r="B85" s="11"/>
      <c r="C85" s="11"/>
      <c r="D85" s="12" t="str">
        <f aca="false">IF(C85="","",INDEX(Catalogos!$C$5:$C$49,MATCH(LEFT(C85,7),Catalogos!$A$5:$A$49,0)))</f>
        <v/>
      </c>
      <c r="E85" s="12" t="str">
        <f aca="false">IF(C85="","",INDEX(Catalogos!$D$5:$D$49,MATCH(LEFT(C85,7),Catalogos!$A$5:$A$49,0))&amp;" "&amp;INDEX(Catalogos!$E$5:$E$49,MATCH(LEFT(C85,7),Catalogos!$A$5:$A$49,0)))</f>
        <v/>
      </c>
      <c r="F85" s="12" t="str">
        <f aca="false">IF(C85="","",INDEX(Catalogos!$F$5:$F$49,MATCH(LEFT(C85,7),Catalogos!$A$5:$A$49,0)))</f>
        <v/>
      </c>
      <c r="G85" s="11"/>
      <c r="H85" s="11"/>
      <c r="I85" s="11"/>
      <c r="J85" s="11"/>
      <c r="K85" s="18"/>
      <c r="L85" s="18"/>
      <c r="M85" s="11"/>
      <c r="N85" s="11"/>
      <c r="O85" s="11"/>
      <c r="P85" s="11"/>
      <c r="Q85" s="11"/>
      <c r="R85" s="11"/>
      <c r="S85" s="12" t="str">
        <f aca="false">IF(R85="","",INDEX(Catalogos!$Y$5:$Y$25,MATCH(R85,L_IMP,0)))</f>
        <v/>
      </c>
      <c r="T85" s="11"/>
      <c r="U85" s="11"/>
      <c r="V85" s="11"/>
      <c r="W85" s="10" t="str">
        <f aca="false">IF(H85="","Pendiente por formular",IF(OR(J85="",K85="",L85="",M85="",N85="",O85="",Q85="",R85="",B85="",C85="",G85=""),"Incompleta: faltan campos obligatorios",IF(OR(NOT(ISNUMBER(K85)),NOT(ISNUMBER(L85))),"Fecha inválida",IF(L85&lt;K85,"La fecha de fin es anterior a la de inicio",IF(OR(YEAR(K85)&lt;&gt;2027,YEAR(L85)&lt;&gt;2027),"Fechas fuera de la vigencia 2027",IF(ISERROR(SEARCH("@itc.edu.co",M85)),"El responsable no tiene correo institucional",IF(ISERROR(SEARCH(Q85,INDEX(Catalogos!$Z$5:$Z$25,MATCH(R85,L_IMP,0)))),"La dimensión no corresponde al indicador de impacto","OK")))))))</f>
        <v>Pendiente por formular</v>
      </c>
    </row>
    <row r="86" customFormat="false" ht="14.25" hidden="false" customHeight="false" outlineLevel="0" collapsed="false">
      <c r="A86" s="12" t="n">
        <v>36</v>
      </c>
      <c r="B86" s="11"/>
      <c r="C86" s="11"/>
      <c r="D86" s="12" t="str">
        <f aca="false">IF(C86="","",INDEX(Catalogos!$C$5:$C$49,MATCH(LEFT(C86,7),Catalogos!$A$5:$A$49,0)))</f>
        <v/>
      </c>
      <c r="E86" s="12" t="str">
        <f aca="false">IF(C86="","",INDEX(Catalogos!$D$5:$D$49,MATCH(LEFT(C86,7),Catalogos!$A$5:$A$49,0))&amp;" "&amp;INDEX(Catalogos!$E$5:$E$49,MATCH(LEFT(C86,7),Catalogos!$A$5:$A$49,0)))</f>
        <v/>
      </c>
      <c r="F86" s="12" t="str">
        <f aca="false">IF(C86="","",INDEX(Catalogos!$F$5:$F$49,MATCH(LEFT(C86,7),Catalogos!$A$5:$A$49,0)))</f>
        <v/>
      </c>
      <c r="G86" s="11"/>
      <c r="H86" s="11"/>
      <c r="I86" s="11"/>
      <c r="J86" s="11"/>
      <c r="K86" s="18"/>
      <c r="L86" s="18"/>
      <c r="M86" s="11"/>
      <c r="N86" s="11"/>
      <c r="O86" s="11"/>
      <c r="P86" s="11"/>
      <c r="Q86" s="11"/>
      <c r="R86" s="11"/>
      <c r="S86" s="12" t="str">
        <f aca="false">IF(R86="","",INDEX(Catalogos!$Y$5:$Y$25,MATCH(R86,L_IMP,0)))</f>
        <v/>
      </c>
      <c r="T86" s="11"/>
      <c r="U86" s="11"/>
      <c r="V86" s="11"/>
      <c r="W86" s="10" t="str">
        <f aca="false">IF(H86="","Pendiente por formular",IF(OR(J86="",K86="",L86="",M86="",N86="",O86="",Q86="",R86="",B86="",C86="",G86=""),"Incompleta: faltan campos obligatorios",IF(OR(NOT(ISNUMBER(K86)),NOT(ISNUMBER(L86))),"Fecha inválida",IF(L86&lt;K86,"La fecha de fin es anterior a la de inicio",IF(OR(YEAR(K86)&lt;&gt;2027,YEAR(L86)&lt;&gt;2027),"Fechas fuera de la vigencia 2027",IF(ISERROR(SEARCH("@itc.edu.co",M86)),"El responsable no tiene correo institucional",IF(ISERROR(SEARCH(Q86,INDEX(Catalogos!$Z$5:$Z$25,MATCH(R86,L_IMP,0)))),"La dimensión no corresponde al indicador de impacto","OK")))))))</f>
        <v>Pendiente por formular</v>
      </c>
    </row>
    <row r="87" customFormat="false" ht="14.25" hidden="false" customHeight="false" outlineLevel="0" collapsed="false">
      <c r="A87" s="12" t="n">
        <v>37</v>
      </c>
      <c r="B87" s="11"/>
      <c r="C87" s="11"/>
      <c r="D87" s="12" t="str">
        <f aca="false">IF(C87="","",INDEX(Catalogos!$C$5:$C$49,MATCH(LEFT(C87,7),Catalogos!$A$5:$A$49,0)))</f>
        <v/>
      </c>
      <c r="E87" s="12" t="str">
        <f aca="false">IF(C87="","",INDEX(Catalogos!$D$5:$D$49,MATCH(LEFT(C87,7),Catalogos!$A$5:$A$49,0))&amp;" "&amp;INDEX(Catalogos!$E$5:$E$49,MATCH(LEFT(C87,7),Catalogos!$A$5:$A$49,0)))</f>
        <v/>
      </c>
      <c r="F87" s="12" t="str">
        <f aca="false">IF(C87="","",INDEX(Catalogos!$F$5:$F$49,MATCH(LEFT(C87,7),Catalogos!$A$5:$A$49,0)))</f>
        <v/>
      </c>
      <c r="G87" s="11"/>
      <c r="H87" s="11"/>
      <c r="I87" s="11"/>
      <c r="J87" s="11"/>
      <c r="K87" s="18"/>
      <c r="L87" s="18"/>
      <c r="M87" s="11"/>
      <c r="N87" s="11"/>
      <c r="O87" s="11"/>
      <c r="P87" s="11"/>
      <c r="Q87" s="11"/>
      <c r="R87" s="11"/>
      <c r="S87" s="12" t="str">
        <f aca="false">IF(R87="","",INDEX(Catalogos!$Y$5:$Y$25,MATCH(R87,L_IMP,0)))</f>
        <v/>
      </c>
      <c r="T87" s="11"/>
      <c r="U87" s="11"/>
      <c r="V87" s="11"/>
      <c r="W87" s="10" t="str">
        <f aca="false">IF(H87="","Pendiente por formular",IF(OR(J87="",K87="",L87="",M87="",N87="",O87="",Q87="",R87="",B87="",C87="",G87=""),"Incompleta: faltan campos obligatorios",IF(OR(NOT(ISNUMBER(K87)),NOT(ISNUMBER(L87))),"Fecha inválida",IF(L87&lt;K87,"La fecha de fin es anterior a la de inicio",IF(OR(YEAR(K87)&lt;&gt;2027,YEAR(L87)&lt;&gt;2027),"Fechas fuera de la vigencia 2027",IF(ISERROR(SEARCH("@itc.edu.co",M87)),"El responsable no tiene correo institucional",IF(ISERROR(SEARCH(Q87,INDEX(Catalogos!$Z$5:$Z$25,MATCH(R87,L_IMP,0)))),"La dimensión no corresponde al indicador de impacto","OK")))))))</f>
        <v>Pendiente por formular</v>
      </c>
    </row>
    <row r="88" customFormat="false" ht="14.25" hidden="false" customHeight="false" outlineLevel="0" collapsed="false">
      <c r="A88" s="12" t="n">
        <v>38</v>
      </c>
      <c r="B88" s="11"/>
      <c r="C88" s="11"/>
      <c r="D88" s="12" t="str">
        <f aca="false">IF(C88="","",INDEX(Catalogos!$C$5:$C$49,MATCH(LEFT(C88,7),Catalogos!$A$5:$A$49,0)))</f>
        <v/>
      </c>
      <c r="E88" s="12" t="str">
        <f aca="false">IF(C88="","",INDEX(Catalogos!$D$5:$D$49,MATCH(LEFT(C88,7),Catalogos!$A$5:$A$49,0))&amp;" "&amp;INDEX(Catalogos!$E$5:$E$49,MATCH(LEFT(C88,7),Catalogos!$A$5:$A$49,0)))</f>
        <v/>
      </c>
      <c r="F88" s="12" t="str">
        <f aca="false">IF(C88="","",INDEX(Catalogos!$F$5:$F$49,MATCH(LEFT(C88,7),Catalogos!$A$5:$A$49,0)))</f>
        <v/>
      </c>
      <c r="G88" s="11"/>
      <c r="H88" s="11"/>
      <c r="I88" s="11"/>
      <c r="J88" s="11"/>
      <c r="K88" s="18"/>
      <c r="L88" s="18"/>
      <c r="M88" s="11"/>
      <c r="N88" s="11"/>
      <c r="O88" s="11"/>
      <c r="P88" s="11"/>
      <c r="Q88" s="11"/>
      <c r="R88" s="11"/>
      <c r="S88" s="12" t="str">
        <f aca="false">IF(R88="","",INDEX(Catalogos!$Y$5:$Y$25,MATCH(R88,L_IMP,0)))</f>
        <v/>
      </c>
      <c r="T88" s="11"/>
      <c r="U88" s="11"/>
      <c r="V88" s="11"/>
      <c r="W88" s="10" t="str">
        <f aca="false">IF(H88="","Pendiente por formular",IF(OR(J88="",K88="",L88="",M88="",N88="",O88="",Q88="",R88="",B88="",C88="",G88=""),"Incompleta: faltan campos obligatorios",IF(OR(NOT(ISNUMBER(K88)),NOT(ISNUMBER(L88))),"Fecha inválida",IF(L88&lt;K88,"La fecha de fin es anterior a la de inicio",IF(OR(YEAR(K88)&lt;&gt;2027,YEAR(L88)&lt;&gt;2027),"Fechas fuera de la vigencia 2027",IF(ISERROR(SEARCH("@itc.edu.co",M88)),"El responsable no tiene correo institucional",IF(ISERROR(SEARCH(Q88,INDEX(Catalogos!$Z$5:$Z$25,MATCH(R88,L_IMP,0)))),"La dimensión no corresponde al indicador de impacto","OK")))))))</f>
        <v>Pendiente por formular</v>
      </c>
    </row>
    <row r="89" customFormat="false" ht="14.25" hidden="false" customHeight="false" outlineLevel="0" collapsed="false">
      <c r="A89" s="12" t="n">
        <v>39</v>
      </c>
      <c r="B89" s="11"/>
      <c r="C89" s="11"/>
      <c r="D89" s="12" t="str">
        <f aca="false">IF(C89="","",INDEX(Catalogos!$C$5:$C$49,MATCH(LEFT(C89,7),Catalogos!$A$5:$A$49,0)))</f>
        <v/>
      </c>
      <c r="E89" s="12" t="str">
        <f aca="false">IF(C89="","",INDEX(Catalogos!$D$5:$D$49,MATCH(LEFT(C89,7),Catalogos!$A$5:$A$49,0))&amp;" "&amp;INDEX(Catalogos!$E$5:$E$49,MATCH(LEFT(C89,7),Catalogos!$A$5:$A$49,0)))</f>
        <v/>
      </c>
      <c r="F89" s="12" t="str">
        <f aca="false">IF(C89="","",INDEX(Catalogos!$F$5:$F$49,MATCH(LEFT(C89,7),Catalogos!$A$5:$A$49,0)))</f>
        <v/>
      </c>
      <c r="G89" s="11"/>
      <c r="H89" s="11"/>
      <c r="I89" s="11"/>
      <c r="J89" s="11"/>
      <c r="K89" s="18"/>
      <c r="L89" s="18"/>
      <c r="M89" s="11"/>
      <c r="N89" s="11"/>
      <c r="O89" s="11"/>
      <c r="P89" s="11"/>
      <c r="Q89" s="11"/>
      <c r="R89" s="11"/>
      <c r="S89" s="12" t="str">
        <f aca="false">IF(R89="","",INDEX(Catalogos!$Y$5:$Y$25,MATCH(R89,L_IMP,0)))</f>
        <v/>
      </c>
      <c r="T89" s="11"/>
      <c r="U89" s="11"/>
      <c r="V89" s="11"/>
      <c r="W89" s="10" t="str">
        <f aca="false">IF(H89="","Pendiente por formular",IF(OR(J89="",K89="",L89="",M89="",N89="",O89="",Q89="",R89="",B89="",C89="",G89=""),"Incompleta: faltan campos obligatorios",IF(OR(NOT(ISNUMBER(K89)),NOT(ISNUMBER(L89))),"Fecha inválida",IF(L89&lt;K89,"La fecha de fin es anterior a la de inicio",IF(OR(YEAR(K89)&lt;&gt;2027,YEAR(L89)&lt;&gt;2027),"Fechas fuera de la vigencia 2027",IF(ISERROR(SEARCH("@itc.edu.co",M89)),"El responsable no tiene correo institucional",IF(ISERROR(SEARCH(Q89,INDEX(Catalogos!$Z$5:$Z$25,MATCH(R89,L_IMP,0)))),"La dimensión no corresponde al indicador de impacto","OK")))))))</f>
        <v>Pendiente por formular</v>
      </c>
    </row>
    <row r="90" customFormat="false" ht="14.25" hidden="false" customHeight="false" outlineLevel="0" collapsed="false">
      <c r="A90" s="12" t="n">
        <v>40</v>
      </c>
      <c r="B90" s="11"/>
      <c r="C90" s="11"/>
      <c r="D90" s="12" t="str">
        <f aca="false">IF(C90="","",INDEX(Catalogos!$C$5:$C$49,MATCH(LEFT(C90,7),Catalogos!$A$5:$A$49,0)))</f>
        <v/>
      </c>
      <c r="E90" s="12" t="str">
        <f aca="false">IF(C90="","",INDEX(Catalogos!$D$5:$D$49,MATCH(LEFT(C90,7),Catalogos!$A$5:$A$49,0))&amp;" "&amp;INDEX(Catalogos!$E$5:$E$49,MATCH(LEFT(C90,7),Catalogos!$A$5:$A$49,0)))</f>
        <v/>
      </c>
      <c r="F90" s="12" t="str">
        <f aca="false">IF(C90="","",INDEX(Catalogos!$F$5:$F$49,MATCH(LEFT(C90,7),Catalogos!$A$5:$A$49,0)))</f>
        <v/>
      </c>
      <c r="G90" s="11"/>
      <c r="H90" s="11"/>
      <c r="I90" s="11"/>
      <c r="J90" s="11"/>
      <c r="K90" s="18"/>
      <c r="L90" s="18"/>
      <c r="M90" s="11"/>
      <c r="N90" s="11"/>
      <c r="O90" s="11"/>
      <c r="P90" s="11"/>
      <c r="Q90" s="11"/>
      <c r="R90" s="11"/>
      <c r="S90" s="12" t="str">
        <f aca="false">IF(R90="","",INDEX(Catalogos!$Y$5:$Y$25,MATCH(R90,L_IMP,0)))</f>
        <v/>
      </c>
      <c r="T90" s="11"/>
      <c r="U90" s="11"/>
      <c r="V90" s="11"/>
      <c r="W90" s="10" t="str">
        <f aca="false">IF(H90="","Pendiente por formular",IF(OR(J90="",K90="",L90="",M90="",N90="",O90="",Q90="",R90="",B90="",C90="",G90=""),"Incompleta: faltan campos obligatorios",IF(OR(NOT(ISNUMBER(K90)),NOT(ISNUMBER(L90))),"Fecha inválida",IF(L90&lt;K90,"La fecha de fin es anterior a la de inicio",IF(OR(YEAR(K90)&lt;&gt;2027,YEAR(L90)&lt;&gt;2027),"Fechas fuera de la vigencia 2027",IF(ISERROR(SEARCH("@itc.edu.co",M90)),"El responsable no tiene correo institucional",IF(ISERROR(SEARCH(Q90,INDEX(Catalogos!$Z$5:$Z$25,MATCH(R90,L_IMP,0)))),"La dimensión no corresponde al indicador de impacto","OK")))))))</f>
        <v>Pendiente por formular</v>
      </c>
    </row>
    <row r="91" customFormat="false" ht="14.25" hidden="false" customHeight="false" outlineLevel="0" collapsed="false">
      <c r="A91" s="12" t="n">
        <v>41</v>
      </c>
      <c r="B91" s="11"/>
      <c r="C91" s="11"/>
      <c r="D91" s="12" t="str">
        <f aca="false">IF(C91="","",INDEX(Catalogos!$C$5:$C$49,MATCH(LEFT(C91,7),Catalogos!$A$5:$A$49,0)))</f>
        <v/>
      </c>
      <c r="E91" s="12" t="str">
        <f aca="false">IF(C91="","",INDEX(Catalogos!$D$5:$D$49,MATCH(LEFT(C91,7),Catalogos!$A$5:$A$49,0))&amp;" "&amp;INDEX(Catalogos!$E$5:$E$49,MATCH(LEFT(C91,7),Catalogos!$A$5:$A$49,0)))</f>
        <v/>
      </c>
      <c r="F91" s="12" t="str">
        <f aca="false">IF(C91="","",INDEX(Catalogos!$F$5:$F$49,MATCH(LEFT(C91,7),Catalogos!$A$5:$A$49,0)))</f>
        <v/>
      </c>
      <c r="G91" s="11"/>
      <c r="H91" s="11"/>
      <c r="I91" s="11"/>
      <c r="J91" s="11"/>
      <c r="K91" s="18"/>
      <c r="L91" s="18"/>
      <c r="M91" s="11"/>
      <c r="N91" s="11"/>
      <c r="O91" s="11"/>
      <c r="P91" s="11"/>
      <c r="Q91" s="11"/>
      <c r="R91" s="11"/>
      <c r="S91" s="12" t="str">
        <f aca="false">IF(R91="","",INDEX(Catalogos!$Y$5:$Y$25,MATCH(R91,L_IMP,0)))</f>
        <v/>
      </c>
      <c r="T91" s="11"/>
      <c r="U91" s="11"/>
      <c r="V91" s="11"/>
      <c r="W91" s="10" t="str">
        <f aca="false">IF(H91="","Pendiente por formular",IF(OR(J91="",K91="",L91="",M91="",N91="",O91="",Q91="",R91="",B91="",C91="",G91=""),"Incompleta: faltan campos obligatorios",IF(OR(NOT(ISNUMBER(K91)),NOT(ISNUMBER(L91))),"Fecha inválida",IF(L91&lt;K91,"La fecha de fin es anterior a la de inicio",IF(OR(YEAR(K91)&lt;&gt;2027,YEAR(L91)&lt;&gt;2027),"Fechas fuera de la vigencia 2027",IF(ISERROR(SEARCH("@itc.edu.co",M91)),"El responsable no tiene correo institucional",IF(ISERROR(SEARCH(Q91,INDEX(Catalogos!$Z$5:$Z$25,MATCH(R91,L_IMP,0)))),"La dimensión no corresponde al indicador de impacto","OK")))))))</f>
        <v>Pendiente por formular</v>
      </c>
    </row>
    <row r="92" customFormat="false" ht="14.25" hidden="false" customHeight="false" outlineLevel="0" collapsed="false">
      <c r="A92" s="12" t="n">
        <v>42</v>
      </c>
      <c r="B92" s="11"/>
      <c r="C92" s="11"/>
      <c r="D92" s="12" t="str">
        <f aca="false">IF(C92="","",INDEX(Catalogos!$C$5:$C$49,MATCH(LEFT(C92,7),Catalogos!$A$5:$A$49,0)))</f>
        <v/>
      </c>
      <c r="E92" s="12" t="str">
        <f aca="false">IF(C92="","",INDEX(Catalogos!$D$5:$D$49,MATCH(LEFT(C92,7),Catalogos!$A$5:$A$49,0))&amp;" "&amp;INDEX(Catalogos!$E$5:$E$49,MATCH(LEFT(C92,7),Catalogos!$A$5:$A$49,0)))</f>
        <v/>
      </c>
      <c r="F92" s="12" t="str">
        <f aca="false">IF(C92="","",INDEX(Catalogos!$F$5:$F$49,MATCH(LEFT(C92,7),Catalogos!$A$5:$A$49,0)))</f>
        <v/>
      </c>
      <c r="G92" s="11"/>
      <c r="H92" s="11"/>
      <c r="I92" s="11"/>
      <c r="J92" s="11"/>
      <c r="K92" s="18"/>
      <c r="L92" s="18"/>
      <c r="M92" s="11"/>
      <c r="N92" s="11"/>
      <c r="O92" s="11"/>
      <c r="P92" s="11"/>
      <c r="Q92" s="11"/>
      <c r="R92" s="11"/>
      <c r="S92" s="12" t="str">
        <f aca="false">IF(R92="","",INDEX(Catalogos!$Y$5:$Y$25,MATCH(R92,L_IMP,0)))</f>
        <v/>
      </c>
      <c r="T92" s="11"/>
      <c r="U92" s="11"/>
      <c r="V92" s="11"/>
      <c r="W92" s="10" t="str">
        <f aca="false">IF(H92="","Pendiente por formular",IF(OR(J92="",K92="",L92="",M92="",N92="",O92="",Q92="",R92="",B92="",C92="",G92=""),"Incompleta: faltan campos obligatorios",IF(OR(NOT(ISNUMBER(K92)),NOT(ISNUMBER(L92))),"Fecha inválida",IF(L92&lt;K92,"La fecha de fin es anterior a la de inicio",IF(OR(YEAR(K92)&lt;&gt;2027,YEAR(L92)&lt;&gt;2027),"Fechas fuera de la vigencia 2027",IF(ISERROR(SEARCH("@itc.edu.co",M92)),"El responsable no tiene correo institucional",IF(ISERROR(SEARCH(Q92,INDEX(Catalogos!$Z$5:$Z$25,MATCH(R92,L_IMP,0)))),"La dimensión no corresponde al indicador de impacto","OK")))))))</f>
        <v>Pendiente por formular</v>
      </c>
    </row>
    <row r="93" customFormat="false" ht="14.25" hidden="false" customHeight="false" outlineLevel="0" collapsed="false">
      <c r="A93" s="12" t="n">
        <v>43</v>
      </c>
      <c r="B93" s="11"/>
      <c r="C93" s="11"/>
      <c r="D93" s="12" t="str">
        <f aca="false">IF(C93="","",INDEX(Catalogos!$C$5:$C$49,MATCH(LEFT(C93,7),Catalogos!$A$5:$A$49,0)))</f>
        <v/>
      </c>
      <c r="E93" s="12" t="str">
        <f aca="false">IF(C93="","",INDEX(Catalogos!$D$5:$D$49,MATCH(LEFT(C93,7),Catalogos!$A$5:$A$49,0))&amp;" "&amp;INDEX(Catalogos!$E$5:$E$49,MATCH(LEFT(C93,7),Catalogos!$A$5:$A$49,0)))</f>
        <v/>
      </c>
      <c r="F93" s="12" t="str">
        <f aca="false">IF(C93="","",INDEX(Catalogos!$F$5:$F$49,MATCH(LEFT(C93,7),Catalogos!$A$5:$A$49,0)))</f>
        <v/>
      </c>
      <c r="G93" s="11"/>
      <c r="H93" s="11"/>
      <c r="I93" s="11"/>
      <c r="J93" s="11"/>
      <c r="K93" s="18"/>
      <c r="L93" s="18"/>
      <c r="M93" s="11"/>
      <c r="N93" s="11"/>
      <c r="O93" s="11"/>
      <c r="P93" s="11"/>
      <c r="Q93" s="11"/>
      <c r="R93" s="11"/>
      <c r="S93" s="12" t="str">
        <f aca="false">IF(R93="","",INDEX(Catalogos!$Y$5:$Y$25,MATCH(R93,L_IMP,0)))</f>
        <v/>
      </c>
      <c r="T93" s="11"/>
      <c r="U93" s="11"/>
      <c r="V93" s="11"/>
      <c r="W93" s="10" t="str">
        <f aca="false">IF(H93="","Pendiente por formular",IF(OR(J93="",K93="",L93="",M93="",N93="",O93="",Q93="",R93="",B93="",C93="",G93=""),"Incompleta: faltan campos obligatorios",IF(OR(NOT(ISNUMBER(K93)),NOT(ISNUMBER(L93))),"Fecha inválida",IF(L93&lt;K93,"La fecha de fin es anterior a la de inicio",IF(OR(YEAR(K93)&lt;&gt;2027,YEAR(L93)&lt;&gt;2027),"Fechas fuera de la vigencia 2027",IF(ISERROR(SEARCH("@itc.edu.co",M93)),"El responsable no tiene correo institucional",IF(ISERROR(SEARCH(Q93,INDEX(Catalogos!$Z$5:$Z$25,MATCH(R93,L_IMP,0)))),"La dimensión no corresponde al indicador de impacto","OK")))))))</f>
        <v>Pendiente por formular</v>
      </c>
    </row>
    <row r="94" customFormat="false" ht="14.25" hidden="false" customHeight="false" outlineLevel="0" collapsed="false">
      <c r="A94" s="12" t="n">
        <v>44</v>
      </c>
      <c r="B94" s="11"/>
      <c r="C94" s="11"/>
      <c r="D94" s="12" t="str">
        <f aca="false">IF(C94="","",INDEX(Catalogos!$C$5:$C$49,MATCH(LEFT(C94,7),Catalogos!$A$5:$A$49,0)))</f>
        <v/>
      </c>
      <c r="E94" s="12" t="str">
        <f aca="false">IF(C94="","",INDEX(Catalogos!$D$5:$D$49,MATCH(LEFT(C94,7),Catalogos!$A$5:$A$49,0))&amp;" "&amp;INDEX(Catalogos!$E$5:$E$49,MATCH(LEFT(C94,7),Catalogos!$A$5:$A$49,0)))</f>
        <v/>
      </c>
      <c r="F94" s="12" t="str">
        <f aca="false">IF(C94="","",INDEX(Catalogos!$F$5:$F$49,MATCH(LEFT(C94,7),Catalogos!$A$5:$A$49,0)))</f>
        <v/>
      </c>
      <c r="G94" s="11"/>
      <c r="H94" s="11"/>
      <c r="I94" s="11"/>
      <c r="J94" s="11"/>
      <c r="K94" s="18"/>
      <c r="L94" s="18"/>
      <c r="M94" s="11"/>
      <c r="N94" s="11"/>
      <c r="O94" s="11"/>
      <c r="P94" s="11"/>
      <c r="Q94" s="11"/>
      <c r="R94" s="11"/>
      <c r="S94" s="12" t="str">
        <f aca="false">IF(R94="","",INDEX(Catalogos!$Y$5:$Y$25,MATCH(R94,L_IMP,0)))</f>
        <v/>
      </c>
      <c r="T94" s="11"/>
      <c r="U94" s="11"/>
      <c r="V94" s="11"/>
      <c r="W94" s="10" t="str">
        <f aca="false">IF(H94="","Pendiente por formular",IF(OR(J94="",K94="",L94="",M94="",N94="",O94="",Q94="",R94="",B94="",C94="",G94=""),"Incompleta: faltan campos obligatorios",IF(OR(NOT(ISNUMBER(K94)),NOT(ISNUMBER(L94))),"Fecha inválida",IF(L94&lt;K94,"La fecha de fin es anterior a la de inicio",IF(OR(YEAR(K94)&lt;&gt;2027,YEAR(L94)&lt;&gt;2027),"Fechas fuera de la vigencia 2027",IF(ISERROR(SEARCH("@itc.edu.co",M94)),"El responsable no tiene correo institucional",IF(ISERROR(SEARCH(Q94,INDEX(Catalogos!$Z$5:$Z$25,MATCH(R94,L_IMP,0)))),"La dimensión no corresponde al indicador de impacto","OK")))))))</f>
        <v>Pendiente por formular</v>
      </c>
    </row>
    <row r="95" customFormat="false" ht="14.25" hidden="false" customHeight="false" outlineLevel="0" collapsed="false">
      <c r="A95" s="12" t="n">
        <v>45</v>
      </c>
      <c r="B95" s="11"/>
      <c r="C95" s="11"/>
      <c r="D95" s="12" t="str">
        <f aca="false">IF(C95="","",INDEX(Catalogos!$C$5:$C$49,MATCH(LEFT(C95,7),Catalogos!$A$5:$A$49,0)))</f>
        <v/>
      </c>
      <c r="E95" s="12" t="str">
        <f aca="false">IF(C95="","",INDEX(Catalogos!$D$5:$D$49,MATCH(LEFT(C95,7),Catalogos!$A$5:$A$49,0))&amp;" "&amp;INDEX(Catalogos!$E$5:$E$49,MATCH(LEFT(C95,7),Catalogos!$A$5:$A$49,0)))</f>
        <v/>
      </c>
      <c r="F95" s="12" t="str">
        <f aca="false">IF(C95="","",INDEX(Catalogos!$F$5:$F$49,MATCH(LEFT(C95,7),Catalogos!$A$5:$A$49,0)))</f>
        <v/>
      </c>
      <c r="G95" s="11"/>
      <c r="H95" s="11"/>
      <c r="I95" s="11"/>
      <c r="J95" s="11"/>
      <c r="K95" s="18"/>
      <c r="L95" s="18"/>
      <c r="M95" s="11"/>
      <c r="N95" s="11"/>
      <c r="O95" s="11"/>
      <c r="P95" s="11"/>
      <c r="Q95" s="11"/>
      <c r="R95" s="11"/>
      <c r="S95" s="12" t="str">
        <f aca="false">IF(R95="","",INDEX(Catalogos!$Y$5:$Y$25,MATCH(R95,L_IMP,0)))</f>
        <v/>
      </c>
      <c r="T95" s="11"/>
      <c r="U95" s="11"/>
      <c r="V95" s="11"/>
      <c r="W95" s="10" t="str">
        <f aca="false">IF(H95="","Pendiente por formular",IF(OR(J95="",K95="",L95="",M95="",N95="",O95="",Q95="",R95="",B95="",C95="",G95=""),"Incompleta: faltan campos obligatorios",IF(OR(NOT(ISNUMBER(K95)),NOT(ISNUMBER(L95))),"Fecha inválida",IF(L95&lt;K95,"La fecha de fin es anterior a la de inicio",IF(OR(YEAR(K95)&lt;&gt;2027,YEAR(L95)&lt;&gt;2027),"Fechas fuera de la vigencia 2027",IF(ISERROR(SEARCH("@itc.edu.co",M95)),"El responsable no tiene correo institucional",IF(ISERROR(SEARCH(Q95,INDEX(Catalogos!$Z$5:$Z$25,MATCH(R95,L_IMP,0)))),"La dimensión no corresponde al indicador de impacto","OK")))))))</f>
        <v>Pendiente por formular</v>
      </c>
    </row>
    <row r="96" customFormat="false" ht="14.25" hidden="false" customHeight="false" outlineLevel="0" collapsed="false">
      <c r="A96" s="12" t="n">
        <v>46</v>
      </c>
      <c r="B96" s="11"/>
      <c r="C96" s="11"/>
      <c r="D96" s="12" t="str">
        <f aca="false">IF(C96="","",INDEX(Catalogos!$C$5:$C$49,MATCH(LEFT(C96,7),Catalogos!$A$5:$A$49,0)))</f>
        <v/>
      </c>
      <c r="E96" s="12" t="str">
        <f aca="false">IF(C96="","",INDEX(Catalogos!$D$5:$D$49,MATCH(LEFT(C96,7),Catalogos!$A$5:$A$49,0))&amp;" "&amp;INDEX(Catalogos!$E$5:$E$49,MATCH(LEFT(C96,7),Catalogos!$A$5:$A$49,0)))</f>
        <v/>
      </c>
      <c r="F96" s="12" t="str">
        <f aca="false">IF(C96="","",INDEX(Catalogos!$F$5:$F$49,MATCH(LEFT(C96,7),Catalogos!$A$5:$A$49,0)))</f>
        <v/>
      </c>
      <c r="G96" s="11"/>
      <c r="H96" s="11"/>
      <c r="I96" s="11"/>
      <c r="J96" s="11"/>
      <c r="K96" s="18"/>
      <c r="L96" s="18"/>
      <c r="M96" s="11"/>
      <c r="N96" s="11"/>
      <c r="O96" s="11"/>
      <c r="P96" s="11"/>
      <c r="Q96" s="11"/>
      <c r="R96" s="11"/>
      <c r="S96" s="12" t="str">
        <f aca="false">IF(R96="","",INDEX(Catalogos!$Y$5:$Y$25,MATCH(R96,L_IMP,0)))</f>
        <v/>
      </c>
      <c r="T96" s="11"/>
      <c r="U96" s="11"/>
      <c r="V96" s="11"/>
      <c r="W96" s="10" t="str">
        <f aca="false">IF(H96="","Pendiente por formular",IF(OR(J96="",K96="",L96="",M96="",N96="",O96="",Q96="",R96="",B96="",C96="",G96=""),"Incompleta: faltan campos obligatorios",IF(OR(NOT(ISNUMBER(K96)),NOT(ISNUMBER(L96))),"Fecha inválida",IF(L96&lt;K96,"La fecha de fin es anterior a la de inicio",IF(OR(YEAR(K96)&lt;&gt;2027,YEAR(L96)&lt;&gt;2027),"Fechas fuera de la vigencia 2027",IF(ISERROR(SEARCH("@itc.edu.co",M96)),"El responsable no tiene correo institucional",IF(ISERROR(SEARCH(Q96,INDEX(Catalogos!$Z$5:$Z$25,MATCH(R96,L_IMP,0)))),"La dimensión no corresponde al indicador de impacto","OK")))))))</f>
        <v>Pendiente por formular</v>
      </c>
    </row>
    <row r="97" customFormat="false" ht="14.25" hidden="false" customHeight="false" outlineLevel="0" collapsed="false">
      <c r="A97" s="12" t="n">
        <v>47</v>
      </c>
      <c r="B97" s="11"/>
      <c r="C97" s="11"/>
      <c r="D97" s="12" t="str">
        <f aca="false">IF(C97="","",INDEX(Catalogos!$C$5:$C$49,MATCH(LEFT(C97,7),Catalogos!$A$5:$A$49,0)))</f>
        <v/>
      </c>
      <c r="E97" s="12" t="str">
        <f aca="false">IF(C97="","",INDEX(Catalogos!$D$5:$D$49,MATCH(LEFT(C97,7),Catalogos!$A$5:$A$49,0))&amp;" "&amp;INDEX(Catalogos!$E$5:$E$49,MATCH(LEFT(C97,7),Catalogos!$A$5:$A$49,0)))</f>
        <v/>
      </c>
      <c r="F97" s="12" t="str">
        <f aca="false">IF(C97="","",INDEX(Catalogos!$F$5:$F$49,MATCH(LEFT(C97,7),Catalogos!$A$5:$A$49,0)))</f>
        <v/>
      </c>
      <c r="G97" s="11"/>
      <c r="H97" s="11"/>
      <c r="I97" s="11"/>
      <c r="J97" s="11"/>
      <c r="K97" s="18"/>
      <c r="L97" s="18"/>
      <c r="M97" s="11"/>
      <c r="N97" s="11"/>
      <c r="O97" s="11"/>
      <c r="P97" s="11"/>
      <c r="Q97" s="11"/>
      <c r="R97" s="11"/>
      <c r="S97" s="12" t="str">
        <f aca="false">IF(R97="","",INDEX(Catalogos!$Y$5:$Y$25,MATCH(R97,L_IMP,0)))</f>
        <v/>
      </c>
      <c r="T97" s="11"/>
      <c r="U97" s="11"/>
      <c r="V97" s="11"/>
      <c r="W97" s="10" t="str">
        <f aca="false">IF(H97="","Pendiente por formular",IF(OR(J97="",K97="",L97="",M97="",N97="",O97="",Q97="",R97="",B97="",C97="",G97=""),"Incompleta: faltan campos obligatorios",IF(OR(NOT(ISNUMBER(K97)),NOT(ISNUMBER(L97))),"Fecha inválida",IF(L97&lt;K97,"La fecha de fin es anterior a la de inicio",IF(OR(YEAR(K97)&lt;&gt;2027,YEAR(L97)&lt;&gt;2027),"Fechas fuera de la vigencia 2027",IF(ISERROR(SEARCH("@itc.edu.co",M97)),"El responsable no tiene correo institucional",IF(ISERROR(SEARCH(Q97,INDEX(Catalogos!$Z$5:$Z$25,MATCH(R97,L_IMP,0)))),"La dimensión no corresponde al indicador de impacto","OK")))))))</f>
        <v>Pendiente por formular</v>
      </c>
    </row>
    <row r="98" customFormat="false" ht="14.25" hidden="false" customHeight="false" outlineLevel="0" collapsed="false">
      <c r="A98" s="12" t="n">
        <v>48</v>
      </c>
      <c r="B98" s="11"/>
      <c r="C98" s="11"/>
      <c r="D98" s="12" t="str">
        <f aca="false">IF(C98="","",INDEX(Catalogos!$C$5:$C$49,MATCH(LEFT(C98,7),Catalogos!$A$5:$A$49,0)))</f>
        <v/>
      </c>
      <c r="E98" s="12" t="str">
        <f aca="false">IF(C98="","",INDEX(Catalogos!$D$5:$D$49,MATCH(LEFT(C98,7),Catalogos!$A$5:$A$49,0))&amp;" "&amp;INDEX(Catalogos!$E$5:$E$49,MATCH(LEFT(C98,7),Catalogos!$A$5:$A$49,0)))</f>
        <v/>
      </c>
      <c r="F98" s="12" t="str">
        <f aca="false">IF(C98="","",INDEX(Catalogos!$F$5:$F$49,MATCH(LEFT(C98,7),Catalogos!$A$5:$A$49,0)))</f>
        <v/>
      </c>
      <c r="G98" s="11"/>
      <c r="H98" s="11"/>
      <c r="I98" s="11"/>
      <c r="J98" s="11"/>
      <c r="K98" s="18"/>
      <c r="L98" s="18"/>
      <c r="M98" s="11"/>
      <c r="N98" s="11"/>
      <c r="O98" s="11"/>
      <c r="P98" s="11"/>
      <c r="Q98" s="11"/>
      <c r="R98" s="11"/>
      <c r="S98" s="12" t="str">
        <f aca="false">IF(R98="","",INDEX(Catalogos!$Y$5:$Y$25,MATCH(R98,L_IMP,0)))</f>
        <v/>
      </c>
      <c r="T98" s="11"/>
      <c r="U98" s="11"/>
      <c r="V98" s="11"/>
      <c r="W98" s="10" t="str">
        <f aca="false">IF(H98="","Pendiente por formular",IF(OR(J98="",K98="",L98="",M98="",N98="",O98="",Q98="",R98="",B98="",C98="",G98=""),"Incompleta: faltan campos obligatorios",IF(OR(NOT(ISNUMBER(K98)),NOT(ISNUMBER(L98))),"Fecha inválida",IF(L98&lt;K98,"La fecha de fin es anterior a la de inicio",IF(OR(YEAR(K98)&lt;&gt;2027,YEAR(L98)&lt;&gt;2027),"Fechas fuera de la vigencia 2027",IF(ISERROR(SEARCH("@itc.edu.co",M98)),"El responsable no tiene correo institucional",IF(ISERROR(SEARCH(Q98,INDEX(Catalogos!$Z$5:$Z$25,MATCH(R98,L_IMP,0)))),"La dimensión no corresponde al indicador de impacto","OK")))))))</f>
        <v>Pendiente por formular</v>
      </c>
    </row>
    <row r="99" customFormat="false" ht="14.25" hidden="false" customHeight="false" outlineLevel="0" collapsed="false">
      <c r="A99" s="12" t="n">
        <v>49</v>
      </c>
      <c r="B99" s="11"/>
      <c r="C99" s="11"/>
      <c r="D99" s="12" t="str">
        <f aca="false">IF(C99="","",INDEX(Catalogos!$C$5:$C$49,MATCH(LEFT(C99,7),Catalogos!$A$5:$A$49,0)))</f>
        <v/>
      </c>
      <c r="E99" s="12" t="str">
        <f aca="false">IF(C99="","",INDEX(Catalogos!$D$5:$D$49,MATCH(LEFT(C99,7),Catalogos!$A$5:$A$49,0))&amp;" "&amp;INDEX(Catalogos!$E$5:$E$49,MATCH(LEFT(C99,7),Catalogos!$A$5:$A$49,0)))</f>
        <v/>
      </c>
      <c r="F99" s="12" t="str">
        <f aca="false">IF(C99="","",INDEX(Catalogos!$F$5:$F$49,MATCH(LEFT(C99,7),Catalogos!$A$5:$A$49,0)))</f>
        <v/>
      </c>
      <c r="G99" s="11"/>
      <c r="H99" s="11"/>
      <c r="I99" s="11"/>
      <c r="J99" s="11"/>
      <c r="K99" s="18"/>
      <c r="L99" s="18"/>
      <c r="M99" s="11"/>
      <c r="N99" s="11"/>
      <c r="O99" s="11"/>
      <c r="P99" s="11"/>
      <c r="Q99" s="11"/>
      <c r="R99" s="11"/>
      <c r="S99" s="12" t="str">
        <f aca="false">IF(R99="","",INDEX(Catalogos!$Y$5:$Y$25,MATCH(R99,L_IMP,0)))</f>
        <v/>
      </c>
      <c r="T99" s="11"/>
      <c r="U99" s="11"/>
      <c r="V99" s="11"/>
      <c r="W99" s="10" t="str">
        <f aca="false">IF(H99="","Pendiente por formular",IF(OR(J99="",K99="",L99="",M99="",N99="",O99="",Q99="",R99="",B99="",C99="",G99=""),"Incompleta: faltan campos obligatorios",IF(OR(NOT(ISNUMBER(K99)),NOT(ISNUMBER(L99))),"Fecha inválida",IF(L99&lt;K99,"La fecha de fin es anterior a la de inicio",IF(OR(YEAR(K99)&lt;&gt;2027,YEAR(L99)&lt;&gt;2027),"Fechas fuera de la vigencia 2027",IF(ISERROR(SEARCH("@itc.edu.co",M99)),"El responsable no tiene correo institucional",IF(ISERROR(SEARCH(Q99,INDEX(Catalogos!$Z$5:$Z$25,MATCH(R99,L_IMP,0)))),"La dimensión no corresponde al indicador de impacto","OK")))))))</f>
        <v>Pendiente por formular</v>
      </c>
    </row>
    <row r="100" customFormat="false" ht="14.25" hidden="false" customHeight="false" outlineLevel="0" collapsed="false">
      <c r="A100" s="12" t="n">
        <v>50</v>
      </c>
      <c r="B100" s="11"/>
      <c r="C100" s="11"/>
      <c r="D100" s="12" t="str">
        <f aca="false">IF(C100="","",INDEX(Catalogos!$C$5:$C$49,MATCH(LEFT(C100,7),Catalogos!$A$5:$A$49,0)))</f>
        <v/>
      </c>
      <c r="E100" s="12" t="str">
        <f aca="false">IF(C100="","",INDEX(Catalogos!$D$5:$D$49,MATCH(LEFT(C100,7),Catalogos!$A$5:$A$49,0))&amp;" "&amp;INDEX(Catalogos!$E$5:$E$49,MATCH(LEFT(C100,7),Catalogos!$A$5:$A$49,0)))</f>
        <v/>
      </c>
      <c r="F100" s="12" t="str">
        <f aca="false">IF(C100="","",INDEX(Catalogos!$F$5:$F$49,MATCH(LEFT(C100,7),Catalogos!$A$5:$A$49,0)))</f>
        <v/>
      </c>
      <c r="G100" s="11"/>
      <c r="H100" s="11"/>
      <c r="I100" s="11"/>
      <c r="J100" s="11"/>
      <c r="K100" s="18"/>
      <c r="L100" s="18"/>
      <c r="M100" s="11"/>
      <c r="N100" s="11"/>
      <c r="O100" s="11"/>
      <c r="P100" s="11"/>
      <c r="Q100" s="11"/>
      <c r="R100" s="11"/>
      <c r="S100" s="12" t="str">
        <f aca="false">IF(R100="","",INDEX(Catalogos!$Y$5:$Y$25,MATCH(R100,L_IMP,0)))</f>
        <v/>
      </c>
      <c r="T100" s="11"/>
      <c r="U100" s="11"/>
      <c r="V100" s="11"/>
      <c r="W100" s="10" t="str">
        <f aca="false">IF(H100="","Pendiente por formular",IF(OR(J100="",K100="",L100="",M100="",N100="",O100="",Q100="",R100="",B100="",C100="",G100=""),"Incompleta: faltan campos obligatorios",IF(OR(NOT(ISNUMBER(K100)),NOT(ISNUMBER(L100))),"Fecha inválida",IF(L100&lt;K100,"La fecha de fin es anterior a la de inicio",IF(OR(YEAR(K100)&lt;&gt;2027,YEAR(L100)&lt;&gt;2027),"Fechas fuera de la vigencia 2027",IF(ISERROR(SEARCH("@itc.edu.co",M100)),"El responsable no tiene correo institucional",IF(ISERROR(SEARCH(Q100,INDEX(Catalogos!$Z$5:$Z$25,MATCH(R100,L_IMP,0)))),"La dimensión no corresponde al indicador de impacto","OK")))))))</f>
        <v>Pendiente por formular</v>
      </c>
    </row>
    <row r="101" customFormat="false" ht="14.25" hidden="false" customHeight="false" outlineLevel="0" collapsed="false">
      <c r="A101" s="12" t="n">
        <v>51</v>
      </c>
      <c r="B101" s="11"/>
      <c r="C101" s="11"/>
      <c r="D101" s="12" t="str">
        <f aca="false">IF(C101="","",INDEX(Catalogos!$C$5:$C$49,MATCH(LEFT(C101,7),Catalogos!$A$5:$A$49,0)))</f>
        <v/>
      </c>
      <c r="E101" s="12" t="str">
        <f aca="false">IF(C101="","",INDEX(Catalogos!$D$5:$D$49,MATCH(LEFT(C101,7),Catalogos!$A$5:$A$49,0))&amp;" "&amp;INDEX(Catalogos!$E$5:$E$49,MATCH(LEFT(C101,7),Catalogos!$A$5:$A$49,0)))</f>
        <v/>
      </c>
      <c r="F101" s="12" t="str">
        <f aca="false">IF(C101="","",INDEX(Catalogos!$F$5:$F$49,MATCH(LEFT(C101,7),Catalogos!$A$5:$A$49,0)))</f>
        <v/>
      </c>
      <c r="G101" s="11"/>
      <c r="H101" s="11"/>
      <c r="I101" s="11"/>
      <c r="J101" s="11"/>
      <c r="K101" s="18"/>
      <c r="L101" s="18"/>
      <c r="M101" s="11"/>
      <c r="N101" s="11"/>
      <c r="O101" s="11"/>
      <c r="P101" s="11"/>
      <c r="Q101" s="11"/>
      <c r="R101" s="11"/>
      <c r="S101" s="12" t="str">
        <f aca="false">IF(R101="","",INDEX(Catalogos!$Y$5:$Y$25,MATCH(R101,L_IMP,0)))</f>
        <v/>
      </c>
      <c r="T101" s="11"/>
      <c r="U101" s="11"/>
      <c r="V101" s="11"/>
      <c r="W101" s="10" t="str">
        <f aca="false">IF(H101="","Pendiente por formular",IF(OR(J101="",K101="",L101="",M101="",N101="",O101="",Q101="",R101="",B101="",C101="",G101=""),"Incompleta: faltan campos obligatorios",IF(OR(NOT(ISNUMBER(K101)),NOT(ISNUMBER(L101))),"Fecha inválida",IF(L101&lt;K101,"La fecha de fin es anterior a la de inicio",IF(OR(YEAR(K101)&lt;&gt;2027,YEAR(L101)&lt;&gt;2027),"Fechas fuera de la vigencia 2027",IF(ISERROR(SEARCH("@itc.edu.co",M101)),"El responsable no tiene correo institucional",IF(ISERROR(SEARCH(Q101,INDEX(Catalogos!$Z$5:$Z$25,MATCH(R101,L_IMP,0)))),"La dimensión no corresponde al indicador de impacto","OK")))))))</f>
        <v>Pendiente por formular</v>
      </c>
    </row>
    <row r="102" customFormat="false" ht="14.25" hidden="false" customHeight="false" outlineLevel="0" collapsed="false">
      <c r="A102" s="12" t="n">
        <v>52</v>
      </c>
      <c r="B102" s="11"/>
      <c r="C102" s="11"/>
      <c r="D102" s="12" t="str">
        <f aca="false">IF(C102="","",INDEX(Catalogos!$C$5:$C$49,MATCH(LEFT(C102,7),Catalogos!$A$5:$A$49,0)))</f>
        <v/>
      </c>
      <c r="E102" s="12" t="str">
        <f aca="false">IF(C102="","",INDEX(Catalogos!$D$5:$D$49,MATCH(LEFT(C102,7),Catalogos!$A$5:$A$49,0))&amp;" "&amp;INDEX(Catalogos!$E$5:$E$49,MATCH(LEFT(C102,7),Catalogos!$A$5:$A$49,0)))</f>
        <v/>
      </c>
      <c r="F102" s="12" t="str">
        <f aca="false">IF(C102="","",INDEX(Catalogos!$F$5:$F$49,MATCH(LEFT(C102,7),Catalogos!$A$5:$A$49,0)))</f>
        <v/>
      </c>
      <c r="G102" s="11"/>
      <c r="H102" s="11"/>
      <c r="I102" s="11"/>
      <c r="J102" s="11"/>
      <c r="K102" s="18"/>
      <c r="L102" s="18"/>
      <c r="M102" s="11"/>
      <c r="N102" s="11"/>
      <c r="O102" s="11"/>
      <c r="P102" s="11"/>
      <c r="Q102" s="11"/>
      <c r="R102" s="11"/>
      <c r="S102" s="12" t="str">
        <f aca="false">IF(R102="","",INDEX(Catalogos!$Y$5:$Y$25,MATCH(R102,L_IMP,0)))</f>
        <v/>
      </c>
      <c r="T102" s="11"/>
      <c r="U102" s="11"/>
      <c r="V102" s="11"/>
      <c r="W102" s="10" t="str">
        <f aca="false">IF(H102="","Pendiente por formular",IF(OR(J102="",K102="",L102="",M102="",N102="",O102="",Q102="",R102="",B102="",C102="",G102=""),"Incompleta: faltan campos obligatorios",IF(OR(NOT(ISNUMBER(K102)),NOT(ISNUMBER(L102))),"Fecha inválida",IF(L102&lt;K102,"La fecha de fin es anterior a la de inicio",IF(OR(YEAR(K102)&lt;&gt;2027,YEAR(L102)&lt;&gt;2027),"Fechas fuera de la vigencia 2027",IF(ISERROR(SEARCH("@itc.edu.co",M102)),"El responsable no tiene correo institucional",IF(ISERROR(SEARCH(Q102,INDEX(Catalogos!$Z$5:$Z$25,MATCH(R102,L_IMP,0)))),"La dimensión no corresponde al indicador de impacto","OK")))))))</f>
        <v>Pendiente por formular</v>
      </c>
    </row>
    <row r="103" customFormat="false" ht="14.25" hidden="false" customHeight="false" outlineLevel="0" collapsed="false">
      <c r="A103" s="12" t="n">
        <v>53</v>
      </c>
      <c r="B103" s="11"/>
      <c r="C103" s="11"/>
      <c r="D103" s="12" t="str">
        <f aca="false">IF(C103="","",INDEX(Catalogos!$C$5:$C$49,MATCH(LEFT(C103,7),Catalogos!$A$5:$A$49,0)))</f>
        <v/>
      </c>
      <c r="E103" s="12" t="str">
        <f aca="false">IF(C103="","",INDEX(Catalogos!$D$5:$D$49,MATCH(LEFT(C103,7),Catalogos!$A$5:$A$49,0))&amp;" "&amp;INDEX(Catalogos!$E$5:$E$49,MATCH(LEFT(C103,7),Catalogos!$A$5:$A$49,0)))</f>
        <v/>
      </c>
      <c r="F103" s="12" t="str">
        <f aca="false">IF(C103="","",INDEX(Catalogos!$F$5:$F$49,MATCH(LEFT(C103,7),Catalogos!$A$5:$A$49,0)))</f>
        <v/>
      </c>
      <c r="G103" s="11"/>
      <c r="H103" s="11"/>
      <c r="I103" s="11"/>
      <c r="J103" s="11"/>
      <c r="K103" s="18"/>
      <c r="L103" s="18"/>
      <c r="M103" s="11"/>
      <c r="N103" s="11"/>
      <c r="O103" s="11"/>
      <c r="P103" s="11"/>
      <c r="Q103" s="11"/>
      <c r="R103" s="11"/>
      <c r="S103" s="12" t="str">
        <f aca="false">IF(R103="","",INDEX(Catalogos!$Y$5:$Y$25,MATCH(R103,L_IMP,0)))</f>
        <v/>
      </c>
      <c r="T103" s="11"/>
      <c r="U103" s="11"/>
      <c r="V103" s="11"/>
      <c r="W103" s="10" t="str">
        <f aca="false">IF(H103="","Pendiente por formular",IF(OR(J103="",K103="",L103="",M103="",N103="",O103="",Q103="",R103="",B103="",C103="",G103=""),"Incompleta: faltan campos obligatorios",IF(OR(NOT(ISNUMBER(K103)),NOT(ISNUMBER(L103))),"Fecha inválida",IF(L103&lt;K103,"La fecha de fin es anterior a la de inicio",IF(OR(YEAR(K103)&lt;&gt;2027,YEAR(L103)&lt;&gt;2027),"Fechas fuera de la vigencia 2027",IF(ISERROR(SEARCH("@itc.edu.co",M103)),"El responsable no tiene correo institucional",IF(ISERROR(SEARCH(Q103,INDEX(Catalogos!$Z$5:$Z$25,MATCH(R103,L_IMP,0)))),"La dimensión no corresponde al indicador de impacto","OK")))))))</f>
        <v>Pendiente por formular</v>
      </c>
    </row>
    <row r="104" customFormat="false" ht="14.25" hidden="false" customHeight="false" outlineLevel="0" collapsed="false">
      <c r="A104" s="12" t="n">
        <v>54</v>
      </c>
      <c r="B104" s="11"/>
      <c r="C104" s="11"/>
      <c r="D104" s="12" t="str">
        <f aca="false">IF(C104="","",INDEX(Catalogos!$C$5:$C$49,MATCH(LEFT(C104,7),Catalogos!$A$5:$A$49,0)))</f>
        <v/>
      </c>
      <c r="E104" s="12" t="str">
        <f aca="false">IF(C104="","",INDEX(Catalogos!$D$5:$D$49,MATCH(LEFT(C104,7),Catalogos!$A$5:$A$49,0))&amp;" "&amp;INDEX(Catalogos!$E$5:$E$49,MATCH(LEFT(C104,7),Catalogos!$A$5:$A$49,0)))</f>
        <v/>
      </c>
      <c r="F104" s="12" t="str">
        <f aca="false">IF(C104="","",INDEX(Catalogos!$F$5:$F$49,MATCH(LEFT(C104,7),Catalogos!$A$5:$A$49,0)))</f>
        <v/>
      </c>
      <c r="G104" s="11"/>
      <c r="H104" s="11"/>
      <c r="I104" s="11"/>
      <c r="J104" s="11"/>
      <c r="K104" s="18"/>
      <c r="L104" s="18"/>
      <c r="M104" s="11"/>
      <c r="N104" s="11"/>
      <c r="O104" s="11"/>
      <c r="P104" s="11"/>
      <c r="Q104" s="11"/>
      <c r="R104" s="11"/>
      <c r="S104" s="12" t="str">
        <f aca="false">IF(R104="","",INDEX(Catalogos!$Y$5:$Y$25,MATCH(R104,L_IMP,0)))</f>
        <v/>
      </c>
      <c r="T104" s="11"/>
      <c r="U104" s="11"/>
      <c r="V104" s="11"/>
      <c r="W104" s="10" t="str">
        <f aca="false">IF(H104="","Pendiente por formular",IF(OR(J104="",K104="",L104="",M104="",N104="",O104="",Q104="",R104="",B104="",C104="",G104=""),"Incompleta: faltan campos obligatorios",IF(OR(NOT(ISNUMBER(K104)),NOT(ISNUMBER(L104))),"Fecha inválida",IF(L104&lt;K104,"La fecha de fin es anterior a la de inicio",IF(OR(YEAR(K104)&lt;&gt;2027,YEAR(L104)&lt;&gt;2027),"Fechas fuera de la vigencia 2027",IF(ISERROR(SEARCH("@itc.edu.co",M104)),"El responsable no tiene correo institucional",IF(ISERROR(SEARCH(Q104,INDEX(Catalogos!$Z$5:$Z$25,MATCH(R104,L_IMP,0)))),"La dimensión no corresponde al indicador de impacto","OK")))))))</f>
        <v>Pendiente por formular</v>
      </c>
    </row>
    <row r="105" customFormat="false" ht="14.25" hidden="false" customHeight="false" outlineLevel="0" collapsed="false">
      <c r="A105" s="12" t="n">
        <v>55</v>
      </c>
      <c r="B105" s="11"/>
      <c r="C105" s="11"/>
      <c r="D105" s="12" t="str">
        <f aca="false">IF(C105="","",INDEX(Catalogos!$C$5:$C$49,MATCH(LEFT(C105,7),Catalogos!$A$5:$A$49,0)))</f>
        <v/>
      </c>
      <c r="E105" s="12" t="str">
        <f aca="false">IF(C105="","",INDEX(Catalogos!$D$5:$D$49,MATCH(LEFT(C105,7),Catalogos!$A$5:$A$49,0))&amp;" "&amp;INDEX(Catalogos!$E$5:$E$49,MATCH(LEFT(C105,7),Catalogos!$A$5:$A$49,0)))</f>
        <v/>
      </c>
      <c r="F105" s="12" t="str">
        <f aca="false">IF(C105="","",INDEX(Catalogos!$F$5:$F$49,MATCH(LEFT(C105,7),Catalogos!$A$5:$A$49,0)))</f>
        <v/>
      </c>
      <c r="G105" s="11"/>
      <c r="H105" s="11"/>
      <c r="I105" s="11"/>
      <c r="J105" s="11"/>
      <c r="K105" s="18"/>
      <c r="L105" s="18"/>
      <c r="M105" s="11"/>
      <c r="N105" s="11"/>
      <c r="O105" s="11"/>
      <c r="P105" s="11"/>
      <c r="Q105" s="11"/>
      <c r="R105" s="11"/>
      <c r="S105" s="12" t="str">
        <f aca="false">IF(R105="","",INDEX(Catalogos!$Y$5:$Y$25,MATCH(R105,L_IMP,0)))</f>
        <v/>
      </c>
      <c r="T105" s="11"/>
      <c r="U105" s="11"/>
      <c r="V105" s="11"/>
      <c r="W105" s="10" t="str">
        <f aca="false">IF(H105="","Pendiente por formular",IF(OR(J105="",K105="",L105="",M105="",N105="",O105="",Q105="",R105="",B105="",C105="",G105=""),"Incompleta: faltan campos obligatorios",IF(OR(NOT(ISNUMBER(K105)),NOT(ISNUMBER(L105))),"Fecha inválida",IF(L105&lt;K105,"La fecha de fin es anterior a la de inicio",IF(OR(YEAR(K105)&lt;&gt;2027,YEAR(L105)&lt;&gt;2027),"Fechas fuera de la vigencia 2027",IF(ISERROR(SEARCH("@itc.edu.co",M105)),"El responsable no tiene correo institucional",IF(ISERROR(SEARCH(Q105,INDEX(Catalogos!$Z$5:$Z$25,MATCH(R105,L_IMP,0)))),"La dimensión no corresponde al indicador de impacto","OK")))))))</f>
        <v>Pendiente por formular</v>
      </c>
    </row>
    <row r="106" customFormat="false" ht="14.25" hidden="false" customHeight="false" outlineLevel="0" collapsed="false">
      <c r="A106" s="12" t="n">
        <v>56</v>
      </c>
      <c r="B106" s="11"/>
      <c r="C106" s="11"/>
      <c r="D106" s="12" t="str">
        <f aca="false">IF(C106="","",INDEX(Catalogos!$C$5:$C$49,MATCH(LEFT(C106,7),Catalogos!$A$5:$A$49,0)))</f>
        <v/>
      </c>
      <c r="E106" s="12" t="str">
        <f aca="false">IF(C106="","",INDEX(Catalogos!$D$5:$D$49,MATCH(LEFT(C106,7),Catalogos!$A$5:$A$49,0))&amp;" "&amp;INDEX(Catalogos!$E$5:$E$49,MATCH(LEFT(C106,7),Catalogos!$A$5:$A$49,0)))</f>
        <v/>
      </c>
      <c r="F106" s="12" t="str">
        <f aca="false">IF(C106="","",INDEX(Catalogos!$F$5:$F$49,MATCH(LEFT(C106,7),Catalogos!$A$5:$A$49,0)))</f>
        <v/>
      </c>
      <c r="G106" s="11"/>
      <c r="H106" s="11"/>
      <c r="I106" s="11"/>
      <c r="J106" s="11"/>
      <c r="K106" s="18"/>
      <c r="L106" s="18"/>
      <c r="M106" s="11"/>
      <c r="N106" s="11"/>
      <c r="O106" s="11"/>
      <c r="P106" s="11"/>
      <c r="Q106" s="11"/>
      <c r="R106" s="11"/>
      <c r="S106" s="12" t="str">
        <f aca="false">IF(R106="","",INDEX(Catalogos!$Y$5:$Y$25,MATCH(R106,L_IMP,0)))</f>
        <v/>
      </c>
      <c r="T106" s="11"/>
      <c r="U106" s="11"/>
      <c r="V106" s="11"/>
      <c r="W106" s="10" t="str">
        <f aca="false">IF(H106="","Pendiente por formular",IF(OR(J106="",K106="",L106="",M106="",N106="",O106="",Q106="",R106="",B106="",C106="",G106=""),"Incompleta: faltan campos obligatorios",IF(OR(NOT(ISNUMBER(K106)),NOT(ISNUMBER(L106))),"Fecha inválida",IF(L106&lt;K106,"La fecha de fin es anterior a la de inicio",IF(OR(YEAR(K106)&lt;&gt;2027,YEAR(L106)&lt;&gt;2027),"Fechas fuera de la vigencia 2027",IF(ISERROR(SEARCH("@itc.edu.co",M106)),"El responsable no tiene correo institucional",IF(ISERROR(SEARCH(Q106,INDEX(Catalogos!$Z$5:$Z$25,MATCH(R106,L_IMP,0)))),"La dimensión no corresponde al indicador de impacto","OK")))))))</f>
        <v>Pendiente por formular</v>
      </c>
    </row>
    <row r="107" customFormat="false" ht="14.25" hidden="false" customHeight="false" outlineLevel="0" collapsed="false">
      <c r="A107" s="12" t="n">
        <v>57</v>
      </c>
      <c r="B107" s="11"/>
      <c r="C107" s="11"/>
      <c r="D107" s="12" t="str">
        <f aca="false">IF(C107="","",INDEX(Catalogos!$C$5:$C$49,MATCH(LEFT(C107,7),Catalogos!$A$5:$A$49,0)))</f>
        <v/>
      </c>
      <c r="E107" s="12" t="str">
        <f aca="false">IF(C107="","",INDEX(Catalogos!$D$5:$D$49,MATCH(LEFT(C107,7),Catalogos!$A$5:$A$49,0))&amp;" "&amp;INDEX(Catalogos!$E$5:$E$49,MATCH(LEFT(C107,7),Catalogos!$A$5:$A$49,0)))</f>
        <v/>
      </c>
      <c r="F107" s="12" t="str">
        <f aca="false">IF(C107="","",INDEX(Catalogos!$F$5:$F$49,MATCH(LEFT(C107,7),Catalogos!$A$5:$A$49,0)))</f>
        <v/>
      </c>
      <c r="G107" s="11"/>
      <c r="H107" s="11"/>
      <c r="I107" s="11"/>
      <c r="J107" s="11"/>
      <c r="K107" s="18"/>
      <c r="L107" s="18"/>
      <c r="M107" s="11"/>
      <c r="N107" s="11"/>
      <c r="O107" s="11"/>
      <c r="P107" s="11"/>
      <c r="Q107" s="11"/>
      <c r="R107" s="11"/>
      <c r="S107" s="12" t="str">
        <f aca="false">IF(R107="","",INDEX(Catalogos!$Y$5:$Y$25,MATCH(R107,L_IMP,0)))</f>
        <v/>
      </c>
      <c r="T107" s="11"/>
      <c r="U107" s="11"/>
      <c r="V107" s="11"/>
      <c r="W107" s="10" t="str">
        <f aca="false">IF(H107="","Pendiente por formular",IF(OR(J107="",K107="",L107="",M107="",N107="",O107="",Q107="",R107="",B107="",C107="",G107=""),"Incompleta: faltan campos obligatorios",IF(OR(NOT(ISNUMBER(K107)),NOT(ISNUMBER(L107))),"Fecha inválida",IF(L107&lt;K107,"La fecha de fin es anterior a la de inicio",IF(OR(YEAR(K107)&lt;&gt;2027,YEAR(L107)&lt;&gt;2027),"Fechas fuera de la vigencia 2027",IF(ISERROR(SEARCH("@itc.edu.co",M107)),"El responsable no tiene correo institucional",IF(ISERROR(SEARCH(Q107,INDEX(Catalogos!$Z$5:$Z$25,MATCH(R107,L_IMP,0)))),"La dimensión no corresponde al indicador de impacto","OK")))))))</f>
        <v>Pendiente por formular</v>
      </c>
    </row>
    <row r="108" customFormat="false" ht="14.25" hidden="false" customHeight="false" outlineLevel="0" collapsed="false">
      <c r="A108" s="12" t="n">
        <v>58</v>
      </c>
      <c r="B108" s="11"/>
      <c r="C108" s="11"/>
      <c r="D108" s="12" t="str">
        <f aca="false">IF(C108="","",INDEX(Catalogos!$C$5:$C$49,MATCH(LEFT(C108,7),Catalogos!$A$5:$A$49,0)))</f>
        <v/>
      </c>
      <c r="E108" s="12" t="str">
        <f aca="false">IF(C108="","",INDEX(Catalogos!$D$5:$D$49,MATCH(LEFT(C108,7),Catalogos!$A$5:$A$49,0))&amp;" "&amp;INDEX(Catalogos!$E$5:$E$49,MATCH(LEFT(C108,7),Catalogos!$A$5:$A$49,0)))</f>
        <v/>
      </c>
      <c r="F108" s="12" t="str">
        <f aca="false">IF(C108="","",INDEX(Catalogos!$F$5:$F$49,MATCH(LEFT(C108,7),Catalogos!$A$5:$A$49,0)))</f>
        <v/>
      </c>
      <c r="G108" s="11"/>
      <c r="H108" s="11"/>
      <c r="I108" s="11"/>
      <c r="J108" s="11"/>
      <c r="K108" s="18"/>
      <c r="L108" s="18"/>
      <c r="M108" s="11"/>
      <c r="N108" s="11"/>
      <c r="O108" s="11"/>
      <c r="P108" s="11"/>
      <c r="Q108" s="11"/>
      <c r="R108" s="11"/>
      <c r="S108" s="12" t="str">
        <f aca="false">IF(R108="","",INDEX(Catalogos!$Y$5:$Y$25,MATCH(R108,L_IMP,0)))</f>
        <v/>
      </c>
      <c r="T108" s="11"/>
      <c r="U108" s="11"/>
      <c r="V108" s="11"/>
      <c r="W108" s="10" t="str">
        <f aca="false">IF(H108="","Pendiente por formular",IF(OR(J108="",K108="",L108="",M108="",N108="",O108="",Q108="",R108="",B108="",C108="",G108=""),"Incompleta: faltan campos obligatorios",IF(OR(NOT(ISNUMBER(K108)),NOT(ISNUMBER(L108))),"Fecha inválida",IF(L108&lt;K108,"La fecha de fin es anterior a la de inicio",IF(OR(YEAR(K108)&lt;&gt;2027,YEAR(L108)&lt;&gt;2027),"Fechas fuera de la vigencia 2027",IF(ISERROR(SEARCH("@itc.edu.co",M108)),"El responsable no tiene correo institucional",IF(ISERROR(SEARCH(Q108,INDEX(Catalogos!$Z$5:$Z$25,MATCH(R108,L_IMP,0)))),"La dimensión no corresponde al indicador de impacto","OK")))))))</f>
        <v>Pendiente por formular</v>
      </c>
    </row>
    <row r="109" customFormat="false" ht="14.25" hidden="false" customHeight="false" outlineLevel="0" collapsed="false">
      <c r="A109" s="12" t="n">
        <v>59</v>
      </c>
      <c r="B109" s="11"/>
      <c r="C109" s="11"/>
      <c r="D109" s="12" t="str">
        <f aca="false">IF(C109="","",INDEX(Catalogos!$C$5:$C$49,MATCH(LEFT(C109,7),Catalogos!$A$5:$A$49,0)))</f>
        <v/>
      </c>
      <c r="E109" s="12" t="str">
        <f aca="false">IF(C109="","",INDEX(Catalogos!$D$5:$D$49,MATCH(LEFT(C109,7),Catalogos!$A$5:$A$49,0))&amp;" "&amp;INDEX(Catalogos!$E$5:$E$49,MATCH(LEFT(C109,7),Catalogos!$A$5:$A$49,0)))</f>
        <v/>
      </c>
      <c r="F109" s="12" t="str">
        <f aca="false">IF(C109="","",INDEX(Catalogos!$F$5:$F$49,MATCH(LEFT(C109,7),Catalogos!$A$5:$A$49,0)))</f>
        <v/>
      </c>
      <c r="G109" s="11"/>
      <c r="H109" s="11"/>
      <c r="I109" s="11"/>
      <c r="J109" s="11"/>
      <c r="K109" s="18"/>
      <c r="L109" s="18"/>
      <c r="M109" s="11"/>
      <c r="N109" s="11"/>
      <c r="O109" s="11"/>
      <c r="P109" s="11"/>
      <c r="Q109" s="11"/>
      <c r="R109" s="11"/>
      <c r="S109" s="12" t="str">
        <f aca="false">IF(R109="","",INDEX(Catalogos!$Y$5:$Y$25,MATCH(R109,L_IMP,0)))</f>
        <v/>
      </c>
      <c r="T109" s="11"/>
      <c r="U109" s="11"/>
      <c r="V109" s="11"/>
      <c r="W109" s="10" t="str">
        <f aca="false">IF(H109="","Pendiente por formular",IF(OR(J109="",K109="",L109="",M109="",N109="",O109="",Q109="",R109="",B109="",C109="",G109=""),"Incompleta: faltan campos obligatorios",IF(OR(NOT(ISNUMBER(K109)),NOT(ISNUMBER(L109))),"Fecha inválida",IF(L109&lt;K109,"La fecha de fin es anterior a la de inicio",IF(OR(YEAR(K109)&lt;&gt;2027,YEAR(L109)&lt;&gt;2027),"Fechas fuera de la vigencia 2027",IF(ISERROR(SEARCH("@itc.edu.co",M109)),"El responsable no tiene correo institucional",IF(ISERROR(SEARCH(Q109,INDEX(Catalogos!$Z$5:$Z$25,MATCH(R109,L_IMP,0)))),"La dimensión no corresponde al indicador de impacto","OK")))))))</f>
        <v>Pendiente por formular</v>
      </c>
    </row>
    <row r="110" customFormat="false" ht="14.25" hidden="false" customHeight="false" outlineLevel="0" collapsed="false">
      <c r="A110" s="12" t="n">
        <v>60</v>
      </c>
      <c r="B110" s="11"/>
      <c r="C110" s="11"/>
      <c r="D110" s="12" t="str">
        <f aca="false">IF(C110="","",INDEX(Catalogos!$C$5:$C$49,MATCH(LEFT(C110,7),Catalogos!$A$5:$A$49,0)))</f>
        <v/>
      </c>
      <c r="E110" s="12" t="str">
        <f aca="false">IF(C110="","",INDEX(Catalogos!$D$5:$D$49,MATCH(LEFT(C110,7),Catalogos!$A$5:$A$49,0))&amp;" "&amp;INDEX(Catalogos!$E$5:$E$49,MATCH(LEFT(C110,7),Catalogos!$A$5:$A$49,0)))</f>
        <v/>
      </c>
      <c r="F110" s="12" t="str">
        <f aca="false">IF(C110="","",INDEX(Catalogos!$F$5:$F$49,MATCH(LEFT(C110,7),Catalogos!$A$5:$A$49,0)))</f>
        <v/>
      </c>
      <c r="G110" s="11"/>
      <c r="H110" s="11"/>
      <c r="I110" s="11"/>
      <c r="J110" s="11"/>
      <c r="K110" s="18"/>
      <c r="L110" s="18"/>
      <c r="M110" s="11"/>
      <c r="N110" s="11"/>
      <c r="O110" s="11"/>
      <c r="P110" s="11"/>
      <c r="Q110" s="11"/>
      <c r="R110" s="11"/>
      <c r="S110" s="12" t="str">
        <f aca="false">IF(R110="","",INDEX(Catalogos!$Y$5:$Y$25,MATCH(R110,L_IMP,0)))</f>
        <v/>
      </c>
      <c r="T110" s="11"/>
      <c r="U110" s="11"/>
      <c r="V110" s="11"/>
      <c r="W110" s="10" t="str">
        <f aca="false">IF(H110="","Pendiente por formular",IF(OR(J110="",K110="",L110="",M110="",N110="",O110="",Q110="",R110="",B110="",C110="",G110=""),"Incompleta: faltan campos obligatorios",IF(OR(NOT(ISNUMBER(K110)),NOT(ISNUMBER(L110))),"Fecha inválida",IF(L110&lt;K110,"La fecha de fin es anterior a la de inicio",IF(OR(YEAR(K110)&lt;&gt;2027,YEAR(L110)&lt;&gt;2027),"Fechas fuera de la vigencia 2027",IF(ISERROR(SEARCH("@itc.edu.co",M110)),"El responsable no tiene correo institucional",IF(ISERROR(SEARCH(Q110,INDEX(Catalogos!$Z$5:$Z$25,MATCH(R110,L_IMP,0)))),"La dimensión no corresponde al indicador de impacto","OK")))))))</f>
        <v>Pendiente por formular</v>
      </c>
    </row>
    <row r="111" customFormat="false" ht="14.25" hidden="false" customHeight="false" outlineLevel="0" collapsed="false">
      <c r="A111" s="12" t="n">
        <v>61</v>
      </c>
      <c r="B111" s="11"/>
      <c r="C111" s="11"/>
      <c r="D111" s="12" t="str">
        <f aca="false">IF(C111="","",INDEX(Catalogos!$C$5:$C$49,MATCH(LEFT(C111,7),Catalogos!$A$5:$A$49,0)))</f>
        <v/>
      </c>
      <c r="E111" s="12" t="str">
        <f aca="false">IF(C111="","",INDEX(Catalogos!$D$5:$D$49,MATCH(LEFT(C111,7),Catalogos!$A$5:$A$49,0))&amp;" "&amp;INDEX(Catalogos!$E$5:$E$49,MATCH(LEFT(C111,7),Catalogos!$A$5:$A$49,0)))</f>
        <v/>
      </c>
      <c r="F111" s="12" t="str">
        <f aca="false">IF(C111="","",INDEX(Catalogos!$F$5:$F$49,MATCH(LEFT(C111,7),Catalogos!$A$5:$A$49,0)))</f>
        <v/>
      </c>
      <c r="G111" s="11"/>
      <c r="H111" s="11"/>
      <c r="I111" s="11"/>
      <c r="J111" s="11"/>
      <c r="K111" s="18"/>
      <c r="L111" s="18"/>
      <c r="M111" s="11"/>
      <c r="N111" s="11"/>
      <c r="O111" s="11"/>
      <c r="P111" s="11"/>
      <c r="Q111" s="11"/>
      <c r="R111" s="11"/>
      <c r="S111" s="12" t="str">
        <f aca="false">IF(R111="","",INDEX(Catalogos!$Y$5:$Y$25,MATCH(R111,L_IMP,0)))</f>
        <v/>
      </c>
      <c r="T111" s="11"/>
      <c r="U111" s="11"/>
      <c r="V111" s="11"/>
      <c r="W111" s="10" t="str">
        <f aca="false">IF(H111="","Pendiente por formular",IF(OR(J111="",K111="",L111="",M111="",N111="",O111="",Q111="",R111="",B111="",C111="",G111=""),"Incompleta: faltan campos obligatorios",IF(OR(NOT(ISNUMBER(K111)),NOT(ISNUMBER(L111))),"Fecha inválida",IF(L111&lt;K111,"La fecha de fin es anterior a la de inicio",IF(OR(YEAR(K111)&lt;&gt;2027,YEAR(L111)&lt;&gt;2027),"Fechas fuera de la vigencia 2027",IF(ISERROR(SEARCH("@itc.edu.co",M111)),"El responsable no tiene correo institucional",IF(ISERROR(SEARCH(Q111,INDEX(Catalogos!$Z$5:$Z$25,MATCH(R111,L_IMP,0)))),"La dimensión no corresponde al indicador de impacto","OK")))))))</f>
        <v>Pendiente por formular</v>
      </c>
    </row>
    <row r="112" customFormat="false" ht="14.25" hidden="false" customHeight="false" outlineLevel="0" collapsed="false">
      <c r="A112" s="12" t="n">
        <v>62</v>
      </c>
      <c r="B112" s="11"/>
      <c r="C112" s="11"/>
      <c r="D112" s="12" t="str">
        <f aca="false">IF(C112="","",INDEX(Catalogos!$C$5:$C$49,MATCH(LEFT(C112,7),Catalogos!$A$5:$A$49,0)))</f>
        <v/>
      </c>
      <c r="E112" s="12" t="str">
        <f aca="false">IF(C112="","",INDEX(Catalogos!$D$5:$D$49,MATCH(LEFT(C112,7),Catalogos!$A$5:$A$49,0))&amp;" "&amp;INDEX(Catalogos!$E$5:$E$49,MATCH(LEFT(C112,7),Catalogos!$A$5:$A$49,0)))</f>
        <v/>
      </c>
      <c r="F112" s="12" t="str">
        <f aca="false">IF(C112="","",INDEX(Catalogos!$F$5:$F$49,MATCH(LEFT(C112,7),Catalogos!$A$5:$A$49,0)))</f>
        <v/>
      </c>
      <c r="G112" s="11"/>
      <c r="H112" s="11"/>
      <c r="I112" s="11"/>
      <c r="J112" s="11"/>
      <c r="K112" s="18"/>
      <c r="L112" s="18"/>
      <c r="M112" s="11"/>
      <c r="N112" s="11"/>
      <c r="O112" s="11"/>
      <c r="P112" s="11"/>
      <c r="Q112" s="11"/>
      <c r="R112" s="11"/>
      <c r="S112" s="12" t="str">
        <f aca="false">IF(R112="","",INDEX(Catalogos!$Y$5:$Y$25,MATCH(R112,L_IMP,0)))</f>
        <v/>
      </c>
      <c r="T112" s="11"/>
      <c r="U112" s="11"/>
      <c r="V112" s="11"/>
      <c r="W112" s="10" t="str">
        <f aca="false">IF(H112="","Pendiente por formular",IF(OR(J112="",K112="",L112="",M112="",N112="",O112="",Q112="",R112="",B112="",C112="",G112=""),"Incompleta: faltan campos obligatorios",IF(OR(NOT(ISNUMBER(K112)),NOT(ISNUMBER(L112))),"Fecha inválida",IF(L112&lt;K112,"La fecha de fin es anterior a la de inicio",IF(OR(YEAR(K112)&lt;&gt;2027,YEAR(L112)&lt;&gt;2027),"Fechas fuera de la vigencia 2027",IF(ISERROR(SEARCH("@itc.edu.co",M112)),"El responsable no tiene correo institucional",IF(ISERROR(SEARCH(Q112,INDEX(Catalogos!$Z$5:$Z$25,MATCH(R112,L_IMP,0)))),"La dimensión no corresponde al indicador de impacto","OK")))))))</f>
        <v>Pendiente por formular</v>
      </c>
    </row>
    <row r="113" customFormat="false" ht="14.25" hidden="false" customHeight="false" outlineLevel="0" collapsed="false">
      <c r="A113" s="12" t="n">
        <v>63</v>
      </c>
      <c r="B113" s="11"/>
      <c r="C113" s="11"/>
      <c r="D113" s="12" t="str">
        <f aca="false">IF(C113="","",INDEX(Catalogos!$C$5:$C$49,MATCH(LEFT(C113,7),Catalogos!$A$5:$A$49,0)))</f>
        <v/>
      </c>
      <c r="E113" s="12" t="str">
        <f aca="false">IF(C113="","",INDEX(Catalogos!$D$5:$D$49,MATCH(LEFT(C113,7),Catalogos!$A$5:$A$49,0))&amp;" "&amp;INDEX(Catalogos!$E$5:$E$49,MATCH(LEFT(C113,7),Catalogos!$A$5:$A$49,0)))</f>
        <v/>
      </c>
      <c r="F113" s="12" t="str">
        <f aca="false">IF(C113="","",INDEX(Catalogos!$F$5:$F$49,MATCH(LEFT(C113,7),Catalogos!$A$5:$A$49,0)))</f>
        <v/>
      </c>
      <c r="G113" s="11"/>
      <c r="H113" s="11"/>
      <c r="I113" s="11"/>
      <c r="J113" s="11"/>
      <c r="K113" s="18"/>
      <c r="L113" s="18"/>
      <c r="M113" s="11"/>
      <c r="N113" s="11"/>
      <c r="O113" s="11"/>
      <c r="P113" s="11"/>
      <c r="Q113" s="11"/>
      <c r="R113" s="11"/>
      <c r="S113" s="12" t="str">
        <f aca="false">IF(R113="","",INDEX(Catalogos!$Y$5:$Y$25,MATCH(R113,L_IMP,0)))</f>
        <v/>
      </c>
      <c r="T113" s="11"/>
      <c r="U113" s="11"/>
      <c r="V113" s="11"/>
      <c r="W113" s="10" t="str">
        <f aca="false">IF(H113="","Pendiente por formular",IF(OR(J113="",K113="",L113="",M113="",N113="",O113="",Q113="",R113="",B113="",C113="",G113=""),"Incompleta: faltan campos obligatorios",IF(OR(NOT(ISNUMBER(K113)),NOT(ISNUMBER(L113))),"Fecha inválida",IF(L113&lt;K113,"La fecha de fin es anterior a la de inicio",IF(OR(YEAR(K113)&lt;&gt;2027,YEAR(L113)&lt;&gt;2027),"Fechas fuera de la vigencia 2027",IF(ISERROR(SEARCH("@itc.edu.co",M113)),"El responsable no tiene correo institucional",IF(ISERROR(SEARCH(Q113,INDEX(Catalogos!$Z$5:$Z$25,MATCH(R113,L_IMP,0)))),"La dimensión no corresponde al indicador de impacto","OK")))))))</f>
        <v>Pendiente por formular</v>
      </c>
    </row>
    <row r="114" customFormat="false" ht="14.25" hidden="false" customHeight="false" outlineLevel="0" collapsed="false">
      <c r="A114" s="12" t="n">
        <v>64</v>
      </c>
      <c r="B114" s="11"/>
      <c r="C114" s="11"/>
      <c r="D114" s="12" t="str">
        <f aca="false">IF(C114="","",INDEX(Catalogos!$C$5:$C$49,MATCH(LEFT(C114,7),Catalogos!$A$5:$A$49,0)))</f>
        <v/>
      </c>
      <c r="E114" s="12" t="str">
        <f aca="false">IF(C114="","",INDEX(Catalogos!$D$5:$D$49,MATCH(LEFT(C114,7),Catalogos!$A$5:$A$49,0))&amp;" "&amp;INDEX(Catalogos!$E$5:$E$49,MATCH(LEFT(C114,7),Catalogos!$A$5:$A$49,0)))</f>
        <v/>
      </c>
      <c r="F114" s="12" t="str">
        <f aca="false">IF(C114="","",INDEX(Catalogos!$F$5:$F$49,MATCH(LEFT(C114,7),Catalogos!$A$5:$A$49,0)))</f>
        <v/>
      </c>
      <c r="G114" s="11"/>
      <c r="H114" s="11"/>
      <c r="I114" s="11"/>
      <c r="J114" s="11"/>
      <c r="K114" s="18"/>
      <c r="L114" s="18"/>
      <c r="M114" s="11"/>
      <c r="N114" s="11"/>
      <c r="O114" s="11"/>
      <c r="P114" s="11"/>
      <c r="Q114" s="11"/>
      <c r="R114" s="11"/>
      <c r="S114" s="12" t="str">
        <f aca="false">IF(R114="","",INDEX(Catalogos!$Y$5:$Y$25,MATCH(R114,L_IMP,0)))</f>
        <v/>
      </c>
      <c r="T114" s="11"/>
      <c r="U114" s="11"/>
      <c r="V114" s="11"/>
      <c r="W114" s="10" t="str">
        <f aca="false">IF(H114="","Pendiente por formular",IF(OR(J114="",K114="",L114="",M114="",N114="",O114="",Q114="",R114="",B114="",C114="",G114=""),"Incompleta: faltan campos obligatorios",IF(OR(NOT(ISNUMBER(K114)),NOT(ISNUMBER(L114))),"Fecha inválida",IF(L114&lt;K114,"La fecha de fin es anterior a la de inicio",IF(OR(YEAR(K114)&lt;&gt;2027,YEAR(L114)&lt;&gt;2027),"Fechas fuera de la vigencia 2027",IF(ISERROR(SEARCH("@itc.edu.co",M114)),"El responsable no tiene correo institucional",IF(ISERROR(SEARCH(Q114,INDEX(Catalogos!$Z$5:$Z$25,MATCH(R114,L_IMP,0)))),"La dimensión no corresponde al indicador de impacto","OK")))))))</f>
        <v>Pendiente por formular</v>
      </c>
    </row>
    <row r="115" customFormat="false" ht="14.25" hidden="false" customHeight="false" outlineLevel="0" collapsed="false">
      <c r="A115" s="12" t="n">
        <v>65</v>
      </c>
      <c r="B115" s="11"/>
      <c r="C115" s="11"/>
      <c r="D115" s="12" t="str">
        <f aca="false">IF(C115="","",INDEX(Catalogos!$C$5:$C$49,MATCH(LEFT(C115,7),Catalogos!$A$5:$A$49,0)))</f>
        <v/>
      </c>
      <c r="E115" s="12" t="str">
        <f aca="false">IF(C115="","",INDEX(Catalogos!$D$5:$D$49,MATCH(LEFT(C115,7),Catalogos!$A$5:$A$49,0))&amp;" "&amp;INDEX(Catalogos!$E$5:$E$49,MATCH(LEFT(C115,7),Catalogos!$A$5:$A$49,0)))</f>
        <v/>
      </c>
      <c r="F115" s="12" t="str">
        <f aca="false">IF(C115="","",INDEX(Catalogos!$F$5:$F$49,MATCH(LEFT(C115,7),Catalogos!$A$5:$A$49,0)))</f>
        <v/>
      </c>
      <c r="G115" s="11"/>
      <c r="H115" s="11"/>
      <c r="I115" s="11"/>
      <c r="J115" s="11"/>
      <c r="K115" s="18"/>
      <c r="L115" s="18"/>
      <c r="M115" s="11"/>
      <c r="N115" s="11"/>
      <c r="O115" s="11"/>
      <c r="P115" s="11"/>
      <c r="Q115" s="11"/>
      <c r="R115" s="11"/>
      <c r="S115" s="12" t="str">
        <f aca="false">IF(R115="","",INDEX(Catalogos!$Y$5:$Y$25,MATCH(R115,L_IMP,0)))</f>
        <v/>
      </c>
      <c r="T115" s="11"/>
      <c r="U115" s="11"/>
      <c r="V115" s="11"/>
      <c r="W115" s="10" t="str">
        <f aca="false">IF(H115="","Pendiente por formular",IF(OR(J115="",K115="",L115="",M115="",N115="",O115="",Q115="",R115="",B115="",C115="",G115=""),"Incompleta: faltan campos obligatorios",IF(OR(NOT(ISNUMBER(K115)),NOT(ISNUMBER(L115))),"Fecha inválida",IF(L115&lt;K115,"La fecha de fin es anterior a la de inicio",IF(OR(YEAR(K115)&lt;&gt;2027,YEAR(L115)&lt;&gt;2027),"Fechas fuera de la vigencia 2027",IF(ISERROR(SEARCH("@itc.edu.co",M115)),"El responsable no tiene correo institucional",IF(ISERROR(SEARCH(Q115,INDEX(Catalogos!$Z$5:$Z$25,MATCH(R115,L_IMP,0)))),"La dimensión no corresponde al indicador de impacto","OK")))))))</f>
        <v>Pendiente por formular</v>
      </c>
    </row>
    <row r="116" customFormat="false" ht="14.25" hidden="false" customHeight="false" outlineLevel="0" collapsed="false">
      <c r="A116" s="12" t="n">
        <v>66</v>
      </c>
      <c r="B116" s="11"/>
      <c r="C116" s="11"/>
      <c r="D116" s="12" t="str">
        <f aca="false">IF(C116="","",INDEX(Catalogos!$C$5:$C$49,MATCH(LEFT(C116,7),Catalogos!$A$5:$A$49,0)))</f>
        <v/>
      </c>
      <c r="E116" s="12" t="str">
        <f aca="false">IF(C116="","",INDEX(Catalogos!$D$5:$D$49,MATCH(LEFT(C116,7),Catalogos!$A$5:$A$49,0))&amp;" "&amp;INDEX(Catalogos!$E$5:$E$49,MATCH(LEFT(C116,7),Catalogos!$A$5:$A$49,0)))</f>
        <v/>
      </c>
      <c r="F116" s="12" t="str">
        <f aca="false">IF(C116="","",INDEX(Catalogos!$F$5:$F$49,MATCH(LEFT(C116,7),Catalogos!$A$5:$A$49,0)))</f>
        <v/>
      </c>
      <c r="G116" s="11"/>
      <c r="H116" s="11"/>
      <c r="I116" s="11"/>
      <c r="J116" s="11"/>
      <c r="K116" s="18"/>
      <c r="L116" s="18"/>
      <c r="M116" s="11"/>
      <c r="N116" s="11"/>
      <c r="O116" s="11"/>
      <c r="P116" s="11"/>
      <c r="Q116" s="11"/>
      <c r="R116" s="11"/>
      <c r="S116" s="12" t="str">
        <f aca="false">IF(R116="","",INDEX(Catalogos!$Y$5:$Y$25,MATCH(R116,L_IMP,0)))</f>
        <v/>
      </c>
      <c r="T116" s="11"/>
      <c r="U116" s="11"/>
      <c r="V116" s="11"/>
      <c r="W116" s="10" t="str">
        <f aca="false">IF(H116="","Pendiente por formular",IF(OR(J116="",K116="",L116="",M116="",N116="",O116="",Q116="",R116="",B116="",C116="",G116=""),"Incompleta: faltan campos obligatorios",IF(OR(NOT(ISNUMBER(K116)),NOT(ISNUMBER(L116))),"Fecha inválida",IF(L116&lt;K116,"La fecha de fin es anterior a la de inicio",IF(OR(YEAR(K116)&lt;&gt;2027,YEAR(L116)&lt;&gt;2027),"Fechas fuera de la vigencia 2027",IF(ISERROR(SEARCH("@itc.edu.co",M116)),"El responsable no tiene correo institucional",IF(ISERROR(SEARCH(Q116,INDEX(Catalogos!$Z$5:$Z$25,MATCH(R116,L_IMP,0)))),"La dimensión no corresponde al indicador de impacto","OK")))))))</f>
        <v>Pendiente por formular</v>
      </c>
    </row>
    <row r="117" customFormat="false" ht="14.25" hidden="false" customHeight="false" outlineLevel="0" collapsed="false">
      <c r="A117" s="12" t="n">
        <v>67</v>
      </c>
      <c r="B117" s="11"/>
      <c r="C117" s="11"/>
      <c r="D117" s="12" t="str">
        <f aca="false">IF(C117="","",INDEX(Catalogos!$C$5:$C$49,MATCH(LEFT(C117,7),Catalogos!$A$5:$A$49,0)))</f>
        <v/>
      </c>
      <c r="E117" s="12" t="str">
        <f aca="false">IF(C117="","",INDEX(Catalogos!$D$5:$D$49,MATCH(LEFT(C117,7),Catalogos!$A$5:$A$49,0))&amp;" "&amp;INDEX(Catalogos!$E$5:$E$49,MATCH(LEFT(C117,7),Catalogos!$A$5:$A$49,0)))</f>
        <v/>
      </c>
      <c r="F117" s="12" t="str">
        <f aca="false">IF(C117="","",INDEX(Catalogos!$F$5:$F$49,MATCH(LEFT(C117,7),Catalogos!$A$5:$A$49,0)))</f>
        <v/>
      </c>
      <c r="G117" s="11"/>
      <c r="H117" s="11"/>
      <c r="I117" s="11"/>
      <c r="J117" s="11"/>
      <c r="K117" s="18"/>
      <c r="L117" s="18"/>
      <c r="M117" s="11"/>
      <c r="N117" s="11"/>
      <c r="O117" s="11"/>
      <c r="P117" s="11"/>
      <c r="Q117" s="11"/>
      <c r="R117" s="11"/>
      <c r="S117" s="12" t="str">
        <f aca="false">IF(R117="","",INDEX(Catalogos!$Y$5:$Y$25,MATCH(R117,L_IMP,0)))</f>
        <v/>
      </c>
      <c r="T117" s="11"/>
      <c r="U117" s="11"/>
      <c r="V117" s="11"/>
      <c r="W117" s="10" t="str">
        <f aca="false">IF(H117="","Pendiente por formular",IF(OR(J117="",K117="",L117="",M117="",N117="",O117="",Q117="",R117="",B117="",C117="",G117=""),"Incompleta: faltan campos obligatorios",IF(OR(NOT(ISNUMBER(K117)),NOT(ISNUMBER(L117))),"Fecha inválida",IF(L117&lt;K117,"La fecha de fin es anterior a la de inicio",IF(OR(YEAR(K117)&lt;&gt;2027,YEAR(L117)&lt;&gt;2027),"Fechas fuera de la vigencia 2027",IF(ISERROR(SEARCH("@itc.edu.co",M117)),"El responsable no tiene correo institucional",IF(ISERROR(SEARCH(Q117,INDEX(Catalogos!$Z$5:$Z$25,MATCH(R117,L_IMP,0)))),"La dimensión no corresponde al indicador de impacto","OK")))))))</f>
        <v>Pendiente por formular</v>
      </c>
    </row>
    <row r="118" customFormat="false" ht="14.25" hidden="false" customHeight="false" outlineLevel="0" collapsed="false">
      <c r="A118" s="12" t="n">
        <v>68</v>
      </c>
      <c r="B118" s="11"/>
      <c r="C118" s="11"/>
      <c r="D118" s="12" t="str">
        <f aca="false">IF(C118="","",INDEX(Catalogos!$C$5:$C$49,MATCH(LEFT(C118,7),Catalogos!$A$5:$A$49,0)))</f>
        <v/>
      </c>
      <c r="E118" s="12" t="str">
        <f aca="false">IF(C118="","",INDEX(Catalogos!$D$5:$D$49,MATCH(LEFT(C118,7),Catalogos!$A$5:$A$49,0))&amp;" "&amp;INDEX(Catalogos!$E$5:$E$49,MATCH(LEFT(C118,7),Catalogos!$A$5:$A$49,0)))</f>
        <v/>
      </c>
      <c r="F118" s="12" t="str">
        <f aca="false">IF(C118="","",INDEX(Catalogos!$F$5:$F$49,MATCH(LEFT(C118,7),Catalogos!$A$5:$A$49,0)))</f>
        <v/>
      </c>
      <c r="G118" s="11"/>
      <c r="H118" s="11"/>
      <c r="I118" s="11"/>
      <c r="J118" s="11"/>
      <c r="K118" s="18"/>
      <c r="L118" s="18"/>
      <c r="M118" s="11"/>
      <c r="N118" s="11"/>
      <c r="O118" s="11"/>
      <c r="P118" s="11"/>
      <c r="Q118" s="11"/>
      <c r="R118" s="11"/>
      <c r="S118" s="12" t="str">
        <f aca="false">IF(R118="","",INDEX(Catalogos!$Y$5:$Y$25,MATCH(R118,L_IMP,0)))</f>
        <v/>
      </c>
      <c r="T118" s="11"/>
      <c r="U118" s="11"/>
      <c r="V118" s="11"/>
      <c r="W118" s="10" t="str">
        <f aca="false">IF(H118="","Pendiente por formular",IF(OR(J118="",K118="",L118="",M118="",N118="",O118="",Q118="",R118="",B118="",C118="",G118=""),"Incompleta: faltan campos obligatorios",IF(OR(NOT(ISNUMBER(K118)),NOT(ISNUMBER(L118))),"Fecha inválida",IF(L118&lt;K118,"La fecha de fin es anterior a la de inicio",IF(OR(YEAR(K118)&lt;&gt;2027,YEAR(L118)&lt;&gt;2027),"Fechas fuera de la vigencia 2027",IF(ISERROR(SEARCH("@itc.edu.co",M118)),"El responsable no tiene correo institucional",IF(ISERROR(SEARCH(Q118,INDEX(Catalogos!$Z$5:$Z$25,MATCH(R118,L_IMP,0)))),"La dimensión no corresponde al indicador de impacto","OK")))))))</f>
        <v>Pendiente por formular</v>
      </c>
    </row>
    <row r="119" customFormat="false" ht="14.25" hidden="false" customHeight="false" outlineLevel="0" collapsed="false">
      <c r="A119" s="12" t="n">
        <v>69</v>
      </c>
      <c r="B119" s="11"/>
      <c r="C119" s="11"/>
      <c r="D119" s="12" t="str">
        <f aca="false">IF(C119="","",INDEX(Catalogos!$C$5:$C$49,MATCH(LEFT(C119,7),Catalogos!$A$5:$A$49,0)))</f>
        <v/>
      </c>
      <c r="E119" s="12" t="str">
        <f aca="false">IF(C119="","",INDEX(Catalogos!$D$5:$D$49,MATCH(LEFT(C119,7),Catalogos!$A$5:$A$49,0))&amp;" "&amp;INDEX(Catalogos!$E$5:$E$49,MATCH(LEFT(C119,7),Catalogos!$A$5:$A$49,0)))</f>
        <v/>
      </c>
      <c r="F119" s="12" t="str">
        <f aca="false">IF(C119="","",INDEX(Catalogos!$F$5:$F$49,MATCH(LEFT(C119,7),Catalogos!$A$5:$A$49,0)))</f>
        <v/>
      </c>
      <c r="G119" s="11"/>
      <c r="H119" s="11"/>
      <c r="I119" s="11"/>
      <c r="J119" s="11"/>
      <c r="K119" s="18"/>
      <c r="L119" s="18"/>
      <c r="M119" s="11"/>
      <c r="N119" s="11"/>
      <c r="O119" s="11"/>
      <c r="P119" s="11"/>
      <c r="Q119" s="11"/>
      <c r="R119" s="11"/>
      <c r="S119" s="12" t="str">
        <f aca="false">IF(R119="","",INDEX(Catalogos!$Y$5:$Y$25,MATCH(R119,L_IMP,0)))</f>
        <v/>
      </c>
      <c r="T119" s="11"/>
      <c r="U119" s="11"/>
      <c r="V119" s="11"/>
      <c r="W119" s="10" t="str">
        <f aca="false">IF(H119="","Pendiente por formular",IF(OR(J119="",K119="",L119="",M119="",N119="",O119="",Q119="",R119="",B119="",C119="",G119=""),"Incompleta: faltan campos obligatorios",IF(OR(NOT(ISNUMBER(K119)),NOT(ISNUMBER(L119))),"Fecha inválida",IF(L119&lt;K119,"La fecha de fin es anterior a la de inicio",IF(OR(YEAR(K119)&lt;&gt;2027,YEAR(L119)&lt;&gt;2027),"Fechas fuera de la vigencia 2027",IF(ISERROR(SEARCH("@itc.edu.co",M119)),"El responsable no tiene correo institucional",IF(ISERROR(SEARCH(Q119,INDEX(Catalogos!$Z$5:$Z$25,MATCH(R119,L_IMP,0)))),"La dimensión no corresponde al indicador de impacto","OK")))))))</f>
        <v>Pendiente por formular</v>
      </c>
    </row>
    <row r="120" customFormat="false" ht="14.25" hidden="false" customHeight="false" outlineLevel="0" collapsed="false">
      <c r="A120" s="12" t="n">
        <v>70</v>
      </c>
      <c r="B120" s="11"/>
      <c r="C120" s="11"/>
      <c r="D120" s="12" t="str">
        <f aca="false">IF(C120="","",INDEX(Catalogos!$C$5:$C$49,MATCH(LEFT(C120,7),Catalogos!$A$5:$A$49,0)))</f>
        <v/>
      </c>
      <c r="E120" s="12" t="str">
        <f aca="false">IF(C120="","",INDEX(Catalogos!$D$5:$D$49,MATCH(LEFT(C120,7),Catalogos!$A$5:$A$49,0))&amp;" "&amp;INDEX(Catalogos!$E$5:$E$49,MATCH(LEFT(C120,7),Catalogos!$A$5:$A$49,0)))</f>
        <v/>
      </c>
      <c r="F120" s="12" t="str">
        <f aca="false">IF(C120="","",INDEX(Catalogos!$F$5:$F$49,MATCH(LEFT(C120,7),Catalogos!$A$5:$A$49,0)))</f>
        <v/>
      </c>
      <c r="G120" s="11"/>
      <c r="H120" s="11"/>
      <c r="I120" s="11"/>
      <c r="J120" s="11"/>
      <c r="K120" s="18"/>
      <c r="L120" s="18"/>
      <c r="M120" s="11"/>
      <c r="N120" s="11"/>
      <c r="O120" s="11"/>
      <c r="P120" s="11"/>
      <c r="Q120" s="11"/>
      <c r="R120" s="11"/>
      <c r="S120" s="12" t="str">
        <f aca="false">IF(R120="","",INDEX(Catalogos!$Y$5:$Y$25,MATCH(R120,L_IMP,0)))</f>
        <v/>
      </c>
      <c r="T120" s="11"/>
      <c r="U120" s="11"/>
      <c r="V120" s="11"/>
      <c r="W120" s="10" t="str">
        <f aca="false">IF(H120="","Pendiente por formular",IF(OR(J120="",K120="",L120="",M120="",N120="",O120="",Q120="",R120="",B120="",C120="",G120=""),"Incompleta: faltan campos obligatorios",IF(OR(NOT(ISNUMBER(K120)),NOT(ISNUMBER(L120))),"Fecha inválida",IF(L120&lt;K120,"La fecha de fin es anterior a la de inicio",IF(OR(YEAR(K120)&lt;&gt;2027,YEAR(L120)&lt;&gt;2027),"Fechas fuera de la vigencia 2027",IF(ISERROR(SEARCH("@itc.edu.co",M120)),"El responsable no tiene correo institucional",IF(ISERROR(SEARCH(Q120,INDEX(Catalogos!$Z$5:$Z$25,MATCH(R120,L_IMP,0)))),"La dimensión no corresponde al indicador de impacto","OK")))))))</f>
        <v>Pendiente por formular</v>
      </c>
    </row>
    <row r="121" customFormat="false" ht="14.25" hidden="false" customHeight="false" outlineLevel="0" collapsed="false">
      <c r="A121" s="12" t="n">
        <v>71</v>
      </c>
      <c r="B121" s="11"/>
      <c r="C121" s="11"/>
      <c r="D121" s="12" t="str">
        <f aca="false">IF(C121="","",INDEX(Catalogos!$C$5:$C$49,MATCH(LEFT(C121,7),Catalogos!$A$5:$A$49,0)))</f>
        <v/>
      </c>
      <c r="E121" s="12" t="str">
        <f aca="false">IF(C121="","",INDEX(Catalogos!$D$5:$D$49,MATCH(LEFT(C121,7),Catalogos!$A$5:$A$49,0))&amp;" "&amp;INDEX(Catalogos!$E$5:$E$49,MATCH(LEFT(C121,7),Catalogos!$A$5:$A$49,0)))</f>
        <v/>
      </c>
      <c r="F121" s="12" t="str">
        <f aca="false">IF(C121="","",INDEX(Catalogos!$F$5:$F$49,MATCH(LEFT(C121,7),Catalogos!$A$5:$A$49,0)))</f>
        <v/>
      </c>
      <c r="G121" s="11"/>
      <c r="H121" s="11"/>
      <c r="I121" s="11"/>
      <c r="J121" s="11"/>
      <c r="K121" s="18"/>
      <c r="L121" s="18"/>
      <c r="M121" s="11"/>
      <c r="N121" s="11"/>
      <c r="O121" s="11"/>
      <c r="P121" s="11"/>
      <c r="Q121" s="11"/>
      <c r="R121" s="11"/>
      <c r="S121" s="12" t="str">
        <f aca="false">IF(R121="","",INDEX(Catalogos!$Y$5:$Y$25,MATCH(R121,L_IMP,0)))</f>
        <v/>
      </c>
      <c r="T121" s="11"/>
      <c r="U121" s="11"/>
      <c r="V121" s="11"/>
      <c r="W121" s="10" t="str">
        <f aca="false">IF(H121="","Pendiente por formular",IF(OR(J121="",K121="",L121="",M121="",N121="",O121="",Q121="",R121="",B121="",C121="",G121=""),"Incompleta: faltan campos obligatorios",IF(OR(NOT(ISNUMBER(K121)),NOT(ISNUMBER(L121))),"Fecha inválida",IF(L121&lt;K121,"La fecha de fin es anterior a la de inicio",IF(OR(YEAR(K121)&lt;&gt;2027,YEAR(L121)&lt;&gt;2027),"Fechas fuera de la vigencia 2027",IF(ISERROR(SEARCH("@itc.edu.co",M121)),"El responsable no tiene correo institucional",IF(ISERROR(SEARCH(Q121,INDEX(Catalogos!$Z$5:$Z$25,MATCH(R121,L_IMP,0)))),"La dimensión no corresponde al indicador de impacto","OK")))))))</f>
        <v>Pendiente por formular</v>
      </c>
    </row>
    <row r="122" customFormat="false" ht="14.25" hidden="false" customHeight="false" outlineLevel="0" collapsed="false">
      <c r="A122" s="12" t="n">
        <v>72</v>
      </c>
      <c r="B122" s="11"/>
      <c r="C122" s="11"/>
      <c r="D122" s="12" t="str">
        <f aca="false">IF(C122="","",INDEX(Catalogos!$C$5:$C$49,MATCH(LEFT(C122,7),Catalogos!$A$5:$A$49,0)))</f>
        <v/>
      </c>
      <c r="E122" s="12" t="str">
        <f aca="false">IF(C122="","",INDEX(Catalogos!$D$5:$D$49,MATCH(LEFT(C122,7),Catalogos!$A$5:$A$49,0))&amp;" "&amp;INDEX(Catalogos!$E$5:$E$49,MATCH(LEFT(C122,7),Catalogos!$A$5:$A$49,0)))</f>
        <v/>
      </c>
      <c r="F122" s="12" t="str">
        <f aca="false">IF(C122="","",INDEX(Catalogos!$F$5:$F$49,MATCH(LEFT(C122,7),Catalogos!$A$5:$A$49,0)))</f>
        <v/>
      </c>
      <c r="G122" s="11"/>
      <c r="H122" s="11"/>
      <c r="I122" s="11"/>
      <c r="J122" s="11"/>
      <c r="K122" s="18"/>
      <c r="L122" s="18"/>
      <c r="M122" s="11"/>
      <c r="N122" s="11"/>
      <c r="O122" s="11"/>
      <c r="P122" s="11"/>
      <c r="Q122" s="11"/>
      <c r="R122" s="11"/>
      <c r="S122" s="12" t="str">
        <f aca="false">IF(R122="","",INDEX(Catalogos!$Y$5:$Y$25,MATCH(R122,L_IMP,0)))</f>
        <v/>
      </c>
      <c r="T122" s="11"/>
      <c r="U122" s="11"/>
      <c r="V122" s="11"/>
      <c r="W122" s="10" t="str">
        <f aca="false">IF(H122="","Pendiente por formular",IF(OR(J122="",K122="",L122="",M122="",N122="",O122="",Q122="",R122="",B122="",C122="",G122=""),"Incompleta: faltan campos obligatorios",IF(OR(NOT(ISNUMBER(K122)),NOT(ISNUMBER(L122))),"Fecha inválida",IF(L122&lt;K122,"La fecha de fin es anterior a la de inicio",IF(OR(YEAR(K122)&lt;&gt;2027,YEAR(L122)&lt;&gt;2027),"Fechas fuera de la vigencia 2027",IF(ISERROR(SEARCH("@itc.edu.co",M122)),"El responsable no tiene correo institucional",IF(ISERROR(SEARCH(Q122,INDEX(Catalogos!$Z$5:$Z$25,MATCH(R122,L_IMP,0)))),"La dimensión no corresponde al indicador de impacto","OK")))))))</f>
        <v>Pendiente por formular</v>
      </c>
    </row>
    <row r="123" customFormat="false" ht="14.25" hidden="false" customHeight="false" outlineLevel="0" collapsed="false">
      <c r="A123" s="12" t="n">
        <v>73</v>
      </c>
      <c r="B123" s="11"/>
      <c r="C123" s="11"/>
      <c r="D123" s="12" t="str">
        <f aca="false">IF(C123="","",INDEX(Catalogos!$C$5:$C$49,MATCH(LEFT(C123,7),Catalogos!$A$5:$A$49,0)))</f>
        <v/>
      </c>
      <c r="E123" s="12" t="str">
        <f aca="false">IF(C123="","",INDEX(Catalogos!$D$5:$D$49,MATCH(LEFT(C123,7),Catalogos!$A$5:$A$49,0))&amp;" "&amp;INDEX(Catalogos!$E$5:$E$49,MATCH(LEFT(C123,7),Catalogos!$A$5:$A$49,0)))</f>
        <v/>
      </c>
      <c r="F123" s="12" t="str">
        <f aca="false">IF(C123="","",INDEX(Catalogos!$F$5:$F$49,MATCH(LEFT(C123,7),Catalogos!$A$5:$A$49,0)))</f>
        <v/>
      </c>
      <c r="G123" s="11"/>
      <c r="H123" s="11"/>
      <c r="I123" s="11"/>
      <c r="J123" s="11"/>
      <c r="K123" s="18"/>
      <c r="L123" s="18"/>
      <c r="M123" s="11"/>
      <c r="N123" s="11"/>
      <c r="O123" s="11"/>
      <c r="P123" s="11"/>
      <c r="Q123" s="11"/>
      <c r="R123" s="11"/>
      <c r="S123" s="12" t="str">
        <f aca="false">IF(R123="","",INDEX(Catalogos!$Y$5:$Y$25,MATCH(R123,L_IMP,0)))</f>
        <v/>
      </c>
      <c r="T123" s="11"/>
      <c r="U123" s="11"/>
      <c r="V123" s="11"/>
      <c r="W123" s="10" t="str">
        <f aca="false">IF(H123="","Pendiente por formular",IF(OR(J123="",K123="",L123="",M123="",N123="",O123="",Q123="",R123="",B123="",C123="",G123=""),"Incompleta: faltan campos obligatorios",IF(OR(NOT(ISNUMBER(K123)),NOT(ISNUMBER(L123))),"Fecha inválida",IF(L123&lt;K123,"La fecha de fin es anterior a la de inicio",IF(OR(YEAR(K123)&lt;&gt;2027,YEAR(L123)&lt;&gt;2027),"Fechas fuera de la vigencia 2027",IF(ISERROR(SEARCH("@itc.edu.co",M123)),"El responsable no tiene correo institucional",IF(ISERROR(SEARCH(Q123,INDEX(Catalogos!$Z$5:$Z$25,MATCH(R123,L_IMP,0)))),"La dimensión no corresponde al indicador de impacto","OK")))))))</f>
        <v>Pendiente por formular</v>
      </c>
    </row>
    <row r="124" customFormat="false" ht="14.25" hidden="false" customHeight="false" outlineLevel="0" collapsed="false">
      <c r="A124" s="12" t="n">
        <v>74</v>
      </c>
      <c r="B124" s="11"/>
      <c r="C124" s="11"/>
      <c r="D124" s="12" t="str">
        <f aca="false">IF(C124="","",INDEX(Catalogos!$C$5:$C$49,MATCH(LEFT(C124,7),Catalogos!$A$5:$A$49,0)))</f>
        <v/>
      </c>
      <c r="E124" s="12" t="str">
        <f aca="false">IF(C124="","",INDEX(Catalogos!$D$5:$D$49,MATCH(LEFT(C124,7),Catalogos!$A$5:$A$49,0))&amp;" "&amp;INDEX(Catalogos!$E$5:$E$49,MATCH(LEFT(C124,7),Catalogos!$A$5:$A$49,0)))</f>
        <v/>
      </c>
      <c r="F124" s="12" t="str">
        <f aca="false">IF(C124="","",INDEX(Catalogos!$F$5:$F$49,MATCH(LEFT(C124,7),Catalogos!$A$5:$A$49,0)))</f>
        <v/>
      </c>
      <c r="G124" s="11"/>
      <c r="H124" s="11"/>
      <c r="I124" s="11"/>
      <c r="J124" s="11"/>
      <c r="K124" s="18"/>
      <c r="L124" s="18"/>
      <c r="M124" s="11"/>
      <c r="N124" s="11"/>
      <c r="O124" s="11"/>
      <c r="P124" s="11"/>
      <c r="Q124" s="11"/>
      <c r="R124" s="11"/>
      <c r="S124" s="12" t="str">
        <f aca="false">IF(R124="","",INDEX(Catalogos!$Y$5:$Y$25,MATCH(R124,L_IMP,0)))</f>
        <v/>
      </c>
      <c r="T124" s="11"/>
      <c r="U124" s="11"/>
      <c r="V124" s="11"/>
      <c r="W124" s="10" t="str">
        <f aca="false">IF(H124="","Pendiente por formular",IF(OR(J124="",K124="",L124="",M124="",N124="",O124="",Q124="",R124="",B124="",C124="",G124=""),"Incompleta: faltan campos obligatorios",IF(OR(NOT(ISNUMBER(K124)),NOT(ISNUMBER(L124))),"Fecha inválida",IF(L124&lt;K124,"La fecha de fin es anterior a la de inicio",IF(OR(YEAR(K124)&lt;&gt;2027,YEAR(L124)&lt;&gt;2027),"Fechas fuera de la vigencia 2027",IF(ISERROR(SEARCH("@itc.edu.co",M124)),"El responsable no tiene correo institucional",IF(ISERROR(SEARCH(Q124,INDEX(Catalogos!$Z$5:$Z$25,MATCH(R124,L_IMP,0)))),"La dimensión no corresponde al indicador de impacto","OK")))))))</f>
        <v>Pendiente por formular</v>
      </c>
    </row>
    <row r="125" customFormat="false" ht="14.25" hidden="false" customHeight="false" outlineLevel="0" collapsed="false">
      <c r="A125" s="12" t="n">
        <v>75</v>
      </c>
      <c r="B125" s="11"/>
      <c r="C125" s="11"/>
      <c r="D125" s="12" t="str">
        <f aca="false">IF(C125="","",INDEX(Catalogos!$C$5:$C$49,MATCH(LEFT(C125,7),Catalogos!$A$5:$A$49,0)))</f>
        <v/>
      </c>
      <c r="E125" s="12" t="str">
        <f aca="false">IF(C125="","",INDEX(Catalogos!$D$5:$D$49,MATCH(LEFT(C125,7),Catalogos!$A$5:$A$49,0))&amp;" "&amp;INDEX(Catalogos!$E$5:$E$49,MATCH(LEFT(C125,7),Catalogos!$A$5:$A$49,0)))</f>
        <v/>
      </c>
      <c r="F125" s="12" t="str">
        <f aca="false">IF(C125="","",INDEX(Catalogos!$F$5:$F$49,MATCH(LEFT(C125,7),Catalogos!$A$5:$A$49,0)))</f>
        <v/>
      </c>
      <c r="G125" s="11"/>
      <c r="H125" s="11"/>
      <c r="I125" s="11"/>
      <c r="J125" s="11"/>
      <c r="K125" s="18"/>
      <c r="L125" s="18"/>
      <c r="M125" s="11"/>
      <c r="N125" s="11"/>
      <c r="O125" s="11"/>
      <c r="P125" s="11"/>
      <c r="Q125" s="11"/>
      <c r="R125" s="11"/>
      <c r="S125" s="12" t="str">
        <f aca="false">IF(R125="","",INDEX(Catalogos!$Y$5:$Y$25,MATCH(R125,L_IMP,0)))</f>
        <v/>
      </c>
      <c r="T125" s="11"/>
      <c r="U125" s="11"/>
      <c r="V125" s="11"/>
      <c r="W125" s="10" t="str">
        <f aca="false">IF(H125="","Pendiente por formular",IF(OR(J125="",K125="",L125="",M125="",N125="",O125="",Q125="",R125="",B125="",C125="",G125=""),"Incompleta: faltan campos obligatorios",IF(OR(NOT(ISNUMBER(K125)),NOT(ISNUMBER(L125))),"Fecha inválida",IF(L125&lt;K125,"La fecha de fin es anterior a la de inicio",IF(OR(YEAR(K125)&lt;&gt;2027,YEAR(L125)&lt;&gt;2027),"Fechas fuera de la vigencia 2027",IF(ISERROR(SEARCH("@itc.edu.co",M125)),"El responsable no tiene correo institucional",IF(ISERROR(SEARCH(Q125,INDEX(Catalogos!$Z$5:$Z$25,MATCH(R125,L_IMP,0)))),"La dimensión no corresponde al indicador de impacto","OK")))))))</f>
        <v>Pendiente por formular</v>
      </c>
    </row>
    <row r="126" customFormat="false" ht="14.25" hidden="false" customHeight="false" outlineLevel="0" collapsed="false">
      <c r="A126" s="12" t="n">
        <v>76</v>
      </c>
      <c r="B126" s="11"/>
      <c r="C126" s="11"/>
      <c r="D126" s="12" t="str">
        <f aca="false">IF(C126="","",INDEX(Catalogos!$C$5:$C$49,MATCH(LEFT(C126,7),Catalogos!$A$5:$A$49,0)))</f>
        <v/>
      </c>
      <c r="E126" s="12" t="str">
        <f aca="false">IF(C126="","",INDEX(Catalogos!$D$5:$D$49,MATCH(LEFT(C126,7),Catalogos!$A$5:$A$49,0))&amp;" "&amp;INDEX(Catalogos!$E$5:$E$49,MATCH(LEFT(C126,7),Catalogos!$A$5:$A$49,0)))</f>
        <v/>
      </c>
      <c r="F126" s="12" t="str">
        <f aca="false">IF(C126="","",INDEX(Catalogos!$F$5:$F$49,MATCH(LEFT(C126,7),Catalogos!$A$5:$A$49,0)))</f>
        <v/>
      </c>
      <c r="G126" s="11"/>
      <c r="H126" s="11"/>
      <c r="I126" s="11"/>
      <c r="J126" s="11"/>
      <c r="K126" s="18"/>
      <c r="L126" s="18"/>
      <c r="M126" s="11"/>
      <c r="N126" s="11"/>
      <c r="O126" s="11"/>
      <c r="P126" s="11"/>
      <c r="Q126" s="11"/>
      <c r="R126" s="11"/>
      <c r="S126" s="12" t="str">
        <f aca="false">IF(R126="","",INDEX(Catalogos!$Y$5:$Y$25,MATCH(R126,L_IMP,0)))</f>
        <v/>
      </c>
      <c r="T126" s="11"/>
      <c r="U126" s="11"/>
      <c r="V126" s="11"/>
      <c r="W126" s="10" t="str">
        <f aca="false">IF(H126="","Pendiente por formular",IF(OR(J126="",K126="",L126="",M126="",N126="",O126="",Q126="",R126="",B126="",C126="",G126=""),"Incompleta: faltan campos obligatorios",IF(OR(NOT(ISNUMBER(K126)),NOT(ISNUMBER(L126))),"Fecha inválida",IF(L126&lt;K126,"La fecha de fin es anterior a la de inicio",IF(OR(YEAR(K126)&lt;&gt;2027,YEAR(L126)&lt;&gt;2027),"Fechas fuera de la vigencia 2027",IF(ISERROR(SEARCH("@itc.edu.co",M126)),"El responsable no tiene correo institucional",IF(ISERROR(SEARCH(Q126,INDEX(Catalogos!$Z$5:$Z$25,MATCH(R126,L_IMP,0)))),"La dimensión no corresponde al indicador de impacto","OK")))))))</f>
        <v>Pendiente por formular</v>
      </c>
    </row>
    <row r="127" customFormat="false" ht="14.25" hidden="false" customHeight="false" outlineLevel="0" collapsed="false">
      <c r="A127" s="12" t="n">
        <v>77</v>
      </c>
      <c r="B127" s="11"/>
      <c r="C127" s="11"/>
      <c r="D127" s="12" t="str">
        <f aca="false">IF(C127="","",INDEX(Catalogos!$C$5:$C$49,MATCH(LEFT(C127,7),Catalogos!$A$5:$A$49,0)))</f>
        <v/>
      </c>
      <c r="E127" s="12" t="str">
        <f aca="false">IF(C127="","",INDEX(Catalogos!$D$5:$D$49,MATCH(LEFT(C127,7),Catalogos!$A$5:$A$49,0))&amp;" "&amp;INDEX(Catalogos!$E$5:$E$49,MATCH(LEFT(C127,7),Catalogos!$A$5:$A$49,0)))</f>
        <v/>
      </c>
      <c r="F127" s="12" t="str">
        <f aca="false">IF(C127="","",INDEX(Catalogos!$F$5:$F$49,MATCH(LEFT(C127,7),Catalogos!$A$5:$A$49,0)))</f>
        <v/>
      </c>
      <c r="G127" s="11"/>
      <c r="H127" s="11"/>
      <c r="I127" s="11"/>
      <c r="J127" s="11"/>
      <c r="K127" s="18"/>
      <c r="L127" s="18"/>
      <c r="M127" s="11"/>
      <c r="N127" s="11"/>
      <c r="O127" s="11"/>
      <c r="P127" s="11"/>
      <c r="Q127" s="11"/>
      <c r="R127" s="11"/>
      <c r="S127" s="12" t="str">
        <f aca="false">IF(R127="","",INDEX(Catalogos!$Y$5:$Y$25,MATCH(R127,L_IMP,0)))</f>
        <v/>
      </c>
      <c r="T127" s="11"/>
      <c r="U127" s="11"/>
      <c r="V127" s="11"/>
      <c r="W127" s="10" t="str">
        <f aca="false">IF(H127="","Pendiente por formular",IF(OR(J127="",K127="",L127="",M127="",N127="",O127="",Q127="",R127="",B127="",C127="",G127=""),"Incompleta: faltan campos obligatorios",IF(OR(NOT(ISNUMBER(K127)),NOT(ISNUMBER(L127))),"Fecha inválida",IF(L127&lt;K127,"La fecha de fin es anterior a la de inicio",IF(OR(YEAR(K127)&lt;&gt;2027,YEAR(L127)&lt;&gt;2027),"Fechas fuera de la vigencia 2027",IF(ISERROR(SEARCH("@itc.edu.co",M127)),"El responsable no tiene correo institucional",IF(ISERROR(SEARCH(Q127,INDEX(Catalogos!$Z$5:$Z$25,MATCH(R127,L_IMP,0)))),"La dimensión no corresponde al indicador de impacto","OK")))))))</f>
        <v>Pendiente por formular</v>
      </c>
    </row>
    <row r="128" customFormat="false" ht="14.25" hidden="false" customHeight="false" outlineLevel="0" collapsed="false">
      <c r="A128" s="12" t="n">
        <v>78</v>
      </c>
      <c r="B128" s="11"/>
      <c r="C128" s="11"/>
      <c r="D128" s="12" t="str">
        <f aca="false">IF(C128="","",INDEX(Catalogos!$C$5:$C$49,MATCH(LEFT(C128,7),Catalogos!$A$5:$A$49,0)))</f>
        <v/>
      </c>
      <c r="E128" s="12" t="str">
        <f aca="false">IF(C128="","",INDEX(Catalogos!$D$5:$D$49,MATCH(LEFT(C128,7),Catalogos!$A$5:$A$49,0))&amp;" "&amp;INDEX(Catalogos!$E$5:$E$49,MATCH(LEFT(C128,7),Catalogos!$A$5:$A$49,0)))</f>
        <v/>
      </c>
      <c r="F128" s="12" t="str">
        <f aca="false">IF(C128="","",INDEX(Catalogos!$F$5:$F$49,MATCH(LEFT(C128,7),Catalogos!$A$5:$A$49,0)))</f>
        <v/>
      </c>
      <c r="G128" s="11"/>
      <c r="H128" s="11"/>
      <c r="I128" s="11"/>
      <c r="J128" s="11"/>
      <c r="K128" s="18"/>
      <c r="L128" s="18"/>
      <c r="M128" s="11"/>
      <c r="N128" s="11"/>
      <c r="O128" s="11"/>
      <c r="P128" s="11"/>
      <c r="Q128" s="11"/>
      <c r="R128" s="11"/>
      <c r="S128" s="12" t="str">
        <f aca="false">IF(R128="","",INDEX(Catalogos!$Y$5:$Y$25,MATCH(R128,L_IMP,0)))</f>
        <v/>
      </c>
      <c r="T128" s="11"/>
      <c r="U128" s="11"/>
      <c r="V128" s="11"/>
      <c r="W128" s="10" t="str">
        <f aca="false">IF(H128="","Pendiente por formular",IF(OR(J128="",K128="",L128="",M128="",N128="",O128="",Q128="",R128="",B128="",C128="",G128=""),"Incompleta: faltan campos obligatorios",IF(OR(NOT(ISNUMBER(K128)),NOT(ISNUMBER(L128))),"Fecha inválida",IF(L128&lt;K128,"La fecha de fin es anterior a la de inicio",IF(OR(YEAR(K128)&lt;&gt;2027,YEAR(L128)&lt;&gt;2027),"Fechas fuera de la vigencia 2027",IF(ISERROR(SEARCH("@itc.edu.co",M128)),"El responsable no tiene correo institucional",IF(ISERROR(SEARCH(Q128,INDEX(Catalogos!$Z$5:$Z$25,MATCH(R128,L_IMP,0)))),"La dimensión no corresponde al indicador de impacto","OK")))))))</f>
        <v>Pendiente por formular</v>
      </c>
    </row>
    <row r="129" customFormat="false" ht="14.25" hidden="false" customHeight="false" outlineLevel="0" collapsed="false">
      <c r="A129" s="12" t="n">
        <v>79</v>
      </c>
      <c r="B129" s="11"/>
      <c r="C129" s="11"/>
      <c r="D129" s="12" t="str">
        <f aca="false">IF(C129="","",INDEX(Catalogos!$C$5:$C$49,MATCH(LEFT(C129,7),Catalogos!$A$5:$A$49,0)))</f>
        <v/>
      </c>
      <c r="E129" s="12" t="str">
        <f aca="false">IF(C129="","",INDEX(Catalogos!$D$5:$D$49,MATCH(LEFT(C129,7),Catalogos!$A$5:$A$49,0))&amp;" "&amp;INDEX(Catalogos!$E$5:$E$49,MATCH(LEFT(C129,7),Catalogos!$A$5:$A$49,0)))</f>
        <v/>
      </c>
      <c r="F129" s="12" t="str">
        <f aca="false">IF(C129="","",INDEX(Catalogos!$F$5:$F$49,MATCH(LEFT(C129,7),Catalogos!$A$5:$A$49,0)))</f>
        <v/>
      </c>
      <c r="G129" s="11"/>
      <c r="H129" s="11"/>
      <c r="I129" s="11"/>
      <c r="J129" s="11"/>
      <c r="K129" s="18"/>
      <c r="L129" s="18"/>
      <c r="M129" s="11"/>
      <c r="N129" s="11"/>
      <c r="O129" s="11"/>
      <c r="P129" s="11"/>
      <c r="Q129" s="11"/>
      <c r="R129" s="11"/>
      <c r="S129" s="12" t="str">
        <f aca="false">IF(R129="","",INDEX(Catalogos!$Y$5:$Y$25,MATCH(R129,L_IMP,0)))</f>
        <v/>
      </c>
      <c r="T129" s="11"/>
      <c r="U129" s="11"/>
      <c r="V129" s="11"/>
      <c r="W129" s="10" t="str">
        <f aca="false">IF(H129="","Pendiente por formular",IF(OR(J129="",K129="",L129="",M129="",N129="",O129="",Q129="",R129="",B129="",C129="",G129=""),"Incompleta: faltan campos obligatorios",IF(OR(NOT(ISNUMBER(K129)),NOT(ISNUMBER(L129))),"Fecha inválida",IF(L129&lt;K129,"La fecha de fin es anterior a la de inicio",IF(OR(YEAR(K129)&lt;&gt;2027,YEAR(L129)&lt;&gt;2027),"Fechas fuera de la vigencia 2027",IF(ISERROR(SEARCH("@itc.edu.co",M129)),"El responsable no tiene correo institucional",IF(ISERROR(SEARCH(Q129,INDEX(Catalogos!$Z$5:$Z$25,MATCH(R129,L_IMP,0)))),"La dimensión no corresponde al indicador de impacto","OK")))))))</f>
        <v>Pendiente por formular</v>
      </c>
    </row>
    <row r="130" customFormat="false" ht="14.25" hidden="false" customHeight="false" outlineLevel="0" collapsed="false">
      <c r="A130" s="12" t="n">
        <v>80</v>
      </c>
      <c r="B130" s="11"/>
      <c r="C130" s="11"/>
      <c r="D130" s="12" t="str">
        <f aca="false">IF(C130="","",INDEX(Catalogos!$C$5:$C$49,MATCH(LEFT(C130,7),Catalogos!$A$5:$A$49,0)))</f>
        <v/>
      </c>
      <c r="E130" s="12" t="str">
        <f aca="false">IF(C130="","",INDEX(Catalogos!$D$5:$D$49,MATCH(LEFT(C130,7),Catalogos!$A$5:$A$49,0))&amp;" "&amp;INDEX(Catalogos!$E$5:$E$49,MATCH(LEFT(C130,7),Catalogos!$A$5:$A$49,0)))</f>
        <v/>
      </c>
      <c r="F130" s="12" t="str">
        <f aca="false">IF(C130="","",INDEX(Catalogos!$F$5:$F$49,MATCH(LEFT(C130,7),Catalogos!$A$5:$A$49,0)))</f>
        <v/>
      </c>
      <c r="G130" s="11"/>
      <c r="H130" s="11"/>
      <c r="I130" s="11"/>
      <c r="J130" s="11"/>
      <c r="K130" s="18"/>
      <c r="L130" s="18"/>
      <c r="M130" s="11"/>
      <c r="N130" s="11"/>
      <c r="O130" s="11"/>
      <c r="P130" s="11"/>
      <c r="Q130" s="11"/>
      <c r="R130" s="11"/>
      <c r="S130" s="12" t="str">
        <f aca="false">IF(R130="","",INDEX(Catalogos!$Y$5:$Y$25,MATCH(R130,L_IMP,0)))</f>
        <v/>
      </c>
      <c r="T130" s="11"/>
      <c r="U130" s="11"/>
      <c r="V130" s="11"/>
      <c r="W130" s="10" t="str">
        <f aca="false">IF(H130="","Pendiente por formular",IF(OR(J130="",K130="",L130="",M130="",N130="",O130="",Q130="",R130="",B130="",C130="",G130=""),"Incompleta: faltan campos obligatorios",IF(OR(NOT(ISNUMBER(K130)),NOT(ISNUMBER(L130))),"Fecha inválida",IF(L130&lt;K130,"La fecha de fin es anterior a la de inicio",IF(OR(YEAR(K130)&lt;&gt;2027,YEAR(L130)&lt;&gt;2027),"Fechas fuera de la vigencia 2027",IF(ISERROR(SEARCH("@itc.edu.co",M130)),"El responsable no tiene correo institucional",IF(ISERROR(SEARCH(Q130,INDEX(Catalogos!$Z$5:$Z$25,MATCH(R130,L_IMP,0)))),"La dimensión no corresponde al indicador de impacto","OK")))))))</f>
        <v>Pendiente por formular</v>
      </c>
    </row>
    <row r="131" customFormat="false" ht="14.25" hidden="false" customHeight="false" outlineLevel="0" collapsed="false">
      <c r="A131" s="12" t="n">
        <v>81</v>
      </c>
      <c r="B131" s="11"/>
      <c r="C131" s="11"/>
      <c r="D131" s="12" t="str">
        <f aca="false">IF(C131="","",INDEX(Catalogos!$C$5:$C$49,MATCH(LEFT(C131,7),Catalogos!$A$5:$A$49,0)))</f>
        <v/>
      </c>
      <c r="E131" s="12" t="str">
        <f aca="false">IF(C131="","",INDEX(Catalogos!$D$5:$D$49,MATCH(LEFT(C131,7),Catalogos!$A$5:$A$49,0))&amp;" "&amp;INDEX(Catalogos!$E$5:$E$49,MATCH(LEFT(C131,7),Catalogos!$A$5:$A$49,0)))</f>
        <v/>
      </c>
      <c r="F131" s="12" t="str">
        <f aca="false">IF(C131="","",INDEX(Catalogos!$F$5:$F$49,MATCH(LEFT(C131,7),Catalogos!$A$5:$A$49,0)))</f>
        <v/>
      </c>
      <c r="G131" s="11"/>
      <c r="H131" s="11"/>
      <c r="I131" s="11"/>
      <c r="J131" s="11"/>
      <c r="K131" s="18"/>
      <c r="L131" s="18"/>
      <c r="M131" s="11"/>
      <c r="N131" s="11"/>
      <c r="O131" s="11"/>
      <c r="P131" s="11"/>
      <c r="Q131" s="11"/>
      <c r="R131" s="11"/>
      <c r="S131" s="12" t="str">
        <f aca="false">IF(R131="","",INDEX(Catalogos!$Y$5:$Y$25,MATCH(R131,L_IMP,0)))</f>
        <v/>
      </c>
      <c r="T131" s="11"/>
      <c r="U131" s="11"/>
      <c r="V131" s="11"/>
      <c r="W131" s="10" t="str">
        <f aca="false">IF(H131="","Pendiente por formular",IF(OR(J131="",K131="",L131="",M131="",N131="",O131="",Q131="",R131="",B131="",C131="",G131=""),"Incompleta: faltan campos obligatorios",IF(OR(NOT(ISNUMBER(K131)),NOT(ISNUMBER(L131))),"Fecha inválida",IF(L131&lt;K131,"La fecha de fin es anterior a la de inicio",IF(OR(YEAR(K131)&lt;&gt;2027,YEAR(L131)&lt;&gt;2027),"Fechas fuera de la vigencia 2027",IF(ISERROR(SEARCH("@itc.edu.co",M131)),"El responsable no tiene correo institucional",IF(ISERROR(SEARCH(Q131,INDEX(Catalogos!$Z$5:$Z$25,MATCH(R131,L_IMP,0)))),"La dimensión no corresponde al indicador de impacto","OK")))))))</f>
        <v>Pendiente por formular</v>
      </c>
    </row>
    <row r="132" customFormat="false" ht="14.25" hidden="false" customHeight="false" outlineLevel="0" collapsed="false">
      <c r="A132" s="12" t="n">
        <v>82</v>
      </c>
      <c r="B132" s="11"/>
      <c r="C132" s="11"/>
      <c r="D132" s="12" t="str">
        <f aca="false">IF(C132="","",INDEX(Catalogos!$C$5:$C$49,MATCH(LEFT(C132,7),Catalogos!$A$5:$A$49,0)))</f>
        <v/>
      </c>
      <c r="E132" s="12" t="str">
        <f aca="false">IF(C132="","",INDEX(Catalogos!$D$5:$D$49,MATCH(LEFT(C132,7),Catalogos!$A$5:$A$49,0))&amp;" "&amp;INDEX(Catalogos!$E$5:$E$49,MATCH(LEFT(C132,7),Catalogos!$A$5:$A$49,0)))</f>
        <v/>
      </c>
      <c r="F132" s="12" t="str">
        <f aca="false">IF(C132="","",INDEX(Catalogos!$F$5:$F$49,MATCH(LEFT(C132,7),Catalogos!$A$5:$A$49,0)))</f>
        <v/>
      </c>
      <c r="G132" s="11"/>
      <c r="H132" s="11"/>
      <c r="I132" s="11"/>
      <c r="J132" s="11"/>
      <c r="K132" s="18"/>
      <c r="L132" s="18"/>
      <c r="M132" s="11"/>
      <c r="N132" s="11"/>
      <c r="O132" s="11"/>
      <c r="P132" s="11"/>
      <c r="Q132" s="11"/>
      <c r="R132" s="11"/>
      <c r="S132" s="12" t="str">
        <f aca="false">IF(R132="","",INDEX(Catalogos!$Y$5:$Y$25,MATCH(R132,L_IMP,0)))</f>
        <v/>
      </c>
      <c r="T132" s="11"/>
      <c r="U132" s="11"/>
      <c r="V132" s="11"/>
      <c r="W132" s="10" t="str">
        <f aca="false">IF(H132="","Pendiente por formular",IF(OR(J132="",K132="",L132="",M132="",N132="",O132="",Q132="",R132="",B132="",C132="",G132=""),"Incompleta: faltan campos obligatorios",IF(OR(NOT(ISNUMBER(K132)),NOT(ISNUMBER(L132))),"Fecha inválida",IF(L132&lt;K132,"La fecha de fin es anterior a la de inicio",IF(OR(YEAR(K132)&lt;&gt;2027,YEAR(L132)&lt;&gt;2027),"Fechas fuera de la vigencia 2027",IF(ISERROR(SEARCH("@itc.edu.co",M132)),"El responsable no tiene correo institucional",IF(ISERROR(SEARCH(Q132,INDEX(Catalogos!$Z$5:$Z$25,MATCH(R132,L_IMP,0)))),"La dimensión no corresponde al indicador de impacto","OK")))))))</f>
        <v>Pendiente por formular</v>
      </c>
    </row>
    <row r="133" customFormat="false" ht="14.25" hidden="false" customHeight="false" outlineLevel="0" collapsed="false">
      <c r="A133" s="12" t="n">
        <v>83</v>
      </c>
      <c r="B133" s="11"/>
      <c r="C133" s="11"/>
      <c r="D133" s="12" t="str">
        <f aca="false">IF(C133="","",INDEX(Catalogos!$C$5:$C$49,MATCH(LEFT(C133,7),Catalogos!$A$5:$A$49,0)))</f>
        <v/>
      </c>
      <c r="E133" s="12" t="str">
        <f aca="false">IF(C133="","",INDEX(Catalogos!$D$5:$D$49,MATCH(LEFT(C133,7),Catalogos!$A$5:$A$49,0))&amp;" "&amp;INDEX(Catalogos!$E$5:$E$49,MATCH(LEFT(C133,7),Catalogos!$A$5:$A$49,0)))</f>
        <v/>
      </c>
      <c r="F133" s="12" t="str">
        <f aca="false">IF(C133="","",INDEX(Catalogos!$F$5:$F$49,MATCH(LEFT(C133,7),Catalogos!$A$5:$A$49,0)))</f>
        <v/>
      </c>
      <c r="G133" s="11"/>
      <c r="H133" s="11"/>
      <c r="I133" s="11"/>
      <c r="J133" s="11"/>
      <c r="K133" s="18"/>
      <c r="L133" s="18"/>
      <c r="M133" s="11"/>
      <c r="N133" s="11"/>
      <c r="O133" s="11"/>
      <c r="P133" s="11"/>
      <c r="Q133" s="11"/>
      <c r="R133" s="11"/>
      <c r="S133" s="12" t="str">
        <f aca="false">IF(R133="","",INDEX(Catalogos!$Y$5:$Y$25,MATCH(R133,L_IMP,0)))</f>
        <v/>
      </c>
      <c r="T133" s="11"/>
      <c r="U133" s="11"/>
      <c r="V133" s="11"/>
      <c r="W133" s="10" t="str">
        <f aca="false">IF(H133="","Pendiente por formular",IF(OR(J133="",K133="",L133="",M133="",N133="",O133="",Q133="",R133="",B133="",C133="",G133=""),"Incompleta: faltan campos obligatorios",IF(OR(NOT(ISNUMBER(K133)),NOT(ISNUMBER(L133))),"Fecha inválida",IF(L133&lt;K133,"La fecha de fin es anterior a la de inicio",IF(OR(YEAR(K133)&lt;&gt;2027,YEAR(L133)&lt;&gt;2027),"Fechas fuera de la vigencia 2027",IF(ISERROR(SEARCH("@itc.edu.co",M133)),"El responsable no tiene correo institucional",IF(ISERROR(SEARCH(Q133,INDEX(Catalogos!$Z$5:$Z$25,MATCH(R133,L_IMP,0)))),"La dimensión no corresponde al indicador de impacto","OK")))))))</f>
        <v>Pendiente por formular</v>
      </c>
    </row>
    <row r="134" customFormat="false" ht="14.25" hidden="false" customHeight="false" outlineLevel="0" collapsed="false">
      <c r="A134" s="12" t="n">
        <v>84</v>
      </c>
      <c r="B134" s="11"/>
      <c r="C134" s="11"/>
      <c r="D134" s="12" t="str">
        <f aca="false">IF(C134="","",INDEX(Catalogos!$C$5:$C$49,MATCH(LEFT(C134,7),Catalogos!$A$5:$A$49,0)))</f>
        <v/>
      </c>
      <c r="E134" s="12" t="str">
        <f aca="false">IF(C134="","",INDEX(Catalogos!$D$5:$D$49,MATCH(LEFT(C134,7),Catalogos!$A$5:$A$49,0))&amp;" "&amp;INDEX(Catalogos!$E$5:$E$49,MATCH(LEFT(C134,7),Catalogos!$A$5:$A$49,0)))</f>
        <v/>
      </c>
      <c r="F134" s="12" t="str">
        <f aca="false">IF(C134="","",INDEX(Catalogos!$F$5:$F$49,MATCH(LEFT(C134,7),Catalogos!$A$5:$A$49,0)))</f>
        <v/>
      </c>
      <c r="G134" s="11"/>
      <c r="H134" s="11"/>
      <c r="I134" s="11"/>
      <c r="J134" s="11"/>
      <c r="K134" s="18"/>
      <c r="L134" s="18"/>
      <c r="M134" s="11"/>
      <c r="N134" s="11"/>
      <c r="O134" s="11"/>
      <c r="P134" s="11"/>
      <c r="Q134" s="11"/>
      <c r="R134" s="11"/>
      <c r="S134" s="12" t="str">
        <f aca="false">IF(R134="","",INDEX(Catalogos!$Y$5:$Y$25,MATCH(R134,L_IMP,0)))</f>
        <v/>
      </c>
      <c r="T134" s="11"/>
      <c r="U134" s="11"/>
      <c r="V134" s="11"/>
      <c r="W134" s="10" t="str">
        <f aca="false">IF(H134="","Pendiente por formular",IF(OR(J134="",K134="",L134="",M134="",N134="",O134="",Q134="",R134="",B134="",C134="",G134=""),"Incompleta: faltan campos obligatorios",IF(OR(NOT(ISNUMBER(K134)),NOT(ISNUMBER(L134))),"Fecha inválida",IF(L134&lt;K134,"La fecha de fin es anterior a la de inicio",IF(OR(YEAR(K134)&lt;&gt;2027,YEAR(L134)&lt;&gt;2027),"Fechas fuera de la vigencia 2027",IF(ISERROR(SEARCH("@itc.edu.co",M134)),"El responsable no tiene correo institucional",IF(ISERROR(SEARCH(Q134,INDEX(Catalogos!$Z$5:$Z$25,MATCH(R134,L_IMP,0)))),"La dimensión no corresponde al indicador de impacto","OK")))))))</f>
        <v>Pendiente por formular</v>
      </c>
    </row>
    <row r="135" customFormat="false" ht="14.25" hidden="false" customHeight="false" outlineLevel="0" collapsed="false">
      <c r="A135" s="12" t="n">
        <v>85</v>
      </c>
      <c r="B135" s="11"/>
      <c r="C135" s="11"/>
      <c r="D135" s="12" t="str">
        <f aca="false">IF(C135="","",INDEX(Catalogos!$C$5:$C$49,MATCH(LEFT(C135,7),Catalogos!$A$5:$A$49,0)))</f>
        <v/>
      </c>
      <c r="E135" s="12" t="str">
        <f aca="false">IF(C135="","",INDEX(Catalogos!$D$5:$D$49,MATCH(LEFT(C135,7),Catalogos!$A$5:$A$49,0))&amp;" "&amp;INDEX(Catalogos!$E$5:$E$49,MATCH(LEFT(C135,7),Catalogos!$A$5:$A$49,0)))</f>
        <v/>
      </c>
      <c r="F135" s="12" t="str">
        <f aca="false">IF(C135="","",INDEX(Catalogos!$F$5:$F$49,MATCH(LEFT(C135,7),Catalogos!$A$5:$A$49,0)))</f>
        <v/>
      </c>
      <c r="G135" s="11"/>
      <c r="H135" s="11"/>
      <c r="I135" s="11"/>
      <c r="J135" s="11"/>
      <c r="K135" s="18"/>
      <c r="L135" s="18"/>
      <c r="M135" s="11"/>
      <c r="N135" s="11"/>
      <c r="O135" s="11"/>
      <c r="P135" s="11"/>
      <c r="Q135" s="11"/>
      <c r="R135" s="11"/>
      <c r="S135" s="12" t="str">
        <f aca="false">IF(R135="","",INDEX(Catalogos!$Y$5:$Y$25,MATCH(R135,L_IMP,0)))</f>
        <v/>
      </c>
      <c r="T135" s="11"/>
      <c r="U135" s="11"/>
      <c r="V135" s="11"/>
      <c r="W135" s="10" t="str">
        <f aca="false">IF(H135="","Pendiente por formular",IF(OR(J135="",K135="",L135="",M135="",N135="",O135="",Q135="",R135="",B135="",C135="",G135=""),"Incompleta: faltan campos obligatorios",IF(OR(NOT(ISNUMBER(K135)),NOT(ISNUMBER(L135))),"Fecha inválida",IF(L135&lt;K135,"La fecha de fin es anterior a la de inicio",IF(OR(YEAR(K135)&lt;&gt;2027,YEAR(L135)&lt;&gt;2027),"Fechas fuera de la vigencia 2027",IF(ISERROR(SEARCH("@itc.edu.co",M135)),"El responsable no tiene correo institucional",IF(ISERROR(SEARCH(Q135,INDEX(Catalogos!$Z$5:$Z$25,MATCH(R135,L_IMP,0)))),"La dimensión no corresponde al indicador de impacto","OK")))))))</f>
        <v>Pendiente por formular</v>
      </c>
    </row>
    <row r="136" customFormat="false" ht="14.25" hidden="false" customHeight="false" outlineLevel="0" collapsed="false">
      <c r="A136" s="12" t="n">
        <v>86</v>
      </c>
      <c r="B136" s="11"/>
      <c r="C136" s="11"/>
      <c r="D136" s="12" t="str">
        <f aca="false">IF(C136="","",INDEX(Catalogos!$C$5:$C$49,MATCH(LEFT(C136,7),Catalogos!$A$5:$A$49,0)))</f>
        <v/>
      </c>
      <c r="E136" s="12" t="str">
        <f aca="false">IF(C136="","",INDEX(Catalogos!$D$5:$D$49,MATCH(LEFT(C136,7),Catalogos!$A$5:$A$49,0))&amp;" "&amp;INDEX(Catalogos!$E$5:$E$49,MATCH(LEFT(C136,7),Catalogos!$A$5:$A$49,0)))</f>
        <v/>
      </c>
      <c r="F136" s="12" t="str">
        <f aca="false">IF(C136="","",INDEX(Catalogos!$F$5:$F$49,MATCH(LEFT(C136,7),Catalogos!$A$5:$A$49,0)))</f>
        <v/>
      </c>
      <c r="G136" s="11"/>
      <c r="H136" s="11"/>
      <c r="I136" s="11"/>
      <c r="J136" s="11"/>
      <c r="K136" s="18"/>
      <c r="L136" s="18"/>
      <c r="M136" s="11"/>
      <c r="N136" s="11"/>
      <c r="O136" s="11"/>
      <c r="P136" s="11"/>
      <c r="Q136" s="11"/>
      <c r="R136" s="11"/>
      <c r="S136" s="12" t="str">
        <f aca="false">IF(R136="","",INDEX(Catalogos!$Y$5:$Y$25,MATCH(R136,L_IMP,0)))</f>
        <v/>
      </c>
      <c r="T136" s="11"/>
      <c r="U136" s="11"/>
      <c r="V136" s="11"/>
      <c r="W136" s="10" t="str">
        <f aca="false">IF(H136="","Pendiente por formular",IF(OR(J136="",K136="",L136="",M136="",N136="",O136="",Q136="",R136="",B136="",C136="",G136=""),"Incompleta: faltan campos obligatorios",IF(OR(NOT(ISNUMBER(K136)),NOT(ISNUMBER(L136))),"Fecha inválida",IF(L136&lt;K136,"La fecha de fin es anterior a la de inicio",IF(OR(YEAR(K136)&lt;&gt;2027,YEAR(L136)&lt;&gt;2027),"Fechas fuera de la vigencia 2027",IF(ISERROR(SEARCH("@itc.edu.co",M136)),"El responsable no tiene correo institucional",IF(ISERROR(SEARCH(Q136,INDEX(Catalogos!$Z$5:$Z$25,MATCH(R136,L_IMP,0)))),"La dimensión no corresponde al indicador de impacto","OK")))))))</f>
        <v>Pendiente por formular</v>
      </c>
    </row>
    <row r="137" customFormat="false" ht="14.25" hidden="false" customHeight="false" outlineLevel="0" collapsed="false">
      <c r="A137" s="12" t="n">
        <v>87</v>
      </c>
      <c r="B137" s="11"/>
      <c r="C137" s="11"/>
      <c r="D137" s="12" t="str">
        <f aca="false">IF(C137="","",INDEX(Catalogos!$C$5:$C$49,MATCH(LEFT(C137,7),Catalogos!$A$5:$A$49,0)))</f>
        <v/>
      </c>
      <c r="E137" s="12" t="str">
        <f aca="false">IF(C137="","",INDEX(Catalogos!$D$5:$D$49,MATCH(LEFT(C137,7),Catalogos!$A$5:$A$49,0))&amp;" "&amp;INDEX(Catalogos!$E$5:$E$49,MATCH(LEFT(C137,7),Catalogos!$A$5:$A$49,0)))</f>
        <v/>
      </c>
      <c r="F137" s="12" t="str">
        <f aca="false">IF(C137="","",INDEX(Catalogos!$F$5:$F$49,MATCH(LEFT(C137,7),Catalogos!$A$5:$A$49,0)))</f>
        <v/>
      </c>
      <c r="G137" s="11"/>
      <c r="H137" s="11"/>
      <c r="I137" s="11"/>
      <c r="J137" s="11"/>
      <c r="K137" s="18"/>
      <c r="L137" s="18"/>
      <c r="M137" s="11"/>
      <c r="N137" s="11"/>
      <c r="O137" s="11"/>
      <c r="P137" s="11"/>
      <c r="Q137" s="11"/>
      <c r="R137" s="11"/>
      <c r="S137" s="12" t="str">
        <f aca="false">IF(R137="","",INDEX(Catalogos!$Y$5:$Y$25,MATCH(R137,L_IMP,0)))</f>
        <v/>
      </c>
      <c r="T137" s="11"/>
      <c r="U137" s="11"/>
      <c r="V137" s="11"/>
      <c r="W137" s="10" t="str">
        <f aca="false">IF(H137="","Pendiente por formular",IF(OR(J137="",K137="",L137="",M137="",N137="",O137="",Q137="",R137="",B137="",C137="",G137=""),"Incompleta: faltan campos obligatorios",IF(OR(NOT(ISNUMBER(K137)),NOT(ISNUMBER(L137))),"Fecha inválida",IF(L137&lt;K137,"La fecha de fin es anterior a la de inicio",IF(OR(YEAR(K137)&lt;&gt;2027,YEAR(L137)&lt;&gt;2027),"Fechas fuera de la vigencia 2027",IF(ISERROR(SEARCH("@itc.edu.co",M137)),"El responsable no tiene correo institucional",IF(ISERROR(SEARCH(Q137,INDEX(Catalogos!$Z$5:$Z$25,MATCH(R137,L_IMP,0)))),"La dimensión no corresponde al indicador de impacto","OK")))))))</f>
        <v>Pendiente por formular</v>
      </c>
    </row>
    <row r="138" customFormat="false" ht="14.25" hidden="false" customHeight="false" outlineLevel="0" collapsed="false">
      <c r="A138" s="12" t="n">
        <v>88</v>
      </c>
      <c r="B138" s="11"/>
      <c r="C138" s="11"/>
      <c r="D138" s="12" t="str">
        <f aca="false">IF(C138="","",INDEX(Catalogos!$C$5:$C$49,MATCH(LEFT(C138,7),Catalogos!$A$5:$A$49,0)))</f>
        <v/>
      </c>
      <c r="E138" s="12" t="str">
        <f aca="false">IF(C138="","",INDEX(Catalogos!$D$5:$D$49,MATCH(LEFT(C138,7),Catalogos!$A$5:$A$49,0))&amp;" "&amp;INDEX(Catalogos!$E$5:$E$49,MATCH(LEFT(C138,7),Catalogos!$A$5:$A$49,0)))</f>
        <v/>
      </c>
      <c r="F138" s="12" t="str">
        <f aca="false">IF(C138="","",INDEX(Catalogos!$F$5:$F$49,MATCH(LEFT(C138,7),Catalogos!$A$5:$A$49,0)))</f>
        <v/>
      </c>
      <c r="G138" s="11"/>
      <c r="H138" s="11"/>
      <c r="I138" s="11"/>
      <c r="J138" s="11"/>
      <c r="K138" s="18"/>
      <c r="L138" s="18"/>
      <c r="M138" s="11"/>
      <c r="N138" s="11"/>
      <c r="O138" s="11"/>
      <c r="P138" s="11"/>
      <c r="Q138" s="11"/>
      <c r="R138" s="11"/>
      <c r="S138" s="12" t="str">
        <f aca="false">IF(R138="","",INDEX(Catalogos!$Y$5:$Y$25,MATCH(R138,L_IMP,0)))</f>
        <v/>
      </c>
      <c r="T138" s="11"/>
      <c r="U138" s="11"/>
      <c r="V138" s="11"/>
      <c r="W138" s="10" t="str">
        <f aca="false">IF(H138="","Pendiente por formular",IF(OR(J138="",K138="",L138="",M138="",N138="",O138="",Q138="",R138="",B138="",C138="",G138=""),"Incompleta: faltan campos obligatorios",IF(OR(NOT(ISNUMBER(K138)),NOT(ISNUMBER(L138))),"Fecha inválida",IF(L138&lt;K138,"La fecha de fin es anterior a la de inicio",IF(OR(YEAR(K138)&lt;&gt;2027,YEAR(L138)&lt;&gt;2027),"Fechas fuera de la vigencia 2027",IF(ISERROR(SEARCH("@itc.edu.co",M138)),"El responsable no tiene correo institucional",IF(ISERROR(SEARCH(Q138,INDEX(Catalogos!$Z$5:$Z$25,MATCH(R138,L_IMP,0)))),"La dimensión no corresponde al indicador de impacto","OK")))))))</f>
        <v>Pendiente por formular</v>
      </c>
    </row>
    <row r="139" customFormat="false" ht="14.25" hidden="false" customHeight="false" outlineLevel="0" collapsed="false">
      <c r="A139" s="12" t="n">
        <v>89</v>
      </c>
      <c r="B139" s="11"/>
      <c r="C139" s="11"/>
      <c r="D139" s="12" t="str">
        <f aca="false">IF(C139="","",INDEX(Catalogos!$C$5:$C$49,MATCH(LEFT(C139,7),Catalogos!$A$5:$A$49,0)))</f>
        <v/>
      </c>
      <c r="E139" s="12" t="str">
        <f aca="false">IF(C139="","",INDEX(Catalogos!$D$5:$D$49,MATCH(LEFT(C139,7),Catalogos!$A$5:$A$49,0))&amp;" "&amp;INDEX(Catalogos!$E$5:$E$49,MATCH(LEFT(C139,7),Catalogos!$A$5:$A$49,0)))</f>
        <v/>
      </c>
      <c r="F139" s="12" t="str">
        <f aca="false">IF(C139="","",INDEX(Catalogos!$F$5:$F$49,MATCH(LEFT(C139,7),Catalogos!$A$5:$A$49,0)))</f>
        <v/>
      </c>
      <c r="G139" s="11"/>
      <c r="H139" s="11"/>
      <c r="I139" s="11"/>
      <c r="J139" s="11"/>
      <c r="K139" s="18"/>
      <c r="L139" s="18"/>
      <c r="M139" s="11"/>
      <c r="N139" s="11"/>
      <c r="O139" s="11"/>
      <c r="P139" s="11"/>
      <c r="Q139" s="11"/>
      <c r="R139" s="11"/>
      <c r="S139" s="12" t="str">
        <f aca="false">IF(R139="","",INDEX(Catalogos!$Y$5:$Y$25,MATCH(R139,L_IMP,0)))</f>
        <v/>
      </c>
      <c r="T139" s="11"/>
      <c r="U139" s="11"/>
      <c r="V139" s="11"/>
      <c r="W139" s="10" t="str">
        <f aca="false">IF(H139="","Pendiente por formular",IF(OR(J139="",K139="",L139="",M139="",N139="",O139="",Q139="",R139="",B139="",C139="",G139=""),"Incompleta: faltan campos obligatorios",IF(OR(NOT(ISNUMBER(K139)),NOT(ISNUMBER(L139))),"Fecha inválida",IF(L139&lt;K139,"La fecha de fin es anterior a la de inicio",IF(OR(YEAR(K139)&lt;&gt;2027,YEAR(L139)&lt;&gt;2027),"Fechas fuera de la vigencia 2027",IF(ISERROR(SEARCH("@itc.edu.co",M139)),"El responsable no tiene correo institucional",IF(ISERROR(SEARCH(Q139,INDEX(Catalogos!$Z$5:$Z$25,MATCH(R139,L_IMP,0)))),"La dimensión no corresponde al indicador de impacto","OK")))))))</f>
        <v>Pendiente por formular</v>
      </c>
    </row>
    <row r="140" customFormat="false" ht="14.25" hidden="false" customHeight="false" outlineLevel="0" collapsed="false">
      <c r="A140" s="12" t="n">
        <v>90</v>
      </c>
      <c r="B140" s="11"/>
      <c r="C140" s="11"/>
      <c r="D140" s="12" t="str">
        <f aca="false">IF(C140="","",INDEX(Catalogos!$C$5:$C$49,MATCH(LEFT(C140,7),Catalogos!$A$5:$A$49,0)))</f>
        <v/>
      </c>
      <c r="E140" s="12" t="str">
        <f aca="false">IF(C140="","",INDEX(Catalogos!$D$5:$D$49,MATCH(LEFT(C140,7),Catalogos!$A$5:$A$49,0))&amp;" "&amp;INDEX(Catalogos!$E$5:$E$49,MATCH(LEFT(C140,7),Catalogos!$A$5:$A$49,0)))</f>
        <v/>
      </c>
      <c r="F140" s="12" t="str">
        <f aca="false">IF(C140="","",INDEX(Catalogos!$F$5:$F$49,MATCH(LEFT(C140,7),Catalogos!$A$5:$A$49,0)))</f>
        <v/>
      </c>
      <c r="G140" s="11"/>
      <c r="H140" s="11"/>
      <c r="I140" s="11"/>
      <c r="J140" s="11"/>
      <c r="K140" s="18"/>
      <c r="L140" s="18"/>
      <c r="M140" s="11"/>
      <c r="N140" s="11"/>
      <c r="O140" s="11"/>
      <c r="P140" s="11"/>
      <c r="Q140" s="11"/>
      <c r="R140" s="11"/>
      <c r="S140" s="12" t="str">
        <f aca="false">IF(R140="","",INDEX(Catalogos!$Y$5:$Y$25,MATCH(R140,L_IMP,0)))</f>
        <v/>
      </c>
      <c r="T140" s="11"/>
      <c r="U140" s="11"/>
      <c r="V140" s="11"/>
      <c r="W140" s="10" t="str">
        <f aca="false">IF(H140="","Pendiente por formular",IF(OR(J140="",K140="",L140="",M140="",N140="",O140="",Q140="",R140="",B140="",C140="",G140=""),"Incompleta: faltan campos obligatorios",IF(OR(NOT(ISNUMBER(K140)),NOT(ISNUMBER(L140))),"Fecha inválida",IF(L140&lt;K140,"La fecha de fin es anterior a la de inicio",IF(OR(YEAR(K140)&lt;&gt;2027,YEAR(L140)&lt;&gt;2027),"Fechas fuera de la vigencia 2027",IF(ISERROR(SEARCH("@itc.edu.co",M140)),"El responsable no tiene correo institucional",IF(ISERROR(SEARCH(Q140,INDEX(Catalogos!$Z$5:$Z$25,MATCH(R140,L_IMP,0)))),"La dimensión no corresponde al indicador de impacto","OK")))))))</f>
        <v>Pendiente por formular</v>
      </c>
    </row>
    <row r="141" customFormat="false" ht="14.25" hidden="false" customHeight="false" outlineLevel="0" collapsed="false">
      <c r="A141" s="12" t="n">
        <v>91</v>
      </c>
      <c r="B141" s="11"/>
      <c r="C141" s="11"/>
      <c r="D141" s="12" t="str">
        <f aca="false">IF(C141="","",INDEX(Catalogos!$C$5:$C$49,MATCH(LEFT(C141,7),Catalogos!$A$5:$A$49,0)))</f>
        <v/>
      </c>
      <c r="E141" s="12" t="str">
        <f aca="false">IF(C141="","",INDEX(Catalogos!$D$5:$D$49,MATCH(LEFT(C141,7),Catalogos!$A$5:$A$49,0))&amp;" "&amp;INDEX(Catalogos!$E$5:$E$49,MATCH(LEFT(C141,7),Catalogos!$A$5:$A$49,0)))</f>
        <v/>
      </c>
      <c r="F141" s="12" t="str">
        <f aca="false">IF(C141="","",INDEX(Catalogos!$F$5:$F$49,MATCH(LEFT(C141,7),Catalogos!$A$5:$A$49,0)))</f>
        <v/>
      </c>
      <c r="G141" s="11"/>
      <c r="H141" s="11"/>
      <c r="I141" s="11"/>
      <c r="J141" s="11"/>
      <c r="K141" s="18"/>
      <c r="L141" s="18"/>
      <c r="M141" s="11"/>
      <c r="N141" s="11"/>
      <c r="O141" s="11"/>
      <c r="P141" s="11"/>
      <c r="Q141" s="11"/>
      <c r="R141" s="11"/>
      <c r="S141" s="12" t="str">
        <f aca="false">IF(R141="","",INDEX(Catalogos!$Y$5:$Y$25,MATCH(R141,L_IMP,0)))</f>
        <v/>
      </c>
      <c r="T141" s="11"/>
      <c r="U141" s="11"/>
      <c r="V141" s="11"/>
      <c r="W141" s="10" t="str">
        <f aca="false">IF(H141="","Pendiente por formular",IF(OR(J141="",K141="",L141="",M141="",N141="",O141="",Q141="",R141="",B141="",C141="",G141=""),"Incompleta: faltan campos obligatorios",IF(OR(NOT(ISNUMBER(K141)),NOT(ISNUMBER(L141))),"Fecha inválida",IF(L141&lt;K141,"La fecha de fin es anterior a la de inicio",IF(OR(YEAR(K141)&lt;&gt;2027,YEAR(L141)&lt;&gt;2027),"Fechas fuera de la vigencia 2027",IF(ISERROR(SEARCH("@itc.edu.co",M141)),"El responsable no tiene correo institucional",IF(ISERROR(SEARCH(Q141,INDEX(Catalogos!$Z$5:$Z$25,MATCH(R141,L_IMP,0)))),"La dimensión no corresponde al indicador de impacto","OK")))))))</f>
        <v>Pendiente por formular</v>
      </c>
    </row>
    <row r="142" customFormat="false" ht="14.25" hidden="false" customHeight="false" outlineLevel="0" collapsed="false">
      <c r="A142" s="12" t="n">
        <v>92</v>
      </c>
      <c r="B142" s="11"/>
      <c r="C142" s="11"/>
      <c r="D142" s="12" t="str">
        <f aca="false">IF(C142="","",INDEX(Catalogos!$C$5:$C$49,MATCH(LEFT(C142,7),Catalogos!$A$5:$A$49,0)))</f>
        <v/>
      </c>
      <c r="E142" s="12" t="str">
        <f aca="false">IF(C142="","",INDEX(Catalogos!$D$5:$D$49,MATCH(LEFT(C142,7),Catalogos!$A$5:$A$49,0))&amp;" "&amp;INDEX(Catalogos!$E$5:$E$49,MATCH(LEFT(C142,7),Catalogos!$A$5:$A$49,0)))</f>
        <v/>
      </c>
      <c r="F142" s="12" t="str">
        <f aca="false">IF(C142="","",INDEX(Catalogos!$F$5:$F$49,MATCH(LEFT(C142,7),Catalogos!$A$5:$A$49,0)))</f>
        <v/>
      </c>
      <c r="G142" s="11"/>
      <c r="H142" s="11"/>
      <c r="I142" s="11"/>
      <c r="J142" s="11"/>
      <c r="K142" s="18"/>
      <c r="L142" s="18"/>
      <c r="M142" s="11"/>
      <c r="N142" s="11"/>
      <c r="O142" s="11"/>
      <c r="P142" s="11"/>
      <c r="Q142" s="11"/>
      <c r="R142" s="11"/>
      <c r="S142" s="12" t="str">
        <f aca="false">IF(R142="","",INDEX(Catalogos!$Y$5:$Y$25,MATCH(R142,L_IMP,0)))</f>
        <v/>
      </c>
      <c r="T142" s="11"/>
      <c r="U142" s="11"/>
      <c r="V142" s="11"/>
      <c r="W142" s="10" t="str">
        <f aca="false">IF(H142="","Pendiente por formular",IF(OR(J142="",K142="",L142="",M142="",N142="",O142="",Q142="",R142="",B142="",C142="",G142=""),"Incompleta: faltan campos obligatorios",IF(OR(NOT(ISNUMBER(K142)),NOT(ISNUMBER(L142))),"Fecha inválida",IF(L142&lt;K142,"La fecha de fin es anterior a la de inicio",IF(OR(YEAR(K142)&lt;&gt;2027,YEAR(L142)&lt;&gt;2027),"Fechas fuera de la vigencia 2027",IF(ISERROR(SEARCH("@itc.edu.co",M142)),"El responsable no tiene correo institucional",IF(ISERROR(SEARCH(Q142,INDEX(Catalogos!$Z$5:$Z$25,MATCH(R142,L_IMP,0)))),"La dimensión no corresponde al indicador de impacto","OK")))))))</f>
        <v>Pendiente por formular</v>
      </c>
    </row>
    <row r="143" customFormat="false" ht="14.25" hidden="false" customHeight="false" outlineLevel="0" collapsed="false">
      <c r="A143" s="12" t="n">
        <v>93</v>
      </c>
      <c r="B143" s="11"/>
      <c r="C143" s="11"/>
      <c r="D143" s="12" t="str">
        <f aca="false">IF(C143="","",INDEX(Catalogos!$C$5:$C$49,MATCH(LEFT(C143,7),Catalogos!$A$5:$A$49,0)))</f>
        <v/>
      </c>
      <c r="E143" s="12" t="str">
        <f aca="false">IF(C143="","",INDEX(Catalogos!$D$5:$D$49,MATCH(LEFT(C143,7),Catalogos!$A$5:$A$49,0))&amp;" "&amp;INDEX(Catalogos!$E$5:$E$49,MATCH(LEFT(C143,7),Catalogos!$A$5:$A$49,0)))</f>
        <v/>
      </c>
      <c r="F143" s="12" t="str">
        <f aca="false">IF(C143="","",INDEX(Catalogos!$F$5:$F$49,MATCH(LEFT(C143,7),Catalogos!$A$5:$A$49,0)))</f>
        <v/>
      </c>
      <c r="G143" s="11"/>
      <c r="H143" s="11"/>
      <c r="I143" s="11"/>
      <c r="J143" s="11"/>
      <c r="K143" s="18"/>
      <c r="L143" s="18"/>
      <c r="M143" s="11"/>
      <c r="N143" s="11"/>
      <c r="O143" s="11"/>
      <c r="P143" s="11"/>
      <c r="Q143" s="11"/>
      <c r="R143" s="11"/>
      <c r="S143" s="12" t="str">
        <f aca="false">IF(R143="","",INDEX(Catalogos!$Y$5:$Y$25,MATCH(R143,L_IMP,0)))</f>
        <v/>
      </c>
      <c r="T143" s="11"/>
      <c r="U143" s="11"/>
      <c r="V143" s="11"/>
      <c r="W143" s="10" t="str">
        <f aca="false">IF(H143="","Pendiente por formular",IF(OR(J143="",K143="",L143="",M143="",N143="",O143="",Q143="",R143="",B143="",C143="",G143=""),"Incompleta: faltan campos obligatorios",IF(OR(NOT(ISNUMBER(K143)),NOT(ISNUMBER(L143))),"Fecha inválida",IF(L143&lt;K143,"La fecha de fin es anterior a la de inicio",IF(OR(YEAR(K143)&lt;&gt;2027,YEAR(L143)&lt;&gt;2027),"Fechas fuera de la vigencia 2027",IF(ISERROR(SEARCH("@itc.edu.co",M143)),"El responsable no tiene correo institucional",IF(ISERROR(SEARCH(Q143,INDEX(Catalogos!$Z$5:$Z$25,MATCH(R143,L_IMP,0)))),"La dimensión no corresponde al indicador de impacto","OK")))))))</f>
        <v>Pendiente por formular</v>
      </c>
    </row>
    <row r="144" customFormat="false" ht="14.25" hidden="false" customHeight="false" outlineLevel="0" collapsed="false">
      <c r="A144" s="12" t="n">
        <v>94</v>
      </c>
      <c r="B144" s="11"/>
      <c r="C144" s="11"/>
      <c r="D144" s="12" t="str">
        <f aca="false">IF(C144="","",INDEX(Catalogos!$C$5:$C$49,MATCH(LEFT(C144,7),Catalogos!$A$5:$A$49,0)))</f>
        <v/>
      </c>
      <c r="E144" s="12" t="str">
        <f aca="false">IF(C144="","",INDEX(Catalogos!$D$5:$D$49,MATCH(LEFT(C144,7),Catalogos!$A$5:$A$49,0))&amp;" "&amp;INDEX(Catalogos!$E$5:$E$49,MATCH(LEFT(C144,7),Catalogos!$A$5:$A$49,0)))</f>
        <v/>
      </c>
      <c r="F144" s="12" t="str">
        <f aca="false">IF(C144="","",INDEX(Catalogos!$F$5:$F$49,MATCH(LEFT(C144,7),Catalogos!$A$5:$A$49,0)))</f>
        <v/>
      </c>
      <c r="G144" s="11"/>
      <c r="H144" s="11"/>
      <c r="I144" s="11"/>
      <c r="J144" s="11"/>
      <c r="K144" s="18"/>
      <c r="L144" s="18"/>
      <c r="M144" s="11"/>
      <c r="N144" s="11"/>
      <c r="O144" s="11"/>
      <c r="P144" s="11"/>
      <c r="Q144" s="11"/>
      <c r="R144" s="11"/>
      <c r="S144" s="12" t="str">
        <f aca="false">IF(R144="","",INDEX(Catalogos!$Y$5:$Y$25,MATCH(R144,L_IMP,0)))</f>
        <v/>
      </c>
      <c r="T144" s="11"/>
      <c r="U144" s="11"/>
      <c r="V144" s="11"/>
      <c r="W144" s="10" t="str">
        <f aca="false">IF(H144="","Pendiente por formular",IF(OR(J144="",K144="",L144="",M144="",N144="",O144="",Q144="",R144="",B144="",C144="",G144=""),"Incompleta: faltan campos obligatorios",IF(OR(NOT(ISNUMBER(K144)),NOT(ISNUMBER(L144))),"Fecha inválida",IF(L144&lt;K144,"La fecha de fin es anterior a la de inicio",IF(OR(YEAR(K144)&lt;&gt;2027,YEAR(L144)&lt;&gt;2027),"Fechas fuera de la vigencia 2027",IF(ISERROR(SEARCH("@itc.edu.co",M144)),"El responsable no tiene correo institucional",IF(ISERROR(SEARCH(Q144,INDEX(Catalogos!$Z$5:$Z$25,MATCH(R144,L_IMP,0)))),"La dimensión no corresponde al indicador de impacto","OK")))))))</f>
        <v>Pendiente por formular</v>
      </c>
    </row>
    <row r="145" customFormat="false" ht="14.25" hidden="false" customHeight="false" outlineLevel="0" collapsed="false">
      <c r="A145" s="12" t="n">
        <v>95</v>
      </c>
      <c r="B145" s="11"/>
      <c r="C145" s="11"/>
      <c r="D145" s="12" t="str">
        <f aca="false">IF(C145="","",INDEX(Catalogos!$C$5:$C$49,MATCH(LEFT(C145,7),Catalogos!$A$5:$A$49,0)))</f>
        <v/>
      </c>
      <c r="E145" s="12" t="str">
        <f aca="false">IF(C145="","",INDEX(Catalogos!$D$5:$D$49,MATCH(LEFT(C145,7),Catalogos!$A$5:$A$49,0))&amp;" "&amp;INDEX(Catalogos!$E$5:$E$49,MATCH(LEFT(C145,7),Catalogos!$A$5:$A$49,0)))</f>
        <v/>
      </c>
      <c r="F145" s="12" t="str">
        <f aca="false">IF(C145="","",INDEX(Catalogos!$F$5:$F$49,MATCH(LEFT(C145,7),Catalogos!$A$5:$A$49,0)))</f>
        <v/>
      </c>
      <c r="G145" s="11"/>
      <c r="H145" s="11"/>
      <c r="I145" s="11"/>
      <c r="J145" s="11"/>
      <c r="K145" s="18"/>
      <c r="L145" s="18"/>
      <c r="M145" s="11"/>
      <c r="N145" s="11"/>
      <c r="O145" s="11"/>
      <c r="P145" s="11"/>
      <c r="Q145" s="11"/>
      <c r="R145" s="11"/>
      <c r="S145" s="12" t="str">
        <f aca="false">IF(R145="","",INDEX(Catalogos!$Y$5:$Y$25,MATCH(R145,L_IMP,0)))</f>
        <v/>
      </c>
      <c r="T145" s="11"/>
      <c r="U145" s="11"/>
      <c r="V145" s="11"/>
      <c r="W145" s="10" t="str">
        <f aca="false">IF(H145="","Pendiente por formular",IF(OR(J145="",K145="",L145="",M145="",N145="",O145="",Q145="",R145="",B145="",C145="",G145=""),"Incompleta: faltan campos obligatorios",IF(OR(NOT(ISNUMBER(K145)),NOT(ISNUMBER(L145))),"Fecha inválida",IF(L145&lt;K145,"La fecha de fin es anterior a la de inicio",IF(OR(YEAR(K145)&lt;&gt;2027,YEAR(L145)&lt;&gt;2027),"Fechas fuera de la vigencia 2027",IF(ISERROR(SEARCH("@itc.edu.co",M145)),"El responsable no tiene correo institucional",IF(ISERROR(SEARCH(Q145,INDEX(Catalogos!$Z$5:$Z$25,MATCH(R145,L_IMP,0)))),"La dimensión no corresponde al indicador de impacto","OK")))))))</f>
        <v>Pendiente por formular</v>
      </c>
    </row>
    <row r="146" customFormat="false" ht="14.25" hidden="false" customHeight="false" outlineLevel="0" collapsed="false">
      <c r="A146" s="12" t="n">
        <v>96</v>
      </c>
      <c r="B146" s="11"/>
      <c r="C146" s="11"/>
      <c r="D146" s="12" t="str">
        <f aca="false">IF(C146="","",INDEX(Catalogos!$C$5:$C$49,MATCH(LEFT(C146,7),Catalogos!$A$5:$A$49,0)))</f>
        <v/>
      </c>
      <c r="E146" s="12" t="str">
        <f aca="false">IF(C146="","",INDEX(Catalogos!$D$5:$D$49,MATCH(LEFT(C146,7),Catalogos!$A$5:$A$49,0))&amp;" "&amp;INDEX(Catalogos!$E$5:$E$49,MATCH(LEFT(C146,7),Catalogos!$A$5:$A$49,0)))</f>
        <v/>
      </c>
      <c r="F146" s="12" t="str">
        <f aca="false">IF(C146="","",INDEX(Catalogos!$F$5:$F$49,MATCH(LEFT(C146,7),Catalogos!$A$5:$A$49,0)))</f>
        <v/>
      </c>
      <c r="G146" s="11"/>
      <c r="H146" s="11"/>
      <c r="I146" s="11"/>
      <c r="J146" s="11"/>
      <c r="K146" s="18"/>
      <c r="L146" s="18"/>
      <c r="M146" s="11"/>
      <c r="N146" s="11"/>
      <c r="O146" s="11"/>
      <c r="P146" s="11"/>
      <c r="Q146" s="11"/>
      <c r="R146" s="11"/>
      <c r="S146" s="12" t="str">
        <f aca="false">IF(R146="","",INDEX(Catalogos!$Y$5:$Y$25,MATCH(R146,L_IMP,0)))</f>
        <v/>
      </c>
      <c r="T146" s="11"/>
      <c r="U146" s="11"/>
      <c r="V146" s="11"/>
      <c r="W146" s="10" t="str">
        <f aca="false">IF(H146="","Pendiente por formular",IF(OR(J146="",K146="",L146="",M146="",N146="",O146="",Q146="",R146="",B146="",C146="",G146=""),"Incompleta: faltan campos obligatorios",IF(OR(NOT(ISNUMBER(K146)),NOT(ISNUMBER(L146))),"Fecha inválida",IF(L146&lt;K146,"La fecha de fin es anterior a la de inicio",IF(OR(YEAR(K146)&lt;&gt;2027,YEAR(L146)&lt;&gt;2027),"Fechas fuera de la vigencia 2027",IF(ISERROR(SEARCH("@itc.edu.co",M146)),"El responsable no tiene correo institucional",IF(ISERROR(SEARCH(Q146,INDEX(Catalogos!$Z$5:$Z$25,MATCH(R146,L_IMP,0)))),"La dimensión no corresponde al indicador de impacto","OK")))))))</f>
        <v>Pendiente por formular</v>
      </c>
    </row>
    <row r="147" customFormat="false" ht="14.25" hidden="false" customHeight="false" outlineLevel="0" collapsed="false">
      <c r="A147" s="12" t="n">
        <v>97</v>
      </c>
      <c r="B147" s="11"/>
      <c r="C147" s="11"/>
      <c r="D147" s="12" t="str">
        <f aca="false">IF(C147="","",INDEX(Catalogos!$C$5:$C$49,MATCH(LEFT(C147,7),Catalogos!$A$5:$A$49,0)))</f>
        <v/>
      </c>
      <c r="E147" s="12" t="str">
        <f aca="false">IF(C147="","",INDEX(Catalogos!$D$5:$D$49,MATCH(LEFT(C147,7),Catalogos!$A$5:$A$49,0))&amp;" "&amp;INDEX(Catalogos!$E$5:$E$49,MATCH(LEFT(C147,7),Catalogos!$A$5:$A$49,0)))</f>
        <v/>
      </c>
      <c r="F147" s="12" t="str">
        <f aca="false">IF(C147="","",INDEX(Catalogos!$F$5:$F$49,MATCH(LEFT(C147,7),Catalogos!$A$5:$A$49,0)))</f>
        <v/>
      </c>
      <c r="G147" s="11"/>
      <c r="H147" s="11"/>
      <c r="I147" s="11"/>
      <c r="J147" s="11"/>
      <c r="K147" s="18"/>
      <c r="L147" s="18"/>
      <c r="M147" s="11"/>
      <c r="N147" s="11"/>
      <c r="O147" s="11"/>
      <c r="P147" s="11"/>
      <c r="Q147" s="11"/>
      <c r="R147" s="11"/>
      <c r="S147" s="12" t="str">
        <f aca="false">IF(R147="","",INDEX(Catalogos!$Y$5:$Y$25,MATCH(R147,L_IMP,0)))</f>
        <v/>
      </c>
      <c r="T147" s="11"/>
      <c r="U147" s="11"/>
      <c r="V147" s="11"/>
      <c r="W147" s="10" t="str">
        <f aca="false">IF(H147="","Pendiente por formular",IF(OR(J147="",K147="",L147="",M147="",N147="",O147="",Q147="",R147="",B147="",C147="",G147=""),"Incompleta: faltan campos obligatorios",IF(OR(NOT(ISNUMBER(K147)),NOT(ISNUMBER(L147))),"Fecha inválida",IF(L147&lt;K147,"La fecha de fin es anterior a la de inicio",IF(OR(YEAR(K147)&lt;&gt;2027,YEAR(L147)&lt;&gt;2027),"Fechas fuera de la vigencia 2027",IF(ISERROR(SEARCH("@itc.edu.co",M147)),"El responsable no tiene correo institucional",IF(ISERROR(SEARCH(Q147,INDEX(Catalogos!$Z$5:$Z$25,MATCH(R147,L_IMP,0)))),"La dimensión no corresponde al indicador de impacto","OK")))))))</f>
        <v>Pendiente por formular</v>
      </c>
    </row>
    <row r="148" customFormat="false" ht="14.25" hidden="false" customHeight="false" outlineLevel="0" collapsed="false">
      <c r="A148" s="12" t="n">
        <v>98</v>
      </c>
      <c r="B148" s="11"/>
      <c r="C148" s="11"/>
      <c r="D148" s="12" t="str">
        <f aca="false">IF(C148="","",INDEX(Catalogos!$C$5:$C$49,MATCH(LEFT(C148,7),Catalogos!$A$5:$A$49,0)))</f>
        <v/>
      </c>
      <c r="E148" s="12" t="str">
        <f aca="false">IF(C148="","",INDEX(Catalogos!$D$5:$D$49,MATCH(LEFT(C148,7),Catalogos!$A$5:$A$49,0))&amp;" "&amp;INDEX(Catalogos!$E$5:$E$49,MATCH(LEFT(C148,7),Catalogos!$A$5:$A$49,0)))</f>
        <v/>
      </c>
      <c r="F148" s="12" t="str">
        <f aca="false">IF(C148="","",INDEX(Catalogos!$F$5:$F$49,MATCH(LEFT(C148,7),Catalogos!$A$5:$A$49,0)))</f>
        <v/>
      </c>
      <c r="G148" s="11"/>
      <c r="H148" s="11"/>
      <c r="I148" s="11"/>
      <c r="J148" s="11"/>
      <c r="K148" s="18"/>
      <c r="L148" s="18"/>
      <c r="M148" s="11"/>
      <c r="N148" s="11"/>
      <c r="O148" s="11"/>
      <c r="P148" s="11"/>
      <c r="Q148" s="11"/>
      <c r="R148" s="11"/>
      <c r="S148" s="12" t="str">
        <f aca="false">IF(R148="","",INDEX(Catalogos!$Y$5:$Y$25,MATCH(R148,L_IMP,0)))</f>
        <v/>
      </c>
      <c r="T148" s="11"/>
      <c r="U148" s="11"/>
      <c r="V148" s="11"/>
      <c r="W148" s="10" t="str">
        <f aca="false">IF(H148="","Pendiente por formular",IF(OR(J148="",K148="",L148="",M148="",N148="",O148="",Q148="",R148="",B148="",C148="",G148=""),"Incompleta: faltan campos obligatorios",IF(OR(NOT(ISNUMBER(K148)),NOT(ISNUMBER(L148))),"Fecha inválida",IF(L148&lt;K148,"La fecha de fin es anterior a la de inicio",IF(OR(YEAR(K148)&lt;&gt;2027,YEAR(L148)&lt;&gt;2027),"Fechas fuera de la vigencia 2027",IF(ISERROR(SEARCH("@itc.edu.co",M148)),"El responsable no tiene correo institucional",IF(ISERROR(SEARCH(Q148,INDEX(Catalogos!$Z$5:$Z$25,MATCH(R148,L_IMP,0)))),"La dimensión no corresponde al indicador de impacto","OK")))))))</f>
        <v>Pendiente por formular</v>
      </c>
    </row>
    <row r="149" customFormat="false" ht="14.25" hidden="false" customHeight="false" outlineLevel="0" collapsed="false">
      <c r="A149" s="12" t="n">
        <v>99</v>
      </c>
      <c r="B149" s="11"/>
      <c r="C149" s="11"/>
      <c r="D149" s="12" t="str">
        <f aca="false">IF(C149="","",INDEX(Catalogos!$C$5:$C$49,MATCH(LEFT(C149,7),Catalogos!$A$5:$A$49,0)))</f>
        <v/>
      </c>
      <c r="E149" s="12" t="str">
        <f aca="false">IF(C149="","",INDEX(Catalogos!$D$5:$D$49,MATCH(LEFT(C149,7),Catalogos!$A$5:$A$49,0))&amp;" "&amp;INDEX(Catalogos!$E$5:$E$49,MATCH(LEFT(C149,7),Catalogos!$A$5:$A$49,0)))</f>
        <v/>
      </c>
      <c r="F149" s="12" t="str">
        <f aca="false">IF(C149="","",INDEX(Catalogos!$F$5:$F$49,MATCH(LEFT(C149,7),Catalogos!$A$5:$A$49,0)))</f>
        <v/>
      </c>
      <c r="G149" s="11"/>
      <c r="H149" s="11"/>
      <c r="I149" s="11"/>
      <c r="J149" s="11"/>
      <c r="K149" s="18"/>
      <c r="L149" s="18"/>
      <c r="M149" s="11"/>
      <c r="N149" s="11"/>
      <c r="O149" s="11"/>
      <c r="P149" s="11"/>
      <c r="Q149" s="11"/>
      <c r="R149" s="11"/>
      <c r="S149" s="12" t="str">
        <f aca="false">IF(R149="","",INDEX(Catalogos!$Y$5:$Y$25,MATCH(R149,L_IMP,0)))</f>
        <v/>
      </c>
      <c r="T149" s="11"/>
      <c r="U149" s="11"/>
      <c r="V149" s="11"/>
      <c r="W149" s="10" t="str">
        <f aca="false">IF(H149="","Pendiente por formular",IF(OR(J149="",K149="",L149="",M149="",N149="",O149="",Q149="",R149="",B149="",C149="",G149=""),"Incompleta: faltan campos obligatorios",IF(OR(NOT(ISNUMBER(K149)),NOT(ISNUMBER(L149))),"Fecha inválida",IF(L149&lt;K149,"La fecha de fin es anterior a la de inicio",IF(OR(YEAR(K149)&lt;&gt;2027,YEAR(L149)&lt;&gt;2027),"Fechas fuera de la vigencia 2027",IF(ISERROR(SEARCH("@itc.edu.co",M149)),"El responsable no tiene correo institucional",IF(ISERROR(SEARCH(Q149,INDEX(Catalogos!$Z$5:$Z$25,MATCH(R149,L_IMP,0)))),"La dimensión no corresponde al indicador de impacto","OK")))))))</f>
        <v>Pendiente por formular</v>
      </c>
    </row>
    <row r="150" customFormat="false" ht="14.25" hidden="false" customHeight="false" outlineLevel="0" collapsed="false">
      <c r="A150" s="12" t="n">
        <v>100</v>
      </c>
      <c r="B150" s="11"/>
      <c r="C150" s="11"/>
      <c r="D150" s="12" t="str">
        <f aca="false">IF(C150="","",INDEX(Catalogos!$C$5:$C$49,MATCH(LEFT(C150,7),Catalogos!$A$5:$A$49,0)))</f>
        <v/>
      </c>
      <c r="E150" s="12" t="str">
        <f aca="false">IF(C150="","",INDEX(Catalogos!$D$5:$D$49,MATCH(LEFT(C150,7),Catalogos!$A$5:$A$49,0))&amp;" "&amp;INDEX(Catalogos!$E$5:$E$49,MATCH(LEFT(C150,7),Catalogos!$A$5:$A$49,0)))</f>
        <v/>
      </c>
      <c r="F150" s="12" t="str">
        <f aca="false">IF(C150="","",INDEX(Catalogos!$F$5:$F$49,MATCH(LEFT(C150,7),Catalogos!$A$5:$A$49,0)))</f>
        <v/>
      </c>
      <c r="G150" s="11"/>
      <c r="H150" s="11"/>
      <c r="I150" s="11"/>
      <c r="J150" s="11"/>
      <c r="K150" s="18"/>
      <c r="L150" s="18"/>
      <c r="M150" s="11"/>
      <c r="N150" s="11"/>
      <c r="O150" s="11"/>
      <c r="P150" s="11"/>
      <c r="Q150" s="11"/>
      <c r="R150" s="11"/>
      <c r="S150" s="12" t="str">
        <f aca="false">IF(R150="","",INDEX(Catalogos!$Y$5:$Y$25,MATCH(R150,L_IMP,0)))</f>
        <v/>
      </c>
      <c r="T150" s="11"/>
      <c r="U150" s="11"/>
      <c r="V150" s="11"/>
      <c r="W150" s="10" t="str">
        <f aca="false">IF(H150="","Pendiente por formular",IF(OR(J150="",K150="",L150="",M150="",N150="",O150="",Q150="",R150="",B150="",C150="",G150=""),"Incompleta: faltan campos obligatorios",IF(OR(NOT(ISNUMBER(K150)),NOT(ISNUMBER(L150))),"Fecha inválida",IF(L150&lt;K150,"La fecha de fin es anterior a la de inicio",IF(OR(YEAR(K150)&lt;&gt;2027,YEAR(L150)&lt;&gt;2027),"Fechas fuera de la vigencia 2027",IF(ISERROR(SEARCH("@itc.edu.co",M150)),"El responsable no tiene correo institucional",IF(ISERROR(SEARCH(Q150,INDEX(Catalogos!$Z$5:$Z$25,MATCH(R150,L_IMP,0)))),"La dimensión no corresponde al indicador de impacto","OK")))))))</f>
        <v>Pendiente por formular</v>
      </c>
    </row>
  </sheetData>
  <sheetProtection sheet="true" password="cc6d" formatColumns="false" formatRows="false" autoFilter="false"/>
  <mergeCells count="2">
    <mergeCell ref="A2:N2"/>
    <mergeCell ref="C4:F4"/>
  </mergeCells>
  <conditionalFormatting sqref="W51:W150">
    <cfRule type="expression" priority="2" aboveAverage="0" equalAverage="0" bottom="0" percent="0" rank="0" text="" dxfId="5">
      <formula>W51="OK"</formula>
    </cfRule>
    <cfRule type="expression" priority="3" aboveAverage="0" equalAverage="0" bottom="0" percent="0" rank="0" text="" dxfId="6">
      <formula>LEFT(W51,9)="Pendiente"</formula>
    </cfRule>
    <cfRule type="expression" priority="4" aboveAverage="0" equalAverage="0" bottom="0" percent="0" rank="0" text="" dxfId="7">
      <formula>AND(W51&lt;&gt;"OK",LEFT(W51,9)&lt;&gt;"Pendiente")</formula>
    </cfRule>
  </conditionalFormatting>
  <dataValidations count="9">
    <dataValidation allowBlank="true" error="Escriba el correo institucional (@itc.edu.co) del responsable." errorStyle="stop" errorTitle="Correo no institucional" operator="between" showDropDown="false" showErrorMessage="true" showInputMessage="false" sqref="M51:M150" type="custom">
      <formula1>ISNUMBER(SEARCH("@itc.edu.co",M51))</formula1>
      <formula2>0</formula2>
    </dataValidation>
    <dataValidation allowBlank="true" errorStyle="stop" operator="between" showDropDown="false" showErrorMessage="false" showInputMessage="false" sqref="G51:G150" type="list">
      <formula1>L_ORIGEN</formula1>
      <formula2>0</formula2>
    </dataValidation>
    <dataValidation allowBlank="true" errorStyle="stop" operator="between" showDropDown="false" showErrorMessage="false" showInputMessage="false" sqref="C51:C150" type="list">
      <formula1>L_METAS</formula1>
      <formula2>0</formula2>
    </dataValidation>
    <dataValidation allowBlank="true" errorStyle="stop" operator="between" showDropDown="false" showErrorMessage="false" showInputMessage="false" sqref="B51:B150" type="list">
      <formula1>L_AREAS</formula1>
      <formula2>0</formula2>
    </dataValidation>
    <dataValidation allowBlank="true" errorStyle="stop" operator="between" showDropDown="false" showErrorMessage="false" showInputMessage="false" sqref="T51:T150" type="list">
      <formula1>L_SINO</formula1>
      <formula2>0</formula2>
    </dataValidation>
    <dataValidation allowBlank="true" error="Seleccione un indicador de la Guía Metodológica." errorStyle="stop" errorTitle="Indicador no válido" operator="between" showDropDown="false" showErrorMessage="true" showInputMessage="false" sqref="R51:R150" type="list">
      <formula1>L_IMP</formula1>
      <formula2>0</formula2>
    </dataValidation>
    <dataValidation allowBlank="true" errorStyle="stop" operator="between" showDropDown="false" showErrorMessage="false" showInputMessage="false" sqref="Q51:Q150" type="list">
      <formula1>L_DIM</formula1>
      <formula2>0</formula2>
    </dataValidation>
    <dataValidation allowBlank="true" error="Use una fecha entre el 01/01/2027 y el 31/12/2027." errorStyle="stop" errorTitle="Fecha fuera de vigencia" operator="between" showDropDown="false" showErrorMessage="true" showInputMessage="false" sqref="K51:L150" type="date">
      <formula1>DATE(2027,1,1)</formula1>
      <formula2>DATE(2027,12,31)</formula2>
    </dataValidation>
    <dataValidation allowBlank="false" errorStyle="stop" operator="between" showDropDown="false" showErrorMessage="false" showInputMessage="false" sqref="C4" type="list">
      <formula1>L_AREAS</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F6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4" ySplit="6" topLeftCell="E7" activePane="bottomRight" state="frozen"/>
      <selection pane="topLeft" activeCell="A1" activeCellId="0" sqref="A1"/>
      <selection pane="topRight" activeCell="E1" activeCellId="0" sqref="E1"/>
      <selection pane="bottomLeft" activeCell="A7" activeCellId="0" sqref="A7"/>
      <selection pane="bottomRight" activeCell="A1" activeCellId="0" sqref="A1"/>
    </sheetView>
  </sheetViews>
  <sheetFormatPr defaultColWidth="8.66796875" defaultRowHeight="14.25" zeroHeight="false" outlineLevelRow="0" outlineLevelCol="0"/>
  <cols>
    <col collapsed="false" customWidth="true" hidden="false" outlineLevel="0" max="1" min="1" style="0" width="10"/>
    <col collapsed="false" customWidth="true" hidden="false" outlineLevel="0" max="2" min="2" style="0" width="9"/>
    <col collapsed="false" customWidth="true" hidden="false" outlineLevel="0" max="3" min="3" style="0" width="24"/>
    <col collapsed="false" customWidth="true" hidden="false" outlineLevel="0" max="4" min="4" style="0" width="40"/>
    <col collapsed="false" customWidth="true" hidden="false" outlineLevel="0" max="5" min="5" style="0" width="26"/>
    <col collapsed="false" customWidth="true" hidden="false" outlineLevel="0" max="7" min="6" style="0" width="18"/>
    <col collapsed="false" customWidth="true" hidden="false" outlineLevel="0" max="8" min="8" style="0" width="7"/>
    <col collapsed="false" customWidth="true" hidden="false" outlineLevel="0" max="9" min="9" style="0" width="28"/>
    <col collapsed="false" customWidth="true" hidden="false" outlineLevel="0" max="10" min="10" style="0" width="26"/>
    <col collapsed="false" customWidth="true" hidden="false" outlineLevel="0" max="11" min="11" style="0" width="22"/>
    <col collapsed="false" customWidth="true" hidden="false" outlineLevel="0" max="12" min="12" style="0" width="9"/>
    <col collapsed="false" customWidth="true" hidden="false" outlineLevel="0" max="13" min="13" style="0" width="10"/>
    <col collapsed="false" customWidth="true" hidden="false" outlineLevel="0" max="14" min="14" style="0" width="11"/>
    <col collapsed="false" customWidth="true" hidden="false" outlineLevel="0" max="15" min="15" style="0" width="34"/>
    <col collapsed="false" customWidth="true" hidden="false" outlineLevel="0" max="16" min="16" style="0" width="18"/>
    <col collapsed="false" customWidth="true" hidden="false" outlineLevel="0" max="17" min="17" style="0" width="32"/>
    <col collapsed="false" customWidth="true" hidden="false" outlineLevel="0" max="18" min="18" style="0" width="40"/>
    <col collapsed="false" customWidth="true" hidden="false" outlineLevel="0" max="19" min="19" style="0" width="30"/>
    <col collapsed="false" customWidth="true" hidden="false" outlineLevel="0" max="21" min="20" style="0" width="12"/>
    <col collapsed="false" customWidth="true" hidden="false" outlineLevel="0" max="22" min="22" style="0" width="26"/>
    <col collapsed="false" customWidth="true" hidden="false" outlineLevel="0" max="23" min="23" style="0" width="28"/>
    <col collapsed="false" customWidth="true" hidden="false" outlineLevel="0" max="25" min="24" style="0" width="12"/>
    <col collapsed="false" customWidth="true" hidden="false" outlineLevel="0" max="26" min="26" style="0" width="16"/>
    <col collapsed="false" customWidth="true" hidden="false" outlineLevel="0" max="27" min="27" style="0" width="40"/>
    <col collapsed="false" customWidth="true" hidden="false" outlineLevel="0" max="28" min="28" style="0" width="30"/>
    <col collapsed="false" customWidth="true" hidden="false" outlineLevel="0" max="29" min="29" style="0" width="14"/>
    <col collapsed="false" customWidth="true" hidden="false" outlineLevel="0" max="30" min="30" style="0" width="30"/>
    <col collapsed="false" customWidth="true" hidden="false" outlineLevel="0" max="31" min="31" style="0" width="28"/>
    <col collapsed="false" customWidth="true" hidden="false" outlineLevel="0" max="32" min="32" style="0" width="30"/>
  </cols>
  <sheetData>
    <row r="1" customFormat="false" ht="17.25" hidden="false" customHeight="true" outlineLevel="0" collapsed="false">
      <c r="A1" s="7" t="s">
        <v>582</v>
      </c>
    </row>
    <row r="2" customFormat="false" ht="30" hidden="false" customHeight="true" outlineLevel="0" collapsed="false">
      <c r="A2" s="2" t="s">
        <v>583</v>
      </c>
      <c r="B2" s="2"/>
      <c r="C2" s="2"/>
      <c r="D2" s="2"/>
      <c r="E2" s="2"/>
      <c r="F2" s="2"/>
      <c r="G2" s="2"/>
      <c r="H2" s="2"/>
      <c r="I2" s="2"/>
      <c r="J2" s="2"/>
      <c r="K2" s="2"/>
      <c r="L2" s="2"/>
      <c r="M2" s="2"/>
      <c r="N2" s="2"/>
      <c r="O2" s="2"/>
      <c r="P2" s="2"/>
    </row>
    <row r="3" customFormat="false" ht="14.25" hidden="false" customHeight="false" outlineLevel="0" collapsed="false">
      <c r="A3" s="15" t="s">
        <v>584</v>
      </c>
    </row>
    <row r="5" customFormat="false" ht="15" hidden="false" customHeight="true" outlineLevel="0" collapsed="false">
      <c r="A5" s="19" t="s">
        <v>585</v>
      </c>
      <c r="B5" s="19"/>
      <c r="C5" s="19"/>
      <c r="D5" s="19"/>
      <c r="E5" s="19"/>
      <c r="F5" s="19"/>
      <c r="G5" s="19"/>
      <c r="H5" s="19"/>
      <c r="I5" s="19"/>
      <c r="J5" s="19"/>
      <c r="K5" s="19"/>
      <c r="L5" s="19"/>
      <c r="M5" s="19"/>
      <c r="N5" s="19"/>
      <c r="O5" s="19"/>
      <c r="P5" s="19"/>
      <c r="Q5" s="20" t="s">
        <v>586</v>
      </c>
      <c r="R5" s="20"/>
      <c r="S5" s="20"/>
      <c r="T5" s="20"/>
      <c r="U5" s="20"/>
      <c r="V5" s="20"/>
      <c r="W5" s="20"/>
      <c r="X5" s="20"/>
      <c r="Y5" s="20"/>
      <c r="Z5" s="20"/>
      <c r="AA5" s="20"/>
      <c r="AB5" s="20"/>
      <c r="AC5" s="20"/>
      <c r="AD5" s="20"/>
      <c r="AE5" s="20"/>
      <c r="AF5" s="21" t="s">
        <v>587</v>
      </c>
    </row>
    <row r="6" customFormat="false" ht="42" hidden="false" customHeight="true" outlineLevel="0" collapsed="false">
      <c r="A6" s="22" t="s">
        <v>552</v>
      </c>
      <c r="B6" s="22" t="s">
        <v>553</v>
      </c>
      <c r="C6" s="22" t="s">
        <v>568</v>
      </c>
      <c r="D6" s="22" t="s">
        <v>554</v>
      </c>
      <c r="E6" s="22" t="s">
        <v>588</v>
      </c>
      <c r="F6" s="22" t="s">
        <v>589</v>
      </c>
      <c r="G6" s="22" t="s">
        <v>555</v>
      </c>
      <c r="H6" s="22" t="s">
        <v>590</v>
      </c>
      <c r="I6" s="22" t="s">
        <v>45</v>
      </c>
      <c r="J6" s="22" t="s">
        <v>44</v>
      </c>
      <c r="K6" s="22" t="s">
        <v>591</v>
      </c>
      <c r="L6" s="22" t="s">
        <v>592</v>
      </c>
      <c r="M6" s="22" t="s">
        <v>558</v>
      </c>
      <c r="N6" s="22" t="s">
        <v>593</v>
      </c>
      <c r="O6" s="22" t="s">
        <v>556</v>
      </c>
      <c r="P6" s="22" t="s">
        <v>559</v>
      </c>
      <c r="Q6" s="17" t="s">
        <v>21</v>
      </c>
      <c r="R6" s="17" t="s">
        <v>570</v>
      </c>
      <c r="S6" s="17" t="s">
        <v>23</v>
      </c>
      <c r="T6" s="17" t="s">
        <v>571</v>
      </c>
      <c r="U6" s="17" t="s">
        <v>572</v>
      </c>
      <c r="V6" s="17" t="s">
        <v>573</v>
      </c>
      <c r="W6" s="17" t="s">
        <v>574</v>
      </c>
      <c r="X6" s="17" t="s">
        <v>575</v>
      </c>
      <c r="Y6" s="17" t="s">
        <v>576</v>
      </c>
      <c r="Z6" s="17" t="s">
        <v>577</v>
      </c>
      <c r="AA6" s="17" t="s">
        <v>578</v>
      </c>
      <c r="AB6" s="17" t="s">
        <v>579</v>
      </c>
      <c r="AC6" s="17" t="s">
        <v>580</v>
      </c>
      <c r="AD6" s="17" t="s">
        <v>35</v>
      </c>
      <c r="AE6" s="17" t="s">
        <v>55</v>
      </c>
      <c r="AF6" s="8" t="s">
        <v>581</v>
      </c>
    </row>
    <row r="7" customFormat="false" ht="39" hidden="false" customHeight="true" outlineLevel="0" collapsed="false">
      <c r="A7" s="12" t="str">
        <f aca="false">Base_OAPDI!A5</f>
        <v>E1-001</v>
      </c>
      <c r="B7" s="12" t="str">
        <f aca="false">Base_OAPDI!B5</f>
        <v>1.1.1.1</v>
      </c>
      <c r="C7" s="12" t="str">
        <f aca="false">Base_OAPDI!D5</f>
        <v>1.1 Ampliación de cobertura</v>
      </c>
      <c r="D7" s="12" t="str">
        <f aca="false">Base_OAPDI!E5</f>
        <v>Contar con 11.000 estudiantes vinculados a programas de educación superior al 2032.</v>
      </c>
      <c r="E7" s="12" t="str">
        <f aca="false">Base_OAPDI!F5</f>
        <v>N.° de estudiantes matriculados en programas de educación superior (SNIES)</v>
      </c>
      <c r="F7" s="12" t="str">
        <f aca="false">Base_OAPDI!G5</f>
        <v>11.000 estudiantes</v>
      </c>
      <c r="G7" s="12" t="str">
        <f aca="false">Base_OAPDI!H5</f>
        <v>5.400 estudiantes</v>
      </c>
      <c r="H7" s="12" t="str">
        <f aca="false">Base_OAPDI!I5</f>
        <v>A02</v>
      </c>
      <c r="I7" s="12" t="str">
        <f aca="false">Base_OAPDI!J5</f>
        <v>100 · Rectoría</v>
      </c>
      <c r="J7" s="12" t="str">
        <f aca="false">Base_OAPDI!K5</f>
        <v>Comunicaciones y Mercadeo</v>
      </c>
      <c r="K7" s="12" t="str">
        <f aca="false">Base_OAPDI!L5</f>
        <v>Gestión de Comunicaciones</v>
      </c>
      <c r="L7" s="12" t="n">
        <f aca="false">Base_OAPDI!N5</f>
        <v>1</v>
      </c>
      <c r="M7" s="12" t="n">
        <f aca="false">Base_OAPDI!P5</f>
        <v>0</v>
      </c>
      <c r="N7" s="12" t="n">
        <f aca="false">Base_OAPDI!Q5</f>
        <v>0</v>
      </c>
      <c r="O7" s="12" t="str">
        <f aca="false">Base_OAPDI!R5</f>
        <v>Formular al menos una acción que contribuya a la meta institucional 2027 de esta meta.</v>
      </c>
      <c r="P7" s="12" t="str">
        <f aca="false">Base_OAPDI!S5</f>
        <v>IMP-12; IMP-13</v>
      </c>
      <c r="Q7" s="11"/>
      <c r="R7" s="11"/>
      <c r="S7" s="11"/>
      <c r="T7" s="18"/>
      <c r="U7" s="18"/>
      <c r="V7" s="11"/>
      <c r="W7" s="11"/>
      <c r="X7" s="11"/>
      <c r="Y7" s="11"/>
      <c r="Z7" s="11"/>
      <c r="AA7" s="11"/>
      <c r="AB7" s="12" t="str">
        <f aca="false">IF(AA7="","",INDEX(Catalogos!$Y$5:$Y$25,MATCH(AA7,L_IMP,0)))</f>
        <v/>
      </c>
      <c r="AC7" s="11"/>
      <c r="AD7" s="11"/>
      <c r="AE7" s="11"/>
      <c r="AF7" s="10" t="str">
        <f aca="false">IF(Q7="","Pendiente por formular",IF(OR(S7="",T7="",U7="",V7="",W7="",X7="",Z7="",AA7=""),"Incompleta: faltan campos obligatorios",IF(OR(NOT(ISNUMBER(T7)),NOT(ISNUMBER(U7))),"Fecha inválida",IF(U7&lt;T7,"La fecha de fin es anterior a la de inicio",IF(OR(YEAR(T7)&lt;&gt;2027,YEAR(U7)&lt;&gt;2027),"Fechas fuera de la vigencia 2027",IF(ISERROR(SEARCH("@itc.edu.co",V7)),"El responsable no tiene correo institucional",IF(ISERROR(SEARCH(Z7,INDEX(Catalogos!$Z$5:$Z$25,MATCH(AA7,L_IMP,0)))),"La dimensión no corresponde al indicador de impacto","OK")))))))</f>
        <v>Pendiente por formular</v>
      </c>
    </row>
    <row r="8" customFormat="false" ht="78.75" hidden="false" customHeight="true" outlineLevel="0" collapsed="false">
      <c r="A8" s="12" t="str">
        <f aca="false">Base_OAPDI!A6</f>
        <v>E1-002</v>
      </c>
      <c r="B8" s="12" t="str">
        <f aca="false">Base_OAPDI!B6</f>
        <v>1.1.1.1</v>
      </c>
      <c r="C8" s="12" t="str">
        <f aca="false">Base_OAPDI!D6</f>
        <v>1.1 Ampliación de cobertura</v>
      </c>
      <c r="D8" s="12" t="str">
        <f aca="false">Base_OAPDI!E6</f>
        <v>Contar con 11.000 estudiantes vinculados a programas de educación superior al 2032.</v>
      </c>
      <c r="E8" s="12" t="str">
        <f aca="false">Base_OAPDI!F6</f>
        <v>N.° de estudiantes matriculados en programas de educación superior (SNIES)</v>
      </c>
      <c r="F8" s="12" t="str">
        <f aca="false">Base_OAPDI!G6</f>
        <v>11.000 estudiantes</v>
      </c>
      <c r="G8" s="12" t="str">
        <f aca="false">Base_OAPDI!H6</f>
        <v>5.400 estudiantes</v>
      </c>
      <c r="H8" s="12" t="str">
        <f aca="false">Base_OAPDI!I6</f>
        <v>A05</v>
      </c>
      <c r="I8" s="12" t="str">
        <f aca="false">Base_OAPDI!J6</f>
        <v>101 · Oficina Asesora de Planeación y Desarrollo Institucional</v>
      </c>
      <c r="J8" s="12" t="str">
        <f aca="false">Base_OAPDI!K6</f>
        <v>Planeación y Plan de Acción</v>
      </c>
      <c r="K8" s="12" t="str">
        <f aca="false">Base_OAPDI!L6</f>
        <v>Direccionamiento Institucional</v>
      </c>
      <c r="L8" s="12" t="n">
        <f aca="false">Base_OAPDI!N6</f>
        <v>2</v>
      </c>
      <c r="M8" s="12" t="n">
        <f aca="false">Base_OAPDI!P6</f>
        <v>2</v>
      </c>
      <c r="N8" s="12" t="n">
        <f aca="false">Base_OAPDI!Q6</f>
        <v>2</v>
      </c>
      <c r="O8" s="12" t="str">
        <f aca="false">Base_OAPDI!R6</f>
        <v>Acciones propuestas por la OAPDI (valídelas y formúlelas en esta fila o en Acciones adicionales): A27-001 Adoptar el crecimiento neto de primer curso como indicador de meta, junto con nuevos atendidos. Cerrar o reprogramar 2 producto(s) 2026 pendiente(s) de esta meta. Atender 2 compromiso(s) de proyectos estructurantes (hoja Compromisos_2026).</v>
      </c>
      <c r="P8" s="12" t="str">
        <f aca="false">Base_OAPDI!S6</f>
        <v>IMP-12; IMP-13</v>
      </c>
      <c r="Q8" s="11"/>
      <c r="R8" s="11"/>
      <c r="S8" s="11"/>
      <c r="T8" s="18"/>
      <c r="U8" s="18"/>
      <c r="V8" s="11"/>
      <c r="W8" s="11"/>
      <c r="X8" s="11"/>
      <c r="Y8" s="11"/>
      <c r="Z8" s="11"/>
      <c r="AA8" s="11"/>
      <c r="AB8" s="12" t="str">
        <f aca="false">IF(AA8="","",INDEX(Catalogos!$Y$5:$Y$25,MATCH(AA8,L_IMP,0)))</f>
        <v/>
      </c>
      <c r="AC8" s="11"/>
      <c r="AD8" s="11"/>
      <c r="AE8" s="11"/>
      <c r="AF8" s="10" t="str">
        <f aca="false">IF(Q8="","Pendiente por formular",IF(OR(S8="",T8="",U8="",V8="",W8="",X8="",Z8="",AA8=""),"Incompleta: faltan campos obligatorios",IF(OR(NOT(ISNUMBER(T8)),NOT(ISNUMBER(U8))),"Fecha inválida",IF(U8&lt;T8,"La fecha de fin es anterior a la de inicio",IF(OR(YEAR(T8)&lt;&gt;2027,YEAR(U8)&lt;&gt;2027),"Fechas fuera de la vigencia 2027",IF(ISERROR(SEARCH("@itc.edu.co",V8)),"El responsable no tiene correo institucional",IF(ISERROR(SEARCH(Z8,INDEX(Catalogos!$Z$5:$Z$25,MATCH(AA8,L_IMP,0)))),"La dimensión no corresponde al indicador de impacto","OK")))))))</f>
        <v>Pendiente por formular</v>
      </c>
    </row>
    <row r="9" customFormat="false" ht="39" hidden="false" customHeight="true" outlineLevel="0" collapsed="false">
      <c r="A9" s="12" t="str">
        <f aca="false">Base_OAPDI!A7</f>
        <v>E1-003</v>
      </c>
      <c r="B9" s="12" t="str">
        <f aca="false">Base_OAPDI!B7</f>
        <v>1.1.1.1</v>
      </c>
      <c r="C9" s="12" t="str">
        <f aca="false">Base_OAPDI!D7</f>
        <v>1.1 Ampliación de cobertura</v>
      </c>
      <c r="D9" s="12" t="str">
        <f aca="false">Base_OAPDI!E7</f>
        <v>Contar con 11.000 estudiantes vinculados a programas de educación superior al 2032.</v>
      </c>
      <c r="E9" s="12" t="str">
        <f aca="false">Base_OAPDI!F7</f>
        <v>N.° de estudiantes matriculados en programas de educación superior (SNIES)</v>
      </c>
      <c r="F9" s="12" t="str">
        <f aca="false">Base_OAPDI!G7</f>
        <v>11.000 estudiantes</v>
      </c>
      <c r="G9" s="12" t="str">
        <f aca="false">Base_OAPDI!H7</f>
        <v>5.400 estudiantes</v>
      </c>
      <c r="H9" s="12" t="str">
        <f aca="false">Base_OAPDI!I7</f>
        <v>A06</v>
      </c>
      <c r="I9" s="12" t="str">
        <f aca="false">Base_OAPDI!J7</f>
        <v>101 · Oficina Asesora de Planeación y Desarrollo Institucional</v>
      </c>
      <c r="J9" s="12" t="str">
        <f aca="false">Base_OAPDI!K7</f>
        <v>Gestión de Proyectos</v>
      </c>
      <c r="K9" s="12" t="str">
        <f aca="false">Base_OAPDI!L7</f>
        <v>Direccionamiento Institucional</v>
      </c>
      <c r="L9" s="12" t="n">
        <f aca="false">Base_OAPDI!N7</f>
        <v>1</v>
      </c>
      <c r="M9" s="12" t="n">
        <f aca="false">Base_OAPDI!P7</f>
        <v>1</v>
      </c>
      <c r="N9" s="12" t="n">
        <f aca="false">Base_OAPDI!Q7</f>
        <v>0</v>
      </c>
      <c r="O9" s="12" t="str">
        <f aca="false">Base_OAPDI!R7</f>
        <v>Cerrar o reprogramar 1 producto(s) 2026 pendiente(s) de esta meta.</v>
      </c>
      <c r="P9" s="12" t="str">
        <f aca="false">Base_OAPDI!S7</f>
        <v>IMP-12; IMP-13</v>
      </c>
      <c r="Q9" s="11"/>
      <c r="R9" s="11"/>
      <c r="S9" s="11"/>
      <c r="T9" s="18"/>
      <c r="U9" s="18"/>
      <c r="V9" s="11"/>
      <c r="W9" s="11"/>
      <c r="X9" s="11"/>
      <c r="Y9" s="11"/>
      <c r="Z9" s="11"/>
      <c r="AA9" s="11"/>
      <c r="AB9" s="12" t="str">
        <f aca="false">IF(AA9="","",INDEX(Catalogos!$Y$5:$Y$25,MATCH(AA9,L_IMP,0)))</f>
        <v/>
      </c>
      <c r="AC9" s="11"/>
      <c r="AD9" s="11"/>
      <c r="AE9" s="11"/>
      <c r="AF9" s="10" t="str">
        <f aca="false">IF(Q9="","Pendiente por formular",IF(OR(S9="",T9="",U9="",V9="",W9="",X9="",Z9="",AA9=""),"Incompleta: faltan campos obligatorios",IF(OR(NOT(ISNUMBER(T9)),NOT(ISNUMBER(U9))),"Fecha inválida",IF(U9&lt;T9,"La fecha de fin es anterior a la de inicio",IF(OR(YEAR(T9)&lt;&gt;2027,YEAR(U9)&lt;&gt;2027),"Fechas fuera de la vigencia 2027",IF(ISERROR(SEARCH("@itc.edu.co",V9)),"El responsable no tiene correo institucional",IF(ISERROR(SEARCH(Z9,INDEX(Catalogos!$Z$5:$Z$25,MATCH(AA9,L_IMP,0)))),"La dimensión no corresponde al indicador de impacto","OK")))))))</f>
        <v>Pendiente por formular</v>
      </c>
    </row>
    <row r="10" customFormat="false" ht="39" hidden="false" customHeight="true" outlineLevel="0" collapsed="false">
      <c r="A10" s="12" t="str">
        <f aca="false">Base_OAPDI!A8</f>
        <v>E1-004</v>
      </c>
      <c r="B10" s="12" t="str">
        <f aca="false">Base_OAPDI!B8</f>
        <v>1.1.1.1</v>
      </c>
      <c r="C10" s="12" t="str">
        <f aca="false">Base_OAPDI!D8</f>
        <v>1.1 Ampliación de cobertura</v>
      </c>
      <c r="D10" s="12" t="str">
        <f aca="false">Base_OAPDI!E8</f>
        <v>Contar con 11.000 estudiantes vinculados a programas de educación superior al 2032.</v>
      </c>
      <c r="E10" s="12" t="str">
        <f aca="false">Base_OAPDI!F8</f>
        <v>N.° de estudiantes matriculados en programas de educación superior (SNIES)</v>
      </c>
      <c r="F10" s="12" t="str">
        <f aca="false">Base_OAPDI!G8</f>
        <v>11.000 estudiantes</v>
      </c>
      <c r="G10" s="12" t="str">
        <f aca="false">Base_OAPDI!H8</f>
        <v>5.400 estudiantes</v>
      </c>
      <c r="H10" s="12" t="str">
        <f aca="false">Base_OAPDI!I8</f>
        <v>A07</v>
      </c>
      <c r="I10" s="12" t="str">
        <f aca="false">Base_OAPDI!J8</f>
        <v>101 · Oficina Asesora de Planeación y Desarrollo Institucional</v>
      </c>
      <c r="J10" s="12" t="str">
        <f aca="false">Base_OAPDI!K8</f>
        <v>Autoevaluación y Acreditación</v>
      </c>
      <c r="K10" s="12" t="str">
        <f aca="false">Base_OAPDI!L8</f>
        <v>Gestión del Sistema Integrado de Aseguramiento</v>
      </c>
      <c r="L10" s="12" t="n">
        <f aca="false">Base_OAPDI!N8</f>
        <v>0</v>
      </c>
      <c r="M10" s="12" t="n">
        <f aca="false">Base_OAPDI!P8</f>
        <v>0</v>
      </c>
      <c r="N10" s="12" t="n">
        <f aca="false">Base_OAPDI!Q8</f>
        <v>0</v>
      </c>
      <c r="O10" s="12" t="str">
        <f aca="false">Base_OAPDI!R8</f>
        <v>Formular al menos una acción que contribuya a la meta institucional 2027 de esta meta.</v>
      </c>
      <c r="P10" s="12" t="str">
        <f aca="false">Base_OAPDI!S8</f>
        <v>IMP-12; IMP-13</v>
      </c>
      <c r="Q10" s="11"/>
      <c r="R10" s="11"/>
      <c r="S10" s="11"/>
      <c r="T10" s="18"/>
      <c r="U10" s="18"/>
      <c r="V10" s="11"/>
      <c r="W10" s="11"/>
      <c r="X10" s="11"/>
      <c r="Y10" s="11"/>
      <c r="Z10" s="11"/>
      <c r="AA10" s="11"/>
      <c r="AB10" s="12" t="str">
        <f aca="false">IF(AA10="","",INDEX(Catalogos!$Y$5:$Y$25,MATCH(AA10,L_IMP,0)))</f>
        <v/>
      </c>
      <c r="AC10" s="11"/>
      <c r="AD10" s="11"/>
      <c r="AE10" s="11"/>
      <c r="AF10" s="10" t="str">
        <f aca="false">IF(Q10="","Pendiente por formular",IF(OR(S10="",T10="",U10="",V10="",W10="",X10="",Z10="",AA10=""),"Incompleta: faltan campos obligatorios",IF(OR(NOT(ISNUMBER(T10)),NOT(ISNUMBER(U10))),"Fecha inválida",IF(U10&lt;T10,"La fecha de fin es anterior a la de inicio",IF(OR(YEAR(T10)&lt;&gt;2027,YEAR(U10)&lt;&gt;2027),"Fechas fuera de la vigencia 2027",IF(ISERROR(SEARCH("@itc.edu.co",V10)),"El responsable no tiene correo institucional",IF(ISERROR(SEARCH(Z10,INDEX(Catalogos!$Z$5:$Z$25,MATCH(AA10,L_IMP,0)))),"La dimensión no corresponde al indicador de impacto","OK")))))))</f>
        <v>Pendiente por formular</v>
      </c>
    </row>
    <row r="11" customFormat="false" ht="39" hidden="false" customHeight="true" outlineLevel="0" collapsed="false">
      <c r="A11" s="12" t="str">
        <f aca="false">Base_OAPDI!A9</f>
        <v>E1-005</v>
      </c>
      <c r="B11" s="12" t="str">
        <f aca="false">Base_OAPDI!B9</f>
        <v>1.1.1.1</v>
      </c>
      <c r="C11" s="12" t="str">
        <f aca="false">Base_OAPDI!D9</f>
        <v>1.1 Ampliación de cobertura</v>
      </c>
      <c r="D11" s="12" t="str">
        <f aca="false">Base_OAPDI!E9</f>
        <v>Contar con 11.000 estudiantes vinculados a programas de educación superior al 2032.</v>
      </c>
      <c r="E11" s="12" t="str">
        <f aca="false">Base_OAPDI!F9</f>
        <v>N.° de estudiantes matriculados en programas de educación superior (SNIES)</v>
      </c>
      <c r="F11" s="12" t="str">
        <f aca="false">Base_OAPDI!G9</f>
        <v>11.000 estudiantes</v>
      </c>
      <c r="G11" s="12" t="str">
        <f aca="false">Base_OAPDI!H9</f>
        <v>5.400 estudiantes</v>
      </c>
      <c r="H11" s="12" t="str">
        <f aca="false">Base_OAPDI!I9</f>
        <v>A14</v>
      </c>
      <c r="I11" s="12" t="str">
        <f aca="false">Base_OAPDI!J9</f>
        <v>130 · Vicerrectoría Administrativa y Financiera</v>
      </c>
      <c r="J11" s="12" t="str">
        <f aca="false">Base_OAPDI!K9</f>
        <v>Contratación y Adquisiciones</v>
      </c>
      <c r="K11" s="12" t="str">
        <f aca="false">Base_OAPDI!L9</f>
        <v>Gestión de Adquisiciones</v>
      </c>
      <c r="L11" s="12" t="n">
        <f aca="false">Base_OAPDI!N9</f>
        <v>1</v>
      </c>
      <c r="M11" s="12" t="n">
        <f aca="false">Base_OAPDI!P9</f>
        <v>1</v>
      </c>
      <c r="N11" s="12" t="n">
        <f aca="false">Base_OAPDI!Q9</f>
        <v>0</v>
      </c>
      <c r="O11" s="12" t="str">
        <f aca="false">Base_OAPDI!R9</f>
        <v>Cerrar o reprogramar 1 producto(s) 2026 pendiente(s) de esta meta.</v>
      </c>
      <c r="P11" s="12" t="str">
        <f aca="false">Base_OAPDI!S9</f>
        <v>IMP-12; IMP-13</v>
      </c>
      <c r="Q11" s="11"/>
      <c r="R11" s="11"/>
      <c r="S11" s="11"/>
      <c r="T11" s="18"/>
      <c r="U11" s="18"/>
      <c r="V11" s="11"/>
      <c r="W11" s="11"/>
      <c r="X11" s="11"/>
      <c r="Y11" s="11"/>
      <c r="Z11" s="11"/>
      <c r="AA11" s="11"/>
      <c r="AB11" s="12" t="str">
        <f aca="false">IF(AA11="","",INDEX(Catalogos!$Y$5:$Y$25,MATCH(AA11,L_IMP,0)))</f>
        <v/>
      </c>
      <c r="AC11" s="11"/>
      <c r="AD11" s="11"/>
      <c r="AE11" s="11"/>
      <c r="AF11" s="10" t="str">
        <f aca="false">IF(Q11="","Pendiente por formular",IF(OR(S11="",T11="",U11="",V11="",W11="",X11="",Z11="",AA11=""),"Incompleta: faltan campos obligatorios",IF(OR(NOT(ISNUMBER(T11)),NOT(ISNUMBER(U11))),"Fecha inválida",IF(U11&lt;T11,"La fecha de fin es anterior a la de inicio",IF(OR(YEAR(T11)&lt;&gt;2027,YEAR(U11)&lt;&gt;2027),"Fechas fuera de la vigencia 2027",IF(ISERROR(SEARCH("@itc.edu.co",V11)),"El responsable no tiene correo institucional",IF(ISERROR(SEARCH(Z11,INDEX(Catalogos!$Z$5:$Z$25,MATCH(AA11,L_IMP,0)))),"La dimensión no corresponde al indicador de impacto","OK")))))))</f>
        <v>Pendiente por formular</v>
      </c>
    </row>
    <row r="12" customFormat="false" ht="78.75" hidden="false" customHeight="true" outlineLevel="0" collapsed="false">
      <c r="A12" s="12" t="str">
        <f aca="false">Base_OAPDI!A10</f>
        <v>E1-006</v>
      </c>
      <c r="B12" s="12" t="str">
        <f aca="false">Base_OAPDI!B10</f>
        <v>1.1.1.1</v>
      </c>
      <c r="C12" s="12" t="str">
        <f aca="false">Base_OAPDI!D10</f>
        <v>1.1 Ampliación de cobertura</v>
      </c>
      <c r="D12" s="12" t="str">
        <f aca="false">Base_OAPDI!E10</f>
        <v>Contar con 11.000 estudiantes vinculados a programas de educación superior al 2032.</v>
      </c>
      <c r="E12" s="12" t="str">
        <f aca="false">Base_OAPDI!F10</f>
        <v>N.° de estudiantes matriculados en programas de educación superior (SNIES)</v>
      </c>
      <c r="F12" s="12" t="str">
        <f aca="false">Base_OAPDI!G10</f>
        <v>11.000 estudiantes</v>
      </c>
      <c r="G12" s="12" t="str">
        <f aca="false">Base_OAPDI!H10</f>
        <v>5.400 estudiantes</v>
      </c>
      <c r="H12" s="12" t="str">
        <f aca="false">Base_OAPDI!I10</f>
        <v>A15</v>
      </c>
      <c r="I12" s="12" t="str">
        <f aca="false">Base_OAPDI!J10</f>
        <v>120 · Vicerrectoría Académica</v>
      </c>
      <c r="J12" s="12" t="str">
        <f aca="false">Base_OAPDI!K10</f>
        <v>Despacho de la Vicerrectoría Académica</v>
      </c>
      <c r="K12" s="12" t="str">
        <f aca="false">Base_OAPDI!L10</f>
        <v>Docencia PES</v>
      </c>
      <c r="L12" s="12" t="n">
        <f aca="false">Base_OAPDI!N10</f>
        <v>5</v>
      </c>
      <c r="M12" s="12" t="n">
        <f aca="false">Base_OAPDI!P10</f>
        <v>5</v>
      </c>
      <c r="N12" s="12" t="n">
        <f aca="false">Base_OAPDI!Q10</f>
        <v>4</v>
      </c>
      <c r="O12" s="12" t="str">
        <f aca="false">Base_OAPDI!R10</f>
        <v>Acciones propuestas por la OAPDI (valídelas y formúlelas en esta fila o en Acciones adicionales): A27-003 Concentrar cupos en programas con demanda creciente y revisar la oferta de programas en descenso; A27-004 Ejecutar la cohorte 2027-1 en La Primavera (Vichada) con 80 cupos adicionales. Cerrar o reprogramar 5 producto(s) 2026 pendiente(s) de esta meta. Atender 4 compromiso(s) de proyectos estructurantes (hoja Compromisos_2026).</v>
      </c>
      <c r="P12" s="12" t="str">
        <f aca="false">Base_OAPDI!S10</f>
        <v>IMP-12; IMP-13</v>
      </c>
      <c r="Q12" s="11"/>
      <c r="R12" s="11"/>
      <c r="S12" s="11"/>
      <c r="T12" s="18"/>
      <c r="U12" s="18"/>
      <c r="V12" s="11"/>
      <c r="W12" s="11"/>
      <c r="X12" s="11"/>
      <c r="Y12" s="11"/>
      <c r="Z12" s="11"/>
      <c r="AA12" s="11"/>
      <c r="AB12" s="12" t="str">
        <f aca="false">IF(AA12="","",INDEX(Catalogos!$Y$5:$Y$25,MATCH(AA12,L_IMP,0)))</f>
        <v/>
      </c>
      <c r="AC12" s="11"/>
      <c r="AD12" s="11"/>
      <c r="AE12" s="11"/>
      <c r="AF12" s="10" t="str">
        <f aca="false">IF(Q12="","Pendiente por formular",IF(OR(S12="",T12="",U12="",V12="",W12="",X12="",Z12="",AA12=""),"Incompleta: faltan campos obligatorios",IF(OR(NOT(ISNUMBER(T12)),NOT(ISNUMBER(U12))),"Fecha inválida",IF(U12&lt;T12,"La fecha de fin es anterior a la de inicio",IF(OR(YEAR(T12)&lt;&gt;2027,YEAR(U12)&lt;&gt;2027),"Fechas fuera de la vigencia 2027",IF(ISERROR(SEARCH("@itc.edu.co",V12)),"El responsable no tiene correo institucional",IF(ISERROR(SEARCH(Z12,INDEX(Catalogos!$Z$5:$Z$25,MATCH(AA12,L_IMP,0)))),"La dimensión no corresponde al indicador de impacto","OK")))))))</f>
        <v>Pendiente por formular</v>
      </c>
    </row>
    <row r="13" customFormat="false" ht="39" hidden="false" customHeight="true" outlineLevel="0" collapsed="false">
      <c r="A13" s="12" t="str">
        <f aca="false">Base_OAPDI!A11</f>
        <v>E1-007</v>
      </c>
      <c r="B13" s="12" t="str">
        <f aca="false">Base_OAPDI!B11</f>
        <v>1.1.1.1</v>
      </c>
      <c r="C13" s="12" t="str">
        <f aca="false">Base_OAPDI!D11</f>
        <v>1.1 Ampliación de cobertura</v>
      </c>
      <c r="D13" s="12" t="str">
        <f aca="false">Base_OAPDI!E11</f>
        <v>Contar con 11.000 estudiantes vinculados a programas de educación superior al 2032.</v>
      </c>
      <c r="E13" s="12" t="str">
        <f aca="false">Base_OAPDI!F11</f>
        <v>N.° de estudiantes matriculados en programas de educación superior (SNIES)</v>
      </c>
      <c r="F13" s="12" t="str">
        <f aca="false">Base_OAPDI!G11</f>
        <v>11.000 estudiantes</v>
      </c>
      <c r="G13" s="12" t="str">
        <f aca="false">Base_OAPDI!H11</f>
        <v>5.400 estudiantes</v>
      </c>
      <c r="H13" s="12" t="str">
        <f aca="false">Base_OAPDI!I11</f>
        <v>A23</v>
      </c>
      <c r="I13" s="12" t="str">
        <f aca="false">Base_OAPDI!J11</f>
        <v>123 · Facultades</v>
      </c>
      <c r="J13" s="12" t="str">
        <f aca="false">Base_OAPDI!K11</f>
        <v>Facultad de Mecánica</v>
      </c>
      <c r="K13" s="12" t="str">
        <f aca="false">Base_OAPDI!L11</f>
        <v>Docencia PES</v>
      </c>
      <c r="L13" s="12" t="n">
        <f aca="false">Base_OAPDI!N11</f>
        <v>0</v>
      </c>
      <c r="M13" s="12" t="n">
        <f aca="false">Base_OAPDI!P11</f>
        <v>0</v>
      </c>
      <c r="N13" s="12" t="n">
        <f aca="false">Base_OAPDI!Q11</f>
        <v>0</v>
      </c>
      <c r="O13" s="12" t="str">
        <f aca="false">Base_OAPDI!R11</f>
        <v>Formular al menos una acción que contribuya a la meta institucional 2027 de esta meta.</v>
      </c>
      <c r="P13" s="12" t="str">
        <f aca="false">Base_OAPDI!S11</f>
        <v>IMP-12; IMP-13</v>
      </c>
      <c r="Q13" s="11"/>
      <c r="R13" s="11"/>
      <c r="S13" s="11"/>
      <c r="T13" s="18"/>
      <c r="U13" s="18"/>
      <c r="V13" s="11"/>
      <c r="W13" s="11"/>
      <c r="X13" s="11"/>
      <c r="Y13" s="11"/>
      <c r="Z13" s="11"/>
      <c r="AA13" s="11"/>
      <c r="AB13" s="12" t="str">
        <f aca="false">IF(AA13="","",INDEX(Catalogos!$Y$5:$Y$25,MATCH(AA13,L_IMP,0)))</f>
        <v/>
      </c>
      <c r="AC13" s="11"/>
      <c r="AD13" s="11"/>
      <c r="AE13" s="11"/>
      <c r="AF13" s="10" t="str">
        <f aca="false">IF(Q13="","Pendiente por formular",IF(OR(S13="",T13="",U13="",V13="",W13="",X13="",Z13="",AA13=""),"Incompleta: faltan campos obligatorios",IF(OR(NOT(ISNUMBER(T13)),NOT(ISNUMBER(U13))),"Fecha inválida",IF(U13&lt;T13,"La fecha de fin es anterior a la de inicio",IF(OR(YEAR(T13)&lt;&gt;2027,YEAR(U13)&lt;&gt;2027),"Fechas fuera de la vigencia 2027",IF(ISERROR(SEARCH("@itc.edu.co",V13)),"El responsable no tiene correo institucional",IF(ISERROR(SEARCH(Z13,INDEX(Catalogos!$Z$5:$Z$25,MATCH(AA13,L_IMP,0)))),"La dimensión no corresponde al indicador de impacto","OK")))))))</f>
        <v>Pendiente por formular</v>
      </c>
    </row>
    <row r="14" customFormat="false" ht="39" hidden="false" customHeight="true" outlineLevel="0" collapsed="false">
      <c r="A14" s="12" t="str">
        <f aca="false">Base_OAPDI!A12</f>
        <v>E1-008</v>
      </c>
      <c r="B14" s="12" t="str">
        <f aca="false">Base_OAPDI!B12</f>
        <v>1.1.1.1</v>
      </c>
      <c r="C14" s="12" t="str">
        <f aca="false">Base_OAPDI!D12</f>
        <v>1.1 Ampliación de cobertura</v>
      </c>
      <c r="D14" s="12" t="str">
        <f aca="false">Base_OAPDI!E12</f>
        <v>Contar con 11.000 estudiantes vinculados a programas de educación superior al 2032.</v>
      </c>
      <c r="E14" s="12" t="str">
        <f aca="false">Base_OAPDI!F12</f>
        <v>N.° de estudiantes matriculados en programas de educación superior (SNIES)</v>
      </c>
      <c r="F14" s="12" t="str">
        <f aca="false">Base_OAPDI!G12</f>
        <v>11.000 estudiantes</v>
      </c>
      <c r="G14" s="12" t="str">
        <f aca="false">Base_OAPDI!H12</f>
        <v>5.400 estudiantes</v>
      </c>
      <c r="H14" s="12" t="str">
        <f aca="false">Base_OAPDI!I12</f>
        <v>A30</v>
      </c>
      <c r="I14" s="12" t="str">
        <f aca="false">Base_OAPDI!J12</f>
        <v>130 · Vicerrectoría Administrativa y Financiera</v>
      </c>
      <c r="J14" s="12" t="str">
        <f aca="false">Base_OAPDI!K12</f>
        <v>Despacho de la Vicerrectoría Administrativa y Financiera</v>
      </c>
      <c r="K14" s="12" t="str">
        <f aca="false">Base_OAPDI!L12</f>
        <v>Gestión Financiera</v>
      </c>
      <c r="L14" s="12" t="n">
        <f aca="false">Base_OAPDI!N12</f>
        <v>0</v>
      </c>
      <c r="M14" s="12" t="n">
        <f aca="false">Base_OAPDI!P12</f>
        <v>0</v>
      </c>
      <c r="N14" s="12" t="n">
        <f aca="false">Base_OAPDI!Q12</f>
        <v>0</v>
      </c>
      <c r="O14" s="12" t="str">
        <f aca="false">Base_OAPDI!R12</f>
        <v>Formular al menos una acción que contribuya a la meta institucional 2027 de esta meta.</v>
      </c>
      <c r="P14" s="12" t="str">
        <f aca="false">Base_OAPDI!S12</f>
        <v>IMP-12; IMP-13</v>
      </c>
      <c r="Q14" s="11"/>
      <c r="R14" s="11"/>
      <c r="S14" s="11"/>
      <c r="T14" s="18"/>
      <c r="U14" s="18"/>
      <c r="V14" s="11"/>
      <c r="W14" s="11"/>
      <c r="X14" s="11"/>
      <c r="Y14" s="11"/>
      <c r="Z14" s="11"/>
      <c r="AA14" s="11"/>
      <c r="AB14" s="12" t="str">
        <f aca="false">IF(AA14="","",INDEX(Catalogos!$Y$5:$Y$25,MATCH(AA14,L_IMP,0)))</f>
        <v/>
      </c>
      <c r="AC14" s="11"/>
      <c r="AD14" s="11"/>
      <c r="AE14" s="11"/>
      <c r="AF14" s="10" t="str">
        <f aca="false">IF(Q14="","Pendiente por formular",IF(OR(S14="",T14="",U14="",V14="",W14="",X14="",Z14="",AA14=""),"Incompleta: faltan campos obligatorios",IF(OR(NOT(ISNUMBER(T14)),NOT(ISNUMBER(U14))),"Fecha inválida",IF(U14&lt;T14,"La fecha de fin es anterior a la de inicio",IF(OR(YEAR(T14)&lt;&gt;2027,YEAR(U14)&lt;&gt;2027),"Fechas fuera de la vigencia 2027",IF(ISERROR(SEARCH("@itc.edu.co",V14)),"El responsable no tiene correo institucional",IF(ISERROR(SEARCH(Z14,INDEX(Catalogos!$Z$5:$Z$25,MATCH(AA14,L_IMP,0)))),"La dimensión no corresponde al indicador de impacto","OK")))))))</f>
        <v>Pendiente por formular</v>
      </c>
    </row>
    <row r="15" customFormat="false" ht="66" hidden="false" customHeight="true" outlineLevel="0" collapsed="false">
      <c r="A15" s="12" t="str">
        <f aca="false">Base_OAPDI!A13</f>
        <v>E1-009</v>
      </c>
      <c r="B15" s="12" t="str">
        <f aca="false">Base_OAPDI!B13</f>
        <v>1.1.1.1</v>
      </c>
      <c r="C15" s="12" t="str">
        <f aca="false">Base_OAPDI!D13</f>
        <v>1.1 Ampliación de cobertura</v>
      </c>
      <c r="D15" s="12" t="str">
        <f aca="false">Base_OAPDI!E13</f>
        <v>Contar con 11.000 estudiantes vinculados a programas de educación superior al 2032.</v>
      </c>
      <c r="E15" s="12" t="str">
        <f aca="false">Base_OAPDI!F13</f>
        <v>N.° de estudiantes matriculados en programas de educación superior (SNIES)</v>
      </c>
      <c r="F15" s="12" t="str">
        <f aca="false">Base_OAPDI!G13</f>
        <v>11.000 estudiantes</v>
      </c>
      <c r="G15" s="12" t="str">
        <f aca="false">Base_OAPDI!H13</f>
        <v>5.400 estudiantes</v>
      </c>
      <c r="H15" s="12" t="str">
        <f aca="false">Base_OAPDI!I13</f>
        <v>A29</v>
      </c>
      <c r="I15" s="12" t="str">
        <f aca="false">Base_OAPDI!J13</f>
        <v>126 · GIT Registro y Control</v>
      </c>
      <c r="J15" s="12" t="str">
        <f aca="false">Base_OAPDI!K13</f>
        <v>GIT Registro, Control y Admisiones</v>
      </c>
      <c r="K15" s="12" t="str">
        <f aca="false">Base_OAPDI!L13</f>
        <v>Docencia PES</v>
      </c>
      <c r="L15" s="12" t="n">
        <f aca="false">Base_OAPDI!N13</f>
        <v>0</v>
      </c>
      <c r="M15" s="12" t="n">
        <f aca="false">Base_OAPDI!P13</f>
        <v>0</v>
      </c>
      <c r="N15" s="12" t="n">
        <f aca="false">Base_OAPDI!Q13</f>
        <v>3</v>
      </c>
      <c r="O15" s="12" t="str">
        <f aca="false">Base_OAPDI!R13</f>
        <v>Acciones propuestas por la OAPDI (valídelas y formúlelas en esta fila o en Acciones adicionales): A27-002 Armonizar el calendario de admisiones con la asignación de recursos del MEN. Atender 3 compromiso(s) de proyectos estructurantes (hoja Compromisos_2026).</v>
      </c>
      <c r="P15" s="12" t="str">
        <f aca="false">Base_OAPDI!S13</f>
        <v>IMP-12; IMP-13</v>
      </c>
      <c r="Q15" s="11"/>
      <c r="R15" s="11"/>
      <c r="S15" s="11"/>
      <c r="T15" s="18"/>
      <c r="U15" s="18"/>
      <c r="V15" s="11"/>
      <c r="W15" s="11"/>
      <c r="X15" s="11"/>
      <c r="Y15" s="11"/>
      <c r="Z15" s="11"/>
      <c r="AA15" s="11"/>
      <c r="AB15" s="12" t="str">
        <f aca="false">IF(AA15="","",INDEX(Catalogos!$Y$5:$Y$25,MATCH(AA15,L_IMP,0)))</f>
        <v/>
      </c>
      <c r="AC15" s="11"/>
      <c r="AD15" s="11"/>
      <c r="AE15" s="11"/>
      <c r="AF15" s="10" t="str">
        <f aca="false">IF(Q15="","Pendiente por formular",IF(OR(S15="",T15="",U15="",V15="",W15="",X15="",Z15="",AA15=""),"Incompleta: faltan campos obligatorios",IF(OR(NOT(ISNUMBER(T15)),NOT(ISNUMBER(U15))),"Fecha inválida",IF(U15&lt;T15,"La fecha de fin es anterior a la de inicio",IF(OR(YEAR(T15)&lt;&gt;2027,YEAR(U15)&lt;&gt;2027),"Fechas fuera de la vigencia 2027",IF(ISERROR(SEARCH("@itc.edu.co",V15)),"El responsable no tiene correo institucional",IF(ISERROR(SEARCH(Z15,INDEX(Catalogos!$Z$5:$Z$25,MATCH(AA15,L_IMP,0)))),"La dimensión no corresponde al indicador de impacto","OK")))))))</f>
        <v>Pendiente por formular</v>
      </c>
    </row>
    <row r="16" customFormat="false" ht="39" hidden="false" customHeight="true" outlineLevel="0" collapsed="false">
      <c r="A16" s="12" t="str">
        <f aca="false">Base_OAPDI!A14</f>
        <v>E1-010</v>
      </c>
      <c r="B16" s="12" t="str">
        <f aca="false">Base_OAPDI!B14</f>
        <v>1.1.1.1</v>
      </c>
      <c r="C16" s="12" t="str">
        <f aca="false">Base_OAPDI!D14</f>
        <v>1.1 Ampliación de cobertura</v>
      </c>
      <c r="D16" s="12" t="str">
        <f aca="false">Base_OAPDI!E14</f>
        <v>Contar con 11.000 estudiantes vinculados a programas de educación superior al 2032.</v>
      </c>
      <c r="E16" s="12" t="str">
        <f aca="false">Base_OAPDI!F14</f>
        <v>N.° de estudiantes matriculados en programas de educación superior (SNIES)</v>
      </c>
      <c r="F16" s="12" t="str">
        <f aca="false">Base_OAPDI!G14</f>
        <v>11.000 estudiantes</v>
      </c>
      <c r="G16" s="12" t="str">
        <f aca="false">Base_OAPDI!H14</f>
        <v>5.400 estudiantes</v>
      </c>
      <c r="H16" s="12" t="str">
        <f aca="false">Base_OAPDI!I14</f>
        <v>A47</v>
      </c>
      <c r="I16" s="12" t="str">
        <f aca="false">Base_OAPDI!J14</f>
        <v>130 · Vicerrectoría Administrativa y Financiera</v>
      </c>
      <c r="J16" s="12" t="str">
        <f aca="false">Base_OAPDI!K14</f>
        <v>Gestión Financiera (Presupuesto, Contabilidad, Tesorería)</v>
      </c>
      <c r="K16" s="12" t="str">
        <f aca="false">Base_OAPDI!L14</f>
        <v>Gestión Financiera</v>
      </c>
      <c r="L16" s="12" t="n">
        <f aca="false">Base_OAPDI!N14</f>
        <v>0</v>
      </c>
      <c r="M16" s="12" t="n">
        <f aca="false">Base_OAPDI!P14</f>
        <v>0</v>
      </c>
      <c r="N16" s="12" t="n">
        <f aca="false">Base_OAPDI!Q14</f>
        <v>1</v>
      </c>
      <c r="O16" s="12" t="str">
        <f aca="false">Base_OAPDI!R14</f>
        <v>Atender 1 compromiso(s) de proyectos estructurantes (hoja Compromisos_2026).</v>
      </c>
      <c r="P16" s="12" t="str">
        <f aca="false">Base_OAPDI!S14</f>
        <v>IMP-12; IMP-13</v>
      </c>
      <c r="Q16" s="11"/>
      <c r="R16" s="11"/>
      <c r="S16" s="11"/>
      <c r="T16" s="18"/>
      <c r="U16" s="18"/>
      <c r="V16" s="11"/>
      <c r="W16" s="11"/>
      <c r="X16" s="11"/>
      <c r="Y16" s="11"/>
      <c r="Z16" s="11"/>
      <c r="AA16" s="11"/>
      <c r="AB16" s="12" t="str">
        <f aca="false">IF(AA16="","",INDEX(Catalogos!$Y$5:$Y$25,MATCH(AA16,L_IMP,0)))</f>
        <v/>
      </c>
      <c r="AC16" s="11"/>
      <c r="AD16" s="11"/>
      <c r="AE16" s="11"/>
      <c r="AF16" s="10" t="str">
        <f aca="false">IF(Q16="","Pendiente por formular",IF(OR(S16="",T16="",U16="",V16="",W16="",X16="",Z16="",AA16=""),"Incompleta: faltan campos obligatorios",IF(OR(NOT(ISNUMBER(T16)),NOT(ISNUMBER(U16))),"Fecha inválida",IF(U16&lt;T16,"La fecha de fin es anterior a la de inicio",IF(OR(YEAR(T16)&lt;&gt;2027,YEAR(U16)&lt;&gt;2027),"Fechas fuera de la vigencia 2027",IF(ISERROR(SEARCH("@itc.edu.co",V16)),"El responsable no tiene correo institucional",IF(ISERROR(SEARCH(Z16,INDEX(Catalogos!$Z$5:$Z$25,MATCH(AA16,L_IMP,0)))),"La dimensión no corresponde al indicador de impacto","OK")))))))</f>
        <v>Pendiente por formular</v>
      </c>
    </row>
    <row r="17" customFormat="false" ht="66" hidden="false" customHeight="true" outlineLevel="0" collapsed="false">
      <c r="A17" s="12" t="str">
        <f aca="false">Base_OAPDI!A15</f>
        <v>E1-011</v>
      </c>
      <c r="B17" s="12" t="str">
        <f aca="false">Base_OAPDI!B15</f>
        <v>1.1.1.1</v>
      </c>
      <c r="C17" s="12" t="str">
        <f aca="false">Base_OAPDI!D15</f>
        <v>1.1 Ampliación de cobertura</v>
      </c>
      <c r="D17" s="12" t="str">
        <f aca="false">Base_OAPDI!E15</f>
        <v>Contar con 11.000 estudiantes vinculados a programas de educación superior al 2032.</v>
      </c>
      <c r="E17" s="12" t="str">
        <f aca="false">Base_OAPDI!F15</f>
        <v>N.° de estudiantes matriculados en programas de educación superior (SNIES)</v>
      </c>
      <c r="F17" s="12" t="str">
        <f aca="false">Base_OAPDI!G15</f>
        <v>11.000 estudiantes</v>
      </c>
      <c r="G17" s="12" t="str">
        <f aca="false">Base_OAPDI!H15</f>
        <v>5.400 estudiantes</v>
      </c>
      <c r="H17" s="12" t="str">
        <f aca="false">Base_OAPDI!I15</f>
        <v>A43</v>
      </c>
      <c r="I17" s="12" t="str">
        <f aca="false">Base_OAPDI!J15</f>
        <v>141 · GIT Extensión y Proyección Social</v>
      </c>
      <c r="J17" s="12" t="str">
        <f aca="false">Base_OAPDI!K15</f>
        <v>Egresados y Bolsa de Empleo</v>
      </c>
      <c r="K17" s="12" t="str">
        <f aca="false">Base_OAPDI!L15</f>
        <v>Egresados</v>
      </c>
      <c r="L17" s="12" t="n">
        <f aca="false">Base_OAPDI!N15</f>
        <v>0</v>
      </c>
      <c r="M17" s="12" t="n">
        <f aca="false">Base_OAPDI!P15</f>
        <v>0</v>
      </c>
      <c r="N17" s="12" t="n">
        <f aca="false">Base_OAPDI!Q15</f>
        <v>1</v>
      </c>
      <c r="O17" s="12" t="str">
        <f aca="false">Base_OAPDI!R15</f>
        <v>Acciones propuestas por la OAPDI (valídelas y formúlelas en esta fila o en Acciones adicionales): A27-006 Iniciar el estudio de impacto de Egresados. Atender 1 compromiso(s) de proyectos estructurantes (hoja Compromisos_2026).</v>
      </c>
      <c r="P17" s="12" t="str">
        <f aca="false">Base_OAPDI!S15</f>
        <v>IMP-12; IMP-13</v>
      </c>
      <c r="Q17" s="11"/>
      <c r="R17" s="11"/>
      <c r="S17" s="11"/>
      <c r="T17" s="18"/>
      <c r="U17" s="18"/>
      <c r="V17" s="11"/>
      <c r="W17" s="11"/>
      <c r="X17" s="11"/>
      <c r="Y17" s="11"/>
      <c r="Z17" s="11"/>
      <c r="AA17" s="11"/>
      <c r="AB17" s="12" t="str">
        <f aca="false">IF(AA17="","",INDEX(Catalogos!$Y$5:$Y$25,MATCH(AA17,L_IMP,0)))</f>
        <v/>
      </c>
      <c r="AC17" s="11"/>
      <c r="AD17" s="11"/>
      <c r="AE17" s="11"/>
      <c r="AF17" s="10" t="str">
        <f aca="false">IF(Q17="","Pendiente por formular",IF(OR(S17="",T17="",U17="",V17="",W17="",X17="",Z17="",AA17=""),"Incompleta: faltan campos obligatorios",IF(OR(NOT(ISNUMBER(T17)),NOT(ISNUMBER(U17))),"Fecha inválida",IF(U17&lt;T17,"La fecha de fin es anterior a la de inicio",IF(OR(YEAR(T17)&lt;&gt;2027,YEAR(U17)&lt;&gt;2027),"Fechas fuera de la vigencia 2027",IF(ISERROR(SEARCH("@itc.edu.co",V17)),"El responsable no tiene correo institucional",IF(ISERROR(SEARCH(Z17,INDEX(Catalogos!$Z$5:$Z$25,MATCH(AA17,L_IMP,0)))),"La dimensión no corresponde al indicador de impacto","OK")))))))</f>
        <v>Pendiente por formular</v>
      </c>
    </row>
    <row r="18" customFormat="false" ht="39" hidden="false" customHeight="true" outlineLevel="0" collapsed="false">
      <c r="A18" s="12" t="str">
        <f aca="false">Base_OAPDI!A16</f>
        <v>E1-012</v>
      </c>
      <c r="B18" s="12" t="str">
        <f aca="false">Base_OAPDI!B16</f>
        <v>1.1.1.1</v>
      </c>
      <c r="C18" s="12" t="str">
        <f aca="false">Base_OAPDI!D16</f>
        <v>1.1 Ampliación de cobertura</v>
      </c>
      <c r="D18" s="12" t="str">
        <f aca="false">Base_OAPDI!E16</f>
        <v>Contar con 11.000 estudiantes vinculados a programas de educación superior al 2032.</v>
      </c>
      <c r="E18" s="12" t="str">
        <f aca="false">Base_OAPDI!F16</f>
        <v>N.° de estudiantes matriculados en programas de educación superior (SNIES)</v>
      </c>
      <c r="F18" s="12" t="str">
        <f aca="false">Base_OAPDI!G16</f>
        <v>11.000 estudiantes</v>
      </c>
      <c r="G18" s="12" t="str">
        <f aca="false">Base_OAPDI!H16</f>
        <v>5.400 estudiantes</v>
      </c>
      <c r="H18" s="12" t="str">
        <f aca="false">Base_OAPDI!I16</f>
        <v>A45</v>
      </c>
      <c r="I18" s="12" t="str">
        <f aca="false">Base_OAPDI!J16</f>
        <v>120 · Vicerrectoría Académica</v>
      </c>
      <c r="J18" s="12" t="str">
        <f aca="false">Base_OAPDI!K16</f>
        <v>Sedes Tintal / Soacha-UPK / Viotá</v>
      </c>
      <c r="K18" s="12" t="str">
        <f aca="false">Base_OAPDI!L16</f>
        <v>Docencia PES</v>
      </c>
      <c r="L18" s="12" t="n">
        <f aca="false">Base_OAPDI!N16</f>
        <v>0</v>
      </c>
      <c r="M18" s="12" t="n">
        <f aca="false">Base_OAPDI!P16</f>
        <v>0</v>
      </c>
      <c r="N18" s="12" t="n">
        <f aca="false">Base_OAPDI!Q16</f>
        <v>0</v>
      </c>
      <c r="O18" s="12" t="str">
        <f aca="false">Base_OAPDI!R16</f>
        <v>Acciones propuestas por la OAPDI (valídelas y formúlelas en esta fila o en Acciones adicionales): A27-005 Ofertar y matricular en Zipaquirá bajo lugares de desarrollo transitorios.</v>
      </c>
      <c r="P18" s="12" t="str">
        <f aca="false">Base_OAPDI!S16</f>
        <v>IMP-12; IMP-13</v>
      </c>
      <c r="Q18" s="11"/>
      <c r="R18" s="11"/>
      <c r="S18" s="11"/>
      <c r="T18" s="18"/>
      <c r="U18" s="18"/>
      <c r="V18" s="11"/>
      <c r="W18" s="11"/>
      <c r="X18" s="11"/>
      <c r="Y18" s="11"/>
      <c r="Z18" s="11"/>
      <c r="AA18" s="11"/>
      <c r="AB18" s="12" t="str">
        <f aca="false">IF(AA18="","",INDEX(Catalogos!$Y$5:$Y$25,MATCH(AA18,L_IMP,0)))</f>
        <v/>
      </c>
      <c r="AC18" s="11"/>
      <c r="AD18" s="11"/>
      <c r="AE18" s="11"/>
      <c r="AF18" s="10" t="str">
        <f aca="false">IF(Q18="","Pendiente por formular",IF(OR(S18="",T18="",U18="",V18="",W18="",X18="",Z18="",AA18=""),"Incompleta: faltan campos obligatorios",IF(OR(NOT(ISNUMBER(T18)),NOT(ISNUMBER(U18))),"Fecha inválida",IF(U18&lt;T18,"La fecha de fin es anterior a la de inicio",IF(OR(YEAR(T18)&lt;&gt;2027,YEAR(U18)&lt;&gt;2027),"Fechas fuera de la vigencia 2027",IF(ISERROR(SEARCH("@itc.edu.co",V18)),"El responsable no tiene correo institucional",IF(ISERROR(SEARCH(Z18,INDEX(Catalogos!$Z$5:$Z$25,MATCH(AA18,L_IMP,0)))),"La dimensión no corresponde al indicador de impacto","OK")))))))</f>
        <v>Pendiente por formular</v>
      </c>
    </row>
    <row r="19" customFormat="false" ht="39" hidden="false" customHeight="true" outlineLevel="0" collapsed="false">
      <c r="A19" s="12" t="str">
        <f aca="false">Base_OAPDI!A17</f>
        <v>E1-013</v>
      </c>
      <c r="B19" s="12" t="str">
        <f aca="false">Base_OAPDI!B17</f>
        <v>1.1.1.2</v>
      </c>
      <c r="C19" s="12" t="str">
        <f aca="false">Base_OAPDI!D17</f>
        <v>1.1 Ampliación de cobertura</v>
      </c>
      <c r="D19" s="12" t="str">
        <f aca="false">Base_OAPDI!E17</f>
        <v>Lograr que el 30% de los estudiantes del IBTI pasen a la educación superior de la ETITC.</v>
      </c>
      <c r="E19" s="12" t="str">
        <f aca="false">Base_OAPDI!F17</f>
        <v>N.° y % de egresados del IBTI matriculados en programas de la ETITC</v>
      </c>
      <c r="F19" s="12" t="str">
        <f aca="false">Base_OAPDI!G17</f>
        <v>30% (MPI: 250 estudiantes en 2032)</v>
      </c>
      <c r="G19" s="12" t="str">
        <f aca="false">Base_OAPDI!H17</f>
        <v>40 estudiantes</v>
      </c>
      <c r="H19" s="12" t="str">
        <f aca="false">Base_OAPDI!I17</f>
        <v>A06</v>
      </c>
      <c r="I19" s="12" t="str">
        <f aca="false">Base_OAPDI!J17</f>
        <v>101 · Oficina Asesora de Planeación y Desarrollo Institucional</v>
      </c>
      <c r="J19" s="12" t="str">
        <f aca="false">Base_OAPDI!K17</f>
        <v>Gestión de Proyectos</v>
      </c>
      <c r="K19" s="12" t="str">
        <f aca="false">Base_OAPDI!L17</f>
        <v>Direccionamiento Institucional</v>
      </c>
      <c r="L19" s="12" t="n">
        <f aca="false">Base_OAPDI!N17</f>
        <v>3</v>
      </c>
      <c r="M19" s="12" t="n">
        <f aca="false">Base_OAPDI!P17</f>
        <v>2</v>
      </c>
      <c r="N19" s="12" t="n">
        <f aca="false">Base_OAPDI!Q17</f>
        <v>0</v>
      </c>
      <c r="O19" s="12" t="str">
        <f aca="false">Base_OAPDI!R17</f>
        <v>Cerrar o reprogramar 2 producto(s) 2026 pendiente(s) de esta meta.</v>
      </c>
      <c r="P19" s="12" t="str">
        <f aca="false">Base_OAPDI!S17</f>
        <v>IMP-12; IMP-06</v>
      </c>
      <c r="Q19" s="11"/>
      <c r="R19" s="11"/>
      <c r="S19" s="11"/>
      <c r="T19" s="18"/>
      <c r="U19" s="18"/>
      <c r="V19" s="11"/>
      <c r="W19" s="11"/>
      <c r="X19" s="11"/>
      <c r="Y19" s="11"/>
      <c r="Z19" s="11"/>
      <c r="AA19" s="11"/>
      <c r="AB19" s="12" t="str">
        <f aca="false">IF(AA19="","",INDEX(Catalogos!$Y$5:$Y$25,MATCH(AA19,L_IMP,0)))</f>
        <v/>
      </c>
      <c r="AC19" s="11"/>
      <c r="AD19" s="11"/>
      <c r="AE19" s="11"/>
      <c r="AF19" s="10" t="str">
        <f aca="false">IF(Q19="","Pendiente por formular",IF(OR(S19="",T19="",U19="",V19="",W19="",X19="",Z19="",AA19=""),"Incompleta: faltan campos obligatorios",IF(OR(NOT(ISNUMBER(T19)),NOT(ISNUMBER(U19))),"Fecha inválida",IF(U19&lt;T19,"La fecha de fin es anterior a la de inicio",IF(OR(YEAR(T19)&lt;&gt;2027,YEAR(U19)&lt;&gt;2027),"Fechas fuera de la vigencia 2027",IF(ISERROR(SEARCH("@itc.edu.co",V19)),"El responsable no tiene correo institucional",IF(ISERROR(SEARCH(Z19,INDEX(Catalogos!$Z$5:$Z$25,MATCH(AA19,L_IMP,0)))),"La dimensión no corresponde al indicador de impacto","OK")))))))</f>
        <v>Pendiente por formular</v>
      </c>
    </row>
    <row r="20" customFormat="false" ht="39" hidden="false" customHeight="true" outlineLevel="0" collapsed="false">
      <c r="A20" s="12" t="str">
        <f aca="false">Base_OAPDI!A18</f>
        <v>E1-014</v>
      </c>
      <c r="B20" s="12" t="str">
        <f aca="false">Base_OAPDI!B18</f>
        <v>1.1.1.2</v>
      </c>
      <c r="C20" s="12" t="str">
        <f aca="false">Base_OAPDI!D18</f>
        <v>1.1 Ampliación de cobertura</v>
      </c>
      <c r="D20" s="12" t="str">
        <f aca="false">Base_OAPDI!E18</f>
        <v>Lograr que el 30% de los estudiantes del IBTI pasen a la educación superior de la ETITC.</v>
      </c>
      <c r="E20" s="12" t="str">
        <f aca="false">Base_OAPDI!F18</f>
        <v>N.° y % de egresados del IBTI matriculados en programas de la ETITC</v>
      </c>
      <c r="F20" s="12" t="str">
        <f aca="false">Base_OAPDI!G18</f>
        <v>30% (MPI: 250 estudiantes en 2032)</v>
      </c>
      <c r="G20" s="12" t="str">
        <f aca="false">Base_OAPDI!H18</f>
        <v>40 estudiantes</v>
      </c>
      <c r="H20" s="12" t="str">
        <f aca="false">Base_OAPDI!I18</f>
        <v>A14</v>
      </c>
      <c r="I20" s="12" t="str">
        <f aca="false">Base_OAPDI!J18</f>
        <v>130 · Vicerrectoría Administrativa y Financiera</v>
      </c>
      <c r="J20" s="12" t="str">
        <f aca="false">Base_OAPDI!K18</f>
        <v>Contratación y Adquisiciones</v>
      </c>
      <c r="K20" s="12" t="str">
        <f aca="false">Base_OAPDI!L18</f>
        <v>Gestión de Adquisiciones</v>
      </c>
      <c r="L20" s="12" t="n">
        <f aca="false">Base_OAPDI!N18</f>
        <v>2</v>
      </c>
      <c r="M20" s="12" t="n">
        <f aca="false">Base_OAPDI!P18</f>
        <v>2</v>
      </c>
      <c r="N20" s="12" t="n">
        <f aca="false">Base_OAPDI!Q18</f>
        <v>0</v>
      </c>
      <c r="O20" s="12" t="str">
        <f aca="false">Base_OAPDI!R18</f>
        <v>Cerrar o reprogramar 2 producto(s) 2026 pendiente(s) de esta meta.</v>
      </c>
      <c r="P20" s="12" t="str">
        <f aca="false">Base_OAPDI!S18</f>
        <v>IMP-12; IMP-06</v>
      </c>
      <c r="Q20" s="11"/>
      <c r="R20" s="11"/>
      <c r="S20" s="11"/>
      <c r="T20" s="18"/>
      <c r="U20" s="18"/>
      <c r="V20" s="11"/>
      <c r="W20" s="11"/>
      <c r="X20" s="11"/>
      <c r="Y20" s="11"/>
      <c r="Z20" s="11"/>
      <c r="AA20" s="11"/>
      <c r="AB20" s="12" t="str">
        <f aca="false">IF(AA20="","",INDEX(Catalogos!$Y$5:$Y$25,MATCH(AA20,L_IMP,0)))</f>
        <v/>
      </c>
      <c r="AC20" s="11"/>
      <c r="AD20" s="11"/>
      <c r="AE20" s="11"/>
      <c r="AF20" s="10" t="str">
        <f aca="false">IF(Q20="","Pendiente por formular",IF(OR(S20="",T20="",U20="",V20="",W20="",X20="",Z20="",AA20=""),"Incompleta: faltan campos obligatorios",IF(OR(NOT(ISNUMBER(T20)),NOT(ISNUMBER(U20))),"Fecha inválida",IF(U20&lt;T20,"La fecha de fin es anterior a la de inicio",IF(OR(YEAR(T20)&lt;&gt;2027,YEAR(U20)&lt;&gt;2027),"Fechas fuera de la vigencia 2027",IF(ISERROR(SEARCH("@itc.edu.co",V20)),"El responsable no tiene correo institucional",IF(ISERROR(SEARCH(Z20,INDEX(Catalogos!$Z$5:$Z$25,MATCH(AA20,L_IMP,0)))),"La dimensión no corresponde al indicador de impacto","OK")))))))</f>
        <v>Pendiente por formular</v>
      </c>
    </row>
    <row r="21" customFormat="false" ht="52.5" hidden="false" customHeight="true" outlineLevel="0" collapsed="false">
      <c r="A21" s="12" t="str">
        <f aca="false">Base_OAPDI!A19</f>
        <v>E1-015</v>
      </c>
      <c r="B21" s="12" t="str">
        <f aca="false">Base_OAPDI!B19</f>
        <v>1.1.1.2</v>
      </c>
      <c r="C21" s="12" t="str">
        <f aca="false">Base_OAPDI!D19</f>
        <v>1.1 Ampliación de cobertura</v>
      </c>
      <c r="D21" s="12" t="str">
        <f aca="false">Base_OAPDI!E19</f>
        <v>Lograr que el 30% de los estudiantes del IBTI pasen a la educación superior de la ETITC.</v>
      </c>
      <c r="E21" s="12" t="str">
        <f aca="false">Base_OAPDI!F19</f>
        <v>N.° y % de egresados del IBTI matriculados en programas de la ETITC</v>
      </c>
      <c r="F21" s="12" t="str">
        <f aca="false">Base_OAPDI!G19</f>
        <v>30% (MPI: 250 estudiantes en 2032)</v>
      </c>
      <c r="G21" s="12" t="str">
        <f aca="false">Base_OAPDI!H19</f>
        <v>40 estudiantes</v>
      </c>
      <c r="H21" s="12" t="str">
        <f aca="false">Base_OAPDI!I19</f>
        <v>A15</v>
      </c>
      <c r="I21" s="12" t="str">
        <f aca="false">Base_OAPDI!J19</f>
        <v>120 · Vicerrectoría Académica</v>
      </c>
      <c r="J21" s="12" t="str">
        <f aca="false">Base_OAPDI!K19</f>
        <v>Despacho de la Vicerrectoría Académica</v>
      </c>
      <c r="K21" s="12" t="str">
        <f aca="false">Base_OAPDI!L19</f>
        <v>Docencia PES</v>
      </c>
      <c r="L21" s="12" t="n">
        <f aca="false">Base_OAPDI!N19</f>
        <v>1</v>
      </c>
      <c r="M21" s="12" t="n">
        <f aca="false">Base_OAPDI!P19</f>
        <v>1</v>
      </c>
      <c r="N21" s="12" t="n">
        <f aca="false">Base_OAPDI!Q19</f>
        <v>0</v>
      </c>
      <c r="O21" s="12" t="str">
        <f aca="false">Base_OAPDI!R19</f>
        <v>Acciones propuestas por la OAPDI (valídelas y formúlelas en esta fila o en Acciones adicionales): A27-007 Alinear los currículos del IBTI con los programas técnicos profesionales por ciclos propedéuticos. Cerrar o reprogramar 1 producto(s) 2026 pendiente(s) de esta meta.</v>
      </c>
      <c r="P21" s="12" t="str">
        <f aca="false">Base_OAPDI!S19</f>
        <v>IMP-12; IMP-06</v>
      </c>
      <c r="Q21" s="11"/>
      <c r="R21" s="11"/>
      <c r="S21" s="11"/>
      <c r="T21" s="18"/>
      <c r="U21" s="18"/>
      <c r="V21" s="11"/>
      <c r="W21" s="11"/>
      <c r="X21" s="11"/>
      <c r="Y21" s="11"/>
      <c r="Z21" s="11"/>
      <c r="AA21" s="11"/>
      <c r="AB21" s="12" t="str">
        <f aca="false">IF(AA21="","",INDEX(Catalogos!$Y$5:$Y$25,MATCH(AA21,L_IMP,0)))</f>
        <v/>
      </c>
      <c r="AC21" s="11"/>
      <c r="AD21" s="11"/>
      <c r="AE21" s="11"/>
      <c r="AF21" s="10" t="str">
        <f aca="false">IF(Q21="","Pendiente por formular",IF(OR(S21="",T21="",U21="",V21="",W21="",X21="",Z21="",AA21=""),"Incompleta: faltan campos obligatorios",IF(OR(NOT(ISNUMBER(T21)),NOT(ISNUMBER(U21))),"Fecha inválida",IF(U21&lt;T21,"La fecha de fin es anterior a la de inicio",IF(OR(YEAR(T21)&lt;&gt;2027,YEAR(U21)&lt;&gt;2027),"Fechas fuera de la vigencia 2027",IF(ISERROR(SEARCH("@itc.edu.co",V21)),"El responsable no tiene correo institucional",IF(ISERROR(SEARCH(Z21,INDEX(Catalogos!$Z$5:$Z$25,MATCH(AA21,L_IMP,0)))),"La dimensión no corresponde al indicador de impacto","OK")))))))</f>
        <v>Pendiente por formular</v>
      </c>
    </row>
    <row r="22" customFormat="false" ht="39" hidden="false" customHeight="true" outlineLevel="0" collapsed="false">
      <c r="A22" s="12" t="str">
        <f aca="false">Base_OAPDI!A20</f>
        <v>E1-016</v>
      </c>
      <c r="B22" s="12" t="str">
        <f aca="false">Base_OAPDI!B20</f>
        <v>1.1.1.2</v>
      </c>
      <c r="C22" s="12" t="str">
        <f aca="false">Base_OAPDI!D20</f>
        <v>1.1 Ampliación de cobertura</v>
      </c>
      <c r="D22" s="12" t="str">
        <f aca="false">Base_OAPDI!E20</f>
        <v>Lograr que el 30% de los estudiantes del IBTI pasen a la educación superior de la ETITC.</v>
      </c>
      <c r="E22" s="12" t="str">
        <f aca="false">Base_OAPDI!F20</f>
        <v>N.° y % de egresados del IBTI matriculados en programas de la ETITC</v>
      </c>
      <c r="F22" s="12" t="str">
        <f aca="false">Base_OAPDI!G20</f>
        <v>30% (MPI: 250 estudiantes en 2032)</v>
      </c>
      <c r="G22" s="12" t="str">
        <f aca="false">Base_OAPDI!H20</f>
        <v>40 estudiantes</v>
      </c>
      <c r="H22" s="12" t="str">
        <f aca="false">Base_OAPDI!I20</f>
        <v>A21</v>
      </c>
      <c r="I22" s="12" t="str">
        <f aca="false">Base_OAPDI!J20</f>
        <v>122 · GIT Bienestar Universitario</v>
      </c>
      <c r="J22" s="12" t="str">
        <f aca="false">Base_OAPDI!K20</f>
        <v>GIT Bienestar Universitario</v>
      </c>
      <c r="K22" s="12" t="str">
        <f aca="false">Base_OAPDI!L20</f>
        <v>Gestión de Bienestar Universitario</v>
      </c>
      <c r="L22" s="12" t="n">
        <f aca="false">Base_OAPDI!N20</f>
        <v>2</v>
      </c>
      <c r="M22" s="12" t="n">
        <f aca="false">Base_OAPDI!P20</f>
        <v>1</v>
      </c>
      <c r="N22" s="12" t="n">
        <f aca="false">Base_OAPDI!Q20</f>
        <v>0</v>
      </c>
      <c r="O22" s="12" t="str">
        <f aca="false">Base_OAPDI!R20</f>
        <v>Cerrar o reprogramar 1 producto(s) 2026 pendiente(s) de esta meta.</v>
      </c>
      <c r="P22" s="12" t="str">
        <f aca="false">Base_OAPDI!S20</f>
        <v>IMP-12; IMP-06</v>
      </c>
      <c r="Q22" s="11"/>
      <c r="R22" s="11"/>
      <c r="S22" s="11"/>
      <c r="T22" s="18"/>
      <c r="U22" s="18"/>
      <c r="V22" s="11"/>
      <c r="W22" s="11"/>
      <c r="X22" s="11"/>
      <c r="Y22" s="11"/>
      <c r="Z22" s="11"/>
      <c r="AA22" s="11"/>
      <c r="AB22" s="12" t="str">
        <f aca="false">IF(AA22="","",INDEX(Catalogos!$Y$5:$Y$25,MATCH(AA22,L_IMP,0)))</f>
        <v/>
      </c>
      <c r="AC22" s="11"/>
      <c r="AD22" s="11"/>
      <c r="AE22" s="11"/>
      <c r="AF22" s="10" t="str">
        <f aca="false">IF(Q22="","Pendiente por formular",IF(OR(S22="",T22="",U22="",V22="",W22="",X22="",Z22="",AA22=""),"Incompleta: faltan campos obligatorios",IF(OR(NOT(ISNUMBER(T22)),NOT(ISNUMBER(U22))),"Fecha inválida",IF(U22&lt;T22,"La fecha de fin es anterior a la de inicio",IF(OR(YEAR(T22)&lt;&gt;2027,YEAR(U22)&lt;&gt;2027),"Fechas fuera de la vigencia 2027",IF(ISERROR(SEARCH("@itc.edu.co",V22)),"El responsable no tiene correo institucional",IF(ISERROR(SEARCH(Z22,INDEX(Catalogos!$Z$5:$Z$25,MATCH(AA22,L_IMP,0)))),"La dimensión no corresponde al indicador de impacto","OK")))))))</f>
        <v>Pendiente por formular</v>
      </c>
    </row>
    <row r="23" customFormat="false" ht="39" hidden="false" customHeight="true" outlineLevel="0" collapsed="false">
      <c r="A23" s="12" t="str">
        <f aca="false">Base_OAPDI!A21</f>
        <v>E1-017</v>
      </c>
      <c r="B23" s="12" t="str">
        <f aca="false">Base_OAPDI!B21</f>
        <v>1.1.1.2</v>
      </c>
      <c r="C23" s="12" t="str">
        <f aca="false">Base_OAPDI!D21</f>
        <v>1.1 Ampliación de cobertura</v>
      </c>
      <c r="D23" s="12" t="str">
        <f aca="false">Base_OAPDI!E21</f>
        <v>Lograr que el 30% de los estudiantes del IBTI pasen a la educación superior de la ETITC.</v>
      </c>
      <c r="E23" s="12" t="str">
        <f aca="false">Base_OAPDI!F21</f>
        <v>N.° y % de egresados del IBTI matriculados en programas de la ETITC</v>
      </c>
      <c r="F23" s="12" t="str">
        <f aca="false">Base_OAPDI!G21</f>
        <v>30% (MPI: 250 estudiantes en 2032)</v>
      </c>
      <c r="G23" s="12" t="str">
        <f aca="false">Base_OAPDI!H21</f>
        <v>40 estudiantes</v>
      </c>
      <c r="H23" s="12" t="str">
        <f aca="false">Base_OAPDI!I21</f>
        <v>A22</v>
      </c>
      <c r="I23" s="12" t="str">
        <f aca="false">Base_OAPDI!J21</f>
        <v>123 · Facultades</v>
      </c>
      <c r="J23" s="12" t="str">
        <f aca="false">Base_OAPDI!K21</f>
        <v>Facultad de Electromecánica</v>
      </c>
      <c r="K23" s="12" t="str">
        <f aca="false">Base_OAPDI!L21</f>
        <v>Docencia PES</v>
      </c>
      <c r="L23" s="12" t="n">
        <f aca="false">Base_OAPDI!N21</f>
        <v>1</v>
      </c>
      <c r="M23" s="12" t="n">
        <f aca="false">Base_OAPDI!P21</f>
        <v>1</v>
      </c>
      <c r="N23" s="12" t="n">
        <f aca="false">Base_OAPDI!Q21</f>
        <v>0</v>
      </c>
      <c r="O23" s="12" t="str">
        <f aca="false">Base_OAPDI!R21</f>
        <v>Cerrar o reprogramar 1 producto(s) 2026 pendiente(s) de esta meta.</v>
      </c>
      <c r="P23" s="12" t="str">
        <f aca="false">Base_OAPDI!S21</f>
        <v>IMP-12; IMP-06</v>
      </c>
      <c r="Q23" s="11"/>
      <c r="R23" s="11"/>
      <c r="S23" s="11"/>
      <c r="T23" s="18"/>
      <c r="U23" s="18"/>
      <c r="V23" s="11"/>
      <c r="W23" s="11"/>
      <c r="X23" s="11"/>
      <c r="Y23" s="11"/>
      <c r="Z23" s="11"/>
      <c r="AA23" s="11"/>
      <c r="AB23" s="12" t="str">
        <f aca="false">IF(AA23="","",INDEX(Catalogos!$Y$5:$Y$25,MATCH(AA23,L_IMP,0)))</f>
        <v/>
      </c>
      <c r="AC23" s="11"/>
      <c r="AD23" s="11"/>
      <c r="AE23" s="11"/>
      <c r="AF23" s="10" t="str">
        <f aca="false">IF(Q23="","Pendiente por formular",IF(OR(S23="",T23="",U23="",V23="",W23="",X23="",Z23="",AA23=""),"Incompleta: faltan campos obligatorios",IF(OR(NOT(ISNUMBER(T23)),NOT(ISNUMBER(U23))),"Fecha inválida",IF(U23&lt;T23,"La fecha de fin es anterior a la de inicio",IF(OR(YEAR(T23)&lt;&gt;2027,YEAR(U23)&lt;&gt;2027),"Fechas fuera de la vigencia 2027",IF(ISERROR(SEARCH("@itc.edu.co",V23)),"El responsable no tiene correo institucional",IF(ISERROR(SEARCH(Z23,INDEX(Catalogos!$Z$5:$Z$25,MATCH(AA23,L_IMP,0)))),"La dimensión no corresponde al indicador de impacto","OK")))))))</f>
        <v>Pendiente por formular</v>
      </c>
    </row>
    <row r="24" customFormat="false" ht="39" hidden="false" customHeight="true" outlineLevel="0" collapsed="false">
      <c r="A24" s="12" t="str">
        <f aca="false">Base_OAPDI!A22</f>
        <v>E1-018</v>
      </c>
      <c r="B24" s="12" t="str">
        <f aca="false">Base_OAPDI!B22</f>
        <v>1.1.1.2</v>
      </c>
      <c r="C24" s="12" t="str">
        <f aca="false">Base_OAPDI!D22</f>
        <v>1.1 Ampliación de cobertura</v>
      </c>
      <c r="D24" s="12" t="str">
        <f aca="false">Base_OAPDI!E22</f>
        <v>Lograr que el 30% de los estudiantes del IBTI pasen a la educación superior de la ETITC.</v>
      </c>
      <c r="E24" s="12" t="str">
        <f aca="false">Base_OAPDI!F22</f>
        <v>N.° y % de egresados del IBTI matriculados en programas de la ETITC</v>
      </c>
      <c r="F24" s="12" t="str">
        <f aca="false">Base_OAPDI!G22</f>
        <v>30% (MPI: 250 estudiantes en 2032)</v>
      </c>
      <c r="G24" s="12" t="str">
        <f aca="false">Base_OAPDI!H22</f>
        <v>40 estudiantes</v>
      </c>
      <c r="H24" s="12" t="str">
        <f aca="false">Base_OAPDI!I22</f>
        <v>A23</v>
      </c>
      <c r="I24" s="12" t="str">
        <f aca="false">Base_OAPDI!J22</f>
        <v>123 · Facultades</v>
      </c>
      <c r="J24" s="12" t="str">
        <f aca="false">Base_OAPDI!K22</f>
        <v>Facultad de Mecánica</v>
      </c>
      <c r="K24" s="12" t="str">
        <f aca="false">Base_OAPDI!L22</f>
        <v>Docencia PES</v>
      </c>
      <c r="L24" s="12" t="n">
        <f aca="false">Base_OAPDI!N22</f>
        <v>1</v>
      </c>
      <c r="M24" s="12" t="n">
        <f aca="false">Base_OAPDI!P22</f>
        <v>1</v>
      </c>
      <c r="N24" s="12" t="n">
        <f aca="false">Base_OAPDI!Q22</f>
        <v>0</v>
      </c>
      <c r="O24" s="12" t="str">
        <f aca="false">Base_OAPDI!R22</f>
        <v>Cerrar o reprogramar 1 producto(s) 2026 pendiente(s) de esta meta.</v>
      </c>
      <c r="P24" s="12" t="str">
        <f aca="false">Base_OAPDI!S22</f>
        <v>IMP-12; IMP-06</v>
      </c>
      <c r="Q24" s="11"/>
      <c r="R24" s="11"/>
      <c r="S24" s="11"/>
      <c r="T24" s="18"/>
      <c r="U24" s="18"/>
      <c r="V24" s="11"/>
      <c r="W24" s="11"/>
      <c r="X24" s="11"/>
      <c r="Y24" s="11"/>
      <c r="Z24" s="11"/>
      <c r="AA24" s="11"/>
      <c r="AB24" s="12" t="str">
        <f aca="false">IF(AA24="","",INDEX(Catalogos!$Y$5:$Y$25,MATCH(AA24,L_IMP,0)))</f>
        <v/>
      </c>
      <c r="AC24" s="11"/>
      <c r="AD24" s="11"/>
      <c r="AE24" s="11"/>
      <c r="AF24" s="10" t="str">
        <f aca="false">IF(Q24="","Pendiente por formular",IF(OR(S24="",T24="",U24="",V24="",W24="",X24="",Z24="",AA24=""),"Incompleta: faltan campos obligatorios",IF(OR(NOT(ISNUMBER(T24)),NOT(ISNUMBER(U24))),"Fecha inválida",IF(U24&lt;T24,"La fecha de fin es anterior a la de inicio",IF(OR(YEAR(T24)&lt;&gt;2027,YEAR(U24)&lt;&gt;2027),"Fechas fuera de la vigencia 2027",IF(ISERROR(SEARCH("@itc.edu.co",V24)),"El responsable no tiene correo institucional",IF(ISERROR(SEARCH(Z24,INDEX(Catalogos!$Z$5:$Z$25,MATCH(AA24,L_IMP,0)))),"La dimensión no corresponde al indicador de impacto","OK")))))))</f>
        <v>Pendiente por formular</v>
      </c>
    </row>
    <row r="25" customFormat="false" ht="39" hidden="false" customHeight="true" outlineLevel="0" collapsed="false">
      <c r="A25" s="12" t="str">
        <f aca="false">Base_OAPDI!A23</f>
        <v>E1-019</v>
      </c>
      <c r="B25" s="12" t="str">
        <f aca="false">Base_OAPDI!B23</f>
        <v>1.1.1.2</v>
      </c>
      <c r="C25" s="12" t="str">
        <f aca="false">Base_OAPDI!D23</f>
        <v>1.1 Ampliación de cobertura</v>
      </c>
      <c r="D25" s="12" t="str">
        <f aca="false">Base_OAPDI!E23</f>
        <v>Lograr que el 30% de los estudiantes del IBTI pasen a la educación superior de la ETITC.</v>
      </c>
      <c r="E25" s="12" t="str">
        <f aca="false">Base_OAPDI!F23</f>
        <v>N.° y % de egresados del IBTI matriculados en programas de la ETITC</v>
      </c>
      <c r="F25" s="12" t="str">
        <f aca="false">Base_OAPDI!G23</f>
        <v>30% (MPI: 250 estudiantes en 2032)</v>
      </c>
      <c r="G25" s="12" t="str">
        <f aca="false">Base_OAPDI!H23</f>
        <v>40 estudiantes</v>
      </c>
      <c r="H25" s="12" t="str">
        <f aca="false">Base_OAPDI!I23</f>
        <v>A24</v>
      </c>
      <c r="I25" s="12" t="str">
        <f aca="false">Base_OAPDI!J23</f>
        <v>123 · Facultades</v>
      </c>
      <c r="J25" s="12" t="str">
        <f aca="false">Base_OAPDI!K23</f>
        <v>Facultad de Mecatrónica</v>
      </c>
      <c r="K25" s="12" t="str">
        <f aca="false">Base_OAPDI!L23</f>
        <v>Docencia PES</v>
      </c>
      <c r="L25" s="12" t="n">
        <f aca="false">Base_OAPDI!N23</f>
        <v>1</v>
      </c>
      <c r="M25" s="12" t="n">
        <f aca="false">Base_OAPDI!P23</f>
        <v>1</v>
      </c>
      <c r="N25" s="12" t="n">
        <f aca="false">Base_OAPDI!Q23</f>
        <v>0</v>
      </c>
      <c r="O25" s="12" t="str">
        <f aca="false">Base_OAPDI!R23</f>
        <v>Cerrar o reprogramar 1 producto(s) 2026 pendiente(s) de esta meta.</v>
      </c>
      <c r="P25" s="12" t="str">
        <f aca="false">Base_OAPDI!S23</f>
        <v>IMP-12; IMP-06</v>
      </c>
      <c r="Q25" s="11"/>
      <c r="R25" s="11"/>
      <c r="S25" s="11"/>
      <c r="T25" s="18"/>
      <c r="U25" s="18"/>
      <c r="V25" s="11"/>
      <c r="W25" s="11"/>
      <c r="X25" s="11"/>
      <c r="Y25" s="11"/>
      <c r="Z25" s="11"/>
      <c r="AA25" s="11"/>
      <c r="AB25" s="12" t="str">
        <f aca="false">IF(AA25="","",INDEX(Catalogos!$Y$5:$Y$25,MATCH(AA25,L_IMP,0)))</f>
        <v/>
      </c>
      <c r="AC25" s="11"/>
      <c r="AD25" s="11"/>
      <c r="AE25" s="11"/>
      <c r="AF25" s="10" t="str">
        <f aca="false">IF(Q25="","Pendiente por formular",IF(OR(S25="",T25="",U25="",V25="",W25="",X25="",Z25="",AA25=""),"Incompleta: faltan campos obligatorios",IF(OR(NOT(ISNUMBER(T25)),NOT(ISNUMBER(U25))),"Fecha inválida",IF(U25&lt;T25,"La fecha de fin es anterior a la de inicio",IF(OR(YEAR(T25)&lt;&gt;2027,YEAR(U25)&lt;&gt;2027),"Fechas fuera de la vigencia 2027",IF(ISERROR(SEARCH("@itc.edu.co",V25)),"El responsable no tiene correo institucional",IF(ISERROR(SEARCH(Z25,INDEX(Catalogos!$Z$5:$Z$25,MATCH(AA25,L_IMP,0)))),"La dimensión no corresponde al indicador de impacto","OK")))))))</f>
        <v>Pendiente por formular</v>
      </c>
    </row>
    <row r="26" customFormat="false" ht="39" hidden="false" customHeight="true" outlineLevel="0" collapsed="false">
      <c r="A26" s="12" t="str">
        <f aca="false">Base_OAPDI!A24</f>
        <v>E1-020</v>
      </c>
      <c r="B26" s="12" t="str">
        <f aca="false">Base_OAPDI!B24</f>
        <v>1.1.1.2</v>
      </c>
      <c r="C26" s="12" t="str">
        <f aca="false">Base_OAPDI!D24</f>
        <v>1.1 Ampliación de cobertura</v>
      </c>
      <c r="D26" s="12" t="str">
        <f aca="false">Base_OAPDI!E24</f>
        <v>Lograr que el 30% de los estudiantes del IBTI pasen a la educación superior de la ETITC.</v>
      </c>
      <c r="E26" s="12" t="str">
        <f aca="false">Base_OAPDI!F24</f>
        <v>N.° y % de egresados del IBTI matriculados en programas de la ETITC</v>
      </c>
      <c r="F26" s="12" t="str">
        <f aca="false">Base_OAPDI!G24</f>
        <v>30% (MPI: 250 estudiantes en 2032)</v>
      </c>
      <c r="G26" s="12" t="str">
        <f aca="false">Base_OAPDI!H24</f>
        <v>40 estudiantes</v>
      </c>
      <c r="H26" s="12" t="str">
        <f aca="false">Base_OAPDI!I24</f>
        <v>A25</v>
      </c>
      <c r="I26" s="12" t="str">
        <f aca="false">Base_OAPDI!J24</f>
        <v>123 · Facultades</v>
      </c>
      <c r="J26" s="12" t="str">
        <f aca="false">Base_OAPDI!K24</f>
        <v>Facultad de Procesos Industriales</v>
      </c>
      <c r="K26" s="12" t="str">
        <f aca="false">Base_OAPDI!L24</f>
        <v>Docencia PES</v>
      </c>
      <c r="L26" s="12" t="n">
        <f aca="false">Base_OAPDI!N24</f>
        <v>1</v>
      </c>
      <c r="M26" s="12" t="n">
        <f aca="false">Base_OAPDI!P24</f>
        <v>1</v>
      </c>
      <c r="N26" s="12" t="n">
        <f aca="false">Base_OAPDI!Q24</f>
        <v>0</v>
      </c>
      <c r="O26" s="12" t="str">
        <f aca="false">Base_OAPDI!R24</f>
        <v>Cerrar o reprogramar 1 producto(s) 2026 pendiente(s) de esta meta.</v>
      </c>
      <c r="P26" s="12" t="str">
        <f aca="false">Base_OAPDI!S24</f>
        <v>IMP-12; IMP-06</v>
      </c>
      <c r="Q26" s="11"/>
      <c r="R26" s="11"/>
      <c r="S26" s="11"/>
      <c r="T26" s="18"/>
      <c r="U26" s="18"/>
      <c r="V26" s="11"/>
      <c r="W26" s="11"/>
      <c r="X26" s="11"/>
      <c r="Y26" s="11"/>
      <c r="Z26" s="11"/>
      <c r="AA26" s="11"/>
      <c r="AB26" s="12" t="str">
        <f aca="false">IF(AA26="","",INDEX(Catalogos!$Y$5:$Y$25,MATCH(AA26,L_IMP,0)))</f>
        <v/>
      </c>
      <c r="AC26" s="11"/>
      <c r="AD26" s="11"/>
      <c r="AE26" s="11"/>
      <c r="AF26" s="10" t="str">
        <f aca="false">IF(Q26="","Pendiente por formular",IF(OR(S26="",T26="",U26="",V26="",W26="",X26="",Z26="",AA26=""),"Incompleta: faltan campos obligatorios",IF(OR(NOT(ISNUMBER(T26)),NOT(ISNUMBER(U26))),"Fecha inválida",IF(U26&lt;T26,"La fecha de fin es anterior a la de inicio",IF(OR(YEAR(T26)&lt;&gt;2027,YEAR(U26)&lt;&gt;2027),"Fechas fuera de la vigencia 2027",IF(ISERROR(SEARCH("@itc.edu.co",V26)),"El responsable no tiene correo institucional",IF(ISERROR(SEARCH(Z26,INDEX(Catalogos!$Z$5:$Z$25,MATCH(AA26,L_IMP,0)))),"La dimensión no corresponde al indicador de impacto","OK")))))))</f>
        <v>Pendiente por formular</v>
      </c>
    </row>
    <row r="27" customFormat="false" ht="39" hidden="false" customHeight="true" outlineLevel="0" collapsed="false">
      <c r="A27" s="12" t="str">
        <f aca="false">Base_OAPDI!A25</f>
        <v>E1-021</v>
      </c>
      <c r="B27" s="12" t="str">
        <f aca="false">Base_OAPDI!B25</f>
        <v>1.1.1.2</v>
      </c>
      <c r="C27" s="12" t="str">
        <f aca="false">Base_OAPDI!D25</f>
        <v>1.1 Ampliación de cobertura</v>
      </c>
      <c r="D27" s="12" t="str">
        <f aca="false">Base_OAPDI!E25</f>
        <v>Lograr que el 30% de los estudiantes del IBTI pasen a la educación superior de la ETITC.</v>
      </c>
      <c r="E27" s="12" t="str">
        <f aca="false">Base_OAPDI!F25</f>
        <v>N.° y % de egresados del IBTI matriculados en programas de la ETITC</v>
      </c>
      <c r="F27" s="12" t="str">
        <f aca="false">Base_OAPDI!G25</f>
        <v>30% (MPI: 250 estudiantes en 2032)</v>
      </c>
      <c r="G27" s="12" t="str">
        <f aca="false">Base_OAPDI!H25</f>
        <v>40 estudiantes</v>
      </c>
      <c r="H27" s="12" t="str">
        <f aca="false">Base_OAPDI!I25</f>
        <v>A26</v>
      </c>
      <c r="I27" s="12" t="str">
        <f aca="false">Base_OAPDI!J25</f>
        <v>123 · Facultades</v>
      </c>
      <c r="J27" s="12" t="str">
        <f aca="false">Base_OAPDI!K25</f>
        <v>Facultad de Sistemas</v>
      </c>
      <c r="K27" s="12" t="str">
        <f aca="false">Base_OAPDI!L25</f>
        <v>Docencia PES</v>
      </c>
      <c r="L27" s="12" t="n">
        <f aca="false">Base_OAPDI!N25</f>
        <v>1</v>
      </c>
      <c r="M27" s="12" t="n">
        <f aca="false">Base_OAPDI!P25</f>
        <v>1</v>
      </c>
      <c r="N27" s="12" t="n">
        <f aca="false">Base_OAPDI!Q25</f>
        <v>0</v>
      </c>
      <c r="O27" s="12" t="str">
        <f aca="false">Base_OAPDI!R25</f>
        <v>Cerrar o reprogramar 1 producto(s) 2026 pendiente(s) de esta meta.</v>
      </c>
      <c r="P27" s="12" t="str">
        <f aca="false">Base_OAPDI!S25</f>
        <v>IMP-12; IMP-06</v>
      </c>
      <c r="Q27" s="11"/>
      <c r="R27" s="11"/>
      <c r="S27" s="11"/>
      <c r="T27" s="18"/>
      <c r="U27" s="18"/>
      <c r="V27" s="11"/>
      <c r="W27" s="11"/>
      <c r="X27" s="11"/>
      <c r="Y27" s="11"/>
      <c r="Z27" s="11"/>
      <c r="AA27" s="11"/>
      <c r="AB27" s="12" t="str">
        <f aca="false">IF(AA27="","",INDEX(Catalogos!$Y$5:$Y$25,MATCH(AA27,L_IMP,0)))</f>
        <v/>
      </c>
      <c r="AC27" s="11"/>
      <c r="AD27" s="11"/>
      <c r="AE27" s="11"/>
      <c r="AF27" s="10" t="str">
        <f aca="false">IF(Q27="","Pendiente por formular",IF(OR(S27="",T27="",U27="",V27="",W27="",X27="",Z27="",AA27=""),"Incompleta: faltan campos obligatorios",IF(OR(NOT(ISNUMBER(T27)),NOT(ISNUMBER(U27))),"Fecha inválida",IF(U27&lt;T27,"La fecha de fin es anterior a la de inicio",IF(OR(YEAR(T27)&lt;&gt;2027,YEAR(U27)&lt;&gt;2027),"Fechas fuera de la vigencia 2027",IF(ISERROR(SEARCH("@itc.edu.co",V27)),"El responsable no tiene correo institucional",IF(ISERROR(SEARCH(Z27,INDEX(Catalogos!$Z$5:$Z$25,MATCH(AA27,L_IMP,0)))),"La dimensión no corresponde al indicador de impacto","OK")))))))</f>
        <v>Pendiente por formular</v>
      </c>
    </row>
    <row r="28" customFormat="false" ht="52.5" hidden="false" customHeight="true" outlineLevel="0" collapsed="false">
      <c r="A28" s="12" t="str">
        <f aca="false">Base_OAPDI!A26</f>
        <v>E1-022</v>
      </c>
      <c r="B28" s="12" t="str">
        <f aca="false">Base_OAPDI!B26</f>
        <v>1.1.1.2</v>
      </c>
      <c r="C28" s="12" t="str">
        <f aca="false">Base_OAPDI!D26</f>
        <v>1.1 Ampliación de cobertura</v>
      </c>
      <c r="D28" s="12" t="str">
        <f aca="false">Base_OAPDI!E26</f>
        <v>Lograr que el 30% de los estudiantes del IBTI pasen a la educación superior de la ETITC.</v>
      </c>
      <c r="E28" s="12" t="str">
        <f aca="false">Base_OAPDI!F26</f>
        <v>N.° y % de egresados del IBTI matriculados en programas de la ETITC</v>
      </c>
      <c r="F28" s="12" t="str">
        <f aca="false">Base_OAPDI!G26</f>
        <v>30% (MPI: 250 estudiantes en 2032)</v>
      </c>
      <c r="G28" s="12" t="str">
        <f aca="false">Base_OAPDI!H26</f>
        <v>40 estudiantes</v>
      </c>
      <c r="H28" s="12" t="str">
        <f aca="false">Base_OAPDI!I26</f>
        <v>A27</v>
      </c>
      <c r="I28" s="12" t="str">
        <f aca="false">Base_OAPDI!J26</f>
        <v>124 · Instituto de Bachillerato Técnico Industrial (IBTI)</v>
      </c>
      <c r="J28" s="12" t="str">
        <f aca="false">Base_OAPDI!K26</f>
        <v>IBTI</v>
      </c>
      <c r="K28" s="12" t="str">
        <f aca="false">Base_OAPDI!L26</f>
        <v>Docencia IBTI</v>
      </c>
      <c r="L28" s="12" t="n">
        <f aca="false">Base_OAPDI!N26</f>
        <v>3</v>
      </c>
      <c r="M28" s="12" t="n">
        <f aca="false">Base_OAPDI!P26</f>
        <v>1</v>
      </c>
      <c r="N28" s="12" t="n">
        <f aca="false">Base_OAPDI!Q26</f>
        <v>0</v>
      </c>
      <c r="O28" s="12" t="str">
        <f aca="false">Base_OAPDI!R26</f>
        <v>Acciones propuestas por la OAPDI (valídelas y formúlelas en esta fila o en Acciones adicionales): A27-008 Implementar la ruta de admisión y tránsito IBTI → educación superior. Cerrar o reprogramar 1 producto(s) 2026 pendiente(s) de esta meta.</v>
      </c>
      <c r="P28" s="12" t="str">
        <f aca="false">Base_OAPDI!S26</f>
        <v>IMP-12; IMP-06</v>
      </c>
      <c r="Q28" s="11"/>
      <c r="R28" s="11"/>
      <c r="S28" s="11"/>
      <c r="T28" s="18"/>
      <c r="U28" s="18"/>
      <c r="V28" s="11"/>
      <c r="W28" s="11"/>
      <c r="X28" s="11"/>
      <c r="Y28" s="11"/>
      <c r="Z28" s="11"/>
      <c r="AA28" s="11"/>
      <c r="AB28" s="12" t="str">
        <f aca="false">IF(AA28="","",INDEX(Catalogos!$Y$5:$Y$25,MATCH(AA28,L_IMP,0)))</f>
        <v/>
      </c>
      <c r="AC28" s="11"/>
      <c r="AD28" s="11"/>
      <c r="AE28" s="11"/>
      <c r="AF28" s="10" t="str">
        <f aca="false">IF(Q28="","Pendiente por formular",IF(OR(S28="",T28="",U28="",V28="",W28="",X28="",Z28="",AA28=""),"Incompleta: faltan campos obligatorios",IF(OR(NOT(ISNUMBER(T28)),NOT(ISNUMBER(U28))),"Fecha inválida",IF(U28&lt;T28,"La fecha de fin es anterior a la de inicio",IF(OR(YEAR(T28)&lt;&gt;2027,YEAR(U28)&lt;&gt;2027),"Fechas fuera de la vigencia 2027",IF(ISERROR(SEARCH("@itc.edu.co",V28)),"El responsable no tiene correo institucional",IF(ISERROR(SEARCH(Z28,INDEX(Catalogos!$Z$5:$Z$25,MATCH(AA28,L_IMP,0)))),"La dimensión no corresponde al indicador de impacto","OK")))))))</f>
        <v>Pendiente por formular</v>
      </c>
    </row>
    <row r="29" customFormat="false" ht="52.5" hidden="false" customHeight="true" outlineLevel="0" collapsed="false">
      <c r="A29" s="12" t="str">
        <f aca="false">Base_OAPDI!A27</f>
        <v>E1-023</v>
      </c>
      <c r="B29" s="12" t="str">
        <f aca="false">Base_OAPDI!B27</f>
        <v>1.1.1.2</v>
      </c>
      <c r="C29" s="12" t="str">
        <f aca="false">Base_OAPDI!D27</f>
        <v>1.1 Ampliación de cobertura</v>
      </c>
      <c r="D29" s="12" t="str">
        <f aca="false">Base_OAPDI!E27</f>
        <v>Lograr que el 30% de los estudiantes del IBTI pasen a la educación superior de la ETITC.</v>
      </c>
      <c r="E29" s="12" t="str">
        <f aca="false">Base_OAPDI!F27</f>
        <v>N.° y % de egresados del IBTI matriculados en programas de la ETITC</v>
      </c>
      <c r="F29" s="12" t="str">
        <f aca="false">Base_OAPDI!G27</f>
        <v>30% (MPI: 250 estudiantes en 2032)</v>
      </c>
      <c r="G29" s="12" t="str">
        <f aca="false">Base_OAPDI!H27</f>
        <v>40 estudiantes</v>
      </c>
      <c r="H29" s="12" t="str">
        <f aca="false">Base_OAPDI!I27</f>
        <v>A29</v>
      </c>
      <c r="I29" s="12" t="str">
        <f aca="false">Base_OAPDI!J27</f>
        <v>126 · GIT Registro y Control</v>
      </c>
      <c r="J29" s="12" t="str">
        <f aca="false">Base_OAPDI!K27</f>
        <v>GIT Registro, Control y Admisiones</v>
      </c>
      <c r="K29" s="12" t="str">
        <f aca="false">Base_OAPDI!L27</f>
        <v>Docencia PES</v>
      </c>
      <c r="L29" s="12" t="n">
        <f aca="false">Base_OAPDI!N27</f>
        <v>1</v>
      </c>
      <c r="M29" s="12" t="n">
        <f aca="false">Base_OAPDI!P27</f>
        <v>1</v>
      </c>
      <c r="N29" s="12" t="n">
        <f aca="false">Base_OAPDI!Q27</f>
        <v>0</v>
      </c>
      <c r="O29" s="12" t="str">
        <f aca="false">Base_OAPDI!R27</f>
        <v>Acciones propuestas por la OAPDI (valídelas y formúlelas en esta fila o en Acciones adicionales): A27-009 Hacer seguimiento a la cohorte que transita y a su permanencia en el primer año. Cerrar o reprogramar 1 producto(s) 2026 pendiente(s) de esta meta.</v>
      </c>
      <c r="P29" s="12" t="str">
        <f aca="false">Base_OAPDI!S27</f>
        <v>IMP-12; IMP-06</v>
      </c>
      <c r="Q29" s="11"/>
      <c r="R29" s="11"/>
      <c r="S29" s="11"/>
      <c r="T29" s="18"/>
      <c r="U29" s="18"/>
      <c r="V29" s="11"/>
      <c r="W29" s="11"/>
      <c r="X29" s="11"/>
      <c r="Y29" s="11"/>
      <c r="Z29" s="11"/>
      <c r="AA29" s="11"/>
      <c r="AB29" s="12" t="str">
        <f aca="false">IF(AA29="","",INDEX(Catalogos!$Y$5:$Y$25,MATCH(AA29,L_IMP,0)))</f>
        <v/>
      </c>
      <c r="AC29" s="11"/>
      <c r="AD29" s="11"/>
      <c r="AE29" s="11"/>
      <c r="AF29" s="10" t="str">
        <f aca="false">IF(Q29="","Pendiente por formular",IF(OR(S29="",T29="",U29="",V29="",W29="",X29="",Z29="",AA29=""),"Incompleta: faltan campos obligatorios",IF(OR(NOT(ISNUMBER(T29)),NOT(ISNUMBER(U29))),"Fecha inválida",IF(U29&lt;T29,"La fecha de fin es anterior a la de inicio",IF(OR(YEAR(T29)&lt;&gt;2027,YEAR(U29)&lt;&gt;2027),"Fechas fuera de la vigencia 2027",IF(ISERROR(SEARCH("@itc.edu.co",V29)),"El responsable no tiene correo institucional",IF(ISERROR(SEARCH(Z29,INDEX(Catalogos!$Z$5:$Z$25,MATCH(AA29,L_IMP,0)))),"La dimensión no corresponde al indicador de impacto","OK")))))))</f>
        <v>Pendiente por formular</v>
      </c>
    </row>
    <row r="30" customFormat="false" ht="39" hidden="false" customHeight="true" outlineLevel="0" collapsed="false">
      <c r="A30" s="12" t="str">
        <f aca="false">Base_OAPDI!A28</f>
        <v>E1-024</v>
      </c>
      <c r="B30" s="12" t="str">
        <f aca="false">Base_OAPDI!B28</f>
        <v>1.1.1.2</v>
      </c>
      <c r="C30" s="12" t="str">
        <f aca="false">Base_OAPDI!D28</f>
        <v>1.1 Ampliación de cobertura</v>
      </c>
      <c r="D30" s="12" t="str">
        <f aca="false">Base_OAPDI!E28</f>
        <v>Lograr que el 30% de los estudiantes del IBTI pasen a la educación superior de la ETITC.</v>
      </c>
      <c r="E30" s="12" t="str">
        <f aca="false">Base_OAPDI!F28</f>
        <v>N.° y % de egresados del IBTI matriculados en programas de la ETITC</v>
      </c>
      <c r="F30" s="12" t="str">
        <f aca="false">Base_OAPDI!G28</f>
        <v>30% (MPI: 250 estudiantes en 2032)</v>
      </c>
      <c r="G30" s="12" t="str">
        <f aca="false">Base_OAPDI!H28</f>
        <v>40 estudiantes</v>
      </c>
      <c r="H30" s="12" t="str">
        <f aca="false">Base_OAPDI!I28</f>
        <v>A34</v>
      </c>
      <c r="I30" s="12" t="str">
        <f aca="false">Base_OAPDI!J28</f>
        <v>132 · GIT Gestión de Informática y Telecomunicaciones</v>
      </c>
      <c r="J30" s="12" t="str">
        <f aca="false">Base_OAPDI!K28</f>
        <v>GIT Informática y Telecomunicaciones</v>
      </c>
      <c r="K30" s="12" t="str">
        <f aca="false">Base_OAPDI!L28</f>
        <v>Gestión de Informática y Telecomunicaciones</v>
      </c>
      <c r="L30" s="12" t="n">
        <f aca="false">Base_OAPDI!N28</f>
        <v>0</v>
      </c>
      <c r="M30" s="12" t="n">
        <f aca="false">Base_OAPDI!P28</f>
        <v>0</v>
      </c>
      <c r="N30" s="12" t="n">
        <f aca="false">Base_OAPDI!Q28</f>
        <v>0</v>
      </c>
      <c r="O30" s="12" t="str">
        <f aca="false">Base_OAPDI!R28</f>
        <v>Formular al menos una acción que contribuya a la meta institucional 2027 de esta meta.</v>
      </c>
      <c r="P30" s="12" t="str">
        <f aca="false">Base_OAPDI!S28</f>
        <v>IMP-12; IMP-06</v>
      </c>
      <c r="Q30" s="11"/>
      <c r="R30" s="11"/>
      <c r="S30" s="11"/>
      <c r="T30" s="18"/>
      <c r="U30" s="18"/>
      <c r="V30" s="11"/>
      <c r="W30" s="11"/>
      <c r="X30" s="11"/>
      <c r="Y30" s="11"/>
      <c r="Z30" s="11"/>
      <c r="AA30" s="11"/>
      <c r="AB30" s="12" t="str">
        <f aca="false">IF(AA30="","",INDEX(Catalogos!$Y$5:$Y$25,MATCH(AA30,L_IMP,0)))</f>
        <v/>
      </c>
      <c r="AC30" s="11"/>
      <c r="AD30" s="11"/>
      <c r="AE30" s="11"/>
      <c r="AF30" s="10" t="str">
        <f aca="false">IF(Q30="","Pendiente por formular",IF(OR(S30="",T30="",U30="",V30="",W30="",X30="",Z30="",AA30=""),"Incompleta: faltan campos obligatorios",IF(OR(NOT(ISNUMBER(T30)),NOT(ISNUMBER(U30))),"Fecha inválida",IF(U30&lt;T30,"La fecha de fin es anterior a la de inicio",IF(OR(YEAR(T30)&lt;&gt;2027,YEAR(U30)&lt;&gt;2027),"Fechas fuera de la vigencia 2027",IF(ISERROR(SEARCH("@itc.edu.co",V30)),"El responsable no tiene correo institucional",IF(ISERROR(SEARCH(Z30,INDEX(Catalogos!$Z$5:$Z$25,MATCH(AA30,L_IMP,0)))),"La dimensión no corresponde al indicador de impacto","OK")))))))</f>
        <v>Pendiente por formular</v>
      </c>
    </row>
    <row r="31" customFormat="false" ht="158.25" hidden="false" customHeight="true" outlineLevel="0" collapsed="false">
      <c r="A31" s="12" t="str">
        <f aca="false">Base_OAPDI!A29</f>
        <v>E1-025</v>
      </c>
      <c r="B31" s="12" t="str">
        <f aca="false">Base_OAPDI!B29</f>
        <v>1.2.1.1</v>
      </c>
      <c r="C31" s="12" t="str">
        <f aca="false">Base_OAPDI!D29</f>
        <v>1.2 Oferta educativa</v>
      </c>
      <c r="D31" s="12" t="str">
        <f aca="false">Base_OAPDI!E29</f>
        <v>Ofrecer programas de educación superior: 5 pregrados nuevos, 3 especializaciones y 3 maestrías.</v>
      </c>
      <c r="E31" s="12" t="str">
        <f aca="false">Base_OAPDI!F29</f>
        <v>N.° de programas nuevos con registro calificado y ofertados, por nivel</v>
      </c>
      <c r="F31" s="12" t="str">
        <f aca="false">Base_OAPDI!G29</f>
        <v>5 pregrados, 3 especializaciones, 3 maestrías</v>
      </c>
      <c r="G31" s="12" t="str">
        <f aca="false">Base_OAPDI!H29</f>
        <v>Pregrado: 3 documentos maestros, 2 programas con registro calificado y 2 ofertados desde el II semestre. Posgrado: 2 especializaciones y 2 maestrías ofertadas en el II semestre.</v>
      </c>
      <c r="H31" s="12" t="str">
        <f aca="false">Base_OAPDI!I29</f>
        <v>A07</v>
      </c>
      <c r="I31" s="12" t="str">
        <f aca="false">Base_OAPDI!J29</f>
        <v>101 · Oficina Asesora de Planeación y Desarrollo Institucional</v>
      </c>
      <c r="J31" s="12" t="str">
        <f aca="false">Base_OAPDI!K29</f>
        <v>Autoevaluación y Acreditación</v>
      </c>
      <c r="K31" s="12" t="str">
        <f aca="false">Base_OAPDI!L29</f>
        <v>Gestión del Sistema Integrado de Aseguramiento</v>
      </c>
      <c r="L31" s="12" t="n">
        <f aca="false">Base_OAPDI!N29</f>
        <v>19</v>
      </c>
      <c r="M31" s="12" t="n">
        <f aca="false">Base_OAPDI!P29</f>
        <v>9</v>
      </c>
      <c r="N31" s="12" t="n">
        <f aca="false">Base_OAPDI!Q29</f>
        <v>0</v>
      </c>
      <c r="O31" s="12" t="str">
        <f aca="false">Base_OAPDI!R29</f>
        <v>Cerrar o reprogramar 9 producto(s) 2026 pendiente(s) de esta meta.</v>
      </c>
      <c r="P31" s="12" t="str">
        <f aca="false">Base_OAPDI!S29</f>
        <v>IMP-13; IMP-11</v>
      </c>
      <c r="Q31" s="11"/>
      <c r="R31" s="11"/>
      <c r="S31" s="11"/>
      <c r="T31" s="18"/>
      <c r="U31" s="18"/>
      <c r="V31" s="11"/>
      <c r="W31" s="11"/>
      <c r="X31" s="11"/>
      <c r="Y31" s="11"/>
      <c r="Z31" s="11"/>
      <c r="AA31" s="11"/>
      <c r="AB31" s="12" t="str">
        <f aca="false">IF(AA31="","",INDEX(Catalogos!$Y$5:$Y$25,MATCH(AA31,L_IMP,0)))</f>
        <v/>
      </c>
      <c r="AC31" s="11"/>
      <c r="AD31" s="11"/>
      <c r="AE31" s="11"/>
      <c r="AF31" s="10" t="str">
        <f aca="false">IF(Q31="","Pendiente por formular",IF(OR(S31="",T31="",U31="",V31="",W31="",X31="",Z31="",AA31=""),"Incompleta: faltan campos obligatorios",IF(OR(NOT(ISNUMBER(T31)),NOT(ISNUMBER(U31))),"Fecha inválida",IF(U31&lt;T31,"La fecha de fin es anterior a la de inicio",IF(OR(YEAR(T31)&lt;&gt;2027,YEAR(U31)&lt;&gt;2027),"Fechas fuera de la vigencia 2027",IF(ISERROR(SEARCH("@itc.edu.co",V31)),"El responsable no tiene correo institucional",IF(ISERROR(SEARCH(Z31,INDEX(Catalogos!$Z$5:$Z$25,MATCH(AA31,L_IMP,0)))),"La dimensión no corresponde al indicador de impacto","OK")))))))</f>
        <v>Pendiente por formular</v>
      </c>
    </row>
    <row r="32" customFormat="false" ht="158.25" hidden="false" customHeight="true" outlineLevel="0" collapsed="false">
      <c r="A32" s="12" t="str">
        <f aca="false">Base_OAPDI!A30</f>
        <v>E1-026</v>
      </c>
      <c r="B32" s="12" t="str">
        <f aca="false">Base_OAPDI!B30</f>
        <v>1.2.1.1</v>
      </c>
      <c r="C32" s="12" t="str">
        <f aca="false">Base_OAPDI!D30</f>
        <v>1.2 Oferta educativa</v>
      </c>
      <c r="D32" s="12" t="str">
        <f aca="false">Base_OAPDI!E30</f>
        <v>Ofrecer programas de educación superior: 5 pregrados nuevos, 3 especializaciones y 3 maestrías.</v>
      </c>
      <c r="E32" s="12" t="str">
        <f aca="false">Base_OAPDI!F30</f>
        <v>N.° de programas nuevos con registro calificado y ofertados, por nivel</v>
      </c>
      <c r="F32" s="12" t="str">
        <f aca="false">Base_OAPDI!G30</f>
        <v>5 pregrados, 3 especializaciones, 3 maestrías</v>
      </c>
      <c r="G32" s="12" t="str">
        <f aca="false">Base_OAPDI!H30</f>
        <v>Pregrado: 3 documentos maestros, 2 programas con registro calificado y 2 ofertados desde el II semestre. Posgrado: 2 especializaciones y 2 maestrías ofertadas en el II semestre.</v>
      </c>
      <c r="H32" s="12" t="str">
        <f aca="false">Base_OAPDI!I30</f>
        <v>A08</v>
      </c>
      <c r="I32" s="12" t="str">
        <f aca="false">Base_OAPDI!J30</f>
        <v>101 · Oficina Asesora de Planeación y Desarrollo Institucional</v>
      </c>
      <c r="J32" s="12" t="str">
        <f aca="false">Base_OAPDI!K30</f>
        <v>Aseguramiento de la Calidad, MIPG y Registros Calificados</v>
      </c>
      <c r="K32" s="12" t="str">
        <f aca="false">Base_OAPDI!L30</f>
        <v>Gestión del Sistema Integrado de Aseguramiento</v>
      </c>
      <c r="L32" s="12" t="n">
        <f aca="false">Base_OAPDI!N30</f>
        <v>14</v>
      </c>
      <c r="M32" s="12" t="n">
        <f aca="false">Base_OAPDI!P30</f>
        <v>8</v>
      </c>
      <c r="N32" s="12" t="n">
        <f aca="false">Base_OAPDI!Q30</f>
        <v>1</v>
      </c>
      <c r="O32" s="12" t="str">
        <f aca="false">Base_OAPDI!R30</f>
        <v>Acciones propuestas por la OAPDI (valídelas y formúlelas en esta fila o en Acciones adicionales): A27-014 Tramitar la modificación del lugar de desarrollo de los programas de IA si se ofrecerán en Zipaquirá. Cerrar o reprogramar 8 producto(s) 2026 pendiente(s) de esta meta. Atender 1 compromiso(s) de proyectos estructurantes (hoja Compromisos_2026).</v>
      </c>
      <c r="P32" s="12" t="str">
        <f aca="false">Base_OAPDI!S30</f>
        <v>IMP-13; IMP-11</v>
      </c>
      <c r="Q32" s="11"/>
      <c r="R32" s="11"/>
      <c r="S32" s="11"/>
      <c r="T32" s="18"/>
      <c r="U32" s="18"/>
      <c r="V32" s="11"/>
      <c r="W32" s="11"/>
      <c r="X32" s="11"/>
      <c r="Y32" s="11"/>
      <c r="Z32" s="11"/>
      <c r="AA32" s="11"/>
      <c r="AB32" s="12" t="str">
        <f aca="false">IF(AA32="","",INDEX(Catalogos!$Y$5:$Y$25,MATCH(AA32,L_IMP,0)))</f>
        <v/>
      </c>
      <c r="AC32" s="11"/>
      <c r="AD32" s="11"/>
      <c r="AE32" s="11"/>
      <c r="AF32" s="10" t="str">
        <f aca="false">IF(Q32="","Pendiente por formular",IF(OR(S32="",T32="",U32="",V32="",W32="",X32="",Z32="",AA32=""),"Incompleta: faltan campos obligatorios",IF(OR(NOT(ISNUMBER(T32)),NOT(ISNUMBER(U32))),"Fecha inválida",IF(U32&lt;T32,"La fecha de fin es anterior a la de inicio",IF(OR(YEAR(T32)&lt;&gt;2027,YEAR(U32)&lt;&gt;2027),"Fechas fuera de la vigencia 2027",IF(ISERROR(SEARCH("@itc.edu.co",V32)),"El responsable no tiene correo institucional",IF(ISERROR(SEARCH(Z32,INDEX(Catalogos!$Z$5:$Z$25,MATCH(AA32,L_IMP,0)))),"La dimensión no corresponde al indicador de impacto","OK")))))))</f>
        <v>Pendiente por formular</v>
      </c>
    </row>
    <row r="33" customFormat="false" ht="158.25" hidden="false" customHeight="true" outlineLevel="0" collapsed="false">
      <c r="A33" s="12" t="str">
        <f aca="false">Base_OAPDI!A31</f>
        <v>E1-027</v>
      </c>
      <c r="B33" s="12" t="str">
        <f aca="false">Base_OAPDI!B31</f>
        <v>1.2.1.1</v>
      </c>
      <c r="C33" s="12" t="str">
        <f aca="false">Base_OAPDI!D31</f>
        <v>1.2 Oferta educativa</v>
      </c>
      <c r="D33" s="12" t="str">
        <f aca="false">Base_OAPDI!E31</f>
        <v>Ofrecer programas de educación superior: 5 pregrados nuevos, 3 especializaciones y 3 maestrías.</v>
      </c>
      <c r="E33" s="12" t="str">
        <f aca="false">Base_OAPDI!F31</f>
        <v>N.° de programas nuevos con registro calificado y ofertados, por nivel</v>
      </c>
      <c r="F33" s="12" t="str">
        <f aca="false">Base_OAPDI!G31</f>
        <v>5 pregrados, 3 especializaciones, 3 maestrías</v>
      </c>
      <c r="G33" s="12" t="str">
        <f aca="false">Base_OAPDI!H31</f>
        <v>Pregrado: 3 documentos maestros, 2 programas con registro calificado y 2 ofertados desde el II semestre. Posgrado: 2 especializaciones y 2 maestrías ofertadas en el II semestre.</v>
      </c>
      <c r="H33" s="12" t="str">
        <f aca="false">Base_OAPDI!I31</f>
        <v>A11</v>
      </c>
      <c r="I33" s="12" t="str">
        <f aca="false">Base_OAPDI!J31</f>
        <v>110 · Secretaría General</v>
      </c>
      <c r="J33" s="12" t="str">
        <f aca="false">Base_OAPDI!K31</f>
        <v>Despacho de Secretaría General</v>
      </c>
      <c r="K33" s="12" t="str">
        <f aca="false">Base_OAPDI!L31</f>
        <v>Direccionamiento Institucional</v>
      </c>
      <c r="L33" s="12" t="n">
        <f aca="false">Base_OAPDI!N31</f>
        <v>10</v>
      </c>
      <c r="M33" s="12" t="n">
        <f aca="false">Base_OAPDI!P31</f>
        <v>10</v>
      </c>
      <c r="N33" s="12" t="n">
        <f aca="false">Base_OAPDI!Q31</f>
        <v>0</v>
      </c>
      <c r="O33" s="12" t="str">
        <f aca="false">Base_OAPDI!R31</f>
        <v>Cerrar o reprogramar 10 producto(s) 2026 pendiente(s) de esta meta.</v>
      </c>
      <c r="P33" s="12" t="str">
        <f aca="false">Base_OAPDI!S31</f>
        <v>IMP-13; IMP-11</v>
      </c>
      <c r="Q33" s="11"/>
      <c r="R33" s="11"/>
      <c r="S33" s="11"/>
      <c r="T33" s="18"/>
      <c r="U33" s="18"/>
      <c r="V33" s="11"/>
      <c r="W33" s="11"/>
      <c r="X33" s="11"/>
      <c r="Y33" s="11"/>
      <c r="Z33" s="11"/>
      <c r="AA33" s="11"/>
      <c r="AB33" s="12" t="str">
        <f aca="false">IF(AA33="","",INDEX(Catalogos!$Y$5:$Y$25,MATCH(AA33,L_IMP,0)))</f>
        <v/>
      </c>
      <c r="AC33" s="11"/>
      <c r="AD33" s="11"/>
      <c r="AE33" s="11"/>
      <c r="AF33" s="10" t="str">
        <f aca="false">IF(Q33="","Pendiente por formular",IF(OR(S33="",T33="",U33="",V33="",W33="",X33="",Z33="",AA33=""),"Incompleta: faltan campos obligatorios",IF(OR(NOT(ISNUMBER(T33)),NOT(ISNUMBER(U33))),"Fecha inválida",IF(U33&lt;T33,"La fecha de fin es anterior a la de inicio",IF(OR(YEAR(T33)&lt;&gt;2027,YEAR(U33)&lt;&gt;2027),"Fechas fuera de la vigencia 2027",IF(ISERROR(SEARCH("@itc.edu.co",V33)),"El responsable no tiene correo institucional",IF(ISERROR(SEARCH(Z33,INDEX(Catalogos!$Z$5:$Z$25,MATCH(AA33,L_IMP,0)))),"La dimensión no corresponde al indicador de impacto","OK")))))))</f>
        <v>Pendiente por formular</v>
      </c>
    </row>
    <row r="34" customFormat="false" ht="158.25" hidden="false" customHeight="true" outlineLevel="0" collapsed="false">
      <c r="A34" s="12" t="str">
        <f aca="false">Base_OAPDI!A32</f>
        <v>E1-028</v>
      </c>
      <c r="B34" s="12" t="str">
        <f aca="false">Base_OAPDI!B32</f>
        <v>1.2.1.1</v>
      </c>
      <c r="C34" s="12" t="str">
        <f aca="false">Base_OAPDI!D32</f>
        <v>1.2 Oferta educativa</v>
      </c>
      <c r="D34" s="12" t="str">
        <f aca="false">Base_OAPDI!E32</f>
        <v>Ofrecer programas de educación superior: 5 pregrados nuevos, 3 especializaciones y 3 maestrías.</v>
      </c>
      <c r="E34" s="12" t="str">
        <f aca="false">Base_OAPDI!F32</f>
        <v>N.° de programas nuevos con registro calificado y ofertados, por nivel</v>
      </c>
      <c r="F34" s="12" t="str">
        <f aca="false">Base_OAPDI!G32</f>
        <v>5 pregrados, 3 especializaciones, 3 maestrías</v>
      </c>
      <c r="G34" s="12" t="str">
        <f aca="false">Base_OAPDI!H32</f>
        <v>Pregrado: 3 documentos maestros, 2 programas con registro calificado y 2 ofertados desde el II semestre. Posgrado: 2 especializaciones y 2 maestrías ofertadas en el II semestre.</v>
      </c>
      <c r="H34" s="12" t="str">
        <f aca="false">Base_OAPDI!I32</f>
        <v>A15</v>
      </c>
      <c r="I34" s="12" t="str">
        <f aca="false">Base_OAPDI!J32</f>
        <v>120 · Vicerrectoría Académica</v>
      </c>
      <c r="J34" s="12" t="str">
        <f aca="false">Base_OAPDI!K32</f>
        <v>Despacho de la Vicerrectoría Académica</v>
      </c>
      <c r="K34" s="12" t="str">
        <f aca="false">Base_OAPDI!L32</f>
        <v>Docencia PES</v>
      </c>
      <c r="L34" s="12" t="n">
        <f aca="false">Base_OAPDI!N32</f>
        <v>2</v>
      </c>
      <c r="M34" s="12" t="n">
        <f aca="false">Base_OAPDI!P32</f>
        <v>2</v>
      </c>
      <c r="N34" s="12" t="n">
        <f aca="false">Base_OAPDI!Q32</f>
        <v>2</v>
      </c>
      <c r="O34" s="12" t="str">
        <f aca="false">Base_OAPDI!R32</f>
        <v>Acciones propuestas por la OAPDI (valídelas y formúlelas en esta fila o en Acciones adicionales): A27-010 Reprogramar los productos 2026 vencidos de la meta (38 al 02-09-2026); A27-011 Elaborar los documentos maestros de 3 programas de pregrado; A27-013 Obtener registro calificado de Ingeniería en IA, Ingeniería Robótica con IA y Especialización en Soluciones de IA. Cerrar o reprogramar 2 producto(s) 2026 pendiente(s) de esta meta. Atender 2 compromiso(s) de proyectos estructurantes (hoja Compromisos_2026).</v>
      </c>
      <c r="P34" s="12" t="str">
        <f aca="false">Base_OAPDI!S32</f>
        <v>IMP-13; IMP-11</v>
      </c>
      <c r="Q34" s="11"/>
      <c r="R34" s="11"/>
      <c r="S34" s="11"/>
      <c r="T34" s="18"/>
      <c r="U34" s="18"/>
      <c r="V34" s="11"/>
      <c r="W34" s="11"/>
      <c r="X34" s="11"/>
      <c r="Y34" s="11"/>
      <c r="Z34" s="11"/>
      <c r="AA34" s="11"/>
      <c r="AB34" s="12" t="str">
        <f aca="false">IF(AA34="","",INDEX(Catalogos!$Y$5:$Y$25,MATCH(AA34,L_IMP,0)))</f>
        <v/>
      </c>
      <c r="AC34" s="11"/>
      <c r="AD34" s="11"/>
      <c r="AE34" s="11"/>
      <c r="AF34" s="10" t="str">
        <f aca="false">IF(Q34="","Pendiente por formular",IF(OR(S34="",T34="",U34="",V34="",W34="",X34="",Z34="",AA34=""),"Incompleta: faltan campos obligatorios",IF(OR(NOT(ISNUMBER(T34)),NOT(ISNUMBER(U34))),"Fecha inválida",IF(U34&lt;T34,"La fecha de fin es anterior a la de inicio",IF(OR(YEAR(T34)&lt;&gt;2027,YEAR(U34)&lt;&gt;2027),"Fechas fuera de la vigencia 2027",IF(ISERROR(SEARCH("@itc.edu.co",V34)),"El responsable no tiene correo institucional",IF(ISERROR(SEARCH(Z34,INDEX(Catalogos!$Z$5:$Z$25,MATCH(AA34,L_IMP,0)))),"La dimensión no corresponde al indicador de impacto","OK")))))))</f>
        <v>Pendiente por formular</v>
      </c>
    </row>
    <row r="35" customFormat="false" ht="158.25" hidden="false" customHeight="true" outlineLevel="0" collapsed="false">
      <c r="A35" s="12" t="str">
        <f aca="false">Base_OAPDI!A33</f>
        <v>E1-029</v>
      </c>
      <c r="B35" s="12" t="str">
        <f aca="false">Base_OAPDI!B33</f>
        <v>1.2.1.1</v>
      </c>
      <c r="C35" s="12" t="str">
        <f aca="false">Base_OAPDI!D33</f>
        <v>1.2 Oferta educativa</v>
      </c>
      <c r="D35" s="12" t="str">
        <f aca="false">Base_OAPDI!E33</f>
        <v>Ofrecer programas de educación superior: 5 pregrados nuevos, 3 especializaciones y 3 maestrías.</v>
      </c>
      <c r="E35" s="12" t="str">
        <f aca="false">Base_OAPDI!F33</f>
        <v>N.° de programas nuevos con registro calificado y ofertados, por nivel</v>
      </c>
      <c r="F35" s="12" t="str">
        <f aca="false">Base_OAPDI!G33</f>
        <v>5 pregrados, 3 especializaciones, 3 maestrías</v>
      </c>
      <c r="G35" s="12" t="str">
        <f aca="false">Base_OAPDI!H33</f>
        <v>Pregrado: 3 documentos maestros, 2 programas con registro calificado y 2 ofertados desde el II semestre. Posgrado: 2 especializaciones y 2 maestrías ofertadas en el II semestre.</v>
      </c>
      <c r="H35" s="12" t="str">
        <f aca="false">Base_OAPDI!I33</f>
        <v>A16</v>
      </c>
      <c r="I35" s="12" t="str">
        <f aca="false">Base_OAPDI!J33</f>
        <v>123 · Facultades</v>
      </c>
      <c r="J35" s="12" t="str">
        <f aca="false">Base_OAPDI!K33</f>
        <v>Coordinación de Especializaciones</v>
      </c>
      <c r="K35" s="12" t="str">
        <f aca="false">Base_OAPDI!L33</f>
        <v>Docencia PES</v>
      </c>
      <c r="L35" s="12" t="n">
        <f aca="false">Base_OAPDI!N33</f>
        <v>5</v>
      </c>
      <c r="M35" s="12" t="n">
        <f aca="false">Base_OAPDI!P33</f>
        <v>5</v>
      </c>
      <c r="N35" s="12" t="n">
        <f aca="false">Base_OAPDI!Q33</f>
        <v>0</v>
      </c>
      <c r="O35" s="12" t="str">
        <f aca="false">Base_OAPDI!R33</f>
        <v>Acciones propuestas por la OAPDI (valídelas y formúlelas en esta fila o en Acciones adicionales): A27-015 Ofertar 2 especializaciones y 2 maestrías en el II semestre. Cerrar o reprogramar 5 producto(s) 2026 pendiente(s) de esta meta.</v>
      </c>
      <c r="P35" s="12" t="str">
        <f aca="false">Base_OAPDI!S33</f>
        <v>IMP-13; IMP-11</v>
      </c>
      <c r="Q35" s="11"/>
      <c r="R35" s="11"/>
      <c r="S35" s="11"/>
      <c r="T35" s="18"/>
      <c r="U35" s="18"/>
      <c r="V35" s="11"/>
      <c r="W35" s="11"/>
      <c r="X35" s="11"/>
      <c r="Y35" s="11"/>
      <c r="Z35" s="11"/>
      <c r="AA35" s="11"/>
      <c r="AB35" s="12" t="str">
        <f aca="false">IF(AA35="","",INDEX(Catalogos!$Y$5:$Y$25,MATCH(AA35,L_IMP,0)))</f>
        <v/>
      </c>
      <c r="AC35" s="11"/>
      <c r="AD35" s="11"/>
      <c r="AE35" s="11"/>
      <c r="AF35" s="10" t="str">
        <f aca="false">IF(Q35="","Pendiente por formular",IF(OR(S35="",T35="",U35="",V35="",W35="",X35="",Z35="",AA35=""),"Incompleta: faltan campos obligatorios",IF(OR(NOT(ISNUMBER(T35)),NOT(ISNUMBER(U35))),"Fecha inválida",IF(U35&lt;T35,"La fecha de fin es anterior a la de inicio",IF(OR(YEAR(T35)&lt;&gt;2027,YEAR(U35)&lt;&gt;2027),"Fechas fuera de la vigencia 2027",IF(ISERROR(SEARCH("@itc.edu.co",V35)),"El responsable no tiene correo institucional",IF(ISERROR(SEARCH(Z35,INDEX(Catalogos!$Z$5:$Z$25,MATCH(AA35,L_IMP,0)))),"La dimensión no corresponde al indicador de impacto","OK")))))))</f>
        <v>Pendiente por formular</v>
      </c>
    </row>
    <row r="36" customFormat="false" ht="158.25" hidden="false" customHeight="true" outlineLevel="0" collapsed="false">
      <c r="A36" s="12" t="str">
        <f aca="false">Base_OAPDI!A34</f>
        <v>E1-030</v>
      </c>
      <c r="B36" s="12" t="str">
        <f aca="false">Base_OAPDI!B34</f>
        <v>1.2.1.1</v>
      </c>
      <c r="C36" s="12" t="str">
        <f aca="false">Base_OAPDI!D34</f>
        <v>1.2 Oferta educativa</v>
      </c>
      <c r="D36" s="12" t="str">
        <f aca="false">Base_OAPDI!E34</f>
        <v>Ofrecer programas de educación superior: 5 pregrados nuevos, 3 especializaciones y 3 maestrías.</v>
      </c>
      <c r="E36" s="12" t="str">
        <f aca="false">Base_OAPDI!F34</f>
        <v>N.° de programas nuevos con registro calificado y ofertados, por nivel</v>
      </c>
      <c r="F36" s="12" t="str">
        <f aca="false">Base_OAPDI!G34</f>
        <v>5 pregrados, 3 especializaciones, 3 maestrías</v>
      </c>
      <c r="G36" s="12" t="str">
        <f aca="false">Base_OAPDI!H34</f>
        <v>Pregrado: 3 documentos maestros, 2 programas con registro calificado y 2 ofertados desde el II semestre. Posgrado: 2 especializaciones y 2 maestrías ofertadas en el II semestre.</v>
      </c>
      <c r="H36" s="12" t="str">
        <f aca="false">Base_OAPDI!I34</f>
        <v>A17</v>
      </c>
      <c r="I36" s="12" t="str">
        <f aca="false">Base_OAPDI!J34</f>
        <v>120 · Vicerrectoría Académica</v>
      </c>
      <c r="J36" s="12" t="str">
        <f aca="false">Base_OAPDI!K34</f>
        <v>Unidad B-Learning</v>
      </c>
      <c r="K36" s="12" t="str">
        <f aca="false">Base_OAPDI!L34</f>
        <v>Docencia PES</v>
      </c>
      <c r="L36" s="12" t="n">
        <f aca="false">Base_OAPDI!N34</f>
        <v>8</v>
      </c>
      <c r="M36" s="12" t="n">
        <f aca="false">Base_OAPDI!P34</f>
        <v>8</v>
      </c>
      <c r="N36" s="12" t="n">
        <f aca="false">Base_OAPDI!Q34</f>
        <v>0</v>
      </c>
      <c r="O36" s="12" t="str">
        <f aca="false">Base_OAPDI!R34</f>
        <v>Cerrar o reprogramar 8 producto(s) 2026 pendiente(s) de esta meta.</v>
      </c>
      <c r="P36" s="12" t="str">
        <f aca="false">Base_OAPDI!S34</f>
        <v>IMP-13; IMP-11</v>
      </c>
      <c r="Q36" s="11"/>
      <c r="R36" s="11"/>
      <c r="S36" s="11"/>
      <c r="T36" s="18"/>
      <c r="U36" s="18"/>
      <c r="V36" s="11"/>
      <c r="W36" s="11"/>
      <c r="X36" s="11"/>
      <c r="Y36" s="11"/>
      <c r="Z36" s="11"/>
      <c r="AA36" s="11"/>
      <c r="AB36" s="12" t="str">
        <f aca="false">IF(AA36="","",INDEX(Catalogos!$Y$5:$Y$25,MATCH(AA36,L_IMP,0)))</f>
        <v/>
      </c>
      <c r="AC36" s="11"/>
      <c r="AD36" s="11"/>
      <c r="AE36" s="11"/>
      <c r="AF36" s="10" t="str">
        <f aca="false">IF(Q36="","Pendiente por formular",IF(OR(S36="",T36="",U36="",V36="",W36="",X36="",Z36="",AA36=""),"Incompleta: faltan campos obligatorios",IF(OR(NOT(ISNUMBER(T36)),NOT(ISNUMBER(U36))),"Fecha inválida",IF(U36&lt;T36,"La fecha de fin es anterior a la de inicio",IF(OR(YEAR(T36)&lt;&gt;2027,YEAR(U36)&lt;&gt;2027),"Fechas fuera de la vigencia 2027",IF(ISERROR(SEARCH("@itc.edu.co",V36)),"El responsable no tiene correo institucional",IF(ISERROR(SEARCH(Z36,INDEX(Catalogos!$Z$5:$Z$25,MATCH(AA36,L_IMP,0)))),"La dimensión no corresponde al indicador de impacto","OK")))))))</f>
        <v>Pendiente por formular</v>
      </c>
    </row>
    <row r="37" customFormat="false" ht="158.25" hidden="false" customHeight="true" outlineLevel="0" collapsed="false">
      <c r="A37" s="12" t="str">
        <f aca="false">Base_OAPDI!A35</f>
        <v>E1-031</v>
      </c>
      <c r="B37" s="12" t="str">
        <f aca="false">Base_OAPDI!B35</f>
        <v>1.2.1.1</v>
      </c>
      <c r="C37" s="12" t="str">
        <f aca="false">Base_OAPDI!D35</f>
        <v>1.2 Oferta educativa</v>
      </c>
      <c r="D37" s="12" t="str">
        <f aca="false">Base_OAPDI!E35</f>
        <v>Ofrecer programas de educación superior: 5 pregrados nuevos, 3 especializaciones y 3 maestrías.</v>
      </c>
      <c r="E37" s="12" t="str">
        <f aca="false">Base_OAPDI!F35</f>
        <v>N.° de programas nuevos con registro calificado y ofertados, por nivel</v>
      </c>
      <c r="F37" s="12" t="str">
        <f aca="false">Base_OAPDI!G35</f>
        <v>5 pregrados, 3 especializaciones, 3 maestrías</v>
      </c>
      <c r="G37" s="12" t="str">
        <f aca="false">Base_OAPDI!H35</f>
        <v>Pregrado: 3 documentos maestros, 2 programas con registro calificado y 2 ofertados desde el II semestre. Posgrado: 2 especializaciones y 2 maestrías ofertadas en el II semestre.</v>
      </c>
      <c r="H37" s="12" t="str">
        <f aca="false">Base_OAPDI!I35</f>
        <v>A18</v>
      </c>
      <c r="I37" s="12" t="str">
        <f aca="false">Base_OAPDI!J35</f>
        <v>101 · Oficina Asesora de Planeación y Desarrollo Institucional</v>
      </c>
      <c r="J37" s="12" t="str">
        <f aca="false">Base_OAPDI!K35</f>
        <v>Articulación de programas (IA)</v>
      </c>
      <c r="K37" s="12" t="str">
        <f aca="false">Base_OAPDI!L35</f>
        <v>Direccionamiento Institucional</v>
      </c>
      <c r="L37" s="12" t="n">
        <f aca="false">Base_OAPDI!N35</f>
        <v>7</v>
      </c>
      <c r="M37" s="12" t="n">
        <f aca="false">Base_OAPDI!P35</f>
        <v>7</v>
      </c>
      <c r="N37" s="12" t="n">
        <f aca="false">Base_OAPDI!Q35</f>
        <v>0</v>
      </c>
      <c r="O37" s="12" t="str">
        <f aca="false">Base_OAPDI!R35</f>
        <v>Cerrar o reprogramar 7 producto(s) 2026 pendiente(s) de esta meta.</v>
      </c>
      <c r="P37" s="12" t="str">
        <f aca="false">Base_OAPDI!S35</f>
        <v>IMP-13; IMP-11</v>
      </c>
      <c r="Q37" s="11"/>
      <c r="R37" s="11"/>
      <c r="S37" s="11"/>
      <c r="T37" s="18"/>
      <c r="U37" s="18"/>
      <c r="V37" s="11"/>
      <c r="W37" s="11"/>
      <c r="X37" s="11"/>
      <c r="Y37" s="11"/>
      <c r="Z37" s="11"/>
      <c r="AA37" s="11"/>
      <c r="AB37" s="12" t="str">
        <f aca="false">IF(AA37="","",INDEX(Catalogos!$Y$5:$Y$25,MATCH(AA37,L_IMP,0)))</f>
        <v/>
      </c>
      <c r="AC37" s="11"/>
      <c r="AD37" s="11"/>
      <c r="AE37" s="11"/>
      <c r="AF37" s="10" t="str">
        <f aca="false">IF(Q37="","Pendiente por formular",IF(OR(S37="",T37="",U37="",V37="",W37="",X37="",Z37="",AA37=""),"Incompleta: faltan campos obligatorios",IF(OR(NOT(ISNUMBER(T37)),NOT(ISNUMBER(U37))),"Fecha inválida",IF(U37&lt;T37,"La fecha de fin es anterior a la de inicio",IF(OR(YEAR(T37)&lt;&gt;2027,YEAR(U37)&lt;&gt;2027),"Fechas fuera de la vigencia 2027",IF(ISERROR(SEARCH("@itc.edu.co",V37)),"El responsable no tiene correo institucional",IF(ISERROR(SEARCH(Z37,INDEX(Catalogos!$Z$5:$Z$25,MATCH(AA37,L_IMP,0)))),"La dimensión no corresponde al indicador de impacto","OK")))))))</f>
        <v>Pendiente por formular</v>
      </c>
    </row>
    <row r="38" customFormat="false" ht="158.25" hidden="false" customHeight="true" outlineLevel="0" collapsed="false">
      <c r="A38" s="12" t="str">
        <f aca="false">Base_OAPDI!A36</f>
        <v>E1-032</v>
      </c>
      <c r="B38" s="12" t="str">
        <f aca="false">Base_OAPDI!B36</f>
        <v>1.2.1.1</v>
      </c>
      <c r="C38" s="12" t="str">
        <f aca="false">Base_OAPDI!D36</f>
        <v>1.2 Oferta educativa</v>
      </c>
      <c r="D38" s="12" t="str">
        <f aca="false">Base_OAPDI!E36</f>
        <v>Ofrecer programas de educación superior: 5 pregrados nuevos, 3 especializaciones y 3 maestrías.</v>
      </c>
      <c r="E38" s="12" t="str">
        <f aca="false">Base_OAPDI!F36</f>
        <v>N.° de programas nuevos con registro calificado y ofertados, por nivel</v>
      </c>
      <c r="F38" s="12" t="str">
        <f aca="false">Base_OAPDI!G36</f>
        <v>5 pregrados, 3 especializaciones, 3 maestrías</v>
      </c>
      <c r="G38" s="12" t="str">
        <f aca="false">Base_OAPDI!H36</f>
        <v>Pregrado: 3 documentos maestros, 2 programas con registro calificado y 2 ofertados desde el II semestre. Posgrado: 2 especializaciones y 2 maestrías ofertadas en el II semestre.</v>
      </c>
      <c r="H38" s="12" t="str">
        <f aca="false">Base_OAPDI!I36</f>
        <v>A24</v>
      </c>
      <c r="I38" s="12" t="str">
        <f aca="false">Base_OAPDI!J36</f>
        <v>123 · Facultades</v>
      </c>
      <c r="J38" s="12" t="str">
        <f aca="false">Base_OAPDI!K36</f>
        <v>Facultad de Mecatrónica</v>
      </c>
      <c r="K38" s="12" t="str">
        <f aca="false">Base_OAPDI!L36</f>
        <v>Docencia PES</v>
      </c>
      <c r="L38" s="12" t="n">
        <f aca="false">Base_OAPDI!N36</f>
        <v>1</v>
      </c>
      <c r="M38" s="12" t="n">
        <f aca="false">Base_OAPDI!P36</f>
        <v>1</v>
      </c>
      <c r="N38" s="12" t="n">
        <f aca="false">Base_OAPDI!Q36</f>
        <v>0</v>
      </c>
      <c r="O38" s="12" t="str">
        <f aca="false">Base_OAPDI!R36</f>
        <v>Cerrar o reprogramar 1 producto(s) 2026 pendiente(s) de esta meta.</v>
      </c>
      <c r="P38" s="12" t="str">
        <f aca="false">Base_OAPDI!S36</f>
        <v>IMP-13; IMP-11</v>
      </c>
      <c r="Q38" s="11"/>
      <c r="R38" s="11"/>
      <c r="S38" s="11"/>
      <c r="T38" s="18"/>
      <c r="U38" s="18"/>
      <c r="V38" s="11"/>
      <c r="W38" s="11"/>
      <c r="X38" s="11"/>
      <c r="Y38" s="11"/>
      <c r="Z38" s="11"/>
      <c r="AA38" s="11"/>
      <c r="AB38" s="12" t="str">
        <f aca="false">IF(AA38="","",INDEX(Catalogos!$Y$5:$Y$25,MATCH(AA38,L_IMP,0)))</f>
        <v/>
      </c>
      <c r="AC38" s="11"/>
      <c r="AD38" s="11"/>
      <c r="AE38" s="11"/>
      <c r="AF38" s="10" t="str">
        <f aca="false">IF(Q38="","Pendiente por formular",IF(OR(S38="",T38="",U38="",V38="",W38="",X38="",Z38="",AA38=""),"Incompleta: faltan campos obligatorios",IF(OR(NOT(ISNUMBER(T38)),NOT(ISNUMBER(U38))),"Fecha inválida",IF(U38&lt;T38,"La fecha de fin es anterior a la de inicio",IF(OR(YEAR(T38)&lt;&gt;2027,YEAR(U38)&lt;&gt;2027),"Fechas fuera de la vigencia 2027",IF(ISERROR(SEARCH("@itc.edu.co",V38)),"El responsable no tiene correo institucional",IF(ISERROR(SEARCH(Z38,INDEX(Catalogos!$Z$5:$Z$25,MATCH(AA38,L_IMP,0)))),"La dimensión no corresponde al indicador de impacto","OK")))))))</f>
        <v>Pendiente por formular</v>
      </c>
    </row>
    <row r="39" customFormat="false" ht="158.25" hidden="false" customHeight="true" outlineLevel="0" collapsed="false">
      <c r="A39" s="12" t="str">
        <f aca="false">Base_OAPDI!A37</f>
        <v>E1-033</v>
      </c>
      <c r="B39" s="12" t="str">
        <f aca="false">Base_OAPDI!B37</f>
        <v>1.2.1.1</v>
      </c>
      <c r="C39" s="12" t="str">
        <f aca="false">Base_OAPDI!D37</f>
        <v>1.2 Oferta educativa</v>
      </c>
      <c r="D39" s="12" t="str">
        <f aca="false">Base_OAPDI!E37</f>
        <v>Ofrecer programas de educación superior: 5 pregrados nuevos, 3 especializaciones y 3 maestrías.</v>
      </c>
      <c r="E39" s="12" t="str">
        <f aca="false">Base_OAPDI!F37</f>
        <v>N.° de programas nuevos con registro calificado y ofertados, por nivel</v>
      </c>
      <c r="F39" s="12" t="str">
        <f aca="false">Base_OAPDI!G37</f>
        <v>5 pregrados, 3 especializaciones, 3 maestrías</v>
      </c>
      <c r="G39" s="12" t="str">
        <f aca="false">Base_OAPDI!H37</f>
        <v>Pregrado: 3 documentos maestros, 2 programas con registro calificado y 2 ofertados desde el II semestre. Posgrado: 2 especializaciones y 2 maestrías ofertadas en el II semestre.</v>
      </c>
      <c r="H39" s="12" t="str">
        <f aca="false">Base_OAPDI!I37</f>
        <v>A25</v>
      </c>
      <c r="I39" s="12" t="str">
        <f aca="false">Base_OAPDI!J37</f>
        <v>123 · Facultades</v>
      </c>
      <c r="J39" s="12" t="str">
        <f aca="false">Base_OAPDI!K37</f>
        <v>Facultad de Procesos Industriales</v>
      </c>
      <c r="K39" s="12" t="str">
        <f aca="false">Base_OAPDI!L37</f>
        <v>Docencia PES</v>
      </c>
      <c r="L39" s="12" t="n">
        <f aca="false">Base_OAPDI!N37</f>
        <v>1</v>
      </c>
      <c r="M39" s="12" t="n">
        <f aca="false">Base_OAPDI!P37</f>
        <v>1</v>
      </c>
      <c r="N39" s="12" t="n">
        <f aca="false">Base_OAPDI!Q37</f>
        <v>0</v>
      </c>
      <c r="O39" s="12" t="str">
        <f aca="false">Base_OAPDI!R37</f>
        <v>Cerrar o reprogramar 1 producto(s) 2026 pendiente(s) de esta meta.</v>
      </c>
      <c r="P39" s="12" t="str">
        <f aca="false">Base_OAPDI!S37</f>
        <v>IMP-13; IMP-11</v>
      </c>
      <c r="Q39" s="11"/>
      <c r="R39" s="11"/>
      <c r="S39" s="11"/>
      <c r="T39" s="18"/>
      <c r="U39" s="18"/>
      <c r="V39" s="11"/>
      <c r="W39" s="11"/>
      <c r="X39" s="11"/>
      <c r="Y39" s="11"/>
      <c r="Z39" s="11"/>
      <c r="AA39" s="11"/>
      <c r="AB39" s="12" t="str">
        <f aca="false">IF(AA39="","",INDEX(Catalogos!$Y$5:$Y$25,MATCH(AA39,L_IMP,0)))</f>
        <v/>
      </c>
      <c r="AC39" s="11"/>
      <c r="AD39" s="11"/>
      <c r="AE39" s="11"/>
      <c r="AF39" s="10" t="str">
        <f aca="false">IF(Q39="","Pendiente por formular",IF(OR(S39="",T39="",U39="",V39="",W39="",X39="",Z39="",AA39=""),"Incompleta: faltan campos obligatorios",IF(OR(NOT(ISNUMBER(T39)),NOT(ISNUMBER(U39))),"Fecha inválida",IF(U39&lt;T39,"La fecha de fin es anterior a la de inicio",IF(OR(YEAR(T39)&lt;&gt;2027,YEAR(U39)&lt;&gt;2027),"Fechas fuera de la vigencia 2027",IF(ISERROR(SEARCH("@itc.edu.co",V39)),"El responsable no tiene correo institucional",IF(ISERROR(SEARCH(Z39,INDEX(Catalogos!$Z$5:$Z$25,MATCH(AA39,L_IMP,0)))),"La dimensión no corresponde al indicador de impacto","OK")))))))</f>
        <v>Pendiente por formular</v>
      </c>
    </row>
    <row r="40" customFormat="false" ht="158.25" hidden="false" customHeight="true" outlineLevel="0" collapsed="false">
      <c r="A40" s="12" t="str">
        <f aca="false">Base_OAPDI!A38</f>
        <v>E1-034</v>
      </c>
      <c r="B40" s="12" t="str">
        <f aca="false">Base_OAPDI!B38</f>
        <v>1.2.1.1</v>
      </c>
      <c r="C40" s="12" t="str">
        <f aca="false">Base_OAPDI!D38</f>
        <v>1.2 Oferta educativa</v>
      </c>
      <c r="D40" s="12" t="str">
        <f aca="false">Base_OAPDI!E38</f>
        <v>Ofrecer programas de educación superior: 5 pregrados nuevos, 3 especializaciones y 3 maestrías.</v>
      </c>
      <c r="E40" s="12" t="str">
        <f aca="false">Base_OAPDI!F38</f>
        <v>N.° de programas nuevos con registro calificado y ofertados, por nivel</v>
      </c>
      <c r="F40" s="12" t="str">
        <f aca="false">Base_OAPDI!G38</f>
        <v>5 pregrados, 3 especializaciones, 3 maestrías</v>
      </c>
      <c r="G40" s="12" t="str">
        <f aca="false">Base_OAPDI!H38</f>
        <v>Pregrado: 3 documentos maestros, 2 programas con registro calificado y 2 ofertados desde el II semestre. Posgrado: 2 especializaciones y 2 maestrías ofertadas en el II semestre.</v>
      </c>
      <c r="H40" s="12" t="str">
        <f aca="false">Base_OAPDI!I38</f>
        <v>A26</v>
      </c>
      <c r="I40" s="12" t="str">
        <f aca="false">Base_OAPDI!J38</f>
        <v>123 · Facultades</v>
      </c>
      <c r="J40" s="12" t="str">
        <f aca="false">Base_OAPDI!K38</f>
        <v>Facultad de Sistemas</v>
      </c>
      <c r="K40" s="12" t="str">
        <f aca="false">Base_OAPDI!L38</f>
        <v>Docencia PES</v>
      </c>
      <c r="L40" s="12" t="n">
        <f aca="false">Base_OAPDI!N38</f>
        <v>8</v>
      </c>
      <c r="M40" s="12" t="n">
        <f aca="false">Base_OAPDI!P38</f>
        <v>8</v>
      </c>
      <c r="N40" s="12" t="n">
        <f aca="false">Base_OAPDI!Q38</f>
        <v>0</v>
      </c>
      <c r="O40" s="12" t="str">
        <f aca="false">Base_OAPDI!R38</f>
        <v>Cerrar o reprogramar 8 producto(s) 2026 pendiente(s) de esta meta.</v>
      </c>
      <c r="P40" s="12" t="str">
        <f aca="false">Base_OAPDI!S38</f>
        <v>IMP-13; IMP-11</v>
      </c>
      <c r="Q40" s="11"/>
      <c r="R40" s="11"/>
      <c r="S40" s="11"/>
      <c r="T40" s="18"/>
      <c r="U40" s="18"/>
      <c r="V40" s="11"/>
      <c r="W40" s="11"/>
      <c r="X40" s="11"/>
      <c r="Y40" s="11"/>
      <c r="Z40" s="11"/>
      <c r="AA40" s="11"/>
      <c r="AB40" s="12" t="str">
        <f aca="false">IF(AA40="","",INDEX(Catalogos!$Y$5:$Y$25,MATCH(AA40,L_IMP,0)))</f>
        <v/>
      </c>
      <c r="AC40" s="11"/>
      <c r="AD40" s="11"/>
      <c r="AE40" s="11"/>
      <c r="AF40" s="10" t="str">
        <f aca="false">IF(Q40="","Pendiente por formular",IF(OR(S40="",T40="",U40="",V40="",W40="",X40="",Z40="",AA40=""),"Incompleta: faltan campos obligatorios",IF(OR(NOT(ISNUMBER(T40)),NOT(ISNUMBER(U40))),"Fecha inválida",IF(U40&lt;T40,"La fecha de fin es anterior a la de inicio",IF(OR(YEAR(T40)&lt;&gt;2027,YEAR(U40)&lt;&gt;2027),"Fechas fuera de la vigencia 2027",IF(ISERROR(SEARCH("@itc.edu.co",V40)),"El responsable no tiene correo institucional",IF(ISERROR(SEARCH(Z40,INDEX(Catalogos!$Z$5:$Z$25,MATCH(AA40,L_IMP,0)))),"La dimensión no corresponde al indicador de impacto","OK")))))))</f>
        <v>Pendiente por formular</v>
      </c>
    </row>
    <row r="41" customFormat="false" ht="158.25" hidden="false" customHeight="true" outlineLevel="0" collapsed="false">
      <c r="A41" s="12" t="str">
        <f aca="false">Base_OAPDI!A39</f>
        <v>E1-035</v>
      </c>
      <c r="B41" s="12" t="str">
        <f aca="false">Base_OAPDI!B39</f>
        <v>1.2.1.1</v>
      </c>
      <c r="C41" s="12" t="str">
        <f aca="false">Base_OAPDI!D39</f>
        <v>1.2 Oferta educativa</v>
      </c>
      <c r="D41" s="12" t="str">
        <f aca="false">Base_OAPDI!E39</f>
        <v>Ofrecer programas de educación superior: 5 pregrados nuevos, 3 especializaciones y 3 maestrías.</v>
      </c>
      <c r="E41" s="12" t="str">
        <f aca="false">Base_OAPDI!F39</f>
        <v>N.° de programas nuevos con registro calificado y ofertados, por nivel</v>
      </c>
      <c r="F41" s="12" t="str">
        <f aca="false">Base_OAPDI!G39</f>
        <v>5 pregrados, 3 especializaciones, 3 maestrías</v>
      </c>
      <c r="G41" s="12" t="str">
        <f aca="false">Base_OAPDI!H39</f>
        <v>Pregrado: 3 documentos maestros, 2 programas con registro calificado y 2 ofertados desde el II semestre. Posgrado: 2 especializaciones y 2 maestrías ofertadas en el II semestre.</v>
      </c>
      <c r="H41" s="12" t="str">
        <f aca="false">Base_OAPDI!I39</f>
        <v>A46</v>
      </c>
      <c r="I41" s="12" t="str">
        <f aca="false">Base_OAPDI!J39</f>
        <v>123 · Facultades</v>
      </c>
      <c r="J41" s="12" t="str">
        <f aca="false">Base_OAPDI!K39</f>
        <v>Facultad de Inteligencia Artificial (Acuerdo 010 de 2025)</v>
      </c>
      <c r="K41" s="12" t="str">
        <f aca="false">Base_OAPDI!L39</f>
        <v>Docencia PES</v>
      </c>
      <c r="L41" s="12" t="n">
        <f aca="false">Base_OAPDI!N39</f>
        <v>0</v>
      </c>
      <c r="M41" s="12" t="n">
        <f aca="false">Base_OAPDI!P39</f>
        <v>0</v>
      </c>
      <c r="N41" s="12" t="n">
        <f aca="false">Base_OAPDI!Q39</f>
        <v>1</v>
      </c>
      <c r="O41" s="12" t="str">
        <f aca="false">Base_OAPDI!R39</f>
        <v>Acciones propuestas por la OAPDI (valídelas y formúlelas en esta fila o en Acciones adicionales): A27-012 Diseñar 4 programas nuevos de IA: Tecnología en Análisis y Modelado de Datos con IA, TP en Ciencia de Datos Aplicada a la IA, Especialización en Gestión de Proyectos de IA y Maestría en Ciencia de Datos. Atender 1 compromiso(s) de proyectos estructurantes (hoja Compromisos_2026).</v>
      </c>
      <c r="P41" s="12" t="str">
        <f aca="false">Base_OAPDI!S39</f>
        <v>IMP-13; IMP-11</v>
      </c>
      <c r="Q41" s="11"/>
      <c r="R41" s="11"/>
      <c r="S41" s="11"/>
      <c r="T41" s="18"/>
      <c r="U41" s="18"/>
      <c r="V41" s="11"/>
      <c r="W41" s="11"/>
      <c r="X41" s="11"/>
      <c r="Y41" s="11"/>
      <c r="Z41" s="11"/>
      <c r="AA41" s="11"/>
      <c r="AB41" s="12" t="str">
        <f aca="false">IF(AA41="","",INDEX(Catalogos!$Y$5:$Y$25,MATCH(AA41,L_IMP,0)))</f>
        <v/>
      </c>
      <c r="AC41" s="11"/>
      <c r="AD41" s="11"/>
      <c r="AE41" s="11"/>
      <c r="AF41" s="10" t="str">
        <f aca="false">IF(Q41="","Pendiente por formular",IF(OR(S41="",T41="",U41="",V41="",W41="",X41="",Z41="",AA41=""),"Incompleta: faltan campos obligatorios",IF(OR(NOT(ISNUMBER(T41)),NOT(ISNUMBER(U41))),"Fecha inválida",IF(U41&lt;T41,"La fecha de fin es anterior a la de inicio",IF(OR(YEAR(T41)&lt;&gt;2027,YEAR(U41)&lt;&gt;2027),"Fechas fuera de la vigencia 2027",IF(ISERROR(SEARCH("@itc.edu.co",V41)),"El responsable no tiene correo institucional",IF(ISERROR(SEARCH(Z41,INDEX(Catalogos!$Z$5:$Z$25,MATCH(AA41,L_IMP,0)))),"La dimensión no corresponde al indicador de impacto","OK")))))))</f>
        <v>Pendiente por formular</v>
      </c>
    </row>
    <row r="42" customFormat="false" ht="158.25" hidden="false" customHeight="true" outlineLevel="0" collapsed="false">
      <c r="A42" s="12" t="str">
        <f aca="false">Base_OAPDI!A40</f>
        <v>E1-036</v>
      </c>
      <c r="B42" s="12" t="str">
        <f aca="false">Base_OAPDI!B40</f>
        <v>1.2.1.1</v>
      </c>
      <c r="C42" s="12" t="str">
        <f aca="false">Base_OAPDI!D40</f>
        <v>1.2 Oferta educativa</v>
      </c>
      <c r="D42" s="12" t="str">
        <f aca="false">Base_OAPDI!E40</f>
        <v>Ofrecer programas de educación superior: 5 pregrados nuevos, 3 especializaciones y 3 maestrías.</v>
      </c>
      <c r="E42" s="12" t="str">
        <f aca="false">Base_OAPDI!F40</f>
        <v>N.° de programas nuevos con registro calificado y ofertados, por nivel</v>
      </c>
      <c r="F42" s="12" t="str">
        <f aca="false">Base_OAPDI!G40</f>
        <v>5 pregrados, 3 especializaciones, 3 maestrías</v>
      </c>
      <c r="G42" s="12" t="str">
        <f aca="false">Base_OAPDI!H40</f>
        <v>Pregrado: 3 documentos maestros, 2 programas con registro calificado y 2 ofertados desde el II semestre. Posgrado: 2 especializaciones y 2 maestrías ofertadas en el II semestre.</v>
      </c>
      <c r="H42" s="12" t="str">
        <f aca="false">Base_OAPDI!I40</f>
        <v>A05</v>
      </c>
      <c r="I42" s="12" t="str">
        <f aca="false">Base_OAPDI!J40</f>
        <v>101 · Oficina Asesora de Planeación y Desarrollo Institucional</v>
      </c>
      <c r="J42" s="12" t="str">
        <f aca="false">Base_OAPDI!K40</f>
        <v>Planeación y Plan de Acción</v>
      </c>
      <c r="K42" s="12" t="str">
        <f aca="false">Base_OAPDI!L40</f>
        <v>Direccionamiento Institucional</v>
      </c>
      <c r="L42" s="12" t="n">
        <f aca="false">Base_OAPDI!N40</f>
        <v>0</v>
      </c>
      <c r="M42" s="12" t="n">
        <f aca="false">Base_OAPDI!P40</f>
        <v>0</v>
      </c>
      <c r="N42" s="12" t="n">
        <f aca="false">Base_OAPDI!Q40</f>
        <v>1</v>
      </c>
      <c r="O42" s="12" t="str">
        <f aca="false">Base_OAPDI!R40</f>
        <v>Atender 1 compromiso(s) de proyectos estructurantes (hoja Compromisos_2026).</v>
      </c>
      <c r="P42" s="12" t="str">
        <f aca="false">Base_OAPDI!S40</f>
        <v>IMP-13; IMP-11</v>
      </c>
      <c r="Q42" s="11"/>
      <c r="R42" s="11"/>
      <c r="S42" s="11"/>
      <c r="T42" s="18"/>
      <c r="U42" s="18"/>
      <c r="V42" s="11"/>
      <c r="W42" s="11"/>
      <c r="X42" s="11"/>
      <c r="Y42" s="11"/>
      <c r="Z42" s="11"/>
      <c r="AA42" s="11"/>
      <c r="AB42" s="12" t="str">
        <f aca="false">IF(AA42="","",INDEX(Catalogos!$Y$5:$Y$25,MATCH(AA42,L_IMP,0)))</f>
        <v/>
      </c>
      <c r="AC42" s="11"/>
      <c r="AD42" s="11"/>
      <c r="AE42" s="11"/>
      <c r="AF42" s="10" t="str">
        <f aca="false">IF(Q42="","Pendiente por formular",IF(OR(S42="",T42="",U42="",V42="",W42="",X42="",Z42="",AA42=""),"Incompleta: faltan campos obligatorios",IF(OR(NOT(ISNUMBER(T42)),NOT(ISNUMBER(U42))),"Fecha inválida",IF(U42&lt;T42,"La fecha de fin es anterior a la de inicio",IF(OR(YEAR(T42)&lt;&gt;2027,YEAR(U42)&lt;&gt;2027),"Fechas fuera de la vigencia 2027",IF(ISERROR(SEARCH("@itc.edu.co",V42)),"El responsable no tiene correo institucional",IF(ISERROR(SEARCH(Z42,INDEX(Catalogos!$Z$5:$Z$25,MATCH(AA42,L_IMP,0)))),"La dimensión no corresponde al indicador de impacto","OK")))))))</f>
        <v>Pendiente por formular</v>
      </c>
    </row>
    <row r="43" customFormat="false" ht="144.75" hidden="false" customHeight="true" outlineLevel="0" collapsed="false">
      <c r="A43" s="12" t="str">
        <f aca="false">Base_OAPDI!A41</f>
        <v>E1-037</v>
      </c>
      <c r="B43" s="12" t="str">
        <f aca="false">Base_OAPDI!B41</f>
        <v>1.3.1.1</v>
      </c>
      <c r="C43" s="12" t="str">
        <f aca="false">Base_OAPDI!D41</f>
        <v>1.3 Calidad de los programas académicos</v>
      </c>
      <c r="D43" s="12" t="str">
        <f aca="false">Base_OAPDI!E41</f>
        <v>Contar con la acreditación del 100% de los programas de la ETITC que sean acreditables.</v>
      </c>
      <c r="E43" s="12" t="str">
        <f aca="false">Base_OAPDI!F41</f>
        <v>% de programas acreditables con acreditación vigente y N.° de programas acreditados</v>
      </c>
      <c r="F43" s="12" t="str">
        <f aca="false">Base_OAPDI!G41</f>
        <v>100% de los acreditables (MPI: 24 programas)</v>
      </c>
      <c r="G43" s="12" t="str">
        <f aca="false">Base_OAPDI!H41</f>
        <v>Sugerido: (mantener el 100% de los programas acreditables acreditados —18 programas con acreditación vigente, según la MPI— y radicar a tiempo las renovaciones que vencen en 2027)</v>
      </c>
      <c r="H43" s="12" t="str">
        <f aca="false">Base_OAPDI!I41</f>
        <v>A07</v>
      </c>
      <c r="I43" s="12" t="str">
        <f aca="false">Base_OAPDI!J41</f>
        <v>101 · Oficina Asesora de Planeación y Desarrollo Institucional</v>
      </c>
      <c r="J43" s="12" t="str">
        <f aca="false">Base_OAPDI!K41</f>
        <v>Autoevaluación y Acreditación</v>
      </c>
      <c r="K43" s="12" t="str">
        <f aca="false">Base_OAPDI!L41</f>
        <v>Gestión del Sistema Integrado de Aseguramiento</v>
      </c>
      <c r="L43" s="12" t="n">
        <f aca="false">Base_OAPDI!N41</f>
        <v>11</v>
      </c>
      <c r="M43" s="12" t="n">
        <f aca="false">Base_OAPDI!P41</f>
        <v>7</v>
      </c>
      <c r="N43" s="12" t="n">
        <f aca="false">Base_OAPDI!Q41</f>
        <v>1</v>
      </c>
      <c r="O43" s="12" t="str">
        <f aca="false">Base_OAPDI!R41</f>
        <v>Acciones propuestas por la OAPDI (valídelas y formúlelas en esta fila o en Acciones adicionales): A27-016 Construir el calendario de vencimientos de las acreditaciones de programa 2027-2029; A27-017 Radicar las renovaciones de acreditación que vencen en 2027 y atender las visitas de pares; A27-019 Cerrar los 11 productos vencidos de acreditación de programas de 2026. Cerrar o reprogramar 7 producto(s) 2026 pendiente(s) de esta meta. Atender 1 compromiso(s) de proyectos estructurantes (hoja Compromisos_2026).</v>
      </c>
      <c r="P43" s="12" t="str">
        <f aca="false">Base_OAPDI!S41</f>
        <v>IMP-07; IMP-18</v>
      </c>
      <c r="Q43" s="11"/>
      <c r="R43" s="11"/>
      <c r="S43" s="11"/>
      <c r="T43" s="18"/>
      <c r="U43" s="18"/>
      <c r="V43" s="11"/>
      <c r="W43" s="11"/>
      <c r="X43" s="11"/>
      <c r="Y43" s="11"/>
      <c r="Z43" s="11"/>
      <c r="AA43" s="11"/>
      <c r="AB43" s="12" t="str">
        <f aca="false">IF(AA43="","",INDEX(Catalogos!$Y$5:$Y$25,MATCH(AA43,L_IMP,0)))</f>
        <v/>
      </c>
      <c r="AC43" s="11"/>
      <c r="AD43" s="11"/>
      <c r="AE43" s="11"/>
      <c r="AF43" s="10" t="str">
        <f aca="false">IF(Q43="","Pendiente por formular",IF(OR(S43="",T43="",U43="",V43="",W43="",X43="",Z43="",AA43=""),"Incompleta: faltan campos obligatorios",IF(OR(NOT(ISNUMBER(T43)),NOT(ISNUMBER(U43))),"Fecha inválida",IF(U43&lt;T43,"La fecha de fin es anterior a la de inicio",IF(OR(YEAR(T43)&lt;&gt;2027,YEAR(U43)&lt;&gt;2027),"Fechas fuera de la vigencia 2027",IF(ISERROR(SEARCH("@itc.edu.co",V43)),"El responsable no tiene correo institucional",IF(ISERROR(SEARCH(Z43,INDEX(Catalogos!$Z$5:$Z$25,MATCH(AA43,L_IMP,0)))),"La dimensión no corresponde al indicador de impacto","OK")))))))</f>
        <v>Pendiente por formular</v>
      </c>
    </row>
    <row r="44" customFormat="false" ht="144.75" hidden="false" customHeight="true" outlineLevel="0" collapsed="false">
      <c r="A44" s="12" t="str">
        <f aca="false">Base_OAPDI!A42</f>
        <v>E1-038</v>
      </c>
      <c r="B44" s="12" t="str">
        <f aca="false">Base_OAPDI!B42</f>
        <v>1.3.1.1</v>
      </c>
      <c r="C44" s="12" t="str">
        <f aca="false">Base_OAPDI!D42</f>
        <v>1.3 Calidad de los programas académicos</v>
      </c>
      <c r="D44" s="12" t="str">
        <f aca="false">Base_OAPDI!E42</f>
        <v>Contar con la acreditación del 100% de los programas de la ETITC que sean acreditables.</v>
      </c>
      <c r="E44" s="12" t="str">
        <f aca="false">Base_OAPDI!F42</f>
        <v>% de programas acreditables con acreditación vigente y N.° de programas acreditados</v>
      </c>
      <c r="F44" s="12" t="str">
        <f aca="false">Base_OAPDI!G42</f>
        <v>100% de los acreditables (MPI: 24 programas)</v>
      </c>
      <c r="G44" s="12" t="str">
        <f aca="false">Base_OAPDI!H42</f>
        <v>Sugerido: (mantener el 100% de los programas acreditables acreditados —18 programas con acreditación vigente, según la MPI— y radicar a tiempo las renovaciones que vencen en 2027)</v>
      </c>
      <c r="H44" s="12" t="str">
        <f aca="false">Base_OAPDI!I42</f>
        <v>A18</v>
      </c>
      <c r="I44" s="12" t="str">
        <f aca="false">Base_OAPDI!J42</f>
        <v>101 · Oficina Asesora de Planeación y Desarrollo Institucional</v>
      </c>
      <c r="J44" s="12" t="str">
        <f aca="false">Base_OAPDI!K42</f>
        <v>Articulación de programas (IA)</v>
      </c>
      <c r="K44" s="12" t="str">
        <f aca="false">Base_OAPDI!L42</f>
        <v>Direccionamiento Institucional</v>
      </c>
      <c r="L44" s="12" t="n">
        <f aca="false">Base_OAPDI!N42</f>
        <v>3</v>
      </c>
      <c r="M44" s="12" t="n">
        <f aca="false">Base_OAPDI!P42</f>
        <v>3</v>
      </c>
      <c r="N44" s="12" t="n">
        <f aca="false">Base_OAPDI!Q42</f>
        <v>0</v>
      </c>
      <c r="O44" s="12" t="str">
        <f aca="false">Base_OAPDI!R42</f>
        <v>Cerrar o reprogramar 3 producto(s) 2026 pendiente(s) de esta meta.</v>
      </c>
      <c r="P44" s="12" t="str">
        <f aca="false">Base_OAPDI!S42</f>
        <v>IMP-07; IMP-18</v>
      </c>
      <c r="Q44" s="11"/>
      <c r="R44" s="11"/>
      <c r="S44" s="11"/>
      <c r="T44" s="18"/>
      <c r="U44" s="18"/>
      <c r="V44" s="11"/>
      <c r="W44" s="11"/>
      <c r="X44" s="11"/>
      <c r="Y44" s="11"/>
      <c r="Z44" s="11"/>
      <c r="AA44" s="11"/>
      <c r="AB44" s="12" t="str">
        <f aca="false">IF(AA44="","",INDEX(Catalogos!$Y$5:$Y$25,MATCH(AA44,L_IMP,0)))</f>
        <v/>
      </c>
      <c r="AC44" s="11"/>
      <c r="AD44" s="11"/>
      <c r="AE44" s="11"/>
      <c r="AF44" s="10" t="str">
        <f aca="false">IF(Q44="","Pendiente por formular",IF(OR(S44="",T44="",U44="",V44="",W44="",X44="",Z44="",AA44=""),"Incompleta: faltan campos obligatorios",IF(OR(NOT(ISNUMBER(T44)),NOT(ISNUMBER(U44))),"Fecha inválida",IF(U44&lt;T44,"La fecha de fin es anterior a la de inicio",IF(OR(YEAR(T44)&lt;&gt;2027,YEAR(U44)&lt;&gt;2027),"Fechas fuera de la vigencia 2027",IF(ISERROR(SEARCH("@itc.edu.co",V44)),"El responsable no tiene correo institucional",IF(ISERROR(SEARCH(Z44,INDEX(Catalogos!$Z$5:$Z$25,MATCH(AA44,L_IMP,0)))),"La dimensión no corresponde al indicador de impacto","OK")))))))</f>
        <v>Pendiente por formular</v>
      </c>
    </row>
    <row r="45" customFormat="false" ht="144.75" hidden="false" customHeight="true" outlineLevel="0" collapsed="false">
      <c r="A45" s="12" t="str">
        <f aca="false">Base_OAPDI!A43</f>
        <v>E1-039</v>
      </c>
      <c r="B45" s="12" t="str">
        <f aca="false">Base_OAPDI!B43</f>
        <v>1.3.1.1</v>
      </c>
      <c r="C45" s="12" t="str">
        <f aca="false">Base_OAPDI!D43</f>
        <v>1.3 Calidad de los programas académicos</v>
      </c>
      <c r="D45" s="12" t="str">
        <f aca="false">Base_OAPDI!E43</f>
        <v>Contar con la acreditación del 100% de los programas de la ETITC que sean acreditables.</v>
      </c>
      <c r="E45" s="12" t="str">
        <f aca="false">Base_OAPDI!F43</f>
        <v>% de programas acreditables con acreditación vigente y N.° de programas acreditados</v>
      </c>
      <c r="F45" s="12" t="str">
        <f aca="false">Base_OAPDI!G43</f>
        <v>100% de los acreditables (MPI: 24 programas)</v>
      </c>
      <c r="G45" s="12" t="str">
        <f aca="false">Base_OAPDI!H43</f>
        <v>Sugerido: (mantener el 100% de los programas acreditables acreditados —18 programas con acreditación vigente, según la MPI— y radicar a tiempo las renovaciones que vencen en 2027)</v>
      </c>
      <c r="H45" s="12" t="str">
        <f aca="false">Base_OAPDI!I43</f>
        <v>A23</v>
      </c>
      <c r="I45" s="12" t="str">
        <f aca="false">Base_OAPDI!J43</f>
        <v>123 · Facultades</v>
      </c>
      <c r="J45" s="12" t="str">
        <f aca="false">Base_OAPDI!K43</f>
        <v>Facultad de Mecánica</v>
      </c>
      <c r="K45" s="12" t="str">
        <f aca="false">Base_OAPDI!L43</f>
        <v>Docencia PES</v>
      </c>
      <c r="L45" s="12" t="n">
        <f aca="false">Base_OAPDI!N43</f>
        <v>1</v>
      </c>
      <c r="M45" s="12" t="n">
        <f aca="false">Base_OAPDI!P43</f>
        <v>1</v>
      </c>
      <c r="N45" s="12" t="n">
        <f aca="false">Base_OAPDI!Q43</f>
        <v>0</v>
      </c>
      <c r="O45" s="12" t="str">
        <f aca="false">Base_OAPDI!R43</f>
        <v>Cerrar o reprogramar 1 producto(s) 2026 pendiente(s) de esta meta.</v>
      </c>
      <c r="P45" s="12" t="str">
        <f aca="false">Base_OAPDI!S43</f>
        <v>IMP-07; IMP-18</v>
      </c>
      <c r="Q45" s="11"/>
      <c r="R45" s="11"/>
      <c r="S45" s="11"/>
      <c r="T45" s="18"/>
      <c r="U45" s="18"/>
      <c r="V45" s="11"/>
      <c r="W45" s="11"/>
      <c r="X45" s="11"/>
      <c r="Y45" s="11"/>
      <c r="Z45" s="11"/>
      <c r="AA45" s="11"/>
      <c r="AB45" s="12" t="str">
        <f aca="false">IF(AA45="","",INDEX(Catalogos!$Y$5:$Y$25,MATCH(AA45,L_IMP,0)))</f>
        <v/>
      </c>
      <c r="AC45" s="11"/>
      <c r="AD45" s="11"/>
      <c r="AE45" s="11"/>
      <c r="AF45" s="10" t="str">
        <f aca="false">IF(Q45="","Pendiente por formular",IF(OR(S45="",T45="",U45="",V45="",W45="",X45="",Z45="",AA45=""),"Incompleta: faltan campos obligatorios",IF(OR(NOT(ISNUMBER(T45)),NOT(ISNUMBER(U45))),"Fecha inválida",IF(U45&lt;T45,"La fecha de fin es anterior a la de inicio",IF(OR(YEAR(T45)&lt;&gt;2027,YEAR(U45)&lt;&gt;2027),"Fechas fuera de la vigencia 2027",IF(ISERROR(SEARCH("@itc.edu.co",V45)),"El responsable no tiene correo institucional",IF(ISERROR(SEARCH(Z45,INDEX(Catalogos!$Z$5:$Z$25,MATCH(AA45,L_IMP,0)))),"La dimensión no corresponde al indicador de impacto","OK")))))))</f>
        <v>Pendiente por formular</v>
      </c>
    </row>
    <row r="46" customFormat="false" ht="144.75" hidden="false" customHeight="true" outlineLevel="0" collapsed="false">
      <c r="A46" s="12" t="str">
        <f aca="false">Base_OAPDI!A44</f>
        <v>E1-040</v>
      </c>
      <c r="B46" s="12" t="str">
        <f aca="false">Base_OAPDI!B44</f>
        <v>1.3.1.1</v>
      </c>
      <c r="C46" s="12" t="str">
        <f aca="false">Base_OAPDI!D44</f>
        <v>1.3 Calidad de los programas académicos</v>
      </c>
      <c r="D46" s="12" t="str">
        <f aca="false">Base_OAPDI!E44</f>
        <v>Contar con la acreditación del 100% de los programas de la ETITC que sean acreditables.</v>
      </c>
      <c r="E46" s="12" t="str">
        <f aca="false">Base_OAPDI!F44</f>
        <v>% de programas acreditables con acreditación vigente y N.° de programas acreditados</v>
      </c>
      <c r="F46" s="12" t="str">
        <f aca="false">Base_OAPDI!G44</f>
        <v>100% de los acreditables (MPI: 24 programas)</v>
      </c>
      <c r="G46" s="12" t="str">
        <f aca="false">Base_OAPDI!H44</f>
        <v>Sugerido: (mantener el 100% de los programas acreditables acreditados —18 programas con acreditación vigente, según la MPI— y radicar a tiempo las renovaciones que vencen en 2027)</v>
      </c>
      <c r="H46" s="12" t="str">
        <f aca="false">Base_OAPDI!I44</f>
        <v>A30</v>
      </c>
      <c r="I46" s="12" t="str">
        <f aca="false">Base_OAPDI!J44</f>
        <v>130 · Vicerrectoría Administrativa y Financiera</v>
      </c>
      <c r="J46" s="12" t="str">
        <f aca="false">Base_OAPDI!K44</f>
        <v>Despacho de la Vicerrectoría Administrativa y Financiera</v>
      </c>
      <c r="K46" s="12" t="str">
        <f aca="false">Base_OAPDI!L44</f>
        <v>Gestión Financiera</v>
      </c>
      <c r="L46" s="12" t="n">
        <f aca="false">Base_OAPDI!N44</f>
        <v>0</v>
      </c>
      <c r="M46" s="12" t="n">
        <f aca="false">Base_OAPDI!P44</f>
        <v>0</v>
      </c>
      <c r="N46" s="12" t="n">
        <f aca="false">Base_OAPDI!Q44</f>
        <v>0</v>
      </c>
      <c r="O46" s="12" t="str">
        <f aca="false">Base_OAPDI!R44</f>
        <v>Formular al menos una acción que contribuya a la meta institucional 2027 de esta meta.</v>
      </c>
      <c r="P46" s="12" t="str">
        <f aca="false">Base_OAPDI!S44</f>
        <v>IMP-07; IMP-18</v>
      </c>
      <c r="Q46" s="11"/>
      <c r="R46" s="11"/>
      <c r="S46" s="11"/>
      <c r="T46" s="18"/>
      <c r="U46" s="18"/>
      <c r="V46" s="11"/>
      <c r="W46" s="11"/>
      <c r="X46" s="11"/>
      <c r="Y46" s="11"/>
      <c r="Z46" s="11"/>
      <c r="AA46" s="11"/>
      <c r="AB46" s="12" t="str">
        <f aca="false">IF(AA46="","",INDEX(Catalogos!$Y$5:$Y$25,MATCH(AA46,L_IMP,0)))</f>
        <v/>
      </c>
      <c r="AC46" s="11"/>
      <c r="AD46" s="11"/>
      <c r="AE46" s="11"/>
      <c r="AF46" s="10" t="str">
        <f aca="false">IF(Q46="","Pendiente por formular",IF(OR(S46="",T46="",U46="",V46="",W46="",X46="",Z46="",AA46=""),"Incompleta: faltan campos obligatorios",IF(OR(NOT(ISNUMBER(T46)),NOT(ISNUMBER(U46))),"Fecha inválida",IF(U46&lt;T46,"La fecha de fin es anterior a la de inicio",IF(OR(YEAR(T46)&lt;&gt;2027,YEAR(U46)&lt;&gt;2027),"Fechas fuera de la vigencia 2027",IF(ISERROR(SEARCH("@itc.edu.co",V46)),"El responsable no tiene correo institucional",IF(ISERROR(SEARCH(Z46,INDEX(Catalogos!$Z$5:$Z$25,MATCH(AA46,L_IMP,0)))),"La dimensión no corresponde al indicador de impacto","OK")))))))</f>
        <v>Pendiente por formular</v>
      </c>
    </row>
    <row r="47" customFormat="false" ht="144.75" hidden="false" customHeight="true" outlineLevel="0" collapsed="false">
      <c r="A47" s="12" t="str">
        <f aca="false">Base_OAPDI!A45</f>
        <v>E1-041</v>
      </c>
      <c r="B47" s="12" t="str">
        <f aca="false">Base_OAPDI!B45</f>
        <v>1.3.1.1</v>
      </c>
      <c r="C47" s="12" t="str">
        <f aca="false">Base_OAPDI!D45</f>
        <v>1.3 Calidad de los programas académicos</v>
      </c>
      <c r="D47" s="12" t="str">
        <f aca="false">Base_OAPDI!E45</f>
        <v>Contar con la acreditación del 100% de los programas de la ETITC que sean acreditables.</v>
      </c>
      <c r="E47" s="12" t="str">
        <f aca="false">Base_OAPDI!F45</f>
        <v>% de programas acreditables con acreditación vigente y N.° de programas acreditados</v>
      </c>
      <c r="F47" s="12" t="str">
        <f aca="false">Base_OAPDI!G45</f>
        <v>100% de los acreditables (MPI: 24 programas)</v>
      </c>
      <c r="G47" s="12" t="str">
        <f aca="false">Base_OAPDI!H45</f>
        <v>Sugerido: (mantener el 100% de los programas acreditables acreditados —18 programas con acreditación vigente, según la MPI— y radicar a tiempo las renovaciones que vencen en 2027)</v>
      </c>
      <c r="H47" s="12" t="str">
        <f aca="false">Base_OAPDI!I45</f>
        <v>A43</v>
      </c>
      <c r="I47" s="12" t="str">
        <f aca="false">Base_OAPDI!J45</f>
        <v>141 · GIT Extensión y Proyección Social</v>
      </c>
      <c r="J47" s="12" t="str">
        <f aca="false">Base_OAPDI!K45</f>
        <v>Egresados y Bolsa de Empleo</v>
      </c>
      <c r="K47" s="12" t="str">
        <f aca="false">Base_OAPDI!L45</f>
        <v>Egresados</v>
      </c>
      <c r="L47" s="12" t="n">
        <f aca="false">Base_OAPDI!N45</f>
        <v>17</v>
      </c>
      <c r="M47" s="12" t="n">
        <f aca="false">Base_OAPDI!P45</f>
        <v>1</v>
      </c>
      <c r="N47" s="12" t="n">
        <f aca="false">Base_OAPDI!Q45</f>
        <v>0</v>
      </c>
      <c r="O47" s="12" t="str">
        <f aca="false">Base_OAPDI!R45</f>
        <v>Cerrar o reprogramar 1 producto(s) 2026 pendiente(s) de esta meta.</v>
      </c>
      <c r="P47" s="12" t="str">
        <f aca="false">Base_OAPDI!S45</f>
        <v>IMP-07; IMP-18</v>
      </c>
      <c r="Q47" s="11"/>
      <c r="R47" s="11"/>
      <c r="S47" s="11"/>
      <c r="T47" s="18"/>
      <c r="U47" s="18"/>
      <c r="V47" s="11"/>
      <c r="W47" s="11"/>
      <c r="X47" s="11"/>
      <c r="Y47" s="11"/>
      <c r="Z47" s="11"/>
      <c r="AA47" s="11"/>
      <c r="AB47" s="12" t="str">
        <f aca="false">IF(AA47="","",INDEX(Catalogos!$Y$5:$Y$25,MATCH(AA47,L_IMP,0)))</f>
        <v/>
      </c>
      <c r="AC47" s="11"/>
      <c r="AD47" s="11"/>
      <c r="AE47" s="11"/>
      <c r="AF47" s="10" t="str">
        <f aca="false">IF(Q47="","Pendiente por formular",IF(OR(S47="",T47="",U47="",V47="",W47="",X47="",Z47="",AA47=""),"Incompleta: faltan campos obligatorios",IF(OR(NOT(ISNUMBER(T47)),NOT(ISNUMBER(U47))),"Fecha inválida",IF(U47&lt;T47,"La fecha de fin es anterior a la de inicio",IF(OR(YEAR(T47)&lt;&gt;2027,YEAR(U47)&lt;&gt;2027),"Fechas fuera de la vigencia 2027",IF(ISERROR(SEARCH("@itc.edu.co",V47)),"El responsable no tiene correo institucional",IF(ISERROR(SEARCH(Z47,INDEX(Catalogos!$Z$5:$Z$25,MATCH(AA47,L_IMP,0)))),"La dimensión no corresponde al indicador de impacto","OK")))))))</f>
        <v>Pendiente por formular</v>
      </c>
    </row>
    <row r="48" customFormat="false" ht="144.75" hidden="false" customHeight="true" outlineLevel="0" collapsed="false">
      <c r="A48" s="12" t="str">
        <f aca="false">Base_OAPDI!A46</f>
        <v>E1-042</v>
      </c>
      <c r="B48" s="12" t="str">
        <f aca="false">Base_OAPDI!B46</f>
        <v>1.3.1.1</v>
      </c>
      <c r="C48" s="12" t="str">
        <f aca="false">Base_OAPDI!D46</f>
        <v>1.3 Calidad de los programas académicos</v>
      </c>
      <c r="D48" s="12" t="str">
        <f aca="false">Base_OAPDI!E46</f>
        <v>Contar con la acreditación del 100% de los programas de la ETITC que sean acreditables.</v>
      </c>
      <c r="E48" s="12" t="str">
        <f aca="false">Base_OAPDI!F46</f>
        <v>% de programas acreditables con acreditación vigente y N.° de programas acreditados</v>
      </c>
      <c r="F48" s="12" t="str">
        <f aca="false">Base_OAPDI!G46</f>
        <v>100% de los acreditables (MPI: 24 programas)</v>
      </c>
      <c r="G48" s="12" t="str">
        <f aca="false">Base_OAPDI!H46</f>
        <v>Sugerido: (mantener el 100% de los programas acreditables acreditados —18 programas con acreditación vigente, según la MPI— y radicar a tiempo las renovaciones que vencen en 2027)</v>
      </c>
      <c r="H48" s="12" t="str">
        <f aca="false">Base_OAPDI!I46</f>
        <v>A08</v>
      </c>
      <c r="I48" s="12" t="str">
        <f aca="false">Base_OAPDI!J46</f>
        <v>101 · Oficina Asesora de Planeación y Desarrollo Institucional</v>
      </c>
      <c r="J48" s="12" t="str">
        <f aca="false">Base_OAPDI!K46</f>
        <v>Aseguramiento de la Calidad, MIPG y Registros Calificados</v>
      </c>
      <c r="K48" s="12" t="str">
        <f aca="false">Base_OAPDI!L46</f>
        <v>Gestión del Sistema Integrado de Aseguramiento</v>
      </c>
      <c r="L48" s="12" t="n">
        <f aca="false">Base_OAPDI!N46</f>
        <v>0</v>
      </c>
      <c r="M48" s="12" t="n">
        <f aca="false">Base_OAPDI!P46</f>
        <v>0</v>
      </c>
      <c r="N48" s="12" t="n">
        <f aca="false">Base_OAPDI!Q46</f>
        <v>0</v>
      </c>
      <c r="O48" s="12" t="str">
        <f aca="false">Base_OAPDI!R46</f>
        <v>Acciones propuestas por la OAPDI (valídelas y formúlelas en esta fila o en Acciones adicionales): A27-018 Hacer seguimiento a los planes de mejoramiento de los programas acreditados.</v>
      </c>
      <c r="P48" s="12" t="str">
        <f aca="false">Base_OAPDI!S46</f>
        <v>IMP-07; IMP-18</v>
      </c>
      <c r="Q48" s="11"/>
      <c r="R48" s="11"/>
      <c r="S48" s="11"/>
      <c r="T48" s="18"/>
      <c r="U48" s="18"/>
      <c r="V48" s="11"/>
      <c r="W48" s="11"/>
      <c r="X48" s="11"/>
      <c r="Y48" s="11"/>
      <c r="Z48" s="11"/>
      <c r="AA48" s="11"/>
      <c r="AB48" s="12" t="str">
        <f aca="false">IF(AA48="","",INDEX(Catalogos!$Y$5:$Y$25,MATCH(AA48,L_IMP,0)))</f>
        <v/>
      </c>
      <c r="AC48" s="11"/>
      <c r="AD48" s="11"/>
      <c r="AE48" s="11"/>
      <c r="AF48" s="10" t="str">
        <f aca="false">IF(Q48="","Pendiente por formular",IF(OR(S48="",T48="",U48="",V48="",W48="",X48="",Z48="",AA48=""),"Incompleta: faltan campos obligatorios",IF(OR(NOT(ISNUMBER(T48)),NOT(ISNUMBER(U48))),"Fecha inválida",IF(U48&lt;T48,"La fecha de fin es anterior a la de inicio",IF(OR(YEAR(T48)&lt;&gt;2027,YEAR(U48)&lt;&gt;2027),"Fechas fuera de la vigencia 2027",IF(ISERROR(SEARCH("@itc.edu.co",V48)),"El responsable no tiene correo institucional",IF(ISERROR(SEARCH(Z48,INDEX(Catalogos!$Z$5:$Z$25,MATCH(AA48,L_IMP,0)))),"La dimensión no corresponde al indicador de impacto","OK")))))))</f>
        <v>Pendiente por formular</v>
      </c>
    </row>
    <row r="49" customFormat="false" ht="118.5" hidden="false" customHeight="true" outlineLevel="0" collapsed="false">
      <c r="A49" s="12" t="str">
        <f aca="false">Base_OAPDI!A47</f>
        <v>E1-043</v>
      </c>
      <c r="B49" s="12" t="str">
        <f aca="false">Base_OAPDI!B47</f>
        <v>1.3.1.2</v>
      </c>
      <c r="C49" s="12" t="str">
        <f aca="false">Base_OAPDI!D47</f>
        <v>1.3 Calidad de los programas académicos</v>
      </c>
      <c r="D49" s="12" t="str">
        <f aca="false">Base_OAPDI!E47</f>
        <v>Resultados de las Pruebas SABER por encima de la valoración de la media.</v>
      </c>
      <c r="E49" s="12" t="str">
        <f aca="false">Base_OAPDI!F47</f>
        <v>Puntaje promedio institucional Saber PRO/TyT frente a la media nacional</v>
      </c>
      <c r="F49" s="12" t="str">
        <f aca="false">Base_OAPDI!G47</f>
        <v>Por encima de la media nacional</v>
      </c>
      <c r="G49" s="12" t="str">
        <f aca="false">Base_OAPDI!H47</f>
        <v>Sugerido: (promedio institucional de 254 puntos —mejora de 1 punto por año desde 252 en 2024— y por encima de la media nacional del grupo de referencia)</v>
      </c>
      <c r="H49" s="12" t="str">
        <f aca="false">Base_OAPDI!I47</f>
        <v>A06</v>
      </c>
      <c r="I49" s="12" t="str">
        <f aca="false">Base_OAPDI!J47</f>
        <v>101 · Oficina Asesora de Planeación y Desarrollo Institucional</v>
      </c>
      <c r="J49" s="12" t="str">
        <f aca="false">Base_OAPDI!K47</f>
        <v>Gestión de Proyectos</v>
      </c>
      <c r="K49" s="12" t="str">
        <f aca="false">Base_OAPDI!L47</f>
        <v>Direccionamiento Institucional</v>
      </c>
      <c r="L49" s="12" t="n">
        <f aca="false">Base_OAPDI!N47</f>
        <v>1</v>
      </c>
      <c r="M49" s="12" t="n">
        <f aca="false">Base_OAPDI!P47</f>
        <v>1</v>
      </c>
      <c r="N49" s="12" t="n">
        <f aca="false">Base_OAPDI!Q47</f>
        <v>0</v>
      </c>
      <c r="O49" s="12" t="str">
        <f aca="false">Base_OAPDI!R47</f>
        <v>Cerrar o reprogramar 1 producto(s) 2026 pendiente(s) de esta meta.</v>
      </c>
      <c r="P49" s="12" t="str">
        <f aca="false">Base_OAPDI!S47</f>
        <v>IMP-07; IMP-19</v>
      </c>
      <c r="Q49" s="11"/>
      <c r="R49" s="11"/>
      <c r="S49" s="11"/>
      <c r="T49" s="18"/>
      <c r="U49" s="18"/>
      <c r="V49" s="11"/>
      <c r="W49" s="11"/>
      <c r="X49" s="11"/>
      <c r="Y49" s="11"/>
      <c r="Z49" s="11"/>
      <c r="AA49" s="11"/>
      <c r="AB49" s="12" t="str">
        <f aca="false">IF(AA49="","",INDEX(Catalogos!$Y$5:$Y$25,MATCH(AA49,L_IMP,0)))</f>
        <v/>
      </c>
      <c r="AC49" s="11"/>
      <c r="AD49" s="11"/>
      <c r="AE49" s="11"/>
      <c r="AF49" s="10" t="str">
        <f aca="false">IF(Q49="","Pendiente por formular",IF(OR(S49="",T49="",U49="",V49="",W49="",X49="",Z49="",AA49=""),"Incompleta: faltan campos obligatorios",IF(OR(NOT(ISNUMBER(T49)),NOT(ISNUMBER(U49))),"Fecha inválida",IF(U49&lt;T49,"La fecha de fin es anterior a la de inicio",IF(OR(YEAR(T49)&lt;&gt;2027,YEAR(U49)&lt;&gt;2027),"Fechas fuera de la vigencia 2027",IF(ISERROR(SEARCH("@itc.edu.co",V49)),"El responsable no tiene correo institucional",IF(ISERROR(SEARCH(Z49,INDEX(Catalogos!$Z$5:$Z$25,MATCH(AA49,L_IMP,0)))),"La dimensión no corresponde al indicador de impacto","OK")))))))</f>
        <v>Pendiente por formular</v>
      </c>
    </row>
    <row r="50" customFormat="false" ht="118.5" hidden="false" customHeight="true" outlineLevel="0" collapsed="false">
      <c r="A50" s="12" t="str">
        <f aca="false">Base_OAPDI!A48</f>
        <v>E1-044</v>
      </c>
      <c r="B50" s="12" t="str">
        <f aca="false">Base_OAPDI!B48</f>
        <v>1.3.1.2</v>
      </c>
      <c r="C50" s="12" t="str">
        <f aca="false">Base_OAPDI!D48</f>
        <v>1.3 Calidad de los programas académicos</v>
      </c>
      <c r="D50" s="12" t="str">
        <f aca="false">Base_OAPDI!E48</f>
        <v>Resultados de las Pruebas SABER por encima de la valoración de la media.</v>
      </c>
      <c r="E50" s="12" t="str">
        <f aca="false">Base_OAPDI!F48</f>
        <v>Puntaje promedio institucional Saber PRO/TyT frente a la media nacional</v>
      </c>
      <c r="F50" s="12" t="str">
        <f aca="false">Base_OAPDI!G48</f>
        <v>Por encima de la media nacional</v>
      </c>
      <c r="G50" s="12" t="str">
        <f aca="false">Base_OAPDI!H48</f>
        <v>Sugerido: (promedio institucional de 254 puntos —mejora de 1 punto por año desde 252 en 2024— y por encima de la media nacional del grupo de referencia)</v>
      </c>
      <c r="H50" s="12" t="str">
        <f aca="false">Base_OAPDI!I48</f>
        <v>A15</v>
      </c>
      <c r="I50" s="12" t="str">
        <f aca="false">Base_OAPDI!J48</f>
        <v>120 · Vicerrectoría Académica</v>
      </c>
      <c r="J50" s="12" t="str">
        <f aca="false">Base_OAPDI!K48</f>
        <v>Despacho de la Vicerrectoría Académica</v>
      </c>
      <c r="K50" s="12" t="str">
        <f aca="false">Base_OAPDI!L48</f>
        <v>Docencia PES</v>
      </c>
      <c r="L50" s="12" t="n">
        <f aca="false">Base_OAPDI!N48</f>
        <v>8</v>
      </c>
      <c r="M50" s="12" t="n">
        <f aca="false">Base_OAPDI!P48</f>
        <v>2</v>
      </c>
      <c r="N50" s="12" t="n">
        <f aca="false">Base_OAPDI!Q48</f>
        <v>0</v>
      </c>
      <c r="O50" s="12" t="str">
        <f aca="false">Base_OAPDI!R48</f>
        <v>Acciones propuestas por la OAPDI (valídelas y formúlelas en esta fila o en Acciones adicionales): A27-021 Implementar estrategias de preparación para Saber PRO y TyT (talleres de ítems, simulacros). Cerrar o reprogramar 2 producto(s) 2026 pendiente(s) de esta meta.</v>
      </c>
      <c r="P50" s="12" t="str">
        <f aca="false">Base_OAPDI!S48</f>
        <v>IMP-07; IMP-19</v>
      </c>
      <c r="Q50" s="11"/>
      <c r="R50" s="11"/>
      <c r="S50" s="11"/>
      <c r="T50" s="18"/>
      <c r="U50" s="18"/>
      <c r="V50" s="11"/>
      <c r="W50" s="11"/>
      <c r="X50" s="11"/>
      <c r="Y50" s="11"/>
      <c r="Z50" s="11"/>
      <c r="AA50" s="11"/>
      <c r="AB50" s="12" t="str">
        <f aca="false">IF(AA50="","",INDEX(Catalogos!$Y$5:$Y$25,MATCH(AA50,L_IMP,0)))</f>
        <v/>
      </c>
      <c r="AC50" s="11"/>
      <c r="AD50" s="11"/>
      <c r="AE50" s="11"/>
      <c r="AF50" s="10" t="str">
        <f aca="false">IF(Q50="","Pendiente por formular",IF(OR(S50="",T50="",U50="",V50="",W50="",X50="",Z50="",AA50=""),"Incompleta: faltan campos obligatorios",IF(OR(NOT(ISNUMBER(T50)),NOT(ISNUMBER(U50))),"Fecha inválida",IF(U50&lt;T50,"La fecha de fin es anterior a la de inicio",IF(OR(YEAR(T50)&lt;&gt;2027,YEAR(U50)&lt;&gt;2027),"Fechas fuera de la vigencia 2027",IF(ISERROR(SEARCH("@itc.edu.co",V50)),"El responsable no tiene correo institucional",IF(ISERROR(SEARCH(Z50,INDEX(Catalogos!$Z$5:$Z$25,MATCH(AA50,L_IMP,0)))),"La dimensión no corresponde al indicador de impacto","OK")))))))</f>
        <v>Pendiente por formular</v>
      </c>
    </row>
    <row r="51" customFormat="false" ht="118.5" hidden="false" customHeight="true" outlineLevel="0" collapsed="false">
      <c r="A51" s="12" t="str">
        <f aca="false">Base_OAPDI!A49</f>
        <v>E1-045</v>
      </c>
      <c r="B51" s="12" t="str">
        <f aca="false">Base_OAPDI!B49</f>
        <v>1.3.1.2</v>
      </c>
      <c r="C51" s="12" t="str">
        <f aca="false">Base_OAPDI!D49</f>
        <v>1.3 Calidad de los programas académicos</v>
      </c>
      <c r="D51" s="12" t="str">
        <f aca="false">Base_OAPDI!E49</f>
        <v>Resultados de las Pruebas SABER por encima de la valoración de la media.</v>
      </c>
      <c r="E51" s="12" t="str">
        <f aca="false">Base_OAPDI!F49</f>
        <v>Puntaje promedio institucional Saber PRO/TyT frente a la media nacional</v>
      </c>
      <c r="F51" s="12" t="str">
        <f aca="false">Base_OAPDI!G49</f>
        <v>Por encima de la media nacional</v>
      </c>
      <c r="G51" s="12" t="str">
        <f aca="false">Base_OAPDI!H49</f>
        <v>Sugerido: (promedio institucional de 254 puntos —mejora de 1 punto por año desde 252 en 2024— y por encima de la media nacional del grupo de referencia)</v>
      </c>
      <c r="H51" s="12" t="str">
        <f aca="false">Base_OAPDI!I49</f>
        <v>A16</v>
      </c>
      <c r="I51" s="12" t="str">
        <f aca="false">Base_OAPDI!J49</f>
        <v>123 · Facultades</v>
      </c>
      <c r="J51" s="12" t="str">
        <f aca="false">Base_OAPDI!K49</f>
        <v>Coordinación de Especializaciones</v>
      </c>
      <c r="K51" s="12" t="str">
        <f aca="false">Base_OAPDI!L49</f>
        <v>Docencia PES</v>
      </c>
      <c r="L51" s="12" t="n">
        <f aca="false">Base_OAPDI!N49</f>
        <v>2</v>
      </c>
      <c r="M51" s="12" t="n">
        <f aca="false">Base_OAPDI!P49</f>
        <v>2</v>
      </c>
      <c r="N51" s="12" t="n">
        <f aca="false">Base_OAPDI!Q49</f>
        <v>0</v>
      </c>
      <c r="O51" s="12" t="str">
        <f aca="false">Base_OAPDI!R49</f>
        <v>Cerrar o reprogramar 2 producto(s) 2026 pendiente(s) de esta meta.</v>
      </c>
      <c r="P51" s="12" t="str">
        <f aca="false">Base_OAPDI!S49</f>
        <v>IMP-07; IMP-19</v>
      </c>
      <c r="Q51" s="11"/>
      <c r="R51" s="11"/>
      <c r="S51" s="11"/>
      <c r="T51" s="18"/>
      <c r="U51" s="18"/>
      <c r="V51" s="11"/>
      <c r="W51" s="11"/>
      <c r="X51" s="11"/>
      <c r="Y51" s="11"/>
      <c r="Z51" s="11"/>
      <c r="AA51" s="11"/>
      <c r="AB51" s="12" t="str">
        <f aca="false">IF(AA51="","",INDEX(Catalogos!$Y$5:$Y$25,MATCH(AA51,L_IMP,0)))</f>
        <v/>
      </c>
      <c r="AC51" s="11"/>
      <c r="AD51" s="11"/>
      <c r="AE51" s="11"/>
      <c r="AF51" s="10" t="str">
        <f aca="false">IF(Q51="","Pendiente por formular",IF(OR(S51="",T51="",U51="",V51="",W51="",X51="",Z51="",AA51=""),"Incompleta: faltan campos obligatorios",IF(OR(NOT(ISNUMBER(T51)),NOT(ISNUMBER(U51))),"Fecha inválida",IF(U51&lt;T51,"La fecha de fin es anterior a la de inicio",IF(OR(YEAR(T51)&lt;&gt;2027,YEAR(U51)&lt;&gt;2027),"Fechas fuera de la vigencia 2027",IF(ISERROR(SEARCH("@itc.edu.co",V51)),"El responsable no tiene correo institucional",IF(ISERROR(SEARCH(Z51,INDEX(Catalogos!$Z$5:$Z$25,MATCH(AA51,L_IMP,0)))),"La dimensión no corresponde al indicador de impacto","OK")))))))</f>
        <v>Pendiente por formular</v>
      </c>
    </row>
    <row r="52" customFormat="false" ht="118.5" hidden="false" customHeight="true" outlineLevel="0" collapsed="false">
      <c r="A52" s="12" t="str">
        <f aca="false">Base_OAPDI!A50</f>
        <v>E1-046</v>
      </c>
      <c r="B52" s="12" t="str">
        <f aca="false">Base_OAPDI!B50</f>
        <v>1.3.1.2</v>
      </c>
      <c r="C52" s="12" t="str">
        <f aca="false">Base_OAPDI!D50</f>
        <v>1.3 Calidad de los programas académicos</v>
      </c>
      <c r="D52" s="12" t="str">
        <f aca="false">Base_OAPDI!E50</f>
        <v>Resultados de las Pruebas SABER por encima de la valoración de la media.</v>
      </c>
      <c r="E52" s="12" t="str">
        <f aca="false">Base_OAPDI!F50</f>
        <v>Puntaje promedio institucional Saber PRO/TyT frente a la media nacional</v>
      </c>
      <c r="F52" s="12" t="str">
        <f aca="false">Base_OAPDI!G50</f>
        <v>Por encima de la media nacional</v>
      </c>
      <c r="G52" s="12" t="str">
        <f aca="false">Base_OAPDI!H50</f>
        <v>Sugerido: (promedio institucional de 254 puntos —mejora de 1 punto por año desde 252 en 2024— y por encima de la media nacional del grupo de referencia)</v>
      </c>
      <c r="H52" s="12" t="str">
        <f aca="false">Base_OAPDI!I50</f>
        <v>A22</v>
      </c>
      <c r="I52" s="12" t="str">
        <f aca="false">Base_OAPDI!J50</f>
        <v>123 · Facultades</v>
      </c>
      <c r="J52" s="12" t="str">
        <f aca="false">Base_OAPDI!K50</f>
        <v>Facultad de Electromecánica</v>
      </c>
      <c r="K52" s="12" t="str">
        <f aca="false">Base_OAPDI!L50</f>
        <v>Docencia PES</v>
      </c>
      <c r="L52" s="12" t="n">
        <f aca="false">Base_OAPDI!N50</f>
        <v>2</v>
      </c>
      <c r="M52" s="12" t="n">
        <f aca="false">Base_OAPDI!P50</f>
        <v>2</v>
      </c>
      <c r="N52" s="12" t="n">
        <f aca="false">Base_OAPDI!Q50</f>
        <v>0</v>
      </c>
      <c r="O52" s="12" t="str">
        <f aca="false">Base_OAPDI!R50</f>
        <v>Cerrar o reprogramar 2 producto(s) 2026 pendiente(s) de esta meta.</v>
      </c>
      <c r="P52" s="12" t="str">
        <f aca="false">Base_OAPDI!S50</f>
        <v>IMP-07; IMP-19</v>
      </c>
      <c r="Q52" s="11"/>
      <c r="R52" s="11"/>
      <c r="S52" s="11"/>
      <c r="T52" s="18"/>
      <c r="U52" s="18"/>
      <c r="V52" s="11"/>
      <c r="W52" s="11"/>
      <c r="X52" s="11"/>
      <c r="Y52" s="11"/>
      <c r="Z52" s="11"/>
      <c r="AA52" s="11"/>
      <c r="AB52" s="12" t="str">
        <f aca="false">IF(AA52="","",INDEX(Catalogos!$Y$5:$Y$25,MATCH(AA52,L_IMP,0)))</f>
        <v/>
      </c>
      <c r="AC52" s="11"/>
      <c r="AD52" s="11"/>
      <c r="AE52" s="11"/>
      <c r="AF52" s="10" t="str">
        <f aca="false">IF(Q52="","Pendiente por formular",IF(OR(S52="",T52="",U52="",V52="",W52="",X52="",Z52="",AA52=""),"Incompleta: faltan campos obligatorios",IF(OR(NOT(ISNUMBER(T52)),NOT(ISNUMBER(U52))),"Fecha inválida",IF(U52&lt;T52,"La fecha de fin es anterior a la de inicio",IF(OR(YEAR(T52)&lt;&gt;2027,YEAR(U52)&lt;&gt;2027),"Fechas fuera de la vigencia 2027",IF(ISERROR(SEARCH("@itc.edu.co",V52)),"El responsable no tiene correo institucional",IF(ISERROR(SEARCH(Z52,INDEX(Catalogos!$Z$5:$Z$25,MATCH(AA52,L_IMP,0)))),"La dimensión no corresponde al indicador de impacto","OK")))))))</f>
        <v>Pendiente por formular</v>
      </c>
    </row>
    <row r="53" customFormat="false" ht="118.5" hidden="false" customHeight="true" outlineLevel="0" collapsed="false">
      <c r="A53" s="12" t="str">
        <f aca="false">Base_OAPDI!A51</f>
        <v>E1-047</v>
      </c>
      <c r="B53" s="12" t="str">
        <f aca="false">Base_OAPDI!B51</f>
        <v>1.3.1.2</v>
      </c>
      <c r="C53" s="12" t="str">
        <f aca="false">Base_OAPDI!D51</f>
        <v>1.3 Calidad de los programas académicos</v>
      </c>
      <c r="D53" s="12" t="str">
        <f aca="false">Base_OAPDI!E51</f>
        <v>Resultados de las Pruebas SABER por encima de la valoración de la media.</v>
      </c>
      <c r="E53" s="12" t="str">
        <f aca="false">Base_OAPDI!F51</f>
        <v>Puntaje promedio institucional Saber PRO/TyT frente a la media nacional</v>
      </c>
      <c r="F53" s="12" t="str">
        <f aca="false">Base_OAPDI!G51</f>
        <v>Por encima de la media nacional</v>
      </c>
      <c r="G53" s="12" t="str">
        <f aca="false">Base_OAPDI!H51</f>
        <v>Sugerido: (promedio institucional de 254 puntos —mejora de 1 punto por año desde 252 en 2024— y por encima de la media nacional del grupo de referencia)</v>
      </c>
      <c r="H53" s="12" t="str">
        <f aca="false">Base_OAPDI!I51</f>
        <v>A23</v>
      </c>
      <c r="I53" s="12" t="str">
        <f aca="false">Base_OAPDI!J51</f>
        <v>123 · Facultades</v>
      </c>
      <c r="J53" s="12" t="str">
        <f aca="false">Base_OAPDI!K51</f>
        <v>Facultad de Mecánica</v>
      </c>
      <c r="K53" s="12" t="str">
        <f aca="false">Base_OAPDI!L51</f>
        <v>Docencia PES</v>
      </c>
      <c r="L53" s="12" t="n">
        <f aca="false">Base_OAPDI!N51</f>
        <v>2</v>
      </c>
      <c r="M53" s="12" t="n">
        <f aca="false">Base_OAPDI!P51</f>
        <v>2</v>
      </c>
      <c r="N53" s="12" t="n">
        <f aca="false">Base_OAPDI!Q51</f>
        <v>0</v>
      </c>
      <c r="O53" s="12" t="str">
        <f aca="false">Base_OAPDI!R51</f>
        <v>Cerrar o reprogramar 2 producto(s) 2026 pendiente(s) de esta meta.</v>
      </c>
      <c r="P53" s="12" t="str">
        <f aca="false">Base_OAPDI!S51</f>
        <v>IMP-07; IMP-19</v>
      </c>
      <c r="Q53" s="11"/>
      <c r="R53" s="11"/>
      <c r="S53" s="11"/>
      <c r="T53" s="18"/>
      <c r="U53" s="18"/>
      <c r="V53" s="11"/>
      <c r="W53" s="11"/>
      <c r="X53" s="11"/>
      <c r="Y53" s="11"/>
      <c r="Z53" s="11"/>
      <c r="AA53" s="11"/>
      <c r="AB53" s="12" t="str">
        <f aca="false">IF(AA53="","",INDEX(Catalogos!$Y$5:$Y$25,MATCH(AA53,L_IMP,0)))</f>
        <v/>
      </c>
      <c r="AC53" s="11"/>
      <c r="AD53" s="11"/>
      <c r="AE53" s="11"/>
      <c r="AF53" s="10" t="str">
        <f aca="false">IF(Q53="","Pendiente por formular",IF(OR(S53="",T53="",U53="",V53="",W53="",X53="",Z53="",AA53=""),"Incompleta: faltan campos obligatorios",IF(OR(NOT(ISNUMBER(T53)),NOT(ISNUMBER(U53))),"Fecha inválida",IF(U53&lt;T53,"La fecha de fin es anterior a la de inicio",IF(OR(YEAR(T53)&lt;&gt;2027,YEAR(U53)&lt;&gt;2027),"Fechas fuera de la vigencia 2027",IF(ISERROR(SEARCH("@itc.edu.co",V53)),"El responsable no tiene correo institucional",IF(ISERROR(SEARCH(Z53,INDEX(Catalogos!$Z$5:$Z$25,MATCH(AA53,L_IMP,0)))),"La dimensión no corresponde al indicador de impacto","OK")))))))</f>
        <v>Pendiente por formular</v>
      </c>
    </row>
    <row r="54" customFormat="false" ht="118.5" hidden="false" customHeight="true" outlineLevel="0" collapsed="false">
      <c r="A54" s="12" t="str">
        <f aca="false">Base_OAPDI!A52</f>
        <v>E1-048</v>
      </c>
      <c r="B54" s="12" t="str">
        <f aca="false">Base_OAPDI!B52</f>
        <v>1.3.1.2</v>
      </c>
      <c r="C54" s="12" t="str">
        <f aca="false">Base_OAPDI!D52</f>
        <v>1.3 Calidad de los programas académicos</v>
      </c>
      <c r="D54" s="12" t="str">
        <f aca="false">Base_OAPDI!E52</f>
        <v>Resultados de las Pruebas SABER por encima de la valoración de la media.</v>
      </c>
      <c r="E54" s="12" t="str">
        <f aca="false">Base_OAPDI!F52</f>
        <v>Puntaje promedio institucional Saber PRO/TyT frente a la media nacional</v>
      </c>
      <c r="F54" s="12" t="str">
        <f aca="false">Base_OAPDI!G52</f>
        <v>Por encima de la media nacional</v>
      </c>
      <c r="G54" s="12" t="str">
        <f aca="false">Base_OAPDI!H52</f>
        <v>Sugerido: (promedio institucional de 254 puntos —mejora de 1 punto por año desde 252 en 2024— y por encima de la media nacional del grupo de referencia)</v>
      </c>
      <c r="H54" s="12" t="str">
        <f aca="false">Base_OAPDI!I52</f>
        <v>A24</v>
      </c>
      <c r="I54" s="12" t="str">
        <f aca="false">Base_OAPDI!J52</f>
        <v>123 · Facultades</v>
      </c>
      <c r="J54" s="12" t="str">
        <f aca="false">Base_OAPDI!K52</f>
        <v>Facultad de Mecatrónica</v>
      </c>
      <c r="K54" s="12" t="str">
        <f aca="false">Base_OAPDI!L52</f>
        <v>Docencia PES</v>
      </c>
      <c r="L54" s="12" t="n">
        <f aca="false">Base_OAPDI!N52</f>
        <v>2</v>
      </c>
      <c r="M54" s="12" t="n">
        <f aca="false">Base_OAPDI!P52</f>
        <v>2</v>
      </c>
      <c r="N54" s="12" t="n">
        <f aca="false">Base_OAPDI!Q52</f>
        <v>0</v>
      </c>
      <c r="O54" s="12" t="str">
        <f aca="false">Base_OAPDI!R52</f>
        <v>Cerrar o reprogramar 2 producto(s) 2026 pendiente(s) de esta meta.</v>
      </c>
      <c r="P54" s="12" t="str">
        <f aca="false">Base_OAPDI!S52</f>
        <v>IMP-07; IMP-19</v>
      </c>
      <c r="Q54" s="11"/>
      <c r="R54" s="11"/>
      <c r="S54" s="11"/>
      <c r="T54" s="18"/>
      <c r="U54" s="18"/>
      <c r="V54" s="11"/>
      <c r="W54" s="11"/>
      <c r="X54" s="11"/>
      <c r="Y54" s="11"/>
      <c r="Z54" s="11"/>
      <c r="AA54" s="11"/>
      <c r="AB54" s="12" t="str">
        <f aca="false">IF(AA54="","",INDEX(Catalogos!$Y$5:$Y$25,MATCH(AA54,L_IMP,0)))</f>
        <v/>
      </c>
      <c r="AC54" s="11"/>
      <c r="AD54" s="11"/>
      <c r="AE54" s="11"/>
      <c r="AF54" s="10" t="str">
        <f aca="false">IF(Q54="","Pendiente por formular",IF(OR(S54="",T54="",U54="",V54="",W54="",X54="",Z54="",AA54=""),"Incompleta: faltan campos obligatorios",IF(OR(NOT(ISNUMBER(T54)),NOT(ISNUMBER(U54))),"Fecha inválida",IF(U54&lt;T54,"La fecha de fin es anterior a la de inicio",IF(OR(YEAR(T54)&lt;&gt;2027,YEAR(U54)&lt;&gt;2027),"Fechas fuera de la vigencia 2027",IF(ISERROR(SEARCH("@itc.edu.co",V54)),"El responsable no tiene correo institucional",IF(ISERROR(SEARCH(Z54,INDEX(Catalogos!$Z$5:$Z$25,MATCH(AA54,L_IMP,0)))),"La dimensión no corresponde al indicador de impacto","OK")))))))</f>
        <v>Pendiente por formular</v>
      </c>
    </row>
    <row r="55" customFormat="false" ht="118.5" hidden="false" customHeight="true" outlineLevel="0" collapsed="false">
      <c r="A55" s="12" t="str">
        <f aca="false">Base_OAPDI!A53</f>
        <v>E1-049</v>
      </c>
      <c r="B55" s="12" t="str">
        <f aca="false">Base_OAPDI!B53</f>
        <v>1.3.1.2</v>
      </c>
      <c r="C55" s="12" t="str">
        <f aca="false">Base_OAPDI!D53</f>
        <v>1.3 Calidad de los programas académicos</v>
      </c>
      <c r="D55" s="12" t="str">
        <f aca="false">Base_OAPDI!E53</f>
        <v>Resultados de las Pruebas SABER por encima de la valoración de la media.</v>
      </c>
      <c r="E55" s="12" t="str">
        <f aca="false">Base_OAPDI!F53</f>
        <v>Puntaje promedio institucional Saber PRO/TyT frente a la media nacional</v>
      </c>
      <c r="F55" s="12" t="str">
        <f aca="false">Base_OAPDI!G53</f>
        <v>Por encima de la media nacional</v>
      </c>
      <c r="G55" s="12" t="str">
        <f aca="false">Base_OAPDI!H53</f>
        <v>Sugerido: (promedio institucional de 254 puntos —mejora de 1 punto por año desde 252 en 2024— y por encima de la media nacional del grupo de referencia)</v>
      </c>
      <c r="H55" s="12" t="str">
        <f aca="false">Base_OAPDI!I53</f>
        <v>A25</v>
      </c>
      <c r="I55" s="12" t="str">
        <f aca="false">Base_OAPDI!J53</f>
        <v>123 · Facultades</v>
      </c>
      <c r="J55" s="12" t="str">
        <f aca="false">Base_OAPDI!K53</f>
        <v>Facultad de Procesos Industriales</v>
      </c>
      <c r="K55" s="12" t="str">
        <f aca="false">Base_OAPDI!L53</f>
        <v>Docencia PES</v>
      </c>
      <c r="L55" s="12" t="n">
        <f aca="false">Base_OAPDI!N53</f>
        <v>2</v>
      </c>
      <c r="M55" s="12" t="n">
        <f aca="false">Base_OAPDI!P53</f>
        <v>2</v>
      </c>
      <c r="N55" s="12" t="n">
        <f aca="false">Base_OAPDI!Q53</f>
        <v>0</v>
      </c>
      <c r="O55" s="12" t="str">
        <f aca="false">Base_OAPDI!R53</f>
        <v>Cerrar o reprogramar 2 producto(s) 2026 pendiente(s) de esta meta.</v>
      </c>
      <c r="P55" s="12" t="str">
        <f aca="false">Base_OAPDI!S53</f>
        <v>IMP-07; IMP-19</v>
      </c>
      <c r="Q55" s="11"/>
      <c r="R55" s="11"/>
      <c r="S55" s="11"/>
      <c r="T55" s="18"/>
      <c r="U55" s="18"/>
      <c r="V55" s="11"/>
      <c r="W55" s="11"/>
      <c r="X55" s="11"/>
      <c r="Y55" s="11"/>
      <c r="Z55" s="11"/>
      <c r="AA55" s="11"/>
      <c r="AB55" s="12" t="str">
        <f aca="false">IF(AA55="","",INDEX(Catalogos!$Y$5:$Y$25,MATCH(AA55,L_IMP,0)))</f>
        <v/>
      </c>
      <c r="AC55" s="11"/>
      <c r="AD55" s="11"/>
      <c r="AE55" s="11"/>
      <c r="AF55" s="10" t="str">
        <f aca="false">IF(Q55="","Pendiente por formular",IF(OR(S55="",T55="",U55="",V55="",W55="",X55="",Z55="",AA55=""),"Incompleta: faltan campos obligatorios",IF(OR(NOT(ISNUMBER(T55)),NOT(ISNUMBER(U55))),"Fecha inválida",IF(U55&lt;T55,"La fecha de fin es anterior a la de inicio",IF(OR(YEAR(T55)&lt;&gt;2027,YEAR(U55)&lt;&gt;2027),"Fechas fuera de la vigencia 2027",IF(ISERROR(SEARCH("@itc.edu.co",V55)),"El responsable no tiene correo institucional",IF(ISERROR(SEARCH(Z55,INDEX(Catalogos!$Z$5:$Z$25,MATCH(AA55,L_IMP,0)))),"La dimensión no corresponde al indicador de impacto","OK")))))))</f>
        <v>Pendiente por formular</v>
      </c>
    </row>
    <row r="56" customFormat="false" ht="118.5" hidden="false" customHeight="true" outlineLevel="0" collapsed="false">
      <c r="A56" s="12" t="str">
        <f aca="false">Base_OAPDI!A54</f>
        <v>E1-050</v>
      </c>
      <c r="B56" s="12" t="str">
        <f aca="false">Base_OAPDI!B54</f>
        <v>1.3.1.2</v>
      </c>
      <c r="C56" s="12" t="str">
        <f aca="false">Base_OAPDI!D54</f>
        <v>1.3 Calidad de los programas académicos</v>
      </c>
      <c r="D56" s="12" t="str">
        <f aca="false">Base_OAPDI!E54</f>
        <v>Resultados de las Pruebas SABER por encima de la valoración de la media.</v>
      </c>
      <c r="E56" s="12" t="str">
        <f aca="false">Base_OAPDI!F54</f>
        <v>Puntaje promedio institucional Saber PRO/TyT frente a la media nacional</v>
      </c>
      <c r="F56" s="12" t="str">
        <f aca="false">Base_OAPDI!G54</f>
        <v>Por encima de la media nacional</v>
      </c>
      <c r="G56" s="12" t="str">
        <f aca="false">Base_OAPDI!H54</f>
        <v>Sugerido: (promedio institucional de 254 puntos —mejora de 1 punto por año desde 252 en 2024— y por encima de la media nacional del grupo de referencia)</v>
      </c>
      <c r="H56" s="12" t="str">
        <f aca="false">Base_OAPDI!I54</f>
        <v>A26</v>
      </c>
      <c r="I56" s="12" t="str">
        <f aca="false">Base_OAPDI!J54</f>
        <v>123 · Facultades</v>
      </c>
      <c r="J56" s="12" t="str">
        <f aca="false">Base_OAPDI!K54</f>
        <v>Facultad de Sistemas</v>
      </c>
      <c r="K56" s="12" t="str">
        <f aca="false">Base_OAPDI!L54</f>
        <v>Docencia PES</v>
      </c>
      <c r="L56" s="12" t="n">
        <f aca="false">Base_OAPDI!N54</f>
        <v>2</v>
      </c>
      <c r="M56" s="12" t="n">
        <f aca="false">Base_OAPDI!P54</f>
        <v>2</v>
      </c>
      <c r="N56" s="12" t="n">
        <f aca="false">Base_OAPDI!Q54</f>
        <v>0</v>
      </c>
      <c r="O56" s="12" t="str">
        <f aca="false">Base_OAPDI!R54</f>
        <v>Cerrar o reprogramar 2 producto(s) 2026 pendiente(s) de esta meta.</v>
      </c>
      <c r="P56" s="12" t="str">
        <f aca="false">Base_OAPDI!S54</f>
        <v>IMP-07; IMP-19</v>
      </c>
      <c r="Q56" s="11"/>
      <c r="R56" s="11"/>
      <c r="S56" s="11"/>
      <c r="T56" s="18"/>
      <c r="U56" s="18"/>
      <c r="V56" s="11"/>
      <c r="W56" s="11"/>
      <c r="X56" s="11"/>
      <c r="Y56" s="11"/>
      <c r="Z56" s="11"/>
      <c r="AA56" s="11"/>
      <c r="AB56" s="12" t="str">
        <f aca="false">IF(AA56="","",INDEX(Catalogos!$Y$5:$Y$25,MATCH(AA56,L_IMP,0)))</f>
        <v/>
      </c>
      <c r="AC56" s="11"/>
      <c r="AD56" s="11"/>
      <c r="AE56" s="11"/>
      <c r="AF56" s="10" t="str">
        <f aca="false">IF(Q56="","Pendiente por formular",IF(OR(S56="",T56="",U56="",V56="",W56="",X56="",Z56="",AA56=""),"Incompleta: faltan campos obligatorios",IF(OR(NOT(ISNUMBER(T56)),NOT(ISNUMBER(U56))),"Fecha inválida",IF(U56&lt;T56,"La fecha de fin es anterior a la de inicio",IF(OR(YEAR(T56)&lt;&gt;2027,YEAR(U56)&lt;&gt;2027),"Fechas fuera de la vigencia 2027",IF(ISERROR(SEARCH("@itc.edu.co",V56)),"El responsable no tiene correo institucional",IF(ISERROR(SEARCH(Z56,INDEX(Catalogos!$Z$5:$Z$25,MATCH(AA56,L_IMP,0)))),"La dimensión no corresponde al indicador de impacto","OK")))))))</f>
        <v>Pendiente por formular</v>
      </c>
    </row>
    <row r="57" customFormat="false" ht="118.5" hidden="false" customHeight="true" outlineLevel="0" collapsed="false">
      <c r="A57" s="12" t="str">
        <f aca="false">Base_OAPDI!A55</f>
        <v>E1-051</v>
      </c>
      <c r="B57" s="12" t="str">
        <f aca="false">Base_OAPDI!B55</f>
        <v>1.3.1.2</v>
      </c>
      <c r="C57" s="12" t="str">
        <f aca="false">Base_OAPDI!D55</f>
        <v>1.3 Calidad de los programas académicos</v>
      </c>
      <c r="D57" s="12" t="str">
        <f aca="false">Base_OAPDI!E55</f>
        <v>Resultados de las Pruebas SABER por encima de la valoración de la media.</v>
      </c>
      <c r="E57" s="12" t="str">
        <f aca="false">Base_OAPDI!F55</f>
        <v>Puntaje promedio institucional Saber PRO/TyT frente a la media nacional</v>
      </c>
      <c r="F57" s="12" t="str">
        <f aca="false">Base_OAPDI!G55</f>
        <v>Por encima de la media nacional</v>
      </c>
      <c r="G57" s="12" t="str">
        <f aca="false">Base_OAPDI!H55</f>
        <v>Sugerido: (promedio institucional de 254 puntos —mejora de 1 punto por año desde 252 en 2024— y por encima de la media nacional del grupo de referencia)</v>
      </c>
      <c r="H57" s="12" t="str">
        <f aca="false">Base_OAPDI!I55</f>
        <v>A30</v>
      </c>
      <c r="I57" s="12" t="str">
        <f aca="false">Base_OAPDI!J55</f>
        <v>130 · Vicerrectoría Administrativa y Financiera</v>
      </c>
      <c r="J57" s="12" t="str">
        <f aca="false">Base_OAPDI!K55</f>
        <v>Despacho de la Vicerrectoría Administrativa y Financiera</v>
      </c>
      <c r="K57" s="12" t="str">
        <f aca="false">Base_OAPDI!L55</f>
        <v>Gestión Financiera</v>
      </c>
      <c r="L57" s="12" t="n">
        <f aca="false">Base_OAPDI!N55</f>
        <v>0</v>
      </c>
      <c r="M57" s="12" t="n">
        <f aca="false">Base_OAPDI!P55</f>
        <v>0</v>
      </c>
      <c r="N57" s="12" t="n">
        <f aca="false">Base_OAPDI!Q55</f>
        <v>0</v>
      </c>
      <c r="O57" s="12" t="str">
        <f aca="false">Base_OAPDI!R55</f>
        <v>Formular al menos una acción que contribuya a la meta institucional 2027 de esta meta.</v>
      </c>
      <c r="P57" s="12" t="str">
        <f aca="false">Base_OAPDI!S55</f>
        <v>IMP-07; IMP-19</v>
      </c>
      <c r="Q57" s="11"/>
      <c r="R57" s="11"/>
      <c r="S57" s="11"/>
      <c r="T57" s="18"/>
      <c r="U57" s="18"/>
      <c r="V57" s="11"/>
      <c r="W57" s="11"/>
      <c r="X57" s="11"/>
      <c r="Y57" s="11"/>
      <c r="Z57" s="11"/>
      <c r="AA57" s="11"/>
      <c r="AB57" s="12" t="str">
        <f aca="false">IF(AA57="","",INDEX(Catalogos!$Y$5:$Y$25,MATCH(AA57,L_IMP,0)))</f>
        <v/>
      </c>
      <c r="AC57" s="11"/>
      <c r="AD57" s="11"/>
      <c r="AE57" s="11"/>
      <c r="AF57" s="10" t="str">
        <f aca="false">IF(Q57="","Pendiente por formular",IF(OR(S57="",T57="",U57="",V57="",W57="",X57="",Z57="",AA57=""),"Incompleta: faltan campos obligatorios",IF(OR(NOT(ISNUMBER(T57)),NOT(ISNUMBER(U57))),"Fecha inválida",IF(U57&lt;T57,"La fecha de fin es anterior a la de inicio",IF(OR(YEAR(T57)&lt;&gt;2027,YEAR(U57)&lt;&gt;2027),"Fechas fuera de la vigencia 2027",IF(ISERROR(SEARCH("@itc.edu.co",V57)),"El responsable no tiene correo institucional",IF(ISERROR(SEARCH(Z57,INDEX(Catalogos!$Z$5:$Z$25,MATCH(AA57,L_IMP,0)))),"La dimensión no corresponde al indicador de impacto","OK")))))))</f>
        <v>Pendiente por formular</v>
      </c>
    </row>
    <row r="58" customFormat="false" ht="118.5" hidden="false" customHeight="true" outlineLevel="0" collapsed="false">
      <c r="A58" s="12" t="str">
        <f aca="false">Base_OAPDI!A56</f>
        <v>E1-052</v>
      </c>
      <c r="B58" s="12" t="str">
        <f aca="false">Base_OAPDI!B56</f>
        <v>1.3.1.2</v>
      </c>
      <c r="C58" s="12" t="str">
        <f aca="false">Base_OAPDI!D56</f>
        <v>1.3 Calidad de los programas académicos</v>
      </c>
      <c r="D58" s="12" t="str">
        <f aca="false">Base_OAPDI!E56</f>
        <v>Resultados de las Pruebas SABER por encima de la valoración de la media.</v>
      </c>
      <c r="E58" s="12" t="str">
        <f aca="false">Base_OAPDI!F56</f>
        <v>Puntaje promedio institucional Saber PRO/TyT frente a la media nacional</v>
      </c>
      <c r="F58" s="12" t="str">
        <f aca="false">Base_OAPDI!G56</f>
        <v>Por encima de la media nacional</v>
      </c>
      <c r="G58" s="12" t="str">
        <f aca="false">Base_OAPDI!H56</f>
        <v>Sugerido: (promedio institucional de 254 puntos —mejora de 1 punto por año desde 252 en 2024— y por encima de la media nacional del grupo de referencia)</v>
      </c>
      <c r="H58" s="12" t="str">
        <f aca="false">Base_OAPDI!I56</f>
        <v>A07</v>
      </c>
      <c r="I58" s="12" t="str">
        <f aca="false">Base_OAPDI!J56</f>
        <v>101 · Oficina Asesora de Planeación y Desarrollo Institucional</v>
      </c>
      <c r="J58" s="12" t="str">
        <f aca="false">Base_OAPDI!K56</f>
        <v>Autoevaluación y Acreditación</v>
      </c>
      <c r="K58" s="12" t="str">
        <f aca="false">Base_OAPDI!L56</f>
        <v>Gestión del Sistema Integrado de Aseguramiento</v>
      </c>
      <c r="L58" s="12" t="n">
        <f aca="false">Base_OAPDI!N56</f>
        <v>0</v>
      </c>
      <c r="M58" s="12" t="n">
        <f aca="false">Base_OAPDI!P56</f>
        <v>0</v>
      </c>
      <c r="N58" s="12" t="n">
        <f aca="false">Base_OAPDI!Q56</f>
        <v>0</v>
      </c>
      <c r="O58" s="12" t="str">
        <f aca="false">Base_OAPDI!R56</f>
        <v>Acciones propuestas por la OAPDI (valídelas y formúlelas en esta fila o en Acciones adicionales): A27-020 Analizar los resultados 2025-2026 por programa y competencia; A27-022 Evaluar el efecto de las estrategias en los resultados 2027.</v>
      </c>
      <c r="P58" s="12" t="str">
        <f aca="false">Base_OAPDI!S56</f>
        <v>IMP-07; IMP-19</v>
      </c>
      <c r="Q58" s="11"/>
      <c r="R58" s="11"/>
      <c r="S58" s="11"/>
      <c r="T58" s="18"/>
      <c r="U58" s="18"/>
      <c r="V58" s="11"/>
      <c r="W58" s="11"/>
      <c r="X58" s="11"/>
      <c r="Y58" s="11"/>
      <c r="Z58" s="11"/>
      <c r="AA58" s="11"/>
      <c r="AB58" s="12" t="str">
        <f aca="false">IF(AA58="","",INDEX(Catalogos!$Y$5:$Y$25,MATCH(AA58,L_IMP,0)))</f>
        <v/>
      </c>
      <c r="AC58" s="11"/>
      <c r="AD58" s="11"/>
      <c r="AE58" s="11"/>
      <c r="AF58" s="10" t="str">
        <f aca="false">IF(Q58="","Pendiente por formular",IF(OR(S58="",T58="",U58="",V58="",W58="",X58="",Z58="",AA58=""),"Incompleta: faltan campos obligatorios",IF(OR(NOT(ISNUMBER(T58)),NOT(ISNUMBER(U58))),"Fecha inválida",IF(U58&lt;T58,"La fecha de fin es anterior a la de inicio",IF(OR(YEAR(T58)&lt;&gt;2027,YEAR(U58)&lt;&gt;2027),"Fechas fuera de la vigencia 2027",IF(ISERROR(SEARCH("@itc.edu.co",V58)),"El responsable no tiene correo institucional",IF(ISERROR(SEARCH(Z58,INDEX(Catalogos!$Z$5:$Z$25,MATCH(AA58,L_IMP,0)))),"La dimensión no corresponde al indicador de impacto","OK")))))))</f>
        <v>Pendiente por formular</v>
      </c>
    </row>
    <row r="59" customFormat="false" ht="198" hidden="false" customHeight="true" outlineLevel="0" collapsed="false">
      <c r="A59" s="12" t="str">
        <f aca="false">Base_OAPDI!A57</f>
        <v>E1-053</v>
      </c>
      <c r="B59" s="12" t="str">
        <f aca="false">Base_OAPDI!B57</f>
        <v>1.4.1.1</v>
      </c>
      <c r="C59" s="12" t="str">
        <f aca="false">Base_OAPDI!D57</f>
        <v>1.4 Acreditación internacional</v>
      </c>
      <c r="D59" s="12" t="str">
        <f aca="false">Base_OAPDI!E57</f>
        <v>Contar con 2 programas de acreditación internacional.</v>
      </c>
      <c r="E59" s="12" t="str">
        <f aca="false">Base_OAPDI!F57</f>
        <v>N.° de programas con resultados de aprendizaje referenciados al MEC y con acreditación o reconocimiento internacional</v>
      </c>
      <c r="F59" s="12" t="str">
        <f aca="false">Base_OAPDI!G57</f>
        <v>2 programas</v>
      </c>
      <c r="G59" s="12" t="str">
        <f aca="false">Base_OAPDI!H57</f>
        <v>Sugerido: (2 programas —priorizando los híbridos/virtuales de IA— con resultados de aprendizaje referenciados a los 8 niveles del MEC y plan de cualificación internacional aprobado; 1 alianza con una IES o agencia extranjera para su reconocimiento)</v>
      </c>
      <c r="H59" s="12" t="str">
        <f aca="false">Base_OAPDI!I57</f>
        <v>A03</v>
      </c>
      <c r="I59" s="12" t="str">
        <f aca="false">Base_OAPDI!J57</f>
        <v>100 · Rectoría</v>
      </c>
      <c r="J59" s="12" t="str">
        <f aca="false">Base_OAPDI!K57</f>
        <v>Internacionalización (ORII)</v>
      </c>
      <c r="K59" s="12" t="str">
        <f aca="false">Base_OAPDI!L57</f>
        <v>Gestión de Internacionalización</v>
      </c>
      <c r="L59" s="12" t="n">
        <f aca="false">Base_OAPDI!N57</f>
        <v>1</v>
      </c>
      <c r="M59" s="12" t="n">
        <f aca="false">Base_OAPDI!P57</f>
        <v>1</v>
      </c>
      <c r="N59" s="12" t="n">
        <f aca="false">Base_OAPDI!Q57</f>
        <v>0</v>
      </c>
      <c r="O59" s="12" t="str">
        <f aca="false">Base_OAPDI!R57</f>
        <v>Acciones propuestas por la OAPDI (valídelas y formúlelas en esta fila o en Acciones adicionales): A27-026 Firmar una alianza con una IES o agencia extranjera para reconocimiento mutuo y movilidad virtual (COIL). Cerrar o reprogramar 1 producto(s) 2026 pendiente(s) de esta meta.</v>
      </c>
      <c r="P59" s="12" t="str">
        <f aca="false">Base_OAPDI!S57</f>
        <v>IMP-18; IMP-07</v>
      </c>
      <c r="Q59" s="11"/>
      <c r="R59" s="11"/>
      <c r="S59" s="11"/>
      <c r="T59" s="18"/>
      <c r="U59" s="18"/>
      <c r="V59" s="11"/>
      <c r="W59" s="11"/>
      <c r="X59" s="11"/>
      <c r="Y59" s="11"/>
      <c r="Z59" s="11"/>
      <c r="AA59" s="11"/>
      <c r="AB59" s="12" t="str">
        <f aca="false">IF(AA59="","",INDEX(Catalogos!$Y$5:$Y$25,MATCH(AA59,L_IMP,0)))</f>
        <v/>
      </c>
      <c r="AC59" s="11"/>
      <c r="AD59" s="11"/>
      <c r="AE59" s="11"/>
      <c r="AF59" s="10" t="str">
        <f aca="false">IF(Q59="","Pendiente por formular",IF(OR(S59="",T59="",U59="",V59="",W59="",X59="",Z59="",AA59=""),"Incompleta: faltan campos obligatorios",IF(OR(NOT(ISNUMBER(T59)),NOT(ISNUMBER(U59))),"Fecha inválida",IF(U59&lt;T59,"La fecha de fin es anterior a la de inicio",IF(OR(YEAR(T59)&lt;&gt;2027,YEAR(U59)&lt;&gt;2027),"Fechas fuera de la vigencia 2027",IF(ISERROR(SEARCH("@itc.edu.co",V59)),"El responsable no tiene correo institucional",IF(ISERROR(SEARCH(Z59,INDEX(Catalogos!$Z$5:$Z$25,MATCH(AA59,L_IMP,0)))),"La dimensión no corresponde al indicador de impacto","OK")))))))</f>
        <v>Pendiente por formular</v>
      </c>
    </row>
    <row r="60" customFormat="false" ht="198" hidden="false" customHeight="true" outlineLevel="0" collapsed="false">
      <c r="A60" s="12" t="str">
        <f aca="false">Base_OAPDI!A58</f>
        <v>E1-054</v>
      </c>
      <c r="B60" s="12" t="str">
        <f aca="false">Base_OAPDI!B58</f>
        <v>1.4.1.1</v>
      </c>
      <c r="C60" s="12" t="str">
        <f aca="false">Base_OAPDI!D58</f>
        <v>1.4 Acreditación internacional</v>
      </c>
      <c r="D60" s="12" t="str">
        <f aca="false">Base_OAPDI!E58</f>
        <v>Contar con 2 programas de acreditación internacional.</v>
      </c>
      <c r="E60" s="12" t="str">
        <f aca="false">Base_OAPDI!F58</f>
        <v>N.° de programas con resultados de aprendizaje referenciados al MEC y con acreditación o reconocimiento internacional</v>
      </c>
      <c r="F60" s="12" t="str">
        <f aca="false">Base_OAPDI!G58</f>
        <v>2 programas</v>
      </c>
      <c r="G60" s="12" t="str">
        <f aca="false">Base_OAPDI!H58</f>
        <v>Sugerido: (2 programas —priorizando los híbridos/virtuales de IA— con resultados de aprendizaje referenciados a los 8 niveles del MEC y plan de cualificación internacional aprobado; 1 alianza con una IES o agencia extranjera para su reconocimiento)</v>
      </c>
      <c r="H60" s="12" t="str">
        <f aca="false">Base_OAPDI!I58</f>
        <v>A07</v>
      </c>
      <c r="I60" s="12" t="str">
        <f aca="false">Base_OAPDI!J58</f>
        <v>101 · Oficina Asesora de Planeación y Desarrollo Institucional</v>
      </c>
      <c r="J60" s="12" t="str">
        <f aca="false">Base_OAPDI!K58</f>
        <v>Autoevaluación y Acreditación</v>
      </c>
      <c r="K60" s="12" t="str">
        <f aca="false">Base_OAPDI!L58</f>
        <v>Gestión del Sistema Integrado de Aseguramiento</v>
      </c>
      <c r="L60" s="12" t="n">
        <f aca="false">Base_OAPDI!N58</f>
        <v>5</v>
      </c>
      <c r="M60" s="12" t="n">
        <f aca="false">Base_OAPDI!P58</f>
        <v>5</v>
      </c>
      <c r="N60" s="12" t="n">
        <f aca="false">Base_OAPDI!Q58</f>
        <v>1</v>
      </c>
      <c r="O60" s="12" t="str">
        <f aca="false">Base_OAPDI!R58</f>
        <v>Acciones propuestas por la OAPDI (valídelas y formúlelas en esta fila o en Acciones adicionales): A27-023 Elaborar el documento técnico de referenciación al MEC y al Marco Nacional de Cualificaciones (8 niveles) y seleccionar los 2 programas. Cerrar o reprogramar 5 producto(s) 2026 pendiente(s) de esta meta. Atender 1 compromiso(s) de proyectos estructurantes (hoja Compromisos_2026).</v>
      </c>
      <c r="P60" s="12" t="str">
        <f aca="false">Base_OAPDI!S58</f>
        <v>IMP-18; IMP-07</v>
      </c>
      <c r="Q60" s="11"/>
      <c r="R60" s="11"/>
      <c r="S60" s="11"/>
      <c r="T60" s="18"/>
      <c r="U60" s="18"/>
      <c r="V60" s="11"/>
      <c r="W60" s="11"/>
      <c r="X60" s="11"/>
      <c r="Y60" s="11"/>
      <c r="Z60" s="11"/>
      <c r="AA60" s="11"/>
      <c r="AB60" s="12" t="str">
        <f aca="false">IF(AA60="","",INDEX(Catalogos!$Y$5:$Y$25,MATCH(AA60,L_IMP,0)))</f>
        <v/>
      </c>
      <c r="AC60" s="11"/>
      <c r="AD60" s="11"/>
      <c r="AE60" s="11"/>
      <c r="AF60" s="10" t="str">
        <f aca="false">IF(Q60="","Pendiente por formular",IF(OR(S60="",T60="",U60="",V60="",W60="",X60="",Z60="",AA60=""),"Incompleta: faltan campos obligatorios",IF(OR(NOT(ISNUMBER(T60)),NOT(ISNUMBER(U60))),"Fecha inválida",IF(U60&lt;T60,"La fecha de fin es anterior a la de inicio",IF(OR(YEAR(T60)&lt;&gt;2027,YEAR(U60)&lt;&gt;2027),"Fechas fuera de la vigencia 2027",IF(ISERROR(SEARCH("@itc.edu.co",V60)),"El responsable no tiene correo institucional",IF(ISERROR(SEARCH(Z60,INDEX(Catalogos!$Z$5:$Z$25,MATCH(AA60,L_IMP,0)))),"La dimensión no corresponde al indicador de impacto","OK")))))))</f>
        <v>Pendiente por formular</v>
      </c>
    </row>
    <row r="61" customFormat="false" ht="198" hidden="false" customHeight="true" outlineLevel="0" collapsed="false">
      <c r="A61" s="12" t="str">
        <f aca="false">Base_OAPDI!A59</f>
        <v>E1-055</v>
      </c>
      <c r="B61" s="12" t="str">
        <f aca="false">Base_OAPDI!B59</f>
        <v>1.4.1.1</v>
      </c>
      <c r="C61" s="12" t="str">
        <f aca="false">Base_OAPDI!D59</f>
        <v>1.4 Acreditación internacional</v>
      </c>
      <c r="D61" s="12" t="str">
        <f aca="false">Base_OAPDI!E59</f>
        <v>Contar con 2 programas de acreditación internacional.</v>
      </c>
      <c r="E61" s="12" t="str">
        <f aca="false">Base_OAPDI!F59</f>
        <v>N.° de programas con resultados de aprendizaje referenciados al MEC y con acreditación o reconocimiento internacional</v>
      </c>
      <c r="F61" s="12" t="str">
        <f aca="false">Base_OAPDI!G59</f>
        <v>2 programas</v>
      </c>
      <c r="G61" s="12" t="str">
        <f aca="false">Base_OAPDI!H59</f>
        <v>Sugerido: (2 programas —priorizando los híbridos/virtuales de IA— con resultados de aprendizaje referenciados a los 8 niveles del MEC y plan de cualificación internacional aprobado; 1 alianza con una IES o agencia extranjera para su reconocimiento)</v>
      </c>
      <c r="H61" s="12" t="str">
        <f aca="false">Base_OAPDI!I59</f>
        <v>A15</v>
      </c>
      <c r="I61" s="12" t="str">
        <f aca="false">Base_OAPDI!J59</f>
        <v>120 · Vicerrectoría Académica</v>
      </c>
      <c r="J61" s="12" t="str">
        <f aca="false">Base_OAPDI!K59</f>
        <v>Despacho de la Vicerrectoría Académica</v>
      </c>
      <c r="K61" s="12" t="str">
        <f aca="false">Base_OAPDI!L59</f>
        <v>Docencia PES</v>
      </c>
      <c r="L61" s="12" t="n">
        <f aca="false">Base_OAPDI!N59</f>
        <v>1</v>
      </c>
      <c r="M61" s="12" t="n">
        <f aca="false">Base_OAPDI!P59</f>
        <v>1</v>
      </c>
      <c r="N61" s="12" t="n">
        <f aca="false">Base_OAPDI!Q59</f>
        <v>0</v>
      </c>
      <c r="O61" s="12" t="str">
        <f aca="false">Base_OAPDI!R59</f>
        <v>Cerrar o reprogramar 1 producto(s) 2026 pendiente(s) de esta meta.</v>
      </c>
      <c r="P61" s="12" t="str">
        <f aca="false">Base_OAPDI!S59</f>
        <v>IMP-18; IMP-07</v>
      </c>
      <c r="Q61" s="11"/>
      <c r="R61" s="11"/>
      <c r="S61" s="11"/>
      <c r="T61" s="18"/>
      <c r="U61" s="18"/>
      <c r="V61" s="11"/>
      <c r="W61" s="11"/>
      <c r="X61" s="11"/>
      <c r="Y61" s="11"/>
      <c r="Z61" s="11"/>
      <c r="AA61" s="11"/>
      <c r="AB61" s="12" t="str">
        <f aca="false">IF(AA61="","",INDEX(Catalogos!$Y$5:$Y$25,MATCH(AA61,L_IMP,0)))</f>
        <v/>
      </c>
      <c r="AC61" s="11"/>
      <c r="AD61" s="11"/>
      <c r="AE61" s="11"/>
      <c r="AF61" s="10" t="str">
        <f aca="false">IF(Q61="","Pendiente por formular",IF(OR(S61="",T61="",U61="",V61="",W61="",X61="",Z61="",AA61=""),"Incompleta: faltan campos obligatorios",IF(OR(NOT(ISNUMBER(T61)),NOT(ISNUMBER(U61))),"Fecha inválida",IF(U61&lt;T61,"La fecha de fin es anterior a la de inicio",IF(OR(YEAR(T61)&lt;&gt;2027,YEAR(U61)&lt;&gt;2027),"Fechas fuera de la vigencia 2027",IF(ISERROR(SEARCH("@itc.edu.co",V61)),"El responsable no tiene correo institucional",IF(ISERROR(SEARCH(Z61,INDEX(Catalogos!$Z$5:$Z$25,MATCH(AA61,L_IMP,0)))),"La dimensión no corresponde al indicador de impacto","OK")))))))</f>
        <v>Pendiente por formular</v>
      </c>
    </row>
    <row r="62" customFormat="false" ht="198" hidden="false" customHeight="true" outlineLevel="0" collapsed="false">
      <c r="A62" s="12" t="str">
        <f aca="false">Base_OAPDI!A60</f>
        <v>E1-056</v>
      </c>
      <c r="B62" s="12" t="str">
        <f aca="false">Base_OAPDI!B60</f>
        <v>1.4.1.1</v>
      </c>
      <c r="C62" s="12" t="str">
        <f aca="false">Base_OAPDI!D60</f>
        <v>1.4 Acreditación internacional</v>
      </c>
      <c r="D62" s="12" t="str">
        <f aca="false">Base_OAPDI!E60</f>
        <v>Contar con 2 programas de acreditación internacional.</v>
      </c>
      <c r="E62" s="12" t="str">
        <f aca="false">Base_OAPDI!F60</f>
        <v>N.° de programas con resultados de aprendizaje referenciados al MEC y con acreditación o reconocimiento internacional</v>
      </c>
      <c r="F62" s="12" t="str">
        <f aca="false">Base_OAPDI!G60</f>
        <v>2 programas</v>
      </c>
      <c r="G62" s="12" t="str">
        <f aca="false">Base_OAPDI!H60</f>
        <v>Sugerido: (2 programas —priorizando los híbridos/virtuales de IA— con resultados de aprendizaje referenciados a los 8 niveles del MEC y plan de cualificación internacional aprobado; 1 alianza con una IES o agencia extranjera para su reconocimiento)</v>
      </c>
      <c r="H62" s="12" t="str">
        <f aca="false">Base_OAPDI!I60</f>
        <v>A17</v>
      </c>
      <c r="I62" s="12" t="str">
        <f aca="false">Base_OAPDI!J60</f>
        <v>120 · Vicerrectoría Académica</v>
      </c>
      <c r="J62" s="12" t="str">
        <f aca="false">Base_OAPDI!K60</f>
        <v>Unidad B-Learning</v>
      </c>
      <c r="K62" s="12" t="str">
        <f aca="false">Base_OAPDI!L60</f>
        <v>Docencia PES</v>
      </c>
      <c r="L62" s="12" t="n">
        <f aca="false">Base_OAPDI!N60</f>
        <v>0</v>
      </c>
      <c r="M62" s="12" t="n">
        <f aca="false">Base_OAPDI!P60</f>
        <v>0</v>
      </c>
      <c r="N62" s="12" t="n">
        <f aca="false">Base_OAPDI!Q60</f>
        <v>0</v>
      </c>
      <c r="O62" s="12" t="str">
        <f aca="false">Base_OAPDI!R60</f>
        <v>Acciones propuestas por la OAPDI (valídelas y formúlelas en esta fila o en Acciones adicionales): A27-024 Reescribir los resultados de aprendizaje de los 2 programas por nivel del MEC (conocimientos, destrezas, autonomía); A27-025 Diseñar la oferta virtual de los programas referenciados para captar estudiantes de otras regiones.</v>
      </c>
      <c r="P62" s="12" t="str">
        <f aca="false">Base_OAPDI!S60</f>
        <v>IMP-18; IMP-07</v>
      </c>
      <c r="Q62" s="11"/>
      <c r="R62" s="11"/>
      <c r="S62" s="11"/>
      <c r="T62" s="18"/>
      <c r="U62" s="18"/>
      <c r="V62" s="11"/>
      <c r="W62" s="11"/>
      <c r="X62" s="11"/>
      <c r="Y62" s="11"/>
      <c r="Z62" s="11"/>
      <c r="AA62" s="11"/>
      <c r="AB62" s="12" t="str">
        <f aca="false">IF(AA62="","",INDEX(Catalogos!$Y$5:$Y$25,MATCH(AA62,L_IMP,0)))</f>
        <v/>
      </c>
      <c r="AC62" s="11"/>
      <c r="AD62" s="11"/>
      <c r="AE62" s="11"/>
      <c r="AF62" s="10" t="str">
        <f aca="false">IF(Q62="","Pendiente por formular",IF(OR(S62="",T62="",U62="",V62="",W62="",X62="",Z62="",AA62=""),"Incompleta: faltan campos obligatorios",IF(OR(NOT(ISNUMBER(T62)),NOT(ISNUMBER(U62))),"Fecha inválida",IF(U62&lt;T62,"La fecha de fin es anterior a la de inicio",IF(OR(YEAR(T62)&lt;&gt;2027,YEAR(U62)&lt;&gt;2027),"Fechas fuera de la vigencia 2027",IF(ISERROR(SEARCH("@itc.edu.co",V62)),"El responsable no tiene correo institucional",IF(ISERROR(SEARCH(Z62,INDEX(Catalogos!$Z$5:$Z$25,MATCH(AA62,L_IMP,0)))),"La dimensión no corresponde al indicador de impacto","OK")))))))</f>
        <v>Pendiente por formular</v>
      </c>
    </row>
    <row r="63" customFormat="false" ht="66" hidden="false" customHeight="true" outlineLevel="0" collapsed="false">
      <c r="A63" s="12" t="str">
        <f aca="false">Base_OAPDI!A61</f>
        <v>E1-057</v>
      </c>
      <c r="B63" s="12" t="str">
        <f aca="false">Base_OAPDI!B61</f>
        <v>1.5.1.1</v>
      </c>
      <c r="C63" s="12" t="str">
        <f aca="false">Base_OAPDI!D61</f>
        <v>1.5 Fortalecimiento del cuerpo docente</v>
      </c>
      <c r="D63" s="12" t="str">
        <f aca="false">Base_OAPDI!E61</f>
        <v>Se mantienen 12 doctores en formación.</v>
      </c>
      <c r="E63" s="12" t="str">
        <f aca="false">Base_OAPDI!F61</f>
        <v>N.° de docentes en formación doctoral</v>
      </c>
      <c r="F63" s="12" t="str">
        <f aca="false">Base_OAPDI!G61</f>
        <v>12 doctores en formación (MPI: 10)</v>
      </c>
      <c r="G63" s="12" t="str">
        <f aca="false">Base_OAPDI!H61</f>
        <v>2 docentes nuevos en formación doctoral (acumulado sugerido: 5)</v>
      </c>
      <c r="H63" s="12" t="str">
        <f aca="false">Base_OAPDI!I61</f>
        <v>A15</v>
      </c>
      <c r="I63" s="12" t="str">
        <f aca="false">Base_OAPDI!J61</f>
        <v>120 · Vicerrectoría Académica</v>
      </c>
      <c r="J63" s="12" t="str">
        <f aca="false">Base_OAPDI!K61</f>
        <v>Despacho de la Vicerrectoría Académica</v>
      </c>
      <c r="K63" s="12" t="str">
        <f aca="false">Base_OAPDI!L61</f>
        <v>Docencia PES</v>
      </c>
      <c r="L63" s="12" t="n">
        <f aca="false">Base_OAPDI!N61</f>
        <v>0</v>
      </c>
      <c r="M63" s="12" t="n">
        <f aca="false">Base_OAPDI!P61</f>
        <v>0</v>
      </c>
      <c r="N63" s="12" t="n">
        <f aca="false">Base_OAPDI!Q61</f>
        <v>1</v>
      </c>
      <c r="O63" s="12" t="str">
        <f aca="false">Base_OAPDI!R61</f>
        <v>Acciones propuestas por la OAPDI (valídelas y formúlelas en esta fila o en Acciones adicionales): A27-028 Abrir la convocatoria de formación posgradual 2027 (doctorado); A27-029 Otorgar los apoyos para formación doctoral disciplinar. Atender 1 compromiso(s) de proyectos estructurantes (hoja Compromisos_2026).</v>
      </c>
      <c r="P63" s="12" t="str">
        <f aca="false">Base_OAPDI!S61</f>
        <v>IMP-08; IMP-19</v>
      </c>
      <c r="Q63" s="11"/>
      <c r="R63" s="11"/>
      <c r="S63" s="11"/>
      <c r="T63" s="18"/>
      <c r="U63" s="18"/>
      <c r="V63" s="11"/>
      <c r="W63" s="11"/>
      <c r="X63" s="11"/>
      <c r="Y63" s="11"/>
      <c r="Z63" s="11"/>
      <c r="AA63" s="11"/>
      <c r="AB63" s="12" t="str">
        <f aca="false">IF(AA63="","",INDEX(Catalogos!$Y$5:$Y$25,MATCH(AA63,L_IMP,0)))</f>
        <v/>
      </c>
      <c r="AC63" s="11"/>
      <c r="AD63" s="11"/>
      <c r="AE63" s="11"/>
      <c r="AF63" s="10" t="str">
        <f aca="false">IF(Q63="","Pendiente por formular",IF(OR(S63="",T63="",U63="",V63="",W63="",X63="",Z63="",AA63=""),"Incompleta: faltan campos obligatorios",IF(OR(NOT(ISNUMBER(T63)),NOT(ISNUMBER(U63))),"Fecha inválida",IF(U63&lt;T63,"La fecha de fin es anterior a la de inicio",IF(OR(YEAR(T63)&lt;&gt;2027,YEAR(U63)&lt;&gt;2027),"Fechas fuera de la vigencia 2027",IF(ISERROR(SEARCH("@itc.edu.co",V63)),"El responsable no tiene correo institucional",IF(ISERROR(SEARCH(Z63,INDEX(Catalogos!$Z$5:$Z$25,MATCH(AA63,L_IMP,0)))),"La dimensión no corresponde al indicador de impacto","OK")))))))</f>
        <v>Pendiente por formular</v>
      </c>
    </row>
    <row r="64" customFormat="false" ht="52.5" hidden="false" customHeight="true" outlineLevel="0" collapsed="false">
      <c r="A64" s="12" t="str">
        <f aca="false">Base_OAPDI!A62</f>
        <v>E1-058</v>
      </c>
      <c r="B64" s="12" t="str">
        <f aca="false">Base_OAPDI!B62</f>
        <v>1.5.1.1</v>
      </c>
      <c r="C64" s="12" t="str">
        <f aca="false">Base_OAPDI!D62</f>
        <v>1.5 Fortalecimiento del cuerpo docente</v>
      </c>
      <c r="D64" s="12" t="str">
        <f aca="false">Base_OAPDI!E62</f>
        <v>Se mantienen 12 doctores en formación.</v>
      </c>
      <c r="E64" s="12" t="str">
        <f aca="false">Base_OAPDI!F62</f>
        <v>N.° de docentes en formación doctoral</v>
      </c>
      <c r="F64" s="12" t="str">
        <f aca="false">Base_OAPDI!G62</f>
        <v>12 doctores en formación (MPI: 10)</v>
      </c>
      <c r="G64" s="12" t="str">
        <f aca="false">Base_OAPDI!H62</f>
        <v>2 docentes nuevos en formación doctoral (acumulado sugerido: 5)</v>
      </c>
      <c r="H64" s="12" t="str">
        <f aca="false">Base_OAPDI!I62</f>
        <v>A35</v>
      </c>
      <c r="I64" s="12" t="str">
        <f aca="false">Base_OAPDI!J62</f>
        <v>133 · GIT Gestión de Talento Humano</v>
      </c>
      <c r="J64" s="12" t="str">
        <f aca="false">Base_OAPDI!K62</f>
        <v>GIT Talento Humano</v>
      </c>
      <c r="K64" s="12" t="str">
        <f aca="false">Base_OAPDI!L62</f>
        <v>Gestión de Talento Humano</v>
      </c>
      <c r="L64" s="12" t="n">
        <f aca="false">Base_OAPDI!N62</f>
        <v>0</v>
      </c>
      <c r="M64" s="12" t="n">
        <f aca="false">Base_OAPDI!P62</f>
        <v>0</v>
      </c>
      <c r="N64" s="12" t="n">
        <f aca="false">Base_OAPDI!Q62</f>
        <v>0</v>
      </c>
      <c r="O64" s="12" t="str">
        <f aca="false">Base_OAPDI!R62</f>
        <v>Acciones propuestas por la OAPDI (valídelas y formúlelas en esta fila o en Acciones adicionales): A27-027 Actualizar el plan integral de desarrollo profesoral.</v>
      </c>
      <c r="P64" s="12" t="str">
        <f aca="false">Base_OAPDI!S62</f>
        <v>IMP-08; IMP-19</v>
      </c>
      <c r="Q64" s="11"/>
      <c r="R64" s="11"/>
      <c r="S64" s="11"/>
      <c r="T64" s="18"/>
      <c r="U64" s="18"/>
      <c r="V64" s="11"/>
      <c r="W64" s="11"/>
      <c r="X64" s="11"/>
      <c r="Y64" s="11"/>
      <c r="Z64" s="11"/>
      <c r="AA64" s="11"/>
      <c r="AB64" s="12" t="str">
        <f aca="false">IF(AA64="","",INDEX(Catalogos!$Y$5:$Y$25,MATCH(AA64,L_IMP,0)))</f>
        <v/>
      </c>
      <c r="AC64" s="11"/>
      <c r="AD64" s="11"/>
      <c r="AE64" s="11"/>
      <c r="AF64" s="10" t="str">
        <f aca="false">IF(Q64="","Pendiente por formular",IF(OR(S64="",T64="",U64="",V64="",W64="",X64="",Z64="",AA64=""),"Incompleta: faltan campos obligatorios",IF(OR(NOT(ISNUMBER(T64)),NOT(ISNUMBER(U64))),"Fecha inválida",IF(U64&lt;T64,"La fecha de fin es anterior a la de inicio",IF(OR(YEAR(T64)&lt;&gt;2027,YEAR(U64)&lt;&gt;2027),"Fechas fuera de la vigencia 2027",IF(ISERROR(SEARCH("@itc.edu.co",V64)),"El responsable no tiene correo institucional",IF(ISERROR(SEARCH(Z64,INDEX(Catalogos!$Z$5:$Z$25,MATCH(AA64,L_IMP,0)))),"La dimensión no corresponde al indicador de impacto","OK")))))))</f>
        <v>Pendiente por formular</v>
      </c>
    </row>
    <row r="65" customFormat="false" ht="66" hidden="false" customHeight="true" outlineLevel="0" collapsed="false">
      <c r="A65" s="12" t="str">
        <f aca="false">Base_OAPDI!A63</f>
        <v>E1-059</v>
      </c>
      <c r="B65" s="12" t="str">
        <f aca="false">Base_OAPDI!B63</f>
        <v>1.5.1.2</v>
      </c>
      <c r="C65" s="12" t="str">
        <f aca="false">Base_OAPDI!D63</f>
        <v>1.5 Fortalecimiento del cuerpo docente</v>
      </c>
      <c r="D65" s="12" t="str">
        <f aca="false">Base_OAPDI!E63</f>
        <v>80% en formación docentes de planta.</v>
      </c>
      <c r="E65" s="12" t="str">
        <f aca="false">Base_OAPDI!F63</f>
        <v>% de docentes de planta en formación avanzada o continuada</v>
      </c>
      <c r="F65" s="12" t="str">
        <f aca="false">Base_OAPDI!G63</f>
        <v>80%</v>
      </c>
      <c r="G65" s="12" t="str">
        <f aca="false">Base_OAPDI!H63</f>
        <v>6 docentes de planta en maestría y 40 docentes en formación continuada</v>
      </c>
      <c r="H65" s="12" t="str">
        <f aca="false">Base_OAPDI!I63</f>
        <v>A15</v>
      </c>
      <c r="I65" s="12" t="str">
        <f aca="false">Base_OAPDI!J63</f>
        <v>120 · Vicerrectoría Académica</v>
      </c>
      <c r="J65" s="12" t="str">
        <f aca="false">Base_OAPDI!K63</f>
        <v>Despacho de la Vicerrectoría Académica</v>
      </c>
      <c r="K65" s="12" t="str">
        <f aca="false">Base_OAPDI!L63</f>
        <v>Docencia PES</v>
      </c>
      <c r="L65" s="12" t="n">
        <f aca="false">Base_OAPDI!N63</f>
        <v>0</v>
      </c>
      <c r="M65" s="12" t="n">
        <f aca="false">Base_OAPDI!P63</f>
        <v>0</v>
      </c>
      <c r="N65" s="12" t="n">
        <f aca="false">Base_OAPDI!Q63</f>
        <v>0</v>
      </c>
      <c r="O65" s="12" t="str">
        <f aca="false">Base_OAPDI!R63</f>
        <v>Acciones propuestas por la OAPDI (valídelas y formúlelas en esta fila o en Acciones adicionales): A27-030 Identificar las necesidades de formación por facultad; A27-031 Financiar la formación de docentes de planta en maestrías disciplinares.</v>
      </c>
      <c r="P65" s="12" t="str">
        <f aca="false">Base_OAPDI!S63</f>
        <v>IMP-08; IMP-19</v>
      </c>
      <c r="Q65" s="11"/>
      <c r="R65" s="11"/>
      <c r="S65" s="11"/>
      <c r="T65" s="18"/>
      <c r="U65" s="18"/>
      <c r="V65" s="11"/>
      <c r="W65" s="11"/>
      <c r="X65" s="11"/>
      <c r="Y65" s="11"/>
      <c r="Z65" s="11"/>
      <c r="AA65" s="11"/>
      <c r="AB65" s="12" t="str">
        <f aca="false">IF(AA65="","",INDEX(Catalogos!$Y$5:$Y$25,MATCH(AA65,L_IMP,0)))</f>
        <v/>
      </c>
      <c r="AC65" s="11"/>
      <c r="AD65" s="11"/>
      <c r="AE65" s="11"/>
      <c r="AF65" s="10" t="str">
        <f aca="false">IF(Q65="","Pendiente por formular",IF(OR(S65="",T65="",U65="",V65="",W65="",X65="",Z65="",AA65=""),"Incompleta: faltan campos obligatorios",IF(OR(NOT(ISNUMBER(T65)),NOT(ISNUMBER(U65))),"Fecha inválida",IF(U65&lt;T65,"La fecha de fin es anterior a la de inicio",IF(OR(YEAR(T65)&lt;&gt;2027,YEAR(U65)&lt;&gt;2027),"Fechas fuera de la vigencia 2027",IF(ISERROR(SEARCH("@itc.edu.co",V65)),"El responsable no tiene correo institucional",IF(ISERROR(SEARCH(Z65,INDEX(Catalogos!$Z$5:$Z$25,MATCH(AA65,L_IMP,0)))),"La dimensión no corresponde al indicador de impacto","OK")))))))</f>
        <v>Pendiente por formular</v>
      </c>
    </row>
    <row r="66" customFormat="false" ht="66" hidden="false" customHeight="true" outlineLevel="0" collapsed="false">
      <c r="A66" s="12" t="str">
        <f aca="false">Base_OAPDI!A64</f>
        <v>E1-060</v>
      </c>
      <c r="B66" s="12" t="str">
        <f aca="false">Base_OAPDI!B64</f>
        <v>1.5.1.2</v>
      </c>
      <c r="C66" s="12" t="str">
        <f aca="false">Base_OAPDI!D64</f>
        <v>1.5 Fortalecimiento del cuerpo docente</v>
      </c>
      <c r="D66" s="12" t="str">
        <f aca="false">Base_OAPDI!E64</f>
        <v>80% en formación docentes de planta.</v>
      </c>
      <c r="E66" s="12" t="str">
        <f aca="false">Base_OAPDI!F64</f>
        <v>% de docentes de planta en formación avanzada o continuada</v>
      </c>
      <c r="F66" s="12" t="str">
        <f aca="false">Base_OAPDI!G64</f>
        <v>80%</v>
      </c>
      <c r="G66" s="12" t="str">
        <f aca="false">Base_OAPDI!H64</f>
        <v>6 docentes de planta en maestría y 40 docentes en formación continuada</v>
      </c>
      <c r="H66" s="12" t="str">
        <f aca="false">Base_OAPDI!I64</f>
        <v>A35</v>
      </c>
      <c r="I66" s="12" t="str">
        <f aca="false">Base_OAPDI!J64</f>
        <v>133 · GIT Gestión de Talento Humano</v>
      </c>
      <c r="J66" s="12" t="str">
        <f aca="false">Base_OAPDI!K64</f>
        <v>GIT Talento Humano</v>
      </c>
      <c r="K66" s="12" t="str">
        <f aca="false">Base_OAPDI!L64</f>
        <v>Gestión de Talento Humano</v>
      </c>
      <c r="L66" s="12" t="n">
        <f aca="false">Base_OAPDI!N64</f>
        <v>0</v>
      </c>
      <c r="M66" s="12" t="n">
        <f aca="false">Base_OAPDI!P64</f>
        <v>0</v>
      </c>
      <c r="N66" s="12" t="n">
        <f aca="false">Base_OAPDI!Q64</f>
        <v>0</v>
      </c>
      <c r="O66" s="12" t="str">
        <f aca="false">Base_OAPDI!R64</f>
        <v>Acciones propuestas por la OAPDI (valídelas y formúlelas en esta fila o en Acciones adicionales): A27-032 Ofrecer cursos de formación continuada a docentes.</v>
      </c>
      <c r="P66" s="12" t="str">
        <f aca="false">Base_OAPDI!S64</f>
        <v>IMP-08; IMP-19</v>
      </c>
      <c r="Q66" s="11"/>
      <c r="R66" s="11"/>
      <c r="S66" s="11"/>
      <c r="T66" s="18"/>
      <c r="U66" s="18"/>
      <c r="V66" s="11"/>
      <c r="W66" s="11"/>
      <c r="X66" s="11"/>
      <c r="Y66" s="11"/>
      <c r="Z66" s="11"/>
      <c r="AA66" s="11"/>
      <c r="AB66" s="12" t="str">
        <f aca="false">IF(AA66="","",INDEX(Catalogos!$Y$5:$Y$25,MATCH(AA66,L_IMP,0)))</f>
        <v/>
      </c>
      <c r="AC66" s="11"/>
      <c r="AD66" s="11"/>
      <c r="AE66" s="11"/>
      <c r="AF66" s="10" t="str">
        <f aca="false">IF(Q66="","Pendiente por formular",IF(OR(S66="",T66="",U66="",V66="",W66="",X66="",Z66="",AA66=""),"Incompleta: faltan campos obligatorios",IF(OR(NOT(ISNUMBER(T66)),NOT(ISNUMBER(U66))),"Fecha inválida",IF(U66&lt;T66,"La fecha de fin es anterior a la de inicio",IF(OR(YEAR(T66)&lt;&gt;2027,YEAR(U66)&lt;&gt;2027),"Fechas fuera de la vigencia 2027",IF(ISERROR(SEARCH("@itc.edu.co",V66)),"El responsable no tiene correo institucional",IF(ISERROR(SEARCH(Z66,INDEX(Catalogos!$Z$5:$Z$25,MATCH(AA66,L_IMP,0)))),"La dimensión no corresponde al indicador de impacto","OK")))))))</f>
        <v>Pendiente por formular</v>
      </c>
    </row>
  </sheetData>
  <sheetProtection sheet="true" password="cc6d" formatColumns="false" formatRows="false" autoFilter="false"/>
  <autoFilter ref="A6:AF66"/>
  <mergeCells count="3">
    <mergeCell ref="A2:P2"/>
    <mergeCell ref="A5:P5"/>
    <mergeCell ref="Q5:AE5"/>
  </mergeCells>
  <conditionalFormatting sqref="AF7:AF66">
    <cfRule type="expression" priority="2" aboveAverage="0" equalAverage="0" bottom="0" percent="0" rank="0" text="" dxfId="5">
      <formula>AF7="OK"</formula>
    </cfRule>
    <cfRule type="expression" priority="3" aboveAverage="0" equalAverage="0" bottom="0" percent="0" rank="0" text="" dxfId="6">
      <formula>LEFT(AF7,9)="Pendiente"</formula>
    </cfRule>
    <cfRule type="expression" priority="4" aboveAverage="0" equalAverage="0" bottom="0" percent="0" rank="0" text="" dxfId="7">
      <formula>AND(AF7&lt;&gt;"OK",LEFT(AF7,9)&lt;&gt;"Pendiente")</formula>
    </cfRule>
  </conditionalFormatting>
  <dataValidations count="5">
    <dataValidation allowBlank="true" error="Escriba el correo institucional (@itc.edu.co) del responsable." errorStyle="stop" errorTitle="Correo no institucional" operator="between" showDropDown="false" showErrorMessage="true" showInputMessage="false" sqref="V7:V66" type="custom">
      <formula1>ISNUMBER(SEARCH("@itc.edu.co",V7))</formula1>
      <formula2>0</formula2>
    </dataValidation>
    <dataValidation allowBlank="true" errorStyle="stop" operator="between" showDropDown="false" showErrorMessage="false" showInputMessage="false" sqref="AC7:AC66" type="list">
      <formula1>L_SINO</formula1>
      <formula2>0</formula2>
    </dataValidation>
    <dataValidation allowBlank="true" error="Seleccione un indicador de la Guía Metodológica." errorStyle="stop" errorTitle="Indicador no válido" operator="between" showDropDown="false" showErrorMessage="true" showInputMessage="false" sqref="AA7:AA66" type="list">
      <formula1>L_IMP</formula1>
      <formula2>0</formula2>
    </dataValidation>
    <dataValidation allowBlank="true" errorStyle="stop" operator="between" showDropDown="false" showErrorMessage="false" showInputMessage="false" sqref="Z7:Z66" type="list">
      <formula1>L_DIM</formula1>
      <formula2>0</formula2>
    </dataValidation>
    <dataValidation allowBlank="true" error="Use una fecha entre el 01/01/2027 y el 31/12/2027." errorStyle="stop" errorTitle="Fecha fuera de vigencia" operator="between" showDropDown="false" showErrorMessage="true" showInputMessage="false" sqref="T7:U66" type="date">
      <formula1>DATE(2027,1,1)</formula1>
      <formula2>DATE(2027,12,31)</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F2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4" ySplit="6" topLeftCell="E7" activePane="bottomRight" state="frozen"/>
      <selection pane="topLeft" activeCell="A1" activeCellId="0" sqref="A1"/>
      <selection pane="topRight" activeCell="E1" activeCellId="0" sqref="E1"/>
      <selection pane="bottomLeft" activeCell="A7" activeCellId="0" sqref="A7"/>
      <selection pane="bottomRight" activeCell="A1" activeCellId="0" sqref="A1"/>
    </sheetView>
  </sheetViews>
  <sheetFormatPr defaultColWidth="8.66796875" defaultRowHeight="14.25" zeroHeight="false" outlineLevelRow="0" outlineLevelCol="0"/>
  <cols>
    <col collapsed="false" customWidth="true" hidden="false" outlineLevel="0" max="1" min="1" style="0" width="10"/>
    <col collapsed="false" customWidth="true" hidden="false" outlineLevel="0" max="2" min="2" style="0" width="9"/>
    <col collapsed="false" customWidth="true" hidden="false" outlineLevel="0" max="3" min="3" style="0" width="24"/>
    <col collapsed="false" customWidth="true" hidden="false" outlineLevel="0" max="4" min="4" style="0" width="40"/>
    <col collapsed="false" customWidth="true" hidden="false" outlineLevel="0" max="5" min="5" style="0" width="26"/>
    <col collapsed="false" customWidth="true" hidden="false" outlineLevel="0" max="7" min="6" style="0" width="18"/>
    <col collapsed="false" customWidth="true" hidden="false" outlineLevel="0" max="8" min="8" style="0" width="7"/>
    <col collapsed="false" customWidth="true" hidden="false" outlineLevel="0" max="9" min="9" style="0" width="28"/>
    <col collapsed="false" customWidth="true" hidden="false" outlineLevel="0" max="10" min="10" style="0" width="26"/>
    <col collapsed="false" customWidth="true" hidden="false" outlineLevel="0" max="11" min="11" style="0" width="22"/>
    <col collapsed="false" customWidth="true" hidden="false" outlineLevel="0" max="12" min="12" style="0" width="9"/>
    <col collapsed="false" customWidth="true" hidden="false" outlineLevel="0" max="13" min="13" style="0" width="10"/>
    <col collapsed="false" customWidth="true" hidden="false" outlineLevel="0" max="14" min="14" style="0" width="11"/>
    <col collapsed="false" customWidth="true" hidden="false" outlineLevel="0" max="15" min="15" style="0" width="34"/>
    <col collapsed="false" customWidth="true" hidden="false" outlineLevel="0" max="16" min="16" style="0" width="18"/>
    <col collapsed="false" customWidth="true" hidden="false" outlineLevel="0" max="17" min="17" style="0" width="32"/>
    <col collapsed="false" customWidth="true" hidden="false" outlineLevel="0" max="18" min="18" style="0" width="40"/>
    <col collapsed="false" customWidth="true" hidden="false" outlineLevel="0" max="19" min="19" style="0" width="30"/>
    <col collapsed="false" customWidth="true" hidden="false" outlineLevel="0" max="21" min="20" style="0" width="12"/>
    <col collapsed="false" customWidth="true" hidden="false" outlineLevel="0" max="22" min="22" style="0" width="26"/>
    <col collapsed="false" customWidth="true" hidden="false" outlineLevel="0" max="23" min="23" style="0" width="28"/>
    <col collapsed="false" customWidth="true" hidden="false" outlineLevel="0" max="25" min="24" style="0" width="12"/>
    <col collapsed="false" customWidth="true" hidden="false" outlineLevel="0" max="26" min="26" style="0" width="16"/>
    <col collapsed="false" customWidth="true" hidden="false" outlineLevel="0" max="27" min="27" style="0" width="40"/>
    <col collapsed="false" customWidth="true" hidden="false" outlineLevel="0" max="28" min="28" style="0" width="30"/>
    <col collapsed="false" customWidth="true" hidden="false" outlineLevel="0" max="29" min="29" style="0" width="14"/>
    <col collapsed="false" customWidth="true" hidden="false" outlineLevel="0" max="30" min="30" style="0" width="30"/>
    <col collapsed="false" customWidth="true" hidden="false" outlineLevel="0" max="31" min="31" style="0" width="28"/>
    <col collapsed="false" customWidth="true" hidden="false" outlineLevel="0" max="32" min="32" style="0" width="30"/>
  </cols>
  <sheetData>
    <row r="1" customFormat="false" ht="17.25" hidden="false" customHeight="true" outlineLevel="0" collapsed="false">
      <c r="A1" s="7" t="s">
        <v>594</v>
      </c>
    </row>
    <row r="2" customFormat="false" ht="30" hidden="false" customHeight="true" outlineLevel="0" collapsed="false">
      <c r="A2" s="2" t="s">
        <v>595</v>
      </c>
      <c r="B2" s="2"/>
      <c r="C2" s="2"/>
      <c r="D2" s="2"/>
      <c r="E2" s="2"/>
      <c r="F2" s="2"/>
      <c r="G2" s="2"/>
      <c r="H2" s="2"/>
      <c r="I2" s="2"/>
      <c r="J2" s="2"/>
      <c r="K2" s="2"/>
      <c r="L2" s="2"/>
      <c r="M2" s="2"/>
      <c r="N2" s="2"/>
      <c r="O2" s="2"/>
      <c r="P2" s="2"/>
    </row>
    <row r="3" customFormat="false" ht="14.25" hidden="false" customHeight="false" outlineLevel="0" collapsed="false">
      <c r="A3" s="15" t="s">
        <v>584</v>
      </c>
    </row>
    <row r="5" customFormat="false" ht="15" hidden="false" customHeight="true" outlineLevel="0" collapsed="false">
      <c r="A5" s="19" t="s">
        <v>585</v>
      </c>
      <c r="B5" s="19"/>
      <c r="C5" s="19"/>
      <c r="D5" s="19"/>
      <c r="E5" s="19"/>
      <c r="F5" s="19"/>
      <c r="G5" s="19"/>
      <c r="H5" s="19"/>
      <c r="I5" s="19"/>
      <c r="J5" s="19"/>
      <c r="K5" s="19"/>
      <c r="L5" s="19"/>
      <c r="M5" s="19"/>
      <c r="N5" s="19"/>
      <c r="O5" s="19"/>
      <c r="P5" s="19"/>
      <c r="Q5" s="20" t="s">
        <v>586</v>
      </c>
      <c r="R5" s="20"/>
      <c r="S5" s="20"/>
      <c r="T5" s="20"/>
      <c r="U5" s="20"/>
      <c r="V5" s="20"/>
      <c r="W5" s="20"/>
      <c r="X5" s="20"/>
      <c r="Y5" s="20"/>
      <c r="Z5" s="20"/>
      <c r="AA5" s="20"/>
      <c r="AB5" s="20"/>
      <c r="AC5" s="20"/>
      <c r="AD5" s="20"/>
      <c r="AE5" s="20"/>
      <c r="AF5" s="21" t="s">
        <v>587</v>
      </c>
    </row>
    <row r="6" customFormat="false" ht="42" hidden="false" customHeight="true" outlineLevel="0" collapsed="false">
      <c r="A6" s="22" t="s">
        <v>552</v>
      </c>
      <c r="B6" s="22" t="s">
        <v>553</v>
      </c>
      <c r="C6" s="22" t="s">
        <v>568</v>
      </c>
      <c r="D6" s="22" t="s">
        <v>554</v>
      </c>
      <c r="E6" s="22" t="s">
        <v>588</v>
      </c>
      <c r="F6" s="22" t="s">
        <v>589</v>
      </c>
      <c r="G6" s="22" t="s">
        <v>555</v>
      </c>
      <c r="H6" s="22" t="s">
        <v>590</v>
      </c>
      <c r="I6" s="22" t="s">
        <v>45</v>
      </c>
      <c r="J6" s="22" t="s">
        <v>44</v>
      </c>
      <c r="K6" s="22" t="s">
        <v>591</v>
      </c>
      <c r="L6" s="22" t="s">
        <v>592</v>
      </c>
      <c r="M6" s="22" t="s">
        <v>558</v>
      </c>
      <c r="N6" s="22" t="s">
        <v>593</v>
      </c>
      <c r="O6" s="22" t="s">
        <v>556</v>
      </c>
      <c r="P6" s="22" t="s">
        <v>559</v>
      </c>
      <c r="Q6" s="17" t="s">
        <v>21</v>
      </c>
      <c r="R6" s="17" t="s">
        <v>570</v>
      </c>
      <c r="S6" s="17" t="s">
        <v>23</v>
      </c>
      <c r="T6" s="17" t="s">
        <v>571</v>
      </c>
      <c r="U6" s="17" t="s">
        <v>572</v>
      </c>
      <c r="V6" s="17" t="s">
        <v>573</v>
      </c>
      <c r="W6" s="17" t="s">
        <v>574</v>
      </c>
      <c r="X6" s="17" t="s">
        <v>575</v>
      </c>
      <c r="Y6" s="17" t="s">
        <v>576</v>
      </c>
      <c r="Z6" s="17" t="s">
        <v>577</v>
      </c>
      <c r="AA6" s="17" t="s">
        <v>578</v>
      </c>
      <c r="AB6" s="17" t="s">
        <v>579</v>
      </c>
      <c r="AC6" s="17" t="s">
        <v>580</v>
      </c>
      <c r="AD6" s="17" t="s">
        <v>35</v>
      </c>
      <c r="AE6" s="17" t="s">
        <v>55</v>
      </c>
      <c r="AF6" s="8" t="s">
        <v>581</v>
      </c>
    </row>
    <row r="7" customFormat="false" ht="105" hidden="false" customHeight="true" outlineLevel="0" collapsed="false">
      <c r="A7" s="12" t="str">
        <f aca="false">Base_OAPDI!A65</f>
        <v>E2-001</v>
      </c>
      <c r="B7" s="12" t="str">
        <f aca="false">Base_OAPDI!B65</f>
        <v>2.1.1.1</v>
      </c>
      <c r="C7" s="12" t="str">
        <f aca="false">Base_OAPDI!D65</f>
        <v>2.1 Capacidades de investigación e innovación</v>
      </c>
      <c r="D7" s="12" t="str">
        <f aca="false">Base_OAPDI!E65</f>
        <v>Contar como mínimo por vigencia con un (1) grupo de investigación en clasificación A (en MinCiencias).</v>
      </c>
      <c r="E7" s="12" t="str">
        <f aca="false">Base_OAPDI!F65</f>
        <v>N.° de grupos categoría A/A1 en MinCiencias</v>
      </c>
      <c r="F7" s="12" t="str">
        <f aca="false">Base_OAPDI!G65</f>
        <v>1 grupo A (MPI: 8 grupos A)</v>
      </c>
      <c r="G7" s="12" t="str">
        <f aca="false">Base_OAPDI!H65</f>
        <v>Sugerido: (1 grupo con ruta de ascenso a categoría A aprobada y con la producción de nuevo conocimiento requerida para la siguiente medición)</v>
      </c>
      <c r="H7" s="12" t="str">
        <f aca="false">Base_OAPDI!I65</f>
        <v>A06</v>
      </c>
      <c r="I7" s="12" t="str">
        <f aca="false">Base_OAPDI!J65</f>
        <v>101 · Oficina Asesora de Planeación y Desarrollo Institucional</v>
      </c>
      <c r="J7" s="12" t="str">
        <f aca="false">Base_OAPDI!K65</f>
        <v>Gestión de Proyectos</v>
      </c>
      <c r="K7" s="12" t="str">
        <f aca="false">Base_OAPDI!L65</f>
        <v>Direccionamiento Institucional</v>
      </c>
      <c r="L7" s="12" t="n">
        <f aca="false">Base_OAPDI!N65</f>
        <v>1</v>
      </c>
      <c r="M7" s="12" t="n">
        <f aca="false">Base_OAPDI!P65</f>
        <v>1</v>
      </c>
      <c r="N7" s="12" t="n">
        <f aca="false">Base_OAPDI!Q65</f>
        <v>0</v>
      </c>
      <c r="O7" s="12" t="str">
        <f aca="false">Base_OAPDI!R65</f>
        <v>Cerrar o reprogramar 1 producto(s) 2026 pendiente(s) de esta meta.</v>
      </c>
      <c r="P7" s="12" t="str">
        <f aca="false">Base_OAPDI!S65</f>
        <v>IMP-20; IMP-21</v>
      </c>
      <c r="Q7" s="11"/>
      <c r="R7" s="11"/>
      <c r="S7" s="11"/>
      <c r="T7" s="18"/>
      <c r="U7" s="18"/>
      <c r="V7" s="11"/>
      <c r="W7" s="11"/>
      <c r="X7" s="11"/>
      <c r="Y7" s="11"/>
      <c r="Z7" s="11"/>
      <c r="AA7" s="11"/>
      <c r="AB7" s="12" t="str">
        <f aca="false">IF(AA7="","",INDEX(Catalogos!$Y$5:$Y$25,MATCH(AA7,L_IMP,0)))</f>
        <v/>
      </c>
      <c r="AC7" s="11"/>
      <c r="AD7" s="11"/>
      <c r="AE7" s="11"/>
      <c r="AF7" s="10" t="str">
        <f aca="false">IF(Q7="","Pendiente por formular",IF(OR(S7="",T7="",U7="",V7="",W7="",X7="",Z7="",AA7=""),"Incompleta: faltan campos obligatorios",IF(OR(NOT(ISNUMBER(T7)),NOT(ISNUMBER(U7))),"Fecha inválida",IF(U7&lt;T7,"La fecha de fin es anterior a la de inicio",IF(OR(YEAR(T7)&lt;&gt;2027,YEAR(U7)&lt;&gt;2027),"Fechas fuera de la vigencia 2027",IF(ISERROR(SEARCH("@itc.edu.co",V7)),"El responsable no tiene correo institucional",IF(ISERROR(SEARCH(Z7,INDEX(Catalogos!$Z$5:$Z$25,MATCH(AA7,L_IMP,0)))),"La dimensión no corresponde al indicador de impacto","OK")))))))</f>
        <v>Pendiente por formular</v>
      </c>
    </row>
    <row r="8" customFormat="false" ht="105" hidden="false" customHeight="true" outlineLevel="0" collapsed="false">
      <c r="A8" s="12" t="str">
        <f aca="false">Base_OAPDI!A66</f>
        <v>E2-002</v>
      </c>
      <c r="B8" s="12" t="str">
        <f aca="false">Base_OAPDI!B66</f>
        <v>2.1.1.1</v>
      </c>
      <c r="C8" s="12" t="str">
        <f aca="false">Base_OAPDI!D66</f>
        <v>2.1 Capacidades de investigación e innovación</v>
      </c>
      <c r="D8" s="12" t="str">
        <f aca="false">Base_OAPDI!E66</f>
        <v>Contar como mínimo por vigencia con un (1) grupo de investigación en clasificación A (en MinCiencias).</v>
      </c>
      <c r="E8" s="12" t="str">
        <f aca="false">Base_OAPDI!F66</f>
        <v>N.° de grupos categoría A/A1 en MinCiencias</v>
      </c>
      <c r="F8" s="12" t="str">
        <f aca="false">Base_OAPDI!G66</f>
        <v>1 grupo A (MPI: 8 grupos A)</v>
      </c>
      <c r="G8" s="12" t="str">
        <f aca="false">Base_OAPDI!H66</f>
        <v>Sugerido: (1 grupo con ruta de ascenso a categoría A aprobada y con la producción de nuevo conocimiento requerida para la siguiente medición)</v>
      </c>
      <c r="H8" s="12" t="str">
        <f aca="false">Base_OAPDI!I66</f>
        <v>A39</v>
      </c>
      <c r="I8" s="12" t="str">
        <f aca="false">Base_OAPDI!J66</f>
        <v>140 · Vicerrectoría de Investigación, Extensión y Transferencia</v>
      </c>
      <c r="J8" s="12" t="str">
        <f aca="false">Base_OAPDI!K66</f>
        <v>Investigación (grupos, semilleros, revista, centro de pensamiento)</v>
      </c>
      <c r="K8" s="12" t="str">
        <f aca="false">Base_OAPDI!L66</f>
        <v>Investigación</v>
      </c>
      <c r="L8" s="12" t="n">
        <f aca="false">Base_OAPDI!N66</f>
        <v>17</v>
      </c>
      <c r="M8" s="12" t="n">
        <f aca="false">Base_OAPDI!P66</f>
        <v>3</v>
      </c>
      <c r="N8" s="12" t="n">
        <f aca="false">Base_OAPDI!Q66</f>
        <v>1</v>
      </c>
      <c r="O8" s="12" t="str">
        <f aca="false">Base_OAPDI!R66</f>
        <v>Acciones propuestas por la OAPDI (valídelas y formúlelas en esta fila o en Acciones adicionales): A27-033 Diagnosticar la producción de cada grupo frente al modelo de medición de MinCiencias; A27-035 Iniciar el estudio de impacto de Investigación. Cerrar o reprogramar 3 producto(s) 2026 pendiente(s) de esta meta. Atender 1 compromiso(s) de proyectos estructurantes (hoja Compromisos_2026).</v>
      </c>
      <c r="P8" s="12" t="str">
        <f aca="false">Base_OAPDI!S66</f>
        <v>IMP-20; IMP-21</v>
      </c>
      <c r="Q8" s="11"/>
      <c r="R8" s="11"/>
      <c r="S8" s="11"/>
      <c r="T8" s="18"/>
      <c r="U8" s="18"/>
      <c r="V8" s="11"/>
      <c r="W8" s="11"/>
      <c r="X8" s="11"/>
      <c r="Y8" s="11"/>
      <c r="Z8" s="11"/>
      <c r="AA8" s="11"/>
      <c r="AB8" s="12" t="str">
        <f aca="false">IF(AA8="","",INDEX(Catalogos!$Y$5:$Y$25,MATCH(AA8,L_IMP,0)))</f>
        <v/>
      </c>
      <c r="AC8" s="11"/>
      <c r="AD8" s="11"/>
      <c r="AE8" s="11"/>
      <c r="AF8" s="10" t="str">
        <f aca="false">IF(Q8="","Pendiente por formular",IF(OR(S8="",T8="",U8="",V8="",W8="",X8="",Z8="",AA8=""),"Incompleta: faltan campos obligatorios",IF(OR(NOT(ISNUMBER(T8)),NOT(ISNUMBER(U8))),"Fecha inválida",IF(U8&lt;T8,"La fecha de fin es anterior a la de inicio",IF(OR(YEAR(T8)&lt;&gt;2027,YEAR(U8)&lt;&gt;2027),"Fechas fuera de la vigencia 2027",IF(ISERROR(SEARCH("@itc.edu.co",V8)),"El responsable no tiene correo institucional",IF(ISERROR(SEARCH(Z8,INDEX(Catalogos!$Z$5:$Z$25,MATCH(AA8,L_IMP,0)))),"La dimensión no corresponde al indicador de impacto","OK")))))))</f>
        <v>Pendiente por formular</v>
      </c>
    </row>
    <row r="9" customFormat="false" ht="105" hidden="false" customHeight="true" outlineLevel="0" collapsed="false">
      <c r="A9" s="12" t="str">
        <f aca="false">Base_OAPDI!A67</f>
        <v>E2-003</v>
      </c>
      <c r="B9" s="12" t="str">
        <f aca="false">Base_OAPDI!B67</f>
        <v>2.1.1.1</v>
      </c>
      <c r="C9" s="12" t="str">
        <f aca="false">Base_OAPDI!D67</f>
        <v>2.1 Capacidades de investigación e innovación</v>
      </c>
      <c r="D9" s="12" t="str">
        <f aca="false">Base_OAPDI!E67</f>
        <v>Contar como mínimo por vigencia con un (1) grupo de investigación en clasificación A (en MinCiencias).</v>
      </c>
      <c r="E9" s="12" t="str">
        <f aca="false">Base_OAPDI!F67</f>
        <v>N.° de grupos categoría A/A1 en MinCiencias</v>
      </c>
      <c r="F9" s="12" t="str">
        <f aca="false">Base_OAPDI!G67</f>
        <v>1 grupo A (MPI: 8 grupos A)</v>
      </c>
      <c r="G9" s="12" t="str">
        <f aca="false">Base_OAPDI!H67</f>
        <v>Sugerido: (1 grupo con ruta de ascenso a categoría A aprobada y con la producción de nuevo conocimiento requerida para la siguiente medición)</v>
      </c>
      <c r="H9" s="12" t="str">
        <f aca="false">Base_OAPDI!I67</f>
        <v>A38</v>
      </c>
      <c r="I9" s="12" t="str">
        <f aca="false">Base_OAPDI!J67</f>
        <v>140 · Vicerrectoría de Investigación, Extensión y Transferencia</v>
      </c>
      <c r="J9" s="12" t="str">
        <f aca="false">Base_OAPDI!K67</f>
        <v>Despacho de la VIET</v>
      </c>
      <c r="K9" s="12" t="str">
        <f aca="false">Base_OAPDI!L67</f>
        <v>Investigación</v>
      </c>
      <c r="L9" s="12" t="n">
        <f aca="false">Base_OAPDI!N67</f>
        <v>0</v>
      </c>
      <c r="M9" s="12" t="n">
        <f aca="false">Base_OAPDI!P67</f>
        <v>0</v>
      </c>
      <c r="N9" s="12" t="n">
        <f aca="false">Base_OAPDI!Q67</f>
        <v>0</v>
      </c>
      <c r="O9" s="12" t="str">
        <f aca="false">Base_OAPDI!R67</f>
        <v>Acciones propuestas por la OAPDI (valídelas y formúlelas en esta fila o en Acciones adicionales): A27-034 Definir la ruta de ascenso del grupo con mayor producción (metas de nuevo conocimiento y formación).</v>
      </c>
      <c r="P9" s="12" t="str">
        <f aca="false">Base_OAPDI!S67</f>
        <v>IMP-20; IMP-21</v>
      </c>
      <c r="Q9" s="11"/>
      <c r="R9" s="11"/>
      <c r="S9" s="11"/>
      <c r="T9" s="18"/>
      <c r="U9" s="18"/>
      <c r="V9" s="11"/>
      <c r="W9" s="11"/>
      <c r="X9" s="11"/>
      <c r="Y9" s="11"/>
      <c r="Z9" s="11"/>
      <c r="AA9" s="11"/>
      <c r="AB9" s="12" t="str">
        <f aca="false">IF(AA9="","",INDEX(Catalogos!$Y$5:$Y$25,MATCH(AA9,L_IMP,0)))</f>
        <v/>
      </c>
      <c r="AC9" s="11"/>
      <c r="AD9" s="11"/>
      <c r="AE9" s="11"/>
      <c r="AF9" s="10" t="str">
        <f aca="false">IF(Q9="","Pendiente por formular",IF(OR(S9="",T9="",U9="",V9="",W9="",X9="",Z9="",AA9=""),"Incompleta: faltan campos obligatorios",IF(OR(NOT(ISNUMBER(T9)),NOT(ISNUMBER(U9))),"Fecha inválida",IF(U9&lt;T9,"La fecha de fin es anterior a la de inicio",IF(OR(YEAR(T9)&lt;&gt;2027,YEAR(U9)&lt;&gt;2027),"Fechas fuera de la vigencia 2027",IF(ISERROR(SEARCH("@itc.edu.co",V9)),"El responsable no tiene correo institucional",IF(ISERROR(SEARCH(Z9,INDEX(Catalogos!$Z$5:$Z$25,MATCH(AA9,L_IMP,0)))),"La dimensión no corresponde al indicador de impacto","OK")))))))</f>
        <v>Pendiente por formular</v>
      </c>
    </row>
    <row r="10" customFormat="false" ht="66" hidden="false" customHeight="true" outlineLevel="0" collapsed="false">
      <c r="A10" s="12" t="str">
        <f aca="false">Base_OAPDI!A68</f>
        <v>E2-004</v>
      </c>
      <c r="B10" s="12" t="str">
        <f aca="false">Base_OAPDI!B68</f>
        <v>2.1.1.2</v>
      </c>
      <c r="C10" s="12" t="str">
        <f aca="false">Base_OAPDI!D68</f>
        <v>2.1 Capacidades de investigación e innovación</v>
      </c>
      <c r="D10" s="12" t="str">
        <f aca="false">Base_OAPDI!E68</f>
        <v>Tres (3) grupos en B.</v>
      </c>
      <c r="E10" s="12" t="str">
        <f aca="false">Base_OAPDI!F68</f>
        <v>N.° de grupos categoría B en MinCiencias</v>
      </c>
      <c r="F10" s="12" t="str">
        <f aca="false">Base_OAPDI!G68</f>
        <v>3 grupos B (MPI: 16)</v>
      </c>
      <c r="G10" s="12" t="str">
        <f aca="false">Base_OAPDI!H68</f>
        <v>Sugerido: (1 grupo clasificado en B —ascenso de uno de los 2 grupos en C—)</v>
      </c>
      <c r="H10" s="12" t="str">
        <f aca="false">Base_OAPDI!I68</f>
        <v>A38</v>
      </c>
      <c r="I10" s="12" t="str">
        <f aca="false">Base_OAPDI!J68</f>
        <v>140 · Vicerrectoría de Investigación, Extensión y Transferencia</v>
      </c>
      <c r="J10" s="12" t="str">
        <f aca="false">Base_OAPDI!K68</f>
        <v>Despacho de la VIET</v>
      </c>
      <c r="K10" s="12" t="str">
        <f aca="false">Base_OAPDI!L68</f>
        <v>Investigación</v>
      </c>
      <c r="L10" s="12" t="n">
        <f aca="false">Base_OAPDI!N68</f>
        <v>4</v>
      </c>
      <c r="M10" s="12" t="n">
        <f aca="false">Base_OAPDI!P68</f>
        <v>2</v>
      </c>
      <c r="N10" s="12" t="n">
        <f aca="false">Base_OAPDI!Q68</f>
        <v>0</v>
      </c>
      <c r="O10" s="12" t="str">
        <f aca="false">Base_OAPDI!R68</f>
        <v>Cerrar o reprogramar 2 producto(s) 2026 pendiente(s) de esta meta.</v>
      </c>
      <c r="P10" s="12" t="str">
        <f aca="false">Base_OAPDI!S68</f>
        <v>IMP-20; IMP-21</v>
      </c>
      <c r="Q10" s="11"/>
      <c r="R10" s="11"/>
      <c r="S10" s="11"/>
      <c r="T10" s="18"/>
      <c r="U10" s="18"/>
      <c r="V10" s="11"/>
      <c r="W10" s="11"/>
      <c r="X10" s="11"/>
      <c r="Y10" s="11"/>
      <c r="Z10" s="11"/>
      <c r="AA10" s="11"/>
      <c r="AB10" s="12" t="str">
        <f aca="false">IF(AA10="","",INDEX(Catalogos!$Y$5:$Y$25,MATCH(AA10,L_IMP,0)))</f>
        <v/>
      </c>
      <c r="AC10" s="11"/>
      <c r="AD10" s="11"/>
      <c r="AE10" s="11"/>
      <c r="AF10" s="10" t="str">
        <f aca="false">IF(Q10="","Pendiente por formular",IF(OR(S10="",T10="",U10="",V10="",W10="",X10="",Z10="",AA10=""),"Incompleta: faltan campos obligatorios",IF(OR(NOT(ISNUMBER(T10)),NOT(ISNUMBER(U10))),"Fecha inválida",IF(U10&lt;T10,"La fecha de fin es anterior a la de inicio",IF(OR(YEAR(T10)&lt;&gt;2027,YEAR(U10)&lt;&gt;2027),"Fechas fuera de la vigencia 2027",IF(ISERROR(SEARCH("@itc.edu.co",V10)),"El responsable no tiene correo institucional",IF(ISERROR(SEARCH(Z10,INDEX(Catalogos!$Z$5:$Z$25,MATCH(AA10,L_IMP,0)))),"La dimensión no corresponde al indicador de impacto","OK")))))))</f>
        <v>Pendiente por formular</v>
      </c>
    </row>
    <row r="11" customFormat="false" ht="66" hidden="false" customHeight="true" outlineLevel="0" collapsed="false">
      <c r="A11" s="12" t="str">
        <f aca="false">Base_OAPDI!A69</f>
        <v>E2-005</v>
      </c>
      <c r="B11" s="12" t="str">
        <f aca="false">Base_OAPDI!B69</f>
        <v>2.1.1.2</v>
      </c>
      <c r="C11" s="12" t="str">
        <f aca="false">Base_OAPDI!D69</f>
        <v>2.1 Capacidades de investigación e innovación</v>
      </c>
      <c r="D11" s="12" t="str">
        <f aca="false">Base_OAPDI!E69</f>
        <v>Tres (3) grupos en B.</v>
      </c>
      <c r="E11" s="12" t="str">
        <f aca="false">Base_OAPDI!F69</f>
        <v>N.° de grupos categoría B en MinCiencias</v>
      </c>
      <c r="F11" s="12" t="str">
        <f aca="false">Base_OAPDI!G69</f>
        <v>3 grupos B (MPI: 16)</v>
      </c>
      <c r="G11" s="12" t="str">
        <f aca="false">Base_OAPDI!H69</f>
        <v>Sugerido: (1 grupo clasificado en B —ascenso de uno de los 2 grupos en C—)</v>
      </c>
      <c r="H11" s="12" t="str">
        <f aca="false">Base_OAPDI!I69</f>
        <v>A39</v>
      </c>
      <c r="I11" s="12" t="str">
        <f aca="false">Base_OAPDI!J69</f>
        <v>140 · Vicerrectoría de Investigación, Extensión y Transferencia</v>
      </c>
      <c r="J11" s="12" t="str">
        <f aca="false">Base_OAPDI!K69</f>
        <v>Investigación (grupos, semilleros, revista, centro de pensamiento)</v>
      </c>
      <c r="K11" s="12" t="str">
        <f aca="false">Base_OAPDI!L69</f>
        <v>Investigación</v>
      </c>
      <c r="L11" s="12" t="n">
        <f aca="false">Base_OAPDI!N69</f>
        <v>36</v>
      </c>
      <c r="M11" s="12" t="n">
        <f aca="false">Base_OAPDI!P69</f>
        <v>16</v>
      </c>
      <c r="N11" s="12" t="n">
        <f aca="false">Base_OAPDI!Q69</f>
        <v>0</v>
      </c>
      <c r="O11" s="12" t="str">
        <f aca="false">Base_OAPDI!R69</f>
        <v>Acciones propuestas por la OAPDI (valídelas y formúlelas en esta fila o en Acciones adicionales): A27-036 Asesorar a los grupos en C (Virtus y GEA) en productos de nuevo conocimiento y apropiación; A27-037 Postular los grupos en la convocatoria de medición vigente. Cerrar o reprogramar 16 producto(s) 2026 pendiente(s) de esta meta.</v>
      </c>
      <c r="P11" s="12" t="str">
        <f aca="false">Base_OAPDI!S69</f>
        <v>IMP-20; IMP-21</v>
      </c>
      <c r="Q11" s="11"/>
      <c r="R11" s="11"/>
      <c r="S11" s="11"/>
      <c r="T11" s="18"/>
      <c r="U11" s="18"/>
      <c r="V11" s="11"/>
      <c r="W11" s="11"/>
      <c r="X11" s="11"/>
      <c r="Y11" s="11"/>
      <c r="Z11" s="11"/>
      <c r="AA11" s="11"/>
      <c r="AB11" s="12" t="str">
        <f aca="false">IF(AA11="","",INDEX(Catalogos!$Y$5:$Y$25,MATCH(AA11,L_IMP,0)))</f>
        <v/>
      </c>
      <c r="AC11" s="11"/>
      <c r="AD11" s="11"/>
      <c r="AE11" s="11"/>
      <c r="AF11" s="10" t="str">
        <f aca="false">IF(Q11="","Pendiente por formular",IF(OR(S11="",T11="",U11="",V11="",W11="",X11="",Z11="",AA11=""),"Incompleta: faltan campos obligatorios",IF(OR(NOT(ISNUMBER(T11)),NOT(ISNUMBER(U11))),"Fecha inválida",IF(U11&lt;T11,"La fecha de fin es anterior a la de inicio",IF(OR(YEAR(T11)&lt;&gt;2027,YEAR(U11)&lt;&gt;2027),"Fechas fuera de la vigencia 2027",IF(ISERROR(SEARCH("@itc.edu.co",V11)),"El responsable no tiene correo institucional",IF(ISERROR(SEARCH(Z11,INDEX(Catalogos!$Z$5:$Z$25,MATCH(AA11,L_IMP,0)))),"La dimensión no corresponde al indicador de impacto","OK")))))))</f>
        <v>Pendiente por formular</v>
      </c>
    </row>
    <row r="12" customFormat="false" ht="66" hidden="false" customHeight="true" outlineLevel="0" collapsed="false">
      <c r="A12" s="12" t="str">
        <f aca="false">Base_OAPDI!A70</f>
        <v>E2-006</v>
      </c>
      <c r="B12" s="12" t="str">
        <f aca="false">Base_OAPDI!B70</f>
        <v>2.1.1.2</v>
      </c>
      <c r="C12" s="12" t="str">
        <f aca="false">Base_OAPDI!D70</f>
        <v>2.1 Capacidades de investigación e innovación</v>
      </c>
      <c r="D12" s="12" t="str">
        <f aca="false">Base_OAPDI!E70</f>
        <v>Tres (3) grupos en B.</v>
      </c>
      <c r="E12" s="12" t="str">
        <f aca="false">Base_OAPDI!F70</f>
        <v>N.° de grupos categoría B en MinCiencias</v>
      </c>
      <c r="F12" s="12" t="str">
        <f aca="false">Base_OAPDI!G70</f>
        <v>3 grupos B (MPI: 16)</v>
      </c>
      <c r="G12" s="12" t="str">
        <f aca="false">Base_OAPDI!H70</f>
        <v>Sugerido: (1 grupo clasificado en B —ascenso de uno de los 2 grupos en C—)</v>
      </c>
      <c r="H12" s="12" t="str">
        <f aca="false">Base_OAPDI!I70</f>
        <v>A40</v>
      </c>
      <c r="I12" s="12" t="str">
        <f aca="false">Base_OAPDI!J70</f>
        <v>140 · Vicerrectoría de Investigación, Extensión y Transferencia</v>
      </c>
      <c r="J12" s="12" t="str">
        <f aca="false">Base_OAPDI!K70</f>
        <v>Innovación y Laboratorio Inteligente</v>
      </c>
      <c r="K12" s="12" t="str">
        <f aca="false">Base_OAPDI!L70</f>
        <v>Investigación</v>
      </c>
      <c r="L12" s="12" t="n">
        <f aca="false">Base_OAPDI!N70</f>
        <v>11</v>
      </c>
      <c r="M12" s="12" t="n">
        <f aca="false">Base_OAPDI!P70</f>
        <v>7</v>
      </c>
      <c r="N12" s="12" t="n">
        <f aca="false">Base_OAPDI!Q70</f>
        <v>0</v>
      </c>
      <c r="O12" s="12" t="str">
        <f aca="false">Base_OAPDI!R70</f>
        <v>Cerrar o reprogramar 7 producto(s) 2026 pendiente(s) de esta meta.</v>
      </c>
      <c r="P12" s="12" t="str">
        <f aca="false">Base_OAPDI!S70</f>
        <v>IMP-20; IMP-21</v>
      </c>
      <c r="Q12" s="11"/>
      <c r="R12" s="11"/>
      <c r="S12" s="11"/>
      <c r="T12" s="18"/>
      <c r="U12" s="18"/>
      <c r="V12" s="11"/>
      <c r="W12" s="11"/>
      <c r="X12" s="11"/>
      <c r="Y12" s="11"/>
      <c r="Z12" s="11"/>
      <c r="AA12" s="11"/>
      <c r="AB12" s="12" t="str">
        <f aca="false">IF(AA12="","",INDEX(Catalogos!$Y$5:$Y$25,MATCH(AA12,L_IMP,0)))</f>
        <v/>
      </c>
      <c r="AC12" s="11"/>
      <c r="AD12" s="11"/>
      <c r="AE12" s="11"/>
      <c r="AF12" s="10" t="str">
        <f aca="false">IF(Q12="","Pendiente por formular",IF(OR(S12="",T12="",U12="",V12="",W12="",X12="",Z12="",AA12=""),"Incompleta: faltan campos obligatorios",IF(OR(NOT(ISNUMBER(T12)),NOT(ISNUMBER(U12))),"Fecha inválida",IF(U12&lt;T12,"La fecha de fin es anterior a la de inicio",IF(OR(YEAR(T12)&lt;&gt;2027,YEAR(U12)&lt;&gt;2027),"Fechas fuera de la vigencia 2027",IF(ISERROR(SEARCH("@itc.edu.co",V12)),"El responsable no tiene correo institucional",IF(ISERROR(SEARCH(Z12,INDEX(Catalogos!$Z$5:$Z$25,MATCH(AA12,L_IMP,0)))),"La dimensión no corresponde al indicador de impacto","OK")))))))</f>
        <v>Pendiente por formular</v>
      </c>
    </row>
    <row r="13" customFormat="false" ht="78.75" hidden="false" customHeight="true" outlineLevel="0" collapsed="false">
      <c r="A13" s="12" t="str">
        <f aca="false">Base_OAPDI!A71</f>
        <v>E2-007</v>
      </c>
      <c r="B13" s="12" t="str">
        <f aca="false">Base_OAPDI!B71</f>
        <v>2.1.1.3</v>
      </c>
      <c r="C13" s="12" t="str">
        <f aca="false">Base_OAPDI!D71</f>
        <v>2.1 Capacidades de investigación e innovación</v>
      </c>
      <c r="D13" s="12" t="str">
        <f aca="false">Base_OAPDI!E71</f>
        <v>Cuatro (4) grupos en C.</v>
      </c>
      <c r="E13" s="12" t="str">
        <f aca="false">Base_OAPDI!F71</f>
        <v>N.° de grupos categoría C en MinCiencias</v>
      </c>
      <c r="F13" s="12" t="str">
        <f aca="false">Base_OAPDI!G71</f>
        <v>4 grupos C (MPI: 14)</v>
      </c>
      <c r="G13" s="12" t="str">
        <f aca="false">Base_OAPDI!H71</f>
        <v>Sugerido: (4 grupos en C: mantener Virtus y GEA y clasificar 2 de los 7 grupos registrados sin categoría)</v>
      </c>
      <c r="H13" s="12" t="str">
        <f aca="false">Base_OAPDI!I71</f>
        <v>A39</v>
      </c>
      <c r="I13" s="12" t="str">
        <f aca="false">Base_OAPDI!J71</f>
        <v>140 · Vicerrectoría de Investigación, Extensión y Transferencia</v>
      </c>
      <c r="J13" s="12" t="str">
        <f aca="false">Base_OAPDI!K71</f>
        <v>Investigación (grupos, semilleros, revista, centro de pensamiento)</v>
      </c>
      <c r="K13" s="12" t="str">
        <f aca="false">Base_OAPDI!L71</f>
        <v>Investigación</v>
      </c>
      <c r="L13" s="12" t="n">
        <f aca="false">Base_OAPDI!N71</f>
        <v>22</v>
      </c>
      <c r="M13" s="12" t="n">
        <f aca="false">Base_OAPDI!P71</f>
        <v>6</v>
      </c>
      <c r="N13" s="12" t="n">
        <f aca="false">Base_OAPDI!Q71</f>
        <v>0</v>
      </c>
      <c r="O13" s="12" t="str">
        <f aca="false">Base_OAPDI!R71</f>
        <v>Acciones propuestas por la OAPDI (valídelas y formúlelas en esta fila o en Acciones adicionales): A27-038 Actualizar GrupLAC y CvLAC de los 7 grupos sin categoría; A27-039 Acompañar a los 2 grupos con más producción para su clasificación en C. Cerrar o reprogramar 6 producto(s) 2026 pendiente(s) de esta meta.</v>
      </c>
      <c r="P13" s="12" t="str">
        <f aca="false">Base_OAPDI!S71</f>
        <v>IMP-20; IMP-21</v>
      </c>
      <c r="Q13" s="11"/>
      <c r="R13" s="11"/>
      <c r="S13" s="11"/>
      <c r="T13" s="18"/>
      <c r="U13" s="18"/>
      <c r="V13" s="11"/>
      <c r="W13" s="11"/>
      <c r="X13" s="11"/>
      <c r="Y13" s="11"/>
      <c r="Z13" s="11"/>
      <c r="AA13" s="11"/>
      <c r="AB13" s="12" t="str">
        <f aca="false">IF(AA13="","",INDEX(Catalogos!$Y$5:$Y$25,MATCH(AA13,L_IMP,0)))</f>
        <v/>
      </c>
      <c r="AC13" s="11"/>
      <c r="AD13" s="11"/>
      <c r="AE13" s="11"/>
      <c r="AF13" s="10" t="str">
        <f aca="false">IF(Q13="","Pendiente por formular",IF(OR(S13="",T13="",U13="",V13="",W13="",X13="",Z13="",AA13=""),"Incompleta: faltan campos obligatorios",IF(OR(NOT(ISNUMBER(T13)),NOT(ISNUMBER(U13))),"Fecha inválida",IF(U13&lt;T13,"La fecha de fin es anterior a la de inicio",IF(OR(YEAR(T13)&lt;&gt;2027,YEAR(U13)&lt;&gt;2027),"Fechas fuera de la vigencia 2027",IF(ISERROR(SEARCH("@itc.edu.co",V13)),"El responsable no tiene correo institucional",IF(ISERROR(SEARCH(Z13,INDEX(Catalogos!$Z$5:$Z$25,MATCH(AA13,L_IMP,0)))),"La dimensión no corresponde al indicador de impacto","OK")))))))</f>
        <v>Pendiente por formular</v>
      </c>
    </row>
    <row r="14" customFormat="false" ht="78.75" hidden="false" customHeight="true" outlineLevel="0" collapsed="false">
      <c r="A14" s="12" t="str">
        <f aca="false">Base_OAPDI!A72</f>
        <v>E2-008</v>
      </c>
      <c r="B14" s="12" t="str">
        <f aca="false">Base_OAPDI!B72</f>
        <v>2.1.1.3</v>
      </c>
      <c r="C14" s="12" t="str">
        <f aca="false">Base_OAPDI!D72</f>
        <v>2.1 Capacidades de investigación e innovación</v>
      </c>
      <c r="D14" s="12" t="str">
        <f aca="false">Base_OAPDI!E72</f>
        <v>Cuatro (4) grupos en C.</v>
      </c>
      <c r="E14" s="12" t="str">
        <f aca="false">Base_OAPDI!F72</f>
        <v>N.° de grupos categoría C en MinCiencias</v>
      </c>
      <c r="F14" s="12" t="str">
        <f aca="false">Base_OAPDI!G72</f>
        <v>4 grupos C (MPI: 14)</v>
      </c>
      <c r="G14" s="12" t="str">
        <f aca="false">Base_OAPDI!H72</f>
        <v>Sugerido: (4 grupos en C: mantener Virtus y GEA y clasificar 2 de los 7 grupos registrados sin categoría)</v>
      </c>
      <c r="H14" s="12" t="str">
        <f aca="false">Base_OAPDI!I72</f>
        <v>A40</v>
      </c>
      <c r="I14" s="12" t="str">
        <f aca="false">Base_OAPDI!J72</f>
        <v>140 · Vicerrectoría de Investigación, Extensión y Transferencia</v>
      </c>
      <c r="J14" s="12" t="str">
        <f aca="false">Base_OAPDI!K72</f>
        <v>Innovación y Laboratorio Inteligente</v>
      </c>
      <c r="K14" s="12" t="str">
        <f aca="false">Base_OAPDI!L72</f>
        <v>Investigación</v>
      </c>
      <c r="L14" s="12" t="n">
        <f aca="false">Base_OAPDI!N72</f>
        <v>3</v>
      </c>
      <c r="M14" s="12" t="n">
        <f aca="false">Base_OAPDI!P72</f>
        <v>3</v>
      </c>
      <c r="N14" s="12" t="n">
        <f aca="false">Base_OAPDI!Q72</f>
        <v>0</v>
      </c>
      <c r="O14" s="12" t="str">
        <f aca="false">Base_OAPDI!R72</f>
        <v>Cerrar o reprogramar 3 producto(s) 2026 pendiente(s) de esta meta.</v>
      </c>
      <c r="P14" s="12" t="str">
        <f aca="false">Base_OAPDI!S72</f>
        <v>IMP-20; IMP-21</v>
      </c>
      <c r="Q14" s="11"/>
      <c r="R14" s="11"/>
      <c r="S14" s="11"/>
      <c r="T14" s="18"/>
      <c r="U14" s="18"/>
      <c r="V14" s="11"/>
      <c r="W14" s="11"/>
      <c r="X14" s="11"/>
      <c r="Y14" s="11"/>
      <c r="Z14" s="11"/>
      <c r="AA14" s="11"/>
      <c r="AB14" s="12" t="str">
        <f aca="false">IF(AA14="","",INDEX(Catalogos!$Y$5:$Y$25,MATCH(AA14,L_IMP,0)))</f>
        <v/>
      </c>
      <c r="AC14" s="11"/>
      <c r="AD14" s="11"/>
      <c r="AE14" s="11"/>
      <c r="AF14" s="10" t="str">
        <f aca="false">IF(Q14="","Pendiente por formular",IF(OR(S14="",T14="",U14="",V14="",W14="",X14="",Z14="",AA14=""),"Incompleta: faltan campos obligatorios",IF(OR(NOT(ISNUMBER(T14)),NOT(ISNUMBER(U14))),"Fecha inválida",IF(U14&lt;T14,"La fecha de fin es anterior a la de inicio",IF(OR(YEAR(T14)&lt;&gt;2027,YEAR(U14)&lt;&gt;2027),"Fechas fuera de la vigencia 2027",IF(ISERROR(SEARCH("@itc.edu.co",V14)),"El responsable no tiene correo institucional",IF(ISERROR(SEARCH(Z14,INDEX(Catalogos!$Z$5:$Z$25,MATCH(AA14,L_IMP,0)))),"La dimensión no corresponde al indicador de impacto","OK")))))))</f>
        <v>Pendiente por formular</v>
      </c>
    </row>
    <row r="15" customFormat="false" ht="52.5" hidden="false" customHeight="true" outlineLevel="0" collapsed="false">
      <c r="A15" s="12" t="str">
        <f aca="false">Base_OAPDI!A73</f>
        <v>E2-009</v>
      </c>
      <c r="B15" s="12" t="str">
        <f aca="false">Base_OAPDI!B73</f>
        <v>2.2.1.1</v>
      </c>
      <c r="C15" s="12" t="str">
        <f aca="false">Base_OAPDI!D73</f>
        <v>2.2 Producción técnico-científica</v>
      </c>
      <c r="D15" s="12" t="str">
        <f aca="false">Base_OAPDI!E73</f>
        <v>Lograr como mínimo por vigencia la publicación de dos (2) artículos en revistas internacionales indexadas.</v>
      </c>
      <c r="E15" s="12" t="str">
        <f aca="false">Base_OAPDI!F73</f>
        <v>N.° de artículos publicados en revistas internacionales indexadas</v>
      </c>
      <c r="F15" s="12" t="str">
        <f aca="false">Base_OAPDI!G73</f>
        <v>2 por vigencia (16 en el periodo, según MPI)</v>
      </c>
      <c r="G15" s="12" t="str">
        <f aca="false">Base_OAPDI!H73</f>
        <v>2 artículos</v>
      </c>
      <c r="H15" s="12" t="str">
        <f aca="false">Base_OAPDI!I73</f>
        <v>A39</v>
      </c>
      <c r="I15" s="12" t="str">
        <f aca="false">Base_OAPDI!J73</f>
        <v>140 · Vicerrectoría de Investigación, Extensión y Transferencia</v>
      </c>
      <c r="J15" s="12" t="str">
        <f aca="false">Base_OAPDI!K73</f>
        <v>Investigación (grupos, semilleros, revista, centro de pensamiento)</v>
      </c>
      <c r="K15" s="12" t="str">
        <f aca="false">Base_OAPDI!L73</f>
        <v>Investigación</v>
      </c>
      <c r="L15" s="12" t="n">
        <f aca="false">Base_OAPDI!N73</f>
        <v>1</v>
      </c>
      <c r="M15" s="12" t="n">
        <f aca="false">Base_OAPDI!P73</f>
        <v>1</v>
      </c>
      <c r="N15" s="12" t="n">
        <f aca="false">Base_OAPDI!Q73</f>
        <v>0</v>
      </c>
      <c r="O15" s="12" t="str">
        <f aca="false">Base_OAPDI!R73</f>
        <v>Acciones propuestas por la OAPDI (valídelas y formúlelas en esta fila o en Acciones adicionales): A27-040 Abrir la convocatoria de estímulos a la publicación 2027; A27-041 Acompañar la traducción y el sometimiento a revistas internacionales indexadas. Cerrar o reprogramar 1 producto(s) 2026 pendiente(s) de esta meta.</v>
      </c>
      <c r="P15" s="12" t="str">
        <f aca="false">Base_OAPDI!S73</f>
        <v>IMP-21; IMP-20</v>
      </c>
      <c r="Q15" s="11"/>
      <c r="R15" s="11"/>
      <c r="S15" s="11"/>
      <c r="T15" s="18"/>
      <c r="U15" s="18"/>
      <c r="V15" s="11"/>
      <c r="W15" s="11"/>
      <c r="X15" s="11"/>
      <c r="Y15" s="11"/>
      <c r="Z15" s="11"/>
      <c r="AA15" s="11"/>
      <c r="AB15" s="12" t="str">
        <f aca="false">IF(AA15="","",INDEX(Catalogos!$Y$5:$Y$25,MATCH(AA15,L_IMP,0)))</f>
        <v/>
      </c>
      <c r="AC15" s="11"/>
      <c r="AD15" s="11"/>
      <c r="AE15" s="11"/>
      <c r="AF15" s="10" t="str">
        <f aca="false">IF(Q15="","Pendiente por formular",IF(OR(S15="",T15="",U15="",V15="",W15="",X15="",Z15="",AA15=""),"Incompleta: faltan campos obligatorios",IF(OR(NOT(ISNUMBER(T15)),NOT(ISNUMBER(U15))),"Fecha inválida",IF(U15&lt;T15,"La fecha de fin es anterior a la de inicio",IF(OR(YEAR(T15)&lt;&gt;2027,YEAR(U15)&lt;&gt;2027),"Fechas fuera de la vigencia 2027",IF(ISERROR(SEARCH("@itc.edu.co",V15)),"El responsable no tiene correo institucional",IF(ISERROR(SEARCH(Z15,INDEX(Catalogos!$Z$5:$Z$25,MATCH(AA15,L_IMP,0)))),"La dimensión no corresponde al indicador de impacto","OK")))))))</f>
        <v>Pendiente por formular</v>
      </c>
    </row>
    <row r="16" customFormat="false" ht="52.5" hidden="false" customHeight="true" outlineLevel="0" collapsed="false">
      <c r="A16" s="12" t="str">
        <f aca="false">Base_OAPDI!A74</f>
        <v>E2-010</v>
      </c>
      <c r="B16" s="12" t="str">
        <f aca="false">Base_OAPDI!B74</f>
        <v>2.2.1.2</v>
      </c>
      <c r="C16" s="12" t="str">
        <f aca="false">Base_OAPDI!D74</f>
        <v>2.2 Producción técnico-científica</v>
      </c>
      <c r="D16" s="12" t="str">
        <f aca="false">Base_OAPDI!E74</f>
        <v>Lograr la publicación de ocho (8) artículos en revistas nacionales indexadas.</v>
      </c>
      <c r="E16" s="12" t="str">
        <f aca="false">Base_OAPDI!F74</f>
        <v>N.° de artículos publicados en revistas nacionales indexadas</v>
      </c>
      <c r="F16" s="12" t="str">
        <f aca="false">Base_OAPDI!G74</f>
        <v>8 (MPI: 8 por año, 48 en total)</v>
      </c>
      <c r="G16" s="12" t="str">
        <f aca="false">Base_OAPDI!H74</f>
        <v>8 artículos [validar si es anual]</v>
      </c>
      <c r="H16" s="12" t="str">
        <f aca="false">Base_OAPDI!I74</f>
        <v>A39</v>
      </c>
      <c r="I16" s="12" t="str">
        <f aca="false">Base_OAPDI!J74</f>
        <v>140 · Vicerrectoría de Investigación, Extensión y Transferencia</v>
      </c>
      <c r="J16" s="12" t="str">
        <f aca="false">Base_OAPDI!K74</f>
        <v>Investigación (grupos, semilleros, revista, centro de pensamiento)</v>
      </c>
      <c r="K16" s="12" t="str">
        <f aca="false">Base_OAPDI!L74</f>
        <v>Investigación</v>
      </c>
      <c r="L16" s="12" t="n">
        <f aca="false">Base_OAPDI!N74</f>
        <v>5</v>
      </c>
      <c r="M16" s="12" t="n">
        <f aca="false">Base_OAPDI!P74</f>
        <v>3</v>
      </c>
      <c r="N16" s="12" t="n">
        <f aca="false">Base_OAPDI!Q74</f>
        <v>0</v>
      </c>
      <c r="O16" s="12" t="str">
        <f aca="false">Base_OAPDI!R74</f>
        <v>Acciones propuestas por la OAPDI (valídelas y formúlelas en esta fila o en Acciones adicionales): A27-042 Fortalecer la Revista Letras ETITC y Cuadernos ETITC (pares, convocatorias); A27-043 Vincular trabajos de grado y semilleros a artículos con docentes. Cerrar o reprogramar 3 producto(s) 2026 pendiente(s) de esta meta.</v>
      </c>
      <c r="P16" s="12" t="str">
        <f aca="false">Base_OAPDI!S74</f>
        <v>IMP-21; IMP-20</v>
      </c>
      <c r="Q16" s="11"/>
      <c r="R16" s="11"/>
      <c r="S16" s="11"/>
      <c r="T16" s="18"/>
      <c r="U16" s="18"/>
      <c r="V16" s="11"/>
      <c r="W16" s="11"/>
      <c r="X16" s="11"/>
      <c r="Y16" s="11"/>
      <c r="Z16" s="11"/>
      <c r="AA16" s="11"/>
      <c r="AB16" s="12" t="str">
        <f aca="false">IF(AA16="","",INDEX(Catalogos!$Y$5:$Y$25,MATCH(AA16,L_IMP,0)))</f>
        <v/>
      </c>
      <c r="AC16" s="11"/>
      <c r="AD16" s="11"/>
      <c r="AE16" s="11"/>
      <c r="AF16" s="10" t="str">
        <f aca="false">IF(Q16="","Pendiente por formular",IF(OR(S16="",T16="",U16="",V16="",W16="",X16="",Z16="",AA16=""),"Incompleta: faltan campos obligatorios",IF(OR(NOT(ISNUMBER(T16)),NOT(ISNUMBER(U16))),"Fecha inválida",IF(U16&lt;T16,"La fecha de fin es anterior a la de inicio",IF(OR(YEAR(T16)&lt;&gt;2027,YEAR(U16)&lt;&gt;2027),"Fechas fuera de la vigencia 2027",IF(ISERROR(SEARCH("@itc.edu.co",V16)),"El responsable no tiene correo institucional",IF(ISERROR(SEARCH(Z16,INDEX(Catalogos!$Z$5:$Z$25,MATCH(AA16,L_IMP,0)))),"La dimensión no corresponde al indicador de impacto","OK")))))))</f>
        <v>Pendiente por formular</v>
      </c>
    </row>
    <row r="17" customFormat="false" ht="118.5" hidden="false" customHeight="true" outlineLevel="0" collapsed="false">
      <c r="A17" s="12" t="str">
        <f aca="false">Base_OAPDI!A75</f>
        <v>E2-011</v>
      </c>
      <c r="B17" s="12" t="str">
        <f aca="false">Base_OAPDI!B75</f>
        <v>2.3.1.1</v>
      </c>
      <c r="C17" s="12" t="str">
        <f aca="false">Base_OAPDI!D75</f>
        <v>2.3 Alianzas estratégicas para la investigación</v>
      </c>
      <c r="D17" s="12" t="str">
        <f aca="false">Base_OAPDI!E75</f>
        <v>Contar con cuatro (4) patentes registradas sobre la base de los desarrollos logrados con las alianzas con el sector productivo o institucional.</v>
      </c>
      <c r="E17" s="12" t="str">
        <f aca="false">Base_OAPDI!F75</f>
        <v>N.° de solicitudes y de patentes registradas</v>
      </c>
      <c r="F17" s="12" t="str">
        <f aca="false">Base_OAPDI!G75</f>
        <v>4 patentes</v>
      </c>
      <c r="G17" s="12" t="str">
        <f aca="false">Base_OAPDI!H75</f>
        <v>Sugerido: (2 solicitudes de patente o modelo de utilidad radicadas ante la SIC —avance hacia 4 en 2032— y mantenimiento de la patente vigente)</v>
      </c>
      <c r="H17" s="12" t="str">
        <f aca="false">Base_OAPDI!I75</f>
        <v>A06</v>
      </c>
      <c r="I17" s="12" t="str">
        <f aca="false">Base_OAPDI!J75</f>
        <v>101 · Oficina Asesora de Planeación y Desarrollo Institucional</v>
      </c>
      <c r="J17" s="12" t="str">
        <f aca="false">Base_OAPDI!K75</f>
        <v>Gestión de Proyectos</v>
      </c>
      <c r="K17" s="12" t="str">
        <f aca="false">Base_OAPDI!L75</f>
        <v>Direccionamiento Institucional</v>
      </c>
      <c r="L17" s="12" t="n">
        <f aca="false">Base_OAPDI!N75</f>
        <v>1</v>
      </c>
      <c r="M17" s="12" t="n">
        <f aca="false">Base_OAPDI!P75</f>
        <v>0</v>
      </c>
      <c r="N17" s="12" t="n">
        <f aca="false">Base_OAPDI!Q75</f>
        <v>0</v>
      </c>
      <c r="O17" s="12" t="str">
        <f aca="false">Base_OAPDI!R75</f>
        <v>Formular al menos una acción que contribuya a la meta institucional 2027 de esta meta.</v>
      </c>
      <c r="P17" s="12" t="str">
        <f aca="false">Base_OAPDI!S75</f>
        <v>IMP-17; IMP-20</v>
      </c>
      <c r="Q17" s="11"/>
      <c r="R17" s="11"/>
      <c r="S17" s="11"/>
      <c r="T17" s="18"/>
      <c r="U17" s="18"/>
      <c r="V17" s="11"/>
      <c r="W17" s="11"/>
      <c r="X17" s="11"/>
      <c r="Y17" s="11"/>
      <c r="Z17" s="11"/>
      <c r="AA17" s="11"/>
      <c r="AB17" s="12" t="str">
        <f aca="false">IF(AA17="","",INDEX(Catalogos!$Y$5:$Y$25,MATCH(AA17,L_IMP,0)))</f>
        <v/>
      </c>
      <c r="AC17" s="11"/>
      <c r="AD17" s="11"/>
      <c r="AE17" s="11"/>
      <c r="AF17" s="10" t="str">
        <f aca="false">IF(Q17="","Pendiente por formular",IF(OR(S17="",T17="",U17="",V17="",W17="",X17="",Z17="",AA17=""),"Incompleta: faltan campos obligatorios",IF(OR(NOT(ISNUMBER(T17)),NOT(ISNUMBER(U17))),"Fecha inválida",IF(U17&lt;T17,"La fecha de fin es anterior a la de inicio",IF(OR(YEAR(T17)&lt;&gt;2027,YEAR(U17)&lt;&gt;2027),"Fechas fuera de la vigencia 2027",IF(ISERROR(SEARCH("@itc.edu.co",V17)),"El responsable no tiene correo institucional",IF(ISERROR(SEARCH(Z17,INDEX(Catalogos!$Z$5:$Z$25,MATCH(AA17,L_IMP,0)))),"La dimensión no corresponde al indicador de impacto","OK")))))))</f>
        <v>Pendiente por formular</v>
      </c>
    </row>
    <row r="18" customFormat="false" ht="118.5" hidden="false" customHeight="true" outlineLevel="0" collapsed="false">
      <c r="A18" s="12" t="str">
        <f aca="false">Base_OAPDI!A76</f>
        <v>E2-012</v>
      </c>
      <c r="B18" s="12" t="str">
        <f aca="false">Base_OAPDI!B76</f>
        <v>2.3.1.1</v>
      </c>
      <c r="C18" s="12" t="str">
        <f aca="false">Base_OAPDI!D76</f>
        <v>2.3 Alianzas estratégicas para la investigación</v>
      </c>
      <c r="D18" s="12" t="str">
        <f aca="false">Base_OAPDI!E76</f>
        <v>Contar con cuatro (4) patentes registradas sobre la base de los desarrollos logrados con las alianzas con el sector productivo o institucional.</v>
      </c>
      <c r="E18" s="12" t="str">
        <f aca="false">Base_OAPDI!F76</f>
        <v>N.° de solicitudes y de patentes registradas</v>
      </c>
      <c r="F18" s="12" t="str">
        <f aca="false">Base_OAPDI!G76</f>
        <v>4 patentes</v>
      </c>
      <c r="G18" s="12" t="str">
        <f aca="false">Base_OAPDI!H76</f>
        <v>Sugerido: (2 solicitudes de patente o modelo de utilidad radicadas ante la SIC —avance hacia 4 en 2032— y mantenimiento de la patente vigente)</v>
      </c>
      <c r="H18" s="12" t="str">
        <f aca="false">Base_OAPDI!I76</f>
        <v>A38</v>
      </c>
      <c r="I18" s="12" t="str">
        <f aca="false">Base_OAPDI!J76</f>
        <v>140 · Vicerrectoría de Investigación, Extensión y Transferencia</v>
      </c>
      <c r="J18" s="12" t="str">
        <f aca="false">Base_OAPDI!K76</f>
        <v>Despacho de la VIET</v>
      </c>
      <c r="K18" s="12" t="str">
        <f aca="false">Base_OAPDI!L76</f>
        <v>Investigación</v>
      </c>
      <c r="L18" s="12" t="n">
        <f aca="false">Base_OAPDI!N76</f>
        <v>2</v>
      </c>
      <c r="M18" s="12" t="n">
        <f aca="false">Base_OAPDI!P76</f>
        <v>1</v>
      </c>
      <c r="N18" s="12" t="n">
        <f aca="false">Base_OAPDI!Q76</f>
        <v>0</v>
      </c>
      <c r="O18" s="12" t="str">
        <f aca="false">Base_OAPDI!R76</f>
        <v>Acciones propuestas por la OAPDI (valídelas y formúlelas en esta fila o en Acciones adicionales): A27-045 Formalizar alianzas de codesarrollo con IES, empresas, centros y entidades públicas. Cerrar o reprogramar 1 producto(s) 2026 pendiente(s) de esta meta.</v>
      </c>
      <c r="P18" s="12" t="str">
        <f aca="false">Base_OAPDI!S76</f>
        <v>IMP-17; IMP-20</v>
      </c>
      <c r="Q18" s="11"/>
      <c r="R18" s="11"/>
      <c r="S18" s="11"/>
      <c r="T18" s="18"/>
      <c r="U18" s="18"/>
      <c r="V18" s="11"/>
      <c r="W18" s="11"/>
      <c r="X18" s="11"/>
      <c r="Y18" s="11"/>
      <c r="Z18" s="11"/>
      <c r="AA18" s="11"/>
      <c r="AB18" s="12" t="str">
        <f aca="false">IF(AA18="","",INDEX(Catalogos!$Y$5:$Y$25,MATCH(AA18,L_IMP,0)))</f>
        <v/>
      </c>
      <c r="AC18" s="11"/>
      <c r="AD18" s="11"/>
      <c r="AE18" s="11"/>
      <c r="AF18" s="10" t="str">
        <f aca="false">IF(Q18="","Pendiente por formular",IF(OR(S18="",T18="",U18="",V18="",W18="",X18="",Z18="",AA18=""),"Incompleta: faltan campos obligatorios",IF(OR(NOT(ISNUMBER(T18)),NOT(ISNUMBER(U18))),"Fecha inválida",IF(U18&lt;T18,"La fecha de fin es anterior a la de inicio",IF(OR(YEAR(T18)&lt;&gt;2027,YEAR(U18)&lt;&gt;2027),"Fechas fuera de la vigencia 2027",IF(ISERROR(SEARCH("@itc.edu.co",V18)),"El responsable no tiene correo institucional",IF(ISERROR(SEARCH(Z18,INDEX(Catalogos!$Z$5:$Z$25,MATCH(AA18,L_IMP,0)))),"La dimensión no corresponde al indicador de impacto","OK")))))))</f>
        <v>Pendiente por formular</v>
      </c>
    </row>
    <row r="19" customFormat="false" ht="118.5" hidden="false" customHeight="true" outlineLevel="0" collapsed="false">
      <c r="A19" s="12" t="str">
        <f aca="false">Base_OAPDI!A77</f>
        <v>E2-013</v>
      </c>
      <c r="B19" s="12" t="str">
        <f aca="false">Base_OAPDI!B77</f>
        <v>2.3.1.1</v>
      </c>
      <c r="C19" s="12" t="str">
        <f aca="false">Base_OAPDI!D77</f>
        <v>2.3 Alianzas estratégicas para la investigación</v>
      </c>
      <c r="D19" s="12" t="str">
        <f aca="false">Base_OAPDI!E77</f>
        <v>Contar con cuatro (4) patentes registradas sobre la base de los desarrollos logrados con las alianzas con el sector productivo o institucional.</v>
      </c>
      <c r="E19" s="12" t="str">
        <f aca="false">Base_OAPDI!F77</f>
        <v>N.° de solicitudes y de patentes registradas</v>
      </c>
      <c r="F19" s="12" t="str">
        <f aca="false">Base_OAPDI!G77</f>
        <v>4 patentes</v>
      </c>
      <c r="G19" s="12" t="str">
        <f aca="false">Base_OAPDI!H77</f>
        <v>Sugerido: (2 solicitudes de patente o modelo de utilidad radicadas ante la SIC —avance hacia 4 en 2032— y mantenimiento de la patente vigente)</v>
      </c>
      <c r="H19" s="12" t="str">
        <f aca="false">Base_OAPDI!I77</f>
        <v>A39</v>
      </c>
      <c r="I19" s="12" t="str">
        <f aca="false">Base_OAPDI!J77</f>
        <v>140 · Vicerrectoría de Investigación, Extensión y Transferencia</v>
      </c>
      <c r="J19" s="12" t="str">
        <f aca="false">Base_OAPDI!K77</f>
        <v>Investigación (grupos, semilleros, revista, centro de pensamiento)</v>
      </c>
      <c r="K19" s="12" t="str">
        <f aca="false">Base_OAPDI!L77</f>
        <v>Investigación</v>
      </c>
      <c r="L19" s="12" t="n">
        <f aca="false">Base_OAPDI!N77</f>
        <v>7</v>
      </c>
      <c r="M19" s="12" t="n">
        <f aca="false">Base_OAPDI!P77</f>
        <v>6</v>
      </c>
      <c r="N19" s="12" t="n">
        <f aca="false">Base_OAPDI!Q77</f>
        <v>0</v>
      </c>
      <c r="O19" s="12" t="str">
        <f aca="false">Base_OAPDI!R77</f>
        <v>Cerrar o reprogramar 6 producto(s) 2026 pendiente(s) de esta meta.</v>
      </c>
      <c r="P19" s="12" t="str">
        <f aca="false">Base_OAPDI!S77</f>
        <v>IMP-17; IMP-20</v>
      </c>
      <c r="Q19" s="11"/>
      <c r="R19" s="11"/>
      <c r="S19" s="11"/>
      <c r="T19" s="18"/>
      <c r="U19" s="18"/>
      <c r="V19" s="11"/>
      <c r="W19" s="11"/>
      <c r="X19" s="11"/>
      <c r="Y19" s="11"/>
      <c r="Z19" s="11"/>
      <c r="AA19" s="11"/>
      <c r="AB19" s="12" t="str">
        <f aca="false">IF(AA19="","",INDEX(Catalogos!$Y$5:$Y$25,MATCH(AA19,L_IMP,0)))</f>
        <v/>
      </c>
      <c r="AC19" s="11"/>
      <c r="AD19" s="11"/>
      <c r="AE19" s="11"/>
      <c r="AF19" s="10" t="str">
        <f aca="false">IF(Q19="","Pendiente por formular",IF(OR(S19="",T19="",U19="",V19="",W19="",X19="",Z19="",AA19=""),"Incompleta: faltan campos obligatorios",IF(OR(NOT(ISNUMBER(T19)),NOT(ISNUMBER(U19))),"Fecha inválida",IF(U19&lt;T19,"La fecha de fin es anterior a la de inicio",IF(OR(YEAR(T19)&lt;&gt;2027,YEAR(U19)&lt;&gt;2027),"Fechas fuera de la vigencia 2027",IF(ISERROR(SEARCH("@itc.edu.co",V19)),"El responsable no tiene correo institucional",IF(ISERROR(SEARCH(Z19,INDEX(Catalogos!$Z$5:$Z$25,MATCH(AA19,L_IMP,0)))),"La dimensión no corresponde al indicador de impacto","OK")))))))</f>
        <v>Pendiente por formular</v>
      </c>
    </row>
    <row r="20" customFormat="false" ht="118.5" hidden="false" customHeight="true" outlineLevel="0" collapsed="false">
      <c r="A20" s="12" t="str">
        <f aca="false">Base_OAPDI!A78</f>
        <v>E2-014</v>
      </c>
      <c r="B20" s="12" t="str">
        <f aca="false">Base_OAPDI!B78</f>
        <v>2.3.1.1</v>
      </c>
      <c r="C20" s="12" t="str">
        <f aca="false">Base_OAPDI!D78</f>
        <v>2.3 Alianzas estratégicas para la investigación</v>
      </c>
      <c r="D20" s="12" t="str">
        <f aca="false">Base_OAPDI!E78</f>
        <v>Contar con cuatro (4) patentes registradas sobre la base de los desarrollos logrados con las alianzas con el sector productivo o institucional.</v>
      </c>
      <c r="E20" s="12" t="str">
        <f aca="false">Base_OAPDI!F78</f>
        <v>N.° de solicitudes y de patentes registradas</v>
      </c>
      <c r="F20" s="12" t="str">
        <f aca="false">Base_OAPDI!G78</f>
        <v>4 patentes</v>
      </c>
      <c r="G20" s="12" t="str">
        <f aca="false">Base_OAPDI!H78</f>
        <v>Sugerido: (2 solicitudes de patente o modelo de utilidad radicadas ante la SIC —avance hacia 4 en 2032— y mantenimiento de la patente vigente)</v>
      </c>
      <c r="H20" s="12" t="str">
        <f aca="false">Base_OAPDI!I78</f>
        <v>A40</v>
      </c>
      <c r="I20" s="12" t="str">
        <f aca="false">Base_OAPDI!J78</f>
        <v>140 · Vicerrectoría de Investigación, Extensión y Transferencia</v>
      </c>
      <c r="J20" s="12" t="str">
        <f aca="false">Base_OAPDI!K78</f>
        <v>Innovación y Laboratorio Inteligente</v>
      </c>
      <c r="K20" s="12" t="str">
        <f aca="false">Base_OAPDI!L78</f>
        <v>Investigación</v>
      </c>
      <c r="L20" s="12" t="n">
        <f aca="false">Base_OAPDI!N78</f>
        <v>10</v>
      </c>
      <c r="M20" s="12" t="n">
        <f aca="false">Base_OAPDI!P78</f>
        <v>9</v>
      </c>
      <c r="N20" s="12" t="n">
        <f aca="false">Base_OAPDI!Q78</f>
        <v>1</v>
      </c>
      <c r="O20" s="12" t="str">
        <f aca="false">Base_OAPDI!R78</f>
        <v>Acciones propuestas por la OAPDI (valídelas y formúlelas en esta fila o en Acciones adicionales): A27-044 Identificar desarrollos patentables aplicando el reglamento de propiedad intelectual; A27-046 Radicar las solicitudes de patente o modelo de utilidad ante la SIC; A27-047 Pagar la anualidad de la patente vigente y atender los requerimientos de la SIC. Cerrar o reprogramar 9 producto(s) 2026 pendiente(s) de esta meta. Atender 1 compromiso(s) de proyectos estructurantes (hoja Compromisos_2026).</v>
      </c>
      <c r="P20" s="12" t="str">
        <f aca="false">Base_OAPDI!S78</f>
        <v>IMP-17; IMP-20</v>
      </c>
      <c r="Q20" s="11"/>
      <c r="R20" s="11"/>
      <c r="S20" s="11"/>
      <c r="T20" s="18"/>
      <c r="U20" s="18"/>
      <c r="V20" s="11"/>
      <c r="W20" s="11"/>
      <c r="X20" s="11"/>
      <c r="Y20" s="11"/>
      <c r="Z20" s="11"/>
      <c r="AA20" s="11"/>
      <c r="AB20" s="12" t="str">
        <f aca="false">IF(AA20="","",INDEX(Catalogos!$Y$5:$Y$25,MATCH(AA20,L_IMP,0)))</f>
        <v/>
      </c>
      <c r="AC20" s="11"/>
      <c r="AD20" s="11"/>
      <c r="AE20" s="11"/>
      <c r="AF20" s="10" t="str">
        <f aca="false">IF(Q20="","Pendiente por formular",IF(OR(S20="",T20="",U20="",V20="",W20="",X20="",Z20="",AA20=""),"Incompleta: faltan campos obligatorios",IF(OR(NOT(ISNUMBER(T20)),NOT(ISNUMBER(U20))),"Fecha inválida",IF(U20&lt;T20,"La fecha de fin es anterior a la de inicio",IF(OR(YEAR(T20)&lt;&gt;2027,YEAR(U20)&lt;&gt;2027),"Fechas fuera de la vigencia 2027",IF(ISERROR(SEARCH("@itc.edu.co",V20)),"El responsable no tiene correo institucional",IF(ISERROR(SEARCH(Z20,INDEX(Catalogos!$Z$5:$Z$25,MATCH(AA20,L_IMP,0)))),"La dimensión no corresponde al indicador de impacto","OK")))))))</f>
        <v>Pendiente por formular</v>
      </c>
    </row>
    <row r="21" customFormat="false" ht="78.75" hidden="false" customHeight="true" outlineLevel="0" collapsed="false">
      <c r="A21" s="12" t="str">
        <f aca="false">Base_OAPDI!A79</f>
        <v>E2-015</v>
      </c>
      <c r="B21" s="12" t="str">
        <f aca="false">Base_OAPDI!B79</f>
        <v>2.4.1.1</v>
      </c>
      <c r="C21" s="12" t="str">
        <f aca="false">Base_OAPDI!D79</f>
        <v>2.4 Vinculación de lo investigativo con lo académico</v>
      </c>
      <c r="D21" s="12" t="str">
        <f aca="false">Base_OAPDI!E79</f>
        <v>Contar con un (1) centro de pensamiento y desarrollo tecnológico registrado en Colciencias (MinCiencias) y articulado con el Parque Tecnológico de Funza.</v>
      </c>
      <c r="E21" s="12" t="str">
        <f aca="false">Base_OAPDI!F79</f>
        <v>Centro de pensamiento reconocido por MinCiencias (fase de avance)</v>
      </c>
      <c r="F21" s="12" t="str">
        <f aca="false">Base_OAPDI!G79</f>
        <v>1 centro reconocido</v>
      </c>
      <c r="G21" s="12" t="str">
        <f aca="false">Base_OAPDI!H79</f>
        <v>Puesta en marcha del Centro de Pensamiento</v>
      </c>
      <c r="H21" s="12" t="str">
        <f aca="false">Base_OAPDI!I79</f>
        <v>A39</v>
      </c>
      <c r="I21" s="12" t="str">
        <f aca="false">Base_OAPDI!J79</f>
        <v>140 · Vicerrectoría de Investigación, Extensión y Transferencia</v>
      </c>
      <c r="J21" s="12" t="str">
        <f aca="false">Base_OAPDI!K79</f>
        <v>Investigación (grupos, semilleros, revista, centro de pensamiento)</v>
      </c>
      <c r="K21" s="12" t="str">
        <f aca="false">Base_OAPDI!L79</f>
        <v>Investigación</v>
      </c>
      <c r="L21" s="12" t="n">
        <f aca="false">Base_OAPDI!N79</f>
        <v>35</v>
      </c>
      <c r="M21" s="12" t="n">
        <f aca="false">Base_OAPDI!P79</f>
        <v>21</v>
      </c>
      <c r="N21" s="12" t="n">
        <f aca="false">Base_OAPDI!Q79</f>
        <v>1</v>
      </c>
      <c r="O21" s="12" t="str">
        <f aca="false">Base_OAPDI!R79</f>
        <v>Acciones propuestas por la OAPDI (valídelas y formúlelas en esta fila o en Acciones adicionales): A27-048 Completar las etapas del proceso de reconocimiento ante MinCiencias; A27-049 Poner en marcha el Centro de Pensamiento articulado con el Ecoparque de Funza; A27-050 Reprogramar los productos de Semilleros. Cerrar o reprogramar 21 producto(s) 2026 pendiente(s) de esta meta. Atender 1 compromiso(s) de proyectos estructurantes (hoja Compromisos_2026).</v>
      </c>
      <c r="P21" s="12" t="str">
        <f aca="false">Base_OAPDI!S79</f>
        <v>IMP-20; IMP-03</v>
      </c>
      <c r="Q21" s="11"/>
      <c r="R21" s="11"/>
      <c r="S21" s="11"/>
      <c r="T21" s="18"/>
      <c r="U21" s="18"/>
      <c r="V21" s="11"/>
      <c r="W21" s="11"/>
      <c r="X21" s="11"/>
      <c r="Y21" s="11"/>
      <c r="Z21" s="11"/>
      <c r="AA21" s="11"/>
      <c r="AB21" s="12" t="str">
        <f aca="false">IF(AA21="","",INDEX(Catalogos!$Y$5:$Y$25,MATCH(AA21,L_IMP,0)))</f>
        <v/>
      </c>
      <c r="AC21" s="11"/>
      <c r="AD21" s="11"/>
      <c r="AE21" s="11"/>
      <c r="AF21" s="10" t="str">
        <f aca="false">IF(Q21="","Pendiente por formular",IF(OR(S21="",T21="",U21="",V21="",W21="",X21="",Z21="",AA21=""),"Incompleta: faltan campos obligatorios",IF(OR(NOT(ISNUMBER(T21)),NOT(ISNUMBER(U21))),"Fecha inválida",IF(U21&lt;T21,"La fecha de fin es anterior a la de inicio",IF(OR(YEAR(T21)&lt;&gt;2027,YEAR(U21)&lt;&gt;2027),"Fechas fuera de la vigencia 2027",IF(ISERROR(SEARCH("@itc.edu.co",V21)),"El responsable no tiene correo institucional",IF(ISERROR(SEARCH(Z21,INDEX(Catalogos!$Z$5:$Z$25,MATCH(AA21,L_IMP,0)))),"La dimensión no corresponde al indicador de impacto","OK")))))))</f>
        <v>Pendiente por formular</v>
      </c>
    </row>
    <row r="22" customFormat="false" ht="52.5" hidden="false" customHeight="true" outlineLevel="0" collapsed="false">
      <c r="A22" s="12" t="str">
        <f aca="false">Base_OAPDI!A80</f>
        <v>E2-016</v>
      </c>
      <c r="B22" s="12" t="str">
        <f aca="false">Base_OAPDI!B80</f>
        <v>2.4.1.1</v>
      </c>
      <c r="C22" s="12" t="str">
        <f aca="false">Base_OAPDI!D80</f>
        <v>2.4 Vinculación de lo investigativo con lo académico</v>
      </c>
      <c r="D22" s="12" t="str">
        <f aca="false">Base_OAPDI!E80</f>
        <v>Contar con un (1) centro de pensamiento y desarrollo tecnológico registrado en Colciencias (MinCiencias) y articulado con el Parque Tecnológico de Funza.</v>
      </c>
      <c r="E22" s="12" t="str">
        <f aca="false">Base_OAPDI!F80</f>
        <v>Centro de pensamiento reconocido por MinCiencias (fase de avance)</v>
      </c>
      <c r="F22" s="12" t="str">
        <f aca="false">Base_OAPDI!G80</f>
        <v>1 centro reconocido</v>
      </c>
      <c r="G22" s="12" t="str">
        <f aca="false">Base_OAPDI!H80</f>
        <v>Puesta en marcha del Centro de Pensamiento</v>
      </c>
      <c r="H22" s="12" t="str">
        <f aca="false">Base_OAPDI!I80</f>
        <v>A40</v>
      </c>
      <c r="I22" s="12" t="str">
        <f aca="false">Base_OAPDI!J80</f>
        <v>140 · Vicerrectoría de Investigación, Extensión y Transferencia</v>
      </c>
      <c r="J22" s="12" t="str">
        <f aca="false">Base_OAPDI!K80</f>
        <v>Innovación y Laboratorio Inteligente</v>
      </c>
      <c r="K22" s="12" t="str">
        <f aca="false">Base_OAPDI!L80</f>
        <v>Investigación</v>
      </c>
      <c r="L22" s="12" t="n">
        <f aca="false">Base_OAPDI!N80</f>
        <v>7</v>
      </c>
      <c r="M22" s="12" t="n">
        <f aca="false">Base_OAPDI!P80</f>
        <v>2</v>
      </c>
      <c r="N22" s="12" t="n">
        <f aca="false">Base_OAPDI!Q80</f>
        <v>0</v>
      </c>
      <c r="O22" s="12" t="str">
        <f aca="false">Base_OAPDI!R80</f>
        <v>Cerrar o reprogramar 2 producto(s) 2026 pendiente(s) de esta meta.</v>
      </c>
      <c r="P22" s="12" t="str">
        <f aca="false">Base_OAPDI!S80</f>
        <v>IMP-20; IMP-03</v>
      </c>
      <c r="Q22" s="11"/>
      <c r="R22" s="11"/>
      <c r="S22" s="11"/>
      <c r="T22" s="18"/>
      <c r="U22" s="18"/>
      <c r="V22" s="11"/>
      <c r="W22" s="11"/>
      <c r="X22" s="11"/>
      <c r="Y22" s="11"/>
      <c r="Z22" s="11"/>
      <c r="AA22" s="11"/>
      <c r="AB22" s="12" t="str">
        <f aca="false">IF(AA22="","",INDEX(Catalogos!$Y$5:$Y$25,MATCH(AA22,L_IMP,0)))</f>
        <v/>
      </c>
      <c r="AC22" s="11"/>
      <c r="AD22" s="11"/>
      <c r="AE22" s="11"/>
      <c r="AF22" s="10" t="str">
        <f aca="false">IF(Q22="","Pendiente por formular",IF(OR(S22="",T22="",U22="",V22="",W22="",X22="",Z22="",AA22=""),"Incompleta: faltan campos obligatorios",IF(OR(NOT(ISNUMBER(T22)),NOT(ISNUMBER(U22))),"Fecha inválida",IF(U22&lt;T22,"La fecha de fin es anterior a la de inicio",IF(OR(YEAR(T22)&lt;&gt;2027,YEAR(U22)&lt;&gt;2027),"Fechas fuera de la vigencia 2027",IF(ISERROR(SEARCH("@itc.edu.co",V22)),"El responsable no tiene correo institucional",IF(ISERROR(SEARCH(Z22,INDEX(Catalogos!$Z$5:$Z$25,MATCH(AA22,L_IMP,0)))),"La dimensión no corresponde al indicador de impacto","OK")))))))</f>
        <v>Pendiente por formular</v>
      </c>
    </row>
  </sheetData>
  <sheetProtection sheet="true" password="cc6d" formatColumns="false" formatRows="false" autoFilter="false"/>
  <autoFilter ref="A6:AF22"/>
  <mergeCells count="3">
    <mergeCell ref="A2:P2"/>
    <mergeCell ref="A5:P5"/>
    <mergeCell ref="Q5:AE5"/>
  </mergeCells>
  <conditionalFormatting sqref="AF7:AF22">
    <cfRule type="expression" priority="2" aboveAverage="0" equalAverage="0" bottom="0" percent="0" rank="0" text="" dxfId="5">
      <formula>AF7="OK"</formula>
    </cfRule>
    <cfRule type="expression" priority="3" aboveAverage="0" equalAverage="0" bottom="0" percent="0" rank="0" text="" dxfId="6">
      <formula>LEFT(AF7,9)="Pendiente"</formula>
    </cfRule>
    <cfRule type="expression" priority="4" aboveAverage="0" equalAverage="0" bottom="0" percent="0" rank="0" text="" dxfId="7">
      <formula>AND(AF7&lt;&gt;"OK",LEFT(AF7,9)&lt;&gt;"Pendiente")</formula>
    </cfRule>
  </conditionalFormatting>
  <dataValidations count="5">
    <dataValidation allowBlank="true" error="Escriba el correo institucional (@itc.edu.co) del responsable." errorStyle="stop" errorTitle="Correo no institucional" operator="between" showDropDown="false" showErrorMessage="true" showInputMessage="false" sqref="V7:V22" type="custom">
      <formula1>ISNUMBER(SEARCH("@itc.edu.co",V7))</formula1>
      <formula2>0</formula2>
    </dataValidation>
    <dataValidation allowBlank="true" errorStyle="stop" operator="between" showDropDown="false" showErrorMessage="false" showInputMessage="false" sqref="AC7:AC22" type="list">
      <formula1>L_SINO</formula1>
      <formula2>0</formula2>
    </dataValidation>
    <dataValidation allowBlank="true" error="Seleccione un indicador de la Guía Metodológica." errorStyle="stop" errorTitle="Indicador no válido" operator="between" showDropDown="false" showErrorMessage="true" showInputMessage="false" sqref="AA7:AA22" type="list">
      <formula1>L_IMP</formula1>
      <formula2>0</formula2>
    </dataValidation>
    <dataValidation allowBlank="true" errorStyle="stop" operator="between" showDropDown="false" showErrorMessage="false" showInputMessage="false" sqref="Z7:Z22" type="list">
      <formula1>L_DIM</formula1>
      <formula2>0</formula2>
    </dataValidation>
    <dataValidation allowBlank="true" error="Use una fecha entre el 01/01/2027 y el 31/12/2027." errorStyle="stop" errorTitle="Fecha fuera de vigencia" operator="between" showDropDown="false" showErrorMessage="true" showInputMessage="false" sqref="T7:U22" type="date">
      <formula1>DATE(2027,1,1)</formula1>
      <formula2>DATE(2027,12,31)</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F2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4" ySplit="6" topLeftCell="E7" activePane="bottomRight" state="frozen"/>
      <selection pane="topLeft" activeCell="A1" activeCellId="0" sqref="A1"/>
      <selection pane="topRight" activeCell="E1" activeCellId="0" sqref="E1"/>
      <selection pane="bottomLeft" activeCell="A7" activeCellId="0" sqref="A7"/>
      <selection pane="bottomRight" activeCell="A1" activeCellId="0" sqref="A1"/>
    </sheetView>
  </sheetViews>
  <sheetFormatPr defaultColWidth="8.66796875" defaultRowHeight="14.25" zeroHeight="false" outlineLevelRow="0" outlineLevelCol="0"/>
  <cols>
    <col collapsed="false" customWidth="true" hidden="false" outlineLevel="0" max="1" min="1" style="0" width="10"/>
    <col collapsed="false" customWidth="true" hidden="false" outlineLevel="0" max="2" min="2" style="0" width="9"/>
    <col collapsed="false" customWidth="true" hidden="false" outlineLevel="0" max="3" min="3" style="0" width="24"/>
    <col collapsed="false" customWidth="true" hidden="false" outlineLevel="0" max="4" min="4" style="0" width="40"/>
    <col collapsed="false" customWidth="true" hidden="false" outlineLevel="0" max="5" min="5" style="0" width="26"/>
    <col collapsed="false" customWidth="true" hidden="false" outlineLevel="0" max="7" min="6" style="0" width="18"/>
    <col collapsed="false" customWidth="true" hidden="false" outlineLevel="0" max="8" min="8" style="0" width="7"/>
    <col collapsed="false" customWidth="true" hidden="false" outlineLevel="0" max="9" min="9" style="0" width="28"/>
    <col collapsed="false" customWidth="true" hidden="false" outlineLevel="0" max="10" min="10" style="0" width="26"/>
    <col collapsed="false" customWidth="true" hidden="false" outlineLevel="0" max="11" min="11" style="0" width="22"/>
    <col collapsed="false" customWidth="true" hidden="false" outlineLevel="0" max="12" min="12" style="0" width="9"/>
    <col collapsed="false" customWidth="true" hidden="false" outlineLevel="0" max="13" min="13" style="0" width="10"/>
    <col collapsed="false" customWidth="true" hidden="false" outlineLevel="0" max="14" min="14" style="0" width="11"/>
    <col collapsed="false" customWidth="true" hidden="false" outlineLevel="0" max="15" min="15" style="0" width="34"/>
    <col collapsed="false" customWidth="true" hidden="false" outlineLevel="0" max="16" min="16" style="0" width="18"/>
    <col collapsed="false" customWidth="true" hidden="false" outlineLevel="0" max="17" min="17" style="0" width="32"/>
    <col collapsed="false" customWidth="true" hidden="false" outlineLevel="0" max="18" min="18" style="0" width="40"/>
    <col collapsed="false" customWidth="true" hidden="false" outlineLevel="0" max="19" min="19" style="0" width="30"/>
    <col collapsed="false" customWidth="true" hidden="false" outlineLevel="0" max="21" min="20" style="0" width="12"/>
    <col collapsed="false" customWidth="true" hidden="false" outlineLevel="0" max="22" min="22" style="0" width="26"/>
    <col collapsed="false" customWidth="true" hidden="false" outlineLevel="0" max="23" min="23" style="0" width="28"/>
    <col collapsed="false" customWidth="true" hidden="false" outlineLevel="0" max="25" min="24" style="0" width="12"/>
    <col collapsed="false" customWidth="true" hidden="false" outlineLevel="0" max="26" min="26" style="0" width="16"/>
    <col collapsed="false" customWidth="true" hidden="false" outlineLevel="0" max="27" min="27" style="0" width="40"/>
    <col collapsed="false" customWidth="true" hidden="false" outlineLevel="0" max="28" min="28" style="0" width="30"/>
    <col collapsed="false" customWidth="true" hidden="false" outlineLevel="0" max="29" min="29" style="0" width="14"/>
    <col collapsed="false" customWidth="true" hidden="false" outlineLevel="0" max="30" min="30" style="0" width="30"/>
    <col collapsed="false" customWidth="true" hidden="false" outlineLevel="0" max="31" min="31" style="0" width="28"/>
    <col collapsed="false" customWidth="true" hidden="false" outlineLevel="0" max="32" min="32" style="0" width="30"/>
  </cols>
  <sheetData>
    <row r="1" customFormat="false" ht="17.25" hidden="false" customHeight="true" outlineLevel="0" collapsed="false">
      <c r="A1" s="7" t="s">
        <v>596</v>
      </c>
    </row>
    <row r="2" customFormat="false" ht="30" hidden="false" customHeight="true" outlineLevel="0" collapsed="false">
      <c r="A2" s="2" t="s">
        <v>597</v>
      </c>
      <c r="B2" s="2"/>
      <c r="C2" s="2"/>
      <c r="D2" s="2"/>
      <c r="E2" s="2"/>
      <c r="F2" s="2"/>
      <c r="G2" s="2"/>
      <c r="H2" s="2"/>
      <c r="I2" s="2"/>
      <c r="J2" s="2"/>
      <c r="K2" s="2"/>
      <c r="L2" s="2"/>
      <c r="M2" s="2"/>
      <c r="N2" s="2"/>
      <c r="O2" s="2"/>
      <c r="P2" s="2"/>
    </row>
    <row r="3" customFormat="false" ht="14.25" hidden="false" customHeight="false" outlineLevel="0" collapsed="false">
      <c r="A3" s="15" t="s">
        <v>584</v>
      </c>
    </row>
    <row r="5" customFormat="false" ht="15" hidden="false" customHeight="true" outlineLevel="0" collapsed="false">
      <c r="A5" s="19" t="s">
        <v>585</v>
      </c>
      <c r="B5" s="19"/>
      <c r="C5" s="19"/>
      <c r="D5" s="19"/>
      <c r="E5" s="19"/>
      <c r="F5" s="19"/>
      <c r="G5" s="19"/>
      <c r="H5" s="19"/>
      <c r="I5" s="19"/>
      <c r="J5" s="19"/>
      <c r="K5" s="19"/>
      <c r="L5" s="19"/>
      <c r="M5" s="19"/>
      <c r="N5" s="19"/>
      <c r="O5" s="19"/>
      <c r="P5" s="19"/>
      <c r="Q5" s="20" t="s">
        <v>586</v>
      </c>
      <c r="R5" s="20"/>
      <c r="S5" s="20"/>
      <c r="T5" s="20"/>
      <c r="U5" s="20"/>
      <c r="V5" s="20"/>
      <c r="W5" s="20"/>
      <c r="X5" s="20"/>
      <c r="Y5" s="20"/>
      <c r="Z5" s="20"/>
      <c r="AA5" s="20"/>
      <c r="AB5" s="20"/>
      <c r="AC5" s="20"/>
      <c r="AD5" s="20"/>
      <c r="AE5" s="20"/>
      <c r="AF5" s="21" t="s">
        <v>587</v>
      </c>
    </row>
    <row r="6" customFormat="false" ht="42" hidden="false" customHeight="true" outlineLevel="0" collapsed="false">
      <c r="A6" s="22" t="s">
        <v>552</v>
      </c>
      <c r="B6" s="22" t="s">
        <v>553</v>
      </c>
      <c r="C6" s="22" t="s">
        <v>568</v>
      </c>
      <c r="D6" s="22" t="s">
        <v>554</v>
      </c>
      <c r="E6" s="22" t="s">
        <v>588</v>
      </c>
      <c r="F6" s="22" t="s">
        <v>589</v>
      </c>
      <c r="G6" s="22" t="s">
        <v>555</v>
      </c>
      <c r="H6" s="22" t="s">
        <v>590</v>
      </c>
      <c r="I6" s="22" t="s">
        <v>45</v>
      </c>
      <c r="J6" s="22" t="s">
        <v>44</v>
      </c>
      <c r="K6" s="22" t="s">
        <v>591</v>
      </c>
      <c r="L6" s="22" t="s">
        <v>592</v>
      </c>
      <c r="M6" s="22" t="s">
        <v>558</v>
      </c>
      <c r="N6" s="22" t="s">
        <v>593</v>
      </c>
      <c r="O6" s="22" t="s">
        <v>556</v>
      </c>
      <c r="P6" s="22" t="s">
        <v>559</v>
      </c>
      <c r="Q6" s="17" t="s">
        <v>21</v>
      </c>
      <c r="R6" s="17" t="s">
        <v>570</v>
      </c>
      <c r="S6" s="17" t="s">
        <v>23</v>
      </c>
      <c r="T6" s="17" t="s">
        <v>571</v>
      </c>
      <c r="U6" s="17" t="s">
        <v>572</v>
      </c>
      <c r="V6" s="17" t="s">
        <v>573</v>
      </c>
      <c r="W6" s="17" t="s">
        <v>574</v>
      </c>
      <c r="X6" s="17" t="s">
        <v>575</v>
      </c>
      <c r="Y6" s="17" t="s">
        <v>576</v>
      </c>
      <c r="Z6" s="17" t="s">
        <v>577</v>
      </c>
      <c r="AA6" s="17" t="s">
        <v>578</v>
      </c>
      <c r="AB6" s="17" t="s">
        <v>579</v>
      </c>
      <c r="AC6" s="17" t="s">
        <v>580</v>
      </c>
      <c r="AD6" s="17" t="s">
        <v>35</v>
      </c>
      <c r="AE6" s="17" t="s">
        <v>55</v>
      </c>
      <c r="AF6" s="8" t="s">
        <v>581</v>
      </c>
    </row>
    <row r="7" customFormat="false" ht="158.25" hidden="false" customHeight="true" outlineLevel="0" collapsed="false">
      <c r="A7" s="12" t="str">
        <f aca="false">Base_OAPDI!A81</f>
        <v>E3-001</v>
      </c>
      <c r="B7" s="12" t="str">
        <f aca="false">Base_OAPDI!B81</f>
        <v>3.1.1.1</v>
      </c>
      <c r="C7" s="12" t="str">
        <f aca="false">Base_OAPDI!D81</f>
        <v>3.1 Autonomía y posicionamiento de la Extensión y Proyección Institucional</v>
      </c>
      <c r="D7" s="12" t="str">
        <f aca="false">Base_OAPDI!E81</f>
        <v>Disponer a mediano plazo de una vicerrectoría de extensión y proyección social.</v>
      </c>
      <c r="E7" s="12" t="str">
        <f aca="false">Base_OAPDI!F81</f>
        <v>Modelo de gestión autónoma de la extensión adoptado y operando (fase)</v>
      </c>
      <c r="F7" s="12" t="str">
        <f aca="false">Base_OAPDI!G81</f>
        <v>Sugerido: (extensión con autonomía administrativa y financiera operando desde el GIT de Extensión y Proyección Social, sin crear una nueva vicerrectoría)</v>
      </c>
      <c r="G7" s="12" t="str">
        <f aca="false">Base_OAPDI!H81</f>
        <v>Sugerido: (modelo de gestión autónoma de la extensión adoptado por acto administrativo: estatuto de extensión actualizado, centro de costos propio del GIT y procedimientos de la extensión en el SGC)</v>
      </c>
      <c r="H7" s="12" t="str">
        <f aca="false">Base_OAPDI!I81</f>
        <v>A38</v>
      </c>
      <c r="I7" s="12" t="str">
        <f aca="false">Base_OAPDI!J81</f>
        <v>140 · Vicerrectoría de Investigación, Extensión y Transferencia</v>
      </c>
      <c r="J7" s="12" t="str">
        <f aca="false">Base_OAPDI!K81</f>
        <v>Despacho de la VIET</v>
      </c>
      <c r="K7" s="12" t="str">
        <f aca="false">Base_OAPDI!L81</f>
        <v>Investigación</v>
      </c>
      <c r="L7" s="12" t="n">
        <f aca="false">Base_OAPDI!N81</f>
        <v>0</v>
      </c>
      <c r="M7" s="12" t="n">
        <f aca="false">Base_OAPDI!P81</f>
        <v>0</v>
      </c>
      <c r="N7" s="12" t="n">
        <f aca="false">Base_OAPDI!Q81</f>
        <v>0</v>
      </c>
      <c r="O7" s="12" t="str">
        <f aca="false">Base_OAPDI!R81</f>
        <v>Formular al menos una acción que contribuya a la meta institucional 2027 de esta meta.</v>
      </c>
      <c r="P7" s="12" t="str">
        <f aca="false">Base_OAPDI!S81</f>
        <v>IMP-18; IMP-17</v>
      </c>
      <c r="Q7" s="11"/>
      <c r="R7" s="11"/>
      <c r="S7" s="11"/>
      <c r="T7" s="18"/>
      <c r="U7" s="18"/>
      <c r="V7" s="11"/>
      <c r="W7" s="11"/>
      <c r="X7" s="11"/>
      <c r="Y7" s="11"/>
      <c r="Z7" s="11"/>
      <c r="AA7" s="11"/>
      <c r="AB7" s="12" t="str">
        <f aca="false">IF(AA7="","",INDEX(Catalogos!$Y$5:$Y$25,MATCH(AA7,L_IMP,0)))</f>
        <v/>
      </c>
      <c r="AC7" s="11"/>
      <c r="AD7" s="11"/>
      <c r="AE7" s="11"/>
      <c r="AF7" s="10" t="str">
        <f aca="false">IF(Q7="","Pendiente por formular",IF(OR(S7="",T7="",U7="",V7="",W7="",X7="",Z7="",AA7=""),"Incompleta: faltan campos obligatorios",IF(OR(NOT(ISNUMBER(T7)),NOT(ISNUMBER(U7))),"Fecha inválida",IF(U7&lt;T7,"La fecha de fin es anterior a la de inicio",IF(OR(YEAR(T7)&lt;&gt;2027,YEAR(U7)&lt;&gt;2027),"Fechas fuera de la vigencia 2027",IF(ISERROR(SEARCH("@itc.edu.co",V7)),"El responsable no tiene correo institucional",IF(ISERROR(SEARCH(Z7,INDEX(Catalogos!$Z$5:$Z$25,MATCH(AA7,L_IMP,0)))),"La dimensión no corresponde al indicador de impacto","OK")))))))</f>
        <v>Pendiente por formular</v>
      </c>
    </row>
    <row r="8" customFormat="false" ht="158.25" hidden="false" customHeight="true" outlineLevel="0" collapsed="false">
      <c r="A8" s="12" t="str">
        <f aca="false">Base_OAPDI!A82</f>
        <v>E3-002</v>
      </c>
      <c r="B8" s="12" t="str">
        <f aca="false">Base_OAPDI!B82</f>
        <v>3.1.1.1</v>
      </c>
      <c r="C8" s="12" t="str">
        <f aca="false">Base_OAPDI!D82</f>
        <v>3.1 Autonomía y posicionamiento de la Extensión y Proyección Institucional</v>
      </c>
      <c r="D8" s="12" t="str">
        <f aca="false">Base_OAPDI!E82</f>
        <v>Disponer a mediano plazo de una vicerrectoría de extensión y proyección social.</v>
      </c>
      <c r="E8" s="12" t="str">
        <f aca="false">Base_OAPDI!F82</f>
        <v>Modelo de gestión autónoma de la extensión adoptado y operando (fase)</v>
      </c>
      <c r="F8" s="12" t="str">
        <f aca="false">Base_OAPDI!G82</f>
        <v>Sugerido: (extensión con autonomía administrativa y financiera operando desde el GIT de Extensión y Proyección Social, sin crear una nueva vicerrectoría)</v>
      </c>
      <c r="G8" s="12" t="str">
        <f aca="false">Base_OAPDI!H82</f>
        <v>Sugerido: (modelo de gestión autónoma de la extensión adoptado por acto administrativo: estatuto de extensión actualizado, centro de costos propio del GIT y procedimientos de la extensión en el SGC)</v>
      </c>
      <c r="H8" s="12" t="str">
        <f aca="false">Base_OAPDI!I82</f>
        <v>A41</v>
      </c>
      <c r="I8" s="12" t="str">
        <f aca="false">Base_OAPDI!J82</f>
        <v>141 · GIT Extensión y Proyección Social</v>
      </c>
      <c r="J8" s="12" t="str">
        <f aca="false">Base_OAPDI!K82</f>
        <v>GIT Extensión y Proyección Social (incluye ETDH)</v>
      </c>
      <c r="K8" s="12" t="str">
        <f aca="false">Base_OAPDI!L82</f>
        <v>Extensión y Proyección Social</v>
      </c>
      <c r="L8" s="12" t="n">
        <f aca="false">Base_OAPDI!N82</f>
        <v>0</v>
      </c>
      <c r="M8" s="12" t="n">
        <f aca="false">Base_OAPDI!P82</f>
        <v>0</v>
      </c>
      <c r="N8" s="12" t="n">
        <f aca="false">Base_OAPDI!Q82</f>
        <v>0</v>
      </c>
      <c r="O8" s="12" t="str">
        <f aca="false">Base_OAPDI!R82</f>
        <v>Acciones propuestas por la OAPDI (valídelas y formúlelas en esta fila o en Acciones adicionales): A27-051 Actualizar el estatuto o reglamento de extensión con las reglas de autonomía del GIT (contratación de servicios, precios, excedentes); A27-053 Documentar y codificar en el SGC los procedimientos de la extensión.</v>
      </c>
      <c r="P8" s="12" t="str">
        <f aca="false">Base_OAPDI!S82</f>
        <v>IMP-18; IMP-17</v>
      </c>
      <c r="Q8" s="11"/>
      <c r="R8" s="11"/>
      <c r="S8" s="11"/>
      <c r="T8" s="18"/>
      <c r="U8" s="18"/>
      <c r="V8" s="11"/>
      <c r="W8" s="11"/>
      <c r="X8" s="11"/>
      <c r="Y8" s="11"/>
      <c r="Z8" s="11"/>
      <c r="AA8" s="11"/>
      <c r="AB8" s="12" t="str">
        <f aca="false">IF(AA8="","",INDEX(Catalogos!$Y$5:$Y$25,MATCH(AA8,L_IMP,0)))</f>
        <v/>
      </c>
      <c r="AC8" s="11"/>
      <c r="AD8" s="11"/>
      <c r="AE8" s="11"/>
      <c r="AF8" s="10" t="str">
        <f aca="false">IF(Q8="","Pendiente por formular",IF(OR(S8="",T8="",U8="",V8="",W8="",X8="",Z8="",AA8=""),"Incompleta: faltan campos obligatorios",IF(OR(NOT(ISNUMBER(T8)),NOT(ISNUMBER(U8))),"Fecha inválida",IF(U8&lt;T8,"La fecha de fin es anterior a la de inicio",IF(OR(YEAR(T8)&lt;&gt;2027,YEAR(U8)&lt;&gt;2027),"Fechas fuera de la vigencia 2027",IF(ISERROR(SEARCH("@itc.edu.co",V8)),"El responsable no tiene correo institucional",IF(ISERROR(SEARCH(Z8,INDEX(Catalogos!$Z$5:$Z$25,MATCH(AA8,L_IMP,0)))),"La dimensión no corresponde al indicador de impacto","OK")))))))</f>
        <v>Pendiente por formular</v>
      </c>
    </row>
    <row r="9" customFormat="false" ht="158.25" hidden="false" customHeight="true" outlineLevel="0" collapsed="false">
      <c r="A9" s="12" t="str">
        <f aca="false">Base_OAPDI!A83</f>
        <v>E3-003</v>
      </c>
      <c r="B9" s="12" t="str">
        <f aca="false">Base_OAPDI!B83</f>
        <v>3.1.1.1</v>
      </c>
      <c r="C9" s="12" t="str">
        <f aca="false">Base_OAPDI!D83</f>
        <v>3.1 Autonomía y posicionamiento de la Extensión y Proyección Institucional</v>
      </c>
      <c r="D9" s="12" t="str">
        <f aca="false">Base_OAPDI!E83</f>
        <v>Disponer a mediano plazo de una vicerrectoría de extensión y proyección social.</v>
      </c>
      <c r="E9" s="12" t="str">
        <f aca="false">Base_OAPDI!F83</f>
        <v>Modelo de gestión autónoma de la extensión adoptado y operando (fase)</v>
      </c>
      <c r="F9" s="12" t="str">
        <f aca="false">Base_OAPDI!G83</f>
        <v>Sugerido: (extensión con autonomía administrativa y financiera operando desde el GIT de Extensión y Proyección Social, sin crear una nueva vicerrectoría)</v>
      </c>
      <c r="G9" s="12" t="str">
        <f aca="false">Base_OAPDI!H83</f>
        <v>Sugerido: (modelo de gestión autónoma de la extensión adoptado por acto administrativo: estatuto de extensión actualizado, centro de costos propio del GIT y procedimientos de la extensión en el SGC)</v>
      </c>
      <c r="H9" s="12" t="str">
        <f aca="false">Base_OAPDI!I83</f>
        <v>A47</v>
      </c>
      <c r="I9" s="12" t="str">
        <f aca="false">Base_OAPDI!J83</f>
        <v>130 · Vicerrectoría Administrativa y Financiera</v>
      </c>
      <c r="J9" s="12" t="str">
        <f aca="false">Base_OAPDI!K83</f>
        <v>Gestión Financiera (Presupuesto, Contabilidad, Tesorería)</v>
      </c>
      <c r="K9" s="12" t="str">
        <f aca="false">Base_OAPDI!L83</f>
        <v>Gestión Financiera</v>
      </c>
      <c r="L9" s="12" t="n">
        <f aca="false">Base_OAPDI!N83</f>
        <v>0</v>
      </c>
      <c r="M9" s="12" t="n">
        <f aca="false">Base_OAPDI!P83</f>
        <v>0</v>
      </c>
      <c r="N9" s="12" t="n">
        <f aca="false">Base_OAPDI!Q83</f>
        <v>0</v>
      </c>
      <c r="O9" s="12" t="str">
        <f aca="false">Base_OAPDI!R83</f>
        <v>Acciones propuestas por la OAPDI (valídelas y formúlelas en esta fila o en Acciones adicionales): A27-052 Crear el centro de costos propio de la extensión con Gestión Financiera.</v>
      </c>
      <c r="P9" s="12" t="str">
        <f aca="false">Base_OAPDI!S83</f>
        <v>IMP-18; IMP-17</v>
      </c>
      <c r="Q9" s="11"/>
      <c r="R9" s="11"/>
      <c r="S9" s="11"/>
      <c r="T9" s="18"/>
      <c r="U9" s="18"/>
      <c r="V9" s="11"/>
      <c r="W9" s="11"/>
      <c r="X9" s="11"/>
      <c r="Y9" s="11"/>
      <c r="Z9" s="11"/>
      <c r="AA9" s="11"/>
      <c r="AB9" s="12" t="str">
        <f aca="false">IF(AA9="","",INDEX(Catalogos!$Y$5:$Y$25,MATCH(AA9,L_IMP,0)))</f>
        <v/>
      </c>
      <c r="AC9" s="11"/>
      <c r="AD9" s="11"/>
      <c r="AE9" s="11"/>
      <c r="AF9" s="10" t="str">
        <f aca="false">IF(Q9="","Pendiente por formular",IF(OR(S9="",T9="",U9="",V9="",W9="",X9="",Z9="",AA9=""),"Incompleta: faltan campos obligatorios",IF(OR(NOT(ISNUMBER(T9)),NOT(ISNUMBER(U9))),"Fecha inválida",IF(U9&lt;T9,"La fecha de fin es anterior a la de inicio",IF(OR(YEAR(T9)&lt;&gt;2027,YEAR(U9)&lt;&gt;2027),"Fechas fuera de la vigencia 2027",IF(ISERROR(SEARCH("@itc.edu.co",V9)),"El responsable no tiene correo institucional",IF(ISERROR(SEARCH(Z9,INDEX(Catalogos!$Z$5:$Z$25,MATCH(AA9,L_IMP,0)))),"La dimensión no corresponde al indicador de impacto","OK")))))))</f>
        <v>Pendiente por formular</v>
      </c>
    </row>
    <row r="10" customFormat="false" ht="158.25" hidden="false" customHeight="true" outlineLevel="0" collapsed="false">
      <c r="A10" s="12" t="str">
        <f aca="false">Base_OAPDI!A84</f>
        <v>E3-004</v>
      </c>
      <c r="B10" s="12" t="str">
        <f aca="false">Base_OAPDI!B84</f>
        <v>3.1.1.1</v>
      </c>
      <c r="C10" s="12" t="str">
        <f aca="false">Base_OAPDI!D84</f>
        <v>3.1 Autonomía y posicionamiento de la Extensión y Proyección Institucional</v>
      </c>
      <c r="D10" s="12" t="str">
        <f aca="false">Base_OAPDI!E84</f>
        <v>Disponer a mediano plazo de una vicerrectoría de extensión y proyección social.</v>
      </c>
      <c r="E10" s="12" t="str">
        <f aca="false">Base_OAPDI!F84</f>
        <v>Modelo de gestión autónoma de la extensión adoptado y operando (fase)</v>
      </c>
      <c r="F10" s="12" t="str">
        <f aca="false">Base_OAPDI!G84</f>
        <v>Sugerido: (extensión con autonomía administrativa y financiera operando desde el GIT de Extensión y Proyección Social, sin crear una nueva vicerrectoría)</v>
      </c>
      <c r="G10" s="12" t="str">
        <f aca="false">Base_OAPDI!H84</f>
        <v>Sugerido: (modelo de gestión autónoma de la extensión adoptado por acto administrativo: estatuto de extensión actualizado, centro de costos propio del GIT y procedimientos de la extensión en el SGC)</v>
      </c>
      <c r="H10" s="12" t="str">
        <f aca="false">Base_OAPDI!I84</f>
        <v>A05</v>
      </c>
      <c r="I10" s="12" t="str">
        <f aca="false">Base_OAPDI!J84</f>
        <v>101 · Oficina Asesora de Planeación y Desarrollo Institucional</v>
      </c>
      <c r="J10" s="12" t="str">
        <f aca="false">Base_OAPDI!K84</f>
        <v>Planeación y Plan de Acción</v>
      </c>
      <c r="K10" s="12" t="str">
        <f aca="false">Base_OAPDI!L84</f>
        <v>Direccionamiento Institucional</v>
      </c>
      <c r="L10" s="12" t="n">
        <f aca="false">Base_OAPDI!N84</f>
        <v>0</v>
      </c>
      <c r="M10" s="12" t="n">
        <f aca="false">Base_OAPDI!P84</f>
        <v>0</v>
      </c>
      <c r="N10" s="12" t="n">
        <f aca="false">Base_OAPDI!Q84</f>
        <v>0</v>
      </c>
      <c r="O10" s="12" t="str">
        <f aca="false">Base_OAPDI!R84</f>
        <v>Acciones propuestas por la OAPDI (valídelas y formúlelas en esta fila o en Acciones adicionales): A27-054 Presentar al Consejo Directivo la propuesta de ajuste del enunciado de la meta 3.1.1.1 en la revisión del PDI.</v>
      </c>
      <c r="P10" s="12" t="str">
        <f aca="false">Base_OAPDI!S84</f>
        <v>IMP-18; IMP-17</v>
      </c>
      <c r="Q10" s="11"/>
      <c r="R10" s="11"/>
      <c r="S10" s="11"/>
      <c r="T10" s="18"/>
      <c r="U10" s="18"/>
      <c r="V10" s="11"/>
      <c r="W10" s="11"/>
      <c r="X10" s="11"/>
      <c r="Y10" s="11"/>
      <c r="Z10" s="11"/>
      <c r="AA10" s="11"/>
      <c r="AB10" s="12" t="str">
        <f aca="false">IF(AA10="","",INDEX(Catalogos!$Y$5:$Y$25,MATCH(AA10,L_IMP,0)))</f>
        <v/>
      </c>
      <c r="AC10" s="11"/>
      <c r="AD10" s="11"/>
      <c r="AE10" s="11"/>
      <c r="AF10" s="10" t="str">
        <f aca="false">IF(Q10="","Pendiente por formular",IF(OR(S10="",T10="",U10="",V10="",W10="",X10="",Z10="",AA10=""),"Incompleta: faltan campos obligatorios",IF(OR(NOT(ISNUMBER(T10)),NOT(ISNUMBER(U10))),"Fecha inválida",IF(U10&lt;T10,"La fecha de fin es anterior a la de inicio",IF(OR(YEAR(T10)&lt;&gt;2027,YEAR(U10)&lt;&gt;2027),"Fechas fuera de la vigencia 2027",IF(ISERROR(SEARCH("@itc.edu.co",V10)),"El responsable no tiene correo institucional",IF(ISERROR(SEARCH(Z10,INDEX(Catalogos!$Z$5:$Z$25,MATCH(AA10,L_IMP,0)))),"La dimensión no corresponde al indicador de impacto","OK")))))))</f>
        <v>Pendiente por formular</v>
      </c>
    </row>
    <row r="11" customFormat="false" ht="105" hidden="false" customHeight="true" outlineLevel="0" collapsed="false">
      <c r="A11" s="12" t="str">
        <f aca="false">Base_OAPDI!A85</f>
        <v>E3-005</v>
      </c>
      <c r="B11" s="12" t="str">
        <f aca="false">Base_OAPDI!B85</f>
        <v>3.2.1.1</v>
      </c>
      <c r="C11" s="12" t="str">
        <f aca="false">Base_OAPDI!D85</f>
        <v>3.2 Fortalecimiento de la innovación para la Proyección Institucional</v>
      </c>
      <c r="D11" s="12" t="str">
        <f aca="false">Base_OAPDI!E85</f>
        <v>Diseñar y diversificar la oferta de programas de educación continuada y Educación para el Trabajo y el Desarrollo Humano.</v>
      </c>
      <c r="E11" s="12" t="str">
        <f aca="false">Base_OAPDI!F85</f>
        <v>N.° de ofertas de educación continuada y ETDH, participantes y % en modalidad virtual</v>
      </c>
      <c r="F11" s="12" t="str">
        <f aca="false">Base_OAPDI!G85</f>
        <v>Sugerido: (60 ofertas anuales, 30% en modalidad virtual o b-learning)</v>
      </c>
      <c r="G11" s="12" t="str">
        <f aca="false">Base_OAPDI!H85</f>
        <v>Sugerido: (34 ofertas —+20% sobre 2025—, de las cuales al menos 8 en modalidad virtual o b-learning, y 2 programas ETDH reactivados)</v>
      </c>
      <c r="H11" s="12" t="str">
        <f aca="false">Base_OAPDI!I85</f>
        <v>A07</v>
      </c>
      <c r="I11" s="12" t="str">
        <f aca="false">Base_OAPDI!J85</f>
        <v>101 · Oficina Asesora de Planeación y Desarrollo Institucional</v>
      </c>
      <c r="J11" s="12" t="str">
        <f aca="false">Base_OAPDI!K85</f>
        <v>Autoevaluación y Acreditación</v>
      </c>
      <c r="K11" s="12" t="str">
        <f aca="false">Base_OAPDI!L85</f>
        <v>Gestión del Sistema Integrado de Aseguramiento</v>
      </c>
      <c r="L11" s="12" t="n">
        <f aca="false">Base_OAPDI!N85</f>
        <v>3</v>
      </c>
      <c r="M11" s="12" t="n">
        <f aca="false">Base_OAPDI!P85</f>
        <v>0</v>
      </c>
      <c r="N11" s="12" t="n">
        <f aca="false">Base_OAPDI!Q85</f>
        <v>0</v>
      </c>
      <c r="O11" s="12" t="str">
        <f aca="false">Base_OAPDI!R85</f>
        <v>Formular al menos una acción que contribuya a la meta institucional 2027 de esta meta.</v>
      </c>
      <c r="P11" s="12" t="str">
        <f aca="false">Base_OAPDI!S85</f>
        <v>IMP-10; IMP-11</v>
      </c>
      <c r="Q11" s="11"/>
      <c r="R11" s="11"/>
      <c r="S11" s="11"/>
      <c r="T11" s="18"/>
      <c r="U11" s="18"/>
      <c r="V11" s="11"/>
      <c r="W11" s="11"/>
      <c r="X11" s="11"/>
      <c r="Y11" s="11"/>
      <c r="Z11" s="11"/>
      <c r="AA11" s="11"/>
      <c r="AB11" s="12" t="str">
        <f aca="false">IF(AA11="","",INDEX(Catalogos!$Y$5:$Y$25,MATCH(AA11,L_IMP,0)))</f>
        <v/>
      </c>
      <c r="AC11" s="11"/>
      <c r="AD11" s="11"/>
      <c r="AE11" s="11"/>
      <c r="AF11" s="10" t="str">
        <f aca="false">IF(Q11="","Pendiente por formular",IF(OR(S11="",T11="",U11="",V11="",W11="",X11="",Z11="",AA11=""),"Incompleta: faltan campos obligatorios",IF(OR(NOT(ISNUMBER(T11)),NOT(ISNUMBER(U11))),"Fecha inválida",IF(U11&lt;T11,"La fecha de fin es anterior a la de inicio",IF(OR(YEAR(T11)&lt;&gt;2027,YEAR(U11)&lt;&gt;2027),"Fechas fuera de la vigencia 2027",IF(ISERROR(SEARCH("@itc.edu.co",V11)),"El responsable no tiene correo institucional",IF(ISERROR(SEARCH(Z11,INDEX(Catalogos!$Z$5:$Z$25,MATCH(AA11,L_IMP,0)))),"La dimensión no corresponde al indicador de impacto","OK")))))))</f>
        <v>Pendiente por formular</v>
      </c>
    </row>
    <row r="12" customFormat="false" ht="105" hidden="false" customHeight="true" outlineLevel="0" collapsed="false">
      <c r="A12" s="12" t="str">
        <f aca="false">Base_OAPDI!A86</f>
        <v>E3-006</v>
      </c>
      <c r="B12" s="12" t="str">
        <f aca="false">Base_OAPDI!B86</f>
        <v>3.2.1.1</v>
      </c>
      <c r="C12" s="12" t="str">
        <f aca="false">Base_OAPDI!D86</f>
        <v>3.2 Fortalecimiento de la innovación para la Proyección Institucional</v>
      </c>
      <c r="D12" s="12" t="str">
        <f aca="false">Base_OAPDI!E86</f>
        <v>Diseñar y diversificar la oferta de programas de educación continuada y Educación para el Trabajo y el Desarrollo Humano.</v>
      </c>
      <c r="E12" s="12" t="str">
        <f aca="false">Base_OAPDI!F86</f>
        <v>N.° de ofertas de educación continuada y ETDH, participantes y % en modalidad virtual</v>
      </c>
      <c r="F12" s="12" t="str">
        <f aca="false">Base_OAPDI!G86</f>
        <v>Sugerido: (60 ofertas anuales, 30% en modalidad virtual o b-learning)</v>
      </c>
      <c r="G12" s="12" t="str">
        <f aca="false">Base_OAPDI!H86</f>
        <v>Sugerido: (34 ofertas —+20% sobre 2025—, de las cuales al menos 8 en modalidad virtual o b-learning, y 2 programas ETDH reactivados)</v>
      </c>
      <c r="H12" s="12" t="str">
        <f aca="false">Base_OAPDI!I86</f>
        <v>A41</v>
      </c>
      <c r="I12" s="12" t="str">
        <f aca="false">Base_OAPDI!J86</f>
        <v>141 · GIT Extensión y Proyección Social</v>
      </c>
      <c r="J12" s="12" t="str">
        <f aca="false">Base_OAPDI!K86</f>
        <v>GIT Extensión y Proyección Social (incluye ETDH)</v>
      </c>
      <c r="K12" s="12" t="str">
        <f aca="false">Base_OAPDI!L86</f>
        <v>Extensión y Proyección Social</v>
      </c>
      <c r="L12" s="12" t="n">
        <f aca="false">Base_OAPDI!N86</f>
        <v>8</v>
      </c>
      <c r="M12" s="12" t="n">
        <f aca="false">Base_OAPDI!P86</f>
        <v>4</v>
      </c>
      <c r="N12" s="12" t="n">
        <f aca="false">Base_OAPDI!Q86</f>
        <v>0</v>
      </c>
      <c r="O12" s="12" t="str">
        <f aca="false">Base_OAPDI!R86</f>
        <v>Acciones propuestas por la OAPDI (valídelas y formúlelas en esta fila o en Acciones adicionales): A27-055 Analizar necesidades y mercado (egresados, empresas, regiones) y actualizar el portafolio; A27-057 Reactivar 2 programas ETDH con reglamento de formadores; A27-058 Ejecutar y evaluar la oferta 2027. Cerrar o reprogramar 4 producto(s) 2026 pendiente(s) de esta meta.</v>
      </c>
      <c r="P12" s="12" t="str">
        <f aca="false">Base_OAPDI!S86</f>
        <v>IMP-10; IMP-11</v>
      </c>
      <c r="Q12" s="11"/>
      <c r="R12" s="11"/>
      <c r="S12" s="11"/>
      <c r="T12" s="18"/>
      <c r="U12" s="18"/>
      <c r="V12" s="11"/>
      <c r="W12" s="11"/>
      <c r="X12" s="11"/>
      <c r="Y12" s="11"/>
      <c r="Z12" s="11"/>
      <c r="AA12" s="11"/>
      <c r="AB12" s="12" t="str">
        <f aca="false">IF(AA12="","",INDEX(Catalogos!$Y$5:$Y$25,MATCH(AA12,L_IMP,0)))</f>
        <v/>
      </c>
      <c r="AC12" s="11"/>
      <c r="AD12" s="11"/>
      <c r="AE12" s="11"/>
      <c r="AF12" s="10" t="str">
        <f aca="false">IF(Q12="","Pendiente por formular",IF(OR(S12="",T12="",U12="",V12="",W12="",X12="",Z12="",AA12=""),"Incompleta: faltan campos obligatorios",IF(OR(NOT(ISNUMBER(T12)),NOT(ISNUMBER(U12))),"Fecha inválida",IF(U12&lt;T12,"La fecha de fin es anterior a la de inicio",IF(OR(YEAR(T12)&lt;&gt;2027,YEAR(U12)&lt;&gt;2027),"Fechas fuera de la vigencia 2027",IF(ISERROR(SEARCH("@itc.edu.co",V12)),"El responsable no tiene correo institucional",IF(ISERROR(SEARCH(Z12,INDEX(Catalogos!$Z$5:$Z$25,MATCH(AA12,L_IMP,0)))),"La dimensión no corresponde al indicador de impacto","OK")))))))</f>
        <v>Pendiente por formular</v>
      </c>
    </row>
    <row r="13" customFormat="false" ht="105" hidden="false" customHeight="true" outlineLevel="0" collapsed="false">
      <c r="A13" s="12" t="str">
        <f aca="false">Base_OAPDI!A87</f>
        <v>E3-007</v>
      </c>
      <c r="B13" s="12" t="str">
        <f aca="false">Base_OAPDI!B87</f>
        <v>3.2.1.1</v>
      </c>
      <c r="C13" s="12" t="str">
        <f aca="false">Base_OAPDI!D87</f>
        <v>3.2 Fortalecimiento de la innovación para la Proyección Institucional</v>
      </c>
      <c r="D13" s="12" t="str">
        <f aca="false">Base_OAPDI!E87</f>
        <v>Diseñar y diversificar la oferta de programas de educación continuada y Educación para el Trabajo y el Desarrollo Humano.</v>
      </c>
      <c r="E13" s="12" t="str">
        <f aca="false">Base_OAPDI!F87</f>
        <v>N.° de ofertas de educación continuada y ETDH, participantes y % en modalidad virtual</v>
      </c>
      <c r="F13" s="12" t="str">
        <f aca="false">Base_OAPDI!G87</f>
        <v>Sugerido: (60 ofertas anuales, 30% en modalidad virtual o b-learning)</v>
      </c>
      <c r="G13" s="12" t="str">
        <f aca="false">Base_OAPDI!H87</f>
        <v>Sugerido: (34 ofertas —+20% sobre 2025—, de las cuales al menos 8 en modalidad virtual o b-learning, y 2 programas ETDH reactivados)</v>
      </c>
      <c r="H13" s="12" t="str">
        <f aca="false">Base_OAPDI!I87</f>
        <v>A17</v>
      </c>
      <c r="I13" s="12" t="str">
        <f aca="false">Base_OAPDI!J87</f>
        <v>120 · Vicerrectoría Académica</v>
      </c>
      <c r="J13" s="12" t="str">
        <f aca="false">Base_OAPDI!K87</f>
        <v>Unidad B-Learning</v>
      </c>
      <c r="K13" s="12" t="str">
        <f aca="false">Base_OAPDI!L87</f>
        <v>Docencia PES</v>
      </c>
      <c r="L13" s="12" t="n">
        <f aca="false">Base_OAPDI!N87</f>
        <v>0</v>
      </c>
      <c r="M13" s="12" t="n">
        <f aca="false">Base_OAPDI!P87</f>
        <v>0</v>
      </c>
      <c r="N13" s="12" t="n">
        <f aca="false">Base_OAPDI!Q87</f>
        <v>0</v>
      </c>
      <c r="O13" s="12" t="str">
        <f aca="false">Base_OAPDI!R87</f>
        <v>Acciones propuestas por la OAPDI (valídelas y formúlelas en esta fila o en Acciones adicionales): A27-056 Virtualizar 8 ofertas con la Unidad B-Learning (certificaciones, diplomados, cursos de lenguas).</v>
      </c>
      <c r="P13" s="12" t="str">
        <f aca="false">Base_OAPDI!S87</f>
        <v>IMP-10; IMP-11</v>
      </c>
      <c r="Q13" s="11"/>
      <c r="R13" s="11"/>
      <c r="S13" s="11"/>
      <c r="T13" s="18"/>
      <c r="U13" s="18"/>
      <c r="V13" s="11"/>
      <c r="W13" s="11"/>
      <c r="X13" s="11"/>
      <c r="Y13" s="11"/>
      <c r="Z13" s="11"/>
      <c r="AA13" s="11"/>
      <c r="AB13" s="12" t="str">
        <f aca="false">IF(AA13="","",INDEX(Catalogos!$Y$5:$Y$25,MATCH(AA13,L_IMP,0)))</f>
        <v/>
      </c>
      <c r="AC13" s="11"/>
      <c r="AD13" s="11"/>
      <c r="AE13" s="11"/>
      <c r="AF13" s="10" t="str">
        <f aca="false">IF(Q13="","Pendiente por formular",IF(OR(S13="",T13="",U13="",V13="",W13="",X13="",Z13="",AA13=""),"Incompleta: faltan campos obligatorios",IF(OR(NOT(ISNUMBER(T13)),NOT(ISNUMBER(U13))),"Fecha inválida",IF(U13&lt;T13,"La fecha de fin es anterior a la de inicio",IF(OR(YEAR(T13)&lt;&gt;2027,YEAR(U13)&lt;&gt;2027),"Fechas fuera de la vigencia 2027",IF(ISERROR(SEARCH("@itc.edu.co",V13)),"El responsable no tiene correo institucional",IF(ISERROR(SEARCH(Z13,INDEX(Catalogos!$Z$5:$Z$25,MATCH(AA13,L_IMP,0)))),"La dimensión no corresponde al indicador de impacto","OK")))))))</f>
        <v>Pendiente por formular</v>
      </c>
    </row>
    <row r="14" customFormat="false" ht="52.5" hidden="false" customHeight="true" outlineLevel="0" collapsed="false">
      <c r="A14" s="12" t="str">
        <f aca="false">Base_OAPDI!A88</f>
        <v>E3-008</v>
      </c>
      <c r="B14" s="12" t="str">
        <f aca="false">Base_OAPDI!B88</f>
        <v>3.2.1.2</v>
      </c>
      <c r="C14" s="12" t="str">
        <f aca="false">Base_OAPDI!D88</f>
        <v>3.2 Fortalecimiento de la innovación para la Proyección Institucional</v>
      </c>
      <c r="D14" s="12" t="str">
        <f aca="false">Base_OAPDI!E88</f>
        <v>Generar ingresos para la ETITC mediante la comercialización de su portafolio de servicios, fortaleciendo su sostenibilidad financiera por vigencia.</v>
      </c>
      <c r="E14" s="12" t="str">
        <f aca="false">Base_OAPDI!F88</f>
        <v>Ingresos por venta de servicios de extensión (millones $)</v>
      </c>
      <c r="F14" s="12" t="str">
        <f aca="false">Base_OAPDI!G88</f>
        <v>Sugerido: (crecimiento sostenido del 7% anual)</v>
      </c>
      <c r="G14" s="12" t="str">
        <f aca="false">Base_OAPDI!H88</f>
        <v>Sugerido: ($590 millones —7% anual sobre el recaudo 2025—)</v>
      </c>
      <c r="H14" s="12" t="str">
        <f aca="false">Base_OAPDI!I88</f>
        <v>A41</v>
      </c>
      <c r="I14" s="12" t="str">
        <f aca="false">Base_OAPDI!J88</f>
        <v>141 · GIT Extensión y Proyección Social</v>
      </c>
      <c r="J14" s="12" t="str">
        <f aca="false">Base_OAPDI!K88</f>
        <v>GIT Extensión y Proyección Social (incluye ETDH)</v>
      </c>
      <c r="K14" s="12" t="str">
        <f aca="false">Base_OAPDI!L88</f>
        <v>Extensión y Proyección Social</v>
      </c>
      <c r="L14" s="12" t="n">
        <f aca="false">Base_OAPDI!N88</f>
        <v>15</v>
      </c>
      <c r="M14" s="12" t="n">
        <f aca="false">Base_OAPDI!P88</f>
        <v>8</v>
      </c>
      <c r="N14" s="12" t="n">
        <f aca="false">Base_OAPDI!Q88</f>
        <v>0</v>
      </c>
      <c r="O14" s="12" t="str">
        <f aca="false">Base_OAPDI!R88</f>
        <v>Acciones propuestas por la OAPDI (valídelas y formúlelas en esta fila o en Acciones adicionales): A27-059 Definir precios y metas de venta por servicio; A27-060 Ofertar certificaciones, diplomados, consultorías y cursos a la medida para empresas. Cerrar o reprogramar 8 producto(s) 2026 pendiente(s) de esta meta.</v>
      </c>
      <c r="P14" s="12" t="str">
        <f aca="false">Base_OAPDI!S88</f>
        <v>IMP-17</v>
      </c>
      <c r="Q14" s="11"/>
      <c r="R14" s="11"/>
      <c r="S14" s="11"/>
      <c r="T14" s="18"/>
      <c r="U14" s="18"/>
      <c r="V14" s="11"/>
      <c r="W14" s="11"/>
      <c r="X14" s="11"/>
      <c r="Y14" s="11"/>
      <c r="Z14" s="11"/>
      <c r="AA14" s="11"/>
      <c r="AB14" s="12" t="str">
        <f aca="false">IF(AA14="","",INDEX(Catalogos!$Y$5:$Y$25,MATCH(AA14,L_IMP,0)))</f>
        <v/>
      </c>
      <c r="AC14" s="11"/>
      <c r="AD14" s="11"/>
      <c r="AE14" s="11"/>
      <c r="AF14" s="10" t="str">
        <f aca="false">IF(Q14="","Pendiente por formular",IF(OR(S14="",T14="",U14="",V14="",W14="",X14="",Z14="",AA14=""),"Incompleta: faltan campos obligatorios",IF(OR(NOT(ISNUMBER(T14)),NOT(ISNUMBER(U14))),"Fecha inválida",IF(U14&lt;T14,"La fecha de fin es anterior a la de inicio",IF(OR(YEAR(T14)&lt;&gt;2027,YEAR(U14)&lt;&gt;2027),"Fechas fuera de la vigencia 2027",IF(ISERROR(SEARCH("@itc.edu.co",V14)),"El responsable no tiene correo institucional",IF(ISERROR(SEARCH(Z14,INDEX(Catalogos!$Z$5:$Z$25,MATCH(AA14,L_IMP,0)))),"La dimensión no corresponde al indicador de impacto","OK")))))))</f>
        <v>Pendiente por formular</v>
      </c>
    </row>
    <row r="15" customFormat="false" ht="52.5" hidden="false" customHeight="true" outlineLevel="0" collapsed="false">
      <c r="A15" s="12" t="str">
        <f aca="false">Base_OAPDI!A89</f>
        <v>E3-009</v>
      </c>
      <c r="B15" s="12" t="str">
        <f aca="false">Base_OAPDI!B89</f>
        <v>3.2.1.2</v>
      </c>
      <c r="C15" s="12" t="str">
        <f aca="false">Base_OAPDI!D89</f>
        <v>3.2 Fortalecimiento de la innovación para la Proyección Institucional</v>
      </c>
      <c r="D15" s="12" t="str">
        <f aca="false">Base_OAPDI!E89</f>
        <v>Generar ingresos para la ETITC mediante la comercialización de su portafolio de servicios, fortaleciendo su sostenibilidad financiera por vigencia.</v>
      </c>
      <c r="E15" s="12" t="str">
        <f aca="false">Base_OAPDI!F89</f>
        <v>Ingresos por venta de servicios de extensión (millones $)</v>
      </c>
      <c r="F15" s="12" t="str">
        <f aca="false">Base_OAPDI!G89</f>
        <v>Sugerido: (crecimiento sostenido del 7% anual)</v>
      </c>
      <c r="G15" s="12" t="str">
        <f aca="false">Base_OAPDI!H89</f>
        <v>Sugerido: ($590 millones —7% anual sobre el recaudo 2025—)</v>
      </c>
      <c r="H15" s="12" t="str">
        <f aca="false">Base_OAPDI!I89</f>
        <v>A47</v>
      </c>
      <c r="I15" s="12" t="str">
        <f aca="false">Base_OAPDI!J89</f>
        <v>130 · Vicerrectoría Administrativa y Financiera</v>
      </c>
      <c r="J15" s="12" t="str">
        <f aca="false">Base_OAPDI!K89</f>
        <v>Gestión Financiera (Presupuesto, Contabilidad, Tesorería)</v>
      </c>
      <c r="K15" s="12" t="str">
        <f aca="false">Base_OAPDI!L89</f>
        <v>Gestión Financiera</v>
      </c>
      <c r="L15" s="12" t="n">
        <f aca="false">Base_OAPDI!N89</f>
        <v>0</v>
      </c>
      <c r="M15" s="12" t="n">
        <f aca="false">Base_OAPDI!P89</f>
        <v>0</v>
      </c>
      <c r="N15" s="12" t="n">
        <f aca="false">Base_OAPDI!Q89</f>
        <v>0</v>
      </c>
      <c r="O15" s="12" t="str">
        <f aca="false">Base_OAPDI!R89</f>
        <v>Acciones propuestas por la OAPDI (valídelas y formúlelas en esta fila o en Acciones adicionales): A27-061 Hacer seguimiento trimestral al recaudo con Gestión Financiera.</v>
      </c>
      <c r="P15" s="12" t="str">
        <f aca="false">Base_OAPDI!S89</f>
        <v>IMP-17</v>
      </c>
      <c r="Q15" s="11"/>
      <c r="R15" s="11"/>
      <c r="S15" s="11"/>
      <c r="T15" s="18"/>
      <c r="U15" s="18"/>
      <c r="V15" s="11"/>
      <c r="W15" s="11"/>
      <c r="X15" s="11"/>
      <c r="Y15" s="11"/>
      <c r="Z15" s="11"/>
      <c r="AA15" s="11"/>
      <c r="AB15" s="12" t="str">
        <f aca="false">IF(AA15="","",INDEX(Catalogos!$Y$5:$Y$25,MATCH(AA15,L_IMP,0)))</f>
        <v/>
      </c>
      <c r="AC15" s="11"/>
      <c r="AD15" s="11"/>
      <c r="AE15" s="11"/>
      <c r="AF15" s="10" t="str">
        <f aca="false">IF(Q15="","Pendiente por formular",IF(OR(S15="",T15="",U15="",V15="",W15="",X15="",Z15="",AA15=""),"Incompleta: faltan campos obligatorios",IF(OR(NOT(ISNUMBER(T15)),NOT(ISNUMBER(U15))),"Fecha inválida",IF(U15&lt;T15,"La fecha de fin es anterior a la de inicio",IF(OR(YEAR(T15)&lt;&gt;2027,YEAR(U15)&lt;&gt;2027),"Fechas fuera de la vigencia 2027",IF(ISERROR(SEARCH("@itc.edu.co",V15)),"El responsable no tiene correo institucional",IF(ISERROR(SEARCH(Z15,INDEX(Catalogos!$Z$5:$Z$25,MATCH(AA15,L_IMP,0)))),"La dimensión no corresponde al indicador de impacto","OK")))))))</f>
        <v>Pendiente por formular</v>
      </c>
    </row>
    <row r="16" customFormat="false" ht="105" hidden="false" customHeight="true" outlineLevel="0" collapsed="false">
      <c r="A16" s="12" t="str">
        <f aca="false">Base_OAPDI!A90</f>
        <v>E3-010</v>
      </c>
      <c r="B16" s="12" t="str">
        <f aca="false">Base_OAPDI!B90</f>
        <v>3.2.1.3</v>
      </c>
      <c r="C16" s="12" t="str">
        <f aca="false">Base_OAPDI!D90</f>
        <v>3.2 Fortalecimiento de la innovación para la Proyección Institucional</v>
      </c>
      <c r="D16" s="12" t="str">
        <f aca="false">Base_OAPDI!E90</f>
        <v>Implementar mecanismos de retroalimentación continua de la oferta de programas de extensión y proyección social.</v>
      </c>
      <c r="E16" s="12" t="str">
        <f aca="false">Base_OAPDI!F90</f>
        <v>N.° de mecanismos aplicados y % de ofertas evaluadas</v>
      </c>
      <c r="F16" s="12" t="str">
        <f aca="false">Base_OAPDI!G90</f>
        <v>Sugerido: (100% de las ofertas evaluadas cada periodo)</v>
      </c>
      <c r="G16" s="12" t="str">
        <f aca="false">Base_OAPDI!H90</f>
        <v>Sugerido: (1 mecanismo institucional de retroalimentación aplicado al 100% de las ofertas de extensión 2027, con informe semestral)</v>
      </c>
      <c r="H16" s="12" t="str">
        <f aca="false">Base_OAPDI!I90</f>
        <v>A41</v>
      </c>
      <c r="I16" s="12" t="str">
        <f aca="false">Base_OAPDI!J90</f>
        <v>141 · GIT Extensión y Proyección Social</v>
      </c>
      <c r="J16" s="12" t="str">
        <f aca="false">Base_OAPDI!K90</f>
        <v>GIT Extensión y Proyección Social (incluye ETDH)</v>
      </c>
      <c r="K16" s="12" t="str">
        <f aca="false">Base_OAPDI!L90</f>
        <v>Extensión y Proyección Social</v>
      </c>
      <c r="L16" s="12" t="n">
        <f aca="false">Base_OAPDI!N90</f>
        <v>7</v>
      </c>
      <c r="M16" s="12" t="n">
        <f aca="false">Base_OAPDI!P90</f>
        <v>3</v>
      </c>
      <c r="N16" s="12" t="n">
        <f aca="false">Base_OAPDI!Q90</f>
        <v>0</v>
      </c>
      <c r="O16" s="12" t="str">
        <f aca="false">Base_OAPDI!R90</f>
        <v>Acciones propuestas por la OAPDI (valídelas y formúlelas en esta fila o en Acciones adicionales): A27-062 Diseñar el instrumento único de retroalimentación (satisfacción, pertinencia, aplicación en el trabajo); A27-063 Aplicarlo al cierre de cada oferta y consolidar resultados; A27-064 Ajustar el portafolio con base en los resultados. Cerrar o reprogramar 3 producto(s) 2026 pendiente(s) de esta meta.</v>
      </c>
      <c r="P16" s="12" t="str">
        <f aca="false">Base_OAPDI!S90</f>
        <v>IMP-18</v>
      </c>
      <c r="Q16" s="11"/>
      <c r="R16" s="11"/>
      <c r="S16" s="11"/>
      <c r="T16" s="18"/>
      <c r="U16" s="18"/>
      <c r="V16" s="11"/>
      <c r="W16" s="11"/>
      <c r="X16" s="11"/>
      <c r="Y16" s="11"/>
      <c r="Z16" s="11"/>
      <c r="AA16" s="11"/>
      <c r="AB16" s="12" t="str">
        <f aca="false">IF(AA16="","",INDEX(Catalogos!$Y$5:$Y$25,MATCH(AA16,L_IMP,0)))</f>
        <v/>
      </c>
      <c r="AC16" s="11"/>
      <c r="AD16" s="11"/>
      <c r="AE16" s="11"/>
      <c r="AF16" s="10" t="str">
        <f aca="false">IF(Q16="","Pendiente por formular",IF(OR(S16="",T16="",U16="",V16="",W16="",X16="",Z16="",AA16=""),"Incompleta: faltan campos obligatorios",IF(OR(NOT(ISNUMBER(T16)),NOT(ISNUMBER(U16))),"Fecha inválida",IF(U16&lt;T16,"La fecha de fin es anterior a la de inicio",IF(OR(YEAR(T16)&lt;&gt;2027,YEAR(U16)&lt;&gt;2027),"Fechas fuera de la vigencia 2027",IF(ISERROR(SEARCH("@itc.edu.co",V16)),"El responsable no tiene correo institucional",IF(ISERROR(SEARCH(Z16,INDEX(Catalogos!$Z$5:$Z$25,MATCH(AA16,L_IMP,0)))),"La dimensión no corresponde al indicador de impacto","OK")))))))</f>
        <v>Pendiente por formular</v>
      </c>
    </row>
    <row r="17" customFormat="false" ht="105" hidden="false" customHeight="true" outlineLevel="0" collapsed="false">
      <c r="A17" s="12" t="str">
        <f aca="false">Base_OAPDI!A91</f>
        <v>E3-011</v>
      </c>
      <c r="B17" s="12" t="str">
        <f aca="false">Base_OAPDI!B91</f>
        <v>3.2.1.3</v>
      </c>
      <c r="C17" s="12" t="str">
        <f aca="false">Base_OAPDI!D91</f>
        <v>3.2 Fortalecimiento de la innovación para la Proyección Institucional</v>
      </c>
      <c r="D17" s="12" t="str">
        <f aca="false">Base_OAPDI!E91</f>
        <v>Implementar mecanismos de retroalimentación continua de la oferta de programas de extensión y proyección social.</v>
      </c>
      <c r="E17" s="12" t="str">
        <f aca="false">Base_OAPDI!F91</f>
        <v>N.° de mecanismos aplicados y % de ofertas evaluadas</v>
      </c>
      <c r="F17" s="12" t="str">
        <f aca="false">Base_OAPDI!G91</f>
        <v>Sugerido: (100% de las ofertas evaluadas cada periodo)</v>
      </c>
      <c r="G17" s="12" t="str">
        <f aca="false">Base_OAPDI!H91</f>
        <v>Sugerido: (1 mecanismo institucional de retroalimentación aplicado al 100% de las ofertas de extensión 2027, con informe semestral)</v>
      </c>
      <c r="H17" s="12" t="str">
        <f aca="false">Base_OAPDI!I91</f>
        <v>A42</v>
      </c>
      <c r="I17" s="12" t="str">
        <f aca="false">Base_OAPDI!J91</f>
        <v>141 · GIT Extensión y Proyección Social</v>
      </c>
      <c r="J17" s="12" t="str">
        <f aca="false">Base_OAPDI!K91</f>
        <v>Centro de Lenguas (CEL)</v>
      </c>
      <c r="K17" s="12" t="str">
        <f aca="false">Base_OAPDI!L91</f>
        <v>Extensión y Proyección Social</v>
      </c>
      <c r="L17" s="12" t="n">
        <f aca="false">Base_OAPDI!N91</f>
        <v>2</v>
      </c>
      <c r="M17" s="12" t="n">
        <f aca="false">Base_OAPDI!P91</f>
        <v>1</v>
      </c>
      <c r="N17" s="12" t="n">
        <f aca="false">Base_OAPDI!Q91</f>
        <v>0</v>
      </c>
      <c r="O17" s="12" t="str">
        <f aca="false">Base_OAPDI!R91</f>
        <v>Cerrar o reprogramar 1 producto(s) 2026 pendiente(s) de esta meta.</v>
      </c>
      <c r="P17" s="12" t="str">
        <f aca="false">Base_OAPDI!S91</f>
        <v>IMP-18</v>
      </c>
      <c r="Q17" s="11"/>
      <c r="R17" s="11"/>
      <c r="S17" s="11"/>
      <c r="T17" s="18"/>
      <c r="U17" s="18"/>
      <c r="V17" s="11"/>
      <c r="W17" s="11"/>
      <c r="X17" s="11"/>
      <c r="Y17" s="11"/>
      <c r="Z17" s="11"/>
      <c r="AA17" s="11"/>
      <c r="AB17" s="12" t="str">
        <f aca="false">IF(AA17="","",INDEX(Catalogos!$Y$5:$Y$25,MATCH(AA17,L_IMP,0)))</f>
        <v/>
      </c>
      <c r="AC17" s="11"/>
      <c r="AD17" s="11"/>
      <c r="AE17" s="11"/>
      <c r="AF17" s="10" t="str">
        <f aca="false">IF(Q17="","Pendiente por formular",IF(OR(S17="",T17="",U17="",V17="",W17="",X17="",Z17="",AA17=""),"Incompleta: faltan campos obligatorios",IF(OR(NOT(ISNUMBER(T17)),NOT(ISNUMBER(U17))),"Fecha inválida",IF(U17&lt;T17,"La fecha de fin es anterior a la de inicio",IF(OR(YEAR(T17)&lt;&gt;2027,YEAR(U17)&lt;&gt;2027),"Fechas fuera de la vigencia 2027",IF(ISERROR(SEARCH("@itc.edu.co",V17)),"El responsable no tiene correo institucional",IF(ISERROR(SEARCH(Z17,INDEX(Catalogos!$Z$5:$Z$25,MATCH(AA17,L_IMP,0)))),"La dimensión no corresponde al indicador de impacto","OK")))))))</f>
        <v>Pendiente por formular</v>
      </c>
    </row>
    <row r="18" customFormat="false" ht="118.5" hidden="false" customHeight="true" outlineLevel="0" collapsed="false">
      <c r="A18" s="12" t="str">
        <f aca="false">Base_OAPDI!A92</f>
        <v>E3-012</v>
      </c>
      <c r="B18" s="12" t="str">
        <f aca="false">Base_OAPDI!B92</f>
        <v>3.2.1.4</v>
      </c>
      <c r="C18" s="12" t="str">
        <f aca="false">Base_OAPDI!D92</f>
        <v>3.2 Fortalecimiento de la innovación para la Proyección Institucional</v>
      </c>
      <c r="D18" s="12" t="str">
        <f aca="false">Base_OAPDI!E92</f>
        <v>Alinear la formación en una segunda lengua en la ETITC con los estándares del Marco Común Europeo de Referencia para las Lenguas.</v>
      </c>
      <c r="E18" s="12" t="str">
        <f aca="false">Base_OAPDI!F92</f>
        <v>% de cursos de segunda lengua alineados al MCER</v>
      </c>
      <c r="F18" s="12" t="str">
        <f aca="false">Base_OAPDI!G92</f>
        <v>Sugerido: (100% de los cursos alineados y certificados por nivel MCER)</v>
      </c>
      <c r="G18" s="12" t="str">
        <f aca="false">Base_OAPDI!H92</f>
        <v>Sugerido: (100% de los cursos con syllabus y evaluación alineados a niveles MCER A1-B2, prueba de clasificación institucional y 2 cursos virtuales)</v>
      </c>
      <c r="H18" s="12" t="str">
        <f aca="false">Base_OAPDI!I92</f>
        <v>A42</v>
      </c>
      <c r="I18" s="12" t="str">
        <f aca="false">Base_OAPDI!J92</f>
        <v>141 · GIT Extensión y Proyección Social</v>
      </c>
      <c r="J18" s="12" t="str">
        <f aca="false">Base_OAPDI!K92</f>
        <v>Centro de Lenguas (CEL)</v>
      </c>
      <c r="K18" s="12" t="str">
        <f aca="false">Base_OAPDI!L92</f>
        <v>Extensión y Proyección Social</v>
      </c>
      <c r="L18" s="12" t="n">
        <f aca="false">Base_OAPDI!N92</f>
        <v>4</v>
      </c>
      <c r="M18" s="12" t="n">
        <f aca="false">Base_OAPDI!P92</f>
        <v>1</v>
      </c>
      <c r="N18" s="12" t="n">
        <f aca="false">Base_OAPDI!Q92</f>
        <v>0</v>
      </c>
      <c r="O18" s="12" t="str">
        <f aca="false">Base_OAPDI!R92</f>
        <v>Acciones propuestas por la OAPDI (valídelas y formúlelas en esta fila o en Acciones adicionales): A27-065 Diagnosticar los cursos frente a los descriptores del MCER; A27-066 Ajustar syllabus, evaluación y prueba de clasificación; A27-067 Ofrecer 2 cursos virtuales de segunda lengua. Cerrar o reprogramar 1 producto(s) 2026 pendiente(s) de esta meta.</v>
      </c>
      <c r="P18" s="12" t="str">
        <f aca="false">Base_OAPDI!S92</f>
        <v>IMP-11; IMP-07</v>
      </c>
      <c r="Q18" s="11"/>
      <c r="R18" s="11"/>
      <c r="S18" s="11"/>
      <c r="T18" s="18"/>
      <c r="U18" s="18"/>
      <c r="V18" s="11"/>
      <c r="W18" s="11"/>
      <c r="X18" s="11"/>
      <c r="Y18" s="11"/>
      <c r="Z18" s="11"/>
      <c r="AA18" s="11"/>
      <c r="AB18" s="12" t="str">
        <f aca="false">IF(AA18="","",INDEX(Catalogos!$Y$5:$Y$25,MATCH(AA18,L_IMP,0)))</f>
        <v/>
      </c>
      <c r="AC18" s="11"/>
      <c r="AD18" s="11"/>
      <c r="AE18" s="11"/>
      <c r="AF18" s="10" t="str">
        <f aca="false">IF(Q18="","Pendiente por formular",IF(OR(S18="",T18="",U18="",V18="",W18="",X18="",Z18="",AA18=""),"Incompleta: faltan campos obligatorios",IF(OR(NOT(ISNUMBER(T18)),NOT(ISNUMBER(U18))),"Fecha inválida",IF(U18&lt;T18,"La fecha de fin es anterior a la de inicio",IF(OR(YEAR(T18)&lt;&gt;2027,YEAR(U18)&lt;&gt;2027),"Fechas fuera de la vigencia 2027",IF(ISERROR(SEARCH("@itc.edu.co",V18)),"El responsable no tiene correo institucional",IF(ISERROR(SEARCH(Z18,INDEX(Catalogos!$Z$5:$Z$25,MATCH(AA18,L_IMP,0)))),"La dimensión no corresponde al indicador de impacto","OK")))))))</f>
        <v>Pendiente por formular</v>
      </c>
    </row>
    <row r="19" customFormat="false" ht="66" hidden="false" customHeight="true" outlineLevel="0" collapsed="false">
      <c r="A19" s="12" t="str">
        <f aca="false">Base_OAPDI!A93</f>
        <v>E3-013</v>
      </c>
      <c r="B19" s="12" t="str">
        <f aca="false">Base_OAPDI!B93</f>
        <v>3.3.1.1</v>
      </c>
      <c r="C19" s="12" t="str">
        <f aca="false">Base_OAPDI!D93</f>
        <v>3.3 Interacción con el sector productivo y social</v>
      </c>
      <c r="D19" s="12" t="str">
        <f aca="false">Base_OAPDI!E93</f>
        <v>Garantizar la participación y representación del 100% de la programación de la ETITC en eventos académicos, empresariales y de proyección social, de acuerdo con disponibilidad de recursos.</v>
      </c>
      <c r="E19" s="12" t="str">
        <f aca="false">Base_OAPDI!F93</f>
        <v>% de la programación de eventos con participación institucional</v>
      </c>
      <c r="F19" s="12" t="str">
        <f aca="false">Base_OAPDI!G93</f>
        <v>100%</v>
      </c>
      <c r="G19" s="12" t="str">
        <f aca="false">Base_OAPDI!H93</f>
        <v>100% de la programación 2027</v>
      </c>
      <c r="H19" s="12" t="str">
        <f aca="false">Base_OAPDI!I93</f>
        <v>A41</v>
      </c>
      <c r="I19" s="12" t="str">
        <f aca="false">Base_OAPDI!J93</f>
        <v>141 · GIT Extensión y Proyección Social</v>
      </c>
      <c r="J19" s="12" t="str">
        <f aca="false">Base_OAPDI!K93</f>
        <v>GIT Extensión y Proyección Social (incluye ETDH)</v>
      </c>
      <c r="K19" s="12" t="str">
        <f aca="false">Base_OAPDI!L93</f>
        <v>Extensión y Proyección Social</v>
      </c>
      <c r="L19" s="12" t="n">
        <f aca="false">Base_OAPDI!N93</f>
        <v>2</v>
      </c>
      <c r="M19" s="12" t="n">
        <f aca="false">Base_OAPDI!P93</f>
        <v>1</v>
      </c>
      <c r="N19" s="12" t="n">
        <f aca="false">Base_OAPDI!Q93</f>
        <v>0</v>
      </c>
      <c r="O19" s="12" t="str">
        <f aca="false">Base_OAPDI!R93</f>
        <v>Acciones propuestas por la OAPDI (valídelas y formúlelas en esta fila o en Acciones adicionales): A27-068 Construir la agenda anual de eventos 2027 con criterios de pertinencia; A27-069 Participar en los eventos programados y promocionar la oferta institucional. Cerrar o reprogramar 1 producto(s) 2026 pendiente(s) de esta meta.</v>
      </c>
      <c r="P19" s="12" t="str">
        <f aca="false">Base_OAPDI!S93</f>
        <v>IMP-04; IMP-16</v>
      </c>
      <c r="Q19" s="11"/>
      <c r="R19" s="11"/>
      <c r="S19" s="11"/>
      <c r="T19" s="18"/>
      <c r="U19" s="18"/>
      <c r="V19" s="11"/>
      <c r="W19" s="11"/>
      <c r="X19" s="11"/>
      <c r="Y19" s="11"/>
      <c r="Z19" s="11"/>
      <c r="AA19" s="11"/>
      <c r="AB19" s="12" t="str">
        <f aca="false">IF(AA19="","",INDEX(Catalogos!$Y$5:$Y$25,MATCH(AA19,L_IMP,0)))</f>
        <v/>
      </c>
      <c r="AC19" s="11"/>
      <c r="AD19" s="11"/>
      <c r="AE19" s="11"/>
      <c r="AF19" s="10" t="str">
        <f aca="false">IF(Q19="","Pendiente por formular",IF(OR(S19="",T19="",U19="",V19="",W19="",X19="",Z19="",AA19=""),"Incompleta: faltan campos obligatorios",IF(OR(NOT(ISNUMBER(T19)),NOT(ISNUMBER(U19))),"Fecha inválida",IF(U19&lt;T19,"La fecha de fin es anterior a la de inicio",IF(OR(YEAR(T19)&lt;&gt;2027,YEAR(U19)&lt;&gt;2027),"Fechas fuera de la vigencia 2027",IF(ISERROR(SEARCH("@itc.edu.co",V19)),"El responsable no tiene correo institucional",IF(ISERROR(SEARCH(Z19,INDEX(Catalogos!$Z$5:$Z$25,MATCH(AA19,L_IMP,0)))),"La dimensión no corresponde al indicador de impacto","OK")))))))</f>
        <v>Pendiente por formular</v>
      </c>
    </row>
    <row r="20" customFormat="false" ht="118.5" hidden="false" customHeight="true" outlineLevel="0" collapsed="false">
      <c r="A20" s="12" t="str">
        <f aca="false">Base_OAPDI!A94</f>
        <v>E3-014</v>
      </c>
      <c r="B20" s="12" t="str">
        <f aca="false">Base_OAPDI!B94</f>
        <v>3.3.1.2</v>
      </c>
      <c r="C20" s="12" t="str">
        <f aca="false">Base_OAPDI!D94</f>
        <v>3.3 Interacción con el sector productivo y social</v>
      </c>
      <c r="D20" s="12" t="str">
        <f aca="false">Base_OAPDI!E94</f>
        <v>Ejecutar el 100% del Plan Estratégico de Comunicación de la Vicerrectoría de Extensión y Proyección Social, asegurando su efectividad y alcance.</v>
      </c>
      <c r="E20" s="12" t="str">
        <f aca="false">Base_OAPDI!F94</f>
        <v>% de ejecución del componente de comunicación de la extensión dentro del plan institucional</v>
      </c>
      <c r="F20" s="12" t="str">
        <f aca="false">Base_OAPDI!G94</f>
        <v>100%</v>
      </c>
      <c r="G20" s="12" t="str">
        <f aca="false">Base_OAPDI!H94</f>
        <v>Sugerido: (componente de comunicación de la extensión incluido en el plan institucional 2025-2032 y 100% de lo programado para 2027 ejecutado)</v>
      </c>
      <c r="H20" s="12" t="str">
        <f aca="false">Base_OAPDI!I94</f>
        <v>A41</v>
      </c>
      <c r="I20" s="12" t="str">
        <f aca="false">Base_OAPDI!J94</f>
        <v>141 · GIT Extensión y Proyección Social</v>
      </c>
      <c r="J20" s="12" t="str">
        <f aca="false">Base_OAPDI!K94</f>
        <v>GIT Extensión y Proyección Social (incluye ETDH)</v>
      </c>
      <c r="K20" s="12" t="str">
        <f aca="false">Base_OAPDI!L94</f>
        <v>Extensión y Proyección Social</v>
      </c>
      <c r="L20" s="12" t="n">
        <f aca="false">Base_OAPDI!N94</f>
        <v>0</v>
      </c>
      <c r="M20" s="12" t="n">
        <f aca="false">Base_OAPDI!P94</f>
        <v>0</v>
      </c>
      <c r="N20" s="12" t="n">
        <f aca="false">Base_OAPDI!Q94</f>
        <v>0</v>
      </c>
      <c r="O20" s="12" t="str">
        <f aca="false">Base_OAPDI!R94</f>
        <v>Acciones propuestas por la OAPDI (valídelas y formúlelas en esta fila o en Acciones adicionales): A27-071 Ejecutar las piezas y campañas de la oferta de extensión.</v>
      </c>
      <c r="P20" s="12" t="str">
        <f aca="false">Base_OAPDI!S94</f>
        <v>IMP-16</v>
      </c>
      <c r="Q20" s="11"/>
      <c r="R20" s="11"/>
      <c r="S20" s="11"/>
      <c r="T20" s="18"/>
      <c r="U20" s="18"/>
      <c r="V20" s="11"/>
      <c r="W20" s="11"/>
      <c r="X20" s="11"/>
      <c r="Y20" s="11"/>
      <c r="Z20" s="11"/>
      <c r="AA20" s="11"/>
      <c r="AB20" s="12" t="str">
        <f aca="false">IF(AA20="","",INDEX(Catalogos!$Y$5:$Y$25,MATCH(AA20,L_IMP,0)))</f>
        <v/>
      </c>
      <c r="AC20" s="11"/>
      <c r="AD20" s="11"/>
      <c r="AE20" s="11"/>
      <c r="AF20" s="10" t="str">
        <f aca="false">IF(Q20="","Pendiente por formular",IF(OR(S20="",T20="",U20="",V20="",W20="",X20="",Z20="",AA20=""),"Incompleta: faltan campos obligatorios",IF(OR(NOT(ISNUMBER(T20)),NOT(ISNUMBER(U20))),"Fecha inválida",IF(U20&lt;T20,"La fecha de fin es anterior a la de inicio",IF(OR(YEAR(T20)&lt;&gt;2027,YEAR(U20)&lt;&gt;2027),"Fechas fuera de la vigencia 2027",IF(ISERROR(SEARCH("@itc.edu.co",V20)),"El responsable no tiene correo institucional",IF(ISERROR(SEARCH(Z20,INDEX(Catalogos!$Z$5:$Z$25,MATCH(AA20,L_IMP,0)))),"La dimensión no corresponde al indicador de impacto","OK")))))))</f>
        <v>Pendiente por formular</v>
      </c>
    </row>
    <row r="21" customFormat="false" ht="118.5" hidden="false" customHeight="true" outlineLevel="0" collapsed="false">
      <c r="A21" s="12" t="str">
        <f aca="false">Base_OAPDI!A95</f>
        <v>E3-015</v>
      </c>
      <c r="B21" s="12" t="str">
        <f aca="false">Base_OAPDI!B95</f>
        <v>3.3.1.2</v>
      </c>
      <c r="C21" s="12" t="str">
        <f aca="false">Base_OAPDI!D95</f>
        <v>3.3 Interacción con el sector productivo y social</v>
      </c>
      <c r="D21" s="12" t="str">
        <f aca="false">Base_OAPDI!E95</f>
        <v>Ejecutar el 100% del Plan Estratégico de Comunicación de la Vicerrectoría de Extensión y Proyección Social, asegurando su efectividad y alcance.</v>
      </c>
      <c r="E21" s="12" t="str">
        <f aca="false">Base_OAPDI!F95</f>
        <v>% de ejecución del componente de comunicación de la extensión dentro del plan institucional</v>
      </c>
      <c r="F21" s="12" t="str">
        <f aca="false">Base_OAPDI!G95</f>
        <v>100%</v>
      </c>
      <c r="G21" s="12" t="str">
        <f aca="false">Base_OAPDI!H95</f>
        <v>Sugerido: (componente de comunicación de la extensión incluido en el plan institucional 2025-2032 y 100% de lo programado para 2027 ejecutado)</v>
      </c>
      <c r="H21" s="12" t="str">
        <f aca="false">Base_OAPDI!I95</f>
        <v>A02</v>
      </c>
      <c r="I21" s="12" t="str">
        <f aca="false">Base_OAPDI!J95</f>
        <v>100 · Rectoría</v>
      </c>
      <c r="J21" s="12" t="str">
        <f aca="false">Base_OAPDI!K95</f>
        <v>Comunicaciones y Mercadeo</v>
      </c>
      <c r="K21" s="12" t="str">
        <f aca="false">Base_OAPDI!L95</f>
        <v>Gestión de Comunicaciones</v>
      </c>
      <c r="L21" s="12" t="n">
        <f aca="false">Base_OAPDI!N95</f>
        <v>0</v>
      </c>
      <c r="M21" s="12" t="n">
        <f aca="false">Base_OAPDI!P95</f>
        <v>0</v>
      </c>
      <c r="N21" s="12" t="n">
        <f aca="false">Base_OAPDI!Q95</f>
        <v>0</v>
      </c>
      <c r="O21" s="12" t="str">
        <f aca="false">Base_OAPDI!R95</f>
        <v>Acciones propuestas por la OAPDI (valídelas y formúlelas en esta fila o en Acciones adicionales): A27-070 Incluir el componente de comunicación de la extensión en el Plan Estratégico de Comunicaciones 2025-2032; A27-072 Medir alcance y conversión (inscritos por campaña).</v>
      </c>
      <c r="P21" s="12" t="str">
        <f aca="false">Base_OAPDI!S95</f>
        <v>IMP-16</v>
      </c>
      <c r="Q21" s="11"/>
      <c r="R21" s="11"/>
      <c r="S21" s="11"/>
      <c r="T21" s="18"/>
      <c r="U21" s="18"/>
      <c r="V21" s="11"/>
      <c r="W21" s="11"/>
      <c r="X21" s="11"/>
      <c r="Y21" s="11"/>
      <c r="Z21" s="11"/>
      <c r="AA21" s="11"/>
      <c r="AB21" s="12" t="str">
        <f aca="false">IF(AA21="","",INDEX(Catalogos!$Y$5:$Y$25,MATCH(AA21,L_IMP,0)))</f>
        <v/>
      </c>
      <c r="AC21" s="11"/>
      <c r="AD21" s="11"/>
      <c r="AE21" s="11"/>
      <c r="AF21" s="10" t="str">
        <f aca="false">IF(Q21="","Pendiente por formular",IF(OR(S21="",T21="",U21="",V21="",W21="",X21="",Z21="",AA21=""),"Incompleta: faltan campos obligatorios",IF(OR(NOT(ISNUMBER(T21)),NOT(ISNUMBER(U21))),"Fecha inválida",IF(U21&lt;T21,"La fecha de fin es anterior a la de inicio",IF(OR(YEAR(T21)&lt;&gt;2027,YEAR(U21)&lt;&gt;2027),"Fechas fuera de la vigencia 2027",IF(ISERROR(SEARCH("@itc.edu.co",V21)),"El responsable no tiene correo institucional",IF(ISERROR(SEARCH(Z21,INDEX(Catalogos!$Z$5:$Z$25,MATCH(AA21,L_IMP,0)))),"La dimensión no corresponde al indicador de impacto","OK")))))))</f>
        <v>Pendiente por formular</v>
      </c>
    </row>
    <row r="22" customFormat="false" ht="78.75" hidden="false" customHeight="true" outlineLevel="0" collapsed="false">
      <c r="A22" s="12" t="str">
        <f aca="false">Base_OAPDI!A96</f>
        <v>E3-016</v>
      </c>
      <c r="B22" s="12" t="str">
        <f aca="false">Base_OAPDI!B96</f>
        <v>3.3.1.3</v>
      </c>
      <c r="C22" s="12" t="str">
        <f aca="false">Base_OAPDI!D96</f>
        <v>3.3 Interacción con el sector productivo y social</v>
      </c>
      <c r="D22" s="12" t="str">
        <f aca="false">Base_OAPDI!E96</f>
        <v>Establecer convenios y fortalecer redes de colaboración con sectores productivos, sociales y educativos, tanto públicos como privados.</v>
      </c>
      <c r="E22" s="12" t="str">
        <f aca="false">Base_OAPDI!F96</f>
        <v>N.° de convenios y redes activos</v>
      </c>
      <c r="F22" s="12" t="str">
        <f aca="false">Base_OAPDI!G96</f>
        <v>Sugerido: (90 convenios activos)</v>
      </c>
      <c r="G22" s="12" t="str">
        <f aca="false">Base_OAPDI!H96</f>
        <v>Sugerido: (75 convenios activos —renovación de los que vencen y 4 nuevos— y 2 redes nuevas)</v>
      </c>
      <c r="H22" s="12" t="str">
        <f aca="false">Base_OAPDI!I96</f>
        <v>A41</v>
      </c>
      <c r="I22" s="12" t="str">
        <f aca="false">Base_OAPDI!J96</f>
        <v>141 · GIT Extensión y Proyección Social</v>
      </c>
      <c r="J22" s="12" t="str">
        <f aca="false">Base_OAPDI!K96</f>
        <v>GIT Extensión y Proyección Social (incluye ETDH)</v>
      </c>
      <c r="K22" s="12" t="str">
        <f aca="false">Base_OAPDI!L96</f>
        <v>Extensión y Proyección Social</v>
      </c>
      <c r="L22" s="12" t="n">
        <f aca="false">Base_OAPDI!N96</f>
        <v>4</v>
      </c>
      <c r="M22" s="12" t="n">
        <f aca="false">Base_OAPDI!P96</f>
        <v>2</v>
      </c>
      <c r="N22" s="12" t="n">
        <f aca="false">Base_OAPDI!Q96</f>
        <v>0</v>
      </c>
      <c r="O22" s="12" t="str">
        <f aca="false">Base_OAPDI!R96</f>
        <v>Acciones propuestas por la OAPDI (valídelas y formúlelas en esta fila o en Acciones adicionales): A27-073 Revisar el vencimiento y el uso de los 71 convenios activos; A27-074 Renovar los convenios útiles que vencen y gestionar 4 nuevos. Cerrar o reprogramar 2 producto(s) 2026 pendiente(s) de esta meta.</v>
      </c>
      <c r="P22" s="12" t="str">
        <f aca="false">Base_OAPDI!S96</f>
        <v>IMP-03; IMP-04</v>
      </c>
      <c r="Q22" s="11"/>
      <c r="R22" s="11"/>
      <c r="S22" s="11"/>
      <c r="T22" s="18"/>
      <c r="U22" s="18"/>
      <c r="V22" s="11"/>
      <c r="W22" s="11"/>
      <c r="X22" s="11"/>
      <c r="Y22" s="11"/>
      <c r="Z22" s="11"/>
      <c r="AA22" s="11"/>
      <c r="AB22" s="12" t="str">
        <f aca="false">IF(AA22="","",INDEX(Catalogos!$Y$5:$Y$25,MATCH(AA22,L_IMP,0)))</f>
        <v/>
      </c>
      <c r="AC22" s="11"/>
      <c r="AD22" s="11"/>
      <c r="AE22" s="11"/>
      <c r="AF22" s="10" t="str">
        <f aca="false">IF(Q22="","Pendiente por formular",IF(OR(S22="",T22="",U22="",V22="",W22="",X22="",Z22="",AA22=""),"Incompleta: faltan campos obligatorios",IF(OR(NOT(ISNUMBER(T22)),NOT(ISNUMBER(U22))),"Fecha inválida",IF(U22&lt;T22,"La fecha de fin es anterior a la de inicio",IF(OR(YEAR(T22)&lt;&gt;2027,YEAR(U22)&lt;&gt;2027),"Fechas fuera de la vigencia 2027",IF(ISERROR(SEARCH("@itc.edu.co",V22)),"El responsable no tiene correo institucional",IF(ISERROR(SEARCH(Z22,INDEX(Catalogos!$Z$5:$Z$25,MATCH(AA22,L_IMP,0)))),"La dimensión no corresponde al indicador de impacto","OK")))))))</f>
        <v>Pendiente por formular</v>
      </c>
    </row>
    <row r="23" customFormat="false" ht="78.75" hidden="false" customHeight="true" outlineLevel="0" collapsed="false">
      <c r="A23" s="12" t="str">
        <f aca="false">Base_OAPDI!A97</f>
        <v>E3-017</v>
      </c>
      <c r="B23" s="12" t="str">
        <f aca="false">Base_OAPDI!B97</f>
        <v>3.3.1.3</v>
      </c>
      <c r="C23" s="12" t="str">
        <f aca="false">Base_OAPDI!D97</f>
        <v>3.3 Interacción con el sector productivo y social</v>
      </c>
      <c r="D23" s="12" t="str">
        <f aca="false">Base_OAPDI!E97</f>
        <v>Establecer convenios y fortalecer redes de colaboración con sectores productivos, sociales y educativos, tanto públicos como privados.</v>
      </c>
      <c r="E23" s="12" t="str">
        <f aca="false">Base_OAPDI!F97</f>
        <v>N.° de convenios y redes activos</v>
      </c>
      <c r="F23" s="12" t="str">
        <f aca="false">Base_OAPDI!G97</f>
        <v>Sugerido: (90 convenios activos)</v>
      </c>
      <c r="G23" s="12" t="str">
        <f aca="false">Base_OAPDI!H97</f>
        <v>Sugerido: (75 convenios activos —renovación de los que vencen y 4 nuevos— y 2 redes nuevas)</v>
      </c>
      <c r="H23" s="12" t="str">
        <f aca="false">Base_OAPDI!I97</f>
        <v>A03</v>
      </c>
      <c r="I23" s="12" t="str">
        <f aca="false">Base_OAPDI!J97</f>
        <v>100 · Rectoría</v>
      </c>
      <c r="J23" s="12" t="str">
        <f aca="false">Base_OAPDI!K97</f>
        <v>Internacionalización (ORII)</v>
      </c>
      <c r="K23" s="12" t="str">
        <f aca="false">Base_OAPDI!L97</f>
        <v>Gestión de Internacionalización</v>
      </c>
      <c r="L23" s="12" t="n">
        <f aca="false">Base_OAPDI!N97</f>
        <v>0</v>
      </c>
      <c r="M23" s="12" t="n">
        <f aca="false">Base_OAPDI!P97</f>
        <v>0</v>
      </c>
      <c r="N23" s="12" t="n">
        <f aca="false">Base_OAPDI!Q97</f>
        <v>0</v>
      </c>
      <c r="O23" s="12" t="str">
        <f aca="false">Base_OAPDI!R97</f>
        <v>Acciones propuestas por la OAPDI (valídelas y formúlelas en esta fila o en Acciones adicionales): A27-075 Afiliarse a 2 redes nuevas (por ejemplo, RIUC y renovación RCI ASCUN).</v>
      </c>
      <c r="P23" s="12" t="str">
        <f aca="false">Base_OAPDI!S97</f>
        <v>IMP-03; IMP-04</v>
      </c>
      <c r="Q23" s="11"/>
      <c r="R23" s="11"/>
      <c r="S23" s="11"/>
      <c r="T23" s="18"/>
      <c r="U23" s="18"/>
      <c r="V23" s="11"/>
      <c r="W23" s="11"/>
      <c r="X23" s="11"/>
      <c r="Y23" s="11"/>
      <c r="Z23" s="11"/>
      <c r="AA23" s="11"/>
      <c r="AB23" s="12" t="str">
        <f aca="false">IF(AA23="","",INDEX(Catalogos!$Y$5:$Y$25,MATCH(AA23,L_IMP,0)))</f>
        <v/>
      </c>
      <c r="AC23" s="11"/>
      <c r="AD23" s="11"/>
      <c r="AE23" s="11"/>
      <c r="AF23" s="10" t="str">
        <f aca="false">IF(Q23="","Pendiente por formular",IF(OR(S23="",T23="",U23="",V23="",W23="",X23="",Z23="",AA23=""),"Incompleta: faltan campos obligatorios",IF(OR(NOT(ISNUMBER(T23)),NOT(ISNUMBER(U23))),"Fecha inválida",IF(U23&lt;T23,"La fecha de fin es anterior a la de inicio",IF(OR(YEAR(T23)&lt;&gt;2027,YEAR(U23)&lt;&gt;2027),"Fechas fuera de la vigencia 2027",IF(ISERROR(SEARCH("@itc.edu.co",V23)),"El responsable no tiene correo institucional",IF(ISERROR(SEARCH(Z23,INDEX(Catalogos!$Z$5:$Z$25,MATCH(AA23,L_IMP,0)))),"La dimensión no corresponde al indicador de impacto","OK")))))))</f>
        <v>Pendiente por formular</v>
      </c>
    </row>
  </sheetData>
  <sheetProtection sheet="true" password="cc6d" formatColumns="false" formatRows="false" autoFilter="false"/>
  <autoFilter ref="A6:AF23"/>
  <mergeCells count="3">
    <mergeCell ref="A2:P2"/>
    <mergeCell ref="A5:P5"/>
    <mergeCell ref="Q5:AE5"/>
  </mergeCells>
  <conditionalFormatting sqref="AF7:AF23">
    <cfRule type="expression" priority="2" aboveAverage="0" equalAverage="0" bottom="0" percent="0" rank="0" text="" dxfId="5">
      <formula>AF7="OK"</formula>
    </cfRule>
    <cfRule type="expression" priority="3" aboveAverage="0" equalAverage="0" bottom="0" percent="0" rank="0" text="" dxfId="6">
      <formula>LEFT(AF7,9)="Pendiente"</formula>
    </cfRule>
    <cfRule type="expression" priority="4" aboveAverage="0" equalAverage="0" bottom="0" percent="0" rank="0" text="" dxfId="7">
      <formula>AND(AF7&lt;&gt;"OK",LEFT(AF7,9)&lt;&gt;"Pendiente")</formula>
    </cfRule>
  </conditionalFormatting>
  <dataValidations count="5">
    <dataValidation allowBlank="true" error="Escriba el correo institucional (@itc.edu.co) del responsable." errorStyle="stop" errorTitle="Correo no institucional" operator="between" showDropDown="false" showErrorMessage="true" showInputMessage="false" sqref="V7:V23" type="custom">
      <formula1>ISNUMBER(SEARCH("@itc.edu.co",V7))</formula1>
      <formula2>0</formula2>
    </dataValidation>
    <dataValidation allowBlank="true" errorStyle="stop" operator="between" showDropDown="false" showErrorMessage="false" showInputMessage="false" sqref="AC7:AC23" type="list">
      <formula1>L_SINO</formula1>
      <formula2>0</formula2>
    </dataValidation>
    <dataValidation allowBlank="true" error="Seleccione un indicador de la Guía Metodológica." errorStyle="stop" errorTitle="Indicador no válido" operator="between" showDropDown="false" showErrorMessage="true" showInputMessage="false" sqref="AA7:AA23" type="list">
      <formula1>L_IMP</formula1>
      <formula2>0</formula2>
    </dataValidation>
    <dataValidation allowBlank="true" errorStyle="stop" operator="between" showDropDown="false" showErrorMessage="false" showInputMessage="false" sqref="Z7:Z23" type="list">
      <formula1>L_DIM</formula1>
      <formula2>0</formula2>
    </dataValidation>
    <dataValidation allowBlank="true" error="Use una fecha entre el 01/01/2027 y el 31/12/2027." errorStyle="stop" errorTitle="Fecha fuera de vigencia" operator="between" showDropDown="false" showErrorMessage="true" showInputMessage="false" sqref="T7:U23" type="date">
      <formula1>DATE(2027,1,1)</formula1>
      <formula2>DATE(2027,12,31)</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F5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4" ySplit="6" topLeftCell="E13" activePane="bottomRight" state="frozen"/>
      <selection pane="topLeft" activeCell="A1" activeCellId="0" sqref="A1"/>
      <selection pane="topRight" activeCell="E1" activeCellId="0" sqref="E1"/>
      <selection pane="bottomLeft" activeCell="A13" activeCellId="0" sqref="A13"/>
      <selection pane="bottomRight" activeCell="A1" activeCellId="0" sqref="A1"/>
    </sheetView>
  </sheetViews>
  <sheetFormatPr defaultColWidth="8.66796875" defaultRowHeight="14.25" zeroHeight="false" outlineLevelRow="0" outlineLevelCol="0"/>
  <cols>
    <col collapsed="false" customWidth="true" hidden="false" outlineLevel="0" max="1" min="1" style="0" width="10"/>
    <col collapsed="false" customWidth="true" hidden="false" outlineLevel="0" max="2" min="2" style="0" width="9"/>
    <col collapsed="false" customWidth="true" hidden="false" outlineLevel="0" max="3" min="3" style="0" width="24"/>
    <col collapsed="false" customWidth="true" hidden="false" outlineLevel="0" max="4" min="4" style="0" width="40"/>
    <col collapsed="false" customWidth="true" hidden="false" outlineLevel="0" max="5" min="5" style="0" width="26"/>
    <col collapsed="false" customWidth="true" hidden="false" outlineLevel="0" max="7" min="6" style="0" width="18"/>
    <col collapsed="false" customWidth="true" hidden="false" outlineLevel="0" max="8" min="8" style="0" width="7"/>
    <col collapsed="false" customWidth="true" hidden="false" outlineLevel="0" max="9" min="9" style="0" width="28"/>
    <col collapsed="false" customWidth="true" hidden="false" outlineLevel="0" max="10" min="10" style="0" width="26"/>
    <col collapsed="false" customWidth="true" hidden="false" outlineLevel="0" max="11" min="11" style="0" width="22"/>
    <col collapsed="false" customWidth="true" hidden="false" outlineLevel="0" max="12" min="12" style="0" width="9"/>
    <col collapsed="false" customWidth="true" hidden="false" outlineLevel="0" max="13" min="13" style="0" width="10"/>
    <col collapsed="false" customWidth="true" hidden="false" outlineLevel="0" max="14" min="14" style="0" width="11"/>
    <col collapsed="false" customWidth="true" hidden="false" outlineLevel="0" max="15" min="15" style="0" width="34"/>
    <col collapsed="false" customWidth="true" hidden="false" outlineLevel="0" max="16" min="16" style="0" width="18"/>
    <col collapsed="false" customWidth="true" hidden="false" outlineLevel="0" max="17" min="17" style="0" width="32"/>
    <col collapsed="false" customWidth="true" hidden="false" outlineLevel="0" max="18" min="18" style="0" width="40"/>
    <col collapsed="false" customWidth="true" hidden="false" outlineLevel="0" max="19" min="19" style="0" width="30"/>
    <col collapsed="false" customWidth="true" hidden="false" outlineLevel="0" max="21" min="20" style="0" width="12"/>
    <col collapsed="false" customWidth="true" hidden="false" outlineLevel="0" max="22" min="22" style="0" width="26"/>
    <col collapsed="false" customWidth="true" hidden="false" outlineLevel="0" max="23" min="23" style="0" width="28"/>
    <col collapsed="false" customWidth="true" hidden="false" outlineLevel="0" max="25" min="24" style="0" width="12"/>
    <col collapsed="false" customWidth="true" hidden="false" outlineLevel="0" max="26" min="26" style="0" width="16"/>
    <col collapsed="false" customWidth="true" hidden="false" outlineLevel="0" max="27" min="27" style="0" width="40"/>
    <col collapsed="false" customWidth="true" hidden="false" outlineLevel="0" max="28" min="28" style="0" width="30"/>
    <col collapsed="false" customWidth="true" hidden="false" outlineLevel="0" max="29" min="29" style="0" width="14"/>
    <col collapsed="false" customWidth="true" hidden="false" outlineLevel="0" max="30" min="30" style="0" width="30"/>
    <col collapsed="false" customWidth="true" hidden="false" outlineLevel="0" max="31" min="31" style="0" width="28"/>
    <col collapsed="false" customWidth="true" hidden="false" outlineLevel="0" max="32" min="32" style="0" width="30"/>
  </cols>
  <sheetData>
    <row r="1" customFormat="false" ht="17.25" hidden="false" customHeight="true" outlineLevel="0" collapsed="false">
      <c r="A1" s="7" t="s">
        <v>598</v>
      </c>
    </row>
    <row r="2" customFormat="false" ht="30" hidden="false" customHeight="true" outlineLevel="0" collapsed="false">
      <c r="A2" s="2" t="s">
        <v>599</v>
      </c>
      <c r="B2" s="2"/>
      <c r="C2" s="2"/>
      <c r="D2" s="2"/>
      <c r="E2" s="2"/>
      <c r="F2" s="2"/>
      <c r="G2" s="2"/>
      <c r="H2" s="2"/>
      <c r="I2" s="2"/>
      <c r="J2" s="2"/>
      <c r="K2" s="2"/>
      <c r="L2" s="2"/>
      <c r="M2" s="2"/>
      <c r="N2" s="2"/>
      <c r="O2" s="2"/>
      <c r="P2" s="2"/>
    </row>
    <row r="3" customFormat="false" ht="14.25" hidden="false" customHeight="false" outlineLevel="0" collapsed="false">
      <c r="A3" s="15" t="s">
        <v>584</v>
      </c>
    </row>
    <row r="5" customFormat="false" ht="15" hidden="false" customHeight="true" outlineLevel="0" collapsed="false">
      <c r="A5" s="19" t="s">
        <v>585</v>
      </c>
      <c r="B5" s="19"/>
      <c r="C5" s="19"/>
      <c r="D5" s="19"/>
      <c r="E5" s="19"/>
      <c r="F5" s="19"/>
      <c r="G5" s="19"/>
      <c r="H5" s="19"/>
      <c r="I5" s="19"/>
      <c r="J5" s="19"/>
      <c r="K5" s="19"/>
      <c r="L5" s="19"/>
      <c r="M5" s="19"/>
      <c r="N5" s="19"/>
      <c r="O5" s="19"/>
      <c r="P5" s="19"/>
      <c r="Q5" s="20" t="s">
        <v>586</v>
      </c>
      <c r="R5" s="20"/>
      <c r="S5" s="20"/>
      <c r="T5" s="20"/>
      <c r="U5" s="20"/>
      <c r="V5" s="20"/>
      <c r="W5" s="20"/>
      <c r="X5" s="20"/>
      <c r="Y5" s="20"/>
      <c r="Z5" s="20"/>
      <c r="AA5" s="20"/>
      <c r="AB5" s="20"/>
      <c r="AC5" s="20"/>
      <c r="AD5" s="20"/>
      <c r="AE5" s="20"/>
      <c r="AF5" s="21" t="s">
        <v>587</v>
      </c>
    </row>
    <row r="6" customFormat="false" ht="42" hidden="false" customHeight="true" outlineLevel="0" collapsed="false">
      <c r="A6" s="22" t="s">
        <v>552</v>
      </c>
      <c r="B6" s="22" t="s">
        <v>553</v>
      </c>
      <c r="C6" s="22" t="s">
        <v>568</v>
      </c>
      <c r="D6" s="22" t="s">
        <v>554</v>
      </c>
      <c r="E6" s="22" t="s">
        <v>588</v>
      </c>
      <c r="F6" s="22" t="s">
        <v>589</v>
      </c>
      <c r="G6" s="22" t="s">
        <v>555</v>
      </c>
      <c r="H6" s="22" t="s">
        <v>590</v>
      </c>
      <c r="I6" s="22" t="s">
        <v>45</v>
      </c>
      <c r="J6" s="22" t="s">
        <v>44</v>
      </c>
      <c r="K6" s="22" t="s">
        <v>591</v>
      </c>
      <c r="L6" s="22" t="s">
        <v>592</v>
      </c>
      <c r="M6" s="22" t="s">
        <v>558</v>
      </c>
      <c r="N6" s="22" t="s">
        <v>593</v>
      </c>
      <c r="O6" s="22" t="s">
        <v>556</v>
      </c>
      <c r="P6" s="22" t="s">
        <v>559</v>
      </c>
      <c r="Q6" s="17" t="s">
        <v>21</v>
      </c>
      <c r="R6" s="17" t="s">
        <v>570</v>
      </c>
      <c r="S6" s="17" t="s">
        <v>23</v>
      </c>
      <c r="T6" s="17" t="s">
        <v>571</v>
      </c>
      <c r="U6" s="17" t="s">
        <v>572</v>
      </c>
      <c r="V6" s="17" t="s">
        <v>573</v>
      </c>
      <c r="W6" s="17" t="s">
        <v>574</v>
      </c>
      <c r="X6" s="17" t="s">
        <v>575</v>
      </c>
      <c r="Y6" s="17" t="s">
        <v>576</v>
      </c>
      <c r="Z6" s="17" t="s">
        <v>577</v>
      </c>
      <c r="AA6" s="17" t="s">
        <v>578</v>
      </c>
      <c r="AB6" s="17" t="s">
        <v>579</v>
      </c>
      <c r="AC6" s="17" t="s">
        <v>580</v>
      </c>
      <c r="AD6" s="17" t="s">
        <v>35</v>
      </c>
      <c r="AE6" s="17" t="s">
        <v>55</v>
      </c>
      <c r="AF6" s="8" t="s">
        <v>581</v>
      </c>
    </row>
    <row r="7" customFormat="false" ht="78.75" hidden="false" customHeight="true" outlineLevel="0" collapsed="false">
      <c r="A7" s="12" t="str">
        <f aca="false">Base_OAPDI!A98</f>
        <v>E4-001</v>
      </c>
      <c r="B7" s="12" t="str">
        <f aca="false">Base_OAPDI!B98</f>
        <v>4.1.1.1</v>
      </c>
      <c r="C7" s="12" t="str">
        <f aca="false">Base_OAPDI!D98</f>
        <v>4.1 Dimensión estratégica</v>
      </c>
      <c r="D7" s="12" t="str">
        <f aca="false">Base_OAPDI!E98</f>
        <v>Cumplir al 2032 con el 90% en el Plan de Desarrollo Institucional 2025-2032 de la ETITC.</v>
      </c>
      <c r="E7" s="12" t="str">
        <f aca="false">Base_OAPDI!F98</f>
        <v>% de avance acumulado del PDI</v>
      </c>
      <c r="F7" s="12" t="str">
        <f aca="false">Base_OAPDI!G98</f>
        <v>90%</v>
      </c>
      <c r="G7" s="12" t="str">
        <f aca="false">Base_OAPDI!H98</f>
        <v>33% de avance acumulado del PDI</v>
      </c>
      <c r="H7" s="12" t="str">
        <f aca="false">Base_OAPDI!I98</f>
        <v>A05</v>
      </c>
      <c r="I7" s="12" t="str">
        <f aca="false">Base_OAPDI!J98</f>
        <v>101 · Oficina Asesora de Planeación y Desarrollo Institucional</v>
      </c>
      <c r="J7" s="12" t="str">
        <f aca="false">Base_OAPDI!K98</f>
        <v>Planeación y Plan de Acción</v>
      </c>
      <c r="K7" s="12" t="str">
        <f aca="false">Base_OAPDI!L98</f>
        <v>Direccionamiento Institucional</v>
      </c>
      <c r="L7" s="12" t="n">
        <f aca="false">Base_OAPDI!N98</f>
        <v>4</v>
      </c>
      <c r="M7" s="12" t="n">
        <f aca="false">Base_OAPDI!P98</f>
        <v>4</v>
      </c>
      <c r="N7" s="12" t="n">
        <f aca="false">Base_OAPDI!Q98</f>
        <v>2</v>
      </c>
      <c r="O7" s="12" t="str">
        <f aca="false">Base_OAPDI!R98</f>
        <v>Acciones propuestas por la OAPDI (valídelas y formúlelas en esta fila o en Acciones adicionales): A27-076 Adoptar el protocolo de mesas de trabajo en el SGC; A27-077 Extender la revisión de pertinencia a todos los productos ejecutados; A27-078 Hacer seguimiento trimestral del PAA 2027 en el Navegador Estratégico. Cerrar o reprogramar 4 producto(s) 2026 pendiente(s) de esta meta. Atender 2 compromiso(s) de proyectos estructurantes (hoja Compromisos_2026).</v>
      </c>
      <c r="P7" s="12" t="str">
        <f aca="false">Base_OAPDI!S98</f>
        <v>IMP-14; IMP-18</v>
      </c>
      <c r="Q7" s="11"/>
      <c r="R7" s="11"/>
      <c r="S7" s="11"/>
      <c r="T7" s="18"/>
      <c r="U7" s="18"/>
      <c r="V7" s="11"/>
      <c r="W7" s="11"/>
      <c r="X7" s="11"/>
      <c r="Y7" s="11"/>
      <c r="Z7" s="11"/>
      <c r="AA7" s="11"/>
      <c r="AB7" s="12" t="str">
        <f aca="false">IF(AA7="","",INDEX(Catalogos!$Y$5:$Y$25,MATCH(AA7,L_IMP,0)))</f>
        <v/>
      </c>
      <c r="AC7" s="11"/>
      <c r="AD7" s="11"/>
      <c r="AE7" s="11"/>
      <c r="AF7" s="10" t="str">
        <f aca="false">IF(Q7="","Pendiente por formular",IF(OR(S7="",T7="",U7="",V7="",W7="",X7="",Z7="",AA7=""),"Incompleta: faltan campos obligatorios",IF(OR(NOT(ISNUMBER(T7)),NOT(ISNUMBER(U7))),"Fecha inválida",IF(U7&lt;T7,"La fecha de fin es anterior a la de inicio",IF(OR(YEAR(T7)&lt;&gt;2027,YEAR(U7)&lt;&gt;2027),"Fechas fuera de la vigencia 2027",IF(ISERROR(SEARCH("@itc.edu.co",V7)),"El responsable no tiene correo institucional",IF(ISERROR(SEARCH(Z7,INDEX(Catalogos!$Z$5:$Z$25,MATCH(AA7,L_IMP,0)))),"La dimensión no corresponde al indicador de impacto","OK")))))))</f>
        <v>Pendiente por formular</v>
      </c>
    </row>
    <row r="8" customFormat="false" ht="26.25" hidden="false" customHeight="true" outlineLevel="0" collapsed="false">
      <c r="A8" s="12" t="str">
        <f aca="false">Base_OAPDI!A99</f>
        <v>E4-002</v>
      </c>
      <c r="B8" s="12" t="str">
        <f aca="false">Base_OAPDI!B99</f>
        <v>4.1.1.1</v>
      </c>
      <c r="C8" s="12" t="str">
        <f aca="false">Base_OAPDI!D99</f>
        <v>4.1 Dimensión estratégica</v>
      </c>
      <c r="D8" s="12" t="str">
        <f aca="false">Base_OAPDI!E99</f>
        <v>Cumplir al 2032 con el 90% en el Plan de Desarrollo Institucional 2025-2032 de la ETITC.</v>
      </c>
      <c r="E8" s="12" t="str">
        <f aca="false">Base_OAPDI!F99</f>
        <v>% de avance acumulado del PDI</v>
      </c>
      <c r="F8" s="12" t="str">
        <f aca="false">Base_OAPDI!G99</f>
        <v>90%</v>
      </c>
      <c r="G8" s="12" t="str">
        <f aca="false">Base_OAPDI!H99</f>
        <v>33% de avance acumulado del PDI</v>
      </c>
      <c r="H8" s="12" t="str">
        <f aca="false">Base_OAPDI!I99</f>
        <v>A01</v>
      </c>
      <c r="I8" s="12" t="str">
        <f aca="false">Base_OAPDI!J99</f>
        <v>100 · Rectoría</v>
      </c>
      <c r="J8" s="12" t="str">
        <f aca="false">Base_OAPDI!K99</f>
        <v>Despacho de Rectoría</v>
      </c>
      <c r="K8" s="12" t="str">
        <f aca="false">Base_OAPDI!L99</f>
        <v>Direccionamiento Institucional</v>
      </c>
      <c r="L8" s="12" t="n">
        <f aca="false">Base_OAPDI!N99</f>
        <v>0</v>
      </c>
      <c r="M8" s="12" t="n">
        <f aca="false">Base_OAPDI!P99</f>
        <v>0</v>
      </c>
      <c r="N8" s="12" t="n">
        <f aca="false">Base_OAPDI!Q99</f>
        <v>0</v>
      </c>
      <c r="O8" s="12" t="str">
        <f aca="false">Base_OAPDI!R99</f>
        <v>Acciones propuestas por la OAPDI (valídelas y formúlelas en esta fila o en Acciones adicionales): A27-079 Adelantar los trámites de transformación a universidad (Ley 30 de 1992, Ley 749 de 2002).</v>
      </c>
      <c r="P8" s="12" t="str">
        <f aca="false">Base_OAPDI!S99</f>
        <v>IMP-14; IMP-18</v>
      </c>
      <c r="Q8" s="11"/>
      <c r="R8" s="11"/>
      <c r="S8" s="11"/>
      <c r="T8" s="18"/>
      <c r="U8" s="18"/>
      <c r="V8" s="11"/>
      <c r="W8" s="11"/>
      <c r="X8" s="11"/>
      <c r="Y8" s="11"/>
      <c r="Z8" s="11"/>
      <c r="AA8" s="11"/>
      <c r="AB8" s="12" t="str">
        <f aca="false">IF(AA8="","",INDEX(Catalogos!$Y$5:$Y$25,MATCH(AA8,L_IMP,0)))</f>
        <v/>
      </c>
      <c r="AC8" s="11"/>
      <c r="AD8" s="11"/>
      <c r="AE8" s="11"/>
      <c r="AF8" s="10" t="str">
        <f aca="false">IF(Q8="","Pendiente por formular",IF(OR(S8="",T8="",U8="",V8="",W8="",X8="",Z8="",AA8=""),"Incompleta: faltan campos obligatorios",IF(OR(NOT(ISNUMBER(T8)),NOT(ISNUMBER(U8))),"Fecha inválida",IF(U8&lt;T8,"La fecha de fin es anterior a la de inicio",IF(OR(YEAR(T8)&lt;&gt;2027,YEAR(U8)&lt;&gt;2027),"Fechas fuera de la vigencia 2027",IF(ISERROR(SEARCH("@itc.edu.co",V8)),"El responsable no tiene correo institucional",IF(ISERROR(SEARCH(Z8,INDEX(Catalogos!$Z$5:$Z$25,MATCH(AA8,L_IMP,0)))),"La dimensión no corresponde al indicador de impacto","OK")))))))</f>
        <v>Pendiente por formular</v>
      </c>
    </row>
    <row r="9" customFormat="false" ht="66" hidden="false" customHeight="true" outlineLevel="0" collapsed="false">
      <c r="A9" s="12" t="str">
        <f aca="false">Base_OAPDI!A100</f>
        <v>E4-003</v>
      </c>
      <c r="B9" s="12" t="str">
        <f aca="false">Base_OAPDI!B100</f>
        <v>4.1.1.2</v>
      </c>
      <c r="C9" s="12" t="str">
        <f aca="false">Base_OAPDI!D100</f>
        <v>4.1 Dimensión estratégica</v>
      </c>
      <c r="D9" s="12" t="str">
        <f aca="false">Base_OAPDI!E100</f>
        <v>Alcanzar el 92% en el Índice de Desempeño Institucional del FURAG.</v>
      </c>
      <c r="E9" s="12" t="str">
        <f aca="false">Base_OAPDI!F100</f>
        <v>Índice de Desempeño Institucional (FURAG)</v>
      </c>
      <c r="F9" s="12" t="str">
        <f aca="false">Base_OAPDI!G100</f>
        <v>92%</v>
      </c>
      <c r="G9" s="12" t="str">
        <f aca="false">Base_OAPDI!H100</f>
        <v>Sugerido: (90% —la trayectoria lineal de 87,7% en 2024 a 92% en 2032 da 89,3% en 2027—)</v>
      </c>
      <c r="H9" s="12" t="str">
        <f aca="false">Base_OAPDI!I100</f>
        <v>A08</v>
      </c>
      <c r="I9" s="12" t="str">
        <f aca="false">Base_OAPDI!J100</f>
        <v>101 · Oficina Asesora de Planeación y Desarrollo Institucional</v>
      </c>
      <c r="J9" s="12" t="str">
        <f aca="false">Base_OAPDI!K100</f>
        <v>Aseguramiento de la Calidad, MIPG y Registros Calificados</v>
      </c>
      <c r="K9" s="12" t="str">
        <f aca="false">Base_OAPDI!L100</f>
        <v>Gestión del Sistema Integrado de Aseguramiento</v>
      </c>
      <c r="L9" s="12" t="n">
        <f aca="false">Base_OAPDI!N100</f>
        <v>2</v>
      </c>
      <c r="M9" s="12" t="n">
        <f aca="false">Base_OAPDI!P100</f>
        <v>2</v>
      </c>
      <c r="N9" s="12" t="n">
        <f aca="false">Base_OAPDI!Q100</f>
        <v>0</v>
      </c>
      <c r="O9" s="12" t="str">
        <f aca="false">Base_OAPDI!R100</f>
        <v>Acciones propuestas por la OAPDI (valídelas y formúlelas en esta fila o en Acciones adicionales): A27-080 Formular el plan de mejora por política MIPG con base en el último FURAG. Cerrar o reprogramar 2 producto(s) 2026 pendiente(s) de esta meta.</v>
      </c>
      <c r="P9" s="12" t="str">
        <f aca="false">Base_OAPDI!S100</f>
        <v>IMP-14; IMP-15</v>
      </c>
      <c r="Q9" s="11"/>
      <c r="R9" s="11"/>
      <c r="S9" s="11"/>
      <c r="T9" s="18"/>
      <c r="U9" s="18"/>
      <c r="V9" s="11"/>
      <c r="W9" s="11"/>
      <c r="X9" s="11"/>
      <c r="Y9" s="11"/>
      <c r="Z9" s="11"/>
      <c r="AA9" s="11"/>
      <c r="AB9" s="12" t="str">
        <f aca="false">IF(AA9="","",INDEX(Catalogos!$Y$5:$Y$25,MATCH(AA9,L_IMP,0)))</f>
        <v/>
      </c>
      <c r="AC9" s="11"/>
      <c r="AD9" s="11"/>
      <c r="AE9" s="11"/>
      <c r="AF9" s="10" t="str">
        <f aca="false">IF(Q9="","Pendiente por formular",IF(OR(S9="",T9="",U9="",V9="",W9="",X9="",Z9="",AA9=""),"Incompleta: faltan campos obligatorios",IF(OR(NOT(ISNUMBER(T9)),NOT(ISNUMBER(U9))),"Fecha inválida",IF(U9&lt;T9,"La fecha de fin es anterior a la de inicio",IF(OR(YEAR(T9)&lt;&gt;2027,YEAR(U9)&lt;&gt;2027),"Fechas fuera de la vigencia 2027",IF(ISERROR(SEARCH("@itc.edu.co",V9)),"El responsable no tiene correo institucional",IF(ISERROR(SEARCH(Z9,INDEX(Catalogos!$Z$5:$Z$25,MATCH(AA9,L_IMP,0)))),"La dimensión no corresponde al indicador de impacto","OK")))))))</f>
        <v>Pendiente por formular</v>
      </c>
    </row>
    <row r="10" customFormat="false" ht="66" hidden="false" customHeight="true" outlineLevel="0" collapsed="false">
      <c r="A10" s="12" t="str">
        <f aca="false">Base_OAPDI!A101</f>
        <v>E4-004</v>
      </c>
      <c r="B10" s="12" t="str">
        <f aca="false">Base_OAPDI!B101</f>
        <v>4.1.1.2</v>
      </c>
      <c r="C10" s="12" t="str">
        <f aca="false">Base_OAPDI!D101</f>
        <v>4.1 Dimensión estratégica</v>
      </c>
      <c r="D10" s="12" t="str">
        <f aca="false">Base_OAPDI!E101</f>
        <v>Alcanzar el 92% en el Índice de Desempeño Institucional del FURAG.</v>
      </c>
      <c r="E10" s="12" t="str">
        <f aca="false">Base_OAPDI!F101</f>
        <v>Índice de Desempeño Institucional (FURAG)</v>
      </c>
      <c r="F10" s="12" t="str">
        <f aca="false">Base_OAPDI!G101</f>
        <v>92%</v>
      </c>
      <c r="G10" s="12" t="str">
        <f aca="false">Base_OAPDI!H101</f>
        <v>Sugerido: (90% —la trayectoria lineal de 87,7% en 2024 a 92% en 2032 da 89,3% en 2027—)</v>
      </c>
      <c r="H10" s="12" t="str">
        <f aca="false">Base_OAPDI!I101</f>
        <v>A09</v>
      </c>
      <c r="I10" s="12" t="str">
        <f aca="false">Base_OAPDI!J101</f>
        <v>132 · GIT Gestión de Informática y Telecomunicaciones</v>
      </c>
      <c r="J10" s="12" t="str">
        <f aca="false">Base_OAPDI!K101</f>
        <v>Seguridad Digital y Continuidad</v>
      </c>
      <c r="K10" s="12" t="str">
        <f aca="false">Base_OAPDI!L101</f>
        <v>Gestión de Informática y Telecomunicaciones</v>
      </c>
      <c r="L10" s="12" t="n">
        <f aca="false">Base_OAPDI!N101</f>
        <v>30</v>
      </c>
      <c r="M10" s="12" t="n">
        <f aca="false">Base_OAPDI!P101</f>
        <v>17</v>
      </c>
      <c r="N10" s="12" t="n">
        <f aca="false">Base_OAPDI!Q101</f>
        <v>0</v>
      </c>
      <c r="O10" s="12" t="str">
        <f aca="false">Base_OAPDI!R101</f>
        <v>Cerrar o reprogramar 17 producto(s) 2026 pendiente(s) de esta meta.</v>
      </c>
      <c r="P10" s="12" t="str">
        <f aca="false">Base_OAPDI!S101</f>
        <v>IMP-14; IMP-15</v>
      </c>
      <c r="Q10" s="11"/>
      <c r="R10" s="11"/>
      <c r="S10" s="11"/>
      <c r="T10" s="18"/>
      <c r="U10" s="18"/>
      <c r="V10" s="11"/>
      <c r="W10" s="11"/>
      <c r="X10" s="11"/>
      <c r="Y10" s="11"/>
      <c r="Z10" s="11"/>
      <c r="AA10" s="11"/>
      <c r="AB10" s="12" t="str">
        <f aca="false">IF(AA10="","",INDEX(Catalogos!$Y$5:$Y$25,MATCH(AA10,L_IMP,0)))</f>
        <v/>
      </c>
      <c r="AC10" s="11"/>
      <c r="AD10" s="11"/>
      <c r="AE10" s="11"/>
      <c r="AF10" s="10" t="str">
        <f aca="false">IF(Q10="","Pendiente por formular",IF(OR(S10="",T10="",U10="",V10="",W10="",X10="",Z10="",AA10=""),"Incompleta: faltan campos obligatorios",IF(OR(NOT(ISNUMBER(T10)),NOT(ISNUMBER(U10))),"Fecha inválida",IF(U10&lt;T10,"La fecha de fin es anterior a la de inicio",IF(OR(YEAR(T10)&lt;&gt;2027,YEAR(U10)&lt;&gt;2027),"Fechas fuera de la vigencia 2027",IF(ISERROR(SEARCH("@itc.edu.co",V10)),"El responsable no tiene correo institucional",IF(ISERROR(SEARCH(Z10,INDEX(Catalogos!$Z$5:$Z$25,MATCH(AA10,L_IMP,0)))),"La dimensión no corresponde al indicador de impacto","OK")))))))</f>
        <v>Pendiente por formular</v>
      </c>
    </row>
    <row r="11" customFormat="false" ht="66" hidden="false" customHeight="true" outlineLevel="0" collapsed="false">
      <c r="A11" s="12" t="str">
        <f aca="false">Base_OAPDI!A102</f>
        <v>E4-005</v>
      </c>
      <c r="B11" s="12" t="str">
        <f aca="false">Base_OAPDI!B102</f>
        <v>4.1.1.2</v>
      </c>
      <c r="C11" s="12" t="str">
        <f aca="false">Base_OAPDI!D102</f>
        <v>4.1 Dimensión estratégica</v>
      </c>
      <c r="D11" s="12" t="str">
        <f aca="false">Base_OAPDI!E102</f>
        <v>Alcanzar el 92% en el Índice de Desempeño Institucional del FURAG.</v>
      </c>
      <c r="E11" s="12" t="str">
        <f aca="false">Base_OAPDI!F102</f>
        <v>Índice de Desempeño Institucional (FURAG)</v>
      </c>
      <c r="F11" s="12" t="str">
        <f aca="false">Base_OAPDI!G102</f>
        <v>92%</v>
      </c>
      <c r="G11" s="12" t="str">
        <f aca="false">Base_OAPDI!H102</f>
        <v>Sugerido: (90% —la trayectoria lineal de 87,7% en 2024 a 92% en 2032 da 89,3% en 2027—)</v>
      </c>
      <c r="H11" s="12" t="str">
        <f aca="false">Base_OAPDI!I102</f>
        <v>A29</v>
      </c>
      <c r="I11" s="12" t="str">
        <f aca="false">Base_OAPDI!J102</f>
        <v>126 · GIT Registro y Control</v>
      </c>
      <c r="J11" s="12" t="str">
        <f aca="false">Base_OAPDI!K102</f>
        <v>GIT Registro, Control y Admisiones</v>
      </c>
      <c r="K11" s="12" t="str">
        <f aca="false">Base_OAPDI!L102</f>
        <v>Docencia PES</v>
      </c>
      <c r="L11" s="12" t="n">
        <f aca="false">Base_OAPDI!N102</f>
        <v>0</v>
      </c>
      <c r="M11" s="12" t="n">
        <f aca="false">Base_OAPDI!P102</f>
        <v>0</v>
      </c>
      <c r="N11" s="12" t="n">
        <f aca="false">Base_OAPDI!Q102</f>
        <v>0</v>
      </c>
      <c r="O11" s="12" t="str">
        <f aca="false">Base_OAPDI!R102</f>
        <v>Formular al menos una acción que contribuya a la meta institucional 2027 de esta meta.</v>
      </c>
      <c r="P11" s="12" t="str">
        <f aca="false">Base_OAPDI!S102</f>
        <v>IMP-14; IMP-15</v>
      </c>
      <c r="Q11" s="11"/>
      <c r="R11" s="11"/>
      <c r="S11" s="11"/>
      <c r="T11" s="18"/>
      <c r="U11" s="18"/>
      <c r="V11" s="11"/>
      <c r="W11" s="11"/>
      <c r="X11" s="11"/>
      <c r="Y11" s="11"/>
      <c r="Z11" s="11"/>
      <c r="AA11" s="11"/>
      <c r="AB11" s="12" t="str">
        <f aca="false">IF(AA11="","",INDEX(Catalogos!$Y$5:$Y$25,MATCH(AA11,L_IMP,0)))</f>
        <v/>
      </c>
      <c r="AC11" s="11"/>
      <c r="AD11" s="11"/>
      <c r="AE11" s="11"/>
      <c r="AF11" s="10" t="str">
        <f aca="false">IF(Q11="","Pendiente por formular",IF(OR(S11="",T11="",U11="",V11="",W11="",X11="",Z11="",AA11=""),"Incompleta: faltan campos obligatorios",IF(OR(NOT(ISNUMBER(T11)),NOT(ISNUMBER(U11))),"Fecha inválida",IF(U11&lt;T11,"La fecha de fin es anterior a la de inicio",IF(OR(YEAR(T11)&lt;&gt;2027,YEAR(U11)&lt;&gt;2027),"Fechas fuera de la vigencia 2027",IF(ISERROR(SEARCH("@itc.edu.co",V11)),"El responsable no tiene correo institucional",IF(ISERROR(SEARCH(Z11,INDEX(Catalogos!$Z$5:$Z$25,MATCH(AA11,L_IMP,0)))),"La dimensión no corresponde al indicador de impacto","OK")))))))</f>
        <v>Pendiente por formular</v>
      </c>
    </row>
    <row r="12" customFormat="false" ht="66" hidden="false" customHeight="true" outlineLevel="0" collapsed="false">
      <c r="A12" s="12" t="str">
        <f aca="false">Base_OAPDI!A103</f>
        <v>E4-006</v>
      </c>
      <c r="B12" s="12" t="str">
        <f aca="false">Base_OAPDI!B103</f>
        <v>4.1.1.2</v>
      </c>
      <c r="C12" s="12" t="str">
        <f aca="false">Base_OAPDI!D103</f>
        <v>4.1 Dimensión estratégica</v>
      </c>
      <c r="D12" s="12" t="str">
        <f aca="false">Base_OAPDI!E103</f>
        <v>Alcanzar el 92% en el Índice de Desempeño Institucional del FURAG.</v>
      </c>
      <c r="E12" s="12" t="str">
        <f aca="false">Base_OAPDI!F103</f>
        <v>Índice de Desempeño Institucional (FURAG)</v>
      </c>
      <c r="F12" s="12" t="str">
        <f aca="false">Base_OAPDI!G103</f>
        <v>92%</v>
      </c>
      <c r="G12" s="12" t="str">
        <f aca="false">Base_OAPDI!H103</f>
        <v>Sugerido: (90% —la trayectoria lineal de 87,7% en 2024 a 92% en 2032 da 89,3% en 2027—)</v>
      </c>
      <c r="H12" s="12" t="str">
        <f aca="false">Base_OAPDI!I103</f>
        <v>A34</v>
      </c>
      <c r="I12" s="12" t="str">
        <f aca="false">Base_OAPDI!J103</f>
        <v>132 · GIT Gestión de Informática y Telecomunicaciones</v>
      </c>
      <c r="J12" s="12" t="str">
        <f aca="false">Base_OAPDI!K103</f>
        <v>GIT Informática y Telecomunicaciones</v>
      </c>
      <c r="K12" s="12" t="str">
        <f aca="false">Base_OAPDI!L103</f>
        <v>Gestión de Informática y Telecomunicaciones</v>
      </c>
      <c r="L12" s="12" t="n">
        <f aca="false">Base_OAPDI!N103</f>
        <v>0</v>
      </c>
      <c r="M12" s="12" t="n">
        <f aca="false">Base_OAPDI!P103</f>
        <v>0</v>
      </c>
      <c r="N12" s="12" t="n">
        <f aca="false">Base_OAPDI!Q103</f>
        <v>0</v>
      </c>
      <c r="O12" s="12" t="str">
        <f aca="false">Base_OAPDI!R103</f>
        <v>Formular al menos una acción que contribuya a la meta institucional 2027 de esta meta.</v>
      </c>
      <c r="P12" s="12" t="str">
        <f aca="false">Base_OAPDI!S103</f>
        <v>IMP-14; IMP-15</v>
      </c>
      <c r="Q12" s="11"/>
      <c r="R12" s="11"/>
      <c r="S12" s="11"/>
      <c r="T12" s="18"/>
      <c r="U12" s="18"/>
      <c r="V12" s="11"/>
      <c r="W12" s="11"/>
      <c r="X12" s="11"/>
      <c r="Y12" s="11"/>
      <c r="Z12" s="11"/>
      <c r="AA12" s="11"/>
      <c r="AB12" s="12" t="str">
        <f aca="false">IF(AA12="","",INDEX(Catalogos!$Y$5:$Y$25,MATCH(AA12,L_IMP,0)))</f>
        <v/>
      </c>
      <c r="AC12" s="11"/>
      <c r="AD12" s="11"/>
      <c r="AE12" s="11"/>
      <c r="AF12" s="10" t="str">
        <f aca="false">IF(Q12="","Pendiente por formular",IF(OR(S12="",T12="",U12="",V12="",W12="",X12="",Z12="",AA12=""),"Incompleta: faltan campos obligatorios",IF(OR(NOT(ISNUMBER(T12)),NOT(ISNUMBER(U12))),"Fecha inválida",IF(U12&lt;T12,"La fecha de fin es anterior a la de inicio",IF(OR(YEAR(T12)&lt;&gt;2027,YEAR(U12)&lt;&gt;2027),"Fechas fuera de la vigencia 2027",IF(ISERROR(SEARCH("@itc.edu.co",V12)),"El responsable no tiene correo institucional",IF(ISERROR(SEARCH(Z12,INDEX(Catalogos!$Z$5:$Z$25,MATCH(AA12,L_IMP,0)))),"La dimensión no corresponde al indicador de impacto","OK")))))))</f>
        <v>Pendiente por formular</v>
      </c>
    </row>
    <row r="13" customFormat="false" ht="66" hidden="false" customHeight="true" outlineLevel="0" collapsed="false">
      <c r="A13" s="12" t="str">
        <f aca="false">Base_OAPDI!A104</f>
        <v>E4-007</v>
      </c>
      <c r="B13" s="12" t="str">
        <f aca="false">Base_OAPDI!B104</f>
        <v>4.1.1.2</v>
      </c>
      <c r="C13" s="12" t="str">
        <f aca="false">Base_OAPDI!D104</f>
        <v>4.1 Dimensión estratégica</v>
      </c>
      <c r="D13" s="12" t="str">
        <f aca="false">Base_OAPDI!E104</f>
        <v>Alcanzar el 92% en el Índice de Desempeño Institucional del FURAG.</v>
      </c>
      <c r="E13" s="12" t="str">
        <f aca="false">Base_OAPDI!F104</f>
        <v>Índice de Desempeño Institucional (FURAG)</v>
      </c>
      <c r="F13" s="12" t="str">
        <f aca="false">Base_OAPDI!G104</f>
        <v>92%</v>
      </c>
      <c r="G13" s="12" t="str">
        <f aca="false">Base_OAPDI!H104</f>
        <v>Sugerido: (90% —la trayectoria lineal de 87,7% en 2024 a 92% en 2032 da 89,3% en 2027—)</v>
      </c>
      <c r="H13" s="12" t="str">
        <f aca="false">Base_OAPDI!I104</f>
        <v>A47</v>
      </c>
      <c r="I13" s="12" t="str">
        <f aca="false">Base_OAPDI!J104</f>
        <v>130 · Vicerrectoría Administrativa y Financiera</v>
      </c>
      <c r="J13" s="12" t="str">
        <f aca="false">Base_OAPDI!K104</f>
        <v>Gestión Financiera (Presupuesto, Contabilidad, Tesorería)</v>
      </c>
      <c r="K13" s="12" t="str">
        <f aca="false">Base_OAPDI!L104</f>
        <v>Gestión Financiera</v>
      </c>
      <c r="L13" s="12" t="n">
        <f aca="false">Base_OAPDI!N104</f>
        <v>0</v>
      </c>
      <c r="M13" s="12" t="n">
        <f aca="false">Base_OAPDI!P104</f>
        <v>0</v>
      </c>
      <c r="N13" s="12" t="n">
        <f aca="false">Base_OAPDI!Q104</f>
        <v>8</v>
      </c>
      <c r="O13" s="12" t="str">
        <f aca="false">Base_OAPDI!R104</f>
        <v>Acciones propuestas por la OAPDI (valídelas y formúlelas en esta fila o en Acciones adicionales): A27-081 Fijar calendario de cierre con corte único y constituir el rezago a tiempo; A27-082 Ejecutar el Plan de Mejoramiento con la CGR (7 hallazgos, 24 metas); A27-083 Formular indicadores financieros y contables (razón corriente, margen, rotación de cartera). Atender 8 compromiso(s) de proyectos estructurantes (hoja Compromisos_2026).</v>
      </c>
      <c r="P13" s="12" t="str">
        <f aca="false">Base_OAPDI!S104</f>
        <v>IMP-14; IMP-15</v>
      </c>
      <c r="Q13" s="11"/>
      <c r="R13" s="11"/>
      <c r="S13" s="11"/>
      <c r="T13" s="18"/>
      <c r="U13" s="18"/>
      <c r="V13" s="11"/>
      <c r="W13" s="11"/>
      <c r="X13" s="11"/>
      <c r="Y13" s="11"/>
      <c r="Z13" s="11"/>
      <c r="AA13" s="11"/>
      <c r="AB13" s="12" t="str">
        <f aca="false">IF(AA13="","",INDEX(Catalogos!$Y$5:$Y$25,MATCH(AA13,L_IMP,0)))</f>
        <v/>
      </c>
      <c r="AC13" s="11"/>
      <c r="AD13" s="11"/>
      <c r="AE13" s="11"/>
      <c r="AF13" s="10" t="str">
        <f aca="false">IF(Q13="","Pendiente por formular",IF(OR(S13="",T13="",U13="",V13="",W13="",X13="",Z13="",AA13=""),"Incompleta: faltan campos obligatorios",IF(OR(NOT(ISNUMBER(T13)),NOT(ISNUMBER(U13))),"Fecha inválida",IF(U13&lt;T13,"La fecha de fin es anterior a la de inicio",IF(OR(YEAR(T13)&lt;&gt;2027,YEAR(U13)&lt;&gt;2027),"Fechas fuera de la vigencia 2027",IF(ISERROR(SEARCH("@itc.edu.co",V13)),"El responsable no tiene correo institucional",IF(ISERROR(SEARCH(Z13,INDEX(Catalogos!$Z$5:$Z$25,MATCH(AA13,L_IMP,0)))),"La dimensión no corresponde al indicador de impacto","OK")))))))</f>
        <v>Pendiente por formular</v>
      </c>
    </row>
    <row r="14" customFormat="false" ht="66" hidden="false" customHeight="true" outlineLevel="0" collapsed="false">
      <c r="A14" s="12" t="str">
        <f aca="false">Base_OAPDI!A105</f>
        <v>E4-008</v>
      </c>
      <c r="B14" s="12" t="str">
        <f aca="false">Base_OAPDI!B105</f>
        <v>4.1.1.2</v>
      </c>
      <c r="C14" s="12" t="str">
        <f aca="false">Base_OAPDI!D105</f>
        <v>4.1 Dimensión estratégica</v>
      </c>
      <c r="D14" s="12" t="str">
        <f aca="false">Base_OAPDI!E105</f>
        <v>Alcanzar el 92% en el Índice de Desempeño Institucional del FURAG.</v>
      </c>
      <c r="E14" s="12" t="str">
        <f aca="false">Base_OAPDI!F105</f>
        <v>Índice de Desempeño Institucional (FURAG)</v>
      </c>
      <c r="F14" s="12" t="str">
        <f aca="false">Base_OAPDI!G105</f>
        <v>92%</v>
      </c>
      <c r="G14" s="12" t="str">
        <f aca="false">Base_OAPDI!H105</f>
        <v>Sugerido: (90% —la trayectoria lineal de 87,7% en 2024 a 92% en 2032 da 89,3% en 2027—)</v>
      </c>
      <c r="H14" s="12" t="str">
        <f aca="false">Base_OAPDI!I105</f>
        <v>A05</v>
      </c>
      <c r="I14" s="12" t="str">
        <f aca="false">Base_OAPDI!J105</f>
        <v>101 · Oficina Asesora de Planeación y Desarrollo Institucional</v>
      </c>
      <c r="J14" s="12" t="str">
        <f aca="false">Base_OAPDI!K105</f>
        <v>Planeación y Plan de Acción</v>
      </c>
      <c r="K14" s="12" t="str">
        <f aca="false">Base_OAPDI!L105</f>
        <v>Direccionamiento Institucional</v>
      </c>
      <c r="L14" s="12" t="n">
        <f aca="false">Base_OAPDI!N105</f>
        <v>0</v>
      </c>
      <c r="M14" s="12" t="n">
        <f aca="false">Base_OAPDI!P105</f>
        <v>0</v>
      </c>
      <c r="N14" s="12" t="n">
        <f aca="false">Base_OAPDI!Q105</f>
        <v>1</v>
      </c>
      <c r="O14" s="12" t="str">
        <f aca="false">Base_OAPDI!R105</f>
        <v>Atender 1 compromiso(s) de proyectos estructurantes (hoja Compromisos_2026).</v>
      </c>
      <c r="P14" s="12" t="str">
        <f aca="false">Base_OAPDI!S105</f>
        <v>IMP-14; IMP-15</v>
      </c>
      <c r="Q14" s="11"/>
      <c r="R14" s="11"/>
      <c r="S14" s="11"/>
      <c r="T14" s="18"/>
      <c r="U14" s="18"/>
      <c r="V14" s="11"/>
      <c r="W14" s="11"/>
      <c r="X14" s="11"/>
      <c r="Y14" s="11"/>
      <c r="Z14" s="11"/>
      <c r="AA14" s="11"/>
      <c r="AB14" s="12" t="str">
        <f aca="false">IF(AA14="","",INDEX(Catalogos!$Y$5:$Y$25,MATCH(AA14,L_IMP,0)))</f>
        <v/>
      </c>
      <c r="AC14" s="11"/>
      <c r="AD14" s="11"/>
      <c r="AE14" s="11"/>
      <c r="AF14" s="10" t="str">
        <f aca="false">IF(Q14="","Pendiente por formular",IF(OR(S14="",T14="",U14="",V14="",W14="",X14="",Z14="",AA14=""),"Incompleta: faltan campos obligatorios",IF(OR(NOT(ISNUMBER(T14)),NOT(ISNUMBER(U14))),"Fecha inválida",IF(U14&lt;T14,"La fecha de fin es anterior a la de inicio",IF(OR(YEAR(T14)&lt;&gt;2027,YEAR(U14)&lt;&gt;2027),"Fechas fuera de la vigencia 2027",IF(ISERROR(SEARCH("@itc.edu.co",V14)),"El responsable no tiene correo institucional",IF(ISERROR(SEARCH(Z14,INDEX(Catalogos!$Z$5:$Z$25,MATCH(AA14,L_IMP,0)))),"La dimensión no corresponde al indicador de impacto","OK")))))))</f>
        <v>Pendiente por formular</v>
      </c>
    </row>
    <row r="15" customFormat="false" ht="66" hidden="false" customHeight="true" outlineLevel="0" collapsed="false">
      <c r="A15" s="12" t="str">
        <f aca="false">Base_OAPDI!A106</f>
        <v>E4-009</v>
      </c>
      <c r="B15" s="12" t="str">
        <f aca="false">Base_OAPDI!B106</f>
        <v>4.1.1.2</v>
      </c>
      <c r="C15" s="12" t="str">
        <f aca="false">Base_OAPDI!D106</f>
        <v>4.1 Dimensión estratégica</v>
      </c>
      <c r="D15" s="12" t="str">
        <f aca="false">Base_OAPDI!E106</f>
        <v>Alcanzar el 92% en el Índice de Desempeño Institucional del FURAG.</v>
      </c>
      <c r="E15" s="12" t="str">
        <f aca="false">Base_OAPDI!F106</f>
        <v>Índice de Desempeño Institucional (FURAG)</v>
      </c>
      <c r="F15" s="12" t="str">
        <f aca="false">Base_OAPDI!G106</f>
        <v>92%</v>
      </c>
      <c r="G15" s="12" t="str">
        <f aca="false">Base_OAPDI!H106</f>
        <v>Sugerido: (90% —la trayectoria lineal de 87,7% en 2024 a 92% en 2032 da 89,3% en 2027—)</v>
      </c>
      <c r="H15" s="12" t="str">
        <f aca="false">Base_OAPDI!I106</f>
        <v>A30</v>
      </c>
      <c r="I15" s="12" t="str">
        <f aca="false">Base_OAPDI!J106</f>
        <v>130 · Vicerrectoría Administrativa y Financiera</v>
      </c>
      <c r="J15" s="12" t="str">
        <f aca="false">Base_OAPDI!K106</f>
        <v>Despacho de la Vicerrectoría Administrativa y Financiera</v>
      </c>
      <c r="K15" s="12" t="str">
        <f aca="false">Base_OAPDI!L106</f>
        <v>Gestión Financiera</v>
      </c>
      <c r="L15" s="12" t="n">
        <f aca="false">Base_OAPDI!N106</f>
        <v>0</v>
      </c>
      <c r="M15" s="12" t="n">
        <f aca="false">Base_OAPDI!P106</f>
        <v>0</v>
      </c>
      <c r="N15" s="12" t="n">
        <f aca="false">Base_OAPDI!Q106</f>
        <v>2</v>
      </c>
      <c r="O15" s="12" t="str">
        <f aca="false">Base_OAPDI!R106</f>
        <v>Acciones propuestas por la OAPDI (valídelas y formúlelas en esta fila o en Acciones adicionales): A27-084 Documentar y codificar los procedimientos de gratuidad. Atender 2 compromiso(s) de proyectos estructurantes (hoja Compromisos_2026).</v>
      </c>
      <c r="P15" s="12" t="str">
        <f aca="false">Base_OAPDI!S106</f>
        <v>IMP-14; IMP-15</v>
      </c>
      <c r="Q15" s="11"/>
      <c r="R15" s="11"/>
      <c r="S15" s="11"/>
      <c r="T15" s="18"/>
      <c r="U15" s="18"/>
      <c r="V15" s="11"/>
      <c r="W15" s="11"/>
      <c r="X15" s="11"/>
      <c r="Y15" s="11"/>
      <c r="Z15" s="11"/>
      <c r="AA15" s="11"/>
      <c r="AB15" s="12" t="str">
        <f aca="false">IF(AA15="","",INDEX(Catalogos!$Y$5:$Y$25,MATCH(AA15,L_IMP,0)))</f>
        <v/>
      </c>
      <c r="AC15" s="11"/>
      <c r="AD15" s="11"/>
      <c r="AE15" s="11"/>
      <c r="AF15" s="10" t="str">
        <f aca="false">IF(Q15="","Pendiente por formular",IF(OR(S15="",T15="",U15="",V15="",W15="",X15="",Z15="",AA15=""),"Incompleta: faltan campos obligatorios",IF(OR(NOT(ISNUMBER(T15)),NOT(ISNUMBER(U15))),"Fecha inválida",IF(U15&lt;T15,"La fecha de fin es anterior a la de inicio",IF(OR(YEAR(T15)&lt;&gt;2027,YEAR(U15)&lt;&gt;2027),"Fechas fuera de la vigencia 2027",IF(ISERROR(SEARCH("@itc.edu.co",V15)),"El responsable no tiene correo institucional",IF(ISERROR(SEARCH(Z15,INDEX(Catalogos!$Z$5:$Z$25,MATCH(AA15,L_IMP,0)))),"La dimensión no corresponde al indicador de impacto","OK")))))))</f>
        <v>Pendiente por formular</v>
      </c>
    </row>
    <row r="16" customFormat="false" ht="66" hidden="false" customHeight="true" outlineLevel="0" collapsed="false">
      <c r="A16" s="12" t="str">
        <f aca="false">Base_OAPDI!A107</f>
        <v>E4-010</v>
      </c>
      <c r="B16" s="12" t="str">
        <f aca="false">Base_OAPDI!B107</f>
        <v>4.1.1.2</v>
      </c>
      <c r="C16" s="12" t="str">
        <f aca="false">Base_OAPDI!D107</f>
        <v>4.1 Dimensión estratégica</v>
      </c>
      <c r="D16" s="12" t="str">
        <f aca="false">Base_OAPDI!E107</f>
        <v>Alcanzar el 92% en el Índice de Desempeño Institucional del FURAG.</v>
      </c>
      <c r="E16" s="12" t="str">
        <f aca="false">Base_OAPDI!F107</f>
        <v>Índice de Desempeño Institucional (FURAG)</v>
      </c>
      <c r="F16" s="12" t="str">
        <f aca="false">Base_OAPDI!G107</f>
        <v>92%</v>
      </c>
      <c r="G16" s="12" t="str">
        <f aca="false">Base_OAPDI!H107</f>
        <v>Sugerido: (90% —la trayectoria lineal de 87,7% en 2024 a 92% en 2032 da 89,3% en 2027—)</v>
      </c>
      <c r="H16" s="12" t="str">
        <f aca="false">Base_OAPDI!I107</f>
        <v>A11</v>
      </c>
      <c r="I16" s="12" t="str">
        <f aca="false">Base_OAPDI!J107</f>
        <v>110 · Secretaría General</v>
      </c>
      <c r="J16" s="12" t="str">
        <f aca="false">Base_OAPDI!K107</f>
        <v>Despacho de Secretaría General</v>
      </c>
      <c r="K16" s="12" t="str">
        <f aca="false">Base_OAPDI!L107</f>
        <v>Direccionamiento Institucional</v>
      </c>
      <c r="L16" s="12" t="n">
        <f aca="false">Base_OAPDI!N107</f>
        <v>0</v>
      </c>
      <c r="M16" s="12" t="n">
        <f aca="false">Base_OAPDI!P107</f>
        <v>0</v>
      </c>
      <c r="N16" s="12" t="n">
        <f aca="false">Base_OAPDI!Q107</f>
        <v>2</v>
      </c>
      <c r="O16" s="12" t="str">
        <f aca="false">Base_OAPDI!R107</f>
        <v>Atender 2 compromiso(s) de proyectos estructurantes (hoja Compromisos_2026).</v>
      </c>
      <c r="P16" s="12" t="str">
        <f aca="false">Base_OAPDI!S107</f>
        <v>IMP-14; IMP-15</v>
      </c>
      <c r="Q16" s="11"/>
      <c r="R16" s="11"/>
      <c r="S16" s="11"/>
      <c r="T16" s="18"/>
      <c r="U16" s="18"/>
      <c r="V16" s="11"/>
      <c r="W16" s="11"/>
      <c r="X16" s="11"/>
      <c r="Y16" s="11"/>
      <c r="Z16" s="11"/>
      <c r="AA16" s="11"/>
      <c r="AB16" s="12" t="str">
        <f aca="false">IF(AA16="","",INDEX(Catalogos!$Y$5:$Y$25,MATCH(AA16,L_IMP,0)))</f>
        <v/>
      </c>
      <c r="AC16" s="11"/>
      <c r="AD16" s="11"/>
      <c r="AE16" s="11"/>
      <c r="AF16" s="10" t="str">
        <f aca="false">IF(Q16="","Pendiente por formular",IF(OR(S16="",T16="",U16="",V16="",W16="",X16="",Z16="",AA16=""),"Incompleta: faltan campos obligatorios",IF(OR(NOT(ISNUMBER(T16)),NOT(ISNUMBER(U16))),"Fecha inválida",IF(U16&lt;T16,"La fecha de fin es anterior a la de inicio",IF(OR(YEAR(T16)&lt;&gt;2027,YEAR(U16)&lt;&gt;2027),"Fechas fuera de la vigencia 2027",IF(ISERROR(SEARCH("@itc.edu.co",V16)),"El responsable no tiene correo institucional",IF(ISERROR(SEARCH(Z16,INDEX(Catalogos!$Z$5:$Z$25,MATCH(AA16,L_IMP,0)))),"La dimensión no corresponde al indicador de impacto","OK")))))))</f>
        <v>Pendiente por formular</v>
      </c>
    </row>
    <row r="17" customFormat="false" ht="66" hidden="false" customHeight="true" outlineLevel="0" collapsed="false">
      <c r="A17" s="12" t="str">
        <f aca="false">Base_OAPDI!A108</f>
        <v>E4-011</v>
      </c>
      <c r="B17" s="12" t="str">
        <f aca="false">Base_OAPDI!B108</f>
        <v>4.1.1.2</v>
      </c>
      <c r="C17" s="12" t="str">
        <f aca="false">Base_OAPDI!D108</f>
        <v>4.1 Dimensión estratégica</v>
      </c>
      <c r="D17" s="12" t="str">
        <f aca="false">Base_OAPDI!E108</f>
        <v>Alcanzar el 92% en el Índice de Desempeño Institucional del FURAG.</v>
      </c>
      <c r="E17" s="12" t="str">
        <f aca="false">Base_OAPDI!F108</f>
        <v>Índice de Desempeño Institucional (FURAG)</v>
      </c>
      <c r="F17" s="12" t="str">
        <f aca="false">Base_OAPDI!G108</f>
        <v>92%</v>
      </c>
      <c r="G17" s="12" t="str">
        <f aca="false">Base_OAPDI!H108</f>
        <v>Sugerido: (90% —la trayectoria lineal de 87,7% en 2024 a 92% en 2032 da 89,3% en 2027—)</v>
      </c>
      <c r="H17" s="12" t="str">
        <f aca="false">Base_OAPDI!I108</f>
        <v>A35</v>
      </c>
      <c r="I17" s="12" t="str">
        <f aca="false">Base_OAPDI!J108</f>
        <v>133 · GIT Gestión de Talento Humano</v>
      </c>
      <c r="J17" s="12" t="str">
        <f aca="false">Base_OAPDI!K108</f>
        <v>GIT Talento Humano</v>
      </c>
      <c r="K17" s="12" t="str">
        <f aca="false">Base_OAPDI!L108</f>
        <v>Gestión de Talento Humano</v>
      </c>
      <c r="L17" s="12" t="n">
        <f aca="false">Base_OAPDI!N108</f>
        <v>0</v>
      </c>
      <c r="M17" s="12" t="n">
        <f aca="false">Base_OAPDI!P108</f>
        <v>0</v>
      </c>
      <c r="N17" s="12" t="n">
        <f aca="false">Base_OAPDI!Q108</f>
        <v>2</v>
      </c>
      <c r="O17" s="12" t="str">
        <f aca="false">Base_OAPDI!R108</f>
        <v>Acciones propuestas por la OAPDI (valídelas y formúlelas en esta fila o en Acciones adicionales): A27-085 Incluir capacitación contable en el Plan Institucional de Capacitación. Atender 2 compromiso(s) de proyectos estructurantes (hoja Compromisos_2026).</v>
      </c>
      <c r="P17" s="12" t="str">
        <f aca="false">Base_OAPDI!S108</f>
        <v>IMP-14; IMP-15</v>
      </c>
      <c r="Q17" s="11"/>
      <c r="R17" s="11"/>
      <c r="S17" s="11"/>
      <c r="T17" s="18"/>
      <c r="U17" s="18"/>
      <c r="V17" s="11"/>
      <c r="W17" s="11"/>
      <c r="X17" s="11"/>
      <c r="Y17" s="11"/>
      <c r="Z17" s="11"/>
      <c r="AA17" s="11"/>
      <c r="AB17" s="12" t="str">
        <f aca="false">IF(AA17="","",INDEX(Catalogos!$Y$5:$Y$25,MATCH(AA17,L_IMP,0)))</f>
        <v/>
      </c>
      <c r="AC17" s="11"/>
      <c r="AD17" s="11"/>
      <c r="AE17" s="11"/>
      <c r="AF17" s="10" t="str">
        <f aca="false">IF(Q17="","Pendiente por formular",IF(OR(S17="",T17="",U17="",V17="",W17="",X17="",Z17="",AA17=""),"Incompleta: faltan campos obligatorios",IF(OR(NOT(ISNUMBER(T17)),NOT(ISNUMBER(U17))),"Fecha inválida",IF(U17&lt;T17,"La fecha de fin es anterior a la de inicio",IF(OR(YEAR(T17)&lt;&gt;2027,YEAR(U17)&lt;&gt;2027),"Fechas fuera de la vigencia 2027",IF(ISERROR(SEARCH("@itc.edu.co",V17)),"El responsable no tiene correo institucional",IF(ISERROR(SEARCH(Z17,INDEX(Catalogos!$Z$5:$Z$25,MATCH(AA17,L_IMP,0)))),"La dimensión no corresponde al indicador de impacto","OK")))))))</f>
        <v>Pendiente por formular</v>
      </c>
    </row>
    <row r="18" customFormat="false" ht="66" hidden="false" customHeight="true" outlineLevel="0" collapsed="false">
      <c r="A18" s="12" t="str">
        <f aca="false">Base_OAPDI!A109</f>
        <v>E4-012</v>
      </c>
      <c r="B18" s="12" t="str">
        <f aca="false">Base_OAPDI!B109</f>
        <v>4.1.1.2</v>
      </c>
      <c r="C18" s="12" t="str">
        <f aca="false">Base_OAPDI!D109</f>
        <v>4.1 Dimensión estratégica</v>
      </c>
      <c r="D18" s="12" t="str">
        <f aca="false">Base_OAPDI!E109</f>
        <v>Alcanzar el 92% en el Índice de Desempeño Institucional del FURAG.</v>
      </c>
      <c r="E18" s="12" t="str">
        <f aca="false">Base_OAPDI!F109</f>
        <v>Índice de Desempeño Institucional (FURAG)</v>
      </c>
      <c r="F18" s="12" t="str">
        <f aca="false">Base_OAPDI!G109</f>
        <v>92%</v>
      </c>
      <c r="G18" s="12" t="str">
        <f aca="false">Base_OAPDI!H109</f>
        <v>Sugerido: (90% —la trayectoria lineal de 87,7% en 2024 a 92% en 2032 da 89,3% en 2027—)</v>
      </c>
      <c r="H18" s="12" t="str">
        <f aca="false">Base_OAPDI!I109</f>
        <v>A14</v>
      </c>
      <c r="I18" s="12" t="str">
        <f aca="false">Base_OAPDI!J109</f>
        <v>130 · Vicerrectoría Administrativa y Financiera</v>
      </c>
      <c r="J18" s="12" t="str">
        <f aca="false">Base_OAPDI!K109</f>
        <v>Contratación y Adquisiciones</v>
      </c>
      <c r="K18" s="12" t="str">
        <f aca="false">Base_OAPDI!L109</f>
        <v>Gestión de Adquisiciones</v>
      </c>
      <c r="L18" s="12" t="n">
        <f aca="false">Base_OAPDI!N109</f>
        <v>0</v>
      </c>
      <c r="M18" s="12" t="n">
        <f aca="false">Base_OAPDI!P109</f>
        <v>0</v>
      </c>
      <c r="N18" s="12" t="n">
        <f aca="false">Base_OAPDI!Q109</f>
        <v>1</v>
      </c>
      <c r="O18" s="12" t="str">
        <f aca="false">Base_OAPDI!R109</f>
        <v>Atender 1 compromiso(s) de proyectos estructurantes (hoja Compromisos_2026).</v>
      </c>
      <c r="P18" s="12" t="str">
        <f aca="false">Base_OAPDI!S109</f>
        <v>IMP-14; IMP-15</v>
      </c>
      <c r="Q18" s="11"/>
      <c r="R18" s="11"/>
      <c r="S18" s="11"/>
      <c r="T18" s="18"/>
      <c r="U18" s="18"/>
      <c r="V18" s="11"/>
      <c r="W18" s="11"/>
      <c r="X18" s="11"/>
      <c r="Y18" s="11"/>
      <c r="Z18" s="11"/>
      <c r="AA18" s="11"/>
      <c r="AB18" s="12" t="str">
        <f aca="false">IF(AA18="","",INDEX(Catalogos!$Y$5:$Y$25,MATCH(AA18,L_IMP,0)))</f>
        <v/>
      </c>
      <c r="AC18" s="11"/>
      <c r="AD18" s="11"/>
      <c r="AE18" s="11"/>
      <c r="AF18" s="10" t="str">
        <f aca="false">IF(Q18="","Pendiente por formular",IF(OR(S18="",T18="",U18="",V18="",W18="",X18="",Z18="",AA18=""),"Incompleta: faltan campos obligatorios",IF(OR(NOT(ISNUMBER(T18)),NOT(ISNUMBER(U18))),"Fecha inválida",IF(U18&lt;T18,"La fecha de fin es anterior a la de inicio",IF(OR(YEAR(T18)&lt;&gt;2027,YEAR(U18)&lt;&gt;2027),"Fechas fuera de la vigencia 2027",IF(ISERROR(SEARCH("@itc.edu.co",V18)),"El responsable no tiene correo institucional",IF(ISERROR(SEARCH(Z18,INDEX(Catalogos!$Z$5:$Z$25,MATCH(AA18,L_IMP,0)))),"La dimensión no corresponde al indicador de impacto","OK")))))))</f>
        <v>Pendiente por formular</v>
      </c>
    </row>
    <row r="19" customFormat="false" ht="66" hidden="false" customHeight="true" outlineLevel="0" collapsed="false">
      <c r="A19" s="12" t="str">
        <f aca="false">Base_OAPDI!A110</f>
        <v>E4-013</v>
      </c>
      <c r="B19" s="12" t="str">
        <f aca="false">Base_OAPDI!B110</f>
        <v>4.1.1.2</v>
      </c>
      <c r="C19" s="12" t="str">
        <f aca="false">Base_OAPDI!D110</f>
        <v>4.1 Dimensión estratégica</v>
      </c>
      <c r="D19" s="12" t="str">
        <f aca="false">Base_OAPDI!E110</f>
        <v>Alcanzar el 92% en el Índice de Desempeño Institucional del FURAG.</v>
      </c>
      <c r="E19" s="12" t="str">
        <f aca="false">Base_OAPDI!F110</f>
        <v>Índice de Desempeño Institucional (FURAG)</v>
      </c>
      <c r="F19" s="12" t="str">
        <f aca="false">Base_OAPDI!G110</f>
        <v>92%</v>
      </c>
      <c r="G19" s="12" t="str">
        <f aca="false">Base_OAPDI!H110</f>
        <v>Sugerido: (90% —la trayectoria lineal de 87,7% en 2024 a 92% en 2032 da 89,3% en 2027—)</v>
      </c>
      <c r="H19" s="12" t="str">
        <f aca="false">Base_OAPDI!I110</f>
        <v>A12</v>
      </c>
      <c r="I19" s="12" t="str">
        <f aca="false">Base_OAPDI!J110</f>
        <v>110 · Secretaría General</v>
      </c>
      <c r="J19" s="12" t="str">
        <f aca="false">Base_OAPDI!K110</f>
        <v>Gestión Jurídica</v>
      </c>
      <c r="K19" s="12" t="str">
        <f aca="false">Base_OAPDI!L110</f>
        <v>Gestión Jurídica</v>
      </c>
      <c r="L19" s="12" t="n">
        <f aca="false">Base_OAPDI!N110</f>
        <v>0</v>
      </c>
      <c r="M19" s="12" t="n">
        <f aca="false">Base_OAPDI!P110</f>
        <v>0</v>
      </c>
      <c r="N19" s="12" t="n">
        <f aca="false">Base_OAPDI!Q110</f>
        <v>2</v>
      </c>
      <c r="O19" s="12" t="str">
        <f aca="false">Base_OAPDI!R110</f>
        <v>Atender 2 compromiso(s) de proyectos estructurantes (hoja Compromisos_2026).</v>
      </c>
      <c r="P19" s="12" t="str">
        <f aca="false">Base_OAPDI!S110</f>
        <v>IMP-14; IMP-15</v>
      </c>
      <c r="Q19" s="11"/>
      <c r="R19" s="11"/>
      <c r="S19" s="11"/>
      <c r="T19" s="18"/>
      <c r="U19" s="18"/>
      <c r="V19" s="11"/>
      <c r="W19" s="11"/>
      <c r="X19" s="11"/>
      <c r="Y19" s="11"/>
      <c r="Z19" s="11"/>
      <c r="AA19" s="11"/>
      <c r="AB19" s="12" t="str">
        <f aca="false">IF(AA19="","",INDEX(Catalogos!$Y$5:$Y$25,MATCH(AA19,L_IMP,0)))</f>
        <v/>
      </c>
      <c r="AC19" s="11"/>
      <c r="AD19" s="11"/>
      <c r="AE19" s="11"/>
      <c r="AF19" s="10" t="str">
        <f aca="false">IF(Q19="","Pendiente por formular",IF(OR(S19="",T19="",U19="",V19="",W19="",X19="",Z19="",AA19=""),"Incompleta: faltan campos obligatorios",IF(OR(NOT(ISNUMBER(T19)),NOT(ISNUMBER(U19))),"Fecha inválida",IF(U19&lt;T19,"La fecha de fin es anterior a la de inicio",IF(OR(YEAR(T19)&lt;&gt;2027,YEAR(U19)&lt;&gt;2027),"Fechas fuera de la vigencia 2027",IF(ISERROR(SEARCH("@itc.edu.co",V19)),"El responsable no tiene correo institucional",IF(ISERROR(SEARCH(Z19,INDEX(Catalogos!$Z$5:$Z$25,MATCH(AA19,L_IMP,0)))),"La dimensión no corresponde al indicador de impacto","OK")))))))</f>
        <v>Pendiente por formular</v>
      </c>
    </row>
    <row r="20" customFormat="false" ht="132" hidden="false" customHeight="true" outlineLevel="0" collapsed="false">
      <c r="A20" s="12" t="str">
        <f aca="false">Base_OAPDI!A111</f>
        <v>E4-014</v>
      </c>
      <c r="B20" s="12" t="str">
        <f aca="false">Base_OAPDI!B111</f>
        <v>4.1.1.3</v>
      </c>
      <c r="C20" s="12" t="str">
        <f aca="false">Base_OAPDI!D111</f>
        <v>4.1 Dimensión estratégica</v>
      </c>
      <c r="D20" s="12" t="str">
        <f aca="false">Base_OAPDI!E111</f>
        <v>Lograr la renovación de la acreditación institucional a 8 años.</v>
      </c>
      <c r="E20" s="12" t="str">
        <f aca="false">Base_OAPDI!F111</f>
        <v>Acreditación institucional vigente y % de ejecución del plan de mejoramiento institucional</v>
      </c>
      <c r="F20" s="12" t="str">
        <f aca="false">Base_OAPDI!G111</f>
        <v>Renovación a 8 años</v>
      </c>
      <c r="G20" s="12" t="str">
        <f aca="false">Base_OAPDI!H111</f>
        <v>Sugerido: (100% de las acciones del plan de mejoramiento institucional programadas para 2027 ejecutadas y sistema de seguimiento a las condiciones de calidad operando)</v>
      </c>
      <c r="H20" s="12" t="str">
        <f aca="false">Base_OAPDI!I111</f>
        <v>A01</v>
      </c>
      <c r="I20" s="12" t="str">
        <f aca="false">Base_OAPDI!J111</f>
        <v>100 · Rectoría</v>
      </c>
      <c r="J20" s="12" t="str">
        <f aca="false">Base_OAPDI!K111</f>
        <v>Despacho de Rectoría</v>
      </c>
      <c r="K20" s="12" t="str">
        <f aca="false">Base_OAPDI!L111</f>
        <v>Direccionamiento Institucional</v>
      </c>
      <c r="L20" s="12" t="n">
        <f aca="false">Base_OAPDI!N111</f>
        <v>1</v>
      </c>
      <c r="M20" s="12" t="n">
        <f aca="false">Base_OAPDI!P111</f>
        <v>1</v>
      </c>
      <c r="N20" s="12" t="n">
        <f aca="false">Base_OAPDI!Q111</f>
        <v>0</v>
      </c>
      <c r="O20" s="12" t="str">
        <f aca="false">Base_OAPDI!R111</f>
        <v>Cerrar o reprogramar 1 producto(s) 2026 pendiente(s) de esta meta.</v>
      </c>
      <c r="P20" s="12" t="str">
        <f aca="false">Base_OAPDI!S111</f>
        <v>IMP-14; IMP-07</v>
      </c>
      <c r="Q20" s="11"/>
      <c r="R20" s="11"/>
      <c r="S20" s="11"/>
      <c r="T20" s="18"/>
      <c r="U20" s="18"/>
      <c r="V20" s="11"/>
      <c r="W20" s="11"/>
      <c r="X20" s="11"/>
      <c r="Y20" s="11"/>
      <c r="Z20" s="11"/>
      <c r="AA20" s="11"/>
      <c r="AB20" s="12" t="str">
        <f aca="false">IF(AA20="","",INDEX(Catalogos!$Y$5:$Y$25,MATCH(AA20,L_IMP,0)))</f>
        <v/>
      </c>
      <c r="AC20" s="11"/>
      <c r="AD20" s="11"/>
      <c r="AE20" s="11"/>
      <c r="AF20" s="10" t="str">
        <f aca="false">IF(Q20="","Pendiente por formular",IF(OR(S20="",T20="",U20="",V20="",W20="",X20="",Z20="",AA20=""),"Incompleta: faltan campos obligatorios",IF(OR(NOT(ISNUMBER(T20)),NOT(ISNUMBER(U20))),"Fecha inválida",IF(U20&lt;T20,"La fecha de fin es anterior a la de inicio",IF(OR(YEAR(T20)&lt;&gt;2027,YEAR(U20)&lt;&gt;2027),"Fechas fuera de la vigencia 2027",IF(ISERROR(SEARCH("@itc.edu.co",V20)),"El responsable no tiene correo institucional",IF(ISERROR(SEARCH(Z20,INDEX(Catalogos!$Z$5:$Z$25,MATCH(AA20,L_IMP,0)))),"La dimensión no corresponde al indicador de impacto","OK")))))))</f>
        <v>Pendiente por formular</v>
      </c>
    </row>
    <row r="21" customFormat="false" ht="132" hidden="false" customHeight="true" outlineLevel="0" collapsed="false">
      <c r="A21" s="12" t="str">
        <f aca="false">Base_OAPDI!A112</f>
        <v>E4-015</v>
      </c>
      <c r="B21" s="12" t="str">
        <f aca="false">Base_OAPDI!B112</f>
        <v>4.1.1.3</v>
      </c>
      <c r="C21" s="12" t="str">
        <f aca="false">Base_OAPDI!D112</f>
        <v>4.1 Dimensión estratégica</v>
      </c>
      <c r="D21" s="12" t="str">
        <f aca="false">Base_OAPDI!E112</f>
        <v>Lograr la renovación de la acreditación institucional a 8 años.</v>
      </c>
      <c r="E21" s="12" t="str">
        <f aca="false">Base_OAPDI!F112</f>
        <v>Acreditación institucional vigente y % de ejecución del plan de mejoramiento institucional</v>
      </c>
      <c r="F21" s="12" t="str">
        <f aca="false">Base_OAPDI!G112</f>
        <v>Renovación a 8 años</v>
      </c>
      <c r="G21" s="12" t="str">
        <f aca="false">Base_OAPDI!H112</f>
        <v>Sugerido: (100% de las acciones del plan de mejoramiento institucional programadas para 2027 ejecutadas y sistema de seguimiento a las condiciones de calidad operando)</v>
      </c>
      <c r="H21" s="12" t="str">
        <f aca="false">Base_OAPDI!I112</f>
        <v>A05</v>
      </c>
      <c r="I21" s="12" t="str">
        <f aca="false">Base_OAPDI!J112</f>
        <v>101 · Oficina Asesora de Planeación y Desarrollo Institucional</v>
      </c>
      <c r="J21" s="12" t="str">
        <f aca="false">Base_OAPDI!K112</f>
        <v>Planeación y Plan de Acción</v>
      </c>
      <c r="K21" s="12" t="str">
        <f aca="false">Base_OAPDI!L112</f>
        <v>Direccionamiento Institucional</v>
      </c>
      <c r="L21" s="12" t="n">
        <f aca="false">Base_OAPDI!N112</f>
        <v>1</v>
      </c>
      <c r="M21" s="12" t="n">
        <f aca="false">Base_OAPDI!P112</f>
        <v>1</v>
      </c>
      <c r="N21" s="12" t="n">
        <f aca="false">Base_OAPDI!Q112</f>
        <v>0</v>
      </c>
      <c r="O21" s="12" t="str">
        <f aca="false">Base_OAPDI!R112</f>
        <v>Cerrar o reprogramar 1 producto(s) 2026 pendiente(s) de esta meta.</v>
      </c>
      <c r="P21" s="12" t="str">
        <f aca="false">Base_OAPDI!S112</f>
        <v>IMP-14; IMP-07</v>
      </c>
      <c r="Q21" s="11"/>
      <c r="R21" s="11"/>
      <c r="S21" s="11"/>
      <c r="T21" s="18"/>
      <c r="U21" s="18"/>
      <c r="V21" s="11"/>
      <c r="W21" s="11"/>
      <c r="X21" s="11"/>
      <c r="Y21" s="11"/>
      <c r="Z21" s="11"/>
      <c r="AA21" s="11"/>
      <c r="AB21" s="12" t="str">
        <f aca="false">IF(AA21="","",INDEX(Catalogos!$Y$5:$Y$25,MATCH(AA21,L_IMP,0)))</f>
        <v/>
      </c>
      <c r="AC21" s="11"/>
      <c r="AD21" s="11"/>
      <c r="AE21" s="11"/>
      <c r="AF21" s="10" t="str">
        <f aca="false">IF(Q21="","Pendiente por formular",IF(OR(S21="",T21="",U21="",V21="",W21="",X21="",Z21="",AA21=""),"Incompleta: faltan campos obligatorios",IF(OR(NOT(ISNUMBER(T21)),NOT(ISNUMBER(U21))),"Fecha inválida",IF(U21&lt;T21,"La fecha de fin es anterior a la de inicio",IF(OR(YEAR(T21)&lt;&gt;2027,YEAR(U21)&lt;&gt;2027),"Fechas fuera de la vigencia 2027",IF(ISERROR(SEARCH("@itc.edu.co",V21)),"El responsable no tiene correo institucional",IF(ISERROR(SEARCH(Z21,INDEX(Catalogos!$Z$5:$Z$25,MATCH(AA21,L_IMP,0)))),"La dimensión no corresponde al indicador de impacto","OK")))))))</f>
        <v>Pendiente por formular</v>
      </c>
    </row>
    <row r="22" customFormat="false" ht="132" hidden="false" customHeight="true" outlineLevel="0" collapsed="false">
      <c r="A22" s="12" t="str">
        <f aca="false">Base_OAPDI!A113</f>
        <v>E4-016</v>
      </c>
      <c r="B22" s="12" t="str">
        <f aca="false">Base_OAPDI!B113</f>
        <v>4.1.1.3</v>
      </c>
      <c r="C22" s="12" t="str">
        <f aca="false">Base_OAPDI!D113</f>
        <v>4.1 Dimensión estratégica</v>
      </c>
      <c r="D22" s="12" t="str">
        <f aca="false">Base_OAPDI!E113</f>
        <v>Lograr la renovación de la acreditación institucional a 8 años.</v>
      </c>
      <c r="E22" s="12" t="str">
        <f aca="false">Base_OAPDI!F113</f>
        <v>Acreditación institucional vigente y % de ejecución del plan de mejoramiento institucional</v>
      </c>
      <c r="F22" s="12" t="str">
        <f aca="false">Base_OAPDI!G113</f>
        <v>Renovación a 8 años</v>
      </c>
      <c r="G22" s="12" t="str">
        <f aca="false">Base_OAPDI!H113</f>
        <v>Sugerido: (100% de las acciones del plan de mejoramiento institucional programadas para 2027 ejecutadas y sistema de seguimiento a las condiciones de calidad operando)</v>
      </c>
      <c r="H22" s="12" t="str">
        <f aca="false">Base_OAPDI!I113</f>
        <v>A07</v>
      </c>
      <c r="I22" s="12" t="str">
        <f aca="false">Base_OAPDI!J113</f>
        <v>101 · Oficina Asesora de Planeación y Desarrollo Institucional</v>
      </c>
      <c r="J22" s="12" t="str">
        <f aca="false">Base_OAPDI!K113</f>
        <v>Autoevaluación y Acreditación</v>
      </c>
      <c r="K22" s="12" t="str">
        <f aca="false">Base_OAPDI!L113</f>
        <v>Gestión del Sistema Integrado de Aseguramiento</v>
      </c>
      <c r="L22" s="12" t="n">
        <f aca="false">Base_OAPDI!N113</f>
        <v>2</v>
      </c>
      <c r="M22" s="12" t="n">
        <f aca="false">Base_OAPDI!P113</f>
        <v>2</v>
      </c>
      <c r="N22" s="12" t="n">
        <f aca="false">Base_OAPDI!Q113</f>
        <v>1</v>
      </c>
      <c r="O22" s="12" t="str">
        <f aca="false">Base_OAPDI!R113</f>
        <v>Acciones propuestas por la OAPDI (valídelas y formúlelas en esta fila o en Acciones adicionales): A27-086 Formular el plan de mejoramiento institucional derivado de las recomendaciones del CNA; A27-087 Ejecutar y hacer seguimiento semestral al plan de mejoramiento; A27-089 Cerrar los productos vencidos de Autoevaluación (32 al 02-09-2026). Cerrar o reprogramar 2 producto(s) 2026 pendiente(s) de esta meta. Atender 1 compromiso(s) de proyectos estructurantes (hoja Compromisos_2026).</v>
      </c>
      <c r="P22" s="12" t="str">
        <f aca="false">Base_OAPDI!S113</f>
        <v>IMP-14; IMP-07</v>
      </c>
      <c r="Q22" s="11"/>
      <c r="R22" s="11"/>
      <c r="S22" s="11"/>
      <c r="T22" s="18"/>
      <c r="U22" s="18"/>
      <c r="V22" s="11"/>
      <c r="W22" s="11"/>
      <c r="X22" s="11"/>
      <c r="Y22" s="11"/>
      <c r="Z22" s="11"/>
      <c r="AA22" s="11"/>
      <c r="AB22" s="12" t="str">
        <f aca="false">IF(AA22="","",INDEX(Catalogos!$Y$5:$Y$25,MATCH(AA22,L_IMP,0)))</f>
        <v/>
      </c>
      <c r="AC22" s="11"/>
      <c r="AD22" s="11"/>
      <c r="AE22" s="11"/>
      <c r="AF22" s="10" t="str">
        <f aca="false">IF(Q22="","Pendiente por formular",IF(OR(S22="",T22="",U22="",V22="",W22="",X22="",Z22="",AA22=""),"Incompleta: faltan campos obligatorios",IF(OR(NOT(ISNUMBER(T22)),NOT(ISNUMBER(U22))),"Fecha inválida",IF(U22&lt;T22,"La fecha de fin es anterior a la de inicio",IF(OR(YEAR(T22)&lt;&gt;2027,YEAR(U22)&lt;&gt;2027),"Fechas fuera de la vigencia 2027",IF(ISERROR(SEARCH("@itc.edu.co",V22)),"El responsable no tiene correo institucional",IF(ISERROR(SEARCH(Z22,INDEX(Catalogos!$Z$5:$Z$25,MATCH(AA22,L_IMP,0)))),"La dimensión no corresponde al indicador de impacto","OK")))))))</f>
        <v>Pendiente por formular</v>
      </c>
    </row>
    <row r="23" customFormat="false" ht="132" hidden="false" customHeight="true" outlineLevel="0" collapsed="false">
      <c r="A23" s="12" t="str">
        <f aca="false">Base_OAPDI!A114</f>
        <v>E4-017</v>
      </c>
      <c r="B23" s="12" t="str">
        <f aca="false">Base_OAPDI!B114</f>
        <v>4.1.1.3</v>
      </c>
      <c r="C23" s="12" t="str">
        <f aca="false">Base_OAPDI!D114</f>
        <v>4.1 Dimensión estratégica</v>
      </c>
      <c r="D23" s="12" t="str">
        <f aca="false">Base_OAPDI!E114</f>
        <v>Lograr la renovación de la acreditación institucional a 8 años.</v>
      </c>
      <c r="E23" s="12" t="str">
        <f aca="false">Base_OAPDI!F114</f>
        <v>Acreditación institucional vigente y % de ejecución del plan de mejoramiento institucional</v>
      </c>
      <c r="F23" s="12" t="str">
        <f aca="false">Base_OAPDI!G114</f>
        <v>Renovación a 8 años</v>
      </c>
      <c r="G23" s="12" t="str">
        <f aca="false">Base_OAPDI!H114</f>
        <v>Sugerido: (100% de las acciones del plan de mejoramiento institucional programadas para 2027 ejecutadas y sistema de seguimiento a las condiciones de calidad operando)</v>
      </c>
      <c r="H23" s="12" t="str">
        <f aca="false">Base_OAPDI!I114</f>
        <v>A08</v>
      </c>
      <c r="I23" s="12" t="str">
        <f aca="false">Base_OAPDI!J114</f>
        <v>101 · Oficina Asesora de Planeación y Desarrollo Institucional</v>
      </c>
      <c r="J23" s="12" t="str">
        <f aca="false">Base_OAPDI!K114</f>
        <v>Aseguramiento de la Calidad, MIPG y Registros Calificados</v>
      </c>
      <c r="K23" s="12" t="str">
        <f aca="false">Base_OAPDI!L114</f>
        <v>Gestión del Sistema Integrado de Aseguramiento</v>
      </c>
      <c r="L23" s="12" t="n">
        <f aca="false">Base_OAPDI!N114</f>
        <v>1</v>
      </c>
      <c r="M23" s="12" t="n">
        <f aca="false">Base_OAPDI!P114</f>
        <v>0</v>
      </c>
      <c r="N23" s="12" t="n">
        <f aca="false">Base_OAPDI!Q114</f>
        <v>0</v>
      </c>
      <c r="O23" s="12" t="str">
        <f aca="false">Base_OAPDI!R114</f>
        <v>Formular al menos una acción que contribuya a la meta institucional 2027 de esta meta.</v>
      </c>
      <c r="P23" s="12" t="str">
        <f aca="false">Base_OAPDI!S114</f>
        <v>IMP-14; IMP-07</v>
      </c>
      <c r="Q23" s="11"/>
      <c r="R23" s="11"/>
      <c r="S23" s="11"/>
      <c r="T23" s="18"/>
      <c r="U23" s="18"/>
      <c r="V23" s="11"/>
      <c r="W23" s="11"/>
      <c r="X23" s="11"/>
      <c r="Y23" s="11"/>
      <c r="Z23" s="11"/>
      <c r="AA23" s="11"/>
      <c r="AB23" s="12" t="str">
        <f aca="false">IF(AA23="","",INDEX(Catalogos!$Y$5:$Y$25,MATCH(AA23,L_IMP,0)))</f>
        <v/>
      </c>
      <c r="AC23" s="11"/>
      <c r="AD23" s="11"/>
      <c r="AE23" s="11"/>
      <c r="AF23" s="10" t="str">
        <f aca="false">IF(Q23="","Pendiente por formular",IF(OR(S23="",T23="",U23="",V23="",W23="",X23="",Z23="",AA23=""),"Incompleta: faltan campos obligatorios",IF(OR(NOT(ISNUMBER(T23)),NOT(ISNUMBER(U23))),"Fecha inválida",IF(U23&lt;T23,"La fecha de fin es anterior a la de inicio",IF(OR(YEAR(T23)&lt;&gt;2027,YEAR(U23)&lt;&gt;2027),"Fechas fuera de la vigencia 2027",IF(ISERROR(SEARCH("@itc.edu.co",V23)),"El responsable no tiene correo institucional",IF(ISERROR(SEARCH(Z23,INDEX(Catalogos!$Z$5:$Z$25,MATCH(AA23,L_IMP,0)))),"La dimensión no corresponde al indicador de impacto","OK")))))))</f>
        <v>Pendiente por formular</v>
      </c>
    </row>
    <row r="24" customFormat="false" ht="132" hidden="false" customHeight="true" outlineLevel="0" collapsed="false">
      <c r="A24" s="12" t="str">
        <f aca="false">Base_OAPDI!A115</f>
        <v>E4-018</v>
      </c>
      <c r="B24" s="12" t="str">
        <f aca="false">Base_OAPDI!B115</f>
        <v>4.1.1.3</v>
      </c>
      <c r="C24" s="12" t="str">
        <f aca="false">Base_OAPDI!D115</f>
        <v>4.1 Dimensión estratégica</v>
      </c>
      <c r="D24" s="12" t="str">
        <f aca="false">Base_OAPDI!E115</f>
        <v>Lograr la renovación de la acreditación institucional a 8 años.</v>
      </c>
      <c r="E24" s="12" t="str">
        <f aca="false">Base_OAPDI!F115</f>
        <v>Acreditación institucional vigente y % de ejecución del plan de mejoramiento institucional</v>
      </c>
      <c r="F24" s="12" t="str">
        <f aca="false">Base_OAPDI!G115</f>
        <v>Renovación a 8 años</v>
      </c>
      <c r="G24" s="12" t="str">
        <f aca="false">Base_OAPDI!H115</f>
        <v>Sugerido: (100% de las acciones del plan de mejoramiento institucional programadas para 2027 ejecutadas y sistema de seguimiento a las condiciones de calidad operando)</v>
      </c>
      <c r="H24" s="12" t="str">
        <f aca="false">Base_OAPDI!I115</f>
        <v>A02</v>
      </c>
      <c r="I24" s="12" t="str">
        <f aca="false">Base_OAPDI!J115</f>
        <v>100 · Rectoría</v>
      </c>
      <c r="J24" s="12" t="str">
        <f aca="false">Base_OAPDI!K115</f>
        <v>Comunicaciones y Mercadeo</v>
      </c>
      <c r="K24" s="12" t="str">
        <f aca="false">Base_OAPDI!L115</f>
        <v>Gestión de Comunicaciones</v>
      </c>
      <c r="L24" s="12" t="n">
        <f aca="false">Base_OAPDI!N115</f>
        <v>0</v>
      </c>
      <c r="M24" s="12" t="n">
        <f aca="false">Base_OAPDI!P115</f>
        <v>0</v>
      </c>
      <c r="N24" s="12" t="n">
        <f aca="false">Base_OAPDI!Q115</f>
        <v>0</v>
      </c>
      <c r="O24" s="12" t="str">
        <f aca="false">Base_OAPDI!R115</f>
        <v>Acciones propuestas por la OAPDI (valídelas y formúlelas en esta fila o en Acciones adicionales): A27-088 Divulgar la acreditación institucional (estrategia de divulgación).</v>
      </c>
      <c r="P24" s="12" t="str">
        <f aca="false">Base_OAPDI!S115</f>
        <v>IMP-14; IMP-07</v>
      </c>
      <c r="Q24" s="11"/>
      <c r="R24" s="11"/>
      <c r="S24" s="11"/>
      <c r="T24" s="18"/>
      <c r="U24" s="18"/>
      <c r="V24" s="11"/>
      <c r="W24" s="11"/>
      <c r="X24" s="11"/>
      <c r="Y24" s="11"/>
      <c r="Z24" s="11"/>
      <c r="AA24" s="11"/>
      <c r="AB24" s="12" t="str">
        <f aca="false">IF(AA24="","",INDEX(Catalogos!$Y$5:$Y$25,MATCH(AA24,L_IMP,0)))</f>
        <v/>
      </c>
      <c r="AC24" s="11"/>
      <c r="AD24" s="11"/>
      <c r="AE24" s="11"/>
      <c r="AF24" s="10" t="str">
        <f aca="false">IF(Q24="","Pendiente por formular",IF(OR(S24="",T24="",U24="",V24="",W24="",X24="",Z24="",AA24=""),"Incompleta: faltan campos obligatorios",IF(OR(NOT(ISNUMBER(T24)),NOT(ISNUMBER(U24))),"Fecha inválida",IF(U24&lt;T24,"La fecha de fin es anterior a la de inicio",IF(OR(YEAR(T24)&lt;&gt;2027,YEAR(U24)&lt;&gt;2027),"Fechas fuera de la vigencia 2027",IF(ISERROR(SEARCH("@itc.edu.co",V24)),"El responsable no tiene correo institucional",IF(ISERROR(SEARCH(Z24,INDEX(Catalogos!$Z$5:$Z$25,MATCH(AA24,L_IMP,0)))),"La dimensión no corresponde al indicador de impacto","OK")))))))</f>
        <v>Pendiente por formular</v>
      </c>
    </row>
    <row r="25" customFormat="false" ht="66" hidden="false" customHeight="true" outlineLevel="0" collapsed="false">
      <c r="A25" s="12" t="str">
        <f aca="false">Base_OAPDI!A116</f>
        <v>E4-019</v>
      </c>
      <c r="B25" s="12" t="str">
        <f aca="false">Base_OAPDI!B116</f>
        <v>4.2.1.1</v>
      </c>
      <c r="C25" s="12" t="str">
        <f aca="false">Base_OAPDI!D116</f>
        <v>4.2 Arquitectura institucional</v>
      </c>
      <c r="D25" s="12" t="str">
        <f aca="false">Base_OAPDI!E116</f>
        <v>Contar con el 100% de la estructura organizacional académica y administrativa operando.</v>
      </c>
      <c r="E25" s="12" t="str">
        <f aca="false">Base_OAPDI!F116</f>
        <v>% de la estructura organizacional aprobada y operando</v>
      </c>
      <c r="F25" s="12" t="str">
        <f aca="false">Base_OAPDI!G116</f>
        <v>100%</v>
      </c>
      <c r="G25" s="12" t="str">
        <f aca="false">Base_OAPDI!H116</f>
        <v>15 docentes de tiempo completo y 10 administrativos vinculados por formalización</v>
      </c>
      <c r="H25" s="12" t="str">
        <f aca="false">Base_OAPDI!I116</f>
        <v>A01</v>
      </c>
      <c r="I25" s="12" t="str">
        <f aca="false">Base_OAPDI!J116</f>
        <v>100 · Rectoría</v>
      </c>
      <c r="J25" s="12" t="str">
        <f aca="false">Base_OAPDI!K116</f>
        <v>Despacho de Rectoría</v>
      </c>
      <c r="K25" s="12" t="str">
        <f aca="false">Base_OAPDI!L116</f>
        <v>Direccionamiento Institucional</v>
      </c>
      <c r="L25" s="12" t="n">
        <f aca="false">Base_OAPDI!N116</f>
        <v>1</v>
      </c>
      <c r="M25" s="12" t="n">
        <f aca="false">Base_OAPDI!P116</f>
        <v>1</v>
      </c>
      <c r="N25" s="12" t="n">
        <f aca="false">Base_OAPDI!Q116</f>
        <v>0</v>
      </c>
      <c r="O25" s="12" t="str">
        <f aca="false">Base_OAPDI!R116</f>
        <v>Cerrar o reprogramar 1 producto(s) 2026 pendiente(s) de esta meta.</v>
      </c>
      <c r="P25" s="12" t="str">
        <f aca="false">Base_OAPDI!S116</f>
        <v>IMP-15; IMP-18</v>
      </c>
      <c r="Q25" s="11"/>
      <c r="R25" s="11"/>
      <c r="S25" s="11"/>
      <c r="T25" s="18"/>
      <c r="U25" s="18"/>
      <c r="V25" s="11"/>
      <c r="W25" s="11"/>
      <c r="X25" s="11"/>
      <c r="Y25" s="11"/>
      <c r="Z25" s="11"/>
      <c r="AA25" s="11"/>
      <c r="AB25" s="12" t="str">
        <f aca="false">IF(AA25="","",INDEX(Catalogos!$Y$5:$Y$25,MATCH(AA25,L_IMP,0)))</f>
        <v/>
      </c>
      <c r="AC25" s="11"/>
      <c r="AD25" s="11"/>
      <c r="AE25" s="11"/>
      <c r="AF25" s="10" t="str">
        <f aca="false">IF(Q25="","Pendiente por formular",IF(OR(S25="",T25="",U25="",V25="",W25="",X25="",Z25="",AA25=""),"Incompleta: faltan campos obligatorios",IF(OR(NOT(ISNUMBER(T25)),NOT(ISNUMBER(U25))),"Fecha inválida",IF(U25&lt;T25,"La fecha de fin es anterior a la de inicio",IF(OR(YEAR(T25)&lt;&gt;2027,YEAR(U25)&lt;&gt;2027),"Fechas fuera de la vigencia 2027",IF(ISERROR(SEARCH("@itc.edu.co",V25)),"El responsable no tiene correo institucional",IF(ISERROR(SEARCH(Z25,INDEX(Catalogos!$Z$5:$Z$25,MATCH(AA25,L_IMP,0)))),"La dimensión no corresponde al indicador de impacto","OK")))))))</f>
        <v>Pendiente por formular</v>
      </c>
    </row>
    <row r="26" customFormat="false" ht="66" hidden="false" customHeight="true" outlineLevel="0" collapsed="false">
      <c r="A26" s="12" t="str">
        <f aca="false">Base_OAPDI!A117</f>
        <v>E4-020</v>
      </c>
      <c r="B26" s="12" t="str">
        <f aca="false">Base_OAPDI!B117</f>
        <v>4.2.1.1</v>
      </c>
      <c r="C26" s="12" t="str">
        <f aca="false">Base_OAPDI!D117</f>
        <v>4.2 Arquitectura institucional</v>
      </c>
      <c r="D26" s="12" t="str">
        <f aca="false">Base_OAPDI!E117</f>
        <v>Contar con el 100% de la estructura organizacional académica y administrativa operando.</v>
      </c>
      <c r="E26" s="12" t="str">
        <f aca="false">Base_OAPDI!F117</f>
        <v>% de la estructura organizacional aprobada y operando</v>
      </c>
      <c r="F26" s="12" t="str">
        <f aca="false">Base_OAPDI!G117</f>
        <v>100%</v>
      </c>
      <c r="G26" s="12" t="str">
        <f aca="false">Base_OAPDI!H117</f>
        <v>15 docentes de tiempo completo y 10 administrativos vinculados por formalización</v>
      </c>
      <c r="H26" s="12" t="str">
        <f aca="false">Base_OAPDI!I117</f>
        <v>A07</v>
      </c>
      <c r="I26" s="12" t="str">
        <f aca="false">Base_OAPDI!J117</f>
        <v>101 · Oficina Asesora de Planeación y Desarrollo Institucional</v>
      </c>
      <c r="J26" s="12" t="str">
        <f aca="false">Base_OAPDI!K117</f>
        <v>Autoevaluación y Acreditación</v>
      </c>
      <c r="K26" s="12" t="str">
        <f aca="false">Base_OAPDI!L117</f>
        <v>Gestión del Sistema Integrado de Aseguramiento</v>
      </c>
      <c r="L26" s="12" t="n">
        <f aca="false">Base_OAPDI!N117</f>
        <v>0</v>
      </c>
      <c r="M26" s="12" t="n">
        <f aca="false">Base_OAPDI!P117</f>
        <v>0</v>
      </c>
      <c r="N26" s="12" t="n">
        <f aca="false">Base_OAPDI!Q117</f>
        <v>0</v>
      </c>
      <c r="O26" s="12" t="str">
        <f aca="false">Base_OAPDI!R117</f>
        <v>Formular al menos una acción que contribuya a la meta institucional 2027 de esta meta.</v>
      </c>
      <c r="P26" s="12" t="str">
        <f aca="false">Base_OAPDI!S117</f>
        <v>IMP-15; IMP-18</v>
      </c>
      <c r="Q26" s="11"/>
      <c r="R26" s="11"/>
      <c r="S26" s="11"/>
      <c r="T26" s="18"/>
      <c r="U26" s="18"/>
      <c r="V26" s="11"/>
      <c r="W26" s="11"/>
      <c r="X26" s="11"/>
      <c r="Y26" s="11"/>
      <c r="Z26" s="11"/>
      <c r="AA26" s="11"/>
      <c r="AB26" s="12" t="str">
        <f aca="false">IF(AA26="","",INDEX(Catalogos!$Y$5:$Y$25,MATCH(AA26,L_IMP,0)))</f>
        <v/>
      </c>
      <c r="AC26" s="11"/>
      <c r="AD26" s="11"/>
      <c r="AE26" s="11"/>
      <c r="AF26" s="10" t="str">
        <f aca="false">IF(Q26="","Pendiente por formular",IF(OR(S26="",T26="",U26="",V26="",W26="",X26="",Z26="",AA26=""),"Incompleta: faltan campos obligatorios",IF(OR(NOT(ISNUMBER(T26)),NOT(ISNUMBER(U26))),"Fecha inválida",IF(U26&lt;T26,"La fecha de fin es anterior a la de inicio",IF(OR(YEAR(T26)&lt;&gt;2027,YEAR(U26)&lt;&gt;2027),"Fechas fuera de la vigencia 2027",IF(ISERROR(SEARCH("@itc.edu.co",V26)),"El responsable no tiene correo institucional",IF(ISERROR(SEARCH(Z26,INDEX(Catalogos!$Z$5:$Z$25,MATCH(AA26,L_IMP,0)))),"La dimensión no corresponde al indicador de impacto","OK")))))))</f>
        <v>Pendiente por formular</v>
      </c>
    </row>
    <row r="27" customFormat="false" ht="66" hidden="false" customHeight="true" outlineLevel="0" collapsed="false">
      <c r="A27" s="12" t="str">
        <f aca="false">Base_OAPDI!A118</f>
        <v>E4-021</v>
      </c>
      <c r="B27" s="12" t="str">
        <f aca="false">Base_OAPDI!B118</f>
        <v>4.2.1.1</v>
      </c>
      <c r="C27" s="12" t="str">
        <f aca="false">Base_OAPDI!D118</f>
        <v>4.2 Arquitectura institucional</v>
      </c>
      <c r="D27" s="12" t="str">
        <f aca="false">Base_OAPDI!E118</f>
        <v>Contar con el 100% de la estructura organizacional académica y administrativa operando.</v>
      </c>
      <c r="E27" s="12" t="str">
        <f aca="false">Base_OAPDI!F118</f>
        <v>% de la estructura organizacional aprobada y operando</v>
      </c>
      <c r="F27" s="12" t="str">
        <f aca="false">Base_OAPDI!G118</f>
        <v>100%</v>
      </c>
      <c r="G27" s="12" t="str">
        <f aca="false">Base_OAPDI!H118</f>
        <v>15 docentes de tiempo completo y 10 administrativos vinculados por formalización</v>
      </c>
      <c r="H27" s="12" t="str">
        <f aca="false">Base_OAPDI!I118</f>
        <v>A04</v>
      </c>
      <c r="I27" s="12" t="str">
        <f aca="false">Base_OAPDI!J118</f>
        <v>102 · Control Interno</v>
      </c>
      <c r="J27" s="12" t="str">
        <f aca="false">Base_OAPDI!K118</f>
        <v>Control Interno</v>
      </c>
      <c r="K27" s="12" t="str">
        <f aca="false">Base_OAPDI!L118</f>
        <v>Gestión de Control Interno</v>
      </c>
      <c r="L27" s="12" t="n">
        <f aca="false">Base_OAPDI!N118</f>
        <v>0</v>
      </c>
      <c r="M27" s="12" t="n">
        <f aca="false">Base_OAPDI!P118</f>
        <v>0</v>
      </c>
      <c r="N27" s="12" t="n">
        <f aca="false">Base_OAPDI!Q118</f>
        <v>1</v>
      </c>
      <c r="O27" s="12" t="str">
        <f aca="false">Base_OAPDI!R118</f>
        <v>Acciones propuestas por la OAPDI (valídelas y formúlelas en esta fila o en Acciones adicionales): A27-091 Resolver la figura del Jefe de Control Interno. Atender 1 compromiso(s) de proyectos estructurantes (hoja Compromisos_2026).</v>
      </c>
      <c r="P27" s="12" t="str">
        <f aca="false">Base_OAPDI!S118</f>
        <v>IMP-15; IMP-18</v>
      </c>
      <c r="Q27" s="11"/>
      <c r="R27" s="11"/>
      <c r="S27" s="11"/>
      <c r="T27" s="18"/>
      <c r="U27" s="18"/>
      <c r="V27" s="11"/>
      <c r="W27" s="11"/>
      <c r="X27" s="11"/>
      <c r="Y27" s="11"/>
      <c r="Z27" s="11"/>
      <c r="AA27" s="11"/>
      <c r="AB27" s="12" t="str">
        <f aca="false">IF(AA27="","",INDEX(Catalogos!$Y$5:$Y$25,MATCH(AA27,L_IMP,0)))</f>
        <v/>
      </c>
      <c r="AC27" s="11"/>
      <c r="AD27" s="11"/>
      <c r="AE27" s="11"/>
      <c r="AF27" s="10" t="str">
        <f aca="false">IF(Q27="","Pendiente por formular",IF(OR(S27="",T27="",U27="",V27="",W27="",X27="",Z27="",AA27=""),"Incompleta: faltan campos obligatorios",IF(OR(NOT(ISNUMBER(T27)),NOT(ISNUMBER(U27))),"Fecha inválida",IF(U27&lt;T27,"La fecha de fin es anterior a la de inicio",IF(OR(YEAR(T27)&lt;&gt;2027,YEAR(U27)&lt;&gt;2027),"Fechas fuera de la vigencia 2027",IF(ISERROR(SEARCH("@itc.edu.co",V27)),"El responsable no tiene correo institucional",IF(ISERROR(SEARCH(Z27,INDEX(Catalogos!$Z$5:$Z$25,MATCH(AA27,L_IMP,0)))),"La dimensión no corresponde al indicador de impacto","OK")))))))</f>
        <v>Pendiente por formular</v>
      </c>
    </row>
    <row r="28" customFormat="false" ht="66" hidden="false" customHeight="true" outlineLevel="0" collapsed="false">
      <c r="A28" s="12" t="str">
        <f aca="false">Base_OAPDI!A119</f>
        <v>E4-022</v>
      </c>
      <c r="B28" s="12" t="str">
        <f aca="false">Base_OAPDI!B119</f>
        <v>4.2.1.1</v>
      </c>
      <c r="C28" s="12" t="str">
        <f aca="false">Base_OAPDI!D119</f>
        <v>4.2 Arquitectura institucional</v>
      </c>
      <c r="D28" s="12" t="str">
        <f aca="false">Base_OAPDI!E119</f>
        <v>Contar con el 100% de la estructura organizacional académica y administrativa operando.</v>
      </c>
      <c r="E28" s="12" t="str">
        <f aca="false">Base_OAPDI!F119</f>
        <v>% de la estructura organizacional aprobada y operando</v>
      </c>
      <c r="F28" s="12" t="str">
        <f aca="false">Base_OAPDI!G119</f>
        <v>100%</v>
      </c>
      <c r="G28" s="12" t="str">
        <f aca="false">Base_OAPDI!H119</f>
        <v>15 docentes de tiempo completo y 10 administrativos vinculados por formalización</v>
      </c>
      <c r="H28" s="12" t="str">
        <f aca="false">Base_OAPDI!I119</f>
        <v>A05</v>
      </c>
      <c r="I28" s="12" t="str">
        <f aca="false">Base_OAPDI!J119</f>
        <v>101 · Oficina Asesora de Planeación y Desarrollo Institucional</v>
      </c>
      <c r="J28" s="12" t="str">
        <f aca="false">Base_OAPDI!K119</f>
        <v>Planeación y Plan de Acción</v>
      </c>
      <c r="K28" s="12" t="str">
        <f aca="false">Base_OAPDI!L119</f>
        <v>Direccionamiento Institucional</v>
      </c>
      <c r="L28" s="12" t="n">
        <f aca="false">Base_OAPDI!N119</f>
        <v>0</v>
      </c>
      <c r="M28" s="12" t="n">
        <f aca="false">Base_OAPDI!P119</f>
        <v>0</v>
      </c>
      <c r="N28" s="12" t="n">
        <f aca="false">Base_OAPDI!Q119</f>
        <v>0</v>
      </c>
      <c r="O28" s="12" t="str">
        <f aca="false">Base_OAPDI!R119</f>
        <v>Acciones propuestas por la OAPDI (valídelas y formúlelas en esta fila o en Acciones adicionales): A27-090 Elaborar el estudio técnico de rediseño institucional para el cambio de carácter.</v>
      </c>
      <c r="P28" s="12" t="str">
        <f aca="false">Base_OAPDI!S119</f>
        <v>IMP-15; IMP-18</v>
      </c>
      <c r="Q28" s="11"/>
      <c r="R28" s="11"/>
      <c r="S28" s="11"/>
      <c r="T28" s="18"/>
      <c r="U28" s="18"/>
      <c r="V28" s="11"/>
      <c r="W28" s="11"/>
      <c r="X28" s="11"/>
      <c r="Y28" s="11"/>
      <c r="Z28" s="11"/>
      <c r="AA28" s="11"/>
      <c r="AB28" s="12" t="str">
        <f aca="false">IF(AA28="","",INDEX(Catalogos!$Y$5:$Y$25,MATCH(AA28,L_IMP,0)))</f>
        <v/>
      </c>
      <c r="AC28" s="11"/>
      <c r="AD28" s="11"/>
      <c r="AE28" s="11"/>
      <c r="AF28" s="10" t="str">
        <f aca="false">IF(Q28="","Pendiente por formular",IF(OR(S28="",T28="",U28="",V28="",W28="",X28="",Z28="",AA28=""),"Incompleta: faltan campos obligatorios",IF(OR(NOT(ISNUMBER(T28)),NOT(ISNUMBER(U28))),"Fecha inválida",IF(U28&lt;T28,"La fecha de fin es anterior a la de inicio",IF(OR(YEAR(T28)&lt;&gt;2027,YEAR(U28)&lt;&gt;2027),"Fechas fuera de la vigencia 2027",IF(ISERROR(SEARCH("@itc.edu.co",V28)),"El responsable no tiene correo institucional",IF(ISERROR(SEARCH(Z28,INDEX(Catalogos!$Z$5:$Z$25,MATCH(AA28,L_IMP,0)))),"La dimensión no corresponde al indicador de impacto","OK")))))))</f>
        <v>Pendiente por formular</v>
      </c>
    </row>
    <row r="29" customFormat="false" ht="66" hidden="false" customHeight="true" outlineLevel="0" collapsed="false">
      <c r="A29" s="12" t="str">
        <f aca="false">Base_OAPDI!A120</f>
        <v>E4-023</v>
      </c>
      <c r="B29" s="12" t="str">
        <f aca="false">Base_OAPDI!B120</f>
        <v>4.2.1.1</v>
      </c>
      <c r="C29" s="12" t="str">
        <f aca="false">Base_OAPDI!D120</f>
        <v>4.2 Arquitectura institucional</v>
      </c>
      <c r="D29" s="12" t="str">
        <f aca="false">Base_OAPDI!E120</f>
        <v>Contar con el 100% de la estructura organizacional académica y administrativa operando.</v>
      </c>
      <c r="E29" s="12" t="str">
        <f aca="false">Base_OAPDI!F120</f>
        <v>% de la estructura organizacional aprobada y operando</v>
      </c>
      <c r="F29" s="12" t="str">
        <f aca="false">Base_OAPDI!G120</f>
        <v>100%</v>
      </c>
      <c r="G29" s="12" t="str">
        <f aca="false">Base_OAPDI!H120</f>
        <v>15 docentes de tiempo completo y 10 administrativos vinculados por formalización</v>
      </c>
      <c r="H29" s="12" t="str">
        <f aca="false">Base_OAPDI!I120</f>
        <v>A35</v>
      </c>
      <c r="I29" s="12" t="str">
        <f aca="false">Base_OAPDI!J120</f>
        <v>133 · GIT Gestión de Talento Humano</v>
      </c>
      <c r="J29" s="12" t="str">
        <f aca="false">Base_OAPDI!K120</f>
        <v>GIT Talento Humano</v>
      </c>
      <c r="K29" s="12" t="str">
        <f aca="false">Base_OAPDI!L120</f>
        <v>Gestión de Talento Humano</v>
      </c>
      <c r="L29" s="12" t="n">
        <f aca="false">Base_OAPDI!N120</f>
        <v>0</v>
      </c>
      <c r="M29" s="12" t="n">
        <f aca="false">Base_OAPDI!P120</f>
        <v>0</v>
      </c>
      <c r="N29" s="12" t="n">
        <f aca="false">Base_OAPDI!Q120</f>
        <v>0</v>
      </c>
      <c r="O29" s="12" t="str">
        <f aca="false">Base_OAPDI!R120</f>
        <v>Acciones propuestas por la OAPDI (valídelas y formúlelas en esta fila o en Acciones adicionales): A27-092 Vincular 15 docentes de tiempo completo y 10 administrativos (formalización laboral).</v>
      </c>
      <c r="P29" s="12" t="str">
        <f aca="false">Base_OAPDI!S120</f>
        <v>IMP-15; IMP-18</v>
      </c>
      <c r="Q29" s="11"/>
      <c r="R29" s="11"/>
      <c r="S29" s="11"/>
      <c r="T29" s="18"/>
      <c r="U29" s="18"/>
      <c r="V29" s="11"/>
      <c r="W29" s="11"/>
      <c r="X29" s="11"/>
      <c r="Y29" s="11"/>
      <c r="Z29" s="11"/>
      <c r="AA29" s="11"/>
      <c r="AB29" s="12" t="str">
        <f aca="false">IF(AA29="","",INDEX(Catalogos!$Y$5:$Y$25,MATCH(AA29,L_IMP,0)))</f>
        <v/>
      </c>
      <c r="AC29" s="11"/>
      <c r="AD29" s="11"/>
      <c r="AE29" s="11"/>
      <c r="AF29" s="10" t="str">
        <f aca="false">IF(Q29="","Pendiente por formular",IF(OR(S29="",T29="",U29="",V29="",W29="",X29="",Z29="",AA29=""),"Incompleta: faltan campos obligatorios",IF(OR(NOT(ISNUMBER(T29)),NOT(ISNUMBER(U29))),"Fecha inválida",IF(U29&lt;T29,"La fecha de fin es anterior a la de inicio",IF(OR(YEAR(T29)&lt;&gt;2027,YEAR(U29)&lt;&gt;2027),"Fechas fuera de la vigencia 2027",IF(ISERROR(SEARCH("@itc.edu.co",V29)),"El responsable no tiene correo institucional",IF(ISERROR(SEARCH(Z29,INDEX(Catalogos!$Z$5:$Z$25,MATCH(AA29,L_IMP,0)))),"La dimensión no corresponde al indicador de impacto","OK")))))))</f>
        <v>Pendiente por formular</v>
      </c>
    </row>
    <row r="30" customFormat="false" ht="132" hidden="false" customHeight="true" outlineLevel="0" collapsed="false">
      <c r="A30" s="12" t="str">
        <f aca="false">Base_OAPDI!A121</f>
        <v>E4-024</v>
      </c>
      <c r="B30" s="12" t="str">
        <f aca="false">Base_OAPDI!B121</f>
        <v>4.2.1.2</v>
      </c>
      <c r="C30" s="12" t="str">
        <f aca="false">Base_OAPDI!D121</f>
        <v>4.2 Arquitectura institucional</v>
      </c>
      <c r="D30" s="12" t="str">
        <f aca="false">Base_OAPDI!E121</f>
        <v>Contar con un (1) sistema de información estratégico.</v>
      </c>
      <c r="E30" s="12" t="str">
        <f aca="false">Base_OAPDI!F121</f>
        <v>Sistema de información estratégico operando y % de dependencias que reportan en él</v>
      </c>
      <c r="F30" s="12" t="str">
        <f aca="false">Base_OAPDI!G121</f>
        <v>1 sistema</v>
      </c>
      <c r="G30" s="12" t="str">
        <f aca="false">Base_OAPDI!H121</f>
        <v>Sugerido: (SIUE en operación plena: 100% de las dependencias reportando en él y 3 módulos integrados —Hoja de Ruta y Power BI, SNIES-HECAA y repositorio de evidencias—)</v>
      </c>
      <c r="H30" s="12" t="str">
        <f aca="false">Base_OAPDI!I121</f>
        <v>A06</v>
      </c>
      <c r="I30" s="12" t="str">
        <f aca="false">Base_OAPDI!J121</f>
        <v>101 · Oficina Asesora de Planeación y Desarrollo Institucional</v>
      </c>
      <c r="J30" s="12" t="str">
        <f aca="false">Base_OAPDI!K121</f>
        <v>Gestión de Proyectos</v>
      </c>
      <c r="K30" s="12" t="str">
        <f aca="false">Base_OAPDI!L121</f>
        <v>Direccionamiento Institucional</v>
      </c>
      <c r="L30" s="12" t="n">
        <f aca="false">Base_OAPDI!N121</f>
        <v>14</v>
      </c>
      <c r="M30" s="12" t="n">
        <f aca="false">Base_OAPDI!P121</f>
        <v>13</v>
      </c>
      <c r="N30" s="12" t="n">
        <f aca="false">Base_OAPDI!Q121</f>
        <v>1</v>
      </c>
      <c r="O30" s="12" t="str">
        <f aca="false">Base_OAPDI!R121</f>
        <v>Acciones propuestas por la OAPDI (valídelas y formúlelas en esta fila o en Acciones adicionales): A27-093 Formalizar el cierre de la implementación del SIUE y su manual de uso; A27-094 Integrar la Hoja de Ruta Power Apps con el SIUE. Cerrar o reprogramar 13 producto(s) 2026 pendiente(s) de esta meta. Atender 1 compromiso(s) de proyectos estructurantes (hoja Compromisos_2026).</v>
      </c>
      <c r="P30" s="12" t="str">
        <f aca="false">Base_OAPDI!S121</f>
        <v>IMP-14; IMP-18</v>
      </c>
      <c r="Q30" s="11"/>
      <c r="R30" s="11"/>
      <c r="S30" s="11"/>
      <c r="T30" s="18"/>
      <c r="U30" s="18"/>
      <c r="V30" s="11"/>
      <c r="W30" s="11"/>
      <c r="X30" s="11"/>
      <c r="Y30" s="11"/>
      <c r="Z30" s="11"/>
      <c r="AA30" s="11"/>
      <c r="AB30" s="12" t="str">
        <f aca="false">IF(AA30="","",INDEX(Catalogos!$Y$5:$Y$25,MATCH(AA30,L_IMP,0)))</f>
        <v/>
      </c>
      <c r="AC30" s="11"/>
      <c r="AD30" s="11"/>
      <c r="AE30" s="11"/>
      <c r="AF30" s="10" t="str">
        <f aca="false">IF(Q30="","Pendiente por formular",IF(OR(S30="",T30="",U30="",V30="",W30="",X30="",Z30="",AA30=""),"Incompleta: faltan campos obligatorios",IF(OR(NOT(ISNUMBER(T30)),NOT(ISNUMBER(U30))),"Fecha inválida",IF(U30&lt;T30,"La fecha de fin es anterior a la de inicio",IF(OR(YEAR(T30)&lt;&gt;2027,YEAR(U30)&lt;&gt;2027),"Fechas fuera de la vigencia 2027",IF(ISERROR(SEARCH("@itc.edu.co",V30)),"El responsable no tiene correo institucional",IF(ISERROR(SEARCH(Z30,INDEX(Catalogos!$Z$5:$Z$25,MATCH(AA30,L_IMP,0)))),"La dimensión no corresponde al indicador de impacto","OK")))))))</f>
        <v>Pendiente por formular</v>
      </c>
    </row>
    <row r="31" customFormat="false" ht="132" hidden="false" customHeight="true" outlineLevel="0" collapsed="false">
      <c r="A31" s="12" t="str">
        <f aca="false">Base_OAPDI!A122</f>
        <v>E4-025</v>
      </c>
      <c r="B31" s="12" t="str">
        <f aca="false">Base_OAPDI!B122</f>
        <v>4.2.1.2</v>
      </c>
      <c r="C31" s="12" t="str">
        <f aca="false">Base_OAPDI!D122</f>
        <v>4.2 Arquitectura institucional</v>
      </c>
      <c r="D31" s="12" t="str">
        <f aca="false">Base_OAPDI!E122</f>
        <v>Contar con un (1) sistema de información estratégico.</v>
      </c>
      <c r="E31" s="12" t="str">
        <f aca="false">Base_OAPDI!F122</f>
        <v>Sistema de información estratégico operando y % de dependencias que reportan en él</v>
      </c>
      <c r="F31" s="12" t="str">
        <f aca="false">Base_OAPDI!G122</f>
        <v>1 sistema</v>
      </c>
      <c r="G31" s="12" t="str">
        <f aca="false">Base_OAPDI!H122</f>
        <v>Sugerido: (SIUE en operación plena: 100% de las dependencias reportando en él y 3 módulos integrados —Hoja de Ruta y Power BI, SNIES-HECAA y repositorio de evidencias—)</v>
      </c>
      <c r="H31" s="12" t="str">
        <f aca="false">Base_OAPDI!I122</f>
        <v>A05</v>
      </c>
      <c r="I31" s="12" t="str">
        <f aca="false">Base_OAPDI!J122</f>
        <v>101 · Oficina Asesora de Planeación y Desarrollo Institucional</v>
      </c>
      <c r="J31" s="12" t="str">
        <f aca="false">Base_OAPDI!K122</f>
        <v>Planeación y Plan de Acción</v>
      </c>
      <c r="K31" s="12" t="str">
        <f aca="false">Base_OAPDI!L122</f>
        <v>Direccionamiento Institucional</v>
      </c>
      <c r="L31" s="12" t="n">
        <f aca="false">Base_OAPDI!N122</f>
        <v>0</v>
      </c>
      <c r="M31" s="12" t="n">
        <f aca="false">Base_OAPDI!P122</f>
        <v>0</v>
      </c>
      <c r="N31" s="12" t="n">
        <f aca="false">Base_OAPDI!Q122</f>
        <v>2</v>
      </c>
      <c r="O31" s="12" t="str">
        <f aca="false">Base_OAPDI!R122</f>
        <v>Acciones propuestas por la OAPDI (valídelas y formúlelas en esta fila o en Acciones adicionales): A27-097 Verificar la consistencia de cifras entre MEN, SNIES, CGN y Congreso desde el SIUE. Atender 2 compromiso(s) de proyectos estructurantes (hoja Compromisos_2026).</v>
      </c>
      <c r="P31" s="12" t="str">
        <f aca="false">Base_OAPDI!S122</f>
        <v>IMP-14; IMP-18</v>
      </c>
      <c r="Q31" s="11"/>
      <c r="R31" s="11"/>
      <c r="S31" s="11"/>
      <c r="T31" s="18"/>
      <c r="U31" s="18"/>
      <c r="V31" s="11"/>
      <c r="W31" s="11"/>
      <c r="X31" s="11"/>
      <c r="Y31" s="11"/>
      <c r="Z31" s="11"/>
      <c r="AA31" s="11"/>
      <c r="AB31" s="12" t="str">
        <f aca="false">IF(AA31="","",INDEX(Catalogos!$Y$5:$Y$25,MATCH(AA31,L_IMP,0)))</f>
        <v/>
      </c>
      <c r="AC31" s="11"/>
      <c r="AD31" s="11"/>
      <c r="AE31" s="11"/>
      <c r="AF31" s="10" t="str">
        <f aca="false">IF(Q31="","Pendiente por formular",IF(OR(S31="",T31="",U31="",V31="",W31="",X31="",Z31="",AA31=""),"Incompleta: faltan campos obligatorios",IF(OR(NOT(ISNUMBER(T31)),NOT(ISNUMBER(U31))),"Fecha inválida",IF(U31&lt;T31,"La fecha de fin es anterior a la de inicio",IF(OR(YEAR(T31)&lt;&gt;2027,YEAR(U31)&lt;&gt;2027),"Fechas fuera de la vigencia 2027",IF(ISERROR(SEARCH("@itc.edu.co",V31)),"El responsable no tiene correo institucional",IF(ISERROR(SEARCH(Z31,INDEX(Catalogos!$Z$5:$Z$25,MATCH(AA31,L_IMP,0)))),"La dimensión no corresponde al indicador de impacto","OK")))))))</f>
        <v>Pendiente por formular</v>
      </c>
    </row>
    <row r="32" customFormat="false" ht="132" hidden="false" customHeight="true" outlineLevel="0" collapsed="false">
      <c r="A32" s="12" t="str">
        <f aca="false">Base_OAPDI!A123</f>
        <v>E4-026</v>
      </c>
      <c r="B32" s="12" t="str">
        <f aca="false">Base_OAPDI!B123</f>
        <v>4.2.1.2</v>
      </c>
      <c r="C32" s="12" t="str">
        <f aca="false">Base_OAPDI!D123</f>
        <v>4.2 Arquitectura institucional</v>
      </c>
      <c r="D32" s="12" t="str">
        <f aca="false">Base_OAPDI!E123</f>
        <v>Contar con un (1) sistema de información estratégico.</v>
      </c>
      <c r="E32" s="12" t="str">
        <f aca="false">Base_OAPDI!F123</f>
        <v>Sistema de información estratégico operando y % de dependencias que reportan en él</v>
      </c>
      <c r="F32" s="12" t="str">
        <f aca="false">Base_OAPDI!G123</f>
        <v>1 sistema</v>
      </c>
      <c r="G32" s="12" t="str">
        <f aca="false">Base_OAPDI!H123</f>
        <v>Sugerido: (SIUE en operación plena: 100% de las dependencias reportando en él y 3 módulos integrados —Hoja de Ruta y Power BI, SNIES-HECAA y repositorio de evidencias—)</v>
      </c>
      <c r="H32" s="12" t="str">
        <f aca="false">Base_OAPDI!I123</f>
        <v>A29</v>
      </c>
      <c r="I32" s="12" t="str">
        <f aca="false">Base_OAPDI!J123</f>
        <v>126 · GIT Registro y Control</v>
      </c>
      <c r="J32" s="12" t="str">
        <f aca="false">Base_OAPDI!K123</f>
        <v>GIT Registro, Control y Admisiones</v>
      </c>
      <c r="K32" s="12" t="str">
        <f aca="false">Base_OAPDI!L123</f>
        <v>Docencia PES</v>
      </c>
      <c r="L32" s="12" t="n">
        <f aca="false">Base_OAPDI!N123</f>
        <v>0</v>
      </c>
      <c r="M32" s="12" t="n">
        <f aca="false">Base_OAPDI!P123</f>
        <v>0</v>
      </c>
      <c r="N32" s="12" t="n">
        <f aca="false">Base_OAPDI!Q123</f>
        <v>1</v>
      </c>
      <c r="O32" s="12" t="str">
        <f aca="false">Base_OAPDI!R123</f>
        <v>Acciones propuestas por la OAPDI (valídelas y formúlelas en esta fila o en Acciones adicionales): A27-095 Completar el reporte SNIES en plantilla HECAA con certificación de veracidad. Atender 1 compromiso(s) de proyectos estructurantes (hoja Compromisos_2026).</v>
      </c>
      <c r="P32" s="12" t="str">
        <f aca="false">Base_OAPDI!S123</f>
        <v>IMP-14; IMP-18</v>
      </c>
      <c r="Q32" s="11"/>
      <c r="R32" s="11"/>
      <c r="S32" s="11"/>
      <c r="T32" s="18"/>
      <c r="U32" s="18"/>
      <c r="V32" s="11"/>
      <c r="W32" s="11"/>
      <c r="X32" s="11"/>
      <c r="Y32" s="11"/>
      <c r="Z32" s="11"/>
      <c r="AA32" s="11"/>
      <c r="AB32" s="12" t="str">
        <f aca="false">IF(AA32="","",INDEX(Catalogos!$Y$5:$Y$25,MATCH(AA32,L_IMP,0)))</f>
        <v/>
      </c>
      <c r="AC32" s="11"/>
      <c r="AD32" s="11"/>
      <c r="AE32" s="11"/>
      <c r="AF32" s="10" t="str">
        <f aca="false">IF(Q32="","Pendiente por formular",IF(OR(S32="",T32="",U32="",V32="",W32="",X32="",Z32="",AA32=""),"Incompleta: faltan campos obligatorios",IF(OR(NOT(ISNUMBER(T32)),NOT(ISNUMBER(U32))),"Fecha inválida",IF(U32&lt;T32,"La fecha de fin es anterior a la de inicio",IF(OR(YEAR(T32)&lt;&gt;2027,YEAR(U32)&lt;&gt;2027),"Fechas fuera de la vigencia 2027",IF(ISERROR(SEARCH("@itc.edu.co",V32)),"El responsable no tiene correo institucional",IF(ISERROR(SEARCH(Z32,INDEX(Catalogos!$Z$5:$Z$25,MATCH(AA32,L_IMP,0)))),"La dimensión no corresponde al indicador de impacto","OK")))))))</f>
        <v>Pendiente por formular</v>
      </c>
    </row>
    <row r="33" customFormat="false" ht="132" hidden="false" customHeight="true" outlineLevel="0" collapsed="false">
      <c r="A33" s="12" t="str">
        <f aca="false">Base_OAPDI!A124</f>
        <v>E4-027</v>
      </c>
      <c r="B33" s="12" t="str">
        <f aca="false">Base_OAPDI!B124</f>
        <v>4.2.1.2</v>
      </c>
      <c r="C33" s="12" t="str">
        <f aca="false">Base_OAPDI!D124</f>
        <v>4.2 Arquitectura institucional</v>
      </c>
      <c r="D33" s="12" t="str">
        <f aca="false">Base_OAPDI!E124</f>
        <v>Contar con un (1) sistema de información estratégico.</v>
      </c>
      <c r="E33" s="12" t="str">
        <f aca="false">Base_OAPDI!F124</f>
        <v>Sistema de información estratégico operando y % de dependencias que reportan en él</v>
      </c>
      <c r="F33" s="12" t="str">
        <f aca="false">Base_OAPDI!G124</f>
        <v>1 sistema</v>
      </c>
      <c r="G33" s="12" t="str">
        <f aca="false">Base_OAPDI!H124</f>
        <v>Sugerido: (SIUE en operación plena: 100% de las dependencias reportando en él y 3 módulos integrados —Hoja de Ruta y Power BI, SNIES-HECAA y repositorio de evidencias—)</v>
      </c>
      <c r="H33" s="12" t="str">
        <f aca="false">Base_OAPDI!I124</f>
        <v>A34</v>
      </c>
      <c r="I33" s="12" t="str">
        <f aca="false">Base_OAPDI!J124</f>
        <v>132 · GIT Gestión de Informática y Telecomunicaciones</v>
      </c>
      <c r="J33" s="12" t="str">
        <f aca="false">Base_OAPDI!K124</f>
        <v>GIT Informática y Telecomunicaciones</v>
      </c>
      <c r="K33" s="12" t="str">
        <f aca="false">Base_OAPDI!L124</f>
        <v>Gestión de Informática y Telecomunicaciones</v>
      </c>
      <c r="L33" s="12" t="n">
        <f aca="false">Base_OAPDI!N124</f>
        <v>0</v>
      </c>
      <c r="M33" s="12" t="n">
        <f aca="false">Base_OAPDI!P124</f>
        <v>0</v>
      </c>
      <c r="N33" s="12" t="n">
        <f aca="false">Base_OAPDI!Q124</f>
        <v>1</v>
      </c>
      <c r="O33" s="12" t="str">
        <f aca="false">Base_OAPDI!R124</f>
        <v>Acciones propuestas por la OAPDI (valídelas y formúlelas en esta fila o en Acciones adicionales): A27-096 Habilitar un repositorio de soportes de solo lectura para entes externos. Atender 1 compromiso(s) de proyectos estructurantes (hoja Compromisos_2026).</v>
      </c>
      <c r="P33" s="12" t="str">
        <f aca="false">Base_OAPDI!S124</f>
        <v>IMP-14; IMP-18</v>
      </c>
      <c r="Q33" s="11"/>
      <c r="R33" s="11"/>
      <c r="S33" s="11"/>
      <c r="T33" s="18"/>
      <c r="U33" s="18"/>
      <c r="V33" s="11"/>
      <c r="W33" s="11"/>
      <c r="X33" s="11"/>
      <c r="Y33" s="11"/>
      <c r="Z33" s="11"/>
      <c r="AA33" s="11"/>
      <c r="AB33" s="12" t="str">
        <f aca="false">IF(AA33="","",INDEX(Catalogos!$Y$5:$Y$25,MATCH(AA33,L_IMP,0)))</f>
        <v/>
      </c>
      <c r="AC33" s="11"/>
      <c r="AD33" s="11"/>
      <c r="AE33" s="11"/>
      <c r="AF33" s="10" t="str">
        <f aca="false">IF(Q33="","Pendiente por formular",IF(OR(S33="",T33="",U33="",V33="",W33="",X33="",Z33="",AA33=""),"Incompleta: faltan campos obligatorios",IF(OR(NOT(ISNUMBER(T33)),NOT(ISNUMBER(U33))),"Fecha inválida",IF(U33&lt;T33,"La fecha de fin es anterior a la de inicio",IF(OR(YEAR(T33)&lt;&gt;2027,YEAR(U33)&lt;&gt;2027),"Fechas fuera de la vigencia 2027",IF(ISERROR(SEARCH("@itc.edu.co",V33)),"El responsable no tiene correo institucional",IF(ISERROR(SEARCH(Z33,INDEX(Catalogos!$Z$5:$Z$25,MATCH(AA33,L_IMP,0)))),"La dimensión no corresponde al indicador de impacto","OK")))))))</f>
        <v>Pendiente por formular</v>
      </c>
    </row>
    <row r="34" customFormat="false" ht="92.25" hidden="false" customHeight="true" outlineLevel="0" collapsed="false">
      <c r="A34" s="12" t="str">
        <f aca="false">Base_OAPDI!A125</f>
        <v>E4-028</v>
      </c>
      <c r="B34" s="12" t="str">
        <f aca="false">Base_OAPDI!B125</f>
        <v>4.2.1.3</v>
      </c>
      <c r="C34" s="12" t="str">
        <f aca="false">Base_OAPDI!D125</f>
        <v>4.2 Arquitectura institucional</v>
      </c>
      <c r="D34" s="12" t="str">
        <f aca="false">Base_OAPDI!E125</f>
        <v>Consolidar el IBTI como unidad autónoma y adscrita a la Institución con un programa de tránsito inmediato a la educación superior.</v>
      </c>
      <c r="E34" s="12" t="str">
        <f aca="false">Base_OAPDI!F125</f>
        <v>IBTI consolidado como unidad adscrita (fase)</v>
      </c>
      <c r="F34" s="12" t="str">
        <f aca="false">Base_OAPDI!G125</f>
        <v>IBTI consolidado</v>
      </c>
      <c r="G34" s="12" t="str">
        <f aca="false">Base_OAPDI!H125</f>
        <v>Currículos del IBTI y de los programas técnicos profesionales alineados; solicitud de adscripción ante el MEN</v>
      </c>
      <c r="H34" s="12" t="str">
        <f aca="false">Base_OAPDI!I125</f>
        <v>A27</v>
      </c>
      <c r="I34" s="12" t="str">
        <f aca="false">Base_OAPDI!J125</f>
        <v>124 · Instituto de Bachillerato Técnico Industrial (IBTI)</v>
      </c>
      <c r="J34" s="12" t="str">
        <f aca="false">Base_OAPDI!K125</f>
        <v>IBTI</v>
      </c>
      <c r="K34" s="12" t="str">
        <f aca="false">Base_OAPDI!L125</f>
        <v>Docencia IBTI</v>
      </c>
      <c r="L34" s="12" t="n">
        <f aca="false">Base_OAPDI!N125</f>
        <v>0</v>
      </c>
      <c r="M34" s="12" t="n">
        <f aca="false">Base_OAPDI!P125</f>
        <v>0</v>
      </c>
      <c r="N34" s="12" t="n">
        <f aca="false">Base_OAPDI!Q125</f>
        <v>0</v>
      </c>
      <c r="O34" s="12" t="str">
        <f aca="false">Base_OAPDI!R125</f>
        <v>Acciones propuestas por la OAPDI (valídelas y formúlelas en esta fila o en Acciones adicionales): A27-098 Alinear los currículos del IBTI y de los programas técnicos profesionales.</v>
      </c>
      <c r="P34" s="12" t="str">
        <f aca="false">Base_OAPDI!S125</f>
        <v>IMP-12; IMP-06</v>
      </c>
      <c r="Q34" s="11"/>
      <c r="R34" s="11"/>
      <c r="S34" s="11"/>
      <c r="T34" s="18"/>
      <c r="U34" s="18"/>
      <c r="V34" s="11"/>
      <c r="W34" s="11"/>
      <c r="X34" s="11"/>
      <c r="Y34" s="11"/>
      <c r="Z34" s="11"/>
      <c r="AA34" s="11"/>
      <c r="AB34" s="12" t="str">
        <f aca="false">IF(AA34="","",INDEX(Catalogos!$Y$5:$Y$25,MATCH(AA34,L_IMP,0)))</f>
        <v/>
      </c>
      <c r="AC34" s="11"/>
      <c r="AD34" s="11"/>
      <c r="AE34" s="11"/>
      <c r="AF34" s="10" t="str">
        <f aca="false">IF(Q34="","Pendiente por formular",IF(OR(S34="",T34="",U34="",V34="",W34="",X34="",Z34="",AA34=""),"Incompleta: faltan campos obligatorios",IF(OR(NOT(ISNUMBER(T34)),NOT(ISNUMBER(U34))),"Fecha inválida",IF(U34&lt;T34,"La fecha de fin es anterior a la de inicio",IF(OR(YEAR(T34)&lt;&gt;2027,YEAR(U34)&lt;&gt;2027),"Fechas fuera de la vigencia 2027",IF(ISERROR(SEARCH("@itc.edu.co",V34)),"El responsable no tiene correo institucional",IF(ISERROR(SEARCH(Z34,INDEX(Catalogos!$Z$5:$Z$25,MATCH(AA34,L_IMP,0)))),"La dimensión no corresponde al indicador de impacto","OK")))))))</f>
        <v>Pendiente por formular</v>
      </c>
    </row>
    <row r="35" customFormat="false" ht="92.25" hidden="false" customHeight="true" outlineLevel="0" collapsed="false">
      <c r="A35" s="12" t="str">
        <f aca="false">Base_OAPDI!A126</f>
        <v>E4-029</v>
      </c>
      <c r="B35" s="12" t="str">
        <f aca="false">Base_OAPDI!B126</f>
        <v>4.2.1.3</v>
      </c>
      <c r="C35" s="12" t="str">
        <f aca="false">Base_OAPDI!D126</f>
        <v>4.2 Arquitectura institucional</v>
      </c>
      <c r="D35" s="12" t="str">
        <f aca="false">Base_OAPDI!E126</f>
        <v>Consolidar el IBTI como unidad autónoma y adscrita a la Institución con un programa de tránsito inmediato a la educación superior.</v>
      </c>
      <c r="E35" s="12" t="str">
        <f aca="false">Base_OAPDI!F126</f>
        <v>IBTI consolidado como unidad adscrita (fase)</v>
      </c>
      <c r="F35" s="12" t="str">
        <f aca="false">Base_OAPDI!G126</f>
        <v>IBTI consolidado</v>
      </c>
      <c r="G35" s="12" t="str">
        <f aca="false">Base_OAPDI!H126</f>
        <v>Currículos del IBTI y de los programas técnicos profesionales alineados; solicitud de adscripción ante el MEN</v>
      </c>
      <c r="H35" s="12" t="str">
        <f aca="false">Base_OAPDI!I126</f>
        <v>A15</v>
      </c>
      <c r="I35" s="12" t="str">
        <f aca="false">Base_OAPDI!J126</f>
        <v>120 · Vicerrectoría Académica</v>
      </c>
      <c r="J35" s="12" t="str">
        <f aca="false">Base_OAPDI!K126</f>
        <v>Despacho de la Vicerrectoría Académica</v>
      </c>
      <c r="K35" s="12" t="str">
        <f aca="false">Base_OAPDI!L126</f>
        <v>Docencia PES</v>
      </c>
      <c r="L35" s="12" t="n">
        <f aca="false">Base_OAPDI!N126</f>
        <v>0</v>
      </c>
      <c r="M35" s="12" t="n">
        <f aca="false">Base_OAPDI!P126</f>
        <v>0</v>
      </c>
      <c r="N35" s="12" t="n">
        <f aca="false">Base_OAPDI!Q126</f>
        <v>0</v>
      </c>
      <c r="O35" s="12" t="str">
        <f aca="false">Base_OAPDI!R126</f>
        <v>Acciones propuestas por la OAPDI (valídelas y formúlelas en esta fila o en Acciones adicionales): A27-099 Definir la propuesta de integración de estructuras; A27-100 Gestionar la aprobación de la adscripción ante el MEN.</v>
      </c>
      <c r="P35" s="12" t="str">
        <f aca="false">Base_OAPDI!S126</f>
        <v>IMP-12; IMP-06</v>
      </c>
      <c r="Q35" s="11"/>
      <c r="R35" s="11"/>
      <c r="S35" s="11"/>
      <c r="T35" s="18"/>
      <c r="U35" s="18"/>
      <c r="V35" s="11"/>
      <c r="W35" s="11"/>
      <c r="X35" s="11"/>
      <c r="Y35" s="11"/>
      <c r="Z35" s="11"/>
      <c r="AA35" s="11"/>
      <c r="AB35" s="12" t="str">
        <f aca="false">IF(AA35="","",INDEX(Catalogos!$Y$5:$Y$25,MATCH(AA35,L_IMP,0)))</f>
        <v/>
      </c>
      <c r="AC35" s="11"/>
      <c r="AD35" s="11"/>
      <c r="AE35" s="11"/>
      <c r="AF35" s="10" t="str">
        <f aca="false">IF(Q35="","Pendiente por formular",IF(OR(S35="",T35="",U35="",V35="",W35="",X35="",Z35="",AA35=""),"Incompleta: faltan campos obligatorios",IF(OR(NOT(ISNUMBER(T35)),NOT(ISNUMBER(U35))),"Fecha inválida",IF(U35&lt;T35,"La fecha de fin es anterior a la de inicio",IF(OR(YEAR(T35)&lt;&gt;2027,YEAR(U35)&lt;&gt;2027),"Fechas fuera de la vigencia 2027",IF(ISERROR(SEARCH("@itc.edu.co",V35)),"El responsable no tiene correo institucional",IF(ISERROR(SEARCH(Z35,INDEX(Catalogos!$Z$5:$Z$25,MATCH(AA35,L_IMP,0)))),"La dimensión no corresponde al indicador de impacto","OK")))))))</f>
        <v>Pendiente por formular</v>
      </c>
    </row>
    <row r="36" customFormat="false" ht="52.5" hidden="false" customHeight="true" outlineLevel="0" collapsed="false">
      <c r="A36" s="12" t="str">
        <f aca="false">Base_OAPDI!A127</f>
        <v>E4-030</v>
      </c>
      <c r="B36" s="12" t="str">
        <f aca="false">Base_OAPDI!B127</f>
        <v>4.3.1.1</v>
      </c>
      <c r="C36" s="12" t="str">
        <f aca="false">Base_OAPDI!D127</f>
        <v>4.3 Gestión de la comunidad educativa</v>
      </c>
      <c r="D36" s="12" t="str">
        <f aca="false">Base_OAPDI!E127</f>
        <v>Contar con un (1) sistema estratégico de desarrollo de la comunidad educativa.</v>
      </c>
      <c r="E36" s="12" t="str">
        <f aca="false">Base_OAPDI!F127</f>
        <v>Sistema estratégico de desarrollo de la comunidad educativa (fase)</v>
      </c>
      <c r="F36" s="12" t="str">
        <f aca="false">Base_OAPDI!G127</f>
        <v>1 sistema</v>
      </c>
      <c r="G36" s="12" t="str">
        <f aca="false">Base_OAPDI!H127</f>
        <v>Modelo de operación flexible en funcionamiento</v>
      </c>
      <c r="H36" s="12" t="str">
        <f aca="false">Base_OAPDI!I127</f>
        <v>A07</v>
      </c>
      <c r="I36" s="12" t="str">
        <f aca="false">Base_OAPDI!J127</f>
        <v>101 · Oficina Asesora de Planeación y Desarrollo Institucional</v>
      </c>
      <c r="J36" s="12" t="str">
        <f aca="false">Base_OAPDI!K127</f>
        <v>Autoevaluación y Acreditación</v>
      </c>
      <c r="K36" s="12" t="str">
        <f aca="false">Base_OAPDI!L127</f>
        <v>Gestión del Sistema Integrado de Aseguramiento</v>
      </c>
      <c r="L36" s="12" t="n">
        <f aca="false">Base_OAPDI!N127</f>
        <v>9</v>
      </c>
      <c r="M36" s="12" t="n">
        <f aca="false">Base_OAPDI!P127</f>
        <v>7</v>
      </c>
      <c r="N36" s="12" t="n">
        <f aca="false">Base_OAPDI!Q127</f>
        <v>0</v>
      </c>
      <c r="O36" s="12" t="str">
        <f aca="false">Base_OAPDI!R127</f>
        <v>Acciones propuestas por la OAPDI (valídelas y formúlelas en esta fila o en Acciones adicionales): A27-101 Validar el modelo de operación flexible con la comunidad educativa; A27-102 Poner en operación el modelo y medir su adopción. Cerrar o reprogramar 7 producto(s) 2026 pendiente(s) de esta meta.</v>
      </c>
      <c r="P36" s="12" t="str">
        <f aca="false">Base_OAPDI!S127</f>
        <v>IMP-09; IMP-15</v>
      </c>
      <c r="Q36" s="11"/>
      <c r="R36" s="11"/>
      <c r="S36" s="11"/>
      <c r="T36" s="18"/>
      <c r="U36" s="18"/>
      <c r="V36" s="11"/>
      <c r="W36" s="11"/>
      <c r="X36" s="11"/>
      <c r="Y36" s="11"/>
      <c r="Z36" s="11"/>
      <c r="AA36" s="11"/>
      <c r="AB36" s="12" t="str">
        <f aca="false">IF(AA36="","",INDEX(Catalogos!$Y$5:$Y$25,MATCH(AA36,L_IMP,0)))</f>
        <v/>
      </c>
      <c r="AC36" s="11"/>
      <c r="AD36" s="11"/>
      <c r="AE36" s="11"/>
      <c r="AF36" s="10" t="str">
        <f aca="false">IF(Q36="","Pendiente por formular",IF(OR(S36="",T36="",U36="",V36="",W36="",X36="",Z36="",AA36=""),"Incompleta: faltan campos obligatorios",IF(OR(NOT(ISNUMBER(T36)),NOT(ISNUMBER(U36))),"Fecha inválida",IF(U36&lt;T36,"La fecha de fin es anterior a la de inicio",IF(OR(YEAR(T36)&lt;&gt;2027,YEAR(U36)&lt;&gt;2027),"Fechas fuera de la vigencia 2027",IF(ISERROR(SEARCH("@itc.edu.co",V36)),"El responsable no tiene correo institucional",IF(ISERROR(SEARCH(Z36,INDEX(Catalogos!$Z$5:$Z$25,MATCH(AA36,L_IMP,0)))),"La dimensión no corresponde al indicador de impacto","OK")))))))</f>
        <v>Pendiente por formular</v>
      </c>
    </row>
    <row r="37" customFormat="false" ht="39" hidden="false" customHeight="true" outlineLevel="0" collapsed="false">
      <c r="A37" s="12" t="str">
        <f aca="false">Base_OAPDI!A128</f>
        <v>E4-031</v>
      </c>
      <c r="B37" s="12" t="str">
        <f aca="false">Base_OAPDI!B128</f>
        <v>4.3.1.1</v>
      </c>
      <c r="C37" s="12" t="str">
        <f aca="false">Base_OAPDI!D128</f>
        <v>4.3 Gestión de la comunidad educativa</v>
      </c>
      <c r="D37" s="12" t="str">
        <f aca="false">Base_OAPDI!E128</f>
        <v>Contar con un (1) sistema estratégico de desarrollo de la comunidad educativa.</v>
      </c>
      <c r="E37" s="12" t="str">
        <f aca="false">Base_OAPDI!F128</f>
        <v>Sistema estratégico de desarrollo de la comunidad educativa (fase)</v>
      </c>
      <c r="F37" s="12" t="str">
        <f aca="false">Base_OAPDI!G128</f>
        <v>1 sistema</v>
      </c>
      <c r="G37" s="12" t="str">
        <f aca="false">Base_OAPDI!H128</f>
        <v>Modelo de operación flexible en funcionamiento</v>
      </c>
      <c r="H37" s="12" t="str">
        <f aca="false">Base_OAPDI!I128</f>
        <v>A08</v>
      </c>
      <c r="I37" s="12" t="str">
        <f aca="false">Base_OAPDI!J128</f>
        <v>101 · Oficina Asesora de Planeación y Desarrollo Institucional</v>
      </c>
      <c r="J37" s="12" t="str">
        <f aca="false">Base_OAPDI!K128</f>
        <v>Aseguramiento de la Calidad, MIPG y Registros Calificados</v>
      </c>
      <c r="K37" s="12" t="str">
        <f aca="false">Base_OAPDI!L128</f>
        <v>Gestión del Sistema Integrado de Aseguramiento</v>
      </c>
      <c r="L37" s="12" t="n">
        <f aca="false">Base_OAPDI!N128</f>
        <v>1</v>
      </c>
      <c r="M37" s="12" t="n">
        <f aca="false">Base_OAPDI!P128</f>
        <v>0</v>
      </c>
      <c r="N37" s="12" t="n">
        <f aca="false">Base_OAPDI!Q128</f>
        <v>0</v>
      </c>
      <c r="O37" s="12" t="str">
        <f aca="false">Base_OAPDI!R128</f>
        <v>Formular al menos una acción que contribuya a la meta institucional 2027 de esta meta.</v>
      </c>
      <c r="P37" s="12" t="str">
        <f aca="false">Base_OAPDI!S128</f>
        <v>IMP-09; IMP-15</v>
      </c>
      <c r="Q37" s="11"/>
      <c r="R37" s="11"/>
      <c r="S37" s="11"/>
      <c r="T37" s="18"/>
      <c r="U37" s="18"/>
      <c r="V37" s="11"/>
      <c r="W37" s="11"/>
      <c r="X37" s="11"/>
      <c r="Y37" s="11"/>
      <c r="Z37" s="11"/>
      <c r="AA37" s="11"/>
      <c r="AB37" s="12" t="str">
        <f aca="false">IF(AA37="","",INDEX(Catalogos!$Y$5:$Y$25,MATCH(AA37,L_IMP,0)))</f>
        <v/>
      </c>
      <c r="AC37" s="11"/>
      <c r="AD37" s="11"/>
      <c r="AE37" s="11"/>
      <c r="AF37" s="10" t="str">
        <f aca="false">IF(Q37="","Pendiente por formular",IF(OR(S37="",T37="",U37="",V37="",W37="",X37="",Z37="",AA37=""),"Incompleta: faltan campos obligatorios",IF(OR(NOT(ISNUMBER(T37)),NOT(ISNUMBER(U37))),"Fecha inválida",IF(U37&lt;T37,"La fecha de fin es anterior a la de inicio",IF(OR(YEAR(T37)&lt;&gt;2027,YEAR(U37)&lt;&gt;2027),"Fechas fuera de la vigencia 2027",IF(ISERROR(SEARCH("@itc.edu.co",V37)),"El responsable no tiene correo institucional",IF(ISERROR(SEARCH(Z37,INDEX(Catalogos!$Z$5:$Z$25,MATCH(AA37,L_IMP,0)))),"La dimensión no corresponde al indicador de impacto","OK")))))))</f>
        <v>Pendiente por formular</v>
      </c>
    </row>
    <row r="38" customFormat="false" ht="39" hidden="false" customHeight="true" outlineLevel="0" collapsed="false">
      <c r="A38" s="12" t="str">
        <f aca="false">Base_OAPDI!A129</f>
        <v>E4-032</v>
      </c>
      <c r="B38" s="12" t="str">
        <f aca="false">Base_OAPDI!B129</f>
        <v>4.3.1.1</v>
      </c>
      <c r="C38" s="12" t="str">
        <f aca="false">Base_OAPDI!D129</f>
        <v>4.3 Gestión de la comunidad educativa</v>
      </c>
      <c r="D38" s="12" t="str">
        <f aca="false">Base_OAPDI!E129</f>
        <v>Contar con un (1) sistema estratégico de desarrollo de la comunidad educativa.</v>
      </c>
      <c r="E38" s="12" t="str">
        <f aca="false">Base_OAPDI!F129</f>
        <v>Sistema estratégico de desarrollo de la comunidad educativa (fase)</v>
      </c>
      <c r="F38" s="12" t="str">
        <f aca="false">Base_OAPDI!G129</f>
        <v>1 sistema</v>
      </c>
      <c r="G38" s="12" t="str">
        <f aca="false">Base_OAPDI!H129</f>
        <v>Modelo de operación flexible en funcionamiento</v>
      </c>
      <c r="H38" s="12" t="str">
        <f aca="false">Base_OAPDI!I129</f>
        <v>A15</v>
      </c>
      <c r="I38" s="12" t="str">
        <f aca="false">Base_OAPDI!J129</f>
        <v>120 · Vicerrectoría Académica</v>
      </c>
      <c r="J38" s="12" t="str">
        <f aca="false">Base_OAPDI!K129</f>
        <v>Despacho de la Vicerrectoría Académica</v>
      </c>
      <c r="K38" s="12" t="str">
        <f aca="false">Base_OAPDI!L129</f>
        <v>Docencia PES</v>
      </c>
      <c r="L38" s="12" t="n">
        <f aca="false">Base_OAPDI!N129</f>
        <v>0</v>
      </c>
      <c r="M38" s="12" t="n">
        <f aca="false">Base_OAPDI!P129</f>
        <v>0</v>
      </c>
      <c r="N38" s="12" t="n">
        <f aca="false">Base_OAPDI!Q129</f>
        <v>0</v>
      </c>
      <c r="O38" s="12" t="str">
        <f aca="false">Base_OAPDI!R129</f>
        <v>Formular al menos una acción que contribuya a la meta institucional 2027 de esta meta.</v>
      </c>
      <c r="P38" s="12" t="str">
        <f aca="false">Base_OAPDI!S129</f>
        <v>IMP-09; IMP-15</v>
      </c>
      <c r="Q38" s="11"/>
      <c r="R38" s="11"/>
      <c r="S38" s="11"/>
      <c r="T38" s="18"/>
      <c r="U38" s="18"/>
      <c r="V38" s="11"/>
      <c r="W38" s="11"/>
      <c r="X38" s="11"/>
      <c r="Y38" s="11"/>
      <c r="Z38" s="11"/>
      <c r="AA38" s="11"/>
      <c r="AB38" s="12" t="str">
        <f aca="false">IF(AA38="","",INDEX(Catalogos!$Y$5:$Y$25,MATCH(AA38,L_IMP,0)))</f>
        <v/>
      </c>
      <c r="AC38" s="11"/>
      <c r="AD38" s="11"/>
      <c r="AE38" s="11"/>
      <c r="AF38" s="10" t="str">
        <f aca="false">IF(Q38="","Pendiente por formular",IF(OR(S38="",T38="",U38="",V38="",W38="",X38="",Z38="",AA38=""),"Incompleta: faltan campos obligatorios",IF(OR(NOT(ISNUMBER(T38)),NOT(ISNUMBER(U38))),"Fecha inválida",IF(U38&lt;T38,"La fecha de fin es anterior a la de inicio",IF(OR(YEAR(T38)&lt;&gt;2027,YEAR(U38)&lt;&gt;2027),"Fechas fuera de la vigencia 2027",IF(ISERROR(SEARCH("@itc.edu.co",V38)),"El responsable no tiene correo institucional",IF(ISERROR(SEARCH(Z38,INDEX(Catalogos!$Z$5:$Z$25,MATCH(AA38,L_IMP,0)))),"La dimensión no corresponde al indicador de impacto","OK")))))))</f>
        <v>Pendiente por formular</v>
      </c>
    </row>
    <row r="39" customFormat="false" ht="39" hidden="false" customHeight="true" outlineLevel="0" collapsed="false">
      <c r="A39" s="12" t="str">
        <f aca="false">Base_OAPDI!A130</f>
        <v>E4-033</v>
      </c>
      <c r="B39" s="12" t="str">
        <f aca="false">Base_OAPDI!B130</f>
        <v>4.3.1.1</v>
      </c>
      <c r="C39" s="12" t="str">
        <f aca="false">Base_OAPDI!D130</f>
        <v>4.3 Gestión de la comunidad educativa</v>
      </c>
      <c r="D39" s="12" t="str">
        <f aca="false">Base_OAPDI!E130</f>
        <v>Contar con un (1) sistema estratégico de desarrollo de la comunidad educativa.</v>
      </c>
      <c r="E39" s="12" t="str">
        <f aca="false">Base_OAPDI!F130</f>
        <v>Sistema estratégico de desarrollo de la comunidad educativa (fase)</v>
      </c>
      <c r="F39" s="12" t="str">
        <f aca="false">Base_OAPDI!G130</f>
        <v>1 sistema</v>
      </c>
      <c r="G39" s="12" t="str">
        <f aca="false">Base_OAPDI!H130</f>
        <v>Modelo de operación flexible en funcionamiento</v>
      </c>
      <c r="H39" s="12" t="str">
        <f aca="false">Base_OAPDI!I130</f>
        <v>A18</v>
      </c>
      <c r="I39" s="12" t="str">
        <f aca="false">Base_OAPDI!J130</f>
        <v>101 · Oficina Asesora de Planeación y Desarrollo Institucional</v>
      </c>
      <c r="J39" s="12" t="str">
        <f aca="false">Base_OAPDI!K130</f>
        <v>Articulación de programas (IA)</v>
      </c>
      <c r="K39" s="12" t="str">
        <f aca="false">Base_OAPDI!L130</f>
        <v>Direccionamiento Institucional</v>
      </c>
      <c r="L39" s="12" t="n">
        <f aca="false">Base_OAPDI!N130</f>
        <v>2</v>
      </c>
      <c r="M39" s="12" t="n">
        <f aca="false">Base_OAPDI!P130</f>
        <v>2</v>
      </c>
      <c r="N39" s="12" t="n">
        <f aca="false">Base_OAPDI!Q130</f>
        <v>0</v>
      </c>
      <c r="O39" s="12" t="str">
        <f aca="false">Base_OAPDI!R130</f>
        <v>Cerrar o reprogramar 2 producto(s) 2026 pendiente(s) de esta meta.</v>
      </c>
      <c r="P39" s="12" t="str">
        <f aca="false">Base_OAPDI!S130</f>
        <v>IMP-09; IMP-15</v>
      </c>
      <c r="Q39" s="11"/>
      <c r="R39" s="11"/>
      <c r="S39" s="11"/>
      <c r="T39" s="18"/>
      <c r="U39" s="18"/>
      <c r="V39" s="11"/>
      <c r="W39" s="11"/>
      <c r="X39" s="11"/>
      <c r="Y39" s="11"/>
      <c r="Z39" s="11"/>
      <c r="AA39" s="11"/>
      <c r="AB39" s="12" t="str">
        <f aca="false">IF(AA39="","",INDEX(Catalogos!$Y$5:$Y$25,MATCH(AA39,L_IMP,0)))</f>
        <v/>
      </c>
      <c r="AC39" s="11"/>
      <c r="AD39" s="11"/>
      <c r="AE39" s="11"/>
      <c r="AF39" s="10" t="str">
        <f aca="false">IF(Q39="","Pendiente por formular",IF(OR(S39="",T39="",U39="",V39="",W39="",X39="",Z39="",AA39=""),"Incompleta: faltan campos obligatorios",IF(OR(NOT(ISNUMBER(T39)),NOT(ISNUMBER(U39))),"Fecha inválida",IF(U39&lt;T39,"La fecha de fin es anterior a la de inicio",IF(OR(YEAR(T39)&lt;&gt;2027,YEAR(U39)&lt;&gt;2027),"Fechas fuera de la vigencia 2027",IF(ISERROR(SEARCH("@itc.edu.co",V39)),"El responsable no tiene correo institucional",IF(ISERROR(SEARCH(Z39,INDEX(Catalogos!$Z$5:$Z$25,MATCH(AA39,L_IMP,0)))),"La dimensión no corresponde al indicador de impacto","OK")))))))</f>
        <v>Pendiente por formular</v>
      </c>
    </row>
    <row r="40" customFormat="false" ht="39" hidden="false" customHeight="true" outlineLevel="0" collapsed="false">
      <c r="A40" s="12" t="str">
        <f aca="false">Base_OAPDI!A131</f>
        <v>E4-034</v>
      </c>
      <c r="B40" s="12" t="str">
        <f aca="false">Base_OAPDI!B131</f>
        <v>4.3.1.1</v>
      </c>
      <c r="C40" s="12" t="str">
        <f aca="false">Base_OAPDI!D131</f>
        <v>4.3 Gestión de la comunidad educativa</v>
      </c>
      <c r="D40" s="12" t="str">
        <f aca="false">Base_OAPDI!E131</f>
        <v>Contar con un (1) sistema estratégico de desarrollo de la comunidad educativa.</v>
      </c>
      <c r="E40" s="12" t="str">
        <f aca="false">Base_OAPDI!F131</f>
        <v>Sistema estratégico de desarrollo de la comunidad educativa (fase)</v>
      </c>
      <c r="F40" s="12" t="str">
        <f aca="false">Base_OAPDI!G131</f>
        <v>1 sistema</v>
      </c>
      <c r="G40" s="12" t="str">
        <f aca="false">Base_OAPDI!H131</f>
        <v>Modelo de operación flexible en funcionamiento</v>
      </c>
      <c r="H40" s="12" t="str">
        <f aca="false">Base_OAPDI!I131</f>
        <v>A19</v>
      </c>
      <c r="I40" s="12" t="str">
        <f aca="false">Base_OAPDI!J131</f>
        <v>101 · Oficina Asesora de Planeación y Desarrollo Institucional</v>
      </c>
      <c r="J40" s="12" t="str">
        <f aca="false">Base_OAPDI!K131</f>
        <v>Regionalización</v>
      </c>
      <c r="K40" s="12" t="str">
        <f aca="false">Base_OAPDI!L131</f>
        <v>Direccionamiento Institucional</v>
      </c>
      <c r="L40" s="12" t="n">
        <f aca="false">Base_OAPDI!N131</f>
        <v>3</v>
      </c>
      <c r="M40" s="12" t="n">
        <f aca="false">Base_OAPDI!P131</f>
        <v>1</v>
      </c>
      <c r="N40" s="12" t="n">
        <f aca="false">Base_OAPDI!Q131</f>
        <v>0</v>
      </c>
      <c r="O40" s="12" t="str">
        <f aca="false">Base_OAPDI!R131</f>
        <v>Cerrar o reprogramar 1 producto(s) 2026 pendiente(s) de esta meta.</v>
      </c>
      <c r="P40" s="12" t="str">
        <f aca="false">Base_OAPDI!S131</f>
        <v>IMP-09; IMP-15</v>
      </c>
      <c r="Q40" s="11"/>
      <c r="R40" s="11"/>
      <c r="S40" s="11"/>
      <c r="T40" s="18"/>
      <c r="U40" s="18"/>
      <c r="V40" s="11"/>
      <c r="W40" s="11"/>
      <c r="X40" s="11"/>
      <c r="Y40" s="11"/>
      <c r="Z40" s="11"/>
      <c r="AA40" s="11"/>
      <c r="AB40" s="12" t="str">
        <f aca="false">IF(AA40="","",INDEX(Catalogos!$Y$5:$Y$25,MATCH(AA40,L_IMP,0)))</f>
        <v/>
      </c>
      <c r="AC40" s="11"/>
      <c r="AD40" s="11"/>
      <c r="AE40" s="11"/>
      <c r="AF40" s="10" t="str">
        <f aca="false">IF(Q40="","Pendiente por formular",IF(OR(S40="",T40="",U40="",V40="",W40="",X40="",Z40="",AA40=""),"Incompleta: faltan campos obligatorios",IF(OR(NOT(ISNUMBER(T40)),NOT(ISNUMBER(U40))),"Fecha inválida",IF(U40&lt;T40,"La fecha de fin es anterior a la de inicio",IF(OR(YEAR(T40)&lt;&gt;2027,YEAR(U40)&lt;&gt;2027),"Fechas fuera de la vigencia 2027",IF(ISERROR(SEARCH("@itc.edu.co",V40)),"El responsable no tiene correo institucional",IF(ISERROR(SEARCH(Z40,INDEX(Catalogos!$Z$5:$Z$25,MATCH(AA40,L_IMP,0)))),"La dimensión no corresponde al indicador de impacto","OK")))))))</f>
        <v>Pendiente por formular</v>
      </c>
    </row>
    <row r="41" customFormat="false" ht="92.25" hidden="false" customHeight="true" outlineLevel="0" collapsed="false">
      <c r="A41" s="12" t="str">
        <f aca="false">Base_OAPDI!A132</f>
        <v>E4-035</v>
      </c>
      <c r="B41" s="12" t="str">
        <f aca="false">Base_OAPDI!B132</f>
        <v>4.4.1.1</v>
      </c>
      <c r="C41" s="12" t="str">
        <f aca="false">Base_OAPDI!D132</f>
        <v>4.4 Relacionamiento dialógico</v>
      </c>
      <c r="D41" s="12" t="str">
        <f aca="false">Base_OAPDI!E132</f>
        <v>Posicionamiento en un indicador Top of Mind de universidades tecnológicas de carácter público en el país.</v>
      </c>
      <c r="E41" s="12" t="str">
        <f aca="false">Base_OAPDI!F132</f>
        <v>Posición en el indicador Top of Mind</v>
      </c>
      <c r="F41" s="12" t="str">
        <f aca="false">Base_OAPDI!G132</f>
        <v>1 indicador</v>
      </c>
      <c r="G41" s="12" t="str">
        <f aca="false">Base_OAPDI!H132</f>
        <v>Sugerido: (medición de línea base Top of Mind aplicada y plan de posicionamiento ejecutado al 100% de lo programado para 2027)</v>
      </c>
      <c r="H41" s="12" t="str">
        <f aca="false">Base_OAPDI!I132</f>
        <v>A02</v>
      </c>
      <c r="I41" s="12" t="str">
        <f aca="false">Base_OAPDI!J132</f>
        <v>100 · Rectoría</v>
      </c>
      <c r="J41" s="12" t="str">
        <f aca="false">Base_OAPDI!K132</f>
        <v>Comunicaciones y Mercadeo</v>
      </c>
      <c r="K41" s="12" t="str">
        <f aca="false">Base_OAPDI!L132</f>
        <v>Gestión de Comunicaciones</v>
      </c>
      <c r="L41" s="12" t="n">
        <f aca="false">Base_OAPDI!N132</f>
        <v>39</v>
      </c>
      <c r="M41" s="12" t="n">
        <f aca="false">Base_OAPDI!P132</f>
        <v>32</v>
      </c>
      <c r="N41" s="12" t="n">
        <f aca="false">Base_OAPDI!Q132</f>
        <v>1</v>
      </c>
      <c r="O41" s="12" t="str">
        <f aca="false">Base_OAPDI!R132</f>
        <v>Acciones propuestas por la OAPDI (valídelas y formúlelas en esta fila o en Acciones adicionales): A27-103 Aplicar la medición de línea base de Top of Mind; A27-104 Desarrollar campañas de branding con alcance nacional y regional. Cerrar o reprogramar 32 producto(s) 2026 pendiente(s) de esta meta. Atender 1 compromiso(s) de proyectos estructurantes (hoja Compromisos_2026).</v>
      </c>
      <c r="P41" s="12" t="str">
        <f aca="false">Base_OAPDI!S132</f>
        <v>IMP-16</v>
      </c>
      <c r="Q41" s="11"/>
      <c r="R41" s="11"/>
      <c r="S41" s="11"/>
      <c r="T41" s="18"/>
      <c r="U41" s="18"/>
      <c r="V41" s="11"/>
      <c r="W41" s="11"/>
      <c r="X41" s="11"/>
      <c r="Y41" s="11"/>
      <c r="Z41" s="11"/>
      <c r="AA41" s="11"/>
      <c r="AB41" s="12" t="str">
        <f aca="false">IF(AA41="","",INDEX(Catalogos!$Y$5:$Y$25,MATCH(AA41,L_IMP,0)))</f>
        <v/>
      </c>
      <c r="AC41" s="11"/>
      <c r="AD41" s="11"/>
      <c r="AE41" s="11"/>
      <c r="AF41" s="10" t="str">
        <f aca="false">IF(Q41="","Pendiente por formular",IF(OR(S41="",T41="",U41="",V41="",W41="",X41="",Z41="",AA41=""),"Incompleta: faltan campos obligatorios",IF(OR(NOT(ISNUMBER(T41)),NOT(ISNUMBER(U41))),"Fecha inválida",IF(U41&lt;T41,"La fecha de fin es anterior a la de inicio",IF(OR(YEAR(T41)&lt;&gt;2027,YEAR(U41)&lt;&gt;2027),"Fechas fuera de la vigencia 2027",IF(ISERROR(SEARCH("@itc.edu.co",V41)),"El responsable no tiene correo institucional",IF(ISERROR(SEARCH(Z41,INDEX(Catalogos!$Z$5:$Z$25,MATCH(AA41,L_IMP,0)))),"La dimensión no corresponde al indicador de impacto","OK")))))))</f>
        <v>Pendiente por formular</v>
      </c>
    </row>
    <row r="42" customFormat="false" ht="92.25" hidden="false" customHeight="true" outlineLevel="0" collapsed="false">
      <c r="A42" s="12" t="str">
        <f aca="false">Base_OAPDI!A133</f>
        <v>E4-036</v>
      </c>
      <c r="B42" s="12" t="str">
        <f aca="false">Base_OAPDI!B133</f>
        <v>4.4.1.1</v>
      </c>
      <c r="C42" s="12" t="str">
        <f aca="false">Base_OAPDI!D133</f>
        <v>4.4 Relacionamiento dialógico</v>
      </c>
      <c r="D42" s="12" t="str">
        <f aca="false">Base_OAPDI!E133</f>
        <v>Posicionamiento en un indicador Top of Mind de universidades tecnológicas de carácter público en el país.</v>
      </c>
      <c r="E42" s="12" t="str">
        <f aca="false">Base_OAPDI!F133</f>
        <v>Posición en el indicador Top of Mind</v>
      </c>
      <c r="F42" s="12" t="str">
        <f aca="false">Base_OAPDI!G133</f>
        <v>1 indicador</v>
      </c>
      <c r="G42" s="12" t="str">
        <f aca="false">Base_OAPDI!H133</f>
        <v>Sugerido: (medición de línea base Top of Mind aplicada y plan de posicionamiento ejecutado al 100% de lo programado para 2027)</v>
      </c>
      <c r="H42" s="12" t="str">
        <f aca="false">Base_OAPDI!I133</f>
        <v>A03</v>
      </c>
      <c r="I42" s="12" t="str">
        <f aca="false">Base_OAPDI!J133</f>
        <v>100 · Rectoría</v>
      </c>
      <c r="J42" s="12" t="str">
        <f aca="false">Base_OAPDI!K133</f>
        <v>Internacionalización (ORII)</v>
      </c>
      <c r="K42" s="12" t="str">
        <f aca="false">Base_OAPDI!L133</f>
        <v>Gestión de Internacionalización</v>
      </c>
      <c r="L42" s="12" t="n">
        <f aca="false">Base_OAPDI!N133</f>
        <v>8</v>
      </c>
      <c r="M42" s="12" t="n">
        <f aca="false">Base_OAPDI!P133</f>
        <v>6</v>
      </c>
      <c r="N42" s="12" t="n">
        <f aca="false">Base_OAPDI!Q133</f>
        <v>0</v>
      </c>
      <c r="O42" s="12" t="str">
        <f aca="false">Base_OAPDI!R133</f>
        <v>Cerrar o reprogramar 6 producto(s) 2026 pendiente(s) de esta meta.</v>
      </c>
      <c r="P42" s="12" t="str">
        <f aca="false">Base_OAPDI!S133</f>
        <v>IMP-16</v>
      </c>
      <c r="Q42" s="11"/>
      <c r="R42" s="11"/>
      <c r="S42" s="11"/>
      <c r="T42" s="18"/>
      <c r="U42" s="18"/>
      <c r="V42" s="11"/>
      <c r="W42" s="11"/>
      <c r="X42" s="11"/>
      <c r="Y42" s="11"/>
      <c r="Z42" s="11"/>
      <c r="AA42" s="11"/>
      <c r="AB42" s="12" t="str">
        <f aca="false">IF(AA42="","",INDEX(Catalogos!$Y$5:$Y$25,MATCH(AA42,L_IMP,0)))</f>
        <v/>
      </c>
      <c r="AC42" s="11"/>
      <c r="AD42" s="11"/>
      <c r="AE42" s="11"/>
      <c r="AF42" s="10" t="str">
        <f aca="false">IF(Q42="","Pendiente por formular",IF(OR(S42="",T42="",U42="",V42="",W42="",X42="",Z42="",AA42=""),"Incompleta: faltan campos obligatorios",IF(OR(NOT(ISNUMBER(T42)),NOT(ISNUMBER(U42))),"Fecha inválida",IF(U42&lt;T42,"La fecha de fin es anterior a la de inicio",IF(OR(YEAR(T42)&lt;&gt;2027,YEAR(U42)&lt;&gt;2027),"Fechas fuera de la vigencia 2027",IF(ISERROR(SEARCH("@itc.edu.co",V42)),"El responsable no tiene correo institucional",IF(ISERROR(SEARCH(Z42,INDEX(Catalogos!$Z$5:$Z$25,MATCH(AA42,L_IMP,0)))),"La dimensión no corresponde al indicador de impacto","OK")))))))</f>
        <v>Pendiente por formular</v>
      </c>
    </row>
    <row r="43" customFormat="false" ht="92.25" hidden="false" customHeight="true" outlineLevel="0" collapsed="false">
      <c r="A43" s="12" t="str">
        <f aca="false">Base_OAPDI!A134</f>
        <v>E4-037</v>
      </c>
      <c r="B43" s="12" t="str">
        <f aca="false">Base_OAPDI!B134</f>
        <v>4.4.1.1</v>
      </c>
      <c r="C43" s="12" t="str">
        <f aca="false">Base_OAPDI!D134</f>
        <v>4.4 Relacionamiento dialógico</v>
      </c>
      <c r="D43" s="12" t="str">
        <f aca="false">Base_OAPDI!E134</f>
        <v>Posicionamiento en un indicador Top of Mind de universidades tecnológicas de carácter público en el país.</v>
      </c>
      <c r="E43" s="12" t="str">
        <f aca="false">Base_OAPDI!F134</f>
        <v>Posición en el indicador Top of Mind</v>
      </c>
      <c r="F43" s="12" t="str">
        <f aca="false">Base_OAPDI!G134</f>
        <v>1 indicador</v>
      </c>
      <c r="G43" s="12" t="str">
        <f aca="false">Base_OAPDI!H134</f>
        <v>Sugerido: (medición de línea base Top of Mind aplicada y plan de posicionamiento ejecutado al 100% de lo programado para 2027)</v>
      </c>
      <c r="H43" s="12" t="str">
        <f aca="false">Base_OAPDI!I134</f>
        <v>A11</v>
      </c>
      <c r="I43" s="12" t="str">
        <f aca="false">Base_OAPDI!J134</f>
        <v>110 · Secretaría General</v>
      </c>
      <c r="J43" s="12" t="str">
        <f aca="false">Base_OAPDI!K134</f>
        <v>Despacho de Secretaría General</v>
      </c>
      <c r="K43" s="12" t="str">
        <f aca="false">Base_OAPDI!L134</f>
        <v>Direccionamiento Institucional</v>
      </c>
      <c r="L43" s="12" t="n">
        <f aca="false">Base_OAPDI!N134</f>
        <v>1</v>
      </c>
      <c r="M43" s="12" t="n">
        <f aca="false">Base_OAPDI!P134</f>
        <v>1</v>
      </c>
      <c r="N43" s="12" t="n">
        <f aca="false">Base_OAPDI!Q134</f>
        <v>0</v>
      </c>
      <c r="O43" s="12" t="str">
        <f aca="false">Base_OAPDI!R134</f>
        <v>Cerrar o reprogramar 1 producto(s) 2026 pendiente(s) de esta meta.</v>
      </c>
      <c r="P43" s="12" t="str">
        <f aca="false">Base_OAPDI!S134</f>
        <v>IMP-16</v>
      </c>
      <c r="Q43" s="11"/>
      <c r="R43" s="11"/>
      <c r="S43" s="11"/>
      <c r="T43" s="18"/>
      <c r="U43" s="18"/>
      <c r="V43" s="11"/>
      <c r="W43" s="11"/>
      <c r="X43" s="11"/>
      <c r="Y43" s="11"/>
      <c r="Z43" s="11"/>
      <c r="AA43" s="11"/>
      <c r="AB43" s="12" t="str">
        <f aca="false">IF(AA43="","",INDEX(Catalogos!$Y$5:$Y$25,MATCH(AA43,L_IMP,0)))</f>
        <v/>
      </c>
      <c r="AC43" s="11"/>
      <c r="AD43" s="11"/>
      <c r="AE43" s="11"/>
      <c r="AF43" s="10" t="str">
        <f aca="false">IF(Q43="","Pendiente por formular",IF(OR(S43="",T43="",U43="",V43="",W43="",X43="",Z43="",AA43=""),"Incompleta: faltan campos obligatorios",IF(OR(NOT(ISNUMBER(T43)),NOT(ISNUMBER(U43))),"Fecha inválida",IF(U43&lt;T43,"La fecha de fin es anterior a la de inicio",IF(OR(YEAR(T43)&lt;&gt;2027,YEAR(U43)&lt;&gt;2027),"Fechas fuera de la vigencia 2027",IF(ISERROR(SEARCH("@itc.edu.co",V43)),"El responsable no tiene correo institucional",IF(ISERROR(SEARCH(Z43,INDEX(Catalogos!$Z$5:$Z$25,MATCH(AA43,L_IMP,0)))),"La dimensión no corresponde al indicador de impacto","OK")))))))</f>
        <v>Pendiente por formular</v>
      </c>
    </row>
    <row r="44" customFormat="false" ht="92.25" hidden="false" customHeight="true" outlineLevel="0" collapsed="false">
      <c r="A44" s="12" t="str">
        <f aca="false">Base_OAPDI!A135</f>
        <v>E4-038</v>
      </c>
      <c r="B44" s="12" t="str">
        <f aca="false">Base_OAPDI!B135</f>
        <v>4.4.1.1</v>
      </c>
      <c r="C44" s="12" t="str">
        <f aca="false">Base_OAPDI!D135</f>
        <v>4.4 Relacionamiento dialógico</v>
      </c>
      <c r="D44" s="12" t="str">
        <f aca="false">Base_OAPDI!E135</f>
        <v>Posicionamiento en un indicador Top of Mind de universidades tecnológicas de carácter público en el país.</v>
      </c>
      <c r="E44" s="12" t="str">
        <f aca="false">Base_OAPDI!F135</f>
        <v>Posición en el indicador Top of Mind</v>
      </c>
      <c r="F44" s="12" t="str">
        <f aca="false">Base_OAPDI!G135</f>
        <v>1 indicador</v>
      </c>
      <c r="G44" s="12" t="str">
        <f aca="false">Base_OAPDI!H135</f>
        <v>Sugerido: (medición de línea base Top of Mind aplicada y plan de posicionamiento ejecutado al 100% de lo programado para 2027)</v>
      </c>
      <c r="H44" s="12" t="str">
        <f aca="false">Base_OAPDI!I135</f>
        <v>A12</v>
      </c>
      <c r="I44" s="12" t="str">
        <f aca="false">Base_OAPDI!J135</f>
        <v>110 · Secretaría General</v>
      </c>
      <c r="J44" s="12" t="str">
        <f aca="false">Base_OAPDI!K135</f>
        <v>Gestión Jurídica</v>
      </c>
      <c r="K44" s="12" t="str">
        <f aca="false">Base_OAPDI!L135</f>
        <v>Gestión Jurídica</v>
      </c>
      <c r="L44" s="12" t="n">
        <f aca="false">Base_OAPDI!N135</f>
        <v>2</v>
      </c>
      <c r="M44" s="12" t="n">
        <f aca="false">Base_OAPDI!P135</f>
        <v>2</v>
      </c>
      <c r="N44" s="12" t="n">
        <f aca="false">Base_OAPDI!Q135</f>
        <v>0</v>
      </c>
      <c r="O44" s="12" t="str">
        <f aca="false">Base_OAPDI!R135</f>
        <v>Cerrar o reprogramar 2 producto(s) 2026 pendiente(s) de esta meta.</v>
      </c>
      <c r="P44" s="12" t="str">
        <f aca="false">Base_OAPDI!S135</f>
        <v>IMP-16</v>
      </c>
      <c r="Q44" s="11"/>
      <c r="R44" s="11"/>
      <c r="S44" s="11"/>
      <c r="T44" s="18"/>
      <c r="U44" s="18"/>
      <c r="V44" s="11"/>
      <c r="W44" s="11"/>
      <c r="X44" s="11"/>
      <c r="Y44" s="11"/>
      <c r="Z44" s="11"/>
      <c r="AA44" s="11"/>
      <c r="AB44" s="12" t="str">
        <f aca="false">IF(AA44="","",INDEX(Catalogos!$Y$5:$Y$25,MATCH(AA44,L_IMP,0)))</f>
        <v/>
      </c>
      <c r="AC44" s="11"/>
      <c r="AD44" s="11"/>
      <c r="AE44" s="11"/>
      <c r="AF44" s="10" t="str">
        <f aca="false">IF(Q44="","Pendiente por formular",IF(OR(S44="",T44="",U44="",V44="",W44="",X44="",Z44="",AA44=""),"Incompleta: faltan campos obligatorios",IF(OR(NOT(ISNUMBER(T44)),NOT(ISNUMBER(U44))),"Fecha inválida",IF(U44&lt;T44,"La fecha de fin es anterior a la de inicio",IF(OR(YEAR(T44)&lt;&gt;2027,YEAR(U44)&lt;&gt;2027),"Fechas fuera de la vigencia 2027",IF(ISERROR(SEARCH("@itc.edu.co",V44)),"El responsable no tiene correo institucional",IF(ISERROR(SEARCH(Z44,INDEX(Catalogos!$Z$5:$Z$25,MATCH(AA44,L_IMP,0)))),"La dimensión no corresponde al indicador de impacto","OK")))))))</f>
        <v>Pendiente por formular</v>
      </c>
    </row>
    <row r="45" customFormat="false" ht="92.25" hidden="false" customHeight="true" outlineLevel="0" collapsed="false">
      <c r="A45" s="12" t="str">
        <f aca="false">Base_OAPDI!A136</f>
        <v>E4-039</v>
      </c>
      <c r="B45" s="12" t="str">
        <f aca="false">Base_OAPDI!B136</f>
        <v>4.4.1.1</v>
      </c>
      <c r="C45" s="12" t="str">
        <f aca="false">Base_OAPDI!D136</f>
        <v>4.4 Relacionamiento dialógico</v>
      </c>
      <c r="D45" s="12" t="str">
        <f aca="false">Base_OAPDI!E136</f>
        <v>Posicionamiento en un indicador Top of Mind de universidades tecnológicas de carácter público en el país.</v>
      </c>
      <c r="E45" s="12" t="str">
        <f aca="false">Base_OAPDI!F136</f>
        <v>Posición en el indicador Top of Mind</v>
      </c>
      <c r="F45" s="12" t="str">
        <f aca="false">Base_OAPDI!G136</f>
        <v>1 indicador</v>
      </c>
      <c r="G45" s="12" t="str">
        <f aca="false">Base_OAPDI!H136</f>
        <v>Sugerido: (medición de línea base Top of Mind aplicada y plan de posicionamiento ejecutado al 100% de lo programado para 2027)</v>
      </c>
      <c r="H45" s="12" t="str">
        <f aca="false">Base_OAPDI!I136</f>
        <v>A34</v>
      </c>
      <c r="I45" s="12" t="str">
        <f aca="false">Base_OAPDI!J136</f>
        <v>132 · GIT Gestión de Informática y Telecomunicaciones</v>
      </c>
      <c r="J45" s="12" t="str">
        <f aca="false">Base_OAPDI!K136</f>
        <v>GIT Informática y Telecomunicaciones</v>
      </c>
      <c r="K45" s="12" t="str">
        <f aca="false">Base_OAPDI!L136</f>
        <v>Gestión de Informática y Telecomunicaciones</v>
      </c>
      <c r="L45" s="12" t="n">
        <f aca="false">Base_OAPDI!N136</f>
        <v>8</v>
      </c>
      <c r="M45" s="12" t="n">
        <f aca="false">Base_OAPDI!P136</f>
        <v>4</v>
      </c>
      <c r="N45" s="12" t="n">
        <f aca="false">Base_OAPDI!Q136</f>
        <v>0</v>
      </c>
      <c r="O45" s="12" t="str">
        <f aca="false">Base_OAPDI!R136</f>
        <v>Cerrar o reprogramar 4 producto(s) 2026 pendiente(s) de esta meta.</v>
      </c>
      <c r="P45" s="12" t="str">
        <f aca="false">Base_OAPDI!S136</f>
        <v>IMP-16</v>
      </c>
      <c r="Q45" s="11"/>
      <c r="R45" s="11"/>
      <c r="S45" s="11"/>
      <c r="T45" s="18"/>
      <c r="U45" s="18"/>
      <c r="V45" s="11"/>
      <c r="W45" s="11"/>
      <c r="X45" s="11"/>
      <c r="Y45" s="11"/>
      <c r="Z45" s="11"/>
      <c r="AA45" s="11"/>
      <c r="AB45" s="12" t="str">
        <f aca="false">IF(AA45="","",INDEX(Catalogos!$Y$5:$Y$25,MATCH(AA45,L_IMP,0)))</f>
        <v/>
      </c>
      <c r="AC45" s="11"/>
      <c r="AD45" s="11"/>
      <c r="AE45" s="11"/>
      <c r="AF45" s="10" t="str">
        <f aca="false">IF(Q45="","Pendiente por formular",IF(OR(S45="",T45="",U45="",V45="",W45="",X45="",Z45="",AA45=""),"Incompleta: faltan campos obligatorios",IF(OR(NOT(ISNUMBER(T45)),NOT(ISNUMBER(U45))),"Fecha inválida",IF(U45&lt;T45,"La fecha de fin es anterior a la de inicio",IF(OR(YEAR(T45)&lt;&gt;2027,YEAR(U45)&lt;&gt;2027),"Fechas fuera de la vigencia 2027",IF(ISERROR(SEARCH("@itc.edu.co",V45)),"El responsable no tiene correo institucional",IF(ISERROR(SEARCH(Z45,INDEX(Catalogos!$Z$5:$Z$25,MATCH(AA45,L_IMP,0)))),"La dimensión no corresponde al indicador de impacto","OK")))))))</f>
        <v>Pendiente por formular</v>
      </c>
    </row>
    <row r="46" customFormat="false" ht="78.75" hidden="false" customHeight="true" outlineLevel="0" collapsed="false">
      <c r="A46" s="12" t="str">
        <f aca="false">Base_OAPDI!A137</f>
        <v>E4-040</v>
      </c>
      <c r="B46" s="12" t="str">
        <f aca="false">Base_OAPDI!B137</f>
        <v>4.4.1.2</v>
      </c>
      <c r="C46" s="12" t="str">
        <f aca="false">Base_OAPDI!D137</f>
        <v>4.4 Relacionamiento dialógico</v>
      </c>
      <c r="D46" s="12" t="str">
        <f aca="false">Base_OAPDI!E137</f>
        <v>Cinco (5) alianzas estratégicas.</v>
      </c>
      <c r="E46" s="12" t="str">
        <f aca="false">Base_OAPDI!F137</f>
        <v>N.° de alianzas estratégicas formalizadas</v>
      </c>
      <c r="F46" s="12" t="str">
        <f aca="false">Base_OAPDI!G137</f>
        <v>5 alianzas</v>
      </c>
      <c r="G46" s="12" t="str">
        <f aca="false">Base_OAPDI!H137</f>
        <v>5 proyectos o alianzas estratégicas suscritos</v>
      </c>
      <c r="H46" s="12" t="str">
        <f aca="false">Base_OAPDI!I137</f>
        <v>A03</v>
      </c>
      <c r="I46" s="12" t="str">
        <f aca="false">Base_OAPDI!J137</f>
        <v>100 · Rectoría</v>
      </c>
      <c r="J46" s="12" t="str">
        <f aca="false">Base_OAPDI!K137</f>
        <v>Internacionalización (ORII)</v>
      </c>
      <c r="K46" s="12" t="str">
        <f aca="false">Base_OAPDI!L137</f>
        <v>Gestión de Internacionalización</v>
      </c>
      <c r="L46" s="12" t="n">
        <f aca="false">Base_OAPDI!N137</f>
        <v>12</v>
      </c>
      <c r="M46" s="12" t="n">
        <f aca="false">Base_OAPDI!P137</f>
        <v>8</v>
      </c>
      <c r="N46" s="12" t="n">
        <f aca="false">Base_OAPDI!Q137</f>
        <v>1</v>
      </c>
      <c r="O46" s="12" t="str">
        <f aca="false">Base_OAPDI!R137</f>
        <v>Acciones propuestas por la OAPDI (valídelas y formúlelas en esta fila o en Acciones adicionales): A27-105 Definir los criterios de 'alianza estratégica' y clasificar los convenios vigentes; A27-106 Suscribir como mínimo 5 proyectos con el sector empresarial, académico, ambiental y gubernamental; A27-107 Iniciar el estudio de impacto de Internacionalización y cooperación. Cerrar o reprogramar 8 producto(s) 2026 pendiente(s) de esta meta. Atender 1 compromiso(s) de proyectos estructurantes (hoja Compromisos_2026).</v>
      </c>
      <c r="P46" s="12" t="str">
        <f aca="false">Base_OAPDI!S137</f>
        <v>IMP-03; IMP-04</v>
      </c>
      <c r="Q46" s="11"/>
      <c r="R46" s="11"/>
      <c r="S46" s="11"/>
      <c r="T46" s="18"/>
      <c r="U46" s="18"/>
      <c r="V46" s="11"/>
      <c r="W46" s="11"/>
      <c r="X46" s="11"/>
      <c r="Y46" s="11"/>
      <c r="Z46" s="11"/>
      <c r="AA46" s="11"/>
      <c r="AB46" s="12" t="str">
        <f aca="false">IF(AA46="","",INDEX(Catalogos!$Y$5:$Y$25,MATCH(AA46,L_IMP,0)))</f>
        <v/>
      </c>
      <c r="AC46" s="11"/>
      <c r="AD46" s="11"/>
      <c r="AE46" s="11"/>
      <c r="AF46" s="10" t="str">
        <f aca="false">IF(Q46="","Pendiente por formular",IF(OR(S46="",T46="",U46="",V46="",W46="",X46="",Z46="",AA46=""),"Incompleta: faltan campos obligatorios",IF(OR(NOT(ISNUMBER(T46)),NOT(ISNUMBER(U46))),"Fecha inválida",IF(U46&lt;T46,"La fecha de fin es anterior a la de inicio",IF(OR(YEAR(T46)&lt;&gt;2027,YEAR(U46)&lt;&gt;2027),"Fechas fuera de la vigencia 2027",IF(ISERROR(SEARCH("@itc.edu.co",V46)),"El responsable no tiene correo institucional",IF(ISERROR(SEARCH(Z46,INDEX(Catalogos!$Z$5:$Z$25,MATCH(AA46,L_IMP,0)))),"La dimensión no corresponde al indicador de impacto","OK")))))))</f>
        <v>Pendiente por formular</v>
      </c>
    </row>
    <row r="47" customFormat="false" ht="39" hidden="false" customHeight="true" outlineLevel="0" collapsed="false">
      <c r="A47" s="12" t="str">
        <f aca="false">Base_OAPDI!A138</f>
        <v>E4-041</v>
      </c>
      <c r="B47" s="12" t="str">
        <f aca="false">Base_OAPDI!B138</f>
        <v>4.4.1.2</v>
      </c>
      <c r="C47" s="12" t="str">
        <f aca="false">Base_OAPDI!D138</f>
        <v>4.4 Relacionamiento dialógico</v>
      </c>
      <c r="D47" s="12" t="str">
        <f aca="false">Base_OAPDI!E138</f>
        <v>Cinco (5) alianzas estratégicas.</v>
      </c>
      <c r="E47" s="12" t="str">
        <f aca="false">Base_OAPDI!F138</f>
        <v>N.° de alianzas estratégicas formalizadas</v>
      </c>
      <c r="F47" s="12" t="str">
        <f aca="false">Base_OAPDI!G138</f>
        <v>5 alianzas</v>
      </c>
      <c r="G47" s="12" t="str">
        <f aca="false">Base_OAPDI!H138</f>
        <v>5 proyectos o alianzas estratégicas suscritos</v>
      </c>
      <c r="H47" s="12" t="str">
        <f aca="false">Base_OAPDI!I138</f>
        <v>A38</v>
      </c>
      <c r="I47" s="12" t="str">
        <f aca="false">Base_OAPDI!J138</f>
        <v>140 · Vicerrectoría de Investigación, Extensión y Transferencia</v>
      </c>
      <c r="J47" s="12" t="str">
        <f aca="false">Base_OAPDI!K138</f>
        <v>Despacho de la VIET</v>
      </c>
      <c r="K47" s="12" t="str">
        <f aca="false">Base_OAPDI!L138</f>
        <v>Investigación</v>
      </c>
      <c r="L47" s="12" t="n">
        <f aca="false">Base_OAPDI!N138</f>
        <v>1</v>
      </c>
      <c r="M47" s="12" t="n">
        <f aca="false">Base_OAPDI!P138</f>
        <v>0</v>
      </c>
      <c r="N47" s="12" t="n">
        <f aca="false">Base_OAPDI!Q138</f>
        <v>0</v>
      </c>
      <c r="O47" s="12" t="str">
        <f aca="false">Base_OAPDI!R138</f>
        <v>Formular al menos una acción que contribuya a la meta institucional 2027 de esta meta.</v>
      </c>
      <c r="P47" s="12" t="str">
        <f aca="false">Base_OAPDI!S138</f>
        <v>IMP-03; IMP-04</v>
      </c>
      <c r="Q47" s="11"/>
      <c r="R47" s="11"/>
      <c r="S47" s="11"/>
      <c r="T47" s="18"/>
      <c r="U47" s="18"/>
      <c r="V47" s="11"/>
      <c r="W47" s="11"/>
      <c r="X47" s="11"/>
      <c r="Y47" s="11"/>
      <c r="Z47" s="11"/>
      <c r="AA47" s="11"/>
      <c r="AB47" s="12" t="str">
        <f aca="false">IF(AA47="","",INDEX(Catalogos!$Y$5:$Y$25,MATCH(AA47,L_IMP,0)))</f>
        <v/>
      </c>
      <c r="AC47" s="11"/>
      <c r="AD47" s="11"/>
      <c r="AE47" s="11"/>
      <c r="AF47" s="10" t="str">
        <f aca="false">IF(Q47="","Pendiente por formular",IF(OR(S47="",T47="",U47="",V47="",W47="",X47="",Z47="",AA47=""),"Incompleta: faltan campos obligatorios",IF(OR(NOT(ISNUMBER(T47)),NOT(ISNUMBER(U47))),"Fecha inválida",IF(U47&lt;T47,"La fecha de fin es anterior a la de inicio",IF(OR(YEAR(T47)&lt;&gt;2027,YEAR(U47)&lt;&gt;2027),"Fechas fuera de la vigencia 2027",IF(ISERROR(SEARCH("@itc.edu.co",V47)),"El responsable no tiene correo institucional",IF(ISERROR(SEARCH(Z47,INDEX(Catalogos!$Z$5:$Z$25,MATCH(AA47,L_IMP,0)))),"La dimensión no corresponde al indicador de impacto","OK")))))))</f>
        <v>Pendiente por formular</v>
      </c>
    </row>
    <row r="48" customFormat="false" ht="92.25" hidden="false" customHeight="true" outlineLevel="0" collapsed="false">
      <c r="A48" s="12" t="str">
        <f aca="false">Base_OAPDI!A139</f>
        <v>E4-042</v>
      </c>
      <c r="B48" s="12" t="str">
        <f aca="false">Base_OAPDI!B139</f>
        <v>4.4.1.3</v>
      </c>
      <c r="C48" s="12" t="str">
        <f aca="false">Base_OAPDI!D139</f>
        <v>4.4 Relacionamiento dialógico</v>
      </c>
      <c r="D48" s="12" t="str">
        <f aca="false">Base_OAPDI!E139</f>
        <v>30 proyectos por cada una de las hélices: (1) sistema educativo; (2) sistema económico; (3) entorno natural; (4) el público (medios, cultura y sociedad civil) y (5) el sistema político.</v>
      </c>
      <c r="E48" s="12" t="str">
        <f aca="false">Base_OAPDI!F139</f>
        <v>N.° de proyectos por hélice</v>
      </c>
      <c r="F48" s="12" t="str">
        <f aca="false">Base_OAPDI!G139</f>
        <v>30 proyectos por hélice</v>
      </c>
      <c r="G48" s="12" t="str">
        <f aca="false">Base_OAPDI!H139</f>
        <v>Sugerido: (inventario de proyectos por hélice y 5 proyectos por hélice —25 en total— en 2027, trayectoria hacia 30 por hélice en 2032)</v>
      </c>
      <c r="H48" s="12" t="str">
        <f aca="false">Base_OAPDI!I139</f>
        <v>A38</v>
      </c>
      <c r="I48" s="12" t="str">
        <f aca="false">Base_OAPDI!J139</f>
        <v>140 · Vicerrectoría de Investigación, Extensión y Transferencia</v>
      </c>
      <c r="J48" s="12" t="str">
        <f aca="false">Base_OAPDI!K139</f>
        <v>Despacho de la VIET</v>
      </c>
      <c r="K48" s="12" t="str">
        <f aca="false">Base_OAPDI!L139</f>
        <v>Investigación</v>
      </c>
      <c r="L48" s="12" t="n">
        <f aca="false">Base_OAPDI!N139</f>
        <v>0</v>
      </c>
      <c r="M48" s="12" t="n">
        <f aca="false">Base_OAPDI!P139</f>
        <v>0</v>
      </c>
      <c r="N48" s="12" t="n">
        <f aca="false">Base_OAPDI!Q139</f>
        <v>0</v>
      </c>
      <c r="O48" s="12" t="str">
        <f aca="false">Base_OAPDI!R139</f>
        <v>Acciones propuestas por la OAPDI (valídelas y formúlelas en esta fila o en Acciones adicionales): A27-108 Inventariar los proyectos vigentes y clasificarlos por hélice.</v>
      </c>
      <c r="P48" s="12" t="str">
        <f aca="false">Base_OAPDI!S139</f>
        <v>IMP-03; IMP-04</v>
      </c>
      <c r="Q48" s="11"/>
      <c r="R48" s="11"/>
      <c r="S48" s="11"/>
      <c r="T48" s="18"/>
      <c r="U48" s="18"/>
      <c r="V48" s="11"/>
      <c r="W48" s="11"/>
      <c r="X48" s="11"/>
      <c r="Y48" s="11"/>
      <c r="Z48" s="11"/>
      <c r="AA48" s="11"/>
      <c r="AB48" s="12" t="str">
        <f aca="false">IF(AA48="","",INDEX(Catalogos!$Y$5:$Y$25,MATCH(AA48,L_IMP,0)))</f>
        <v/>
      </c>
      <c r="AC48" s="11"/>
      <c r="AD48" s="11"/>
      <c r="AE48" s="11"/>
      <c r="AF48" s="10" t="str">
        <f aca="false">IF(Q48="","Pendiente por formular",IF(OR(S48="",T48="",U48="",V48="",W48="",X48="",Z48="",AA48=""),"Incompleta: faltan campos obligatorios",IF(OR(NOT(ISNUMBER(T48)),NOT(ISNUMBER(U48))),"Fecha inválida",IF(U48&lt;T48,"La fecha de fin es anterior a la de inicio",IF(OR(YEAR(T48)&lt;&gt;2027,YEAR(U48)&lt;&gt;2027),"Fechas fuera de la vigencia 2027",IF(ISERROR(SEARCH("@itc.edu.co",V48)),"El responsable no tiene correo institucional",IF(ISERROR(SEARCH(Z48,INDEX(Catalogos!$Z$5:$Z$25,MATCH(AA48,L_IMP,0)))),"La dimensión no corresponde al indicador de impacto","OK")))))))</f>
        <v>Pendiente por formular</v>
      </c>
    </row>
    <row r="49" customFormat="false" ht="92.25" hidden="false" customHeight="true" outlineLevel="0" collapsed="false">
      <c r="A49" s="12" t="str">
        <f aca="false">Base_OAPDI!A140</f>
        <v>E4-043</v>
      </c>
      <c r="B49" s="12" t="str">
        <f aca="false">Base_OAPDI!B140</f>
        <v>4.4.1.3</v>
      </c>
      <c r="C49" s="12" t="str">
        <f aca="false">Base_OAPDI!D140</f>
        <v>4.4 Relacionamiento dialógico</v>
      </c>
      <c r="D49" s="12" t="str">
        <f aca="false">Base_OAPDI!E140</f>
        <v>30 proyectos por cada una de las hélices: (1) sistema educativo; (2) sistema económico; (3) entorno natural; (4) el público (medios, cultura y sociedad civil) y (5) el sistema político.</v>
      </c>
      <c r="E49" s="12" t="str">
        <f aca="false">Base_OAPDI!F140</f>
        <v>N.° de proyectos por hélice</v>
      </c>
      <c r="F49" s="12" t="str">
        <f aca="false">Base_OAPDI!G140</f>
        <v>30 proyectos por hélice</v>
      </c>
      <c r="G49" s="12" t="str">
        <f aca="false">Base_OAPDI!H140</f>
        <v>Sugerido: (inventario de proyectos por hélice y 5 proyectos por hélice —25 en total— en 2027, trayectoria hacia 30 por hélice en 2032)</v>
      </c>
      <c r="H49" s="12" t="str">
        <f aca="false">Base_OAPDI!I140</f>
        <v>A41</v>
      </c>
      <c r="I49" s="12" t="str">
        <f aca="false">Base_OAPDI!J140</f>
        <v>141 · GIT Extensión y Proyección Social</v>
      </c>
      <c r="J49" s="12" t="str">
        <f aca="false">Base_OAPDI!K140</f>
        <v>GIT Extensión y Proyección Social (incluye ETDH)</v>
      </c>
      <c r="K49" s="12" t="str">
        <f aca="false">Base_OAPDI!L140</f>
        <v>Extensión y Proyección Social</v>
      </c>
      <c r="L49" s="12" t="n">
        <f aca="false">Base_OAPDI!N140</f>
        <v>0</v>
      </c>
      <c r="M49" s="12" t="n">
        <f aca="false">Base_OAPDI!P140</f>
        <v>0</v>
      </c>
      <c r="N49" s="12" t="n">
        <f aca="false">Base_OAPDI!Q140</f>
        <v>0</v>
      </c>
      <c r="O49" s="12" t="str">
        <f aca="false">Base_OAPDI!R140</f>
        <v>Acciones propuestas por la OAPDI (valídelas y formúlelas en esta fila o en Acciones adicionales): A27-109 Formular y ejecutar 5 proyectos por hélice.</v>
      </c>
      <c r="P49" s="12" t="str">
        <f aca="false">Base_OAPDI!S140</f>
        <v>IMP-03; IMP-04</v>
      </c>
      <c r="Q49" s="11"/>
      <c r="R49" s="11"/>
      <c r="S49" s="11"/>
      <c r="T49" s="18"/>
      <c r="U49" s="18"/>
      <c r="V49" s="11"/>
      <c r="W49" s="11"/>
      <c r="X49" s="11"/>
      <c r="Y49" s="11"/>
      <c r="Z49" s="11"/>
      <c r="AA49" s="11"/>
      <c r="AB49" s="12" t="str">
        <f aca="false">IF(AA49="","",INDEX(Catalogos!$Y$5:$Y$25,MATCH(AA49,L_IMP,0)))</f>
        <v/>
      </c>
      <c r="AC49" s="11"/>
      <c r="AD49" s="11"/>
      <c r="AE49" s="11"/>
      <c r="AF49" s="10" t="str">
        <f aca="false">IF(Q49="","Pendiente por formular",IF(OR(S49="",T49="",U49="",V49="",W49="",X49="",Z49="",AA49=""),"Incompleta: faltan campos obligatorios",IF(OR(NOT(ISNUMBER(T49)),NOT(ISNUMBER(U49))),"Fecha inválida",IF(U49&lt;T49,"La fecha de fin es anterior a la de inicio",IF(OR(YEAR(T49)&lt;&gt;2027,YEAR(U49)&lt;&gt;2027),"Fechas fuera de la vigencia 2027",IF(ISERROR(SEARCH("@itc.edu.co",V49)),"El responsable no tiene correo institucional",IF(ISERROR(SEARCH(Z49,INDEX(Catalogos!$Z$5:$Z$25,MATCH(AA49,L_IMP,0)))),"La dimensión no corresponde al indicador de impacto","OK")))))))</f>
        <v>Pendiente por formular</v>
      </c>
    </row>
    <row r="50" customFormat="false" ht="92.25" hidden="false" customHeight="true" outlineLevel="0" collapsed="false">
      <c r="A50" s="12" t="str">
        <f aca="false">Base_OAPDI!A141</f>
        <v>E4-044</v>
      </c>
      <c r="B50" s="12" t="str">
        <f aca="false">Base_OAPDI!B141</f>
        <v>4.5.1.1</v>
      </c>
      <c r="C50" s="12" t="str">
        <f aca="false">Base_OAPDI!D141</f>
        <v>4.5 Cultura organizacional</v>
      </c>
      <c r="D50" s="12" t="str">
        <f aca="false">Base_OAPDI!E141</f>
        <v>Lograr un 90% de participación de los grupos de valor en las acciones de cultura organizacional.</v>
      </c>
      <c r="E50" s="12" t="str">
        <f aca="false">Base_OAPDI!F141</f>
        <v>% de participación de los grupos de valor en acciones de cultura</v>
      </c>
      <c r="F50" s="12" t="str">
        <f aca="false">Base_OAPDI!G141</f>
        <v>90%</v>
      </c>
      <c r="G50" s="12" t="str">
        <f aca="false">Base_OAPDI!H141</f>
        <v>Sugerido: (75% de participación de los grupos de valor —primera medición en 2027 y trayectoria hacia 90% en 2032—)</v>
      </c>
      <c r="H50" s="12" t="str">
        <f aca="false">Base_OAPDI!I141</f>
        <v>A35</v>
      </c>
      <c r="I50" s="12" t="str">
        <f aca="false">Base_OAPDI!J141</f>
        <v>133 · GIT Gestión de Talento Humano</v>
      </c>
      <c r="J50" s="12" t="str">
        <f aca="false">Base_OAPDI!K141</f>
        <v>GIT Talento Humano</v>
      </c>
      <c r="K50" s="12" t="str">
        <f aca="false">Base_OAPDI!L141</f>
        <v>Gestión de Talento Humano</v>
      </c>
      <c r="L50" s="12" t="n">
        <f aca="false">Base_OAPDI!N141</f>
        <v>0</v>
      </c>
      <c r="M50" s="12" t="n">
        <f aca="false">Base_OAPDI!P141</f>
        <v>0</v>
      </c>
      <c r="N50" s="12" t="n">
        <f aca="false">Base_OAPDI!Q141</f>
        <v>0</v>
      </c>
      <c r="O50" s="12" t="str">
        <f aca="false">Base_OAPDI!R141</f>
        <v>Acciones propuestas por la OAPDI (valídelas y formúlelas en esta fila o en Acciones adicionales): A27-110 Definir la población por grupo de valor y el método de medición de participación.</v>
      </c>
      <c r="P50" s="12" t="str">
        <f aca="false">Base_OAPDI!S141</f>
        <v>IMP-16; IMP-15</v>
      </c>
      <c r="Q50" s="11"/>
      <c r="R50" s="11"/>
      <c r="S50" s="11"/>
      <c r="T50" s="18"/>
      <c r="U50" s="18"/>
      <c r="V50" s="11"/>
      <c r="W50" s="11"/>
      <c r="X50" s="11"/>
      <c r="Y50" s="11"/>
      <c r="Z50" s="11"/>
      <c r="AA50" s="11"/>
      <c r="AB50" s="12" t="str">
        <f aca="false">IF(AA50="","",INDEX(Catalogos!$Y$5:$Y$25,MATCH(AA50,L_IMP,0)))</f>
        <v/>
      </c>
      <c r="AC50" s="11"/>
      <c r="AD50" s="11"/>
      <c r="AE50" s="11"/>
      <c r="AF50" s="10" t="str">
        <f aca="false">IF(Q50="","Pendiente por formular",IF(OR(S50="",T50="",U50="",V50="",W50="",X50="",Z50="",AA50=""),"Incompleta: faltan campos obligatorios",IF(OR(NOT(ISNUMBER(T50)),NOT(ISNUMBER(U50))),"Fecha inválida",IF(U50&lt;T50,"La fecha de fin es anterior a la de inicio",IF(OR(YEAR(T50)&lt;&gt;2027,YEAR(U50)&lt;&gt;2027),"Fechas fuera de la vigencia 2027",IF(ISERROR(SEARCH("@itc.edu.co",V50)),"El responsable no tiene correo institucional",IF(ISERROR(SEARCH(Z50,INDEX(Catalogos!$Z$5:$Z$25,MATCH(AA50,L_IMP,0)))),"La dimensión no corresponde al indicador de impacto","OK")))))))</f>
        <v>Pendiente por formular</v>
      </c>
    </row>
    <row r="51" customFormat="false" ht="92.25" hidden="false" customHeight="true" outlineLevel="0" collapsed="false">
      <c r="A51" s="12" t="str">
        <f aca="false">Base_OAPDI!A142</f>
        <v>E4-045</v>
      </c>
      <c r="B51" s="12" t="str">
        <f aca="false">Base_OAPDI!B142</f>
        <v>4.5.1.1</v>
      </c>
      <c r="C51" s="12" t="str">
        <f aca="false">Base_OAPDI!D142</f>
        <v>4.5 Cultura organizacional</v>
      </c>
      <c r="D51" s="12" t="str">
        <f aca="false">Base_OAPDI!E142</f>
        <v>Lograr un 90% de participación de los grupos de valor en las acciones de cultura organizacional.</v>
      </c>
      <c r="E51" s="12" t="str">
        <f aca="false">Base_OAPDI!F142</f>
        <v>% de participación de los grupos de valor en acciones de cultura</v>
      </c>
      <c r="F51" s="12" t="str">
        <f aca="false">Base_OAPDI!G142</f>
        <v>90%</v>
      </c>
      <c r="G51" s="12" t="str">
        <f aca="false">Base_OAPDI!H142</f>
        <v>Sugerido: (75% de participación de los grupos de valor —primera medición en 2027 y trayectoria hacia 90% en 2032—)</v>
      </c>
      <c r="H51" s="12" t="str">
        <f aca="false">Base_OAPDI!I142</f>
        <v>A37</v>
      </c>
      <c r="I51" s="12" t="str">
        <f aca="false">Base_OAPDI!J142</f>
        <v>133 · GIT Gestión de Talento Humano</v>
      </c>
      <c r="J51" s="12" t="str">
        <f aca="false">Base_OAPDI!K142</f>
        <v>Bienestar Laboral</v>
      </c>
      <c r="K51" s="12" t="str">
        <f aca="false">Base_OAPDI!L142</f>
        <v>Gestión de Talento Humano</v>
      </c>
      <c r="L51" s="12" t="n">
        <f aca="false">Base_OAPDI!N142</f>
        <v>0</v>
      </c>
      <c r="M51" s="12" t="n">
        <f aca="false">Base_OAPDI!P142</f>
        <v>0</v>
      </c>
      <c r="N51" s="12" t="n">
        <f aca="false">Base_OAPDI!Q142</f>
        <v>0</v>
      </c>
      <c r="O51" s="12" t="str">
        <f aca="false">Base_OAPDI!R142</f>
        <v>Acciones propuestas por la OAPDI (valídelas y formúlelas en esta fila o en Acciones adicionales): A27-111 Ejecutar el plan de bienestar e incentivos con participación de todos los servidores.</v>
      </c>
      <c r="P51" s="12" t="str">
        <f aca="false">Base_OAPDI!S142</f>
        <v>IMP-16; IMP-15</v>
      </c>
      <c r="Q51" s="11"/>
      <c r="R51" s="11"/>
      <c r="S51" s="11"/>
      <c r="T51" s="18"/>
      <c r="U51" s="18"/>
      <c r="V51" s="11"/>
      <c r="W51" s="11"/>
      <c r="X51" s="11"/>
      <c r="Y51" s="11"/>
      <c r="Z51" s="11"/>
      <c r="AA51" s="11"/>
      <c r="AB51" s="12" t="str">
        <f aca="false">IF(AA51="","",INDEX(Catalogos!$Y$5:$Y$25,MATCH(AA51,L_IMP,0)))</f>
        <v/>
      </c>
      <c r="AC51" s="11"/>
      <c r="AD51" s="11"/>
      <c r="AE51" s="11"/>
      <c r="AF51" s="10" t="str">
        <f aca="false">IF(Q51="","Pendiente por formular",IF(OR(S51="",T51="",U51="",V51="",W51="",X51="",Z51="",AA51=""),"Incompleta: faltan campos obligatorios",IF(OR(NOT(ISNUMBER(T51)),NOT(ISNUMBER(U51))),"Fecha inválida",IF(U51&lt;T51,"La fecha de fin es anterior a la de inicio",IF(OR(YEAR(T51)&lt;&gt;2027,YEAR(U51)&lt;&gt;2027),"Fechas fuera de la vigencia 2027",IF(ISERROR(SEARCH("@itc.edu.co",V51)),"El responsable no tiene correo institucional",IF(ISERROR(SEARCH(Z51,INDEX(Catalogos!$Z$5:$Z$25,MATCH(AA51,L_IMP,0)))),"La dimensión no corresponde al indicador de impacto","OK")))))))</f>
        <v>Pendiente por formular</v>
      </c>
    </row>
    <row r="52" customFormat="false" ht="39" hidden="false" customHeight="true" outlineLevel="0" collapsed="false">
      <c r="A52" s="12" t="str">
        <f aca="false">Base_OAPDI!A143</f>
        <v>E4-046</v>
      </c>
      <c r="B52" s="12" t="str">
        <f aca="false">Base_OAPDI!B143</f>
        <v>4.5.1.2</v>
      </c>
      <c r="C52" s="12" t="str">
        <f aca="false">Base_OAPDI!D143</f>
        <v>4.5 Cultura organizacional</v>
      </c>
      <c r="D52" s="12" t="str">
        <f aca="false">Base_OAPDI!E143</f>
        <v>Consolidar un (1) modelo de gestión de la cultura que contemple un (1) instrumento de evaluación permanente.</v>
      </c>
      <c r="E52" s="12" t="str">
        <f aca="false">Base_OAPDI!F143</f>
        <v>Modelo de gestión de la cultura con instrumento de evaluación (fase)</v>
      </c>
      <c r="F52" s="12" t="str">
        <f aca="false">Base_OAPDI!G143</f>
        <v>1 modelo + 1 instrumento</v>
      </c>
      <c r="G52" s="12" t="str">
        <f aca="false">Base_OAPDI!H143</f>
        <v>Instrumento de evaluación diseñado y aplicado</v>
      </c>
      <c r="H52" s="12" t="str">
        <f aca="false">Base_OAPDI!I143</f>
        <v>A05</v>
      </c>
      <c r="I52" s="12" t="str">
        <f aca="false">Base_OAPDI!J143</f>
        <v>101 · Oficina Asesora de Planeación y Desarrollo Institucional</v>
      </c>
      <c r="J52" s="12" t="str">
        <f aca="false">Base_OAPDI!K143</f>
        <v>Planeación y Plan de Acción</v>
      </c>
      <c r="K52" s="12" t="str">
        <f aca="false">Base_OAPDI!L143</f>
        <v>Direccionamiento Institucional</v>
      </c>
      <c r="L52" s="12" t="n">
        <f aca="false">Base_OAPDI!N143</f>
        <v>1</v>
      </c>
      <c r="M52" s="12" t="n">
        <f aca="false">Base_OAPDI!P143</f>
        <v>0</v>
      </c>
      <c r="N52" s="12" t="n">
        <f aca="false">Base_OAPDI!Q143</f>
        <v>0</v>
      </c>
      <c r="O52" s="12" t="str">
        <f aca="false">Base_OAPDI!R143</f>
        <v>Formular al menos una acción que contribuya a la meta institucional 2027 de esta meta.</v>
      </c>
      <c r="P52" s="12" t="str">
        <f aca="false">Base_OAPDI!S143</f>
        <v>IMP-15; IMP-14</v>
      </c>
      <c r="Q52" s="11"/>
      <c r="R52" s="11"/>
      <c r="S52" s="11"/>
      <c r="T52" s="18"/>
      <c r="U52" s="18"/>
      <c r="V52" s="11"/>
      <c r="W52" s="11"/>
      <c r="X52" s="11"/>
      <c r="Y52" s="11"/>
      <c r="Z52" s="11"/>
      <c r="AA52" s="11"/>
      <c r="AB52" s="12" t="str">
        <f aca="false">IF(AA52="","",INDEX(Catalogos!$Y$5:$Y$25,MATCH(AA52,L_IMP,0)))</f>
        <v/>
      </c>
      <c r="AC52" s="11"/>
      <c r="AD52" s="11"/>
      <c r="AE52" s="11"/>
      <c r="AF52" s="10" t="str">
        <f aca="false">IF(Q52="","Pendiente por formular",IF(OR(S52="",T52="",U52="",V52="",W52="",X52="",Z52="",AA52=""),"Incompleta: faltan campos obligatorios",IF(OR(NOT(ISNUMBER(T52)),NOT(ISNUMBER(U52))),"Fecha inválida",IF(U52&lt;T52,"La fecha de fin es anterior a la de inicio",IF(OR(YEAR(T52)&lt;&gt;2027,YEAR(U52)&lt;&gt;2027),"Fechas fuera de la vigencia 2027",IF(ISERROR(SEARCH("@itc.edu.co",V52)),"El responsable no tiene correo institucional",IF(ISERROR(SEARCH(Z52,INDEX(Catalogos!$Z$5:$Z$25,MATCH(AA52,L_IMP,0)))),"La dimensión no corresponde al indicador de impacto","OK")))))))</f>
        <v>Pendiente por formular</v>
      </c>
    </row>
    <row r="53" customFormat="false" ht="39" hidden="false" customHeight="true" outlineLevel="0" collapsed="false">
      <c r="A53" s="12" t="str">
        <f aca="false">Base_OAPDI!A144</f>
        <v>E4-047</v>
      </c>
      <c r="B53" s="12" t="str">
        <f aca="false">Base_OAPDI!B144</f>
        <v>4.5.1.2</v>
      </c>
      <c r="C53" s="12" t="str">
        <f aca="false">Base_OAPDI!D144</f>
        <v>4.5 Cultura organizacional</v>
      </c>
      <c r="D53" s="12" t="str">
        <f aca="false">Base_OAPDI!E144</f>
        <v>Consolidar un (1) modelo de gestión de la cultura que contemple un (1) instrumento de evaluación permanente.</v>
      </c>
      <c r="E53" s="12" t="str">
        <f aca="false">Base_OAPDI!F144</f>
        <v>Modelo de gestión de la cultura con instrumento de evaluación (fase)</v>
      </c>
      <c r="F53" s="12" t="str">
        <f aca="false">Base_OAPDI!G144</f>
        <v>1 modelo + 1 instrumento</v>
      </c>
      <c r="G53" s="12" t="str">
        <f aca="false">Base_OAPDI!H144</f>
        <v>Instrumento de evaluación diseñado y aplicado</v>
      </c>
      <c r="H53" s="12" t="str">
        <f aca="false">Base_OAPDI!I144</f>
        <v>A07</v>
      </c>
      <c r="I53" s="12" t="str">
        <f aca="false">Base_OAPDI!J144</f>
        <v>101 · Oficina Asesora de Planeación y Desarrollo Institucional</v>
      </c>
      <c r="J53" s="12" t="str">
        <f aca="false">Base_OAPDI!K144</f>
        <v>Autoevaluación y Acreditación</v>
      </c>
      <c r="K53" s="12" t="str">
        <f aca="false">Base_OAPDI!L144</f>
        <v>Gestión del Sistema Integrado de Aseguramiento</v>
      </c>
      <c r="L53" s="12" t="n">
        <f aca="false">Base_OAPDI!N144</f>
        <v>8</v>
      </c>
      <c r="M53" s="12" t="n">
        <f aca="false">Base_OAPDI!P144</f>
        <v>4</v>
      </c>
      <c r="N53" s="12" t="n">
        <f aca="false">Base_OAPDI!Q144</f>
        <v>0</v>
      </c>
      <c r="O53" s="12" t="str">
        <f aca="false">Base_OAPDI!R144</f>
        <v>Cerrar o reprogramar 4 producto(s) 2026 pendiente(s) de esta meta.</v>
      </c>
      <c r="P53" s="12" t="str">
        <f aca="false">Base_OAPDI!S144</f>
        <v>IMP-15; IMP-14</v>
      </c>
      <c r="Q53" s="11"/>
      <c r="R53" s="11"/>
      <c r="S53" s="11"/>
      <c r="T53" s="18"/>
      <c r="U53" s="18"/>
      <c r="V53" s="11"/>
      <c r="W53" s="11"/>
      <c r="X53" s="11"/>
      <c r="Y53" s="11"/>
      <c r="Z53" s="11"/>
      <c r="AA53" s="11"/>
      <c r="AB53" s="12" t="str">
        <f aca="false">IF(AA53="","",INDEX(Catalogos!$Y$5:$Y$25,MATCH(AA53,L_IMP,0)))</f>
        <v/>
      </c>
      <c r="AC53" s="11"/>
      <c r="AD53" s="11"/>
      <c r="AE53" s="11"/>
      <c r="AF53" s="10" t="str">
        <f aca="false">IF(Q53="","Pendiente por formular",IF(OR(S53="",T53="",U53="",V53="",W53="",X53="",Z53="",AA53=""),"Incompleta: faltan campos obligatorios",IF(OR(NOT(ISNUMBER(T53)),NOT(ISNUMBER(U53))),"Fecha inválida",IF(U53&lt;T53,"La fecha de fin es anterior a la de inicio",IF(OR(YEAR(T53)&lt;&gt;2027,YEAR(U53)&lt;&gt;2027),"Fechas fuera de la vigencia 2027",IF(ISERROR(SEARCH("@itc.edu.co",V53)),"El responsable no tiene correo institucional",IF(ISERROR(SEARCH(Z53,INDEX(Catalogos!$Z$5:$Z$25,MATCH(AA53,L_IMP,0)))),"La dimensión no corresponde al indicador de impacto","OK")))))))</f>
        <v>Pendiente por formular</v>
      </c>
    </row>
    <row r="54" customFormat="false" ht="39" hidden="false" customHeight="true" outlineLevel="0" collapsed="false">
      <c r="A54" s="12" t="str">
        <f aca="false">Base_OAPDI!A145</f>
        <v>E4-048</v>
      </c>
      <c r="B54" s="12" t="str">
        <f aca="false">Base_OAPDI!B145</f>
        <v>4.5.1.2</v>
      </c>
      <c r="C54" s="12" t="str">
        <f aca="false">Base_OAPDI!D145</f>
        <v>4.5 Cultura organizacional</v>
      </c>
      <c r="D54" s="12" t="str">
        <f aca="false">Base_OAPDI!E145</f>
        <v>Consolidar un (1) modelo de gestión de la cultura que contemple un (1) instrumento de evaluación permanente.</v>
      </c>
      <c r="E54" s="12" t="str">
        <f aca="false">Base_OAPDI!F145</f>
        <v>Modelo de gestión de la cultura con instrumento de evaluación (fase)</v>
      </c>
      <c r="F54" s="12" t="str">
        <f aca="false">Base_OAPDI!G145</f>
        <v>1 modelo + 1 instrumento</v>
      </c>
      <c r="G54" s="12" t="str">
        <f aca="false">Base_OAPDI!H145</f>
        <v>Instrumento de evaluación diseñado y aplicado</v>
      </c>
      <c r="H54" s="12" t="str">
        <f aca="false">Base_OAPDI!I145</f>
        <v>A08</v>
      </c>
      <c r="I54" s="12" t="str">
        <f aca="false">Base_OAPDI!J145</f>
        <v>101 · Oficina Asesora de Planeación y Desarrollo Institucional</v>
      </c>
      <c r="J54" s="12" t="str">
        <f aca="false">Base_OAPDI!K145</f>
        <v>Aseguramiento de la Calidad, MIPG y Registros Calificados</v>
      </c>
      <c r="K54" s="12" t="str">
        <f aca="false">Base_OAPDI!L145</f>
        <v>Gestión del Sistema Integrado de Aseguramiento</v>
      </c>
      <c r="L54" s="12" t="n">
        <f aca="false">Base_OAPDI!N145</f>
        <v>15</v>
      </c>
      <c r="M54" s="12" t="n">
        <f aca="false">Base_OAPDI!P145</f>
        <v>4</v>
      </c>
      <c r="N54" s="12" t="n">
        <f aca="false">Base_OAPDI!Q145</f>
        <v>0</v>
      </c>
      <c r="O54" s="12" t="str">
        <f aca="false">Base_OAPDI!R145</f>
        <v>Cerrar o reprogramar 4 producto(s) 2026 pendiente(s) de esta meta.</v>
      </c>
      <c r="P54" s="12" t="str">
        <f aca="false">Base_OAPDI!S145</f>
        <v>IMP-15; IMP-14</v>
      </c>
      <c r="Q54" s="11"/>
      <c r="R54" s="11"/>
      <c r="S54" s="11"/>
      <c r="T54" s="18"/>
      <c r="U54" s="18"/>
      <c r="V54" s="11"/>
      <c r="W54" s="11"/>
      <c r="X54" s="11"/>
      <c r="Y54" s="11"/>
      <c r="Z54" s="11"/>
      <c r="AA54" s="11"/>
      <c r="AB54" s="12" t="str">
        <f aca="false">IF(AA54="","",INDEX(Catalogos!$Y$5:$Y$25,MATCH(AA54,L_IMP,0)))</f>
        <v/>
      </c>
      <c r="AC54" s="11"/>
      <c r="AD54" s="11"/>
      <c r="AE54" s="11"/>
      <c r="AF54" s="10" t="str">
        <f aca="false">IF(Q54="","Pendiente por formular",IF(OR(S54="",T54="",U54="",V54="",W54="",X54="",Z54="",AA54=""),"Incompleta: faltan campos obligatorios",IF(OR(NOT(ISNUMBER(T54)),NOT(ISNUMBER(U54))),"Fecha inválida",IF(U54&lt;T54,"La fecha de fin es anterior a la de inicio",IF(OR(YEAR(T54)&lt;&gt;2027,YEAR(U54)&lt;&gt;2027),"Fechas fuera de la vigencia 2027",IF(ISERROR(SEARCH("@itc.edu.co",V54)),"El responsable no tiene correo institucional",IF(ISERROR(SEARCH(Z54,INDEX(Catalogos!$Z$5:$Z$25,MATCH(AA54,L_IMP,0)))),"La dimensión no corresponde al indicador de impacto","OK")))))))</f>
        <v>Pendiente por formular</v>
      </c>
    </row>
    <row r="55" customFormat="false" ht="39" hidden="false" customHeight="true" outlineLevel="0" collapsed="false">
      <c r="A55" s="12" t="str">
        <f aca="false">Base_OAPDI!A146</f>
        <v>E4-049</v>
      </c>
      <c r="B55" s="12" t="str">
        <f aca="false">Base_OAPDI!B146</f>
        <v>4.5.1.2</v>
      </c>
      <c r="C55" s="12" t="str">
        <f aca="false">Base_OAPDI!D146</f>
        <v>4.5 Cultura organizacional</v>
      </c>
      <c r="D55" s="12" t="str">
        <f aca="false">Base_OAPDI!E146</f>
        <v>Consolidar un (1) modelo de gestión de la cultura que contemple un (1) instrumento de evaluación permanente.</v>
      </c>
      <c r="E55" s="12" t="str">
        <f aca="false">Base_OAPDI!F146</f>
        <v>Modelo de gestión de la cultura con instrumento de evaluación (fase)</v>
      </c>
      <c r="F55" s="12" t="str">
        <f aca="false">Base_OAPDI!G146</f>
        <v>1 modelo + 1 instrumento</v>
      </c>
      <c r="G55" s="12" t="str">
        <f aca="false">Base_OAPDI!H146</f>
        <v>Instrumento de evaluación diseñado y aplicado</v>
      </c>
      <c r="H55" s="12" t="str">
        <f aca="false">Base_OAPDI!I146</f>
        <v>A18</v>
      </c>
      <c r="I55" s="12" t="str">
        <f aca="false">Base_OAPDI!J146</f>
        <v>101 · Oficina Asesora de Planeación y Desarrollo Institucional</v>
      </c>
      <c r="J55" s="12" t="str">
        <f aca="false">Base_OAPDI!K146</f>
        <v>Articulación de programas (IA)</v>
      </c>
      <c r="K55" s="12" t="str">
        <f aca="false">Base_OAPDI!L146</f>
        <v>Direccionamiento Institucional</v>
      </c>
      <c r="L55" s="12" t="n">
        <f aca="false">Base_OAPDI!N146</f>
        <v>1</v>
      </c>
      <c r="M55" s="12" t="n">
        <f aca="false">Base_OAPDI!P146</f>
        <v>1</v>
      </c>
      <c r="N55" s="12" t="n">
        <f aca="false">Base_OAPDI!Q146</f>
        <v>0</v>
      </c>
      <c r="O55" s="12" t="str">
        <f aca="false">Base_OAPDI!R146</f>
        <v>Cerrar o reprogramar 1 producto(s) 2026 pendiente(s) de esta meta.</v>
      </c>
      <c r="P55" s="12" t="str">
        <f aca="false">Base_OAPDI!S146</f>
        <v>IMP-15; IMP-14</v>
      </c>
      <c r="Q55" s="11"/>
      <c r="R55" s="11"/>
      <c r="S55" s="11"/>
      <c r="T55" s="18"/>
      <c r="U55" s="18"/>
      <c r="V55" s="11"/>
      <c r="W55" s="11"/>
      <c r="X55" s="11"/>
      <c r="Y55" s="11"/>
      <c r="Z55" s="11"/>
      <c r="AA55" s="11"/>
      <c r="AB55" s="12" t="str">
        <f aca="false">IF(AA55="","",INDEX(Catalogos!$Y$5:$Y$25,MATCH(AA55,L_IMP,0)))</f>
        <v/>
      </c>
      <c r="AC55" s="11"/>
      <c r="AD55" s="11"/>
      <c r="AE55" s="11"/>
      <c r="AF55" s="10" t="str">
        <f aca="false">IF(Q55="","Pendiente por formular",IF(OR(S55="",T55="",U55="",V55="",W55="",X55="",Z55="",AA55=""),"Incompleta: faltan campos obligatorios",IF(OR(NOT(ISNUMBER(T55)),NOT(ISNUMBER(U55))),"Fecha inválida",IF(U55&lt;T55,"La fecha de fin es anterior a la de inicio",IF(OR(YEAR(T55)&lt;&gt;2027,YEAR(U55)&lt;&gt;2027),"Fechas fuera de la vigencia 2027",IF(ISERROR(SEARCH("@itc.edu.co",V55)),"El responsable no tiene correo institucional",IF(ISERROR(SEARCH(Z55,INDEX(Catalogos!$Z$5:$Z$25,MATCH(AA55,L_IMP,0)))),"La dimensión no corresponde al indicador de impacto","OK")))))))</f>
        <v>Pendiente por formular</v>
      </c>
    </row>
    <row r="56" customFormat="false" ht="39" hidden="false" customHeight="true" outlineLevel="0" collapsed="false">
      <c r="A56" s="12" t="str">
        <f aca="false">Base_OAPDI!A147</f>
        <v>E4-050</v>
      </c>
      <c r="B56" s="12" t="str">
        <f aca="false">Base_OAPDI!B147</f>
        <v>4.5.1.2</v>
      </c>
      <c r="C56" s="12" t="str">
        <f aca="false">Base_OAPDI!D147</f>
        <v>4.5 Cultura organizacional</v>
      </c>
      <c r="D56" s="12" t="str">
        <f aca="false">Base_OAPDI!E147</f>
        <v>Consolidar un (1) modelo de gestión de la cultura que contemple un (1) instrumento de evaluación permanente.</v>
      </c>
      <c r="E56" s="12" t="str">
        <f aca="false">Base_OAPDI!F147</f>
        <v>Modelo de gestión de la cultura con instrumento de evaluación (fase)</v>
      </c>
      <c r="F56" s="12" t="str">
        <f aca="false">Base_OAPDI!G147</f>
        <v>1 modelo + 1 instrumento</v>
      </c>
      <c r="G56" s="12" t="str">
        <f aca="false">Base_OAPDI!H147</f>
        <v>Instrumento de evaluación diseñado y aplicado</v>
      </c>
      <c r="H56" s="12" t="str">
        <f aca="false">Base_OAPDI!I147</f>
        <v>A29</v>
      </c>
      <c r="I56" s="12" t="str">
        <f aca="false">Base_OAPDI!J147</f>
        <v>126 · GIT Registro y Control</v>
      </c>
      <c r="J56" s="12" t="str">
        <f aca="false">Base_OAPDI!K147</f>
        <v>GIT Registro, Control y Admisiones</v>
      </c>
      <c r="K56" s="12" t="str">
        <f aca="false">Base_OAPDI!L147</f>
        <v>Docencia PES</v>
      </c>
      <c r="L56" s="12" t="n">
        <f aca="false">Base_OAPDI!N147</f>
        <v>1</v>
      </c>
      <c r="M56" s="12" t="n">
        <f aca="false">Base_OAPDI!P147</f>
        <v>1</v>
      </c>
      <c r="N56" s="12" t="n">
        <f aca="false">Base_OAPDI!Q147</f>
        <v>0</v>
      </c>
      <c r="O56" s="12" t="str">
        <f aca="false">Base_OAPDI!R147</f>
        <v>Cerrar o reprogramar 1 producto(s) 2026 pendiente(s) de esta meta.</v>
      </c>
      <c r="P56" s="12" t="str">
        <f aca="false">Base_OAPDI!S147</f>
        <v>IMP-15; IMP-14</v>
      </c>
      <c r="Q56" s="11"/>
      <c r="R56" s="11"/>
      <c r="S56" s="11"/>
      <c r="T56" s="18"/>
      <c r="U56" s="18"/>
      <c r="V56" s="11"/>
      <c r="W56" s="11"/>
      <c r="X56" s="11"/>
      <c r="Y56" s="11"/>
      <c r="Z56" s="11"/>
      <c r="AA56" s="11"/>
      <c r="AB56" s="12" t="str">
        <f aca="false">IF(AA56="","",INDEX(Catalogos!$Y$5:$Y$25,MATCH(AA56,L_IMP,0)))</f>
        <v/>
      </c>
      <c r="AC56" s="11"/>
      <c r="AD56" s="11"/>
      <c r="AE56" s="11"/>
      <c r="AF56" s="10" t="str">
        <f aca="false">IF(Q56="","Pendiente por formular",IF(OR(S56="",T56="",U56="",V56="",W56="",X56="",Z56="",AA56=""),"Incompleta: faltan campos obligatorios",IF(OR(NOT(ISNUMBER(T56)),NOT(ISNUMBER(U56))),"Fecha inválida",IF(U56&lt;T56,"La fecha de fin es anterior a la de inicio",IF(OR(YEAR(T56)&lt;&gt;2027,YEAR(U56)&lt;&gt;2027),"Fechas fuera de la vigencia 2027",IF(ISERROR(SEARCH("@itc.edu.co",V56)),"El responsable no tiene correo institucional",IF(ISERROR(SEARCH(Z56,INDEX(Catalogos!$Z$5:$Z$25,MATCH(AA56,L_IMP,0)))),"La dimensión no corresponde al indicador de impacto","OK")))))))</f>
        <v>Pendiente por formular</v>
      </c>
    </row>
    <row r="57" customFormat="false" ht="52.5" hidden="false" customHeight="true" outlineLevel="0" collapsed="false">
      <c r="A57" s="12" t="str">
        <f aca="false">Base_OAPDI!A148</f>
        <v>E4-051</v>
      </c>
      <c r="B57" s="12" t="str">
        <f aca="false">Base_OAPDI!B148</f>
        <v>4.5.1.2</v>
      </c>
      <c r="C57" s="12" t="str">
        <f aca="false">Base_OAPDI!D148</f>
        <v>4.5 Cultura organizacional</v>
      </c>
      <c r="D57" s="12" t="str">
        <f aca="false">Base_OAPDI!E148</f>
        <v>Consolidar un (1) modelo de gestión de la cultura que contemple un (1) instrumento de evaluación permanente.</v>
      </c>
      <c r="E57" s="12" t="str">
        <f aca="false">Base_OAPDI!F148</f>
        <v>Modelo de gestión de la cultura con instrumento de evaluación (fase)</v>
      </c>
      <c r="F57" s="12" t="str">
        <f aca="false">Base_OAPDI!G148</f>
        <v>1 modelo + 1 instrumento</v>
      </c>
      <c r="G57" s="12" t="str">
        <f aca="false">Base_OAPDI!H148</f>
        <v>Instrumento de evaluación diseñado y aplicado</v>
      </c>
      <c r="H57" s="12" t="str">
        <f aca="false">Base_OAPDI!I148</f>
        <v>A35</v>
      </c>
      <c r="I57" s="12" t="str">
        <f aca="false">Base_OAPDI!J148</f>
        <v>133 · GIT Gestión de Talento Humano</v>
      </c>
      <c r="J57" s="12" t="str">
        <f aca="false">Base_OAPDI!K148</f>
        <v>GIT Talento Humano</v>
      </c>
      <c r="K57" s="12" t="str">
        <f aca="false">Base_OAPDI!L148</f>
        <v>Gestión de Talento Humano</v>
      </c>
      <c r="L57" s="12" t="n">
        <f aca="false">Base_OAPDI!N148</f>
        <v>10</v>
      </c>
      <c r="M57" s="12" t="n">
        <f aca="false">Base_OAPDI!P148</f>
        <v>4</v>
      </c>
      <c r="N57" s="12" t="n">
        <f aca="false">Base_OAPDI!Q148</f>
        <v>0</v>
      </c>
      <c r="O57" s="12" t="str">
        <f aca="false">Base_OAPDI!R148</f>
        <v>Acciones propuestas por la OAPDI (valídelas y formúlelas en esta fila o en Acciones adicionales): A27-112 Diseñar el instrumento de evaluación de la cultura organizacional; A27-113 Aplicarlo y presentar resultados al CIGD. Cerrar o reprogramar 4 producto(s) 2026 pendiente(s) de esta meta.</v>
      </c>
      <c r="P57" s="12" t="str">
        <f aca="false">Base_OAPDI!S148</f>
        <v>IMP-15; IMP-14</v>
      </c>
      <c r="Q57" s="11"/>
      <c r="R57" s="11"/>
      <c r="S57" s="11"/>
      <c r="T57" s="18"/>
      <c r="U57" s="18"/>
      <c r="V57" s="11"/>
      <c r="W57" s="11"/>
      <c r="X57" s="11"/>
      <c r="Y57" s="11"/>
      <c r="Z57" s="11"/>
      <c r="AA57" s="11"/>
      <c r="AB57" s="12" t="str">
        <f aca="false">IF(AA57="","",INDEX(Catalogos!$Y$5:$Y$25,MATCH(AA57,L_IMP,0)))</f>
        <v/>
      </c>
      <c r="AC57" s="11"/>
      <c r="AD57" s="11"/>
      <c r="AE57" s="11"/>
      <c r="AF57" s="10" t="str">
        <f aca="false">IF(Q57="","Pendiente por formular",IF(OR(S57="",T57="",U57="",V57="",W57="",X57="",Z57="",AA57=""),"Incompleta: faltan campos obligatorios",IF(OR(NOT(ISNUMBER(T57)),NOT(ISNUMBER(U57))),"Fecha inválida",IF(U57&lt;T57,"La fecha de fin es anterior a la de inicio",IF(OR(YEAR(T57)&lt;&gt;2027,YEAR(U57)&lt;&gt;2027),"Fechas fuera de la vigencia 2027",IF(ISERROR(SEARCH("@itc.edu.co",V57)),"El responsable no tiene correo institucional",IF(ISERROR(SEARCH(Z57,INDEX(Catalogos!$Z$5:$Z$25,MATCH(AA57,L_IMP,0)))),"La dimensión no corresponde al indicador de impacto","OK")))))))</f>
        <v>Pendiente por formular</v>
      </c>
    </row>
    <row r="58" customFormat="false" ht="39" hidden="false" customHeight="true" outlineLevel="0" collapsed="false">
      <c r="A58" s="12" t="str">
        <f aca="false">Base_OAPDI!A149</f>
        <v>E4-052</v>
      </c>
      <c r="B58" s="12" t="str">
        <f aca="false">Base_OAPDI!B149</f>
        <v>4.5.1.2</v>
      </c>
      <c r="C58" s="12" t="str">
        <f aca="false">Base_OAPDI!D149</f>
        <v>4.5 Cultura organizacional</v>
      </c>
      <c r="D58" s="12" t="str">
        <f aca="false">Base_OAPDI!E149</f>
        <v>Consolidar un (1) modelo de gestión de la cultura que contemple un (1) instrumento de evaluación permanente.</v>
      </c>
      <c r="E58" s="12" t="str">
        <f aca="false">Base_OAPDI!F149</f>
        <v>Modelo de gestión de la cultura con instrumento de evaluación (fase)</v>
      </c>
      <c r="F58" s="12" t="str">
        <f aca="false">Base_OAPDI!G149</f>
        <v>1 modelo + 1 instrumento</v>
      </c>
      <c r="G58" s="12" t="str">
        <f aca="false">Base_OAPDI!H149</f>
        <v>Instrumento de evaluación diseñado y aplicado</v>
      </c>
      <c r="H58" s="12" t="str">
        <f aca="false">Base_OAPDI!I149</f>
        <v>A36</v>
      </c>
      <c r="I58" s="12" t="str">
        <f aca="false">Base_OAPDI!J149</f>
        <v>133 · GIT Gestión de Talento Humano</v>
      </c>
      <c r="J58" s="12" t="str">
        <f aca="false">Base_OAPDI!K149</f>
        <v>Seguridad y Salud en el Trabajo</v>
      </c>
      <c r="K58" s="12" t="str">
        <f aca="false">Base_OAPDI!L149</f>
        <v>Gestión de Talento Humano</v>
      </c>
      <c r="L58" s="12" t="n">
        <f aca="false">Base_OAPDI!N149</f>
        <v>5</v>
      </c>
      <c r="M58" s="12" t="n">
        <f aca="false">Base_OAPDI!P149</f>
        <v>2</v>
      </c>
      <c r="N58" s="12" t="n">
        <f aca="false">Base_OAPDI!Q149</f>
        <v>0</v>
      </c>
      <c r="O58" s="12" t="str">
        <f aca="false">Base_OAPDI!R149</f>
        <v>Cerrar o reprogramar 2 producto(s) 2026 pendiente(s) de esta meta.</v>
      </c>
      <c r="P58" s="12" t="str">
        <f aca="false">Base_OAPDI!S149</f>
        <v>IMP-15; IMP-14</v>
      </c>
      <c r="Q58" s="11"/>
      <c r="R58" s="11"/>
      <c r="S58" s="11"/>
      <c r="T58" s="18"/>
      <c r="U58" s="18"/>
      <c r="V58" s="11"/>
      <c r="W58" s="11"/>
      <c r="X58" s="11"/>
      <c r="Y58" s="11"/>
      <c r="Z58" s="11"/>
      <c r="AA58" s="11"/>
      <c r="AB58" s="12" t="str">
        <f aca="false">IF(AA58="","",INDEX(Catalogos!$Y$5:$Y$25,MATCH(AA58,L_IMP,0)))</f>
        <v/>
      </c>
      <c r="AC58" s="11"/>
      <c r="AD58" s="11"/>
      <c r="AE58" s="11"/>
      <c r="AF58" s="10" t="str">
        <f aca="false">IF(Q58="","Pendiente por formular",IF(OR(S58="",T58="",U58="",V58="",W58="",X58="",Z58="",AA58=""),"Incompleta: faltan campos obligatorios",IF(OR(NOT(ISNUMBER(T58)),NOT(ISNUMBER(U58))),"Fecha inválida",IF(U58&lt;T58,"La fecha de fin es anterior a la de inicio",IF(OR(YEAR(T58)&lt;&gt;2027,YEAR(U58)&lt;&gt;2027),"Fechas fuera de la vigencia 2027",IF(ISERROR(SEARCH("@itc.edu.co",V58)),"El responsable no tiene correo institucional",IF(ISERROR(SEARCH(Z58,INDEX(Catalogos!$Z$5:$Z$25,MATCH(AA58,L_IMP,0)))),"La dimensión no corresponde al indicador de impacto","OK")))))))</f>
        <v>Pendiente por formular</v>
      </c>
    </row>
    <row r="59" customFormat="false" ht="39" hidden="false" customHeight="true" outlineLevel="0" collapsed="false">
      <c r="A59" s="12" t="str">
        <f aca="false">Base_OAPDI!A150</f>
        <v>E4-053</v>
      </c>
      <c r="B59" s="12" t="str">
        <f aca="false">Base_OAPDI!B150</f>
        <v>4.5.1.2</v>
      </c>
      <c r="C59" s="12" t="str">
        <f aca="false">Base_OAPDI!D150</f>
        <v>4.5 Cultura organizacional</v>
      </c>
      <c r="D59" s="12" t="str">
        <f aca="false">Base_OAPDI!E150</f>
        <v>Consolidar un (1) modelo de gestión de la cultura que contemple un (1) instrumento de evaluación permanente.</v>
      </c>
      <c r="E59" s="12" t="str">
        <f aca="false">Base_OAPDI!F150</f>
        <v>Modelo de gestión de la cultura con instrumento de evaluación (fase)</v>
      </c>
      <c r="F59" s="12" t="str">
        <f aca="false">Base_OAPDI!G150</f>
        <v>1 modelo + 1 instrumento</v>
      </c>
      <c r="G59" s="12" t="str">
        <f aca="false">Base_OAPDI!H150</f>
        <v>Instrumento de evaluación diseñado y aplicado</v>
      </c>
      <c r="H59" s="12" t="str">
        <f aca="false">Base_OAPDI!I150</f>
        <v>A37</v>
      </c>
      <c r="I59" s="12" t="str">
        <f aca="false">Base_OAPDI!J150</f>
        <v>133 · GIT Gestión de Talento Humano</v>
      </c>
      <c r="J59" s="12" t="str">
        <f aca="false">Base_OAPDI!K150</f>
        <v>Bienestar Laboral</v>
      </c>
      <c r="K59" s="12" t="str">
        <f aca="false">Base_OAPDI!L150</f>
        <v>Gestión de Talento Humano</v>
      </c>
      <c r="L59" s="12" t="n">
        <f aca="false">Base_OAPDI!N150</f>
        <v>12</v>
      </c>
      <c r="M59" s="12" t="n">
        <f aca="false">Base_OAPDI!P150</f>
        <v>6</v>
      </c>
      <c r="N59" s="12" t="n">
        <f aca="false">Base_OAPDI!Q150</f>
        <v>0</v>
      </c>
      <c r="O59" s="12" t="str">
        <f aca="false">Base_OAPDI!R150</f>
        <v>Cerrar o reprogramar 6 producto(s) 2026 pendiente(s) de esta meta.</v>
      </c>
      <c r="P59" s="12" t="str">
        <f aca="false">Base_OAPDI!S150</f>
        <v>IMP-15; IMP-14</v>
      </c>
      <c r="Q59" s="11"/>
      <c r="R59" s="11"/>
      <c r="S59" s="11"/>
      <c r="T59" s="18"/>
      <c r="U59" s="18"/>
      <c r="V59" s="11"/>
      <c r="W59" s="11"/>
      <c r="X59" s="11"/>
      <c r="Y59" s="11"/>
      <c r="Z59" s="11"/>
      <c r="AA59" s="11"/>
      <c r="AB59" s="12" t="str">
        <f aca="false">IF(AA59="","",INDEX(Catalogos!$Y$5:$Y$25,MATCH(AA59,L_IMP,0)))</f>
        <v/>
      </c>
      <c r="AC59" s="11"/>
      <c r="AD59" s="11"/>
      <c r="AE59" s="11"/>
      <c r="AF59" s="10" t="str">
        <f aca="false">IF(Q59="","Pendiente por formular",IF(OR(S59="",T59="",U59="",V59="",W59="",X59="",Z59="",AA59=""),"Incompleta: faltan campos obligatorios",IF(OR(NOT(ISNUMBER(T59)),NOT(ISNUMBER(U59))),"Fecha inválida",IF(U59&lt;T59,"La fecha de fin es anterior a la de inicio",IF(OR(YEAR(T59)&lt;&gt;2027,YEAR(U59)&lt;&gt;2027),"Fechas fuera de la vigencia 2027",IF(ISERROR(SEARCH("@itc.edu.co",V59)),"El responsable no tiene correo institucional",IF(ISERROR(SEARCH(Z59,INDEX(Catalogos!$Z$5:$Z$25,MATCH(AA59,L_IMP,0)))),"La dimensión no corresponde al indicador de impacto","OK")))))))</f>
        <v>Pendiente por formular</v>
      </c>
    </row>
  </sheetData>
  <sheetProtection sheet="true" password="cc6d" formatColumns="false" formatRows="false" autoFilter="false"/>
  <autoFilter ref="A6:AF59"/>
  <mergeCells count="3">
    <mergeCell ref="A2:P2"/>
    <mergeCell ref="A5:P5"/>
    <mergeCell ref="Q5:AE5"/>
  </mergeCells>
  <conditionalFormatting sqref="AF7:AF59">
    <cfRule type="expression" priority="2" aboveAverage="0" equalAverage="0" bottom="0" percent="0" rank="0" text="" dxfId="5">
      <formula>AF7="OK"</formula>
    </cfRule>
    <cfRule type="expression" priority="3" aboveAverage="0" equalAverage="0" bottom="0" percent="0" rank="0" text="" dxfId="6">
      <formula>LEFT(AF7,9)="Pendiente"</formula>
    </cfRule>
    <cfRule type="expression" priority="4" aboveAverage="0" equalAverage="0" bottom="0" percent="0" rank="0" text="" dxfId="7">
      <formula>AND(AF7&lt;&gt;"OK",LEFT(AF7,9)&lt;&gt;"Pendiente")</formula>
    </cfRule>
  </conditionalFormatting>
  <dataValidations count="5">
    <dataValidation allowBlank="true" error="Escriba el correo institucional (@itc.edu.co) del responsable." errorStyle="stop" errorTitle="Correo no institucional" operator="between" showDropDown="false" showErrorMessage="true" showInputMessage="false" sqref="V7:V59" type="custom">
      <formula1>ISNUMBER(SEARCH("@itc.edu.co",V7))</formula1>
      <formula2>0</formula2>
    </dataValidation>
    <dataValidation allowBlank="true" errorStyle="stop" operator="between" showDropDown="false" showErrorMessage="false" showInputMessage="false" sqref="AC7:AC59" type="list">
      <formula1>L_SINO</formula1>
      <formula2>0</formula2>
    </dataValidation>
    <dataValidation allowBlank="true" error="Seleccione un indicador de la Guía Metodológica." errorStyle="stop" errorTitle="Indicador no válido" operator="between" showDropDown="false" showErrorMessage="true" showInputMessage="false" sqref="AA7:AA59" type="list">
      <formula1>L_IMP</formula1>
      <formula2>0</formula2>
    </dataValidation>
    <dataValidation allowBlank="true" errorStyle="stop" operator="between" showDropDown="false" showErrorMessage="false" showInputMessage="false" sqref="Z7:Z59" type="list">
      <formula1>L_DIM</formula1>
      <formula2>0</formula2>
    </dataValidation>
    <dataValidation allowBlank="true" error="Use una fecha entre el 01/01/2027 y el 31/12/2027." errorStyle="stop" errorTitle="Fecha fuera de vigencia" operator="between" showDropDown="false" showErrorMessage="true" showInputMessage="false" sqref="T7:U59" type="date">
      <formula1>DATE(2027,1,1)</formula1>
      <formula2>DATE(2027,12,31)</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F2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4" ySplit="6" topLeftCell="V7" activePane="bottomRight" state="frozen"/>
      <selection pane="topLeft" activeCell="A1" activeCellId="0" sqref="A1"/>
      <selection pane="topRight" activeCell="V1" activeCellId="0" sqref="V1"/>
      <selection pane="bottomLeft" activeCell="A7" activeCellId="0" sqref="A7"/>
      <selection pane="bottomRight" activeCell="V7" activeCellId="0" sqref="V7"/>
    </sheetView>
  </sheetViews>
  <sheetFormatPr defaultColWidth="8.66796875" defaultRowHeight="14.25" zeroHeight="false" outlineLevelRow="0" outlineLevelCol="0"/>
  <cols>
    <col collapsed="false" customWidth="true" hidden="false" outlineLevel="0" max="1" min="1" style="0" width="10"/>
    <col collapsed="false" customWidth="true" hidden="false" outlineLevel="0" max="2" min="2" style="0" width="9"/>
    <col collapsed="false" customWidth="true" hidden="false" outlineLevel="0" max="3" min="3" style="0" width="24"/>
    <col collapsed="false" customWidth="true" hidden="false" outlineLevel="0" max="4" min="4" style="0" width="40"/>
    <col collapsed="false" customWidth="true" hidden="false" outlineLevel="0" max="5" min="5" style="0" width="26"/>
    <col collapsed="false" customWidth="true" hidden="false" outlineLevel="0" max="7" min="6" style="0" width="18"/>
    <col collapsed="false" customWidth="true" hidden="false" outlineLevel="0" max="8" min="8" style="0" width="7"/>
    <col collapsed="false" customWidth="true" hidden="false" outlineLevel="0" max="9" min="9" style="0" width="28"/>
    <col collapsed="false" customWidth="true" hidden="false" outlineLevel="0" max="10" min="10" style="0" width="26"/>
    <col collapsed="false" customWidth="true" hidden="false" outlineLevel="0" max="11" min="11" style="0" width="22"/>
    <col collapsed="false" customWidth="true" hidden="false" outlineLevel="0" max="12" min="12" style="0" width="9"/>
    <col collapsed="false" customWidth="true" hidden="false" outlineLevel="0" max="13" min="13" style="0" width="10"/>
    <col collapsed="false" customWidth="true" hidden="false" outlineLevel="0" max="14" min="14" style="0" width="11"/>
    <col collapsed="false" customWidth="true" hidden="false" outlineLevel="0" max="15" min="15" style="0" width="34"/>
    <col collapsed="false" customWidth="true" hidden="false" outlineLevel="0" max="16" min="16" style="0" width="18"/>
    <col collapsed="false" customWidth="true" hidden="false" outlineLevel="0" max="17" min="17" style="0" width="32"/>
    <col collapsed="false" customWidth="true" hidden="false" outlineLevel="0" max="18" min="18" style="0" width="40"/>
    <col collapsed="false" customWidth="true" hidden="false" outlineLevel="0" max="19" min="19" style="0" width="30"/>
    <col collapsed="false" customWidth="true" hidden="false" outlineLevel="0" max="21" min="20" style="0" width="12"/>
    <col collapsed="false" customWidth="true" hidden="false" outlineLevel="0" max="22" min="22" style="0" width="26"/>
    <col collapsed="false" customWidth="true" hidden="false" outlineLevel="0" max="23" min="23" style="0" width="28"/>
    <col collapsed="false" customWidth="true" hidden="false" outlineLevel="0" max="25" min="24" style="0" width="12"/>
    <col collapsed="false" customWidth="true" hidden="false" outlineLevel="0" max="26" min="26" style="0" width="16"/>
    <col collapsed="false" customWidth="true" hidden="false" outlineLevel="0" max="27" min="27" style="0" width="40"/>
    <col collapsed="false" customWidth="true" hidden="false" outlineLevel="0" max="28" min="28" style="0" width="30"/>
    <col collapsed="false" customWidth="true" hidden="false" outlineLevel="0" max="29" min="29" style="0" width="14"/>
    <col collapsed="false" customWidth="true" hidden="false" outlineLevel="0" max="30" min="30" style="0" width="30"/>
    <col collapsed="false" customWidth="true" hidden="false" outlineLevel="0" max="31" min="31" style="0" width="28"/>
    <col collapsed="false" customWidth="true" hidden="false" outlineLevel="0" max="32" min="32" style="0" width="30"/>
  </cols>
  <sheetData>
    <row r="1" customFormat="false" ht="17.25" hidden="false" customHeight="true" outlineLevel="0" collapsed="false">
      <c r="A1" s="7" t="s">
        <v>600</v>
      </c>
    </row>
    <row r="2" customFormat="false" ht="30" hidden="false" customHeight="true" outlineLevel="0" collapsed="false">
      <c r="A2" s="2" t="s">
        <v>601</v>
      </c>
      <c r="B2" s="2"/>
      <c r="C2" s="2"/>
      <c r="D2" s="2"/>
      <c r="E2" s="2"/>
      <c r="F2" s="2"/>
      <c r="G2" s="2"/>
      <c r="H2" s="2"/>
      <c r="I2" s="2"/>
      <c r="J2" s="2"/>
      <c r="K2" s="2"/>
      <c r="L2" s="2"/>
      <c r="M2" s="2"/>
      <c r="N2" s="2"/>
      <c r="O2" s="2"/>
      <c r="P2" s="2"/>
    </row>
    <row r="3" customFormat="false" ht="14.25" hidden="false" customHeight="false" outlineLevel="0" collapsed="false">
      <c r="A3" s="15" t="s">
        <v>584</v>
      </c>
    </row>
    <row r="5" customFormat="false" ht="15" hidden="false" customHeight="true" outlineLevel="0" collapsed="false">
      <c r="A5" s="19" t="s">
        <v>585</v>
      </c>
      <c r="B5" s="19"/>
      <c r="C5" s="19"/>
      <c r="D5" s="19"/>
      <c r="E5" s="19"/>
      <c r="F5" s="19"/>
      <c r="G5" s="19"/>
      <c r="H5" s="19"/>
      <c r="I5" s="19"/>
      <c r="J5" s="19"/>
      <c r="K5" s="19"/>
      <c r="L5" s="19"/>
      <c r="M5" s="19"/>
      <c r="N5" s="19"/>
      <c r="O5" s="19"/>
      <c r="P5" s="19"/>
      <c r="Q5" s="20" t="s">
        <v>586</v>
      </c>
      <c r="R5" s="20"/>
      <c r="S5" s="20"/>
      <c r="T5" s="20"/>
      <c r="U5" s="20"/>
      <c r="V5" s="20"/>
      <c r="W5" s="20"/>
      <c r="X5" s="20"/>
      <c r="Y5" s="20"/>
      <c r="Z5" s="20"/>
      <c r="AA5" s="20"/>
      <c r="AB5" s="20"/>
      <c r="AC5" s="20"/>
      <c r="AD5" s="20"/>
      <c r="AE5" s="20"/>
      <c r="AF5" s="21" t="s">
        <v>587</v>
      </c>
    </row>
    <row r="6" customFormat="false" ht="42" hidden="false" customHeight="true" outlineLevel="0" collapsed="false">
      <c r="A6" s="22" t="s">
        <v>552</v>
      </c>
      <c r="B6" s="22" t="s">
        <v>553</v>
      </c>
      <c r="C6" s="22" t="s">
        <v>568</v>
      </c>
      <c r="D6" s="22" t="s">
        <v>554</v>
      </c>
      <c r="E6" s="22" t="s">
        <v>588</v>
      </c>
      <c r="F6" s="22" t="s">
        <v>589</v>
      </c>
      <c r="G6" s="22" t="s">
        <v>555</v>
      </c>
      <c r="H6" s="22" t="s">
        <v>590</v>
      </c>
      <c r="I6" s="22" t="s">
        <v>45</v>
      </c>
      <c r="J6" s="22" t="s">
        <v>44</v>
      </c>
      <c r="K6" s="22" t="s">
        <v>591</v>
      </c>
      <c r="L6" s="22" t="s">
        <v>592</v>
      </c>
      <c r="M6" s="22" t="s">
        <v>558</v>
      </c>
      <c r="N6" s="22" t="s">
        <v>593</v>
      </c>
      <c r="O6" s="22" t="s">
        <v>556</v>
      </c>
      <c r="P6" s="22" t="s">
        <v>559</v>
      </c>
      <c r="Q6" s="17" t="s">
        <v>21</v>
      </c>
      <c r="R6" s="17" t="s">
        <v>570</v>
      </c>
      <c r="S6" s="17" t="s">
        <v>23</v>
      </c>
      <c r="T6" s="17" t="s">
        <v>571</v>
      </c>
      <c r="U6" s="17" t="s">
        <v>572</v>
      </c>
      <c r="V6" s="17" t="s">
        <v>573</v>
      </c>
      <c r="W6" s="17" t="s">
        <v>574</v>
      </c>
      <c r="X6" s="17" t="s">
        <v>575</v>
      </c>
      <c r="Y6" s="17" t="s">
        <v>576</v>
      </c>
      <c r="Z6" s="17" t="s">
        <v>577</v>
      </c>
      <c r="AA6" s="17" t="s">
        <v>578</v>
      </c>
      <c r="AB6" s="17" t="s">
        <v>579</v>
      </c>
      <c r="AC6" s="17" t="s">
        <v>580</v>
      </c>
      <c r="AD6" s="17" t="s">
        <v>35</v>
      </c>
      <c r="AE6" s="17" t="s">
        <v>55</v>
      </c>
      <c r="AF6" s="8" t="s">
        <v>581</v>
      </c>
    </row>
    <row r="7" customFormat="false" ht="118.5" hidden="false" customHeight="true" outlineLevel="0" collapsed="false">
      <c r="A7" s="12" t="str">
        <f aca="false">Base_OAPDI!A151</f>
        <v>E5-001</v>
      </c>
      <c r="B7" s="12" t="str">
        <f aca="false">Base_OAPDI!B151</f>
        <v>5.1.1.1</v>
      </c>
      <c r="C7" s="12" t="str">
        <f aca="false">Base_OAPDI!D151</f>
        <v>5.1 Sedes propias</v>
      </c>
      <c r="D7" s="12" t="str">
        <f aca="false">Base_OAPDI!E151</f>
        <v>Contar con 4 sedes: 1. Calle 18, 2. Funza, 3. Guaymaral, 4. Central, con infraestructura y dotación para la prestación de servicios educativos.</v>
      </c>
      <c r="E7" s="12" t="str">
        <f aca="false">Base_OAPDI!F151</f>
        <v>N.° de sedes propias habilitadas y operando</v>
      </c>
      <c r="F7" s="12" t="str">
        <f aca="false">Base_OAPDI!G151</f>
        <v>4 sedes</v>
      </c>
      <c r="G7" s="12" t="str">
        <f aca="false">Base_OAPDI!H151</f>
        <v>Calle 18: fase III (licencias, estudios y diseños, vigencias futuras MEN). Funza: puesta en marcha fase I. Guaymaral: puesta en marcha de la sede de Bienestar.</v>
      </c>
      <c r="H7" s="12" t="str">
        <f aca="false">Base_OAPDI!I151</f>
        <v>A05</v>
      </c>
      <c r="I7" s="12" t="str">
        <f aca="false">Base_OAPDI!J151</f>
        <v>101 · Oficina Asesora de Planeación y Desarrollo Institucional</v>
      </c>
      <c r="J7" s="12" t="str">
        <f aca="false">Base_OAPDI!K151</f>
        <v>Planeación y Plan de Acción</v>
      </c>
      <c r="K7" s="12" t="str">
        <f aca="false">Base_OAPDI!L151</f>
        <v>Direccionamiento Institucional</v>
      </c>
      <c r="L7" s="12" t="n">
        <f aca="false">Base_OAPDI!N151</f>
        <v>9</v>
      </c>
      <c r="M7" s="12" t="n">
        <f aca="false">Base_OAPDI!P151</f>
        <v>9</v>
      </c>
      <c r="N7" s="12" t="n">
        <f aca="false">Base_OAPDI!Q151</f>
        <v>0</v>
      </c>
      <c r="O7" s="12" t="str">
        <f aca="false">Base_OAPDI!R151</f>
        <v>Cerrar o reprogramar 9 producto(s) 2026 pendiente(s) de esta meta.</v>
      </c>
      <c r="P7" s="12" t="str">
        <f aca="false">Base_OAPDI!S151</f>
        <v>IMP-12; IMP-13</v>
      </c>
      <c r="Q7" s="11"/>
      <c r="R7" s="11"/>
      <c r="S7" s="11"/>
      <c r="T7" s="18"/>
      <c r="U7" s="18"/>
      <c r="V7" s="11"/>
      <c r="W7" s="11"/>
      <c r="X7" s="11"/>
      <c r="Y7" s="11"/>
      <c r="Z7" s="11"/>
      <c r="AA7" s="11"/>
      <c r="AB7" s="12" t="str">
        <f aca="false">IF(AA7="","",INDEX(Catalogos!$Y$5:$Y$25,MATCH(AA7,L_IMP,0)))</f>
        <v/>
      </c>
      <c r="AC7" s="11"/>
      <c r="AD7" s="11"/>
      <c r="AE7" s="11"/>
      <c r="AF7" s="10" t="str">
        <f aca="false">IF(Q7="","Pendiente por formular",IF(OR(S7="",T7="",U7="",V7="",W7="",X7="",Z7="",AA7=""),"Incompleta: faltan campos obligatorios",IF(OR(NOT(ISNUMBER(T7)),NOT(ISNUMBER(U7))),"Fecha inválida",IF(U7&lt;T7,"La fecha de fin es anterior a la de inicio",IF(OR(YEAR(T7)&lt;&gt;2027,YEAR(U7)&lt;&gt;2027),"Fechas fuera de la vigencia 2027",IF(ISERROR(SEARCH("@itc.edu.co",V7)),"El responsable no tiene correo institucional",IF(ISERROR(SEARCH(Z7,INDEX(Catalogos!$Z$5:$Z$25,MATCH(AA7,L_IMP,0)))),"La dimensión no corresponde al indicador de impacto","OK")))))))</f>
        <v>Pendiente por formular</v>
      </c>
    </row>
    <row r="8" customFormat="false" ht="118.5" hidden="false" customHeight="true" outlineLevel="0" collapsed="false">
      <c r="A8" s="12" t="str">
        <f aca="false">Base_OAPDI!A152</f>
        <v>E5-002</v>
      </c>
      <c r="B8" s="12" t="str">
        <f aca="false">Base_OAPDI!B152</f>
        <v>5.1.1.1</v>
      </c>
      <c r="C8" s="12" t="str">
        <f aca="false">Base_OAPDI!D152</f>
        <v>5.1 Sedes propias</v>
      </c>
      <c r="D8" s="12" t="str">
        <f aca="false">Base_OAPDI!E152</f>
        <v>Contar con 4 sedes: 1. Calle 18, 2. Funza, 3. Guaymaral, 4. Central, con infraestructura y dotación para la prestación de servicios educativos.</v>
      </c>
      <c r="E8" s="12" t="str">
        <f aca="false">Base_OAPDI!F152</f>
        <v>N.° de sedes propias habilitadas y operando</v>
      </c>
      <c r="F8" s="12" t="str">
        <f aca="false">Base_OAPDI!G152</f>
        <v>4 sedes</v>
      </c>
      <c r="G8" s="12" t="str">
        <f aca="false">Base_OAPDI!H152</f>
        <v>Calle 18: fase III (licencias, estudios y diseños, vigencias futuras MEN). Funza: puesta en marcha fase I. Guaymaral: puesta en marcha de la sede de Bienestar.</v>
      </c>
      <c r="H8" s="12" t="str">
        <f aca="false">Base_OAPDI!I152</f>
        <v>A31</v>
      </c>
      <c r="I8" s="12" t="str">
        <f aca="false">Base_OAPDI!J152</f>
        <v>130 · Vicerrectoría Administrativa y Financiera</v>
      </c>
      <c r="J8" s="12" t="str">
        <f aca="false">Base_OAPDI!K152</f>
        <v>Recursos Físicos e Infraestructura</v>
      </c>
      <c r="K8" s="12" t="str">
        <f aca="false">Base_OAPDI!L152</f>
        <v>Gestión de Recursos Físicos</v>
      </c>
      <c r="L8" s="12" t="n">
        <f aca="false">Base_OAPDI!N152</f>
        <v>3</v>
      </c>
      <c r="M8" s="12" t="n">
        <f aca="false">Base_OAPDI!P152</f>
        <v>3</v>
      </c>
      <c r="N8" s="12" t="n">
        <f aca="false">Base_OAPDI!Q152</f>
        <v>2</v>
      </c>
      <c r="O8" s="12" t="str">
        <f aca="false">Base_OAPDI!R152</f>
        <v>Acciones propuestas por la OAPDI (valídelas y formúlelas en esta fila o en Acciones adicionales): A27-114 Calle 18: gestionar licencias de construcción y demolición, estudios y diseños y vigencias futuras; A27-116 Funza (Ecoparque): contratar estudios y diseños, licencias e infraestructura modular; A27-117 Guaymaral: poner en marcha la sede de Bienestar (espacios deportivos); A27-118 Adecuar los nuevos inmuebles adquiridos (estudios y diseños); A27-119 Incluir criterios de eficiencia energética y construcción sostenible en los estudios y diseños de las nuevas sedes (incluida Fusagasugá), para no generar sobrecostos futuros. Cerrar o reprogramar 3 producto(s) 2026 pendiente(s) de esta meta. Atender 2 compromiso(s) de proyectos estructurantes (hoja Compromisos_2026).</v>
      </c>
      <c r="P8" s="12" t="str">
        <f aca="false">Base_OAPDI!S152</f>
        <v>IMP-12; IMP-13</v>
      </c>
      <c r="Q8" s="11"/>
      <c r="R8" s="11"/>
      <c r="S8" s="11"/>
      <c r="T8" s="18"/>
      <c r="U8" s="18"/>
      <c r="V8" s="11"/>
      <c r="W8" s="11"/>
      <c r="X8" s="11"/>
      <c r="Y8" s="11"/>
      <c r="Z8" s="11"/>
      <c r="AA8" s="11"/>
      <c r="AB8" s="12" t="str">
        <f aca="false">IF(AA8="","",INDEX(Catalogos!$Y$5:$Y$25,MATCH(AA8,L_IMP,0)))</f>
        <v/>
      </c>
      <c r="AC8" s="11"/>
      <c r="AD8" s="11"/>
      <c r="AE8" s="11"/>
      <c r="AF8" s="10" t="str">
        <f aca="false">IF(Q8="","Pendiente por formular",IF(OR(S8="",T8="",U8="",V8="",W8="",X8="",Z8="",AA8=""),"Incompleta: faltan campos obligatorios",IF(OR(NOT(ISNUMBER(T8)),NOT(ISNUMBER(U8))),"Fecha inválida",IF(U8&lt;T8,"La fecha de fin es anterior a la de inicio",IF(OR(YEAR(T8)&lt;&gt;2027,YEAR(U8)&lt;&gt;2027),"Fechas fuera de la vigencia 2027",IF(ISERROR(SEARCH("@itc.edu.co",V8)),"El responsable no tiene correo institucional",IF(ISERROR(SEARCH(Z8,INDEX(Catalogos!$Z$5:$Z$25,MATCH(AA8,L_IMP,0)))),"La dimensión no corresponde al indicador de impacto","OK")))))))</f>
        <v>Pendiente por formular</v>
      </c>
    </row>
    <row r="9" customFormat="false" ht="118.5" hidden="false" customHeight="true" outlineLevel="0" collapsed="false">
      <c r="A9" s="12" t="str">
        <f aca="false">Base_OAPDI!A153</f>
        <v>E5-003</v>
      </c>
      <c r="B9" s="12" t="str">
        <f aca="false">Base_OAPDI!B153</f>
        <v>5.1.1.1</v>
      </c>
      <c r="C9" s="12" t="str">
        <f aca="false">Base_OAPDI!D153</f>
        <v>5.1 Sedes propias</v>
      </c>
      <c r="D9" s="12" t="str">
        <f aca="false">Base_OAPDI!E153</f>
        <v>Contar con 4 sedes: 1. Calle 18, 2. Funza, 3. Guaymaral, 4. Central, con infraestructura y dotación para la prestación de servicios educativos.</v>
      </c>
      <c r="E9" s="12" t="str">
        <f aca="false">Base_OAPDI!F153</f>
        <v>N.° de sedes propias habilitadas y operando</v>
      </c>
      <c r="F9" s="12" t="str">
        <f aca="false">Base_OAPDI!G153</f>
        <v>4 sedes</v>
      </c>
      <c r="G9" s="12" t="str">
        <f aca="false">Base_OAPDI!H153</f>
        <v>Calle 18: fase III (licencias, estudios y diseños, vigencias futuras MEN). Funza: puesta en marcha fase I. Guaymaral: puesta en marcha de la sede de Bienestar.</v>
      </c>
      <c r="H9" s="12" t="str">
        <f aca="false">Base_OAPDI!I153</f>
        <v>A30</v>
      </c>
      <c r="I9" s="12" t="str">
        <f aca="false">Base_OAPDI!J153</f>
        <v>130 · Vicerrectoría Administrativa y Financiera</v>
      </c>
      <c r="J9" s="12" t="str">
        <f aca="false">Base_OAPDI!K153</f>
        <v>Despacho de la Vicerrectoría Administrativa y Financiera</v>
      </c>
      <c r="K9" s="12" t="str">
        <f aca="false">Base_OAPDI!L153</f>
        <v>Gestión Financiera</v>
      </c>
      <c r="L9" s="12" t="n">
        <f aca="false">Base_OAPDI!N153</f>
        <v>0</v>
      </c>
      <c r="M9" s="12" t="n">
        <f aca="false">Base_OAPDI!P153</f>
        <v>0</v>
      </c>
      <c r="N9" s="12" t="n">
        <f aca="false">Base_OAPDI!Q153</f>
        <v>0</v>
      </c>
      <c r="O9" s="12" t="str">
        <f aca="false">Base_OAPDI!R153</f>
        <v>Formular al menos una acción que contribuya a la meta institucional 2027 de esta meta.</v>
      </c>
      <c r="P9" s="12" t="str">
        <f aca="false">Base_OAPDI!S153</f>
        <v>IMP-12; IMP-13</v>
      </c>
      <c r="Q9" s="11"/>
      <c r="R9" s="11"/>
      <c r="S9" s="11"/>
      <c r="T9" s="18"/>
      <c r="U9" s="18"/>
      <c r="V9" s="11"/>
      <c r="W9" s="11"/>
      <c r="X9" s="11"/>
      <c r="Y9" s="11"/>
      <c r="Z9" s="11"/>
      <c r="AA9" s="11"/>
      <c r="AB9" s="12" t="str">
        <f aca="false">IF(AA9="","",INDEX(Catalogos!$Y$5:$Y$25,MATCH(AA9,L_IMP,0)))</f>
        <v/>
      </c>
      <c r="AC9" s="11"/>
      <c r="AD9" s="11"/>
      <c r="AE9" s="11"/>
      <c r="AF9" s="10" t="str">
        <f aca="false">IF(Q9="","Pendiente por formular",IF(OR(S9="",T9="",U9="",V9="",W9="",X9="",Z9="",AA9=""),"Incompleta: faltan campos obligatorios",IF(OR(NOT(ISNUMBER(T9)),NOT(ISNUMBER(U9))),"Fecha inválida",IF(U9&lt;T9,"La fecha de fin es anterior a la de inicio",IF(OR(YEAR(T9)&lt;&gt;2027,YEAR(U9)&lt;&gt;2027),"Fechas fuera de la vigencia 2027",IF(ISERROR(SEARCH("@itc.edu.co",V9)),"El responsable no tiene correo institucional",IF(ISERROR(SEARCH(Z9,INDEX(Catalogos!$Z$5:$Z$25,MATCH(AA9,L_IMP,0)))),"La dimensión no corresponde al indicador de impacto","OK")))))))</f>
        <v>Pendiente por formular</v>
      </c>
    </row>
    <row r="10" customFormat="false" ht="118.5" hidden="false" customHeight="true" outlineLevel="0" collapsed="false">
      <c r="A10" s="12" t="str">
        <f aca="false">Base_OAPDI!A154</f>
        <v>E5-004</v>
      </c>
      <c r="B10" s="12" t="str">
        <f aca="false">Base_OAPDI!B154</f>
        <v>5.1.1.1</v>
      </c>
      <c r="C10" s="12" t="str">
        <f aca="false">Base_OAPDI!D154</f>
        <v>5.1 Sedes propias</v>
      </c>
      <c r="D10" s="12" t="str">
        <f aca="false">Base_OAPDI!E154</f>
        <v>Contar con 4 sedes: 1. Calle 18, 2. Funza, 3. Guaymaral, 4. Central, con infraestructura y dotación para la prestación de servicios educativos.</v>
      </c>
      <c r="E10" s="12" t="str">
        <f aca="false">Base_OAPDI!F154</f>
        <v>N.° de sedes propias habilitadas y operando</v>
      </c>
      <c r="F10" s="12" t="str">
        <f aca="false">Base_OAPDI!G154</f>
        <v>4 sedes</v>
      </c>
      <c r="G10" s="12" t="str">
        <f aca="false">Base_OAPDI!H154</f>
        <v>Calle 18: fase III (licencias, estudios y diseños, vigencias futuras MEN). Funza: puesta en marcha fase I. Guaymaral: puesta en marcha de la sede de Bienestar.</v>
      </c>
      <c r="H10" s="12" t="str">
        <f aca="false">Base_OAPDI!I154</f>
        <v>A12</v>
      </c>
      <c r="I10" s="12" t="str">
        <f aca="false">Base_OAPDI!J154</f>
        <v>110 · Secretaría General</v>
      </c>
      <c r="J10" s="12" t="str">
        <f aca="false">Base_OAPDI!K154</f>
        <v>Gestión Jurídica</v>
      </c>
      <c r="K10" s="12" t="str">
        <f aca="false">Base_OAPDI!L154</f>
        <v>Gestión Jurídica</v>
      </c>
      <c r="L10" s="12" t="n">
        <f aca="false">Base_OAPDI!N154</f>
        <v>0</v>
      </c>
      <c r="M10" s="12" t="n">
        <f aca="false">Base_OAPDI!P154</f>
        <v>0</v>
      </c>
      <c r="N10" s="12" t="n">
        <f aca="false">Base_OAPDI!Q154</f>
        <v>0</v>
      </c>
      <c r="O10" s="12" t="str">
        <f aca="false">Base_OAPDI!R154</f>
        <v>Acciones propuestas por la OAPDI (valídelas y formúlelas en esta fila o en Acciones adicionales): A27-115 Funza: adelantar trámites de notariado, registro e impuestos de los predios.</v>
      </c>
      <c r="P10" s="12" t="str">
        <f aca="false">Base_OAPDI!S154</f>
        <v>IMP-12; IMP-13</v>
      </c>
      <c r="Q10" s="11"/>
      <c r="R10" s="11"/>
      <c r="S10" s="11"/>
      <c r="T10" s="18"/>
      <c r="U10" s="18"/>
      <c r="V10" s="11"/>
      <c r="W10" s="11"/>
      <c r="X10" s="11"/>
      <c r="Y10" s="11"/>
      <c r="Z10" s="11"/>
      <c r="AA10" s="11"/>
      <c r="AB10" s="12" t="str">
        <f aca="false">IF(AA10="","",INDEX(Catalogos!$Y$5:$Y$25,MATCH(AA10,L_IMP,0)))</f>
        <v/>
      </c>
      <c r="AC10" s="11"/>
      <c r="AD10" s="11"/>
      <c r="AE10" s="11"/>
      <c r="AF10" s="10" t="str">
        <f aca="false">IF(Q10="","Pendiente por formular",IF(OR(S10="",T10="",U10="",V10="",W10="",X10="",Z10="",AA10=""),"Incompleta: faltan campos obligatorios",IF(OR(NOT(ISNUMBER(T10)),NOT(ISNUMBER(U10))),"Fecha inválida",IF(U10&lt;T10,"La fecha de fin es anterior a la de inicio",IF(OR(YEAR(T10)&lt;&gt;2027,YEAR(U10)&lt;&gt;2027),"Fechas fuera de la vigencia 2027",IF(ISERROR(SEARCH("@itc.edu.co",V10)),"El responsable no tiene correo institucional",IF(ISERROR(SEARCH(Z10,INDEX(Catalogos!$Z$5:$Z$25,MATCH(AA10,L_IMP,0)))),"La dimensión no corresponde al indicador de impacto","OK")))))))</f>
        <v>Pendiente por formular</v>
      </c>
    </row>
    <row r="11" customFormat="false" ht="52.5" hidden="false" customHeight="true" outlineLevel="0" collapsed="false">
      <c r="A11" s="12" t="str">
        <f aca="false">Base_OAPDI!A155</f>
        <v>E5-005</v>
      </c>
      <c r="B11" s="12" t="str">
        <f aca="false">Base_OAPDI!B155</f>
        <v>5.2.1.1</v>
      </c>
      <c r="C11" s="12" t="str">
        <f aca="false">Base_OAPDI!D155</f>
        <v>5.2 Modernización de la infraestructura</v>
      </c>
      <c r="D11" s="12" t="str">
        <f aca="false">Base_OAPDI!E155</f>
        <v>3 bloques reforzados estructuralmente en la sede centro.</v>
      </c>
      <c r="E11" s="12" t="str">
        <f aca="false">Base_OAPDI!F155</f>
        <v>N.° de bloques con reforzamiento estructural terminado</v>
      </c>
      <c r="F11" s="12" t="str">
        <f aca="false">Base_OAPDI!G155</f>
        <v>3 bloques</v>
      </c>
      <c r="G11" s="12" t="str">
        <f aca="false">Base_OAPDI!H155</f>
        <v>Viabilidad presupuestal y permisos para los bloques pendientes</v>
      </c>
      <c r="H11" s="12" t="str">
        <f aca="false">Base_OAPDI!I155</f>
        <v>A31</v>
      </c>
      <c r="I11" s="12" t="str">
        <f aca="false">Base_OAPDI!J155</f>
        <v>130 · Vicerrectoría Administrativa y Financiera</v>
      </c>
      <c r="J11" s="12" t="str">
        <f aca="false">Base_OAPDI!K155</f>
        <v>Recursos Físicos e Infraestructura</v>
      </c>
      <c r="K11" s="12" t="str">
        <f aca="false">Base_OAPDI!L155</f>
        <v>Gestión de Recursos Físicos</v>
      </c>
      <c r="L11" s="12" t="n">
        <f aca="false">Base_OAPDI!N155</f>
        <v>26</v>
      </c>
      <c r="M11" s="12" t="n">
        <f aca="false">Base_OAPDI!P155</f>
        <v>19</v>
      </c>
      <c r="N11" s="12" t="n">
        <f aca="false">Base_OAPDI!Q155</f>
        <v>0</v>
      </c>
      <c r="O11" s="12" t="str">
        <f aca="false">Base_OAPDI!R155</f>
        <v>Acciones propuestas por la OAPDI (valídelas y formúlelas en esta fila o en Acciones adicionales): A27-120 Gestionar permisos y licencias ante el Ministerio de Cultura y la curaduría; A27-122 Integrar al reforzamiento de los bloques F, G y H las medidas de la matriz de oportunidades de eficiencia energética (avance parcial PGEE 2026). Cerrar o reprogramar 19 producto(s) 2026 pendiente(s) de esta meta.</v>
      </c>
      <c r="P11" s="12" t="str">
        <f aca="false">Base_OAPDI!S155</f>
        <v>IMP-18</v>
      </c>
      <c r="Q11" s="11"/>
      <c r="R11" s="11"/>
      <c r="S11" s="11"/>
      <c r="T11" s="18"/>
      <c r="U11" s="18"/>
      <c r="V11" s="11"/>
      <c r="W11" s="11"/>
      <c r="X11" s="11"/>
      <c r="Y11" s="11"/>
      <c r="Z11" s="11"/>
      <c r="AA11" s="11"/>
      <c r="AB11" s="12" t="str">
        <f aca="false">IF(AA11="","",INDEX(Catalogos!$Y$5:$Y$25,MATCH(AA11,L_IMP,0)))</f>
        <v/>
      </c>
      <c r="AC11" s="11"/>
      <c r="AD11" s="11"/>
      <c r="AE11" s="11"/>
      <c r="AF11" s="10" t="str">
        <f aca="false">IF(Q11="","Pendiente por formular",IF(OR(S11="",T11="",U11="",V11="",W11="",X11="",Z11="",AA11=""),"Incompleta: faltan campos obligatorios",IF(OR(NOT(ISNUMBER(T11)),NOT(ISNUMBER(U11))),"Fecha inválida",IF(U11&lt;T11,"La fecha de fin es anterior a la de inicio",IF(OR(YEAR(T11)&lt;&gt;2027,YEAR(U11)&lt;&gt;2027),"Fechas fuera de la vigencia 2027",IF(ISERROR(SEARCH("@itc.edu.co",V11)),"El responsable no tiene correo institucional",IF(ISERROR(SEARCH(Z11,INDEX(Catalogos!$Z$5:$Z$25,MATCH(AA11,L_IMP,0)))),"La dimensión no corresponde al indicador de impacto","OK")))))))</f>
        <v>Pendiente por formular</v>
      </c>
    </row>
    <row r="12" customFormat="false" ht="52.5" hidden="false" customHeight="true" outlineLevel="0" collapsed="false">
      <c r="A12" s="12" t="str">
        <f aca="false">Base_OAPDI!A156</f>
        <v>E5-006</v>
      </c>
      <c r="B12" s="12" t="str">
        <f aca="false">Base_OAPDI!B156</f>
        <v>5.2.1.1</v>
      </c>
      <c r="C12" s="12" t="str">
        <f aca="false">Base_OAPDI!D156</f>
        <v>5.2 Modernización de la infraestructura</v>
      </c>
      <c r="D12" s="12" t="str">
        <f aca="false">Base_OAPDI!E156</f>
        <v>3 bloques reforzados estructuralmente en la sede centro.</v>
      </c>
      <c r="E12" s="12" t="str">
        <f aca="false">Base_OAPDI!F156</f>
        <v>N.° de bloques con reforzamiento estructural terminado</v>
      </c>
      <c r="F12" s="12" t="str">
        <f aca="false">Base_OAPDI!G156</f>
        <v>3 bloques</v>
      </c>
      <c r="G12" s="12" t="str">
        <f aca="false">Base_OAPDI!H156</f>
        <v>Viabilidad presupuestal y permisos para los bloques pendientes</v>
      </c>
      <c r="H12" s="12" t="str">
        <f aca="false">Base_OAPDI!I156</f>
        <v>A30</v>
      </c>
      <c r="I12" s="12" t="str">
        <f aca="false">Base_OAPDI!J156</f>
        <v>130 · Vicerrectoría Administrativa y Financiera</v>
      </c>
      <c r="J12" s="12" t="str">
        <f aca="false">Base_OAPDI!K156</f>
        <v>Despacho de la Vicerrectoría Administrativa y Financiera</v>
      </c>
      <c r="K12" s="12" t="str">
        <f aca="false">Base_OAPDI!L156</f>
        <v>Gestión Financiera</v>
      </c>
      <c r="L12" s="12" t="n">
        <f aca="false">Base_OAPDI!N156</f>
        <v>0</v>
      </c>
      <c r="M12" s="12" t="n">
        <f aca="false">Base_OAPDI!P156</f>
        <v>0</v>
      </c>
      <c r="N12" s="12" t="n">
        <f aca="false">Base_OAPDI!Q156</f>
        <v>0</v>
      </c>
      <c r="O12" s="12" t="str">
        <f aca="false">Base_OAPDI!R156</f>
        <v>Acciones propuestas por la OAPDI (valídelas y formúlelas en esta fila o en Acciones adicionales): A27-121 Obtener la viabilidad presupuestal del reforzamiento estructural.</v>
      </c>
      <c r="P12" s="12" t="str">
        <f aca="false">Base_OAPDI!S156</f>
        <v>IMP-18</v>
      </c>
      <c r="Q12" s="11"/>
      <c r="R12" s="11"/>
      <c r="S12" s="11"/>
      <c r="T12" s="18"/>
      <c r="U12" s="18"/>
      <c r="V12" s="11"/>
      <c r="W12" s="11"/>
      <c r="X12" s="11"/>
      <c r="Y12" s="11"/>
      <c r="Z12" s="11"/>
      <c r="AA12" s="11"/>
      <c r="AB12" s="12" t="str">
        <f aca="false">IF(AA12="","",INDEX(Catalogos!$Y$5:$Y$25,MATCH(AA12,L_IMP,0)))</f>
        <v/>
      </c>
      <c r="AC12" s="11"/>
      <c r="AD12" s="11"/>
      <c r="AE12" s="11"/>
      <c r="AF12" s="10" t="str">
        <f aca="false">IF(Q12="","Pendiente por formular",IF(OR(S12="",T12="",U12="",V12="",W12="",X12="",Z12="",AA12=""),"Incompleta: faltan campos obligatorios",IF(OR(NOT(ISNUMBER(T12)),NOT(ISNUMBER(U12))),"Fecha inválida",IF(U12&lt;T12,"La fecha de fin es anterior a la de inicio",IF(OR(YEAR(T12)&lt;&gt;2027,YEAR(U12)&lt;&gt;2027),"Fechas fuera de la vigencia 2027",IF(ISERROR(SEARCH("@itc.edu.co",V12)),"El responsable no tiene correo institucional",IF(ISERROR(SEARCH(Z12,INDEX(Catalogos!$Z$5:$Z$25,MATCH(AA12,L_IMP,0)))),"La dimensión no corresponde al indicador de impacto","OK")))))))</f>
        <v>Pendiente por formular</v>
      </c>
    </row>
    <row r="13" customFormat="false" ht="52.5" hidden="false" customHeight="true" outlineLevel="0" collapsed="false">
      <c r="A13" s="12" t="str">
        <f aca="false">Base_OAPDI!A157</f>
        <v>E5-007</v>
      </c>
      <c r="B13" s="12" t="str">
        <f aca="false">Base_OAPDI!B157</f>
        <v>5.2.1.2</v>
      </c>
      <c r="C13" s="12" t="str">
        <f aca="false">Base_OAPDI!D157</f>
        <v>5.2 Modernización de la infraestructura</v>
      </c>
      <c r="D13" s="12" t="str">
        <f aca="false">Base_OAPDI!E157</f>
        <v>100% de los talleres y laboratorios actualizados de acuerdo con el plan maestro, modernizados y viabilizados con buenas prácticas ambientales.</v>
      </c>
      <c r="E13" s="12" t="str">
        <f aca="false">Base_OAPDI!F157</f>
        <v>% de talleres y laboratorios modernizados</v>
      </c>
      <c r="F13" s="12" t="str">
        <f aca="false">Base_OAPDI!G157</f>
        <v>100%</v>
      </c>
      <c r="G13" s="12" t="str">
        <f aca="false">Base_OAPDI!H157</f>
        <v>Plan Maestro Institucional (PMI) formulado y en marcha</v>
      </c>
      <c r="H13" s="12" t="str">
        <f aca="false">Base_OAPDI!I157</f>
        <v>A15</v>
      </c>
      <c r="I13" s="12" t="str">
        <f aca="false">Base_OAPDI!J157</f>
        <v>120 · Vicerrectoría Académica</v>
      </c>
      <c r="J13" s="12" t="str">
        <f aca="false">Base_OAPDI!K157</f>
        <v>Despacho de la Vicerrectoría Académica</v>
      </c>
      <c r="K13" s="12" t="str">
        <f aca="false">Base_OAPDI!L157</f>
        <v>Docencia PES</v>
      </c>
      <c r="L13" s="12" t="n">
        <f aca="false">Base_OAPDI!N157</f>
        <v>10</v>
      </c>
      <c r="M13" s="12" t="n">
        <f aca="false">Base_OAPDI!P157</f>
        <v>8</v>
      </c>
      <c r="N13" s="12" t="n">
        <f aca="false">Base_OAPDI!Q157</f>
        <v>0</v>
      </c>
      <c r="O13" s="12" t="str">
        <f aca="false">Base_OAPDI!R157</f>
        <v>Cerrar o reprogramar 8 producto(s) 2026 pendiente(s) de esta meta.</v>
      </c>
      <c r="P13" s="12" t="str">
        <f aca="false">Base_OAPDI!S157</f>
        <v>IMP-07; IMP-01</v>
      </c>
      <c r="Q13" s="11"/>
      <c r="R13" s="11"/>
      <c r="S13" s="11"/>
      <c r="T13" s="18"/>
      <c r="U13" s="18"/>
      <c r="V13" s="11"/>
      <c r="W13" s="11"/>
      <c r="X13" s="11"/>
      <c r="Y13" s="11"/>
      <c r="Z13" s="11"/>
      <c r="AA13" s="11"/>
      <c r="AB13" s="12" t="str">
        <f aca="false">IF(AA13="","",INDEX(Catalogos!$Y$5:$Y$25,MATCH(AA13,L_IMP,0)))</f>
        <v/>
      </c>
      <c r="AC13" s="11"/>
      <c r="AD13" s="11"/>
      <c r="AE13" s="11"/>
      <c r="AF13" s="10" t="str">
        <f aca="false">IF(Q13="","Pendiente por formular",IF(OR(S13="",T13="",U13="",V13="",W13="",X13="",Z13="",AA13=""),"Incompleta: faltan campos obligatorios",IF(OR(NOT(ISNUMBER(T13)),NOT(ISNUMBER(U13))),"Fecha inválida",IF(U13&lt;T13,"La fecha de fin es anterior a la de inicio",IF(OR(YEAR(T13)&lt;&gt;2027,YEAR(U13)&lt;&gt;2027),"Fechas fuera de la vigencia 2027",IF(ISERROR(SEARCH("@itc.edu.co",V13)),"El responsable no tiene correo institucional",IF(ISERROR(SEARCH(Z13,INDEX(Catalogos!$Z$5:$Z$25,MATCH(AA13,L_IMP,0)))),"La dimensión no corresponde al indicador de impacto","OK")))))))</f>
        <v>Pendiente por formular</v>
      </c>
    </row>
    <row r="14" customFormat="false" ht="52.5" hidden="false" customHeight="true" outlineLevel="0" collapsed="false">
      <c r="A14" s="12" t="str">
        <f aca="false">Base_OAPDI!A158</f>
        <v>E5-008</v>
      </c>
      <c r="B14" s="12" t="str">
        <f aca="false">Base_OAPDI!B158</f>
        <v>5.2.1.2</v>
      </c>
      <c r="C14" s="12" t="str">
        <f aca="false">Base_OAPDI!D158</f>
        <v>5.2 Modernización de la infraestructura</v>
      </c>
      <c r="D14" s="12" t="str">
        <f aca="false">Base_OAPDI!E158</f>
        <v>100% de los talleres y laboratorios actualizados de acuerdo con el plan maestro, modernizados y viabilizados con buenas prácticas ambientales.</v>
      </c>
      <c r="E14" s="12" t="str">
        <f aca="false">Base_OAPDI!F158</f>
        <v>% de talleres y laboratorios modernizados</v>
      </c>
      <c r="F14" s="12" t="str">
        <f aca="false">Base_OAPDI!G158</f>
        <v>100%</v>
      </c>
      <c r="G14" s="12" t="str">
        <f aca="false">Base_OAPDI!H158</f>
        <v>Plan Maestro Institucional (PMI) formulado y en marcha</v>
      </c>
      <c r="H14" s="12" t="str">
        <f aca="false">Base_OAPDI!I158</f>
        <v>A28</v>
      </c>
      <c r="I14" s="12" t="str">
        <f aca="false">Base_OAPDI!J158</f>
        <v>125 · GIT Talleres y Laboratorios</v>
      </c>
      <c r="J14" s="12" t="str">
        <f aca="false">Base_OAPDI!K158</f>
        <v>GIT Talleres y Laboratorios</v>
      </c>
      <c r="K14" s="12" t="str">
        <f aca="false">Base_OAPDI!L158</f>
        <v>Gestión de Recursos Físicos</v>
      </c>
      <c r="L14" s="12" t="n">
        <f aca="false">Base_OAPDI!N158</f>
        <v>6</v>
      </c>
      <c r="M14" s="12" t="n">
        <f aca="false">Base_OAPDI!P158</f>
        <v>6</v>
      </c>
      <c r="N14" s="12" t="n">
        <f aca="false">Base_OAPDI!Q158</f>
        <v>0</v>
      </c>
      <c r="O14" s="12" t="str">
        <f aca="false">Base_OAPDI!R158</f>
        <v>Acciones propuestas por la OAPDI (valídelas y formúlelas en esta fila o en Acciones adicionales): A27-124 Priorizar talleres y laboratorios según el PMI y la nueva oferta; A27-125 Modernizar talleres y laboratorios según el plan de inversiones. Cerrar o reprogramar 6 producto(s) 2026 pendiente(s) de esta meta.</v>
      </c>
      <c r="P14" s="12" t="str">
        <f aca="false">Base_OAPDI!S158</f>
        <v>IMP-07; IMP-01</v>
      </c>
      <c r="Q14" s="11"/>
      <c r="R14" s="11"/>
      <c r="S14" s="11"/>
      <c r="T14" s="18"/>
      <c r="U14" s="18"/>
      <c r="V14" s="11"/>
      <c r="W14" s="11"/>
      <c r="X14" s="11"/>
      <c r="Y14" s="11"/>
      <c r="Z14" s="11"/>
      <c r="AA14" s="11"/>
      <c r="AB14" s="12" t="str">
        <f aca="false">IF(AA14="","",INDEX(Catalogos!$Y$5:$Y$25,MATCH(AA14,L_IMP,0)))</f>
        <v/>
      </c>
      <c r="AC14" s="11"/>
      <c r="AD14" s="11"/>
      <c r="AE14" s="11"/>
      <c r="AF14" s="10" t="str">
        <f aca="false">IF(Q14="","Pendiente por formular",IF(OR(S14="",T14="",U14="",V14="",W14="",X14="",Z14="",AA14=""),"Incompleta: faltan campos obligatorios",IF(OR(NOT(ISNUMBER(T14)),NOT(ISNUMBER(U14))),"Fecha inválida",IF(U14&lt;T14,"La fecha de fin es anterior a la de inicio",IF(OR(YEAR(T14)&lt;&gt;2027,YEAR(U14)&lt;&gt;2027),"Fechas fuera de la vigencia 2027",IF(ISERROR(SEARCH("@itc.edu.co",V14)),"El responsable no tiene correo institucional",IF(ISERROR(SEARCH(Z14,INDEX(Catalogos!$Z$5:$Z$25,MATCH(AA14,L_IMP,0)))),"La dimensión no corresponde al indicador de impacto","OK")))))))</f>
        <v>Pendiente por formular</v>
      </c>
    </row>
    <row r="15" customFormat="false" ht="52.5" hidden="false" customHeight="true" outlineLevel="0" collapsed="false">
      <c r="A15" s="12" t="str">
        <f aca="false">Base_OAPDI!A159</f>
        <v>E5-009</v>
      </c>
      <c r="B15" s="12" t="str">
        <f aca="false">Base_OAPDI!B159</f>
        <v>5.2.1.2</v>
      </c>
      <c r="C15" s="12" t="str">
        <f aca="false">Base_OAPDI!D159</f>
        <v>5.2 Modernización de la infraestructura</v>
      </c>
      <c r="D15" s="12" t="str">
        <f aca="false">Base_OAPDI!E159</f>
        <v>100% de los talleres y laboratorios actualizados de acuerdo con el plan maestro, modernizados y viabilizados con buenas prácticas ambientales.</v>
      </c>
      <c r="E15" s="12" t="str">
        <f aca="false">Base_OAPDI!F159</f>
        <v>% de talleres y laboratorios modernizados</v>
      </c>
      <c r="F15" s="12" t="str">
        <f aca="false">Base_OAPDI!G159</f>
        <v>100%</v>
      </c>
      <c r="G15" s="12" t="str">
        <f aca="false">Base_OAPDI!H159</f>
        <v>Plan Maestro Institucional (PMI) formulado y en marcha</v>
      </c>
      <c r="H15" s="12" t="str">
        <f aca="false">Base_OAPDI!I159</f>
        <v>A38</v>
      </c>
      <c r="I15" s="12" t="str">
        <f aca="false">Base_OAPDI!J159</f>
        <v>140 · Vicerrectoría de Investigación, Extensión y Transferencia</v>
      </c>
      <c r="J15" s="12" t="str">
        <f aca="false">Base_OAPDI!K159</f>
        <v>Despacho de la VIET</v>
      </c>
      <c r="K15" s="12" t="str">
        <f aca="false">Base_OAPDI!L159</f>
        <v>Investigación</v>
      </c>
      <c r="L15" s="12" t="n">
        <f aca="false">Base_OAPDI!N159</f>
        <v>3</v>
      </c>
      <c r="M15" s="12" t="n">
        <f aca="false">Base_OAPDI!P159</f>
        <v>2</v>
      </c>
      <c r="N15" s="12" t="n">
        <f aca="false">Base_OAPDI!Q159</f>
        <v>0</v>
      </c>
      <c r="O15" s="12" t="str">
        <f aca="false">Base_OAPDI!R159</f>
        <v>Cerrar o reprogramar 2 producto(s) 2026 pendiente(s) de esta meta.</v>
      </c>
      <c r="P15" s="12" t="str">
        <f aca="false">Base_OAPDI!S159</f>
        <v>IMP-07; IMP-01</v>
      </c>
      <c r="Q15" s="11"/>
      <c r="R15" s="11"/>
      <c r="S15" s="11"/>
      <c r="T15" s="18"/>
      <c r="U15" s="18"/>
      <c r="V15" s="11"/>
      <c r="W15" s="11"/>
      <c r="X15" s="11"/>
      <c r="Y15" s="11"/>
      <c r="Z15" s="11"/>
      <c r="AA15" s="11"/>
      <c r="AB15" s="12" t="str">
        <f aca="false">IF(AA15="","",INDEX(Catalogos!$Y$5:$Y$25,MATCH(AA15,L_IMP,0)))</f>
        <v/>
      </c>
      <c r="AC15" s="11"/>
      <c r="AD15" s="11"/>
      <c r="AE15" s="11"/>
      <c r="AF15" s="10" t="str">
        <f aca="false">IF(Q15="","Pendiente por formular",IF(OR(S15="",T15="",U15="",V15="",W15="",X15="",Z15="",AA15=""),"Incompleta: faltan campos obligatorios",IF(OR(NOT(ISNUMBER(T15)),NOT(ISNUMBER(U15))),"Fecha inválida",IF(U15&lt;T15,"La fecha de fin es anterior a la de inicio",IF(OR(YEAR(T15)&lt;&gt;2027,YEAR(U15)&lt;&gt;2027),"Fechas fuera de la vigencia 2027",IF(ISERROR(SEARCH("@itc.edu.co",V15)),"El responsable no tiene correo institucional",IF(ISERROR(SEARCH(Z15,INDEX(Catalogos!$Z$5:$Z$25,MATCH(AA15,L_IMP,0)))),"La dimensión no corresponde al indicador de impacto","OK")))))))</f>
        <v>Pendiente por formular</v>
      </c>
    </row>
    <row r="16" customFormat="false" ht="66" hidden="false" customHeight="true" outlineLevel="0" collapsed="false">
      <c r="A16" s="12" t="str">
        <f aca="false">Base_OAPDI!A160</f>
        <v>E5-010</v>
      </c>
      <c r="B16" s="12" t="str">
        <f aca="false">Base_OAPDI!B160</f>
        <v>5.2.1.2</v>
      </c>
      <c r="C16" s="12" t="str">
        <f aca="false">Base_OAPDI!D160</f>
        <v>5.2 Modernización de la infraestructura</v>
      </c>
      <c r="D16" s="12" t="str">
        <f aca="false">Base_OAPDI!E160</f>
        <v>100% de los talleres y laboratorios actualizados de acuerdo con el plan maestro, modernizados y viabilizados con buenas prácticas ambientales.</v>
      </c>
      <c r="E16" s="12" t="str">
        <f aca="false">Base_OAPDI!F160</f>
        <v>% de talleres y laboratorios modernizados</v>
      </c>
      <c r="F16" s="12" t="str">
        <f aca="false">Base_OAPDI!G160</f>
        <v>100%</v>
      </c>
      <c r="G16" s="12" t="str">
        <f aca="false">Base_OAPDI!H160</f>
        <v>Plan Maestro Institucional (PMI) formulado y en marcha</v>
      </c>
      <c r="H16" s="12" t="str">
        <f aca="false">Base_OAPDI!I160</f>
        <v>A31</v>
      </c>
      <c r="I16" s="12" t="str">
        <f aca="false">Base_OAPDI!J160</f>
        <v>130 · Vicerrectoría Administrativa y Financiera</v>
      </c>
      <c r="J16" s="12" t="str">
        <f aca="false">Base_OAPDI!K160</f>
        <v>Recursos Físicos e Infraestructura</v>
      </c>
      <c r="K16" s="12" t="str">
        <f aca="false">Base_OAPDI!L160</f>
        <v>Gestión de Recursos Físicos</v>
      </c>
      <c r="L16" s="12" t="n">
        <f aca="false">Base_OAPDI!N160</f>
        <v>0</v>
      </c>
      <c r="M16" s="12" t="n">
        <f aca="false">Base_OAPDI!P160</f>
        <v>0</v>
      </c>
      <c r="N16" s="12" t="n">
        <f aca="false">Base_OAPDI!Q160</f>
        <v>1</v>
      </c>
      <c r="O16" s="12" t="str">
        <f aca="false">Base_OAPDI!R160</f>
        <v>Acciones propuestas por la OAPDI (valídelas y formúlelas en esta fila o en Acciones adicionales): A27-123 Contratar la consultoría del Plan Maestro Institucional. Atender 1 compromiso(s) de proyectos estructurantes (hoja Compromisos_2026).</v>
      </c>
      <c r="P16" s="12" t="str">
        <f aca="false">Base_OAPDI!S160</f>
        <v>IMP-07; IMP-01</v>
      </c>
      <c r="Q16" s="11"/>
      <c r="R16" s="11"/>
      <c r="S16" s="11"/>
      <c r="T16" s="18"/>
      <c r="U16" s="18"/>
      <c r="V16" s="11"/>
      <c r="W16" s="11"/>
      <c r="X16" s="11"/>
      <c r="Y16" s="11"/>
      <c r="Z16" s="11"/>
      <c r="AA16" s="11"/>
      <c r="AB16" s="12" t="str">
        <f aca="false">IF(AA16="","",INDEX(Catalogos!$Y$5:$Y$25,MATCH(AA16,L_IMP,0)))</f>
        <v/>
      </c>
      <c r="AC16" s="11"/>
      <c r="AD16" s="11"/>
      <c r="AE16" s="11"/>
      <c r="AF16" s="10" t="str">
        <f aca="false">IF(Q16="","Pendiente por formular",IF(OR(S16="",T16="",U16="",V16="",W16="",X16="",Z16="",AA16=""),"Incompleta: faltan campos obligatorios",IF(OR(NOT(ISNUMBER(T16)),NOT(ISNUMBER(U16))),"Fecha inválida",IF(U16&lt;T16,"La fecha de fin es anterior a la de inicio",IF(OR(YEAR(T16)&lt;&gt;2027,YEAR(U16)&lt;&gt;2027),"Fechas fuera de la vigencia 2027",IF(ISERROR(SEARCH("@itc.edu.co",V16)),"El responsable no tiene correo institucional",IF(ISERROR(SEARCH(Z16,INDEX(Catalogos!$Z$5:$Z$25,MATCH(AA16,L_IMP,0)))),"La dimensión no corresponde al indicador de impacto","OK")))))))</f>
        <v>Pendiente por formular</v>
      </c>
    </row>
    <row r="17" customFormat="false" ht="118.5" hidden="false" customHeight="true" outlineLevel="0" collapsed="false">
      <c r="A17" s="12" t="str">
        <f aca="false">Base_OAPDI!A161</f>
        <v>E5-011</v>
      </c>
      <c r="B17" s="12" t="str">
        <f aca="false">Base_OAPDI!B161</f>
        <v>5.2.1.3</v>
      </c>
      <c r="C17" s="12" t="str">
        <f aca="false">Base_OAPDI!D161</f>
        <v>5.2 Modernización de la infraestructura</v>
      </c>
      <c r="D17" s="12" t="str">
        <f aca="false">Base_OAPDI!E161</f>
        <v>Reposición del 100% de computadores de apoyo a la academia con antigüedad mayor a 3 años.</v>
      </c>
      <c r="E17" s="12" t="str">
        <f aca="false">Base_OAPDI!F161</f>
        <v>% de computadores de apoyo académico con antigüedad ≤ 3 años</v>
      </c>
      <c r="F17" s="12" t="str">
        <f aca="false">Base_OAPDI!G161</f>
        <v>100%</v>
      </c>
      <c r="G17" s="12" t="str">
        <f aca="false">Base_OAPDI!H161</f>
        <v>Sugerido: (240 computadores de salas de sistemas repuestos —100% de las salas priorizadas— e inventario de antigüedad del parque tecnológico)</v>
      </c>
      <c r="H17" s="12" t="str">
        <f aca="false">Base_OAPDI!I161</f>
        <v>A34</v>
      </c>
      <c r="I17" s="12" t="str">
        <f aca="false">Base_OAPDI!J161</f>
        <v>132 · GIT Gestión de Informática y Telecomunicaciones</v>
      </c>
      <c r="J17" s="12" t="str">
        <f aca="false">Base_OAPDI!K161</f>
        <v>GIT Informática y Telecomunicaciones</v>
      </c>
      <c r="K17" s="12" t="str">
        <f aca="false">Base_OAPDI!L161</f>
        <v>Gestión de Informática y Telecomunicaciones</v>
      </c>
      <c r="L17" s="12" t="n">
        <f aca="false">Base_OAPDI!N161</f>
        <v>3</v>
      </c>
      <c r="M17" s="12" t="n">
        <f aca="false">Base_OAPDI!P161</f>
        <v>3</v>
      </c>
      <c r="N17" s="12" t="n">
        <f aca="false">Base_OAPDI!Q161</f>
        <v>0</v>
      </c>
      <c r="O17" s="12" t="str">
        <f aca="false">Base_OAPDI!R161</f>
        <v>Acciones propuestas por la OAPDI (valídelas y formúlelas en esta fila o en Acciones adicionales): A27-126 Levantar el inventario de antigüedad de los equipos académicos; A27-127 Reponer los equipos de cómputo de salas de sistemas. Cerrar o reprogramar 3 producto(s) 2026 pendiente(s) de esta meta.</v>
      </c>
      <c r="P17" s="12" t="str">
        <f aca="false">Base_OAPDI!S161</f>
        <v>IMP-07</v>
      </c>
      <c r="Q17" s="11"/>
      <c r="R17" s="11"/>
      <c r="S17" s="11"/>
      <c r="T17" s="18"/>
      <c r="U17" s="18"/>
      <c r="V17" s="11"/>
      <c r="W17" s="11"/>
      <c r="X17" s="11"/>
      <c r="Y17" s="11"/>
      <c r="Z17" s="11"/>
      <c r="AA17" s="11"/>
      <c r="AB17" s="12" t="str">
        <f aca="false">IF(AA17="","",INDEX(Catalogos!$Y$5:$Y$25,MATCH(AA17,L_IMP,0)))</f>
        <v/>
      </c>
      <c r="AC17" s="11"/>
      <c r="AD17" s="11"/>
      <c r="AE17" s="11"/>
      <c r="AF17" s="10" t="str">
        <f aca="false">IF(Q17="","Pendiente por formular",IF(OR(S17="",T17="",U17="",V17="",W17="",X17="",Z17="",AA17=""),"Incompleta: faltan campos obligatorios",IF(OR(NOT(ISNUMBER(T17)),NOT(ISNUMBER(U17))),"Fecha inválida",IF(U17&lt;T17,"La fecha de fin es anterior a la de inicio",IF(OR(YEAR(T17)&lt;&gt;2027,YEAR(U17)&lt;&gt;2027),"Fechas fuera de la vigencia 2027",IF(ISERROR(SEARCH("@itc.edu.co",V17)),"El responsable no tiene correo institucional",IF(ISERROR(SEARCH(Z17,INDEX(Catalogos!$Z$5:$Z$25,MATCH(AA17,L_IMP,0)))),"La dimensión no corresponde al indicador de impacto","OK")))))))</f>
        <v>Pendiente por formular</v>
      </c>
    </row>
    <row r="18" customFormat="false" ht="92.25" hidden="false" customHeight="true" outlineLevel="0" collapsed="false">
      <c r="A18" s="12" t="str">
        <f aca="false">Base_OAPDI!A162</f>
        <v>E5-012</v>
      </c>
      <c r="B18" s="12" t="str">
        <f aca="false">Base_OAPDI!B162</f>
        <v>5.3.1.1</v>
      </c>
      <c r="C18" s="12" t="str">
        <f aca="false">Base_OAPDI!D162</f>
        <v>5.3 Infraestructura de terceros</v>
      </c>
      <c r="D18" s="12" t="str">
        <f aca="false">Base_OAPDI!E162</f>
        <v>Hacer presencia con oferta académica en 4 sedes de terceros y multicampus: 1. Zipaquirá, 2. Multicampus de Suba, 3. Soacha, 4. Multicampus Tintal.</v>
      </c>
      <c r="E18" s="12" t="str">
        <f aca="false">Base_OAPDI!F162</f>
        <v>N.° de sedes de terceros con oferta activa</v>
      </c>
      <c r="F18" s="12" t="str">
        <f aca="false">Base_OAPDI!G162</f>
        <v>4 sedes de terceros</v>
      </c>
      <c r="G18" s="12" t="str">
        <f aca="false">Base_OAPDI!H162</f>
        <v>Convenio ETITC-MinTIC suscrito; oferta en Zipaquirá; oferta 2027-1 en La Primavera, Villeta y 3 municipios de Casanare</v>
      </c>
      <c r="H18" s="12" t="str">
        <f aca="false">Base_OAPDI!I162</f>
        <v>A30</v>
      </c>
      <c r="I18" s="12" t="str">
        <f aca="false">Base_OAPDI!J162</f>
        <v>130 · Vicerrectoría Administrativa y Financiera</v>
      </c>
      <c r="J18" s="12" t="str">
        <f aca="false">Base_OAPDI!K162</f>
        <v>Despacho de la Vicerrectoría Administrativa y Financiera</v>
      </c>
      <c r="K18" s="12" t="str">
        <f aca="false">Base_OAPDI!L162</f>
        <v>Gestión Financiera</v>
      </c>
      <c r="L18" s="12" t="n">
        <f aca="false">Base_OAPDI!N162</f>
        <v>0</v>
      </c>
      <c r="M18" s="12" t="n">
        <f aca="false">Base_OAPDI!P162</f>
        <v>0</v>
      </c>
      <c r="N18" s="12" t="n">
        <f aca="false">Base_OAPDI!Q162</f>
        <v>1</v>
      </c>
      <c r="O18" s="12" t="str">
        <f aca="false">Base_OAPDI!R162</f>
        <v>Atender 1 compromiso(s) de proyectos estructurantes (hoja Compromisos_2026).</v>
      </c>
      <c r="P18" s="12" t="str">
        <f aca="false">Base_OAPDI!S162</f>
        <v>IMP-12; IMP-13</v>
      </c>
      <c r="Q18" s="11"/>
      <c r="R18" s="11"/>
      <c r="S18" s="11"/>
      <c r="T18" s="18"/>
      <c r="U18" s="18"/>
      <c r="V18" s="11"/>
      <c r="W18" s="11"/>
      <c r="X18" s="11"/>
      <c r="Y18" s="11"/>
      <c r="Z18" s="11"/>
      <c r="AA18" s="11"/>
      <c r="AB18" s="12" t="str">
        <f aca="false">IF(AA18="","",INDEX(Catalogos!$Y$5:$Y$25,MATCH(AA18,L_IMP,0)))</f>
        <v/>
      </c>
      <c r="AC18" s="11"/>
      <c r="AD18" s="11"/>
      <c r="AE18" s="11"/>
      <c r="AF18" s="10" t="str">
        <f aca="false">IF(Q18="","Pendiente por formular",IF(OR(S18="",T18="",U18="",V18="",W18="",X18="",Z18="",AA18=""),"Incompleta: faltan campos obligatorios",IF(OR(NOT(ISNUMBER(T18)),NOT(ISNUMBER(U18))),"Fecha inválida",IF(U18&lt;T18,"La fecha de fin es anterior a la de inicio",IF(OR(YEAR(T18)&lt;&gt;2027,YEAR(U18)&lt;&gt;2027),"Fechas fuera de la vigencia 2027",IF(ISERROR(SEARCH("@itc.edu.co",V18)),"El responsable no tiene correo institucional",IF(ISERROR(SEARCH(Z18,INDEX(Catalogos!$Z$5:$Z$25,MATCH(AA18,L_IMP,0)))),"La dimensión no corresponde al indicador de impacto","OK")))))))</f>
        <v>Pendiente por formular</v>
      </c>
    </row>
    <row r="19" customFormat="false" ht="92.25" hidden="false" customHeight="true" outlineLevel="0" collapsed="false">
      <c r="A19" s="12" t="str">
        <f aca="false">Base_OAPDI!A163</f>
        <v>E5-013</v>
      </c>
      <c r="B19" s="12" t="str">
        <f aca="false">Base_OAPDI!B163</f>
        <v>5.3.1.1</v>
      </c>
      <c r="C19" s="12" t="str">
        <f aca="false">Base_OAPDI!D163</f>
        <v>5.3 Infraestructura de terceros</v>
      </c>
      <c r="D19" s="12" t="str">
        <f aca="false">Base_OAPDI!E163</f>
        <v>Hacer presencia con oferta académica en 4 sedes de terceros y multicampus: 1. Zipaquirá, 2. Multicampus de Suba, 3. Soacha, 4. Multicampus Tintal.</v>
      </c>
      <c r="E19" s="12" t="str">
        <f aca="false">Base_OAPDI!F163</f>
        <v>N.° de sedes de terceros con oferta activa</v>
      </c>
      <c r="F19" s="12" t="str">
        <f aca="false">Base_OAPDI!G163</f>
        <v>4 sedes de terceros</v>
      </c>
      <c r="G19" s="12" t="str">
        <f aca="false">Base_OAPDI!H163</f>
        <v>Convenio ETITC-MinTIC suscrito; oferta en Zipaquirá; oferta 2027-1 en La Primavera, Villeta y 3 municipios de Casanare</v>
      </c>
      <c r="H19" s="12" t="str">
        <f aca="false">Base_OAPDI!I163</f>
        <v>A45</v>
      </c>
      <c r="I19" s="12" t="str">
        <f aca="false">Base_OAPDI!J163</f>
        <v>120 · Vicerrectoría Académica</v>
      </c>
      <c r="J19" s="12" t="str">
        <f aca="false">Base_OAPDI!K163</f>
        <v>Sedes Tintal / Soacha-UPK / Viotá</v>
      </c>
      <c r="K19" s="12" t="str">
        <f aca="false">Base_OAPDI!L163</f>
        <v>Docencia PES</v>
      </c>
      <c r="L19" s="12" t="n">
        <f aca="false">Base_OAPDI!N163</f>
        <v>0</v>
      </c>
      <c r="M19" s="12" t="n">
        <f aca="false">Base_OAPDI!P163</f>
        <v>0</v>
      </c>
      <c r="N19" s="12" t="n">
        <f aca="false">Base_OAPDI!Q163</f>
        <v>0</v>
      </c>
      <c r="O19" s="12" t="str">
        <f aca="false">Base_OAPDI!R163</f>
        <v>Acciones propuestas por la OAPDI (valídelas y formúlelas en esta fila o en Acciones adicionales): A27-132 Poner en marcha la oferta 2027-1 en La Primavera, Villeta y municipios de Casanare.</v>
      </c>
      <c r="P19" s="12" t="str">
        <f aca="false">Base_OAPDI!S163</f>
        <v>IMP-12; IMP-13</v>
      </c>
      <c r="Q19" s="11"/>
      <c r="R19" s="11"/>
      <c r="S19" s="11"/>
      <c r="T19" s="18"/>
      <c r="U19" s="18"/>
      <c r="V19" s="11"/>
      <c r="W19" s="11"/>
      <c r="X19" s="11"/>
      <c r="Y19" s="11"/>
      <c r="Z19" s="11"/>
      <c r="AA19" s="11"/>
      <c r="AB19" s="12" t="str">
        <f aca="false">IF(AA19="","",INDEX(Catalogos!$Y$5:$Y$25,MATCH(AA19,L_IMP,0)))</f>
        <v/>
      </c>
      <c r="AC19" s="11"/>
      <c r="AD19" s="11"/>
      <c r="AE19" s="11"/>
      <c r="AF19" s="10" t="str">
        <f aca="false">IF(Q19="","Pendiente por formular",IF(OR(S19="",T19="",U19="",V19="",W19="",X19="",Z19="",AA19=""),"Incompleta: faltan campos obligatorios",IF(OR(NOT(ISNUMBER(T19)),NOT(ISNUMBER(U19))),"Fecha inválida",IF(U19&lt;T19,"La fecha de fin es anterior a la de inicio",IF(OR(YEAR(T19)&lt;&gt;2027,YEAR(U19)&lt;&gt;2027),"Fechas fuera de la vigencia 2027",IF(ISERROR(SEARCH("@itc.edu.co",V19)),"El responsable no tiene correo institucional",IF(ISERROR(SEARCH(Z19,INDEX(Catalogos!$Z$5:$Z$25,MATCH(AA19,L_IMP,0)))),"La dimensión no corresponde al indicador de impacto","OK")))))))</f>
        <v>Pendiente por formular</v>
      </c>
    </row>
    <row r="20" customFormat="false" ht="92.25" hidden="false" customHeight="true" outlineLevel="0" collapsed="false">
      <c r="A20" s="12" t="str">
        <f aca="false">Base_OAPDI!A164</f>
        <v>E5-014</v>
      </c>
      <c r="B20" s="12" t="str">
        <f aca="false">Base_OAPDI!B164</f>
        <v>5.3.1.1</v>
      </c>
      <c r="C20" s="12" t="str">
        <f aca="false">Base_OAPDI!D164</f>
        <v>5.3 Infraestructura de terceros</v>
      </c>
      <c r="D20" s="12" t="str">
        <f aca="false">Base_OAPDI!E164</f>
        <v>Hacer presencia con oferta académica en 4 sedes de terceros y multicampus: 1. Zipaquirá, 2. Multicampus de Suba, 3. Soacha, 4. Multicampus Tintal.</v>
      </c>
      <c r="E20" s="12" t="str">
        <f aca="false">Base_OAPDI!F164</f>
        <v>N.° de sedes de terceros con oferta activa</v>
      </c>
      <c r="F20" s="12" t="str">
        <f aca="false">Base_OAPDI!G164</f>
        <v>4 sedes de terceros</v>
      </c>
      <c r="G20" s="12" t="str">
        <f aca="false">Base_OAPDI!H164</f>
        <v>Convenio ETITC-MinTIC suscrito; oferta en Zipaquirá; oferta 2027-1 en La Primavera, Villeta y 3 municipios de Casanare</v>
      </c>
      <c r="H20" s="12" t="str">
        <f aca="false">Base_OAPDI!I164</f>
        <v>A44</v>
      </c>
      <c r="I20" s="12" t="str">
        <f aca="false">Base_OAPDI!J164</f>
        <v>100 · Rectoría</v>
      </c>
      <c r="J20" s="12" t="str">
        <f aca="false">Base_OAPDI!K164</f>
        <v>Sedes y Campus</v>
      </c>
      <c r="K20" s="12" t="str">
        <f aca="false">Base_OAPDI!L164</f>
        <v>Direccionamiento Institucional</v>
      </c>
      <c r="L20" s="12" t="n">
        <f aca="false">Base_OAPDI!N164</f>
        <v>0</v>
      </c>
      <c r="M20" s="12" t="n">
        <f aca="false">Base_OAPDI!P164</f>
        <v>0</v>
      </c>
      <c r="N20" s="12" t="n">
        <f aca="false">Base_OAPDI!Q164</f>
        <v>0</v>
      </c>
      <c r="O20" s="12" t="str">
        <f aca="false">Base_OAPDI!R164</f>
        <v>Formular al menos una acción que contribuya a la meta institucional 2027 de esta meta.</v>
      </c>
      <c r="P20" s="12" t="str">
        <f aca="false">Base_OAPDI!S164</f>
        <v>IMP-12; IMP-13</v>
      </c>
      <c r="Q20" s="11"/>
      <c r="R20" s="11"/>
      <c r="S20" s="11"/>
      <c r="T20" s="18"/>
      <c r="U20" s="18"/>
      <c r="V20" s="11"/>
      <c r="W20" s="11"/>
      <c r="X20" s="11"/>
      <c r="Y20" s="11"/>
      <c r="Z20" s="11"/>
      <c r="AA20" s="11"/>
      <c r="AB20" s="12" t="str">
        <f aca="false">IF(AA20="","",INDEX(Catalogos!$Y$5:$Y$25,MATCH(AA20,L_IMP,0)))</f>
        <v/>
      </c>
      <c r="AC20" s="11"/>
      <c r="AD20" s="11"/>
      <c r="AE20" s="11"/>
      <c r="AF20" s="10" t="str">
        <f aca="false">IF(Q20="","Pendiente por formular",IF(OR(S20="",T20="",U20="",V20="",W20="",X20="",Z20="",AA20=""),"Incompleta: faltan campos obligatorios",IF(OR(NOT(ISNUMBER(T20)),NOT(ISNUMBER(U20))),"Fecha inválida",IF(U20&lt;T20,"La fecha de fin es anterior a la de inicio",IF(OR(YEAR(T20)&lt;&gt;2027,YEAR(U20)&lt;&gt;2027),"Fechas fuera de la vigencia 2027",IF(ISERROR(SEARCH("@itc.edu.co",V20)),"El responsable no tiene correo institucional",IF(ISERROR(SEARCH(Z20,INDEX(Catalogos!$Z$5:$Z$25,MATCH(AA20,L_IMP,0)))),"La dimensión no corresponde al indicador de impacto","OK")))))))</f>
        <v>Pendiente por formular</v>
      </c>
    </row>
    <row r="21" customFormat="false" ht="92.25" hidden="false" customHeight="true" outlineLevel="0" collapsed="false">
      <c r="A21" s="12" t="str">
        <f aca="false">Base_OAPDI!A165</f>
        <v>E5-015</v>
      </c>
      <c r="B21" s="12" t="str">
        <f aca="false">Base_OAPDI!B165</f>
        <v>5.3.1.1</v>
      </c>
      <c r="C21" s="12" t="str">
        <f aca="false">Base_OAPDI!D165</f>
        <v>5.3 Infraestructura de terceros</v>
      </c>
      <c r="D21" s="12" t="str">
        <f aca="false">Base_OAPDI!E165</f>
        <v>Hacer presencia con oferta académica en 4 sedes de terceros y multicampus: 1. Zipaquirá, 2. Multicampus de Suba, 3. Soacha, 4. Multicampus Tintal.</v>
      </c>
      <c r="E21" s="12" t="str">
        <f aca="false">Base_OAPDI!F165</f>
        <v>N.° de sedes de terceros con oferta activa</v>
      </c>
      <c r="F21" s="12" t="str">
        <f aca="false">Base_OAPDI!G165</f>
        <v>4 sedes de terceros</v>
      </c>
      <c r="G21" s="12" t="str">
        <f aca="false">Base_OAPDI!H165</f>
        <v>Convenio ETITC-MinTIC suscrito; oferta en Zipaquirá; oferta 2027-1 en La Primavera, Villeta y 3 municipios de Casanare</v>
      </c>
      <c r="H21" s="12" t="str">
        <f aca="false">Base_OAPDI!I165</f>
        <v>A19</v>
      </c>
      <c r="I21" s="12" t="str">
        <f aca="false">Base_OAPDI!J165</f>
        <v>101 · Oficina Asesora de Planeación y Desarrollo Institucional</v>
      </c>
      <c r="J21" s="12" t="str">
        <f aca="false">Base_OAPDI!K165</f>
        <v>Regionalización</v>
      </c>
      <c r="K21" s="12" t="str">
        <f aca="false">Base_OAPDI!L165</f>
        <v>Direccionamiento Institucional</v>
      </c>
      <c r="L21" s="12" t="n">
        <f aca="false">Base_OAPDI!N165</f>
        <v>0</v>
      </c>
      <c r="M21" s="12" t="n">
        <f aca="false">Base_OAPDI!P165</f>
        <v>0</v>
      </c>
      <c r="N21" s="12" t="n">
        <f aca="false">Base_OAPDI!Q165</f>
        <v>0</v>
      </c>
      <c r="O21" s="12" t="str">
        <f aca="false">Base_OAPDI!R165</f>
        <v>Formular al menos una acción que contribuya a la meta institucional 2027 de esta meta.</v>
      </c>
      <c r="P21" s="12" t="str">
        <f aca="false">Base_OAPDI!S165</f>
        <v>IMP-12; IMP-13</v>
      </c>
      <c r="Q21" s="11"/>
      <c r="R21" s="11"/>
      <c r="S21" s="11"/>
      <c r="T21" s="18"/>
      <c r="U21" s="18"/>
      <c r="V21" s="11"/>
      <c r="W21" s="11"/>
      <c r="X21" s="11"/>
      <c r="Y21" s="11"/>
      <c r="Z21" s="11"/>
      <c r="AA21" s="11"/>
      <c r="AB21" s="12" t="str">
        <f aca="false">IF(AA21="","",INDEX(Catalogos!$Y$5:$Y$25,MATCH(AA21,L_IMP,0)))</f>
        <v/>
      </c>
      <c r="AC21" s="11"/>
      <c r="AD21" s="11"/>
      <c r="AE21" s="11"/>
      <c r="AF21" s="10" t="str">
        <f aca="false">IF(Q21="","Pendiente por formular",IF(OR(S21="",T21="",U21="",V21="",W21="",X21="",Z21="",AA21=""),"Incompleta: faltan campos obligatorios",IF(OR(NOT(ISNUMBER(T21)),NOT(ISNUMBER(U21))),"Fecha inválida",IF(U21&lt;T21,"La fecha de fin es anterior a la de inicio",IF(OR(YEAR(T21)&lt;&gt;2027,YEAR(U21)&lt;&gt;2027),"Fechas fuera de la vigencia 2027",IF(ISERROR(SEARCH("@itc.edu.co",V21)),"El responsable no tiene correo institucional",IF(ISERROR(SEARCH(Z21,INDEX(Catalogos!$Z$5:$Z$25,MATCH(AA21,L_IMP,0)))),"La dimensión no corresponde al indicador de impacto","OK")))))))</f>
        <v>Pendiente por formular</v>
      </c>
    </row>
    <row r="22" customFormat="false" ht="92.25" hidden="false" customHeight="true" outlineLevel="0" collapsed="false">
      <c r="A22" s="12" t="str">
        <f aca="false">Base_OAPDI!A166</f>
        <v>E5-016</v>
      </c>
      <c r="B22" s="12" t="str">
        <f aca="false">Base_OAPDI!B166</f>
        <v>5.3.1.1</v>
      </c>
      <c r="C22" s="12" t="str">
        <f aca="false">Base_OAPDI!D166</f>
        <v>5.3 Infraestructura de terceros</v>
      </c>
      <c r="D22" s="12" t="str">
        <f aca="false">Base_OAPDI!E166</f>
        <v>Hacer presencia con oferta académica en 4 sedes de terceros y multicampus: 1. Zipaquirá, 2. Multicampus de Suba, 3. Soacha, 4. Multicampus Tintal.</v>
      </c>
      <c r="E22" s="12" t="str">
        <f aca="false">Base_OAPDI!F166</f>
        <v>N.° de sedes de terceros con oferta activa</v>
      </c>
      <c r="F22" s="12" t="str">
        <f aca="false">Base_OAPDI!G166</f>
        <v>4 sedes de terceros</v>
      </c>
      <c r="G22" s="12" t="str">
        <f aca="false">Base_OAPDI!H166</f>
        <v>Convenio ETITC-MinTIC suscrito; oferta en Zipaquirá; oferta 2027-1 en La Primavera, Villeta y 3 municipios de Casanare</v>
      </c>
      <c r="H22" s="12" t="str">
        <f aca="false">Base_OAPDI!I166</f>
        <v>A01</v>
      </c>
      <c r="I22" s="12" t="str">
        <f aca="false">Base_OAPDI!J166</f>
        <v>100 · Rectoría</v>
      </c>
      <c r="J22" s="12" t="str">
        <f aca="false">Base_OAPDI!K166</f>
        <v>Despacho de Rectoría</v>
      </c>
      <c r="K22" s="12" t="str">
        <f aca="false">Base_OAPDI!L166</f>
        <v>Direccionamiento Institucional</v>
      </c>
      <c r="L22" s="12" t="n">
        <f aca="false">Base_OAPDI!N166</f>
        <v>0</v>
      </c>
      <c r="M22" s="12" t="n">
        <f aca="false">Base_OAPDI!P166</f>
        <v>0</v>
      </c>
      <c r="N22" s="12" t="n">
        <f aca="false">Base_OAPDI!Q166</f>
        <v>2</v>
      </c>
      <c r="O22" s="12" t="str">
        <f aca="false">Base_OAPDI!R166</f>
        <v>Acciones propuestas por la OAPDI (valídelas y formúlelas en esta fila o en Acciones adicionales): A27-128 Decidir en el CIGD la formulación de las líneas 3.1, 5.3 y 6.1; A27-129 Suscribir el convenio interadministrativo ETITC-MinTIC para el Centro de IA Zipazgo. Atender 2 compromiso(s) de proyectos estructurantes (hoja Compromisos_2026).</v>
      </c>
      <c r="P22" s="12" t="str">
        <f aca="false">Base_OAPDI!S166</f>
        <v>IMP-12; IMP-13</v>
      </c>
      <c r="Q22" s="11"/>
      <c r="R22" s="11"/>
      <c r="S22" s="11"/>
      <c r="T22" s="18"/>
      <c r="U22" s="18"/>
      <c r="V22" s="11"/>
      <c r="W22" s="11"/>
      <c r="X22" s="11"/>
      <c r="Y22" s="11"/>
      <c r="Z22" s="11"/>
      <c r="AA22" s="11"/>
      <c r="AB22" s="12" t="str">
        <f aca="false">IF(AA22="","",INDEX(Catalogos!$Y$5:$Y$25,MATCH(AA22,L_IMP,0)))</f>
        <v/>
      </c>
      <c r="AC22" s="11"/>
      <c r="AD22" s="11"/>
      <c r="AE22" s="11"/>
      <c r="AF22" s="10" t="str">
        <f aca="false">IF(Q22="","Pendiente por formular",IF(OR(S22="",T22="",U22="",V22="",W22="",X22="",Z22="",AA22=""),"Incompleta: faltan campos obligatorios",IF(OR(NOT(ISNUMBER(T22)),NOT(ISNUMBER(U22))),"Fecha inválida",IF(U22&lt;T22,"La fecha de fin es anterior a la de inicio",IF(OR(YEAR(T22)&lt;&gt;2027,YEAR(U22)&lt;&gt;2027),"Fechas fuera de la vigencia 2027",IF(ISERROR(SEARCH("@itc.edu.co",V22)),"El responsable no tiene correo institucional",IF(ISERROR(SEARCH(Z22,INDEX(Catalogos!$Z$5:$Z$25,MATCH(AA22,L_IMP,0)))),"La dimensión no corresponde al indicador de impacto","OK")))))))</f>
        <v>Pendiente por formular</v>
      </c>
    </row>
    <row r="23" customFormat="false" ht="92.25" hidden="false" customHeight="true" outlineLevel="0" collapsed="false">
      <c r="A23" s="12" t="str">
        <f aca="false">Base_OAPDI!A167</f>
        <v>E5-017</v>
      </c>
      <c r="B23" s="12" t="str">
        <f aca="false">Base_OAPDI!B167</f>
        <v>5.3.1.1</v>
      </c>
      <c r="C23" s="12" t="str">
        <f aca="false">Base_OAPDI!D167</f>
        <v>5.3 Infraestructura de terceros</v>
      </c>
      <c r="D23" s="12" t="str">
        <f aca="false">Base_OAPDI!E167</f>
        <v>Hacer presencia con oferta académica en 4 sedes de terceros y multicampus: 1. Zipaquirá, 2. Multicampus de Suba, 3. Soacha, 4. Multicampus Tintal.</v>
      </c>
      <c r="E23" s="12" t="str">
        <f aca="false">Base_OAPDI!F167</f>
        <v>N.° de sedes de terceros con oferta activa</v>
      </c>
      <c r="F23" s="12" t="str">
        <f aca="false">Base_OAPDI!G167</f>
        <v>4 sedes de terceros</v>
      </c>
      <c r="G23" s="12" t="str">
        <f aca="false">Base_OAPDI!H167</f>
        <v>Convenio ETITC-MinTIC suscrito; oferta en Zipaquirá; oferta 2027-1 en La Primavera, Villeta y 3 municipios de Casanare</v>
      </c>
      <c r="H23" s="12" t="str">
        <f aca="false">Base_OAPDI!I167</f>
        <v>A11</v>
      </c>
      <c r="I23" s="12" t="str">
        <f aca="false">Base_OAPDI!J167</f>
        <v>110 · Secretaría General</v>
      </c>
      <c r="J23" s="12" t="str">
        <f aca="false">Base_OAPDI!K167</f>
        <v>Despacho de Secretaría General</v>
      </c>
      <c r="K23" s="12" t="str">
        <f aca="false">Base_OAPDI!L167</f>
        <v>Direccionamiento Institucional</v>
      </c>
      <c r="L23" s="12" t="n">
        <f aca="false">Base_OAPDI!N167</f>
        <v>0</v>
      </c>
      <c r="M23" s="12" t="n">
        <f aca="false">Base_OAPDI!P167</f>
        <v>0</v>
      </c>
      <c r="N23" s="12" t="n">
        <f aca="false">Base_OAPDI!Q167</f>
        <v>1</v>
      </c>
      <c r="O23" s="12" t="str">
        <f aca="false">Base_OAPDI!R167</f>
        <v>Acciones propuestas por la OAPDI (valídelas y formúlelas en esta fila o en Acciones adicionales): A27-130 Legalizar el convenio y designar la supervisión. Atender 1 compromiso(s) de proyectos estructurantes (hoja Compromisos_2026).</v>
      </c>
      <c r="P23" s="12" t="str">
        <f aca="false">Base_OAPDI!S167</f>
        <v>IMP-12; IMP-13</v>
      </c>
      <c r="Q23" s="11"/>
      <c r="R23" s="11"/>
      <c r="S23" s="11"/>
      <c r="T23" s="18"/>
      <c r="U23" s="18"/>
      <c r="V23" s="11"/>
      <c r="W23" s="11"/>
      <c r="X23" s="11"/>
      <c r="Y23" s="11"/>
      <c r="Z23" s="11"/>
      <c r="AA23" s="11"/>
      <c r="AB23" s="12" t="str">
        <f aca="false">IF(AA23="","",INDEX(Catalogos!$Y$5:$Y$25,MATCH(AA23,L_IMP,0)))</f>
        <v/>
      </c>
      <c r="AC23" s="11"/>
      <c r="AD23" s="11"/>
      <c r="AE23" s="11"/>
      <c r="AF23" s="10" t="str">
        <f aca="false">IF(Q23="","Pendiente por formular",IF(OR(S23="",T23="",U23="",V23="",W23="",X23="",Z23="",AA23=""),"Incompleta: faltan campos obligatorios",IF(OR(NOT(ISNUMBER(T23)),NOT(ISNUMBER(U23))),"Fecha inválida",IF(U23&lt;T23,"La fecha de fin es anterior a la de inicio",IF(OR(YEAR(T23)&lt;&gt;2027,YEAR(U23)&lt;&gt;2027),"Fechas fuera de la vigencia 2027",IF(ISERROR(SEARCH("@itc.edu.co",V23)),"El responsable no tiene correo institucional",IF(ISERROR(SEARCH(Z23,INDEX(Catalogos!$Z$5:$Z$25,MATCH(AA23,L_IMP,0)))),"La dimensión no corresponde al indicador de impacto","OK")))))))</f>
        <v>Pendiente por formular</v>
      </c>
    </row>
    <row r="24" customFormat="false" ht="92.25" hidden="false" customHeight="true" outlineLevel="0" collapsed="false">
      <c r="A24" s="12" t="str">
        <f aca="false">Base_OAPDI!A168</f>
        <v>E5-018</v>
      </c>
      <c r="B24" s="12" t="str">
        <f aca="false">Base_OAPDI!B168</f>
        <v>5.3.1.1</v>
      </c>
      <c r="C24" s="12" t="str">
        <f aca="false">Base_OAPDI!D168</f>
        <v>5.3 Infraestructura de terceros</v>
      </c>
      <c r="D24" s="12" t="str">
        <f aca="false">Base_OAPDI!E168</f>
        <v>Hacer presencia con oferta académica en 4 sedes de terceros y multicampus: 1. Zipaquirá, 2. Multicampus de Suba, 3. Soacha, 4. Multicampus Tintal.</v>
      </c>
      <c r="E24" s="12" t="str">
        <f aca="false">Base_OAPDI!F168</f>
        <v>N.° de sedes de terceros con oferta activa</v>
      </c>
      <c r="F24" s="12" t="str">
        <f aca="false">Base_OAPDI!G168</f>
        <v>4 sedes de terceros</v>
      </c>
      <c r="G24" s="12" t="str">
        <f aca="false">Base_OAPDI!H168</f>
        <v>Convenio ETITC-MinTIC suscrito; oferta en Zipaquirá; oferta 2027-1 en La Primavera, Villeta y 3 municipios de Casanare</v>
      </c>
      <c r="H24" s="12" t="str">
        <f aca="false">Base_OAPDI!I168</f>
        <v>A15</v>
      </c>
      <c r="I24" s="12" t="str">
        <f aca="false">Base_OAPDI!J168</f>
        <v>120 · Vicerrectoría Académica</v>
      </c>
      <c r="J24" s="12" t="str">
        <f aca="false">Base_OAPDI!K168</f>
        <v>Despacho de la Vicerrectoría Académica</v>
      </c>
      <c r="K24" s="12" t="str">
        <f aca="false">Base_OAPDI!L168</f>
        <v>Docencia PES</v>
      </c>
      <c r="L24" s="12" t="n">
        <f aca="false">Base_OAPDI!N168</f>
        <v>0</v>
      </c>
      <c r="M24" s="12" t="n">
        <f aca="false">Base_OAPDI!P168</f>
        <v>0</v>
      </c>
      <c r="N24" s="12" t="n">
        <f aca="false">Base_OAPDI!Q168</f>
        <v>4</v>
      </c>
      <c r="O24" s="12" t="str">
        <f aca="false">Base_OAPDI!R168</f>
        <v>Acciones propuestas por la OAPDI (valídelas y formúlelas en esta fila o en Acciones adicionales): A27-131 Cumplir los compromisos del Convenio Marco con Zipaquirá (coordinador, plan anual, comité). Atender 4 compromiso(s) de proyectos estructurantes (hoja Compromisos_2026).</v>
      </c>
      <c r="P24" s="12" t="str">
        <f aca="false">Base_OAPDI!S168</f>
        <v>IMP-12; IMP-13</v>
      </c>
      <c r="Q24" s="11"/>
      <c r="R24" s="11"/>
      <c r="S24" s="11"/>
      <c r="T24" s="18"/>
      <c r="U24" s="18"/>
      <c r="V24" s="11"/>
      <c r="W24" s="11"/>
      <c r="X24" s="11"/>
      <c r="Y24" s="11"/>
      <c r="Z24" s="11"/>
      <c r="AA24" s="11"/>
      <c r="AB24" s="12" t="str">
        <f aca="false">IF(AA24="","",INDEX(Catalogos!$Y$5:$Y$25,MATCH(AA24,L_IMP,0)))</f>
        <v/>
      </c>
      <c r="AC24" s="11"/>
      <c r="AD24" s="11"/>
      <c r="AE24" s="11"/>
      <c r="AF24" s="10" t="str">
        <f aca="false">IF(Q24="","Pendiente por formular",IF(OR(S24="",T24="",U24="",V24="",W24="",X24="",Z24="",AA24=""),"Incompleta: faltan campos obligatorios",IF(OR(NOT(ISNUMBER(T24)),NOT(ISNUMBER(U24))),"Fecha inválida",IF(U24&lt;T24,"La fecha de fin es anterior a la de inicio",IF(OR(YEAR(T24)&lt;&gt;2027,YEAR(U24)&lt;&gt;2027),"Fechas fuera de la vigencia 2027",IF(ISERROR(SEARCH("@itc.edu.co",V24)),"El responsable no tiene correo institucional",IF(ISERROR(SEARCH(Z24,INDEX(Catalogos!$Z$5:$Z$25,MATCH(AA24,L_IMP,0)))),"La dimensión no corresponde al indicador de impacto","OK")))))))</f>
        <v>Pendiente por formular</v>
      </c>
    </row>
    <row r="25" customFormat="false" ht="118.5" hidden="false" customHeight="true" outlineLevel="0" collapsed="false">
      <c r="A25" s="12" t="str">
        <f aca="false">Base_OAPDI!A169</f>
        <v>E5-019</v>
      </c>
      <c r="B25" s="12" t="str">
        <f aca="false">Base_OAPDI!B169</f>
        <v>5.4.1.1</v>
      </c>
      <c r="C25" s="12" t="str">
        <f aca="false">Base_OAPDI!D169</f>
        <v>5.4 Infraestructura para programas presenciales y semipresenciales</v>
      </c>
      <c r="D25" s="12" t="str">
        <f aca="false">Base_OAPDI!E169</f>
        <v>Contar con el 100% de la infraestructura de talleres y laboratorios a través de convenios con instituciones y sector productivo (programas no presenciales).</v>
      </c>
      <c r="E25" s="12" t="str">
        <f aca="false">Base_OAPDI!F169</f>
        <v>% de la infraestructura requerida cubierta por convenios</v>
      </c>
      <c r="F25" s="12" t="str">
        <f aca="false">Base_OAPDI!G169</f>
        <v>100%</v>
      </c>
      <c r="G25" s="12" t="str">
        <f aca="false">Base_OAPDI!H169</f>
        <v>Sugerido: (100% de los programas a distancia o híbridos ofertados en 2027 con convenio de uso de talleres y laboratorios —mínimo 3 convenios—)</v>
      </c>
      <c r="H25" s="12" t="str">
        <f aca="false">Base_OAPDI!I169</f>
        <v>A14</v>
      </c>
      <c r="I25" s="12" t="str">
        <f aca="false">Base_OAPDI!J169</f>
        <v>130 · Vicerrectoría Administrativa y Financiera</v>
      </c>
      <c r="J25" s="12" t="str">
        <f aca="false">Base_OAPDI!K169</f>
        <v>Contratación y Adquisiciones</v>
      </c>
      <c r="K25" s="12" t="str">
        <f aca="false">Base_OAPDI!L169</f>
        <v>Gestión de Adquisiciones</v>
      </c>
      <c r="L25" s="12" t="n">
        <f aca="false">Base_OAPDI!N169</f>
        <v>2</v>
      </c>
      <c r="M25" s="12" t="n">
        <f aca="false">Base_OAPDI!P169</f>
        <v>2</v>
      </c>
      <c r="N25" s="12" t="n">
        <f aca="false">Base_OAPDI!Q169</f>
        <v>0</v>
      </c>
      <c r="O25" s="12" t="str">
        <f aca="false">Base_OAPDI!R169</f>
        <v>Acciones propuestas por la OAPDI (valídelas y formúlelas en esta fila o en Acciones adicionales): A27-134 Suscribir convenios de uso de talleres y laboratorios. Cerrar o reprogramar 2 producto(s) 2026 pendiente(s) de esta meta.</v>
      </c>
      <c r="P25" s="12" t="str">
        <f aca="false">Base_OAPDI!S169</f>
        <v>IMP-13; IMP-07</v>
      </c>
      <c r="Q25" s="11"/>
      <c r="R25" s="11"/>
      <c r="S25" s="11"/>
      <c r="T25" s="18"/>
      <c r="U25" s="18"/>
      <c r="V25" s="11"/>
      <c r="W25" s="11"/>
      <c r="X25" s="11"/>
      <c r="Y25" s="11"/>
      <c r="Z25" s="11"/>
      <c r="AA25" s="11"/>
      <c r="AB25" s="12" t="str">
        <f aca="false">IF(AA25="","",INDEX(Catalogos!$Y$5:$Y$25,MATCH(AA25,L_IMP,0)))</f>
        <v/>
      </c>
      <c r="AC25" s="11"/>
      <c r="AD25" s="11"/>
      <c r="AE25" s="11"/>
      <c r="AF25" s="10" t="str">
        <f aca="false">IF(Q25="","Pendiente por formular",IF(OR(S25="",T25="",U25="",V25="",W25="",X25="",Z25="",AA25=""),"Incompleta: faltan campos obligatorios",IF(OR(NOT(ISNUMBER(T25)),NOT(ISNUMBER(U25))),"Fecha inválida",IF(U25&lt;T25,"La fecha de fin es anterior a la de inicio",IF(OR(YEAR(T25)&lt;&gt;2027,YEAR(U25)&lt;&gt;2027),"Fechas fuera de la vigencia 2027",IF(ISERROR(SEARCH("@itc.edu.co",V25)),"El responsable no tiene correo institucional",IF(ISERROR(SEARCH(Z25,INDEX(Catalogos!$Z$5:$Z$25,MATCH(AA25,L_IMP,0)))),"La dimensión no corresponde al indicador de impacto","OK")))))))</f>
        <v>Pendiente por formular</v>
      </c>
    </row>
    <row r="26" customFormat="false" ht="118.5" hidden="false" customHeight="true" outlineLevel="0" collapsed="false">
      <c r="A26" s="12" t="str">
        <f aca="false">Base_OAPDI!A170</f>
        <v>E5-020</v>
      </c>
      <c r="B26" s="12" t="str">
        <f aca="false">Base_OAPDI!B170</f>
        <v>5.4.1.1</v>
      </c>
      <c r="C26" s="12" t="str">
        <f aca="false">Base_OAPDI!D170</f>
        <v>5.4 Infraestructura para programas presenciales y semipresenciales</v>
      </c>
      <c r="D26" s="12" t="str">
        <f aca="false">Base_OAPDI!E170</f>
        <v>Contar con el 100% de la infraestructura de talleres y laboratorios a través de convenios con instituciones y sector productivo (programas no presenciales).</v>
      </c>
      <c r="E26" s="12" t="str">
        <f aca="false">Base_OAPDI!F170</f>
        <v>% de la infraestructura requerida cubierta por convenios</v>
      </c>
      <c r="F26" s="12" t="str">
        <f aca="false">Base_OAPDI!G170</f>
        <v>100%</v>
      </c>
      <c r="G26" s="12" t="str">
        <f aca="false">Base_OAPDI!H170</f>
        <v>Sugerido: (100% de los programas a distancia o híbridos ofertados en 2027 con convenio de uso de talleres y laboratorios —mínimo 3 convenios—)</v>
      </c>
      <c r="H26" s="12" t="str">
        <f aca="false">Base_OAPDI!I170</f>
        <v>A34</v>
      </c>
      <c r="I26" s="12" t="str">
        <f aca="false">Base_OAPDI!J170</f>
        <v>132 · GIT Gestión de Informática y Telecomunicaciones</v>
      </c>
      <c r="J26" s="12" t="str">
        <f aca="false">Base_OAPDI!K170</f>
        <v>GIT Informática y Telecomunicaciones</v>
      </c>
      <c r="K26" s="12" t="str">
        <f aca="false">Base_OAPDI!L170</f>
        <v>Gestión de Informática y Telecomunicaciones</v>
      </c>
      <c r="L26" s="12" t="n">
        <f aca="false">Base_OAPDI!N170</f>
        <v>0</v>
      </c>
      <c r="M26" s="12" t="n">
        <f aca="false">Base_OAPDI!P170</f>
        <v>0</v>
      </c>
      <c r="N26" s="12" t="n">
        <f aca="false">Base_OAPDI!Q170</f>
        <v>1</v>
      </c>
      <c r="O26" s="12" t="str">
        <f aca="false">Base_OAPDI!R170</f>
        <v>Atender 1 compromiso(s) de proyectos estructurantes (hoja Compromisos_2026).</v>
      </c>
      <c r="P26" s="12" t="str">
        <f aca="false">Base_OAPDI!S170</f>
        <v>IMP-13; IMP-07</v>
      </c>
      <c r="Q26" s="11"/>
      <c r="R26" s="11"/>
      <c r="S26" s="11"/>
      <c r="T26" s="18"/>
      <c r="U26" s="18"/>
      <c r="V26" s="11"/>
      <c r="W26" s="11"/>
      <c r="X26" s="11"/>
      <c r="Y26" s="11"/>
      <c r="Z26" s="11"/>
      <c r="AA26" s="11"/>
      <c r="AB26" s="12" t="str">
        <f aca="false">IF(AA26="","",INDEX(Catalogos!$Y$5:$Y$25,MATCH(AA26,L_IMP,0)))</f>
        <v/>
      </c>
      <c r="AC26" s="11"/>
      <c r="AD26" s="11"/>
      <c r="AE26" s="11"/>
      <c r="AF26" s="10" t="str">
        <f aca="false">IF(Q26="","Pendiente por formular",IF(OR(S26="",T26="",U26="",V26="",W26="",X26="",Z26="",AA26=""),"Incompleta: faltan campos obligatorios",IF(OR(NOT(ISNUMBER(T26)),NOT(ISNUMBER(U26))),"Fecha inválida",IF(U26&lt;T26,"La fecha de fin es anterior a la de inicio",IF(OR(YEAR(T26)&lt;&gt;2027,YEAR(U26)&lt;&gt;2027),"Fechas fuera de la vigencia 2027",IF(ISERROR(SEARCH("@itc.edu.co",V26)),"El responsable no tiene correo institucional",IF(ISERROR(SEARCH(Z26,INDEX(Catalogos!$Z$5:$Z$25,MATCH(AA26,L_IMP,0)))),"La dimensión no corresponde al indicador de impacto","OK")))))))</f>
        <v>Pendiente por formular</v>
      </c>
    </row>
    <row r="27" customFormat="false" ht="118.5" hidden="false" customHeight="true" outlineLevel="0" collapsed="false">
      <c r="A27" s="12" t="str">
        <f aca="false">Base_OAPDI!A171</f>
        <v>E5-021</v>
      </c>
      <c r="B27" s="12" t="str">
        <f aca="false">Base_OAPDI!B171</f>
        <v>5.4.1.1</v>
      </c>
      <c r="C27" s="12" t="str">
        <f aca="false">Base_OAPDI!D171</f>
        <v>5.4 Infraestructura para programas presenciales y semipresenciales</v>
      </c>
      <c r="D27" s="12" t="str">
        <f aca="false">Base_OAPDI!E171</f>
        <v>Contar con el 100% de la infraestructura de talleres y laboratorios a través de convenios con instituciones y sector productivo (programas no presenciales).</v>
      </c>
      <c r="E27" s="12" t="str">
        <f aca="false">Base_OAPDI!F171</f>
        <v>% de la infraestructura requerida cubierta por convenios</v>
      </c>
      <c r="F27" s="12" t="str">
        <f aca="false">Base_OAPDI!G171</f>
        <v>100%</v>
      </c>
      <c r="G27" s="12" t="str">
        <f aca="false">Base_OAPDI!H171</f>
        <v>Sugerido: (100% de los programas a distancia o híbridos ofertados en 2027 con convenio de uso de talleres y laboratorios —mínimo 3 convenios—)</v>
      </c>
      <c r="H27" s="12" t="str">
        <f aca="false">Base_OAPDI!I171</f>
        <v>A15</v>
      </c>
      <c r="I27" s="12" t="str">
        <f aca="false">Base_OAPDI!J171</f>
        <v>120 · Vicerrectoría Académica</v>
      </c>
      <c r="J27" s="12" t="str">
        <f aca="false">Base_OAPDI!K171</f>
        <v>Despacho de la Vicerrectoría Académica</v>
      </c>
      <c r="K27" s="12" t="str">
        <f aca="false">Base_OAPDI!L171</f>
        <v>Docencia PES</v>
      </c>
      <c r="L27" s="12" t="n">
        <f aca="false">Base_OAPDI!N171</f>
        <v>0</v>
      </c>
      <c r="M27" s="12" t="n">
        <f aca="false">Base_OAPDI!P171</f>
        <v>0</v>
      </c>
      <c r="N27" s="12" t="n">
        <f aca="false">Base_OAPDI!Q171</f>
        <v>0</v>
      </c>
      <c r="O27" s="12" t="str">
        <f aca="false">Base_OAPDI!R171</f>
        <v>Acciones propuestas por la OAPDI (valídelas y formúlelas en esta fila o en Acciones adicionales): A27-133 Identificar la infraestructura práctica que requieren los programas no presenciales.</v>
      </c>
      <c r="P27" s="12" t="str">
        <f aca="false">Base_OAPDI!S171</f>
        <v>IMP-13; IMP-07</v>
      </c>
      <c r="Q27" s="11"/>
      <c r="R27" s="11"/>
      <c r="S27" s="11"/>
      <c r="T27" s="18"/>
      <c r="U27" s="18"/>
      <c r="V27" s="11"/>
      <c r="W27" s="11"/>
      <c r="X27" s="11"/>
      <c r="Y27" s="11"/>
      <c r="Z27" s="11"/>
      <c r="AA27" s="11"/>
      <c r="AB27" s="12" t="str">
        <f aca="false">IF(AA27="","",INDEX(Catalogos!$Y$5:$Y$25,MATCH(AA27,L_IMP,0)))</f>
        <v/>
      </c>
      <c r="AC27" s="11"/>
      <c r="AD27" s="11"/>
      <c r="AE27" s="11"/>
      <c r="AF27" s="10" t="str">
        <f aca="false">IF(Q27="","Pendiente por formular",IF(OR(S27="",T27="",U27="",V27="",W27="",X27="",Z27="",AA27=""),"Incompleta: faltan campos obligatorios",IF(OR(NOT(ISNUMBER(T27)),NOT(ISNUMBER(U27))),"Fecha inválida",IF(U27&lt;T27,"La fecha de fin es anterior a la de inicio",IF(OR(YEAR(T27)&lt;&gt;2027,YEAR(U27)&lt;&gt;2027),"Fechas fuera de la vigencia 2027",IF(ISERROR(SEARCH("@itc.edu.co",V27)),"El responsable no tiene correo institucional",IF(ISERROR(SEARCH(Z27,INDEX(Catalogos!$Z$5:$Z$25,MATCH(AA27,L_IMP,0)))),"La dimensión no corresponde al indicador de impacto","OK")))))))</f>
        <v>Pendiente por formular</v>
      </c>
    </row>
  </sheetData>
  <sheetProtection sheet="true" password="cc6d" formatColumns="false" formatRows="false" autoFilter="false"/>
  <autoFilter ref="A6:AF27"/>
  <mergeCells count="3">
    <mergeCell ref="A2:P2"/>
    <mergeCell ref="A5:P5"/>
    <mergeCell ref="Q5:AE5"/>
  </mergeCells>
  <conditionalFormatting sqref="AF7:AF27">
    <cfRule type="expression" priority="2" aboveAverage="0" equalAverage="0" bottom="0" percent="0" rank="0" text="" dxfId="5">
      <formula>AF7="OK"</formula>
    </cfRule>
    <cfRule type="expression" priority="3" aboveAverage="0" equalAverage="0" bottom="0" percent="0" rank="0" text="" dxfId="6">
      <formula>LEFT(AF7,9)="Pendiente"</formula>
    </cfRule>
    <cfRule type="expression" priority="4" aboveAverage="0" equalAverage="0" bottom="0" percent="0" rank="0" text="" dxfId="7">
      <formula>AND(AF7&lt;&gt;"OK",LEFT(AF7,9)&lt;&gt;"Pendiente")</formula>
    </cfRule>
  </conditionalFormatting>
  <dataValidations count="5">
    <dataValidation allowBlank="true" error="Escriba el correo institucional (@itc.edu.co) del responsable." errorStyle="stop" errorTitle="Correo no institucional" operator="between" showDropDown="false" showErrorMessage="true" showInputMessage="false" sqref="V7:V27" type="custom">
      <formula1>ISNUMBER(SEARCH("@itc.edu.co",V7))</formula1>
      <formula2>0</formula2>
    </dataValidation>
    <dataValidation allowBlank="true" errorStyle="stop" operator="between" showDropDown="false" showErrorMessage="false" showInputMessage="false" sqref="AC7:AC27" type="list">
      <formula1>L_SINO</formula1>
      <formula2>0</formula2>
    </dataValidation>
    <dataValidation allowBlank="true" error="Seleccione un indicador de la Guía Metodológica." errorStyle="stop" errorTitle="Indicador no válido" operator="between" showDropDown="false" showErrorMessage="true" showInputMessage="false" sqref="AA7:AA27" type="list">
      <formula1>L_IMP</formula1>
      <formula2>0</formula2>
    </dataValidation>
    <dataValidation allowBlank="true" errorStyle="stop" operator="between" showDropDown="false" showErrorMessage="false" showInputMessage="false" sqref="Z7:Z27" type="list">
      <formula1>L_DIM</formula1>
      <formula2>0</formula2>
    </dataValidation>
    <dataValidation allowBlank="true" error="Use una fecha entre el 01/01/2027 y el 31/12/2027." errorStyle="stop" errorTitle="Fecha fuera de vigencia" operator="between" showDropDown="false" showErrorMessage="true" showInputMessage="false" sqref="T7:U27" type="date">
      <formula1>DATE(2027,1,1)</formula1>
      <formula2>DATE(2027,12,31)</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F22"/>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4" ySplit="6" topLeftCell="E7" activePane="bottomRight" state="frozen"/>
      <selection pane="topLeft" activeCell="A1" activeCellId="0" sqref="A1"/>
      <selection pane="topRight" activeCell="E1" activeCellId="0" sqref="E1"/>
      <selection pane="bottomLeft" activeCell="A7" activeCellId="0" sqref="A7"/>
      <selection pane="bottomRight" activeCell="G7" activeCellId="0" sqref="G7"/>
    </sheetView>
  </sheetViews>
  <sheetFormatPr defaultColWidth="8.66796875" defaultRowHeight="14.25" zeroHeight="false" outlineLevelRow="0" outlineLevelCol="0"/>
  <cols>
    <col collapsed="false" customWidth="true" hidden="false" outlineLevel="0" max="1" min="1" style="0" width="10"/>
    <col collapsed="false" customWidth="true" hidden="false" outlineLevel="0" max="2" min="2" style="0" width="9"/>
    <col collapsed="false" customWidth="true" hidden="false" outlineLevel="0" max="3" min="3" style="0" width="24"/>
    <col collapsed="false" customWidth="true" hidden="false" outlineLevel="0" max="4" min="4" style="0" width="40"/>
    <col collapsed="false" customWidth="true" hidden="false" outlineLevel="0" max="5" min="5" style="0" width="26"/>
    <col collapsed="false" customWidth="true" hidden="false" outlineLevel="0" max="7" min="6" style="0" width="18"/>
    <col collapsed="false" customWidth="true" hidden="false" outlineLevel="0" max="8" min="8" style="0" width="7"/>
    <col collapsed="false" customWidth="true" hidden="false" outlineLevel="0" max="9" min="9" style="0" width="28"/>
    <col collapsed="false" customWidth="true" hidden="false" outlineLevel="0" max="10" min="10" style="0" width="26"/>
    <col collapsed="false" customWidth="true" hidden="false" outlineLevel="0" max="11" min="11" style="0" width="22"/>
    <col collapsed="false" customWidth="true" hidden="false" outlineLevel="0" max="12" min="12" style="0" width="9"/>
    <col collapsed="false" customWidth="true" hidden="false" outlineLevel="0" max="13" min="13" style="0" width="10"/>
    <col collapsed="false" customWidth="true" hidden="false" outlineLevel="0" max="14" min="14" style="0" width="11"/>
    <col collapsed="false" customWidth="true" hidden="false" outlineLevel="0" max="15" min="15" style="0" width="34"/>
    <col collapsed="false" customWidth="true" hidden="false" outlineLevel="0" max="16" min="16" style="0" width="18"/>
    <col collapsed="false" customWidth="true" hidden="false" outlineLevel="0" max="17" min="17" style="0" width="32"/>
    <col collapsed="false" customWidth="true" hidden="false" outlineLevel="0" max="18" min="18" style="0" width="40"/>
    <col collapsed="false" customWidth="true" hidden="false" outlineLevel="0" max="19" min="19" style="0" width="30"/>
    <col collapsed="false" customWidth="true" hidden="false" outlineLevel="0" max="21" min="20" style="0" width="12"/>
    <col collapsed="false" customWidth="true" hidden="false" outlineLevel="0" max="22" min="22" style="0" width="26"/>
    <col collapsed="false" customWidth="true" hidden="false" outlineLevel="0" max="23" min="23" style="0" width="28"/>
    <col collapsed="false" customWidth="true" hidden="false" outlineLevel="0" max="25" min="24" style="0" width="12"/>
    <col collapsed="false" customWidth="true" hidden="false" outlineLevel="0" max="26" min="26" style="0" width="16"/>
    <col collapsed="false" customWidth="true" hidden="false" outlineLevel="0" max="27" min="27" style="0" width="40"/>
    <col collapsed="false" customWidth="true" hidden="false" outlineLevel="0" max="28" min="28" style="0" width="30"/>
    <col collapsed="false" customWidth="true" hidden="false" outlineLevel="0" max="29" min="29" style="0" width="14"/>
    <col collapsed="false" customWidth="true" hidden="false" outlineLevel="0" max="30" min="30" style="0" width="30"/>
    <col collapsed="false" customWidth="true" hidden="false" outlineLevel="0" max="31" min="31" style="0" width="28"/>
    <col collapsed="false" customWidth="true" hidden="false" outlineLevel="0" max="32" min="32" style="0" width="30"/>
  </cols>
  <sheetData>
    <row r="1" customFormat="false" ht="17.25" hidden="false" customHeight="true" outlineLevel="0" collapsed="false">
      <c r="A1" s="7" t="s">
        <v>602</v>
      </c>
    </row>
    <row r="2" customFormat="false" ht="30" hidden="false" customHeight="true" outlineLevel="0" collapsed="false">
      <c r="A2" s="2" t="s">
        <v>603</v>
      </c>
      <c r="B2" s="2"/>
      <c r="C2" s="2"/>
      <c r="D2" s="2"/>
      <c r="E2" s="2"/>
      <c r="F2" s="2"/>
      <c r="G2" s="2"/>
      <c r="H2" s="2"/>
      <c r="I2" s="2"/>
      <c r="J2" s="2"/>
      <c r="K2" s="2"/>
      <c r="L2" s="2"/>
      <c r="M2" s="2"/>
      <c r="N2" s="2"/>
      <c r="O2" s="2"/>
      <c r="P2" s="2"/>
    </row>
    <row r="3" customFormat="false" ht="14.25" hidden="false" customHeight="false" outlineLevel="0" collapsed="false">
      <c r="A3" s="15" t="s">
        <v>584</v>
      </c>
    </row>
    <row r="5" customFormat="false" ht="15" hidden="false" customHeight="true" outlineLevel="0" collapsed="false">
      <c r="A5" s="19" t="s">
        <v>585</v>
      </c>
      <c r="B5" s="19"/>
      <c r="C5" s="19"/>
      <c r="D5" s="19"/>
      <c r="E5" s="19"/>
      <c r="F5" s="19"/>
      <c r="G5" s="19"/>
      <c r="H5" s="19"/>
      <c r="I5" s="19"/>
      <c r="J5" s="19"/>
      <c r="K5" s="19"/>
      <c r="L5" s="19"/>
      <c r="M5" s="19"/>
      <c r="N5" s="19"/>
      <c r="O5" s="19"/>
      <c r="P5" s="19"/>
      <c r="Q5" s="20" t="s">
        <v>586</v>
      </c>
      <c r="R5" s="20"/>
      <c r="S5" s="20"/>
      <c r="T5" s="20"/>
      <c r="U5" s="20"/>
      <c r="V5" s="20"/>
      <c r="W5" s="20"/>
      <c r="X5" s="20"/>
      <c r="Y5" s="20"/>
      <c r="Z5" s="20"/>
      <c r="AA5" s="20"/>
      <c r="AB5" s="20"/>
      <c r="AC5" s="20"/>
      <c r="AD5" s="20"/>
      <c r="AE5" s="20"/>
      <c r="AF5" s="21" t="s">
        <v>587</v>
      </c>
    </row>
    <row r="6" customFormat="false" ht="42" hidden="false" customHeight="true" outlineLevel="0" collapsed="false">
      <c r="A6" s="22" t="s">
        <v>552</v>
      </c>
      <c r="B6" s="22" t="s">
        <v>553</v>
      </c>
      <c r="C6" s="22" t="s">
        <v>568</v>
      </c>
      <c r="D6" s="22" t="s">
        <v>554</v>
      </c>
      <c r="E6" s="22" t="s">
        <v>588</v>
      </c>
      <c r="F6" s="22" t="s">
        <v>589</v>
      </c>
      <c r="G6" s="22" t="s">
        <v>555</v>
      </c>
      <c r="H6" s="22" t="s">
        <v>590</v>
      </c>
      <c r="I6" s="22" t="s">
        <v>45</v>
      </c>
      <c r="J6" s="22" t="s">
        <v>44</v>
      </c>
      <c r="K6" s="22" t="s">
        <v>591</v>
      </c>
      <c r="L6" s="22" t="s">
        <v>592</v>
      </c>
      <c r="M6" s="22" t="s">
        <v>558</v>
      </c>
      <c r="N6" s="22" t="s">
        <v>593</v>
      </c>
      <c r="O6" s="22" t="s">
        <v>556</v>
      </c>
      <c r="P6" s="22" t="s">
        <v>559</v>
      </c>
      <c r="Q6" s="17" t="s">
        <v>21</v>
      </c>
      <c r="R6" s="17" t="s">
        <v>570</v>
      </c>
      <c r="S6" s="17" t="s">
        <v>23</v>
      </c>
      <c r="T6" s="17" t="s">
        <v>571</v>
      </c>
      <c r="U6" s="17" t="s">
        <v>572</v>
      </c>
      <c r="V6" s="17" t="s">
        <v>573</v>
      </c>
      <c r="W6" s="17" t="s">
        <v>574</v>
      </c>
      <c r="X6" s="17" t="s">
        <v>575</v>
      </c>
      <c r="Y6" s="17" t="s">
        <v>576</v>
      </c>
      <c r="Z6" s="17" t="s">
        <v>577</v>
      </c>
      <c r="AA6" s="17" t="s">
        <v>578</v>
      </c>
      <c r="AB6" s="17" t="s">
        <v>579</v>
      </c>
      <c r="AC6" s="17" t="s">
        <v>580</v>
      </c>
      <c r="AD6" s="17" t="s">
        <v>35</v>
      </c>
      <c r="AE6" s="17" t="s">
        <v>55</v>
      </c>
      <c r="AF6" s="8" t="s">
        <v>581</v>
      </c>
    </row>
    <row r="7" customFormat="false" ht="144.75" hidden="false" customHeight="true" outlineLevel="0" collapsed="false">
      <c r="A7" s="12" t="str">
        <f aca="false">Base_OAPDI!A172</f>
        <v>E6-001</v>
      </c>
      <c r="B7" s="12" t="str">
        <f aca="false">Base_OAPDI!B172</f>
        <v>6.1.1.1</v>
      </c>
      <c r="C7" s="12" t="str">
        <f aca="false">Base_OAPDI!D172</f>
        <v>6.1 Condiciones para el Bienestar</v>
      </c>
      <c r="D7" s="12" t="str">
        <f aca="false">Base_OAPDI!E172</f>
        <v>El 100% de las áreas de la Institución comprometidas con el Bienestar Universitario integral.</v>
      </c>
      <c r="E7" s="12" t="str">
        <f aca="false">Base_OAPDI!F172</f>
        <v>% de áreas con condiciones de bienestar consolidadas · % de áreas con enlace ambiental y campaña de uso racional de energía y agua aplicada</v>
      </c>
      <c r="F7" s="12" t="str">
        <f aca="false">Base_OAPDI!G172</f>
        <v>100%</v>
      </c>
      <c r="G7" s="12" t="str">
        <f aca="false">Base_OAPDI!H172</f>
        <v>Sugerido: (85% de las áreas con condiciones de bienestar consolidadas y 100% de las áreas con enlace ambiental designado y campaña de uso racional de energía y agua aplicada)</v>
      </c>
      <c r="H7" s="12" t="str">
        <f aca="false">Base_OAPDI!I172</f>
        <v>A21</v>
      </c>
      <c r="I7" s="12" t="str">
        <f aca="false">Base_OAPDI!J172</f>
        <v>122 · GIT Bienestar Universitario</v>
      </c>
      <c r="J7" s="12" t="str">
        <f aca="false">Base_OAPDI!K172</f>
        <v>GIT Bienestar Universitario</v>
      </c>
      <c r="K7" s="12" t="str">
        <f aca="false">Base_OAPDI!L172</f>
        <v>Gestión de Bienestar Universitario</v>
      </c>
      <c r="L7" s="12" t="n">
        <f aca="false">Base_OAPDI!N172</f>
        <v>0</v>
      </c>
      <c r="M7" s="12" t="n">
        <f aca="false">Base_OAPDI!P172</f>
        <v>0</v>
      </c>
      <c r="N7" s="12" t="n">
        <f aca="false">Base_OAPDI!Q172</f>
        <v>2</v>
      </c>
      <c r="O7" s="12" t="str">
        <f aca="false">Base_OAPDI!R172</f>
        <v>Acciones propuestas por la OAPDI (valídelas y formúlelas en esta fila o en Acciones adicionales): A27-135 Cerrar el ciclo PFB 2025 (pruebas psicológicas, transporte, soportes); A27-136 Implementar las condiciones clave para el bienestar integral (política, programas, cobertura, evaluación); A27-137 Operar el tablero mensual de seguimiento del PFB. Atender 2 compromiso(s) de proyectos estructurantes (hoja Compromisos_2026).</v>
      </c>
      <c r="P7" s="12" t="str">
        <f aca="false">Base_OAPDI!S172</f>
        <v>IMP-16; IMP-15; IMP-01</v>
      </c>
      <c r="Q7" s="11"/>
      <c r="R7" s="11"/>
      <c r="S7" s="11"/>
      <c r="T7" s="18"/>
      <c r="U7" s="18"/>
      <c r="V7" s="11"/>
      <c r="W7" s="11"/>
      <c r="X7" s="11"/>
      <c r="Y7" s="11"/>
      <c r="Z7" s="11"/>
      <c r="AA7" s="11"/>
      <c r="AB7" s="12" t="str">
        <f aca="false">IF(AA7="","",INDEX(Catalogos!$Y$5:$Y$25,MATCH(AA7,L_IMP,0)))</f>
        <v/>
      </c>
      <c r="AC7" s="11"/>
      <c r="AD7" s="11"/>
      <c r="AE7" s="11"/>
      <c r="AF7" s="10" t="str">
        <f aca="false">IF(Q7="","Pendiente por formular",IF(OR(S7="",T7="",U7="",V7="",W7="",X7="",Z7="",AA7=""),"Incompleta: faltan campos obligatorios",IF(OR(NOT(ISNUMBER(T7)),NOT(ISNUMBER(U7))),"Fecha inválida",IF(U7&lt;T7,"La fecha de fin es anterior a la de inicio",IF(OR(YEAR(T7)&lt;&gt;2027,YEAR(U7)&lt;&gt;2027),"Fechas fuera de la vigencia 2027",IF(ISERROR(SEARCH("@itc.edu.co",V7)),"El responsable no tiene correo institucional",IF(ISERROR(SEARCH(Z7,INDEX(Catalogos!$Z$5:$Z$25,MATCH(AA7,L_IMP,0)))),"La dimensión no corresponde al indicador de impacto","OK")))))))</f>
        <v>Pendiente por formular</v>
      </c>
    </row>
    <row r="8" customFormat="false" ht="144.75" hidden="false" customHeight="true" outlineLevel="0" collapsed="false">
      <c r="A8" s="12" t="str">
        <f aca="false">Base_OAPDI!A173</f>
        <v>E6-002</v>
      </c>
      <c r="B8" s="12" t="str">
        <f aca="false">Base_OAPDI!B173</f>
        <v>6.1.1.1</v>
      </c>
      <c r="C8" s="12" t="str">
        <f aca="false">Base_OAPDI!D173</f>
        <v>6.1 Condiciones para el Bienestar</v>
      </c>
      <c r="D8" s="12" t="str">
        <f aca="false">Base_OAPDI!E173</f>
        <v>El 100% de las áreas de la Institución comprometidas con el Bienestar Universitario integral.</v>
      </c>
      <c r="E8" s="12" t="str">
        <f aca="false">Base_OAPDI!F173</f>
        <v>% de áreas con condiciones de bienestar consolidadas · % de áreas con enlace ambiental y campaña de uso racional de energía y agua aplicada</v>
      </c>
      <c r="F8" s="12" t="str">
        <f aca="false">Base_OAPDI!G173</f>
        <v>100%</v>
      </c>
      <c r="G8" s="12" t="str">
        <f aca="false">Base_OAPDI!H173</f>
        <v>Sugerido: (85% de las áreas con condiciones de bienestar consolidadas y 100% de las áreas con enlace ambiental designado y campaña de uso racional de energía y agua aplicada)</v>
      </c>
      <c r="H8" s="12" t="str">
        <f aca="false">Base_OAPDI!I173</f>
        <v>A36</v>
      </c>
      <c r="I8" s="12" t="str">
        <f aca="false">Base_OAPDI!J173</f>
        <v>133 · GIT Gestión de Talento Humano</v>
      </c>
      <c r="J8" s="12" t="str">
        <f aca="false">Base_OAPDI!K173</f>
        <v>Seguridad y Salud en el Trabajo</v>
      </c>
      <c r="K8" s="12" t="str">
        <f aca="false">Base_OAPDI!L173</f>
        <v>Gestión de Talento Humano</v>
      </c>
      <c r="L8" s="12" t="n">
        <f aca="false">Base_OAPDI!N173</f>
        <v>0</v>
      </c>
      <c r="M8" s="12" t="n">
        <f aca="false">Base_OAPDI!P173</f>
        <v>0</v>
      </c>
      <c r="N8" s="12" t="n">
        <f aca="false">Base_OAPDI!Q173</f>
        <v>0</v>
      </c>
      <c r="O8" s="12" t="str">
        <f aca="false">Base_OAPDI!R173</f>
        <v>Formular al menos una acción que contribuya a la meta institucional 2027 de esta meta.</v>
      </c>
      <c r="P8" s="12" t="str">
        <f aca="false">Base_OAPDI!S173</f>
        <v>IMP-16; IMP-15; IMP-01</v>
      </c>
      <c r="Q8" s="11"/>
      <c r="R8" s="11"/>
      <c r="S8" s="11"/>
      <c r="T8" s="18"/>
      <c r="U8" s="18"/>
      <c r="V8" s="11"/>
      <c r="W8" s="11"/>
      <c r="X8" s="11"/>
      <c r="Y8" s="11"/>
      <c r="Z8" s="11"/>
      <c r="AA8" s="11"/>
      <c r="AB8" s="12" t="str">
        <f aca="false">IF(AA8="","",INDEX(Catalogos!$Y$5:$Y$25,MATCH(AA8,L_IMP,0)))</f>
        <v/>
      </c>
      <c r="AC8" s="11"/>
      <c r="AD8" s="11"/>
      <c r="AE8" s="11"/>
      <c r="AF8" s="10" t="str">
        <f aca="false">IF(Q8="","Pendiente por formular",IF(OR(S8="",T8="",U8="",V8="",W8="",X8="",Z8="",AA8=""),"Incompleta: faltan campos obligatorios",IF(OR(NOT(ISNUMBER(T8)),NOT(ISNUMBER(U8))),"Fecha inválida",IF(U8&lt;T8,"La fecha de fin es anterior a la de inicio",IF(OR(YEAR(T8)&lt;&gt;2027,YEAR(U8)&lt;&gt;2027),"Fechas fuera de la vigencia 2027",IF(ISERROR(SEARCH("@itc.edu.co",V8)),"El responsable no tiene correo institucional",IF(ISERROR(SEARCH(Z8,INDEX(Catalogos!$Z$5:$Z$25,MATCH(AA8,L_IMP,0)))),"La dimensión no corresponde al indicador de impacto","OK")))))))</f>
        <v>Pendiente por formular</v>
      </c>
    </row>
    <row r="9" customFormat="false" ht="144.75" hidden="false" customHeight="true" outlineLevel="0" collapsed="false">
      <c r="A9" s="12" t="str">
        <f aca="false">Base_OAPDI!A174</f>
        <v>E6-003</v>
      </c>
      <c r="B9" s="12" t="str">
        <f aca="false">Base_OAPDI!B174</f>
        <v>6.1.1.1</v>
      </c>
      <c r="C9" s="12" t="str">
        <f aca="false">Base_OAPDI!D174</f>
        <v>6.1 Condiciones para el Bienestar</v>
      </c>
      <c r="D9" s="12" t="str">
        <f aca="false">Base_OAPDI!E174</f>
        <v>El 100% de las áreas de la Institución comprometidas con el Bienestar Universitario integral.</v>
      </c>
      <c r="E9" s="12" t="str">
        <f aca="false">Base_OAPDI!F174</f>
        <v>% de áreas con condiciones de bienestar consolidadas · % de áreas con enlace ambiental y campaña de uso racional de energía y agua aplicada</v>
      </c>
      <c r="F9" s="12" t="str">
        <f aca="false">Base_OAPDI!G174</f>
        <v>100%</v>
      </c>
      <c r="G9" s="12" t="str">
        <f aca="false">Base_OAPDI!H174</f>
        <v>Sugerido: (85% de las áreas con condiciones de bienestar consolidadas y 100% de las áreas con enlace ambiental designado y campaña de uso racional de energía y agua aplicada)</v>
      </c>
      <c r="H9" s="12" t="str">
        <f aca="false">Base_OAPDI!I174</f>
        <v>A37</v>
      </c>
      <c r="I9" s="12" t="str">
        <f aca="false">Base_OAPDI!J174</f>
        <v>133 · GIT Gestión de Talento Humano</v>
      </c>
      <c r="J9" s="12" t="str">
        <f aca="false">Base_OAPDI!K174</f>
        <v>Bienestar Laboral</v>
      </c>
      <c r="K9" s="12" t="str">
        <f aca="false">Base_OAPDI!L174</f>
        <v>Gestión de Talento Humano</v>
      </c>
      <c r="L9" s="12" t="n">
        <f aca="false">Base_OAPDI!N174</f>
        <v>0</v>
      </c>
      <c r="M9" s="12" t="n">
        <f aca="false">Base_OAPDI!P174</f>
        <v>0</v>
      </c>
      <c r="N9" s="12" t="n">
        <f aca="false">Base_OAPDI!Q174</f>
        <v>0</v>
      </c>
      <c r="O9" s="12" t="str">
        <f aca="false">Base_OAPDI!R174</f>
        <v>Formular al menos una acción que contribuya a la meta institucional 2027 de esta meta.</v>
      </c>
      <c r="P9" s="12" t="str">
        <f aca="false">Base_OAPDI!S174</f>
        <v>IMP-16; IMP-15; IMP-01</v>
      </c>
      <c r="Q9" s="11"/>
      <c r="R9" s="11"/>
      <c r="S9" s="11"/>
      <c r="T9" s="18"/>
      <c r="U9" s="18"/>
      <c r="V9" s="11"/>
      <c r="W9" s="11"/>
      <c r="X9" s="11"/>
      <c r="Y9" s="11"/>
      <c r="Z9" s="11"/>
      <c r="AA9" s="11"/>
      <c r="AB9" s="12" t="str">
        <f aca="false">IF(AA9="","",INDEX(Catalogos!$Y$5:$Y$25,MATCH(AA9,L_IMP,0)))</f>
        <v/>
      </c>
      <c r="AC9" s="11"/>
      <c r="AD9" s="11"/>
      <c r="AE9" s="11"/>
      <c r="AF9" s="10" t="str">
        <f aca="false">IF(Q9="","Pendiente por formular",IF(OR(S9="",T9="",U9="",V9="",W9="",X9="",Z9="",AA9=""),"Incompleta: faltan campos obligatorios",IF(OR(NOT(ISNUMBER(T9)),NOT(ISNUMBER(U9))),"Fecha inválida",IF(U9&lt;T9,"La fecha de fin es anterior a la de inicio",IF(OR(YEAR(T9)&lt;&gt;2027,YEAR(U9)&lt;&gt;2027),"Fechas fuera de la vigencia 2027",IF(ISERROR(SEARCH("@itc.edu.co",V9)),"El responsable no tiene correo institucional",IF(ISERROR(SEARCH(Z9,INDEX(Catalogos!$Z$5:$Z$25,MATCH(AA9,L_IMP,0)))),"La dimensión no corresponde al indicador de impacto","OK")))))))</f>
        <v>Pendiente por formular</v>
      </c>
    </row>
    <row r="10" customFormat="false" ht="144.75" hidden="false" customHeight="true" outlineLevel="0" collapsed="false">
      <c r="A10" s="12" t="str">
        <f aca="false">Base_OAPDI!A175</f>
        <v>E6-004</v>
      </c>
      <c r="B10" s="12" t="str">
        <f aca="false">Base_OAPDI!B175</f>
        <v>6.1.1.1</v>
      </c>
      <c r="C10" s="12" t="str">
        <f aca="false">Base_OAPDI!D175</f>
        <v>6.1 Condiciones para el Bienestar</v>
      </c>
      <c r="D10" s="12" t="str">
        <f aca="false">Base_OAPDI!E175</f>
        <v>El 100% de las áreas de la Institución comprometidas con el Bienestar Universitario integral.</v>
      </c>
      <c r="E10" s="12" t="str">
        <f aca="false">Base_OAPDI!F175</f>
        <v>% de áreas con condiciones de bienestar consolidadas · % de áreas con enlace ambiental y campaña de uso racional de energía y agua aplicada</v>
      </c>
      <c r="F10" s="12" t="str">
        <f aca="false">Base_OAPDI!G175</f>
        <v>100%</v>
      </c>
      <c r="G10" s="12" t="str">
        <f aca="false">Base_OAPDI!H175</f>
        <v>Sugerido: (85% de las áreas con condiciones de bienestar consolidadas y 100% de las áreas con enlace ambiental designado y campaña de uso racional de energía y agua aplicada)</v>
      </c>
      <c r="H10" s="12" t="str">
        <f aca="false">Base_OAPDI!I175</f>
        <v>A10</v>
      </c>
      <c r="I10" s="12" t="str">
        <f aca="false">Base_OAPDI!J175</f>
        <v>101 · Oficina Asesora de Planeación y Desarrollo Institucional</v>
      </c>
      <c r="J10" s="12" t="str">
        <f aca="false">Base_OAPDI!K175</f>
        <v>Gestión Ambiental</v>
      </c>
      <c r="K10" s="12" t="str">
        <f aca="false">Base_OAPDI!L175</f>
        <v>Gestión del Sistema Integrado de Aseguramiento</v>
      </c>
      <c r="L10" s="12" t="n">
        <f aca="false">Base_OAPDI!N175</f>
        <v>0</v>
      </c>
      <c r="M10" s="12" t="n">
        <f aca="false">Base_OAPDI!P175</f>
        <v>0</v>
      </c>
      <c r="N10" s="12" t="n">
        <f aca="false">Base_OAPDI!Q175</f>
        <v>1</v>
      </c>
      <c r="O10" s="12" t="str">
        <f aca="false">Base_OAPDI!R175</f>
        <v>Acciones propuestas por la OAPDI (valídelas y formúlelas en esta fila o en Acciones adicionales): A27-138 Cultura ambiental (1/3): revisar la política ambiental y reactivar los comités previstos en ella; A27-140 Cultura ambiental (3/3): designar un enlace ambiental por área y hacer jornadas semestrales de cuidado de espacios (luces, agua, equipos y mobiliario) con docentes, administrativos y estudiantes. Atender 1 compromiso(s) de proyectos estructurantes (hoja Compromisos_2026).</v>
      </c>
      <c r="P10" s="12" t="str">
        <f aca="false">Base_OAPDI!S175</f>
        <v>IMP-16; IMP-15; IMP-01</v>
      </c>
      <c r="Q10" s="11"/>
      <c r="R10" s="11"/>
      <c r="S10" s="11"/>
      <c r="T10" s="18"/>
      <c r="U10" s="18"/>
      <c r="V10" s="11"/>
      <c r="W10" s="11"/>
      <c r="X10" s="11"/>
      <c r="Y10" s="11"/>
      <c r="Z10" s="11"/>
      <c r="AA10" s="11"/>
      <c r="AB10" s="12" t="str">
        <f aca="false">IF(AA10="","",INDEX(Catalogos!$Y$5:$Y$25,MATCH(AA10,L_IMP,0)))</f>
        <v/>
      </c>
      <c r="AC10" s="11"/>
      <c r="AD10" s="11"/>
      <c r="AE10" s="11"/>
      <c r="AF10" s="10" t="str">
        <f aca="false">IF(Q10="","Pendiente por formular",IF(OR(S10="",T10="",U10="",V10="",W10="",X10="",Z10="",AA10=""),"Incompleta: faltan campos obligatorios",IF(OR(NOT(ISNUMBER(T10)),NOT(ISNUMBER(U10))),"Fecha inválida",IF(U10&lt;T10,"La fecha de fin es anterior a la de inicio",IF(OR(YEAR(T10)&lt;&gt;2027,YEAR(U10)&lt;&gt;2027),"Fechas fuera de la vigencia 2027",IF(ISERROR(SEARCH("@itc.edu.co",V10)),"El responsable no tiene correo institucional",IF(ISERROR(SEARCH(Z10,INDEX(Catalogos!$Z$5:$Z$25,MATCH(AA10,L_IMP,0)))),"La dimensión no corresponde al indicador de impacto","OK")))))))</f>
        <v>Pendiente por formular</v>
      </c>
    </row>
    <row r="11" customFormat="false" ht="144.75" hidden="false" customHeight="true" outlineLevel="0" collapsed="false">
      <c r="A11" s="12" t="str">
        <f aca="false">Base_OAPDI!A176</f>
        <v>E6-005</v>
      </c>
      <c r="B11" s="12" t="str">
        <f aca="false">Base_OAPDI!B176</f>
        <v>6.1.1.1</v>
      </c>
      <c r="C11" s="12" t="str">
        <f aca="false">Base_OAPDI!D176</f>
        <v>6.1 Condiciones para el Bienestar</v>
      </c>
      <c r="D11" s="12" t="str">
        <f aca="false">Base_OAPDI!E176</f>
        <v>El 100% de las áreas de la Institución comprometidas con el Bienestar Universitario integral.</v>
      </c>
      <c r="E11" s="12" t="str">
        <f aca="false">Base_OAPDI!F176</f>
        <v>% de áreas con condiciones de bienestar consolidadas · % de áreas con enlace ambiental y campaña de uso racional de energía y agua aplicada</v>
      </c>
      <c r="F11" s="12" t="str">
        <f aca="false">Base_OAPDI!G176</f>
        <v>100%</v>
      </c>
      <c r="G11" s="12" t="str">
        <f aca="false">Base_OAPDI!H176</f>
        <v>Sugerido: (85% de las áreas con condiciones de bienestar consolidadas y 100% de las áreas con enlace ambiental designado y campaña de uso racional de energía y agua aplicada)</v>
      </c>
      <c r="H11" s="12" t="str">
        <f aca="false">Base_OAPDI!I176</f>
        <v>A02</v>
      </c>
      <c r="I11" s="12" t="str">
        <f aca="false">Base_OAPDI!J176</f>
        <v>100 · Rectoría</v>
      </c>
      <c r="J11" s="12" t="str">
        <f aca="false">Base_OAPDI!K176</f>
        <v>Comunicaciones y Mercadeo</v>
      </c>
      <c r="K11" s="12" t="str">
        <f aca="false">Base_OAPDI!L176</f>
        <v>Gestión de Comunicaciones</v>
      </c>
      <c r="L11" s="12" t="n">
        <f aca="false">Base_OAPDI!N176</f>
        <v>0</v>
      </c>
      <c r="M11" s="12" t="n">
        <f aca="false">Base_OAPDI!P176</f>
        <v>0</v>
      </c>
      <c r="N11" s="12" t="n">
        <f aca="false">Base_OAPDI!Q176</f>
        <v>0</v>
      </c>
      <c r="O11" s="12" t="str">
        <f aca="false">Base_OAPDI!R176</f>
        <v>Acciones propuestas por la OAPDI (valídelas y formúlelas en esta fila o en Acciones adicionales): A27-139 Cultura ambiental (2/3): diseñar y ejecutar con Comunicaciones la campaña institucional de uso racional de la energía y del agua, que explique a la comunidad el propósito de cada medida (p. ej., el apagado automático de pantallas).</v>
      </c>
      <c r="P11" s="12" t="str">
        <f aca="false">Base_OAPDI!S176</f>
        <v>IMP-16; IMP-15; IMP-01</v>
      </c>
      <c r="Q11" s="11"/>
      <c r="R11" s="11"/>
      <c r="S11" s="11"/>
      <c r="T11" s="18"/>
      <c r="U11" s="18"/>
      <c r="V11" s="11"/>
      <c r="W11" s="11"/>
      <c r="X11" s="11"/>
      <c r="Y11" s="11"/>
      <c r="Z11" s="11"/>
      <c r="AA11" s="11"/>
      <c r="AB11" s="12" t="str">
        <f aca="false">IF(AA11="","",INDEX(Catalogos!$Y$5:$Y$25,MATCH(AA11,L_IMP,0)))</f>
        <v/>
      </c>
      <c r="AC11" s="11"/>
      <c r="AD11" s="11"/>
      <c r="AE11" s="11"/>
      <c r="AF11" s="10" t="str">
        <f aca="false">IF(Q11="","Pendiente por formular",IF(OR(S11="",T11="",U11="",V11="",W11="",X11="",Z11="",AA11=""),"Incompleta: faltan campos obligatorios",IF(OR(NOT(ISNUMBER(T11)),NOT(ISNUMBER(U11))),"Fecha inválida",IF(U11&lt;T11,"La fecha de fin es anterior a la de inicio",IF(OR(YEAR(T11)&lt;&gt;2027,YEAR(U11)&lt;&gt;2027),"Fechas fuera de la vigencia 2027",IF(ISERROR(SEARCH("@itc.edu.co",V11)),"El responsable no tiene correo institucional",IF(ISERROR(SEARCH(Z11,INDEX(Catalogos!$Z$5:$Z$25,MATCH(AA11,L_IMP,0)))),"La dimensión no corresponde al indicador de impacto","OK")))))))</f>
        <v>Pendiente por formular</v>
      </c>
    </row>
    <row r="12" customFormat="false" ht="316.5" hidden="false" customHeight="true" outlineLevel="0" collapsed="false">
      <c r="A12" s="12" t="str">
        <f aca="false">Base_OAPDI!A177</f>
        <v>E6-006</v>
      </c>
      <c r="B12" s="12" t="str">
        <f aca="false">Base_OAPDI!B177</f>
        <v>6.1.1.2</v>
      </c>
      <c r="C12" s="12" t="str">
        <f aca="false">Base_OAPDI!D177</f>
        <v>6.1 Condiciones para el Bienestar</v>
      </c>
      <c r="D12" s="12" t="str">
        <f aca="false">Base_OAPDI!E177</f>
        <v>Consolidar las condiciones en infraestructura, dotación, recurso humano y estrategias para el bienestar integral de toda la comunidad en la Institución.</v>
      </c>
      <c r="E12" s="12" t="str">
        <f aca="false">Base_OAPDI!F177</f>
        <v>N.° de condiciones de infraestructura, dotación y talento humano para bienestar consolidadas · Hitos de la ruta de gestión energética cumplidos (de 5) · Ahorro verificado de energía (kWh)</v>
      </c>
      <c r="F12" s="12" t="str">
        <f aca="false">Base_OAPDI!G177</f>
        <v>Sugerido: (100% de las sedes con espacios y equipo de bienestar; 15% de ahorro de energía frente a la línea base, exigido por el plan nacional de uso eficiente de la energía)</v>
      </c>
      <c r="G12" s="12" t="str">
        <f aca="false">Base_OAPDI!H177</f>
        <v>Sugerido: (4 proyectos PFB ejecutados al 100% y sede de Bienestar en Guaymaral operando) · Gestión energética: 5 de 5 hitos (gestor ratificado, línea base validada, auditoría integral de la sede Centro, PGEE y Política de Gestión Energética adoptados, primer reporte anual a la UPME en el SUU), planta solar operando con medición y ahorro verificado de al menos 3% en kWh en las áreas intervenidas</v>
      </c>
      <c r="H12" s="12" t="str">
        <f aca="false">Base_OAPDI!I177</f>
        <v>A21</v>
      </c>
      <c r="I12" s="12" t="str">
        <f aca="false">Base_OAPDI!J177</f>
        <v>122 · GIT Bienestar Universitario</v>
      </c>
      <c r="J12" s="12" t="str">
        <f aca="false">Base_OAPDI!K177</f>
        <v>GIT Bienestar Universitario</v>
      </c>
      <c r="K12" s="12" t="str">
        <f aca="false">Base_OAPDI!L177</f>
        <v>Gestión de Bienestar Universitario</v>
      </c>
      <c r="L12" s="12" t="n">
        <f aca="false">Base_OAPDI!N177</f>
        <v>0</v>
      </c>
      <c r="M12" s="12" t="n">
        <f aca="false">Base_OAPDI!P177</f>
        <v>0</v>
      </c>
      <c r="N12" s="12" t="n">
        <f aca="false">Base_OAPDI!Q177</f>
        <v>0</v>
      </c>
      <c r="O12" s="12" t="str">
        <f aca="false">Base_OAPDI!R177</f>
        <v>Acciones propuestas por la OAPDI (valídelas y formúlelas en esta fila o en Acciones adicionales): A27-141 Formular el PFB 2027 con base en el cierre del PFB 2025; A27-142 Dotar los espacios de bienestar (incluida la sede de Guaymaral).</v>
      </c>
      <c r="P12" s="12" t="str">
        <f aca="false">Base_OAPDI!S177</f>
        <v>IMP-05; IMP-16; IMP-01</v>
      </c>
      <c r="Q12" s="11"/>
      <c r="R12" s="11"/>
      <c r="S12" s="11"/>
      <c r="T12" s="18"/>
      <c r="U12" s="18"/>
      <c r="V12" s="11"/>
      <c r="W12" s="11"/>
      <c r="X12" s="11"/>
      <c r="Y12" s="11"/>
      <c r="Z12" s="11"/>
      <c r="AA12" s="11"/>
      <c r="AB12" s="12" t="str">
        <f aca="false">IF(AA12="","",INDEX(Catalogos!$Y$5:$Y$25,MATCH(AA12,L_IMP,0)))</f>
        <v/>
      </c>
      <c r="AC12" s="11"/>
      <c r="AD12" s="11"/>
      <c r="AE12" s="11"/>
      <c r="AF12" s="10" t="str">
        <f aca="false">IF(Q12="","Pendiente por formular",IF(OR(S12="",T12="",U12="",V12="",W12="",X12="",Z12="",AA12=""),"Incompleta: faltan campos obligatorios",IF(OR(NOT(ISNUMBER(T12)),NOT(ISNUMBER(U12))),"Fecha inválida",IF(U12&lt;T12,"La fecha de fin es anterior a la de inicio",IF(OR(YEAR(T12)&lt;&gt;2027,YEAR(U12)&lt;&gt;2027),"Fechas fuera de la vigencia 2027",IF(ISERROR(SEARCH("@itc.edu.co",V12)),"El responsable no tiene correo institucional",IF(ISERROR(SEARCH(Z12,INDEX(Catalogos!$Z$5:$Z$25,MATCH(AA12,L_IMP,0)))),"La dimensión no corresponde al indicador de impacto","OK")))))))</f>
        <v>Pendiente por formular</v>
      </c>
    </row>
    <row r="13" customFormat="false" ht="316.5" hidden="false" customHeight="true" outlineLevel="0" collapsed="false">
      <c r="A13" s="12" t="str">
        <f aca="false">Base_OAPDI!A178</f>
        <v>E6-007</v>
      </c>
      <c r="B13" s="12" t="str">
        <f aca="false">Base_OAPDI!B178</f>
        <v>6.1.1.2</v>
      </c>
      <c r="C13" s="12" t="str">
        <f aca="false">Base_OAPDI!D178</f>
        <v>6.1 Condiciones para el Bienestar</v>
      </c>
      <c r="D13" s="12" t="str">
        <f aca="false">Base_OAPDI!E178</f>
        <v>Consolidar las condiciones en infraestructura, dotación, recurso humano y estrategias para el bienestar integral de toda la comunidad en la Institución.</v>
      </c>
      <c r="E13" s="12" t="str">
        <f aca="false">Base_OAPDI!F178</f>
        <v>N.° de condiciones de infraestructura, dotación y talento humano para bienestar consolidadas · Hitos de la ruta de gestión energética cumplidos (de 5) · Ahorro verificado de energía (kWh)</v>
      </c>
      <c r="F13" s="12" t="str">
        <f aca="false">Base_OAPDI!G178</f>
        <v>Sugerido: (100% de las sedes con espacios y equipo de bienestar; 15% de ahorro de energía frente a la línea base, exigido por el plan nacional de uso eficiente de la energía)</v>
      </c>
      <c r="G13" s="12" t="str">
        <f aca="false">Base_OAPDI!H178</f>
        <v>Sugerido: (4 proyectos PFB ejecutados al 100% y sede de Bienestar en Guaymaral operando) · Gestión energética: 5 de 5 hitos (gestor ratificado, línea base validada, auditoría integral de la sede Centro, PGEE y Política de Gestión Energética adoptados, primer reporte anual a la UPME en el SUU), planta solar operando con medición y ahorro verificado de al menos 3% en kWh en las áreas intervenidas</v>
      </c>
      <c r="H13" s="12" t="str">
        <f aca="false">Base_OAPDI!I178</f>
        <v>A31</v>
      </c>
      <c r="I13" s="12" t="str">
        <f aca="false">Base_OAPDI!J178</f>
        <v>130 · Vicerrectoría Administrativa y Financiera</v>
      </c>
      <c r="J13" s="12" t="str">
        <f aca="false">Base_OAPDI!K178</f>
        <v>Recursos Físicos e Infraestructura</v>
      </c>
      <c r="K13" s="12" t="str">
        <f aca="false">Base_OAPDI!L178</f>
        <v>Gestión de Recursos Físicos</v>
      </c>
      <c r="L13" s="12" t="n">
        <f aca="false">Base_OAPDI!N178</f>
        <v>0</v>
      </c>
      <c r="M13" s="12" t="n">
        <f aca="false">Base_OAPDI!P178</f>
        <v>0</v>
      </c>
      <c r="N13" s="12" t="n">
        <f aca="false">Base_OAPDI!Q178</f>
        <v>1</v>
      </c>
      <c r="O13" s="12" t="str">
        <f aca="false">Base_OAPDI!R178</f>
        <v>Acciones propuestas por la OAPDI (valídelas y formúlelas en esta fila o en Acciones adicionales): A27-145 Energía (3/8): validar la línea base de consumo con la carga previa a la obra, en kWh y no en costo (Res. UPME 000016 de 2024); A27-148 Energía (6/8): rehabilitar la planta solar fotovoltaica de la sede Centro (talleres de fundición) y su medición, para que la Escuela controle y registre la energía que genera; A27-149 Energía (7/8): implementar medidas de bajo costo (sensores de ocupación, apagado programado, iluminación LED, submedición eléctrica por bloque) y completar la medición sectorizada de agua. Atender 1 compromiso(s) de proyectos estructurantes (hoja Compromisos_2026).</v>
      </c>
      <c r="P13" s="12" t="str">
        <f aca="false">Base_OAPDI!S178</f>
        <v>IMP-05; IMP-16; IMP-01</v>
      </c>
      <c r="Q13" s="11"/>
      <c r="R13" s="11"/>
      <c r="S13" s="11"/>
      <c r="T13" s="18"/>
      <c r="U13" s="18"/>
      <c r="V13" s="11"/>
      <c r="W13" s="11"/>
      <c r="X13" s="11"/>
      <c r="Y13" s="11"/>
      <c r="Z13" s="11"/>
      <c r="AA13" s="11"/>
      <c r="AB13" s="12" t="str">
        <f aca="false">IF(AA13="","",INDEX(Catalogos!$Y$5:$Y$25,MATCH(AA13,L_IMP,0)))</f>
        <v/>
      </c>
      <c r="AC13" s="11"/>
      <c r="AD13" s="11"/>
      <c r="AE13" s="11"/>
      <c r="AF13" s="10" t="str">
        <f aca="false">IF(Q13="","Pendiente por formular",IF(OR(S13="",T13="",U13="",V13="",W13="",X13="",Z13="",AA13=""),"Incompleta: faltan campos obligatorios",IF(OR(NOT(ISNUMBER(T13)),NOT(ISNUMBER(U13))),"Fecha inválida",IF(U13&lt;T13,"La fecha de fin es anterior a la de inicio",IF(OR(YEAR(T13)&lt;&gt;2027,YEAR(U13)&lt;&gt;2027),"Fechas fuera de la vigencia 2027",IF(ISERROR(SEARCH("@itc.edu.co",V13)),"El responsable no tiene correo institucional",IF(ISERROR(SEARCH(Z13,INDEX(Catalogos!$Z$5:$Z$25,MATCH(AA13,L_IMP,0)))),"La dimensión no corresponde al indicador de impacto","OK")))))))</f>
        <v>Pendiente por formular</v>
      </c>
    </row>
    <row r="14" customFormat="false" ht="316.5" hidden="false" customHeight="true" outlineLevel="0" collapsed="false">
      <c r="A14" s="12" t="str">
        <f aca="false">Base_OAPDI!A179</f>
        <v>E6-008</v>
      </c>
      <c r="B14" s="12" t="str">
        <f aca="false">Base_OAPDI!B179</f>
        <v>6.1.1.2</v>
      </c>
      <c r="C14" s="12" t="str">
        <f aca="false">Base_OAPDI!D179</f>
        <v>6.1 Condiciones para el Bienestar</v>
      </c>
      <c r="D14" s="12" t="str">
        <f aca="false">Base_OAPDI!E179</f>
        <v>Consolidar las condiciones en infraestructura, dotación, recurso humano y estrategias para el bienestar integral de toda la comunidad en la Institución.</v>
      </c>
      <c r="E14" s="12" t="str">
        <f aca="false">Base_OAPDI!F179</f>
        <v>N.° de condiciones de infraestructura, dotación y talento humano para bienestar consolidadas · Hitos de la ruta de gestión energética cumplidos (de 5) · Ahorro verificado de energía (kWh)</v>
      </c>
      <c r="F14" s="12" t="str">
        <f aca="false">Base_OAPDI!G179</f>
        <v>Sugerido: (100% de las sedes con espacios y equipo de bienestar; 15% de ahorro de energía frente a la línea base, exigido por el plan nacional de uso eficiente de la energía)</v>
      </c>
      <c r="G14" s="12" t="str">
        <f aca="false">Base_OAPDI!H179</f>
        <v>Sugerido: (4 proyectos PFB ejecutados al 100% y sede de Bienestar en Guaymaral operando) · Gestión energética: 5 de 5 hitos (gestor ratificado, línea base validada, auditoría integral de la sede Centro, PGEE y Política de Gestión Energética adoptados, primer reporte anual a la UPME en el SUU), planta solar operando con medición y ahorro verificado de al menos 3% en kWh en las áreas intervenidas</v>
      </c>
      <c r="H14" s="12" t="str">
        <f aca="false">Base_OAPDI!I179</f>
        <v>A10</v>
      </c>
      <c r="I14" s="12" t="str">
        <f aca="false">Base_OAPDI!J179</f>
        <v>101 · Oficina Asesora de Planeación y Desarrollo Institucional</v>
      </c>
      <c r="J14" s="12" t="str">
        <f aca="false">Base_OAPDI!K179</f>
        <v>Gestión Ambiental</v>
      </c>
      <c r="K14" s="12" t="str">
        <f aca="false">Base_OAPDI!L179</f>
        <v>Gestión del Sistema Integrado de Aseguramiento</v>
      </c>
      <c r="L14" s="12" t="n">
        <f aca="false">Base_OAPDI!N179</f>
        <v>0</v>
      </c>
      <c r="M14" s="12" t="n">
        <f aca="false">Base_OAPDI!P179</f>
        <v>0</v>
      </c>
      <c r="N14" s="12" t="n">
        <f aca="false">Base_OAPDI!Q179</f>
        <v>3</v>
      </c>
      <c r="O14" s="12" t="str">
        <f aca="false">Base_OAPDI!R179</f>
        <v>Acciones propuestas por la OAPDI (valídelas y formúlelas en esta fila o en Acciones adicionales): A27-143 Energía (1/8): recibir y cerrar el avance parcial 2026 del PGEE en los bloques F, G y H (base de información energética, línea base e indicadores, matriz de oportunidades, matriz de información y apoyo al reporte UPME); A27-146 Energía (4/8): contratar la auditoría energética integral de la sede Centro como consultoría con interventoría (solo sedes propias: el Tintal, en comodato, queda fuera); A27-147 Energía (5/8): formular y adoptar en el CIGD el PGEE y la Política de Gestión Energética, con objetivos de ahorro hacia el 15%; A27-150 Energía (8/8): reportar los resultados anuales a la UPME en el Sistema Único de Usuarios (Circular UPME 000089 de 2025); A27-151 Operar el Sistema de Gestión Ambiental: residuos peligrosos, vertimientos y saneamiento. Atender 3 compromiso(s) de proyectos estructurantes (hoja Compromisos_2026).</v>
      </c>
      <c r="P14" s="12" t="str">
        <f aca="false">Base_OAPDI!S179</f>
        <v>IMP-05; IMP-16; IMP-01</v>
      </c>
      <c r="Q14" s="11"/>
      <c r="R14" s="11"/>
      <c r="S14" s="11"/>
      <c r="T14" s="18"/>
      <c r="U14" s="18"/>
      <c r="V14" s="11"/>
      <c r="W14" s="11"/>
      <c r="X14" s="11"/>
      <c r="Y14" s="11"/>
      <c r="Z14" s="11"/>
      <c r="AA14" s="11"/>
      <c r="AB14" s="12" t="str">
        <f aca="false">IF(AA14="","",INDEX(Catalogos!$Y$5:$Y$25,MATCH(AA14,L_IMP,0)))</f>
        <v/>
      </c>
      <c r="AC14" s="11"/>
      <c r="AD14" s="11"/>
      <c r="AE14" s="11"/>
      <c r="AF14" s="10" t="str">
        <f aca="false">IF(Q14="","Pendiente por formular",IF(OR(S14="",T14="",U14="",V14="",W14="",X14="",Z14="",AA14=""),"Incompleta: faltan campos obligatorios",IF(OR(NOT(ISNUMBER(T14)),NOT(ISNUMBER(U14))),"Fecha inválida",IF(U14&lt;T14,"La fecha de fin es anterior a la de inicio",IF(OR(YEAR(T14)&lt;&gt;2027,YEAR(U14)&lt;&gt;2027),"Fechas fuera de la vigencia 2027",IF(ISERROR(SEARCH("@itc.edu.co",V14)),"El responsable no tiene correo institucional",IF(ISERROR(SEARCH(Z14,INDEX(Catalogos!$Z$5:$Z$25,MATCH(AA14,L_IMP,0)))),"La dimensión no corresponde al indicador de impacto","OK")))))))</f>
        <v>Pendiente por formular</v>
      </c>
    </row>
    <row r="15" customFormat="false" ht="316.5" hidden="false" customHeight="true" outlineLevel="0" collapsed="false">
      <c r="A15" s="12" t="str">
        <f aca="false">Base_OAPDI!A180</f>
        <v>E6-009</v>
      </c>
      <c r="B15" s="12" t="str">
        <f aca="false">Base_OAPDI!B180</f>
        <v>6.1.1.2</v>
      </c>
      <c r="C15" s="12" t="str">
        <f aca="false">Base_OAPDI!D180</f>
        <v>6.1 Condiciones para el Bienestar</v>
      </c>
      <c r="D15" s="12" t="str">
        <f aca="false">Base_OAPDI!E180</f>
        <v>Consolidar las condiciones en infraestructura, dotación, recurso humano y estrategias para el bienestar integral de toda la comunidad en la Institución.</v>
      </c>
      <c r="E15" s="12" t="str">
        <f aca="false">Base_OAPDI!F180</f>
        <v>N.° de condiciones de infraestructura, dotación y talento humano para bienestar consolidadas · Hitos de la ruta de gestión energética cumplidos (de 5) · Ahorro verificado de energía (kWh)</v>
      </c>
      <c r="F15" s="12" t="str">
        <f aca="false">Base_OAPDI!G180</f>
        <v>Sugerido: (100% de las sedes con espacios y equipo de bienestar; 15% de ahorro de energía frente a la línea base, exigido por el plan nacional de uso eficiente de la energía)</v>
      </c>
      <c r="G15" s="12" t="str">
        <f aca="false">Base_OAPDI!H180</f>
        <v>Sugerido: (4 proyectos PFB ejecutados al 100% y sede de Bienestar en Guaymaral operando) · Gestión energética: 5 de 5 hitos (gestor ratificado, línea base validada, auditoría integral de la sede Centro, PGEE y Política de Gestión Energética adoptados, primer reporte anual a la UPME en el SUU), planta solar operando con medición y ahorro verificado de al menos 3% en kWh en las áreas intervenidas</v>
      </c>
      <c r="H15" s="12" t="str">
        <f aca="false">Base_OAPDI!I180</f>
        <v>A05</v>
      </c>
      <c r="I15" s="12" t="str">
        <f aca="false">Base_OAPDI!J180</f>
        <v>101 · Oficina Asesora de Planeación y Desarrollo Institucional</v>
      </c>
      <c r="J15" s="12" t="str">
        <f aca="false">Base_OAPDI!K180</f>
        <v>Planeación y Plan de Acción</v>
      </c>
      <c r="K15" s="12" t="str">
        <f aca="false">Base_OAPDI!L180</f>
        <v>Direccionamiento Institucional</v>
      </c>
      <c r="L15" s="12" t="n">
        <f aca="false">Base_OAPDI!N180</f>
        <v>0</v>
      </c>
      <c r="M15" s="12" t="n">
        <f aca="false">Base_OAPDI!P180</f>
        <v>0</v>
      </c>
      <c r="N15" s="12" t="n">
        <f aca="false">Base_OAPDI!Q180</f>
        <v>1</v>
      </c>
      <c r="O15" s="12" t="str">
        <f aca="false">Base_OAPDI!R180</f>
        <v>Acciones propuestas por la OAPDI (valídelas y formúlelas en esta fila o en Acciones adicionales): A27-144 Energía (2/8): ratificar o redesignar al Gestor Energético Institucional para 2027 y definir su dedicación, para que no sea una sobrecarga. Atender 1 compromiso(s) de proyectos estructurantes (hoja Compromisos_2026).</v>
      </c>
      <c r="P15" s="12" t="str">
        <f aca="false">Base_OAPDI!S180</f>
        <v>IMP-05; IMP-16; IMP-01</v>
      </c>
      <c r="Q15" s="11"/>
      <c r="R15" s="11"/>
      <c r="S15" s="11"/>
      <c r="T15" s="18"/>
      <c r="U15" s="18"/>
      <c r="V15" s="11"/>
      <c r="W15" s="11"/>
      <c r="X15" s="11"/>
      <c r="Y15" s="11"/>
      <c r="Z15" s="11"/>
      <c r="AA15" s="11"/>
      <c r="AB15" s="12" t="str">
        <f aca="false">IF(AA15="","",INDEX(Catalogos!$Y$5:$Y$25,MATCH(AA15,L_IMP,0)))</f>
        <v/>
      </c>
      <c r="AC15" s="11"/>
      <c r="AD15" s="11"/>
      <c r="AE15" s="11"/>
      <c r="AF15" s="10" t="str">
        <f aca="false">IF(Q15="","Pendiente por formular",IF(OR(S15="",T15="",U15="",V15="",W15="",X15="",Z15="",AA15=""),"Incompleta: faltan campos obligatorios",IF(OR(NOT(ISNUMBER(T15)),NOT(ISNUMBER(U15))),"Fecha inválida",IF(U15&lt;T15,"La fecha de fin es anterior a la de inicio",IF(OR(YEAR(T15)&lt;&gt;2027,YEAR(U15)&lt;&gt;2027),"Fechas fuera de la vigencia 2027",IF(ISERROR(SEARCH("@itc.edu.co",V15)),"El responsable no tiene correo institucional",IF(ISERROR(SEARCH(Z15,INDEX(Catalogos!$Z$5:$Z$25,MATCH(AA15,L_IMP,0)))),"La dimensión no corresponde al indicador de impacto","OK")))))))</f>
        <v>Pendiente por formular</v>
      </c>
    </row>
    <row r="16" customFormat="false" ht="92.25" hidden="false" customHeight="true" outlineLevel="0" collapsed="false">
      <c r="A16" s="12" t="str">
        <f aca="false">Base_OAPDI!A181</f>
        <v>E6-010</v>
      </c>
      <c r="B16" s="12" t="str">
        <f aca="false">Base_OAPDI!B181</f>
        <v>6.2.1.1</v>
      </c>
      <c r="C16" s="12" t="str">
        <f aca="false">Base_OAPDI!D181</f>
        <v>6.2 Modelo de aseguramiento del Bienestar</v>
      </c>
      <c r="D16" s="12" t="str">
        <f aca="false">Base_OAPDI!E181</f>
        <v>Lograr el cumplimiento del 100% del Plan Institucional de Bienestar Integral 2026-2032.</v>
      </c>
      <c r="E16" s="12" t="str">
        <f aca="false">Base_OAPDI!F181</f>
        <v>% de cumplimiento del Plan Institucional de Bienestar Integral</v>
      </c>
      <c r="F16" s="12" t="str">
        <f aca="false">Base_OAPDI!G181</f>
        <v>100%</v>
      </c>
      <c r="G16" s="12" t="str">
        <f aca="false">Base_OAPDI!H181</f>
        <v>Sugerido: (80% de cumplimiento del modelo de aseguramiento y cancelaciones por debajo de 2,5% del pregrado)</v>
      </c>
      <c r="H16" s="12" t="str">
        <f aca="false">Base_OAPDI!I181</f>
        <v>A06</v>
      </c>
      <c r="I16" s="12" t="str">
        <f aca="false">Base_OAPDI!J181</f>
        <v>101 · Oficina Asesora de Planeación y Desarrollo Institucional</v>
      </c>
      <c r="J16" s="12" t="str">
        <f aca="false">Base_OAPDI!K181</f>
        <v>Gestión de Proyectos</v>
      </c>
      <c r="K16" s="12" t="str">
        <f aca="false">Base_OAPDI!L181</f>
        <v>Direccionamiento Institucional</v>
      </c>
      <c r="L16" s="12" t="n">
        <f aca="false">Base_OAPDI!N181</f>
        <v>1</v>
      </c>
      <c r="M16" s="12" t="n">
        <f aca="false">Base_OAPDI!P181</f>
        <v>1</v>
      </c>
      <c r="N16" s="12" t="n">
        <f aca="false">Base_OAPDI!Q181</f>
        <v>0</v>
      </c>
      <c r="O16" s="12" t="str">
        <f aca="false">Base_OAPDI!R181</f>
        <v>Cerrar o reprogramar 1 producto(s) 2026 pendiente(s) de esta meta.</v>
      </c>
      <c r="P16" s="12" t="str">
        <f aca="false">Base_OAPDI!S181</f>
        <v>IMP-06; IMP-05</v>
      </c>
      <c r="Q16" s="11"/>
      <c r="R16" s="11"/>
      <c r="S16" s="11"/>
      <c r="T16" s="18"/>
      <c r="U16" s="18"/>
      <c r="V16" s="11"/>
      <c r="W16" s="11"/>
      <c r="X16" s="11"/>
      <c r="Y16" s="11"/>
      <c r="Z16" s="11"/>
      <c r="AA16" s="11"/>
      <c r="AB16" s="12" t="str">
        <f aca="false">IF(AA16="","",INDEX(Catalogos!$Y$5:$Y$25,MATCH(AA16,L_IMP,0)))</f>
        <v/>
      </c>
      <c r="AC16" s="11"/>
      <c r="AD16" s="11"/>
      <c r="AE16" s="11"/>
      <c r="AF16" s="10" t="str">
        <f aca="false">IF(Q16="","Pendiente por formular",IF(OR(S16="",T16="",U16="",V16="",W16="",X16="",Z16="",AA16=""),"Incompleta: faltan campos obligatorios",IF(OR(NOT(ISNUMBER(T16)),NOT(ISNUMBER(U16))),"Fecha inválida",IF(U16&lt;T16,"La fecha de fin es anterior a la de inicio",IF(OR(YEAR(T16)&lt;&gt;2027,YEAR(U16)&lt;&gt;2027),"Fechas fuera de la vigencia 2027",IF(ISERROR(SEARCH("@itc.edu.co",V16)),"El responsable no tiene correo institucional",IF(ISERROR(SEARCH(Z16,INDEX(Catalogos!$Z$5:$Z$25,MATCH(AA16,L_IMP,0)))),"La dimensión no corresponde al indicador de impacto","OK")))))))</f>
        <v>Pendiente por formular</v>
      </c>
    </row>
    <row r="17" customFormat="false" ht="92.25" hidden="false" customHeight="true" outlineLevel="0" collapsed="false">
      <c r="A17" s="12" t="str">
        <f aca="false">Base_OAPDI!A182</f>
        <v>E6-011</v>
      </c>
      <c r="B17" s="12" t="str">
        <f aca="false">Base_OAPDI!B182</f>
        <v>6.2.1.1</v>
      </c>
      <c r="C17" s="12" t="str">
        <f aca="false">Base_OAPDI!D182</f>
        <v>6.2 Modelo de aseguramiento del Bienestar</v>
      </c>
      <c r="D17" s="12" t="str">
        <f aca="false">Base_OAPDI!E182</f>
        <v>Lograr el cumplimiento del 100% del Plan Institucional de Bienestar Integral 2026-2032.</v>
      </c>
      <c r="E17" s="12" t="str">
        <f aca="false">Base_OAPDI!F182</f>
        <v>% de cumplimiento del Plan Institucional de Bienestar Integral</v>
      </c>
      <c r="F17" s="12" t="str">
        <f aca="false">Base_OAPDI!G182</f>
        <v>100%</v>
      </c>
      <c r="G17" s="12" t="str">
        <f aca="false">Base_OAPDI!H182</f>
        <v>Sugerido: (80% de cumplimiento del modelo de aseguramiento y cancelaciones por debajo de 2,5% del pregrado)</v>
      </c>
      <c r="H17" s="12" t="str">
        <f aca="false">Base_OAPDI!I182</f>
        <v>A21</v>
      </c>
      <c r="I17" s="12" t="str">
        <f aca="false">Base_OAPDI!J182</f>
        <v>122 · GIT Bienestar Universitario</v>
      </c>
      <c r="J17" s="12" t="str">
        <f aca="false">Base_OAPDI!K182</f>
        <v>GIT Bienestar Universitario</v>
      </c>
      <c r="K17" s="12" t="str">
        <f aca="false">Base_OAPDI!L182</f>
        <v>Gestión de Bienestar Universitario</v>
      </c>
      <c r="L17" s="12" t="n">
        <f aca="false">Base_OAPDI!N182</f>
        <v>28</v>
      </c>
      <c r="M17" s="12" t="n">
        <f aca="false">Base_OAPDI!P182</f>
        <v>0</v>
      </c>
      <c r="N17" s="12" t="n">
        <f aca="false">Base_OAPDI!Q182</f>
        <v>3</v>
      </c>
      <c r="O17" s="12" t="str">
        <f aca="false">Base_OAPDI!R182</f>
        <v>Acciones propuestas por la OAPDI (valídelas y formúlelas en esta fila o en Acciones adicionales): A27-152 Fijar las metas anuales 2027 del Plan Institucional de Bienestar Integral y su tablero de seguimiento; A27-153 Implementar el programa de permanencia basado en las causas de cancelación; A27-155 Iniciar el estudio de impacto de servicios de bienestar y políticas académicas. Atender 3 compromiso(s) de proyectos estructurantes (hoja Compromisos_2026).</v>
      </c>
      <c r="P17" s="12" t="str">
        <f aca="false">Base_OAPDI!S182</f>
        <v>IMP-06; IMP-05</v>
      </c>
      <c r="Q17" s="11"/>
      <c r="R17" s="11"/>
      <c r="S17" s="11"/>
      <c r="T17" s="18"/>
      <c r="U17" s="18"/>
      <c r="V17" s="11"/>
      <c r="W17" s="11"/>
      <c r="X17" s="11"/>
      <c r="Y17" s="11"/>
      <c r="Z17" s="11"/>
      <c r="AA17" s="11"/>
      <c r="AB17" s="12" t="str">
        <f aca="false">IF(AA17="","",INDEX(Catalogos!$Y$5:$Y$25,MATCH(AA17,L_IMP,0)))</f>
        <v/>
      </c>
      <c r="AC17" s="11"/>
      <c r="AD17" s="11"/>
      <c r="AE17" s="11"/>
      <c r="AF17" s="10" t="str">
        <f aca="false">IF(Q17="","Pendiente por formular",IF(OR(S17="",T17="",U17="",V17="",W17="",X17="",Z17="",AA17=""),"Incompleta: faltan campos obligatorios",IF(OR(NOT(ISNUMBER(T17)),NOT(ISNUMBER(U17))),"Fecha inválida",IF(U17&lt;T17,"La fecha de fin es anterior a la de inicio",IF(OR(YEAR(T17)&lt;&gt;2027,YEAR(U17)&lt;&gt;2027),"Fechas fuera de la vigencia 2027",IF(ISERROR(SEARCH("@itc.edu.co",V17)),"El responsable no tiene correo institucional",IF(ISERROR(SEARCH(Z17,INDEX(Catalogos!$Z$5:$Z$25,MATCH(AA17,L_IMP,0)))),"La dimensión no corresponde al indicador de impacto","OK")))))))</f>
        <v>Pendiente por formular</v>
      </c>
    </row>
    <row r="18" customFormat="false" ht="92.25" hidden="false" customHeight="true" outlineLevel="0" collapsed="false">
      <c r="A18" s="12" t="str">
        <f aca="false">Base_OAPDI!A183</f>
        <v>E6-012</v>
      </c>
      <c r="B18" s="12" t="str">
        <f aca="false">Base_OAPDI!B183</f>
        <v>6.2.1.1</v>
      </c>
      <c r="C18" s="12" t="str">
        <f aca="false">Base_OAPDI!D183</f>
        <v>6.2 Modelo de aseguramiento del Bienestar</v>
      </c>
      <c r="D18" s="12" t="str">
        <f aca="false">Base_OAPDI!E183</f>
        <v>Lograr el cumplimiento del 100% del Plan Institucional de Bienestar Integral 2026-2032.</v>
      </c>
      <c r="E18" s="12" t="str">
        <f aca="false">Base_OAPDI!F183</f>
        <v>% de cumplimiento del Plan Institucional de Bienestar Integral</v>
      </c>
      <c r="F18" s="12" t="str">
        <f aca="false">Base_OAPDI!G183</f>
        <v>100%</v>
      </c>
      <c r="G18" s="12" t="str">
        <f aca="false">Base_OAPDI!H183</f>
        <v>Sugerido: (80% de cumplimiento del modelo de aseguramiento y cancelaciones por debajo de 2,5% del pregrado)</v>
      </c>
      <c r="H18" s="12" t="str">
        <f aca="false">Base_OAPDI!I183</f>
        <v>A36</v>
      </c>
      <c r="I18" s="12" t="str">
        <f aca="false">Base_OAPDI!J183</f>
        <v>133 · GIT Gestión de Talento Humano</v>
      </c>
      <c r="J18" s="12" t="str">
        <f aca="false">Base_OAPDI!K183</f>
        <v>Seguridad y Salud en el Trabajo</v>
      </c>
      <c r="K18" s="12" t="str">
        <f aca="false">Base_OAPDI!L183</f>
        <v>Gestión de Talento Humano</v>
      </c>
      <c r="L18" s="12" t="n">
        <f aca="false">Base_OAPDI!N183</f>
        <v>0</v>
      </c>
      <c r="M18" s="12" t="n">
        <f aca="false">Base_OAPDI!P183</f>
        <v>0</v>
      </c>
      <c r="N18" s="12" t="n">
        <f aca="false">Base_OAPDI!Q183</f>
        <v>0</v>
      </c>
      <c r="O18" s="12" t="str">
        <f aca="false">Base_OAPDI!R183</f>
        <v>Acciones propuestas por la OAPDI (valídelas y formúlelas en esta fila o en Acciones adicionales): A27-154 Ejecutar el SG-SST y el plan de emergencias en todas las sedes (ambientes seguros).</v>
      </c>
      <c r="P18" s="12" t="str">
        <f aca="false">Base_OAPDI!S183</f>
        <v>IMP-06; IMP-05</v>
      </c>
      <c r="Q18" s="11"/>
      <c r="R18" s="11"/>
      <c r="S18" s="11"/>
      <c r="T18" s="18"/>
      <c r="U18" s="18"/>
      <c r="V18" s="11"/>
      <c r="W18" s="11"/>
      <c r="X18" s="11"/>
      <c r="Y18" s="11"/>
      <c r="Z18" s="11"/>
      <c r="AA18" s="11"/>
      <c r="AB18" s="12" t="str">
        <f aca="false">IF(AA18="","",INDEX(Catalogos!$Y$5:$Y$25,MATCH(AA18,L_IMP,0)))</f>
        <v/>
      </c>
      <c r="AC18" s="11"/>
      <c r="AD18" s="11"/>
      <c r="AE18" s="11"/>
      <c r="AF18" s="10" t="str">
        <f aca="false">IF(Q18="","Pendiente por formular",IF(OR(S18="",T18="",U18="",V18="",W18="",X18="",Z18="",AA18=""),"Incompleta: faltan campos obligatorios",IF(OR(NOT(ISNUMBER(T18)),NOT(ISNUMBER(U18))),"Fecha inválida",IF(U18&lt;T18,"La fecha de fin es anterior a la de inicio",IF(OR(YEAR(T18)&lt;&gt;2027,YEAR(U18)&lt;&gt;2027),"Fechas fuera de la vigencia 2027",IF(ISERROR(SEARCH("@itc.edu.co",V18)),"El responsable no tiene correo institucional",IF(ISERROR(SEARCH(Z18,INDEX(Catalogos!$Z$5:$Z$25,MATCH(AA18,L_IMP,0)))),"La dimensión no corresponde al indicador de impacto","OK")))))))</f>
        <v>Pendiente por formular</v>
      </c>
    </row>
    <row r="19" customFormat="false" ht="78.75" hidden="false" customHeight="true" outlineLevel="0" collapsed="false">
      <c r="A19" s="12" t="str">
        <f aca="false">Base_OAPDI!A184</f>
        <v>E6-013</v>
      </c>
      <c r="B19" s="12" t="str">
        <f aca="false">Base_OAPDI!B184</f>
        <v>6.3.1.1</v>
      </c>
      <c r="C19" s="12" t="str">
        <f aca="false">Base_OAPDI!D184</f>
        <v>6.3 Consolidación de la cultura de Bienestar</v>
      </c>
      <c r="D19" s="12" t="str">
        <f aca="false">Base_OAPDI!E184</f>
        <v>Estar en el ranking de las cinco universidades colombianas reconocidas por Times Higher Education y QS World University.</v>
      </c>
      <c r="E19" s="12" t="str">
        <f aca="false">Base_OAPDI!F184</f>
        <v>Posición en rankings THE y QS</v>
      </c>
      <c r="F19" s="12" t="str">
        <f aca="false">Base_OAPDI!G184</f>
        <v>Top 5 nacional</v>
      </c>
      <c r="G19" s="12" t="str">
        <f aca="false">Base_OAPDI!H184</f>
        <v>Sugerido: (ETITC registrada en los sistemas de datos de THE y QS con el primer reporte institucional enviado)</v>
      </c>
      <c r="H19" s="12" t="str">
        <f aca="false">Base_OAPDI!I184</f>
        <v>A04</v>
      </c>
      <c r="I19" s="12" t="str">
        <f aca="false">Base_OAPDI!J184</f>
        <v>102 · Control Interno</v>
      </c>
      <c r="J19" s="12" t="str">
        <f aca="false">Base_OAPDI!K184</f>
        <v>Control Interno</v>
      </c>
      <c r="K19" s="12" t="str">
        <f aca="false">Base_OAPDI!L184</f>
        <v>Gestión de Control Interno</v>
      </c>
      <c r="L19" s="12" t="n">
        <f aca="false">Base_OAPDI!N184</f>
        <v>0</v>
      </c>
      <c r="M19" s="12" t="n">
        <f aca="false">Base_OAPDI!P184</f>
        <v>0</v>
      </c>
      <c r="N19" s="12" t="n">
        <f aca="false">Base_OAPDI!Q184</f>
        <v>0</v>
      </c>
      <c r="O19" s="12" t="str">
        <f aca="false">Base_OAPDI!R184</f>
        <v>Formular al menos una acción que contribuya a la meta institucional 2027 de esta meta.</v>
      </c>
      <c r="P19" s="12" t="str">
        <f aca="false">Base_OAPDI!S184</f>
        <v>IMP-16; IMP-07</v>
      </c>
      <c r="Q19" s="11"/>
      <c r="R19" s="11"/>
      <c r="S19" s="11"/>
      <c r="T19" s="18"/>
      <c r="U19" s="18"/>
      <c r="V19" s="11"/>
      <c r="W19" s="11"/>
      <c r="X19" s="11"/>
      <c r="Y19" s="11"/>
      <c r="Z19" s="11"/>
      <c r="AA19" s="11"/>
      <c r="AB19" s="12" t="str">
        <f aca="false">IF(AA19="","",INDEX(Catalogos!$Y$5:$Y$25,MATCH(AA19,L_IMP,0)))</f>
        <v/>
      </c>
      <c r="AC19" s="11"/>
      <c r="AD19" s="11"/>
      <c r="AE19" s="11"/>
      <c r="AF19" s="10" t="str">
        <f aca="false">IF(Q19="","Pendiente por formular",IF(OR(S19="",T19="",U19="",V19="",W19="",X19="",Z19="",AA19=""),"Incompleta: faltan campos obligatorios",IF(OR(NOT(ISNUMBER(T19)),NOT(ISNUMBER(U19))),"Fecha inválida",IF(U19&lt;T19,"La fecha de fin es anterior a la de inicio",IF(OR(YEAR(T19)&lt;&gt;2027,YEAR(U19)&lt;&gt;2027),"Fechas fuera de la vigencia 2027",IF(ISERROR(SEARCH("@itc.edu.co",V19)),"El responsable no tiene correo institucional",IF(ISERROR(SEARCH(Z19,INDEX(Catalogos!$Z$5:$Z$25,MATCH(AA19,L_IMP,0)))),"La dimensión no corresponde al indicador de impacto","OK")))))))</f>
        <v>Pendiente por formular</v>
      </c>
    </row>
    <row r="20" customFormat="false" ht="78.75" hidden="false" customHeight="true" outlineLevel="0" collapsed="false">
      <c r="A20" s="12" t="str">
        <f aca="false">Base_OAPDI!A185</f>
        <v>E6-014</v>
      </c>
      <c r="B20" s="12" t="str">
        <f aca="false">Base_OAPDI!B185</f>
        <v>6.3.1.1</v>
      </c>
      <c r="C20" s="12" t="str">
        <f aca="false">Base_OAPDI!D185</f>
        <v>6.3 Consolidación de la cultura de Bienestar</v>
      </c>
      <c r="D20" s="12" t="str">
        <f aca="false">Base_OAPDI!E185</f>
        <v>Estar en el ranking de las cinco universidades colombianas reconocidas por Times Higher Education y QS World University.</v>
      </c>
      <c r="E20" s="12" t="str">
        <f aca="false">Base_OAPDI!F185</f>
        <v>Posición en rankings THE y QS</v>
      </c>
      <c r="F20" s="12" t="str">
        <f aca="false">Base_OAPDI!G185</f>
        <v>Top 5 nacional</v>
      </c>
      <c r="G20" s="12" t="str">
        <f aca="false">Base_OAPDI!H185</f>
        <v>Sugerido: (ETITC registrada en los sistemas de datos de THE y QS con el primer reporte institucional enviado)</v>
      </c>
      <c r="H20" s="12" t="str">
        <f aca="false">Base_OAPDI!I185</f>
        <v>A12</v>
      </c>
      <c r="I20" s="12" t="str">
        <f aca="false">Base_OAPDI!J185</f>
        <v>110 · Secretaría General</v>
      </c>
      <c r="J20" s="12" t="str">
        <f aca="false">Base_OAPDI!K185</f>
        <v>Gestión Jurídica</v>
      </c>
      <c r="K20" s="12" t="str">
        <f aca="false">Base_OAPDI!L185</f>
        <v>Gestión Jurídica</v>
      </c>
      <c r="L20" s="12" t="n">
        <f aca="false">Base_OAPDI!N185</f>
        <v>1</v>
      </c>
      <c r="M20" s="12" t="n">
        <f aca="false">Base_OAPDI!P185</f>
        <v>1</v>
      </c>
      <c r="N20" s="12" t="n">
        <f aca="false">Base_OAPDI!Q185</f>
        <v>0</v>
      </c>
      <c r="O20" s="12" t="str">
        <f aca="false">Base_OAPDI!R185</f>
        <v>Cerrar o reprogramar 1 producto(s) 2026 pendiente(s) de esta meta.</v>
      </c>
      <c r="P20" s="12" t="str">
        <f aca="false">Base_OAPDI!S185</f>
        <v>IMP-16; IMP-07</v>
      </c>
      <c r="Q20" s="11"/>
      <c r="R20" s="11"/>
      <c r="S20" s="11"/>
      <c r="T20" s="18"/>
      <c r="U20" s="18"/>
      <c r="V20" s="11"/>
      <c r="W20" s="11"/>
      <c r="X20" s="11"/>
      <c r="Y20" s="11"/>
      <c r="Z20" s="11"/>
      <c r="AA20" s="11"/>
      <c r="AB20" s="12" t="str">
        <f aca="false">IF(AA20="","",INDEX(Catalogos!$Y$5:$Y$25,MATCH(AA20,L_IMP,0)))</f>
        <v/>
      </c>
      <c r="AC20" s="11"/>
      <c r="AD20" s="11"/>
      <c r="AE20" s="11"/>
      <c r="AF20" s="10" t="str">
        <f aca="false">IF(Q20="","Pendiente por formular",IF(OR(S20="",T20="",U20="",V20="",W20="",X20="",Z20="",AA20=""),"Incompleta: faltan campos obligatorios",IF(OR(NOT(ISNUMBER(T20)),NOT(ISNUMBER(U20))),"Fecha inválida",IF(U20&lt;T20,"La fecha de fin es anterior a la de inicio",IF(OR(YEAR(T20)&lt;&gt;2027,YEAR(U20)&lt;&gt;2027),"Fechas fuera de la vigencia 2027",IF(ISERROR(SEARCH("@itc.edu.co",V20)),"El responsable no tiene correo institucional",IF(ISERROR(SEARCH(Z20,INDEX(Catalogos!$Z$5:$Z$25,MATCH(AA20,L_IMP,0)))),"La dimensión no corresponde al indicador de impacto","OK")))))))</f>
        <v>Pendiente por formular</v>
      </c>
    </row>
    <row r="21" customFormat="false" ht="78.75" hidden="false" customHeight="true" outlineLevel="0" collapsed="false">
      <c r="A21" s="12" t="str">
        <f aca="false">Base_OAPDI!A186</f>
        <v>E6-015</v>
      </c>
      <c r="B21" s="12" t="str">
        <f aca="false">Base_OAPDI!B186</f>
        <v>6.3.1.1</v>
      </c>
      <c r="C21" s="12" t="str">
        <f aca="false">Base_OAPDI!D186</f>
        <v>6.3 Consolidación de la cultura de Bienestar</v>
      </c>
      <c r="D21" s="12" t="str">
        <f aca="false">Base_OAPDI!E186</f>
        <v>Estar en el ranking de las cinco universidades colombianas reconocidas por Times Higher Education y QS World University.</v>
      </c>
      <c r="E21" s="12" t="str">
        <f aca="false">Base_OAPDI!F186</f>
        <v>Posición en rankings THE y QS</v>
      </c>
      <c r="F21" s="12" t="str">
        <f aca="false">Base_OAPDI!G186</f>
        <v>Top 5 nacional</v>
      </c>
      <c r="G21" s="12" t="str">
        <f aca="false">Base_OAPDI!H186</f>
        <v>Sugerido: (ETITC registrada en los sistemas de datos de THE y QS con el primer reporte institucional enviado)</v>
      </c>
      <c r="H21" s="12" t="str">
        <f aca="false">Base_OAPDI!I186</f>
        <v>A21</v>
      </c>
      <c r="I21" s="12" t="str">
        <f aca="false">Base_OAPDI!J186</f>
        <v>122 · GIT Bienestar Universitario</v>
      </c>
      <c r="J21" s="12" t="str">
        <f aca="false">Base_OAPDI!K186</f>
        <v>GIT Bienestar Universitario</v>
      </c>
      <c r="K21" s="12" t="str">
        <f aca="false">Base_OAPDI!L186</f>
        <v>Gestión de Bienestar Universitario</v>
      </c>
      <c r="L21" s="12" t="n">
        <f aca="false">Base_OAPDI!N186</f>
        <v>0</v>
      </c>
      <c r="M21" s="12" t="n">
        <f aca="false">Base_OAPDI!P186</f>
        <v>0</v>
      </c>
      <c r="N21" s="12" t="n">
        <f aca="false">Base_OAPDI!Q186</f>
        <v>0</v>
      </c>
      <c r="O21" s="12" t="str">
        <f aca="false">Base_OAPDI!R186</f>
        <v>Formular al menos una acción que contribuya a la meta institucional 2027 de esta meta.</v>
      </c>
      <c r="P21" s="12" t="str">
        <f aca="false">Base_OAPDI!S186</f>
        <v>IMP-16; IMP-07</v>
      </c>
      <c r="Q21" s="11"/>
      <c r="R21" s="11"/>
      <c r="S21" s="11"/>
      <c r="T21" s="18"/>
      <c r="U21" s="18"/>
      <c r="V21" s="11"/>
      <c r="W21" s="11"/>
      <c r="X21" s="11"/>
      <c r="Y21" s="11"/>
      <c r="Z21" s="11"/>
      <c r="AA21" s="11"/>
      <c r="AB21" s="12" t="str">
        <f aca="false">IF(AA21="","",INDEX(Catalogos!$Y$5:$Y$25,MATCH(AA21,L_IMP,0)))</f>
        <v/>
      </c>
      <c r="AC21" s="11"/>
      <c r="AD21" s="11"/>
      <c r="AE21" s="11"/>
      <c r="AF21" s="10" t="str">
        <f aca="false">IF(Q21="","Pendiente por formular",IF(OR(S21="",T21="",U21="",V21="",W21="",X21="",Z21="",AA21=""),"Incompleta: faltan campos obligatorios",IF(OR(NOT(ISNUMBER(T21)),NOT(ISNUMBER(U21))),"Fecha inválida",IF(U21&lt;T21,"La fecha de fin es anterior a la de inicio",IF(OR(YEAR(T21)&lt;&gt;2027,YEAR(U21)&lt;&gt;2027),"Fechas fuera de la vigencia 2027",IF(ISERROR(SEARCH("@itc.edu.co",V21)),"El responsable no tiene correo institucional",IF(ISERROR(SEARCH(Z21,INDEX(Catalogos!$Z$5:$Z$25,MATCH(AA21,L_IMP,0)))),"La dimensión no corresponde al indicador de impacto","OK")))))))</f>
        <v>Pendiente por formular</v>
      </c>
    </row>
    <row r="22" customFormat="false" ht="78.75" hidden="false" customHeight="true" outlineLevel="0" collapsed="false">
      <c r="A22" s="12" t="str">
        <f aca="false">Base_OAPDI!A187</f>
        <v>E6-016</v>
      </c>
      <c r="B22" s="12" t="str">
        <f aca="false">Base_OAPDI!B187</f>
        <v>6.3.1.1</v>
      </c>
      <c r="C22" s="12" t="str">
        <f aca="false">Base_OAPDI!D187</f>
        <v>6.3 Consolidación de la cultura de Bienestar</v>
      </c>
      <c r="D22" s="12" t="str">
        <f aca="false">Base_OAPDI!E187</f>
        <v>Estar en el ranking de las cinco universidades colombianas reconocidas por Times Higher Education y QS World University.</v>
      </c>
      <c r="E22" s="12" t="str">
        <f aca="false">Base_OAPDI!F187</f>
        <v>Posición en rankings THE y QS</v>
      </c>
      <c r="F22" s="12" t="str">
        <f aca="false">Base_OAPDI!G187</f>
        <v>Top 5 nacional</v>
      </c>
      <c r="G22" s="12" t="str">
        <f aca="false">Base_OAPDI!H187</f>
        <v>Sugerido: (ETITC registrada en los sistemas de datos de THE y QS con el primer reporte institucional enviado)</v>
      </c>
      <c r="H22" s="12" t="str">
        <f aca="false">Base_OAPDI!I187</f>
        <v>A05</v>
      </c>
      <c r="I22" s="12" t="str">
        <f aca="false">Base_OAPDI!J187</f>
        <v>101 · Oficina Asesora de Planeación y Desarrollo Institucional</v>
      </c>
      <c r="J22" s="12" t="str">
        <f aca="false">Base_OAPDI!K187</f>
        <v>Planeación y Plan de Acción</v>
      </c>
      <c r="K22" s="12" t="str">
        <f aca="false">Base_OAPDI!L187</f>
        <v>Direccionamiento Institucional</v>
      </c>
      <c r="L22" s="12" t="n">
        <f aca="false">Base_OAPDI!N187</f>
        <v>0</v>
      </c>
      <c r="M22" s="12" t="n">
        <f aca="false">Base_OAPDI!P187</f>
        <v>0</v>
      </c>
      <c r="N22" s="12" t="n">
        <f aca="false">Base_OAPDI!Q187</f>
        <v>0</v>
      </c>
      <c r="O22" s="12" t="str">
        <f aca="false">Base_OAPDI!R187</f>
        <v>Acciones propuestas por la OAPDI (valídelas y formúlelas en esta fila o en Acciones adicionales): A27-156 Revisar los requisitos de elegibilidad de THE y QS; A27-157 Construir la matriz de indicadores que piden THE y QS (docencia, investigación, internacionalización) y su brecha; A27-158 Preparar y reportar la información institucional.</v>
      </c>
      <c r="P22" s="12" t="str">
        <f aca="false">Base_OAPDI!S187</f>
        <v>IMP-16; IMP-07</v>
      </c>
      <c r="Q22" s="11"/>
      <c r="R22" s="11"/>
      <c r="S22" s="11"/>
      <c r="T22" s="18"/>
      <c r="U22" s="18"/>
      <c r="V22" s="11"/>
      <c r="W22" s="11"/>
      <c r="X22" s="11"/>
      <c r="Y22" s="11"/>
      <c r="Z22" s="11"/>
      <c r="AA22" s="11"/>
      <c r="AB22" s="12" t="str">
        <f aca="false">IF(AA22="","",INDEX(Catalogos!$Y$5:$Y$25,MATCH(AA22,L_IMP,0)))</f>
        <v/>
      </c>
      <c r="AC22" s="11"/>
      <c r="AD22" s="11"/>
      <c r="AE22" s="11"/>
      <c r="AF22" s="10" t="str">
        <f aca="false">IF(Q22="","Pendiente por formular",IF(OR(S22="",T22="",U22="",V22="",W22="",X22="",Z22="",AA22=""),"Incompleta: faltan campos obligatorios",IF(OR(NOT(ISNUMBER(T22)),NOT(ISNUMBER(U22))),"Fecha inválida",IF(U22&lt;T22,"La fecha de fin es anterior a la de inicio",IF(OR(YEAR(T22)&lt;&gt;2027,YEAR(U22)&lt;&gt;2027),"Fechas fuera de la vigencia 2027",IF(ISERROR(SEARCH("@itc.edu.co",V22)),"El responsable no tiene correo institucional",IF(ISERROR(SEARCH(Z22,INDEX(Catalogos!$Z$5:$Z$25,MATCH(AA22,L_IMP,0)))),"La dimensión no corresponde al indicador de impacto","OK")))))))</f>
        <v>Pendiente por formular</v>
      </c>
    </row>
  </sheetData>
  <sheetProtection sheet="true" password="cc6d" formatColumns="false" formatRows="false" autoFilter="false"/>
  <autoFilter ref="A6:AF22"/>
  <mergeCells count="3">
    <mergeCell ref="A2:P2"/>
    <mergeCell ref="A5:P5"/>
    <mergeCell ref="Q5:AE5"/>
  </mergeCells>
  <conditionalFormatting sqref="AF7:AF22">
    <cfRule type="expression" priority="2" aboveAverage="0" equalAverage="0" bottom="0" percent="0" rank="0" text="" dxfId="5">
      <formula>AF7="OK"</formula>
    </cfRule>
    <cfRule type="expression" priority="3" aboveAverage="0" equalAverage="0" bottom="0" percent="0" rank="0" text="" dxfId="6">
      <formula>LEFT(AF7,9)="Pendiente"</formula>
    </cfRule>
    <cfRule type="expression" priority="4" aboveAverage="0" equalAverage="0" bottom="0" percent="0" rank="0" text="" dxfId="7">
      <formula>AND(AF7&lt;&gt;"OK",LEFT(AF7,9)&lt;&gt;"Pendiente")</formula>
    </cfRule>
  </conditionalFormatting>
  <dataValidations count="5">
    <dataValidation allowBlank="true" error="Escriba el correo institucional (@itc.edu.co) del responsable." errorStyle="stop" errorTitle="Correo no institucional" operator="between" showDropDown="false" showErrorMessage="true" showInputMessage="false" sqref="V7:V22" type="custom">
      <formula1>ISNUMBER(SEARCH("@itc.edu.co",V7))</formula1>
      <formula2>0</formula2>
    </dataValidation>
    <dataValidation allowBlank="true" errorStyle="stop" operator="between" showDropDown="false" showErrorMessage="false" showInputMessage="false" sqref="AC7:AC22" type="list">
      <formula1>L_SINO</formula1>
      <formula2>0</formula2>
    </dataValidation>
    <dataValidation allowBlank="true" error="Seleccione un indicador de la Guía Metodológica." errorStyle="stop" errorTitle="Indicador no válido" operator="between" showDropDown="false" showErrorMessage="true" showInputMessage="false" sqref="AA7:AA22" type="list">
      <formula1>L_IMP</formula1>
      <formula2>0</formula2>
    </dataValidation>
    <dataValidation allowBlank="true" errorStyle="stop" operator="between" showDropDown="false" showErrorMessage="false" showInputMessage="false" sqref="Z7:Z22" type="list">
      <formula1>L_DIM</formula1>
      <formula2>0</formula2>
    </dataValidation>
    <dataValidation allowBlank="true" error="Use una fecha entre el 01/01/2027 y el 31/12/2027." errorStyle="stop" errorTitle="Fecha fuera de vigencia" operator="between" showDropDown="false" showErrorMessage="true" showInputMessage="false" sqref="T7:U22" type="date">
      <formula1>DATE(2027,1,1)</formula1>
      <formula2>DATE(2027,12,31)</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18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sheetData>
    <row r="1" customFormat="false" ht="15" hidden="false" customHeight="false" outlineLevel="0" collapsed="false">
      <c r="A1" s="0" t="s">
        <v>604</v>
      </c>
    </row>
    <row r="2" customFormat="false" ht="15" hidden="false" customHeight="false" outlineLevel="0" collapsed="false">
      <c r="A2" s="0" t="s">
        <v>605</v>
      </c>
    </row>
    <row r="4" customFormat="false" ht="15" hidden="false" customHeight="false" outlineLevel="0" collapsed="false">
      <c r="A4" s="0" t="s">
        <v>552</v>
      </c>
      <c r="B4" s="0" t="s">
        <v>553</v>
      </c>
      <c r="C4" s="0" t="s">
        <v>47</v>
      </c>
      <c r="D4" s="0" t="s">
        <v>568</v>
      </c>
      <c r="E4" s="0" t="s">
        <v>554</v>
      </c>
      <c r="F4" s="0" t="s">
        <v>588</v>
      </c>
      <c r="G4" s="0" t="s">
        <v>589</v>
      </c>
      <c r="H4" s="0" t="s">
        <v>555</v>
      </c>
      <c r="I4" s="0" t="s">
        <v>590</v>
      </c>
      <c r="J4" s="0" t="s">
        <v>45</v>
      </c>
      <c r="K4" s="0" t="s">
        <v>44</v>
      </c>
      <c r="L4" s="0" t="s">
        <v>591</v>
      </c>
      <c r="M4" s="0" t="s">
        <v>606</v>
      </c>
      <c r="N4" s="0" t="s">
        <v>592</v>
      </c>
      <c r="O4" s="0" t="s">
        <v>607</v>
      </c>
      <c r="P4" s="0" t="s">
        <v>608</v>
      </c>
      <c r="Q4" s="0" t="s">
        <v>593</v>
      </c>
      <c r="R4" s="0" t="s">
        <v>609</v>
      </c>
      <c r="S4" s="0" t="s">
        <v>559</v>
      </c>
      <c r="T4" s="0" t="s">
        <v>610</v>
      </c>
      <c r="U4" s="0" t="s">
        <v>611</v>
      </c>
    </row>
    <row r="5" customFormat="false" ht="15" hidden="false" customHeight="false" outlineLevel="0" collapsed="false">
      <c r="A5" s="0" t="s">
        <v>612</v>
      </c>
      <c r="B5" s="0" t="s">
        <v>92</v>
      </c>
      <c r="C5" s="0" t="s">
        <v>613</v>
      </c>
      <c r="D5" s="0" t="s">
        <v>614</v>
      </c>
      <c r="E5" s="0" t="s">
        <v>615</v>
      </c>
      <c r="F5" s="0" t="s">
        <v>616</v>
      </c>
      <c r="G5" s="0" t="s">
        <v>617</v>
      </c>
      <c r="H5" s="0" t="s">
        <v>618</v>
      </c>
      <c r="I5" s="0" t="s">
        <v>427</v>
      </c>
      <c r="J5" s="0" t="s">
        <v>619</v>
      </c>
      <c r="K5" s="0" t="s">
        <v>620</v>
      </c>
      <c r="L5" s="0" t="s">
        <v>621</v>
      </c>
      <c r="M5" s="0" t="s">
        <v>622</v>
      </c>
      <c r="N5" s="0" t="n">
        <v>1</v>
      </c>
      <c r="O5" s="0" t="n">
        <v>1</v>
      </c>
      <c r="P5" s="0" t="n">
        <v>0</v>
      </c>
      <c r="Q5" s="0" t="n">
        <v>0</v>
      </c>
      <c r="R5" s="0" t="s">
        <v>623</v>
      </c>
      <c r="S5" s="0" t="s">
        <v>624</v>
      </c>
      <c r="T5" s="0" t="s">
        <v>625</v>
      </c>
      <c r="U5" s="0" t="str">
        <f aca="false">IF(I5=LEFT(Buscador_Formulacion!$C$4,3),COUNTIF($I$5:I5,LEFT(Buscador_Formulacion!$C$4,3)),"")</f>
        <v/>
      </c>
    </row>
    <row r="6" customFormat="false" ht="15" hidden="false" customHeight="false" outlineLevel="0" collapsed="false">
      <c r="A6" s="0" t="s">
        <v>626</v>
      </c>
      <c r="B6" s="0" t="s">
        <v>92</v>
      </c>
      <c r="C6" s="0" t="s">
        <v>613</v>
      </c>
      <c r="D6" s="0" t="s">
        <v>614</v>
      </c>
      <c r="E6" s="0" t="s">
        <v>615</v>
      </c>
      <c r="F6" s="0" t="s">
        <v>616</v>
      </c>
      <c r="G6" s="0" t="s">
        <v>617</v>
      </c>
      <c r="H6" s="0" t="s">
        <v>618</v>
      </c>
      <c r="I6" s="0" t="s">
        <v>138</v>
      </c>
      <c r="J6" s="0" t="s">
        <v>627</v>
      </c>
      <c r="K6" s="0" t="s">
        <v>628</v>
      </c>
      <c r="L6" s="0" t="s">
        <v>629</v>
      </c>
      <c r="M6" s="0" t="s">
        <v>622</v>
      </c>
      <c r="N6" s="0" t="n">
        <v>2</v>
      </c>
      <c r="O6" s="0" t="n">
        <v>0</v>
      </c>
      <c r="P6" s="0" t="n">
        <v>2</v>
      </c>
      <c r="Q6" s="0" t="n">
        <v>2</v>
      </c>
      <c r="R6" s="0" t="s">
        <v>630</v>
      </c>
      <c r="S6" s="0" t="s">
        <v>624</v>
      </c>
      <c r="T6" s="0" t="s">
        <v>625</v>
      </c>
      <c r="U6" s="0" t="str">
        <f aca="false">IF(I6=LEFT(Buscador_Formulacion!$C$4,3),COUNTIF($I$5:I6,LEFT(Buscador_Formulacion!$C$4,3)),"")</f>
        <v/>
      </c>
    </row>
    <row r="7" customFormat="false" ht="15" hidden="false" customHeight="false" outlineLevel="0" collapsed="false">
      <c r="A7" s="0" t="s">
        <v>631</v>
      </c>
      <c r="B7" s="0" t="s">
        <v>92</v>
      </c>
      <c r="C7" s="0" t="s">
        <v>613</v>
      </c>
      <c r="D7" s="0" t="s">
        <v>614</v>
      </c>
      <c r="E7" s="0" t="s">
        <v>615</v>
      </c>
      <c r="F7" s="0" t="s">
        <v>616</v>
      </c>
      <c r="G7" s="0" t="s">
        <v>617</v>
      </c>
      <c r="H7" s="0" t="s">
        <v>618</v>
      </c>
      <c r="I7" s="0" t="s">
        <v>422</v>
      </c>
      <c r="J7" s="0" t="s">
        <v>627</v>
      </c>
      <c r="K7" s="0" t="s">
        <v>632</v>
      </c>
      <c r="L7" s="0" t="s">
        <v>629</v>
      </c>
      <c r="M7" s="0" t="s">
        <v>622</v>
      </c>
      <c r="N7" s="0" t="n">
        <v>1</v>
      </c>
      <c r="O7" s="0" t="n">
        <v>0</v>
      </c>
      <c r="P7" s="0" t="n">
        <v>1</v>
      </c>
      <c r="Q7" s="0" t="n">
        <v>0</v>
      </c>
      <c r="R7" s="0" t="s">
        <v>633</v>
      </c>
      <c r="S7" s="0" t="s">
        <v>624</v>
      </c>
      <c r="T7" s="0" t="s">
        <v>625</v>
      </c>
      <c r="U7" s="0" t="str">
        <f aca="false">IF(I7=LEFT(Buscador_Formulacion!$C$4,3),COUNTIF($I$5:I7,LEFT(Buscador_Formulacion!$C$4,3)),"")</f>
        <v/>
      </c>
    </row>
    <row r="8" customFormat="false" ht="15" hidden="false" customHeight="false" outlineLevel="0" collapsed="false">
      <c r="A8" s="0" t="s">
        <v>634</v>
      </c>
      <c r="B8" s="0" t="s">
        <v>92</v>
      </c>
      <c r="C8" s="0" t="s">
        <v>613</v>
      </c>
      <c r="D8" s="0" t="s">
        <v>614</v>
      </c>
      <c r="E8" s="0" t="s">
        <v>615</v>
      </c>
      <c r="F8" s="0" t="s">
        <v>616</v>
      </c>
      <c r="G8" s="0" t="s">
        <v>617</v>
      </c>
      <c r="H8" s="0" t="s">
        <v>618</v>
      </c>
      <c r="I8" s="0" t="s">
        <v>381</v>
      </c>
      <c r="J8" s="0" t="s">
        <v>627</v>
      </c>
      <c r="K8" s="0" t="s">
        <v>635</v>
      </c>
      <c r="L8" s="0" t="s">
        <v>636</v>
      </c>
      <c r="M8" s="0" t="s">
        <v>622</v>
      </c>
      <c r="N8" s="0" t="n">
        <v>0</v>
      </c>
      <c r="O8" s="0" t="n">
        <v>0</v>
      </c>
      <c r="P8" s="0" t="n">
        <v>0</v>
      </c>
      <c r="Q8" s="0" t="n">
        <v>0</v>
      </c>
      <c r="R8" s="0" t="s">
        <v>623</v>
      </c>
      <c r="S8" s="0" t="s">
        <v>624</v>
      </c>
      <c r="T8" s="0" t="s">
        <v>625</v>
      </c>
      <c r="U8" s="0" t="str">
        <f aca="false">IF(I8=LEFT(Buscador_Formulacion!$C$4,3),COUNTIF($I$5:I8,LEFT(Buscador_Formulacion!$C$4,3)),"")</f>
        <v/>
      </c>
    </row>
    <row r="9" customFormat="false" ht="15" hidden="false" customHeight="false" outlineLevel="0" collapsed="false">
      <c r="A9" s="0" t="s">
        <v>637</v>
      </c>
      <c r="B9" s="0" t="s">
        <v>92</v>
      </c>
      <c r="C9" s="0" t="s">
        <v>613</v>
      </c>
      <c r="D9" s="0" t="s">
        <v>614</v>
      </c>
      <c r="E9" s="0" t="s">
        <v>615</v>
      </c>
      <c r="F9" s="0" t="s">
        <v>616</v>
      </c>
      <c r="G9" s="0" t="s">
        <v>617</v>
      </c>
      <c r="H9" s="0" t="s">
        <v>618</v>
      </c>
      <c r="I9" s="0" t="s">
        <v>240</v>
      </c>
      <c r="J9" s="0" t="s">
        <v>638</v>
      </c>
      <c r="K9" s="0" t="s">
        <v>639</v>
      </c>
      <c r="L9" s="0" t="s">
        <v>640</v>
      </c>
      <c r="M9" s="0" t="s">
        <v>622</v>
      </c>
      <c r="N9" s="0" t="n">
        <v>1</v>
      </c>
      <c r="O9" s="0" t="n">
        <v>0</v>
      </c>
      <c r="P9" s="0" t="n">
        <v>1</v>
      </c>
      <c r="Q9" s="0" t="n">
        <v>0</v>
      </c>
      <c r="R9" s="0" t="s">
        <v>633</v>
      </c>
      <c r="S9" s="0" t="s">
        <v>624</v>
      </c>
      <c r="T9" s="0" t="s">
        <v>625</v>
      </c>
      <c r="U9" s="0" t="str">
        <f aca="false">IF(I9=LEFT(Buscador_Formulacion!$C$4,3),COUNTIF($I$5:I9,LEFT(Buscador_Formulacion!$C$4,3)),"")</f>
        <v/>
      </c>
    </row>
    <row r="10" customFormat="false" ht="15" hidden="false" customHeight="false" outlineLevel="0" collapsed="false">
      <c r="A10" s="0" t="s">
        <v>641</v>
      </c>
      <c r="B10" s="0" t="s">
        <v>92</v>
      </c>
      <c r="C10" s="0" t="s">
        <v>613</v>
      </c>
      <c r="D10" s="0" t="s">
        <v>614</v>
      </c>
      <c r="E10" s="0" t="s">
        <v>615</v>
      </c>
      <c r="F10" s="0" t="s">
        <v>616</v>
      </c>
      <c r="G10" s="0" t="s">
        <v>617</v>
      </c>
      <c r="H10" s="0" t="s">
        <v>618</v>
      </c>
      <c r="I10" s="0" t="s">
        <v>83</v>
      </c>
      <c r="J10" s="0" t="s">
        <v>642</v>
      </c>
      <c r="K10" s="0" t="s">
        <v>643</v>
      </c>
      <c r="L10" s="0" t="s">
        <v>644</v>
      </c>
      <c r="M10" s="0" t="s">
        <v>622</v>
      </c>
      <c r="N10" s="0" t="n">
        <v>5</v>
      </c>
      <c r="O10" s="0" t="n">
        <v>0</v>
      </c>
      <c r="P10" s="0" t="n">
        <v>5</v>
      </c>
      <c r="Q10" s="0" t="n">
        <v>4</v>
      </c>
      <c r="R10" s="0" t="s">
        <v>645</v>
      </c>
      <c r="S10" s="0" t="s">
        <v>624</v>
      </c>
      <c r="T10" s="0" t="s">
        <v>625</v>
      </c>
      <c r="U10" s="0" t="str">
        <f aca="false">IF(I10=LEFT(Buscador_Formulacion!$C$4,3),COUNTIF($I$5:I10,LEFT(Buscador_Formulacion!$C$4,3)),"")</f>
        <v/>
      </c>
    </row>
    <row r="11" customFormat="false" ht="15" hidden="false" customHeight="false" outlineLevel="0" collapsed="false">
      <c r="A11" s="0" t="s">
        <v>646</v>
      </c>
      <c r="B11" s="0" t="s">
        <v>92</v>
      </c>
      <c r="C11" s="0" t="s">
        <v>613</v>
      </c>
      <c r="D11" s="0" t="s">
        <v>614</v>
      </c>
      <c r="E11" s="0" t="s">
        <v>615</v>
      </c>
      <c r="F11" s="0" t="s">
        <v>616</v>
      </c>
      <c r="G11" s="0" t="s">
        <v>617</v>
      </c>
      <c r="H11" s="0" t="s">
        <v>618</v>
      </c>
      <c r="I11" s="0" t="s">
        <v>647</v>
      </c>
      <c r="J11" s="0" t="s">
        <v>648</v>
      </c>
      <c r="K11" s="0" t="s">
        <v>649</v>
      </c>
      <c r="L11" s="0" t="s">
        <v>644</v>
      </c>
      <c r="M11" s="0" t="s">
        <v>622</v>
      </c>
      <c r="N11" s="0" t="n">
        <v>0</v>
      </c>
      <c r="O11" s="0" t="n">
        <v>0</v>
      </c>
      <c r="P11" s="0" t="n">
        <v>0</v>
      </c>
      <c r="Q11" s="0" t="n">
        <v>0</v>
      </c>
      <c r="R11" s="0" t="s">
        <v>623</v>
      </c>
      <c r="S11" s="0" t="s">
        <v>624</v>
      </c>
      <c r="T11" s="0" t="s">
        <v>625</v>
      </c>
      <c r="U11" s="0" t="str">
        <f aca="false">IF(I11=LEFT(Buscador_Formulacion!$C$4,3),COUNTIF($I$5:I11,LEFT(Buscador_Formulacion!$C$4,3)),"")</f>
        <v/>
      </c>
    </row>
    <row r="12" customFormat="false" ht="15" hidden="false" customHeight="false" outlineLevel="0" collapsed="false">
      <c r="A12" s="0" t="s">
        <v>650</v>
      </c>
      <c r="B12" s="0" t="s">
        <v>92</v>
      </c>
      <c r="C12" s="0" t="s">
        <v>613</v>
      </c>
      <c r="D12" s="0" t="s">
        <v>614</v>
      </c>
      <c r="E12" s="0" t="s">
        <v>615</v>
      </c>
      <c r="F12" s="0" t="s">
        <v>616</v>
      </c>
      <c r="G12" s="0" t="s">
        <v>617</v>
      </c>
      <c r="H12" s="0" t="s">
        <v>618</v>
      </c>
      <c r="I12" s="0" t="s">
        <v>147</v>
      </c>
      <c r="J12" s="0" t="s">
        <v>638</v>
      </c>
      <c r="K12" s="0" t="s">
        <v>651</v>
      </c>
      <c r="L12" s="0" t="s">
        <v>652</v>
      </c>
      <c r="M12" s="0" t="s">
        <v>622</v>
      </c>
      <c r="N12" s="0" t="n">
        <v>0</v>
      </c>
      <c r="O12" s="0" t="n">
        <v>0</v>
      </c>
      <c r="P12" s="0" t="n">
        <v>0</v>
      </c>
      <c r="Q12" s="0" t="n">
        <v>0</v>
      </c>
      <c r="R12" s="0" t="s">
        <v>623</v>
      </c>
      <c r="S12" s="0" t="s">
        <v>624</v>
      </c>
      <c r="T12" s="0" t="s">
        <v>625</v>
      </c>
      <c r="U12" s="0" t="str">
        <f aca="false">IF(I12=LEFT(Buscador_Formulacion!$C$4,3),COUNTIF($I$5:I12,LEFT(Buscador_Formulacion!$C$4,3)),"")</f>
        <v/>
      </c>
    </row>
    <row r="13" customFormat="false" ht="15" hidden="false" customHeight="false" outlineLevel="0" collapsed="false">
      <c r="A13" s="0" t="s">
        <v>653</v>
      </c>
      <c r="B13" s="0" t="s">
        <v>92</v>
      </c>
      <c r="C13" s="0" t="s">
        <v>613</v>
      </c>
      <c r="D13" s="0" t="s">
        <v>614</v>
      </c>
      <c r="E13" s="0" t="s">
        <v>615</v>
      </c>
      <c r="F13" s="0" t="s">
        <v>616</v>
      </c>
      <c r="G13" s="0" t="s">
        <v>617</v>
      </c>
      <c r="H13" s="0" t="s">
        <v>618</v>
      </c>
      <c r="I13" s="0" t="s">
        <v>124</v>
      </c>
      <c r="J13" s="0" t="s">
        <v>654</v>
      </c>
      <c r="K13" s="0" t="s">
        <v>655</v>
      </c>
      <c r="L13" s="0" t="s">
        <v>644</v>
      </c>
      <c r="M13" s="0" t="s">
        <v>656</v>
      </c>
      <c r="N13" s="0" t="n">
        <v>0</v>
      </c>
      <c r="O13" s="0" t="n">
        <v>0</v>
      </c>
      <c r="P13" s="0" t="n">
        <v>0</v>
      </c>
      <c r="Q13" s="0" t="n">
        <v>3</v>
      </c>
      <c r="R13" s="0" t="s">
        <v>657</v>
      </c>
      <c r="S13" s="0" t="s">
        <v>624</v>
      </c>
      <c r="T13" s="0" t="s">
        <v>625</v>
      </c>
      <c r="U13" s="0" t="str">
        <f aca="false">IF(I13=LEFT(Buscador_Formulacion!$C$4,3),COUNTIF($I$5:I13,LEFT(Buscador_Formulacion!$C$4,3)),"")</f>
        <v/>
      </c>
    </row>
    <row r="14" customFormat="false" ht="15" hidden="false" customHeight="false" outlineLevel="0" collapsed="false">
      <c r="A14" s="0" t="s">
        <v>658</v>
      </c>
      <c r="B14" s="0" t="s">
        <v>92</v>
      </c>
      <c r="C14" s="0" t="s">
        <v>613</v>
      </c>
      <c r="D14" s="0" t="s">
        <v>614</v>
      </c>
      <c r="E14" s="0" t="s">
        <v>615</v>
      </c>
      <c r="F14" s="0" t="s">
        <v>616</v>
      </c>
      <c r="G14" s="0" t="s">
        <v>617</v>
      </c>
      <c r="H14" s="0" t="s">
        <v>618</v>
      </c>
      <c r="I14" s="0" t="s">
        <v>180</v>
      </c>
      <c r="J14" s="0" t="s">
        <v>638</v>
      </c>
      <c r="K14" s="0" t="s">
        <v>659</v>
      </c>
      <c r="L14" s="0" t="s">
        <v>652</v>
      </c>
      <c r="M14" s="0" t="s">
        <v>656</v>
      </c>
      <c r="N14" s="0" t="n">
        <v>0</v>
      </c>
      <c r="O14" s="0" t="n">
        <v>0</v>
      </c>
      <c r="P14" s="0" t="n">
        <v>0</v>
      </c>
      <c r="Q14" s="0" t="n">
        <v>1</v>
      </c>
      <c r="R14" s="0" t="s">
        <v>660</v>
      </c>
      <c r="S14" s="0" t="s">
        <v>624</v>
      </c>
      <c r="T14" s="0" t="s">
        <v>625</v>
      </c>
      <c r="U14" s="0" t="str">
        <f aca="false">IF(I14=LEFT(Buscador_Formulacion!$C$4,3),COUNTIF($I$5:I14,LEFT(Buscador_Formulacion!$C$4,3)),"")</f>
        <v/>
      </c>
    </row>
    <row r="15" customFormat="false" ht="15" hidden="false" customHeight="false" outlineLevel="0" collapsed="false">
      <c r="A15" s="0" t="s">
        <v>661</v>
      </c>
      <c r="B15" s="0" t="s">
        <v>92</v>
      </c>
      <c r="C15" s="0" t="s">
        <v>613</v>
      </c>
      <c r="D15" s="0" t="s">
        <v>614</v>
      </c>
      <c r="E15" s="0" t="s">
        <v>615</v>
      </c>
      <c r="F15" s="0" t="s">
        <v>616</v>
      </c>
      <c r="G15" s="0" t="s">
        <v>617</v>
      </c>
      <c r="H15" s="0" t="s">
        <v>618</v>
      </c>
      <c r="I15" s="0" t="s">
        <v>471</v>
      </c>
      <c r="J15" s="0" t="s">
        <v>662</v>
      </c>
      <c r="K15" s="0" t="s">
        <v>663</v>
      </c>
      <c r="L15" s="0" t="s">
        <v>664</v>
      </c>
      <c r="M15" s="0" t="s">
        <v>656</v>
      </c>
      <c r="N15" s="0" t="n">
        <v>0</v>
      </c>
      <c r="O15" s="0" t="n">
        <v>0</v>
      </c>
      <c r="P15" s="0" t="n">
        <v>0</v>
      </c>
      <c r="Q15" s="0" t="n">
        <v>1</v>
      </c>
      <c r="R15" s="0" t="s">
        <v>665</v>
      </c>
      <c r="S15" s="0" t="s">
        <v>624</v>
      </c>
      <c r="T15" s="0" t="s">
        <v>625</v>
      </c>
      <c r="U15" s="0" t="str">
        <f aca="false">IF(I15=LEFT(Buscador_Formulacion!$C$4,3),COUNTIF($I$5:I15,LEFT(Buscador_Formulacion!$C$4,3)),"")</f>
        <v/>
      </c>
    </row>
    <row r="16" customFormat="false" ht="15" hidden="false" customHeight="false" outlineLevel="0" collapsed="false">
      <c r="A16" s="0" t="s">
        <v>666</v>
      </c>
      <c r="B16" s="0" t="s">
        <v>92</v>
      </c>
      <c r="C16" s="0" t="s">
        <v>613</v>
      </c>
      <c r="D16" s="0" t="s">
        <v>614</v>
      </c>
      <c r="E16" s="0" t="s">
        <v>615</v>
      </c>
      <c r="F16" s="0" t="s">
        <v>616</v>
      </c>
      <c r="G16" s="0" t="s">
        <v>617</v>
      </c>
      <c r="H16" s="0" t="s">
        <v>618</v>
      </c>
      <c r="I16" s="0" t="s">
        <v>667</v>
      </c>
      <c r="J16" s="0" t="s">
        <v>642</v>
      </c>
      <c r="K16" s="0" t="s">
        <v>668</v>
      </c>
      <c r="L16" s="0" t="s">
        <v>644</v>
      </c>
      <c r="M16" s="0" t="s">
        <v>669</v>
      </c>
      <c r="N16" s="0" t="n">
        <v>0</v>
      </c>
      <c r="O16" s="0" t="n">
        <v>0</v>
      </c>
      <c r="P16" s="0" t="n">
        <v>0</v>
      </c>
      <c r="Q16" s="0" t="n">
        <v>0</v>
      </c>
      <c r="R16" s="0" t="s">
        <v>670</v>
      </c>
      <c r="S16" s="0" t="s">
        <v>624</v>
      </c>
      <c r="T16" s="0" t="s">
        <v>625</v>
      </c>
      <c r="U16" s="0" t="str">
        <f aca="false">IF(I16=LEFT(Buscador_Formulacion!$C$4,3),COUNTIF($I$5:I16,LEFT(Buscador_Formulacion!$C$4,3)),"")</f>
        <v/>
      </c>
    </row>
    <row r="17" customFormat="false" ht="15" hidden="false" customHeight="false" outlineLevel="0" collapsed="false">
      <c r="A17" s="0" t="s">
        <v>671</v>
      </c>
      <c r="B17" s="0" t="s">
        <v>672</v>
      </c>
      <c r="C17" s="0" t="s">
        <v>613</v>
      </c>
      <c r="D17" s="0" t="s">
        <v>614</v>
      </c>
      <c r="E17" s="0" t="s">
        <v>673</v>
      </c>
      <c r="F17" s="0" t="s">
        <v>674</v>
      </c>
      <c r="G17" s="0" t="s">
        <v>675</v>
      </c>
      <c r="H17" s="0" t="s">
        <v>676</v>
      </c>
      <c r="I17" s="0" t="s">
        <v>422</v>
      </c>
      <c r="J17" s="0" t="s">
        <v>627</v>
      </c>
      <c r="K17" s="0" t="s">
        <v>632</v>
      </c>
      <c r="L17" s="0" t="s">
        <v>629</v>
      </c>
      <c r="M17" s="0" t="s">
        <v>622</v>
      </c>
      <c r="N17" s="0" t="n">
        <v>3</v>
      </c>
      <c r="O17" s="0" t="n">
        <v>1</v>
      </c>
      <c r="P17" s="0" t="n">
        <v>2</v>
      </c>
      <c r="Q17" s="0" t="n">
        <v>0</v>
      </c>
      <c r="R17" s="0" t="s">
        <v>677</v>
      </c>
      <c r="S17" s="0" t="s">
        <v>678</v>
      </c>
      <c r="T17" s="0" t="s">
        <v>625</v>
      </c>
      <c r="U17" s="0" t="str">
        <f aca="false">IF(I17=LEFT(Buscador_Formulacion!$C$4,3),COUNTIF($I$5:I17,LEFT(Buscador_Formulacion!$C$4,3)),"")</f>
        <v/>
      </c>
    </row>
    <row r="18" customFormat="false" ht="15" hidden="false" customHeight="false" outlineLevel="0" collapsed="false">
      <c r="A18" s="0" t="s">
        <v>679</v>
      </c>
      <c r="B18" s="0" t="s">
        <v>672</v>
      </c>
      <c r="C18" s="0" t="s">
        <v>613</v>
      </c>
      <c r="D18" s="0" t="s">
        <v>614</v>
      </c>
      <c r="E18" s="0" t="s">
        <v>673</v>
      </c>
      <c r="F18" s="0" t="s">
        <v>674</v>
      </c>
      <c r="G18" s="0" t="s">
        <v>675</v>
      </c>
      <c r="H18" s="0" t="s">
        <v>676</v>
      </c>
      <c r="I18" s="0" t="s">
        <v>240</v>
      </c>
      <c r="J18" s="0" t="s">
        <v>638</v>
      </c>
      <c r="K18" s="0" t="s">
        <v>639</v>
      </c>
      <c r="L18" s="0" t="s">
        <v>640</v>
      </c>
      <c r="M18" s="0" t="s">
        <v>622</v>
      </c>
      <c r="N18" s="0" t="n">
        <v>2</v>
      </c>
      <c r="O18" s="0" t="n">
        <v>0</v>
      </c>
      <c r="P18" s="0" t="n">
        <v>2</v>
      </c>
      <c r="Q18" s="0" t="n">
        <v>0</v>
      </c>
      <c r="R18" s="0" t="s">
        <v>677</v>
      </c>
      <c r="S18" s="0" t="s">
        <v>678</v>
      </c>
      <c r="T18" s="0" t="s">
        <v>625</v>
      </c>
      <c r="U18" s="0" t="str">
        <f aca="false">IF(I18=LEFT(Buscador_Formulacion!$C$4,3),COUNTIF($I$5:I18,LEFT(Buscador_Formulacion!$C$4,3)),"")</f>
        <v/>
      </c>
    </row>
    <row r="19" customFormat="false" ht="15" hidden="false" customHeight="false" outlineLevel="0" collapsed="false">
      <c r="A19" s="0" t="s">
        <v>680</v>
      </c>
      <c r="B19" s="0" t="s">
        <v>672</v>
      </c>
      <c r="C19" s="0" t="s">
        <v>613</v>
      </c>
      <c r="D19" s="0" t="s">
        <v>614</v>
      </c>
      <c r="E19" s="0" t="s">
        <v>673</v>
      </c>
      <c r="F19" s="0" t="s">
        <v>674</v>
      </c>
      <c r="G19" s="0" t="s">
        <v>675</v>
      </c>
      <c r="H19" s="0" t="s">
        <v>676</v>
      </c>
      <c r="I19" s="0" t="s">
        <v>83</v>
      </c>
      <c r="J19" s="0" t="s">
        <v>642</v>
      </c>
      <c r="K19" s="0" t="s">
        <v>643</v>
      </c>
      <c r="L19" s="0" t="s">
        <v>644</v>
      </c>
      <c r="M19" s="0" t="s">
        <v>622</v>
      </c>
      <c r="N19" s="0" t="n">
        <v>1</v>
      </c>
      <c r="O19" s="0" t="n">
        <v>0</v>
      </c>
      <c r="P19" s="0" t="n">
        <v>1</v>
      </c>
      <c r="Q19" s="0" t="n">
        <v>0</v>
      </c>
      <c r="R19" s="0" t="s">
        <v>681</v>
      </c>
      <c r="S19" s="0" t="s">
        <v>678</v>
      </c>
      <c r="T19" s="0" t="s">
        <v>625</v>
      </c>
      <c r="U19" s="0" t="str">
        <f aca="false">IF(I19=LEFT(Buscador_Formulacion!$C$4,3),COUNTIF($I$5:I19,LEFT(Buscador_Formulacion!$C$4,3)),"")</f>
        <v/>
      </c>
    </row>
    <row r="20" customFormat="false" ht="15" hidden="false" customHeight="false" outlineLevel="0" collapsed="false">
      <c r="A20" s="0" t="s">
        <v>682</v>
      </c>
      <c r="B20" s="0" t="s">
        <v>672</v>
      </c>
      <c r="C20" s="0" t="s">
        <v>613</v>
      </c>
      <c r="D20" s="0" t="s">
        <v>614</v>
      </c>
      <c r="E20" s="0" t="s">
        <v>673</v>
      </c>
      <c r="F20" s="0" t="s">
        <v>674</v>
      </c>
      <c r="G20" s="0" t="s">
        <v>675</v>
      </c>
      <c r="H20" s="0" t="s">
        <v>676</v>
      </c>
      <c r="I20" s="0" t="s">
        <v>333</v>
      </c>
      <c r="J20" s="0" t="s">
        <v>683</v>
      </c>
      <c r="K20" s="0" t="s">
        <v>684</v>
      </c>
      <c r="L20" s="0" t="s">
        <v>685</v>
      </c>
      <c r="M20" s="0" t="s">
        <v>622</v>
      </c>
      <c r="N20" s="0" t="n">
        <v>2</v>
      </c>
      <c r="O20" s="0" t="n">
        <v>1</v>
      </c>
      <c r="P20" s="0" t="n">
        <v>1</v>
      </c>
      <c r="Q20" s="0" t="n">
        <v>0</v>
      </c>
      <c r="R20" s="0" t="s">
        <v>633</v>
      </c>
      <c r="S20" s="0" t="s">
        <v>678</v>
      </c>
      <c r="T20" s="0" t="s">
        <v>625</v>
      </c>
      <c r="U20" s="0" t="str">
        <f aca="false">IF(I20=LEFT(Buscador_Formulacion!$C$4,3),COUNTIF($I$5:I20,LEFT(Buscador_Formulacion!$C$4,3)),"")</f>
        <v/>
      </c>
    </row>
    <row r="21" customFormat="false" ht="15" hidden="false" customHeight="false" outlineLevel="0" collapsed="false">
      <c r="A21" s="0" t="s">
        <v>686</v>
      </c>
      <c r="B21" s="0" t="s">
        <v>672</v>
      </c>
      <c r="C21" s="0" t="s">
        <v>613</v>
      </c>
      <c r="D21" s="0" t="s">
        <v>614</v>
      </c>
      <c r="E21" s="0" t="s">
        <v>673</v>
      </c>
      <c r="F21" s="0" t="s">
        <v>674</v>
      </c>
      <c r="G21" s="0" t="s">
        <v>675</v>
      </c>
      <c r="H21" s="0" t="s">
        <v>676</v>
      </c>
      <c r="I21" s="0" t="s">
        <v>687</v>
      </c>
      <c r="J21" s="0" t="s">
        <v>648</v>
      </c>
      <c r="K21" s="0" t="s">
        <v>688</v>
      </c>
      <c r="L21" s="0" t="s">
        <v>644</v>
      </c>
      <c r="M21" s="0" t="s">
        <v>622</v>
      </c>
      <c r="N21" s="0" t="n">
        <v>1</v>
      </c>
      <c r="O21" s="0" t="n">
        <v>0</v>
      </c>
      <c r="P21" s="0" t="n">
        <v>1</v>
      </c>
      <c r="Q21" s="0" t="n">
        <v>0</v>
      </c>
      <c r="R21" s="0" t="s">
        <v>633</v>
      </c>
      <c r="S21" s="0" t="s">
        <v>678</v>
      </c>
      <c r="T21" s="0" t="s">
        <v>625</v>
      </c>
      <c r="U21" s="0" t="str">
        <f aca="false">IF(I21=LEFT(Buscador_Formulacion!$C$4,3),COUNTIF($I$5:I21,LEFT(Buscador_Formulacion!$C$4,3)),"")</f>
        <v/>
      </c>
    </row>
    <row r="22" customFormat="false" ht="15" hidden="false" customHeight="false" outlineLevel="0" collapsed="false">
      <c r="A22" s="0" t="s">
        <v>689</v>
      </c>
      <c r="B22" s="0" t="s">
        <v>672</v>
      </c>
      <c r="C22" s="0" t="s">
        <v>613</v>
      </c>
      <c r="D22" s="0" t="s">
        <v>614</v>
      </c>
      <c r="E22" s="0" t="s">
        <v>673</v>
      </c>
      <c r="F22" s="0" t="s">
        <v>674</v>
      </c>
      <c r="G22" s="0" t="s">
        <v>675</v>
      </c>
      <c r="H22" s="0" t="s">
        <v>676</v>
      </c>
      <c r="I22" s="0" t="s">
        <v>647</v>
      </c>
      <c r="J22" s="0" t="s">
        <v>648</v>
      </c>
      <c r="K22" s="0" t="s">
        <v>649</v>
      </c>
      <c r="L22" s="0" t="s">
        <v>644</v>
      </c>
      <c r="M22" s="0" t="s">
        <v>622</v>
      </c>
      <c r="N22" s="0" t="n">
        <v>1</v>
      </c>
      <c r="O22" s="0" t="n">
        <v>0</v>
      </c>
      <c r="P22" s="0" t="n">
        <v>1</v>
      </c>
      <c r="Q22" s="0" t="n">
        <v>0</v>
      </c>
      <c r="R22" s="0" t="s">
        <v>633</v>
      </c>
      <c r="S22" s="0" t="s">
        <v>678</v>
      </c>
      <c r="T22" s="0" t="s">
        <v>625</v>
      </c>
      <c r="U22" s="0" t="str">
        <f aca="false">IF(I22=LEFT(Buscador_Formulacion!$C$4,3),COUNTIF($I$5:I22,LEFT(Buscador_Formulacion!$C$4,3)),"")</f>
        <v/>
      </c>
    </row>
    <row r="23" customFormat="false" ht="15" hidden="false" customHeight="false" outlineLevel="0" collapsed="false">
      <c r="A23" s="0" t="s">
        <v>690</v>
      </c>
      <c r="B23" s="0" t="s">
        <v>672</v>
      </c>
      <c r="C23" s="0" t="s">
        <v>613</v>
      </c>
      <c r="D23" s="0" t="s">
        <v>614</v>
      </c>
      <c r="E23" s="0" t="s">
        <v>673</v>
      </c>
      <c r="F23" s="0" t="s">
        <v>674</v>
      </c>
      <c r="G23" s="0" t="s">
        <v>675</v>
      </c>
      <c r="H23" s="0" t="s">
        <v>676</v>
      </c>
      <c r="I23" s="0" t="s">
        <v>691</v>
      </c>
      <c r="J23" s="0" t="s">
        <v>648</v>
      </c>
      <c r="K23" s="0" t="s">
        <v>692</v>
      </c>
      <c r="L23" s="0" t="s">
        <v>644</v>
      </c>
      <c r="M23" s="0" t="s">
        <v>622</v>
      </c>
      <c r="N23" s="0" t="n">
        <v>1</v>
      </c>
      <c r="O23" s="0" t="n">
        <v>0</v>
      </c>
      <c r="P23" s="0" t="n">
        <v>1</v>
      </c>
      <c r="Q23" s="0" t="n">
        <v>0</v>
      </c>
      <c r="R23" s="0" t="s">
        <v>633</v>
      </c>
      <c r="S23" s="0" t="s">
        <v>678</v>
      </c>
      <c r="T23" s="0" t="s">
        <v>625</v>
      </c>
      <c r="U23" s="0" t="str">
        <f aca="false">IF(I23=LEFT(Buscador_Formulacion!$C$4,3),COUNTIF($I$5:I23,LEFT(Buscador_Formulacion!$C$4,3)),"")</f>
        <v/>
      </c>
    </row>
    <row r="24" customFormat="false" ht="15" hidden="false" customHeight="false" outlineLevel="0" collapsed="false">
      <c r="A24" s="0" t="s">
        <v>693</v>
      </c>
      <c r="B24" s="0" t="s">
        <v>672</v>
      </c>
      <c r="C24" s="0" t="s">
        <v>613</v>
      </c>
      <c r="D24" s="0" t="s">
        <v>614</v>
      </c>
      <c r="E24" s="0" t="s">
        <v>673</v>
      </c>
      <c r="F24" s="0" t="s">
        <v>674</v>
      </c>
      <c r="G24" s="0" t="s">
        <v>675</v>
      </c>
      <c r="H24" s="0" t="s">
        <v>676</v>
      </c>
      <c r="I24" s="0" t="s">
        <v>694</v>
      </c>
      <c r="J24" s="0" t="s">
        <v>648</v>
      </c>
      <c r="K24" s="0" t="s">
        <v>695</v>
      </c>
      <c r="L24" s="0" t="s">
        <v>644</v>
      </c>
      <c r="M24" s="0" t="s">
        <v>622</v>
      </c>
      <c r="N24" s="0" t="n">
        <v>1</v>
      </c>
      <c r="O24" s="0" t="n">
        <v>0</v>
      </c>
      <c r="P24" s="0" t="n">
        <v>1</v>
      </c>
      <c r="Q24" s="0" t="n">
        <v>0</v>
      </c>
      <c r="R24" s="0" t="s">
        <v>633</v>
      </c>
      <c r="S24" s="0" t="s">
        <v>678</v>
      </c>
      <c r="T24" s="0" t="s">
        <v>625</v>
      </c>
      <c r="U24" s="0" t="str">
        <f aca="false">IF(I24=LEFT(Buscador_Formulacion!$C$4,3),COUNTIF($I$5:I24,LEFT(Buscador_Formulacion!$C$4,3)),"")</f>
        <v/>
      </c>
    </row>
    <row r="25" customFormat="false" ht="15" hidden="false" customHeight="false" outlineLevel="0" collapsed="false">
      <c r="A25" s="0" t="s">
        <v>696</v>
      </c>
      <c r="B25" s="0" t="s">
        <v>672</v>
      </c>
      <c r="C25" s="0" t="s">
        <v>613</v>
      </c>
      <c r="D25" s="0" t="s">
        <v>614</v>
      </c>
      <c r="E25" s="0" t="s">
        <v>673</v>
      </c>
      <c r="F25" s="0" t="s">
        <v>674</v>
      </c>
      <c r="G25" s="0" t="s">
        <v>675</v>
      </c>
      <c r="H25" s="0" t="s">
        <v>676</v>
      </c>
      <c r="I25" s="0" t="s">
        <v>697</v>
      </c>
      <c r="J25" s="0" t="s">
        <v>648</v>
      </c>
      <c r="K25" s="0" t="s">
        <v>698</v>
      </c>
      <c r="L25" s="0" t="s">
        <v>644</v>
      </c>
      <c r="M25" s="0" t="s">
        <v>622</v>
      </c>
      <c r="N25" s="0" t="n">
        <v>1</v>
      </c>
      <c r="O25" s="0" t="n">
        <v>0</v>
      </c>
      <c r="P25" s="0" t="n">
        <v>1</v>
      </c>
      <c r="Q25" s="0" t="n">
        <v>0</v>
      </c>
      <c r="R25" s="0" t="s">
        <v>633</v>
      </c>
      <c r="S25" s="0" t="s">
        <v>678</v>
      </c>
      <c r="T25" s="0" t="s">
        <v>625</v>
      </c>
      <c r="U25" s="0" t="str">
        <f aca="false">IF(I25=LEFT(Buscador_Formulacion!$C$4,3),COUNTIF($I$5:I25,LEFT(Buscador_Formulacion!$C$4,3)),"")</f>
        <v/>
      </c>
    </row>
    <row r="26" customFormat="false" ht="15" hidden="false" customHeight="false" outlineLevel="0" collapsed="false">
      <c r="A26" s="0" t="s">
        <v>699</v>
      </c>
      <c r="B26" s="0" t="s">
        <v>672</v>
      </c>
      <c r="C26" s="0" t="s">
        <v>613</v>
      </c>
      <c r="D26" s="0" t="s">
        <v>614</v>
      </c>
      <c r="E26" s="0" t="s">
        <v>673</v>
      </c>
      <c r="F26" s="0" t="s">
        <v>674</v>
      </c>
      <c r="G26" s="0" t="s">
        <v>675</v>
      </c>
      <c r="H26" s="0" t="s">
        <v>676</v>
      </c>
      <c r="I26" s="0" t="s">
        <v>700</v>
      </c>
      <c r="J26" s="0" t="s">
        <v>701</v>
      </c>
      <c r="K26" s="0" t="s">
        <v>702</v>
      </c>
      <c r="L26" s="0" t="s">
        <v>703</v>
      </c>
      <c r="M26" s="0" t="s">
        <v>622</v>
      </c>
      <c r="N26" s="0" t="n">
        <v>3</v>
      </c>
      <c r="O26" s="0" t="n">
        <v>2</v>
      </c>
      <c r="P26" s="0" t="n">
        <v>1</v>
      </c>
      <c r="Q26" s="0" t="n">
        <v>0</v>
      </c>
      <c r="R26" s="0" t="s">
        <v>704</v>
      </c>
      <c r="S26" s="0" t="s">
        <v>678</v>
      </c>
      <c r="T26" s="0" t="s">
        <v>625</v>
      </c>
      <c r="U26" s="0" t="n">
        <f aca="false">IF(I26=LEFT(Buscador_Formulacion!$C$4,3),COUNTIF($I$5:I26,LEFT(Buscador_Formulacion!$C$4,3)),"")</f>
        <v>1</v>
      </c>
    </row>
    <row r="27" customFormat="false" ht="15" hidden="false" customHeight="false" outlineLevel="0" collapsed="false">
      <c r="A27" s="0" t="s">
        <v>705</v>
      </c>
      <c r="B27" s="0" t="s">
        <v>672</v>
      </c>
      <c r="C27" s="0" t="s">
        <v>613</v>
      </c>
      <c r="D27" s="0" t="s">
        <v>614</v>
      </c>
      <c r="E27" s="0" t="s">
        <v>673</v>
      </c>
      <c r="F27" s="0" t="s">
        <v>674</v>
      </c>
      <c r="G27" s="0" t="s">
        <v>675</v>
      </c>
      <c r="H27" s="0" t="s">
        <v>676</v>
      </c>
      <c r="I27" s="0" t="s">
        <v>124</v>
      </c>
      <c r="J27" s="0" t="s">
        <v>654</v>
      </c>
      <c r="K27" s="0" t="s">
        <v>655</v>
      </c>
      <c r="L27" s="0" t="s">
        <v>644</v>
      </c>
      <c r="M27" s="0" t="s">
        <v>622</v>
      </c>
      <c r="N27" s="0" t="n">
        <v>1</v>
      </c>
      <c r="O27" s="0" t="n">
        <v>0</v>
      </c>
      <c r="P27" s="0" t="n">
        <v>1</v>
      </c>
      <c r="Q27" s="0" t="n">
        <v>0</v>
      </c>
      <c r="R27" s="0" t="s">
        <v>706</v>
      </c>
      <c r="S27" s="0" t="s">
        <v>678</v>
      </c>
      <c r="T27" s="0" t="s">
        <v>625</v>
      </c>
      <c r="U27" s="0" t="str">
        <f aca="false">IF(I27=LEFT(Buscador_Formulacion!$C$4,3),COUNTIF($I$5:I27,LEFT(Buscador_Formulacion!$C$4,3)),"")</f>
        <v/>
      </c>
    </row>
    <row r="28" customFormat="false" ht="15" hidden="false" customHeight="false" outlineLevel="0" collapsed="false">
      <c r="A28" s="0" t="s">
        <v>707</v>
      </c>
      <c r="B28" s="0" t="s">
        <v>672</v>
      </c>
      <c r="C28" s="0" t="s">
        <v>613</v>
      </c>
      <c r="D28" s="0" t="s">
        <v>614</v>
      </c>
      <c r="E28" s="0" t="s">
        <v>673</v>
      </c>
      <c r="F28" s="0" t="s">
        <v>674</v>
      </c>
      <c r="G28" s="0" t="s">
        <v>675</v>
      </c>
      <c r="H28" s="0" t="s">
        <v>676</v>
      </c>
      <c r="I28" s="0" t="s">
        <v>373</v>
      </c>
      <c r="J28" s="0" t="s">
        <v>708</v>
      </c>
      <c r="K28" s="0" t="s">
        <v>709</v>
      </c>
      <c r="L28" s="0" t="s">
        <v>710</v>
      </c>
      <c r="M28" s="0" t="s">
        <v>622</v>
      </c>
      <c r="N28" s="0" t="n">
        <v>0</v>
      </c>
      <c r="O28" s="0" t="n">
        <v>0</v>
      </c>
      <c r="P28" s="0" t="n">
        <v>0</v>
      </c>
      <c r="Q28" s="0" t="n">
        <v>0</v>
      </c>
      <c r="R28" s="0" t="s">
        <v>623</v>
      </c>
      <c r="S28" s="0" t="s">
        <v>678</v>
      </c>
      <c r="T28" s="0" t="s">
        <v>625</v>
      </c>
      <c r="U28" s="0" t="str">
        <f aca="false">IF(I28=LEFT(Buscador_Formulacion!$C$4,3),COUNTIF($I$5:I28,LEFT(Buscador_Formulacion!$C$4,3)),"")</f>
        <v/>
      </c>
    </row>
    <row r="29" customFormat="false" ht="15" hidden="false" customHeight="false" outlineLevel="0" collapsed="false">
      <c r="A29" s="0" t="s">
        <v>711</v>
      </c>
      <c r="B29" s="0" t="s">
        <v>139</v>
      </c>
      <c r="C29" s="0" t="s">
        <v>613</v>
      </c>
      <c r="D29" s="0" t="s">
        <v>712</v>
      </c>
      <c r="E29" s="0" t="s">
        <v>713</v>
      </c>
      <c r="F29" s="0" t="s">
        <v>714</v>
      </c>
      <c r="G29" s="0" t="s">
        <v>715</v>
      </c>
      <c r="H29" s="0" t="s">
        <v>716</v>
      </c>
      <c r="I29" s="0" t="s">
        <v>381</v>
      </c>
      <c r="J29" s="0" t="s">
        <v>627</v>
      </c>
      <c r="K29" s="0" t="s">
        <v>635</v>
      </c>
      <c r="L29" s="0" t="s">
        <v>636</v>
      </c>
      <c r="M29" s="0" t="s">
        <v>622</v>
      </c>
      <c r="N29" s="0" t="n">
        <v>19</v>
      </c>
      <c r="O29" s="0" t="n">
        <v>10</v>
      </c>
      <c r="P29" s="0" t="n">
        <v>9</v>
      </c>
      <c r="Q29" s="0" t="n">
        <v>0</v>
      </c>
      <c r="R29" s="0" t="s">
        <v>717</v>
      </c>
      <c r="S29" s="0" t="s">
        <v>718</v>
      </c>
      <c r="T29" s="0" t="s">
        <v>625</v>
      </c>
      <c r="U29" s="0" t="str">
        <f aca="false">IF(I29=LEFT(Buscador_Formulacion!$C$4,3),COUNTIF($I$5:I29,LEFT(Buscador_Formulacion!$C$4,3)),"")</f>
        <v/>
      </c>
    </row>
    <row r="30" customFormat="false" ht="15" hidden="false" customHeight="false" outlineLevel="0" collapsed="false">
      <c r="A30" s="0" t="s">
        <v>719</v>
      </c>
      <c r="B30" s="0" t="s">
        <v>139</v>
      </c>
      <c r="C30" s="0" t="s">
        <v>613</v>
      </c>
      <c r="D30" s="0" t="s">
        <v>712</v>
      </c>
      <c r="E30" s="0" t="s">
        <v>713</v>
      </c>
      <c r="F30" s="0" t="s">
        <v>714</v>
      </c>
      <c r="G30" s="0" t="s">
        <v>715</v>
      </c>
      <c r="H30" s="0" t="s">
        <v>716</v>
      </c>
      <c r="I30" s="0" t="s">
        <v>172</v>
      </c>
      <c r="J30" s="0" t="s">
        <v>627</v>
      </c>
      <c r="K30" s="0" t="s">
        <v>720</v>
      </c>
      <c r="L30" s="0" t="s">
        <v>636</v>
      </c>
      <c r="M30" s="0" t="s">
        <v>622</v>
      </c>
      <c r="N30" s="0" t="n">
        <v>14</v>
      </c>
      <c r="O30" s="0" t="n">
        <v>6</v>
      </c>
      <c r="P30" s="0" t="n">
        <v>8</v>
      </c>
      <c r="Q30" s="0" t="n">
        <v>1</v>
      </c>
      <c r="R30" s="0" t="s">
        <v>721</v>
      </c>
      <c r="S30" s="0" t="s">
        <v>718</v>
      </c>
      <c r="T30" s="0" t="s">
        <v>625</v>
      </c>
      <c r="U30" s="0" t="str">
        <f aca="false">IF(I30=LEFT(Buscador_Formulacion!$C$4,3),COUNTIF($I$5:I30,LEFT(Buscador_Formulacion!$C$4,3)),"")</f>
        <v/>
      </c>
    </row>
    <row r="31" customFormat="false" ht="15" hidden="false" customHeight="false" outlineLevel="0" collapsed="false">
      <c r="A31" s="0" t="s">
        <v>722</v>
      </c>
      <c r="B31" s="0" t="s">
        <v>139</v>
      </c>
      <c r="C31" s="0" t="s">
        <v>613</v>
      </c>
      <c r="D31" s="0" t="s">
        <v>712</v>
      </c>
      <c r="E31" s="0" t="s">
        <v>713</v>
      </c>
      <c r="F31" s="0" t="s">
        <v>714</v>
      </c>
      <c r="G31" s="0" t="s">
        <v>715</v>
      </c>
      <c r="H31" s="0" t="s">
        <v>716</v>
      </c>
      <c r="I31" s="0" t="s">
        <v>74</v>
      </c>
      <c r="J31" s="0" t="s">
        <v>723</v>
      </c>
      <c r="K31" s="0" t="s">
        <v>724</v>
      </c>
      <c r="L31" s="0" t="s">
        <v>629</v>
      </c>
      <c r="M31" s="0" t="s">
        <v>622</v>
      </c>
      <c r="N31" s="0" t="n">
        <v>10</v>
      </c>
      <c r="O31" s="0" t="n">
        <v>0</v>
      </c>
      <c r="P31" s="0" t="n">
        <v>10</v>
      </c>
      <c r="Q31" s="0" t="n">
        <v>0</v>
      </c>
      <c r="R31" s="0" t="s">
        <v>725</v>
      </c>
      <c r="S31" s="0" t="s">
        <v>718</v>
      </c>
      <c r="T31" s="0" t="s">
        <v>625</v>
      </c>
      <c r="U31" s="0" t="str">
        <f aca="false">IF(I31=LEFT(Buscador_Formulacion!$C$4,3),COUNTIF($I$5:I31,LEFT(Buscador_Formulacion!$C$4,3)),"")</f>
        <v/>
      </c>
    </row>
    <row r="32" customFormat="false" ht="15" hidden="false" customHeight="false" outlineLevel="0" collapsed="false">
      <c r="A32" s="0" t="s">
        <v>726</v>
      </c>
      <c r="B32" s="0" t="s">
        <v>139</v>
      </c>
      <c r="C32" s="0" t="s">
        <v>613</v>
      </c>
      <c r="D32" s="0" t="s">
        <v>712</v>
      </c>
      <c r="E32" s="0" t="s">
        <v>713</v>
      </c>
      <c r="F32" s="0" t="s">
        <v>714</v>
      </c>
      <c r="G32" s="0" t="s">
        <v>715</v>
      </c>
      <c r="H32" s="0" t="s">
        <v>716</v>
      </c>
      <c r="I32" s="0" t="s">
        <v>83</v>
      </c>
      <c r="J32" s="0" t="s">
        <v>642</v>
      </c>
      <c r="K32" s="0" t="s">
        <v>643</v>
      </c>
      <c r="L32" s="0" t="s">
        <v>644</v>
      </c>
      <c r="M32" s="0" t="s">
        <v>622</v>
      </c>
      <c r="N32" s="0" t="n">
        <v>2</v>
      </c>
      <c r="O32" s="0" t="n">
        <v>0</v>
      </c>
      <c r="P32" s="0" t="n">
        <v>2</v>
      </c>
      <c r="Q32" s="0" t="n">
        <v>2</v>
      </c>
      <c r="R32" s="0" t="s">
        <v>727</v>
      </c>
      <c r="S32" s="0" t="s">
        <v>718</v>
      </c>
      <c r="T32" s="0" t="s">
        <v>625</v>
      </c>
      <c r="U32" s="0" t="str">
        <f aca="false">IF(I32=LEFT(Buscador_Formulacion!$C$4,3),COUNTIF($I$5:I32,LEFT(Buscador_Formulacion!$C$4,3)),"")</f>
        <v/>
      </c>
    </row>
    <row r="33" customFormat="false" ht="15" hidden="false" customHeight="false" outlineLevel="0" collapsed="false">
      <c r="A33" s="0" t="s">
        <v>728</v>
      </c>
      <c r="B33" s="0" t="s">
        <v>139</v>
      </c>
      <c r="C33" s="0" t="s">
        <v>613</v>
      </c>
      <c r="D33" s="0" t="s">
        <v>712</v>
      </c>
      <c r="E33" s="0" t="s">
        <v>713</v>
      </c>
      <c r="F33" s="0" t="s">
        <v>714</v>
      </c>
      <c r="G33" s="0" t="s">
        <v>715</v>
      </c>
      <c r="H33" s="0" t="s">
        <v>716</v>
      </c>
      <c r="I33" s="0" t="s">
        <v>729</v>
      </c>
      <c r="J33" s="0" t="s">
        <v>648</v>
      </c>
      <c r="K33" s="0" t="s">
        <v>730</v>
      </c>
      <c r="L33" s="0" t="s">
        <v>644</v>
      </c>
      <c r="M33" s="0" t="s">
        <v>622</v>
      </c>
      <c r="N33" s="0" t="n">
        <v>5</v>
      </c>
      <c r="O33" s="0" t="n">
        <v>0</v>
      </c>
      <c r="P33" s="0" t="n">
        <v>5</v>
      </c>
      <c r="Q33" s="0" t="n">
        <v>0</v>
      </c>
      <c r="R33" s="0" t="s">
        <v>731</v>
      </c>
      <c r="S33" s="0" t="s">
        <v>718</v>
      </c>
      <c r="T33" s="0" t="s">
        <v>625</v>
      </c>
      <c r="U33" s="0" t="str">
        <f aca="false">IF(I33=LEFT(Buscador_Formulacion!$C$4,3),COUNTIF($I$5:I33,LEFT(Buscador_Formulacion!$C$4,3)),"")</f>
        <v/>
      </c>
    </row>
    <row r="34" customFormat="false" ht="15" hidden="false" customHeight="false" outlineLevel="0" collapsed="false">
      <c r="A34" s="0" t="s">
        <v>732</v>
      </c>
      <c r="B34" s="0" t="s">
        <v>139</v>
      </c>
      <c r="C34" s="0" t="s">
        <v>613</v>
      </c>
      <c r="D34" s="0" t="s">
        <v>712</v>
      </c>
      <c r="E34" s="0" t="s">
        <v>713</v>
      </c>
      <c r="F34" s="0" t="s">
        <v>714</v>
      </c>
      <c r="G34" s="0" t="s">
        <v>715</v>
      </c>
      <c r="H34" s="0" t="s">
        <v>716</v>
      </c>
      <c r="I34" s="0" t="s">
        <v>733</v>
      </c>
      <c r="J34" s="0" t="s">
        <v>642</v>
      </c>
      <c r="K34" s="0" t="s">
        <v>734</v>
      </c>
      <c r="L34" s="0" t="s">
        <v>644</v>
      </c>
      <c r="M34" s="0" t="s">
        <v>622</v>
      </c>
      <c r="N34" s="0" t="n">
        <v>8</v>
      </c>
      <c r="O34" s="0" t="n">
        <v>0</v>
      </c>
      <c r="P34" s="0" t="n">
        <v>8</v>
      </c>
      <c r="Q34" s="0" t="n">
        <v>0</v>
      </c>
      <c r="R34" s="0" t="s">
        <v>735</v>
      </c>
      <c r="S34" s="0" t="s">
        <v>718</v>
      </c>
      <c r="T34" s="0" t="s">
        <v>625</v>
      </c>
      <c r="U34" s="0" t="str">
        <f aca="false">IF(I34=LEFT(Buscador_Formulacion!$C$4,3),COUNTIF($I$5:I34,LEFT(Buscador_Formulacion!$C$4,3)),"")</f>
        <v/>
      </c>
    </row>
    <row r="35" customFormat="false" ht="15" hidden="false" customHeight="false" outlineLevel="0" collapsed="false">
      <c r="A35" s="0" t="s">
        <v>736</v>
      </c>
      <c r="B35" s="0" t="s">
        <v>139</v>
      </c>
      <c r="C35" s="0" t="s">
        <v>613</v>
      </c>
      <c r="D35" s="0" t="s">
        <v>712</v>
      </c>
      <c r="E35" s="0" t="s">
        <v>713</v>
      </c>
      <c r="F35" s="0" t="s">
        <v>714</v>
      </c>
      <c r="G35" s="0" t="s">
        <v>715</v>
      </c>
      <c r="H35" s="0" t="s">
        <v>716</v>
      </c>
      <c r="I35" s="0" t="s">
        <v>737</v>
      </c>
      <c r="J35" s="0" t="s">
        <v>627</v>
      </c>
      <c r="K35" s="0" t="s">
        <v>738</v>
      </c>
      <c r="L35" s="0" t="s">
        <v>629</v>
      </c>
      <c r="M35" s="0" t="s">
        <v>622</v>
      </c>
      <c r="N35" s="0" t="n">
        <v>7</v>
      </c>
      <c r="O35" s="0" t="n">
        <v>0</v>
      </c>
      <c r="P35" s="0" t="n">
        <v>7</v>
      </c>
      <c r="Q35" s="0" t="n">
        <v>0</v>
      </c>
      <c r="R35" s="0" t="s">
        <v>739</v>
      </c>
      <c r="S35" s="0" t="s">
        <v>718</v>
      </c>
      <c r="T35" s="0" t="s">
        <v>625</v>
      </c>
      <c r="U35" s="0" t="str">
        <f aca="false">IF(I35=LEFT(Buscador_Formulacion!$C$4,3),COUNTIF($I$5:I35,LEFT(Buscador_Formulacion!$C$4,3)),"")</f>
        <v/>
      </c>
    </row>
    <row r="36" customFormat="false" ht="15" hidden="false" customHeight="false" outlineLevel="0" collapsed="false">
      <c r="A36" s="0" t="s">
        <v>740</v>
      </c>
      <c r="B36" s="0" t="s">
        <v>139</v>
      </c>
      <c r="C36" s="0" t="s">
        <v>613</v>
      </c>
      <c r="D36" s="0" t="s">
        <v>712</v>
      </c>
      <c r="E36" s="0" t="s">
        <v>713</v>
      </c>
      <c r="F36" s="0" t="s">
        <v>714</v>
      </c>
      <c r="G36" s="0" t="s">
        <v>715</v>
      </c>
      <c r="H36" s="0" t="s">
        <v>716</v>
      </c>
      <c r="I36" s="0" t="s">
        <v>691</v>
      </c>
      <c r="J36" s="0" t="s">
        <v>648</v>
      </c>
      <c r="K36" s="0" t="s">
        <v>692</v>
      </c>
      <c r="L36" s="0" t="s">
        <v>644</v>
      </c>
      <c r="M36" s="0" t="s">
        <v>622</v>
      </c>
      <c r="N36" s="0" t="n">
        <v>1</v>
      </c>
      <c r="O36" s="0" t="n">
        <v>0</v>
      </c>
      <c r="P36" s="0" t="n">
        <v>1</v>
      </c>
      <c r="Q36" s="0" t="n">
        <v>0</v>
      </c>
      <c r="R36" s="0" t="s">
        <v>633</v>
      </c>
      <c r="S36" s="0" t="s">
        <v>718</v>
      </c>
      <c r="T36" s="0" t="s">
        <v>625</v>
      </c>
      <c r="U36" s="0" t="str">
        <f aca="false">IF(I36=LEFT(Buscador_Formulacion!$C$4,3),COUNTIF($I$5:I36,LEFT(Buscador_Formulacion!$C$4,3)),"")</f>
        <v/>
      </c>
    </row>
    <row r="37" customFormat="false" ht="15" hidden="false" customHeight="false" outlineLevel="0" collapsed="false">
      <c r="A37" s="0" t="s">
        <v>741</v>
      </c>
      <c r="B37" s="0" t="s">
        <v>139</v>
      </c>
      <c r="C37" s="0" t="s">
        <v>613</v>
      </c>
      <c r="D37" s="0" t="s">
        <v>712</v>
      </c>
      <c r="E37" s="0" t="s">
        <v>713</v>
      </c>
      <c r="F37" s="0" t="s">
        <v>714</v>
      </c>
      <c r="G37" s="0" t="s">
        <v>715</v>
      </c>
      <c r="H37" s="0" t="s">
        <v>716</v>
      </c>
      <c r="I37" s="0" t="s">
        <v>694</v>
      </c>
      <c r="J37" s="0" t="s">
        <v>648</v>
      </c>
      <c r="K37" s="0" t="s">
        <v>695</v>
      </c>
      <c r="L37" s="0" t="s">
        <v>644</v>
      </c>
      <c r="M37" s="0" t="s">
        <v>622</v>
      </c>
      <c r="N37" s="0" t="n">
        <v>1</v>
      </c>
      <c r="O37" s="0" t="n">
        <v>0</v>
      </c>
      <c r="P37" s="0" t="n">
        <v>1</v>
      </c>
      <c r="Q37" s="0" t="n">
        <v>0</v>
      </c>
      <c r="R37" s="0" t="s">
        <v>633</v>
      </c>
      <c r="S37" s="0" t="s">
        <v>718</v>
      </c>
      <c r="T37" s="0" t="s">
        <v>625</v>
      </c>
      <c r="U37" s="0" t="str">
        <f aca="false">IF(I37=LEFT(Buscador_Formulacion!$C$4,3),COUNTIF($I$5:I37,LEFT(Buscador_Formulacion!$C$4,3)),"")</f>
        <v/>
      </c>
    </row>
    <row r="38" customFormat="false" ht="15" hidden="false" customHeight="false" outlineLevel="0" collapsed="false">
      <c r="A38" s="0" t="s">
        <v>742</v>
      </c>
      <c r="B38" s="0" t="s">
        <v>139</v>
      </c>
      <c r="C38" s="0" t="s">
        <v>613</v>
      </c>
      <c r="D38" s="0" t="s">
        <v>712</v>
      </c>
      <c r="E38" s="0" t="s">
        <v>713</v>
      </c>
      <c r="F38" s="0" t="s">
        <v>714</v>
      </c>
      <c r="G38" s="0" t="s">
        <v>715</v>
      </c>
      <c r="H38" s="0" t="s">
        <v>716</v>
      </c>
      <c r="I38" s="0" t="s">
        <v>697</v>
      </c>
      <c r="J38" s="0" t="s">
        <v>648</v>
      </c>
      <c r="K38" s="0" t="s">
        <v>698</v>
      </c>
      <c r="L38" s="0" t="s">
        <v>644</v>
      </c>
      <c r="M38" s="0" t="s">
        <v>622</v>
      </c>
      <c r="N38" s="0" t="n">
        <v>8</v>
      </c>
      <c r="O38" s="0" t="n">
        <v>0</v>
      </c>
      <c r="P38" s="0" t="n">
        <v>8</v>
      </c>
      <c r="Q38" s="0" t="n">
        <v>0</v>
      </c>
      <c r="R38" s="0" t="s">
        <v>735</v>
      </c>
      <c r="S38" s="0" t="s">
        <v>718</v>
      </c>
      <c r="T38" s="0" t="s">
        <v>625</v>
      </c>
      <c r="U38" s="0" t="str">
        <f aca="false">IF(I38=LEFT(Buscador_Formulacion!$C$4,3),COUNTIF($I$5:I38,LEFT(Buscador_Formulacion!$C$4,3)),"")</f>
        <v/>
      </c>
    </row>
    <row r="39" customFormat="false" ht="15" hidden="false" customHeight="false" outlineLevel="0" collapsed="false">
      <c r="A39" s="0" t="s">
        <v>743</v>
      </c>
      <c r="B39" s="0" t="s">
        <v>139</v>
      </c>
      <c r="C39" s="0" t="s">
        <v>613</v>
      </c>
      <c r="D39" s="0" t="s">
        <v>712</v>
      </c>
      <c r="E39" s="0" t="s">
        <v>713</v>
      </c>
      <c r="F39" s="0" t="s">
        <v>714</v>
      </c>
      <c r="G39" s="0" t="s">
        <v>715</v>
      </c>
      <c r="H39" s="0" t="s">
        <v>716</v>
      </c>
      <c r="I39" s="0" t="s">
        <v>154</v>
      </c>
      <c r="J39" s="0" t="s">
        <v>648</v>
      </c>
      <c r="K39" s="0" t="s">
        <v>744</v>
      </c>
      <c r="L39" s="0" t="s">
        <v>644</v>
      </c>
      <c r="M39" s="0" t="s">
        <v>745</v>
      </c>
      <c r="N39" s="0" t="n">
        <v>0</v>
      </c>
      <c r="O39" s="0" t="n">
        <v>0</v>
      </c>
      <c r="P39" s="0" t="n">
        <v>0</v>
      </c>
      <c r="Q39" s="0" t="n">
        <v>1</v>
      </c>
      <c r="R39" s="0" t="s">
        <v>746</v>
      </c>
      <c r="S39" s="0" t="s">
        <v>718</v>
      </c>
      <c r="T39" s="0" t="s">
        <v>625</v>
      </c>
      <c r="U39" s="0" t="str">
        <f aca="false">IF(I39=LEFT(Buscador_Formulacion!$C$4,3),COUNTIF($I$5:I39,LEFT(Buscador_Formulacion!$C$4,3)),"")</f>
        <v/>
      </c>
    </row>
    <row r="40" customFormat="false" ht="15" hidden="false" customHeight="false" outlineLevel="0" collapsed="false">
      <c r="A40" s="0" t="s">
        <v>747</v>
      </c>
      <c r="B40" s="0" t="s">
        <v>139</v>
      </c>
      <c r="C40" s="0" t="s">
        <v>613</v>
      </c>
      <c r="D40" s="0" t="s">
        <v>712</v>
      </c>
      <c r="E40" s="0" t="s">
        <v>713</v>
      </c>
      <c r="F40" s="0" t="s">
        <v>714</v>
      </c>
      <c r="G40" s="0" t="s">
        <v>715</v>
      </c>
      <c r="H40" s="0" t="s">
        <v>716</v>
      </c>
      <c r="I40" s="0" t="s">
        <v>138</v>
      </c>
      <c r="J40" s="0" t="s">
        <v>627</v>
      </c>
      <c r="K40" s="0" t="s">
        <v>628</v>
      </c>
      <c r="L40" s="0" t="s">
        <v>629</v>
      </c>
      <c r="M40" s="0" t="s">
        <v>656</v>
      </c>
      <c r="N40" s="0" t="n">
        <v>0</v>
      </c>
      <c r="O40" s="0" t="n">
        <v>0</v>
      </c>
      <c r="P40" s="0" t="n">
        <v>0</v>
      </c>
      <c r="Q40" s="0" t="n">
        <v>1</v>
      </c>
      <c r="R40" s="0" t="s">
        <v>660</v>
      </c>
      <c r="S40" s="0" t="s">
        <v>718</v>
      </c>
      <c r="T40" s="0" t="s">
        <v>625</v>
      </c>
      <c r="U40" s="0" t="str">
        <f aca="false">IF(I40=LEFT(Buscador_Formulacion!$C$4,3),COUNTIF($I$5:I40,LEFT(Buscador_Formulacion!$C$4,3)),"")</f>
        <v/>
      </c>
    </row>
    <row r="41" customFormat="false" ht="15" hidden="false" customHeight="false" outlineLevel="0" collapsed="false">
      <c r="A41" s="0" t="s">
        <v>748</v>
      </c>
      <c r="B41" s="0" t="s">
        <v>394</v>
      </c>
      <c r="C41" s="0" t="s">
        <v>613</v>
      </c>
      <c r="D41" s="0" t="s">
        <v>749</v>
      </c>
      <c r="E41" s="0" t="s">
        <v>750</v>
      </c>
      <c r="F41" s="0" t="s">
        <v>751</v>
      </c>
      <c r="G41" s="0" t="s">
        <v>752</v>
      </c>
      <c r="H41" s="0" t="s">
        <v>753</v>
      </c>
      <c r="I41" s="0" t="s">
        <v>381</v>
      </c>
      <c r="J41" s="0" t="s">
        <v>627</v>
      </c>
      <c r="K41" s="0" t="s">
        <v>635</v>
      </c>
      <c r="L41" s="0" t="s">
        <v>636</v>
      </c>
      <c r="M41" s="0" t="s">
        <v>622</v>
      </c>
      <c r="N41" s="0" t="n">
        <v>11</v>
      </c>
      <c r="O41" s="0" t="n">
        <v>4</v>
      </c>
      <c r="P41" s="0" t="n">
        <v>7</v>
      </c>
      <c r="Q41" s="0" t="n">
        <v>1</v>
      </c>
      <c r="R41" s="0" t="s">
        <v>754</v>
      </c>
      <c r="S41" s="0" t="s">
        <v>755</v>
      </c>
      <c r="T41" s="0" t="s">
        <v>625</v>
      </c>
      <c r="U41" s="0" t="str">
        <f aca="false">IF(I41=LEFT(Buscador_Formulacion!$C$4,3),COUNTIF($I$5:I41,LEFT(Buscador_Formulacion!$C$4,3)),"")</f>
        <v/>
      </c>
    </row>
    <row r="42" customFormat="false" ht="15" hidden="false" customHeight="false" outlineLevel="0" collapsed="false">
      <c r="A42" s="0" t="s">
        <v>756</v>
      </c>
      <c r="B42" s="0" t="s">
        <v>394</v>
      </c>
      <c r="C42" s="0" t="s">
        <v>613</v>
      </c>
      <c r="D42" s="0" t="s">
        <v>749</v>
      </c>
      <c r="E42" s="0" t="s">
        <v>750</v>
      </c>
      <c r="F42" s="0" t="s">
        <v>751</v>
      </c>
      <c r="G42" s="0" t="s">
        <v>752</v>
      </c>
      <c r="H42" s="0" t="s">
        <v>753</v>
      </c>
      <c r="I42" s="0" t="s">
        <v>737</v>
      </c>
      <c r="J42" s="0" t="s">
        <v>627</v>
      </c>
      <c r="K42" s="0" t="s">
        <v>738</v>
      </c>
      <c r="L42" s="0" t="s">
        <v>629</v>
      </c>
      <c r="M42" s="0" t="s">
        <v>622</v>
      </c>
      <c r="N42" s="0" t="n">
        <v>3</v>
      </c>
      <c r="O42" s="0" t="n">
        <v>0</v>
      </c>
      <c r="P42" s="0" t="n">
        <v>3</v>
      </c>
      <c r="Q42" s="0" t="n">
        <v>0</v>
      </c>
      <c r="R42" s="0" t="s">
        <v>757</v>
      </c>
      <c r="S42" s="0" t="s">
        <v>755</v>
      </c>
      <c r="T42" s="0" t="s">
        <v>625</v>
      </c>
      <c r="U42" s="0" t="str">
        <f aca="false">IF(I42=LEFT(Buscador_Formulacion!$C$4,3),COUNTIF($I$5:I42,LEFT(Buscador_Formulacion!$C$4,3)),"")</f>
        <v/>
      </c>
    </row>
    <row r="43" customFormat="false" ht="15" hidden="false" customHeight="false" outlineLevel="0" collapsed="false">
      <c r="A43" s="0" t="s">
        <v>758</v>
      </c>
      <c r="B43" s="0" t="s">
        <v>394</v>
      </c>
      <c r="C43" s="0" t="s">
        <v>613</v>
      </c>
      <c r="D43" s="0" t="s">
        <v>749</v>
      </c>
      <c r="E43" s="0" t="s">
        <v>750</v>
      </c>
      <c r="F43" s="0" t="s">
        <v>751</v>
      </c>
      <c r="G43" s="0" t="s">
        <v>752</v>
      </c>
      <c r="H43" s="0" t="s">
        <v>753</v>
      </c>
      <c r="I43" s="0" t="s">
        <v>647</v>
      </c>
      <c r="J43" s="0" t="s">
        <v>648</v>
      </c>
      <c r="K43" s="0" t="s">
        <v>649</v>
      </c>
      <c r="L43" s="0" t="s">
        <v>644</v>
      </c>
      <c r="M43" s="0" t="s">
        <v>622</v>
      </c>
      <c r="N43" s="0" t="n">
        <v>1</v>
      </c>
      <c r="O43" s="0" t="n">
        <v>0</v>
      </c>
      <c r="P43" s="0" t="n">
        <v>1</v>
      </c>
      <c r="Q43" s="0" t="n">
        <v>0</v>
      </c>
      <c r="R43" s="0" t="s">
        <v>633</v>
      </c>
      <c r="S43" s="0" t="s">
        <v>755</v>
      </c>
      <c r="T43" s="0" t="s">
        <v>625</v>
      </c>
      <c r="U43" s="0" t="str">
        <f aca="false">IF(I43=LEFT(Buscador_Formulacion!$C$4,3),COUNTIF($I$5:I43,LEFT(Buscador_Formulacion!$C$4,3)),"")</f>
        <v/>
      </c>
    </row>
    <row r="44" customFormat="false" ht="15" hidden="false" customHeight="false" outlineLevel="0" collapsed="false">
      <c r="A44" s="0" t="s">
        <v>759</v>
      </c>
      <c r="B44" s="0" t="s">
        <v>394</v>
      </c>
      <c r="C44" s="0" t="s">
        <v>613</v>
      </c>
      <c r="D44" s="0" t="s">
        <v>749</v>
      </c>
      <c r="E44" s="0" t="s">
        <v>750</v>
      </c>
      <c r="F44" s="0" t="s">
        <v>751</v>
      </c>
      <c r="G44" s="0" t="s">
        <v>752</v>
      </c>
      <c r="H44" s="0" t="s">
        <v>753</v>
      </c>
      <c r="I44" s="0" t="s">
        <v>147</v>
      </c>
      <c r="J44" s="0" t="s">
        <v>638</v>
      </c>
      <c r="K44" s="0" t="s">
        <v>651</v>
      </c>
      <c r="L44" s="0" t="s">
        <v>652</v>
      </c>
      <c r="M44" s="0" t="s">
        <v>622</v>
      </c>
      <c r="N44" s="0" t="n">
        <v>0</v>
      </c>
      <c r="O44" s="0" t="n">
        <v>0</v>
      </c>
      <c r="P44" s="0" t="n">
        <v>0</v>
      </c>
      <c r="Q44" s="0" t="n">
        <v>0</v>
      </c>
      <c r="R44" s="0" t="s">
        <v>623</v>
      </c>
      <c r="S44" s="0" t="s">
        <v>755</v>
      </c>
      <c r="T44" s="0" t="s">
        <v>625</v>
      </c>
      <c r="U44" s="0" t="str">
        <f aca="false">IF(I44=LEFT(Buscador_Formulacion!$C$4,3),COUNTIF($I$5:I44,LEFT(Buscador_Formulacion!$C$4,3)),"")</f>
        <v/>
      </c>
    </row>
    <row r="45" customFormat="false" ht="15" hidden="false" customHeight="false" outlineLevel="0" collapsed="false">
      <c r="A45" s="0" t="s">
        <v>760</v>
      </c>
      <c r="B45" s="0" t="s">
        <v>394</v>
      </c>
      <c r="C45" s="0" t="s">
        <v>613</v>
      </c>
      <c r="D45" s="0" t="s">
        <v>749</v>
      </c>
      <c r="E45" s="0" t="s">
        <v>750</v>
      </c>
      <c r="F45" s="0" t="s">
        <v>751</v>
      </c>
      <c r="G45" s="0" t="s">
        <v>752</v>
      </c>
      <c r="H45" s="0" t="s">
        <v>753</v>
      </c>
      <c r="I45" s="0" t="s">
        <v>471</v>
      </c>
      <c r="J45" s="0" t="s">
        <v>662</v>
      </c>
      <c r="K45" s="0" t="s">
        <v>663</v>
      </c>
      <c r="L45" s="0" t="s">
        <v>664</v>
      </c>
      <c r="M45" s="0" t="s">
        <v>622</v>
      </c>
      <c r="N45" s="0" t="n">
        <v>17</v>
      </c>
      <c r="O45" s="0" t="n">
        <v>16</v>
      </c>
      <c r="P45" s="0" t="n">
        <v>1</v>
      </c>
      <c r="Q45" s="0" t="n">
        <v>0</v>
      </c>
      <c r="R45" s="0" t="s">
        <v>633</v>
      </c>
      <c r="S45" s="0" t="s">
        <v>755</v>
      </c>
      <c r="T45" s="0" t="s">
        <v>625</v>
      </c>
      <c r="U45" s="0" t="str">
        <f aca="false">IF(I45=LEFT(Buscador_Formulacion!$C$4,3),COUNTIF($I$5:I45,LEFT(Buscador_Formulacion!$C$4,3)),"")</f>
        <v/>
      </c>
    </row>
    <row r="46" customFormat="false" ht="15" hidden="false" customHeight="false" outlineLevel="0" collapsed="false">
      <c r="A46" s="0" t="s">
        <v>761</v>
      </c>
      <c r="B46" s="0" t="s">
        <v>394</v>
      </c>
      <c r="C46" s="0" t="s">
        <v>613</v>
      </c>
      <c r="D46" s="0" t="s">
        <v>749</v>
      </c>
      <c r="E46" s="0" t="s">
        <v>750</v>
      </c>
      <c r="F46" s="0" t="s">
        <v>751</v>
      </c>
      <c r="G46" s="0" t="s">
        <v>752</v>
      </c>
      <c r="H46" s="0" t="s">
        <v>753</v>
      </c>
      <c r="I46" s="0" t="s">
        <v>172</v>
      </c>
      <c r="J46" s="0" t="s">
        <v>627</v>
      </c>
      <c r="K46" s="0" t="s">
        <v>720</v>
      </c>
      <c r="L46" s="0" t="s">
        <v>636</v>
      </c>
      <c r="M46" s="0" t="s">
        <v>669</v>
      </c>
      <c r="N46" s="0" t="n">
        <v>0</v>
      </c>
      <c r="O46" s="0" t="n">
        <v>0</v>
      </c>
      <c r="P46" s="0" t="n">
        <v>0</v>
      </c>
      <c r="Q46" s="0" t="n">
        <v>0</v>
      </c>
      <c r="R46" s="0" t="s">
        <v>762</v>
      </c>
      <c r="S46" s="0" t="s">
        <v>755</v>
      </c>
      <c r="T46" s="0" t="s">
        <v>625</v>
      </c>
      <c r="U46" s="0" t="str">
        <f aca="false">IF(I46=LEFT(Buscador_Formulacion!$C$4,3),COUNTIF($I$5:I46,LEFT(Buscador_Formulacion!$C$4,3)),"")</f>
        <v/>
      </c>
    </row>
    <row r="47" customFormat="false" ht="15" hidden="false" customHeight="false" outlineLevel="0" collapsed="false">
      <c r="A47" s="0" t="s">
        <v>763</v>
      </c>
      <c r="B47" s="0" t="s">
        <v>764</v>
      </c>
      <c r="C47" s="0" t="s">
        <v>613</v>
      </c>
      <c r="D47" s="0" t="s">
        <v>749</v>
      </c>
      <c r="E47" s="0" t="s">
        <v>765</v>
      </c>
      <c r="F47" s="0" t="s">
        <v>766</v>
      </c>
      <c r="G47" s="0" t="s">
        <v>767</v>
      </c>
      <c r="H47" s="0" t="s">
        <v>768</v>
      </c>
      <c r="I47" s="0" t="s">
        <v>422</v>
      </c>
      <c r="J47" s="0" t="s">
        <v>627</v>
      </c>
      <c r="K47" s="0" t="s">
        <v>632</v>
      </c>
      <c r="L47" s="0" t="s">
        <v>629</v>
      </c>
      <c r="M47" s="0" t="s">
        <v>622</v>
      </c>
      <c r="N47" s="0" t="n">
        <v>1</v>
      </c>
      <c r="O47" s="0" t="n">
        <v>0</v>
      </c>
      <c r="P47" s="0" t="n">
        <v>1</v>
      </c>
      <c r="Q47" s="0" t="n">
        <v>0</v>
      </c>
      <c r="R47" s="0" t="s">
        <v>633</v>
      </c>
      <c r="S47" s="0" t="s">
        <v>769</v>
      </c>
      <c r="T47" s="0" t="s">
        <v>625</v>
      </c>
      <c r="U47" s="0" t="str">
        <f aca="false">IF(I47=LEFT(Buscador_Formulacion!$C$4,3),COUNTIF($I$5:I47,LEFT(Buscador_Formulacion!$C$4,3)),"")</f>
        <v/>
      </c>
    </row>
    <row r="48" customFormat="false" ht="15" hidden="false" customHeight="false" outlineLevel="0" collapsed="false">
      <c r="A48" s="0" t="s">
        <v>770</v>
      </c>
      <c r="B48" s="0" t="s">
        <v>764</v>
      </c>
      <c r="C48" s="0" t="s">
        <v>613</v>
      </c>
      <c r="D48" s="0" t="s">
        <v>749</v>
      </c>
      <c r="E48" s="0" t="s">
        <v>765</v>
      </c>
      <c r="F48" s="0" t="s">
        <v>766</v>
      </c>
      <c r="G48" s="0" t="s">
        <v>767</v>
      </c>
      <c r="H48" s="0" t="s">
        <v>768</v>
      </c>
      <c r="I48" s="0" t="s">
        <v>83</v>
      </c>
      <c r="J48" s="0" t="s">
        <v>642</v>
      </c>
      <c r="K48" s="0" t="s">
        <v>643</v>
      </c>
      <c r="L48" s="0" t="s">
        <v>644</v>
      </c>
      <c r="M48" s="0" t="s">
        <v>622</v>
      </c>
      <c r="N48" s="0" t="n">
        <v>8</v>
      </c>
      <c r="O48" s="0" t="n">
        <v>6</v>
      </c>
      <c r="P48" s="0" t="n">
        <v>2</v>
      </c>
      <c r="Q48" s="0" t="n">
        <v>0</v>
      </c>
      <c r="R48" s="0" t="s">
        <v>771</v>
      </c>
      <c r="S48" s="0" t="s">
        <v>769</v>
      </c>
      <c r="T48" s="0" t="s">
        <v>625</v>
      </c>
      <c r="U48" s="0" t="str">
        <f aca="false">IF(I48=LEFT(Buscador_Formulacion!$C$4,3),COUNTIF($I$5:I48,LEFT(Buscador_Formulacion!$C$4,3)),"")</f>
        <v/>
      </c>
    </row>
    <row r="49" customFormat="false" ht="15" hidden="false" customHeight="false" outlineLevel="0" collapsed="false">
      <c r="A49" s="0" t="s">
        <v>772</v>
      </c>
      <c r="B49" s="0" t="s">
        <v>764</v>
      </c>
      <c r="C49" s="0" t="s">
        <v>613</v>
      </c>
      <c r="D49" s="0" t="s">
        <v>749</v>
      </c>
      <c r="E49" s="0" t="s">
        <v>765</v>
      </c>
      <c r="F49" s="0" t="s">
        <v>766</v>
      </c>
      <c r="G49" s="0" t="s">
        <v>767</v>
      </c>
      <c r="H49" s="0" t="s">
        <v>768</v>
      </c>
      <c r="I49" s="0" t="s">
        <v>729</v>
      </c>
      <c r="J49" s="0" t="s">
        <v>648</v>
      </c>
      <c r="K49" s="0" t="s">
        <v>730</v>
      </c>
      <c r="L49" s="0" t="s">
        <v>644</v>
      </c>
      <c r="M49" s="0" t="s">
        <v>622</v>
      </c>
      <c r="N49" s="0" t="n">
        <v>2</v>
      </c>
      <c r="O49" s="0" t="n">
        <v>0</v>
      </c>
      <c r="P49" s="0" t="n">
        <v>2</v>
      </c>
      <c r="Q49" s="0" t="n">
        <v>0</v>
      </c>
      <c r="R49" s="0" t="s">
        <v>677</v>
      </c>
      <c r="S49" s="0" t="s">
        <v>769</v>
      </c>
      <c r="T49" s="0" t="s">
        <v>625</v>
      </c>
      <c r="U49" s="0" t="str">
        <f aca="false">IF(I49=LEFT(Buscador_Formulacion!$C$4,3),COUNTIF($I$5:I49,LEFT(Buscador_Formulacion!$C$4,3)),"")</f>
        <v/>
      </c>
    </row>
    <row r="50" customFormat="false" ht="15" hidden="false" customHeight="false" outlineLevel="0" collapsed="false">
      <c r="A50" s="0" t="s">
        <v>773</v>
      </c>
      <c r="B50" s="0" t="s">
        <v>764</v>
      </c>
      <c r="C50" s="0" t="s">
        <v>613</v>
      </c>
      <c r="D50" s="0" t="s">
        <v>749</v>
      </c>
      <c r="E50" s="0" t="s">
        <v>765</v>
      </c>
      <c r="F50" s="0" t="s">
        <v>766</v>
      </c>
      <c r="G50" s="0" t="s">
        <v>767</v>
      </c>
      <c r="H50" s="0" t="s">
        <v>768</v>
      </c>
      <c r="I50" s="0" t="s">
        <v>687</v>
      </c>
      <c r="J50" s="0" t="s">
        <v>648</v>
      </c>
      <c r="K50" s="0" t="s">
        <v>688</v>
      </c>
      <c r="L50" s="0" t="s">
        <v>644</v>
      </c>
      <c r="M50" s="0" t="s">
        <v>622</v>
      </c>
      <c r="N50" s="0" t="n">
        <v>2</v>
      </c>
      <c r="O50" s="0" t="n">
        <v>0</v>
      </c>
      <c r="P50" s="0" t="n">
        <v>2</v>
      </c>
      <c r="Q50" s="0" t="n">
        <v>0</v>
      </c>
      <c r="R50" s="0" t="s">
        <v>677</v>
      </c>
      <c r="S50" s="0" t="s">
        <v>769</v>
      </c>
      <c r="T50" s="0" t="s">
        <v>625</v>
      </c>
      <c r="U50" s="0" t="str">
        <f aca="false">IF(I50=LEFT(Buscador_Formulacion!$C$4,3),COUNTIF($I$5:I50,LEFT(Buscador_Formulacion!$C$4,3)),"")</f>
        <v/>
      </c>
    </row>
    <row r="51" customFormat="false" ht="15" hidden="false" customHeight="false" outlineLevel="0" collapsed="false">
      <c r="A51" s="0" t="s">
        <v>774</v>
      </c>
      <c r="B51" s="0" t="s">
        <v>764</v>
      </c>
      <c r="C51" s="0" t="s">
        <v>613</v>
      </c>
      <c r="D51" s="0" t="s">
        <v>749</v>
      </c>
      <c r="E51" s="0" t="s">
        <v>765</v>
      </c>
      <c r="F51" s="0" t="s">
        <v>766</v>
      </c>
      <c r="G51" s="0" t="s">
        <v>767</v>
      </c>
      <c r="H51" s="0" t="s">
        <v>768</v>
      </c>
      <c r="I51" s="0" t="s">
        <v>647</v>
      </c>
      <c r="J51" s="0" t="s">
        <v>648</v>
      </c>
      <c r="K51" s="0" t="s">
        <v>649</v>
      </c>
      <c r="L51" s="0" t="s">
        <v>644</v>
      </c>
      <c r="M51" s="0" t="s">
        <v>622</v>
      </c>
      <c r="N51" s="0" t="n">
        <v>2</v>
      </c>
      <c r="O51" s="0" t="n">
        <v>0</v>
      </c>
      <c r="P51" s="0" t="n">
        <v>2</v>
      </c>
      <c r="Q51" s="0" t="n">
        <v>0</v>
      </c>
      <c r="R51" s="0" t="s">
        <v>677</v>
      </c>
      <c r="S51" s="0" t="s">
        <v>769</v>
      </c>
      <c r="T51" s="0" t="s">
        <v>625</v>
      </c>
      <c r="U51" s="0" t="str">
        <f aca="false">IF(I51=LEFT(Buscador_Formulacion!$C$4,3),COUNTIF($I$5:I51,LEFT(Buscador_Formulacion!$C$4,3)),"")</f>
        <v/>
      </c>
    </row>
    <row r="52" customFormat="false" ht="15" hidden="false" customHeight="false" outlineLevel="0" collapsed="false">
      <c r="A52" s="0" t="s">
        <v>775</v>
      </c>
      <c r="B52" s="0" t="s">
        <v>764</v>
      </c>
      <c r="C52" s="0" t="s">
        <v>613</v>
      </c>
      <c r="D52" s="0" t="s">
        <v>749</v>
      </c>
      <c r="E52" s="0" t="s">
        <v>765</v>
      </c>
      <c r="F52" s="0" t="s">
        <v>766</v>
      </c>
      <c r="G52" s="0" t="s">
        <v>767</v>
      </c>
      <c r="H52" s="0" t="s">
        <v>768</v>
      </c>
      <c r="I52" s="0" t="s">
        <v>691</v>
      </c>
      <c r="J52" s="0" t="s">
        <v>648</v>
      </c>
      <c r="K52" s="0" t="s">
        <v>692</v>
      </c>
      <c r="L52" s="0" t="s">
        <v>644</v>
      </c>
      <c r="M52" s="0" t="s">
        <v>622</v>
      </c>
      <c r="N52" s="0" t="n">
        <v>2</v>
      </c>
      <c r="O52" s="0" t="n">
        <v>0</v>
      </c>
      <c r="P52" s="0" t="n">
        <v>2</v>
      </c>
      <c r="Q52" s="0" t="n">
        <v>0</v>
      </c>
      <c r="R52" s="0" t="s">
        <v>677</v>
      </c>
      <c r="S52" s="0" t="s">
        <v>769</v>
      </c>
      <c r="T52" s="0" t="s">
        <v>625</v>
      </c>
      <c r="U52" s="0" t="str">
        <f aca="false">IF(I52=LEFT(Buscador_Formulacion!$C$4,3),COUNTIF($I$5:I52,LEFT(Buscador_Formulacion!$C$4,3)),"")</f>
        <v/>
      </c>
    </row>
    <row r="53" customFormat="false" ht="15" hidden="false" customHeight="false" outlineLevel="0" collapsed="false">
      <c r="A53" s="0" t="s">
        <v>776</v>
      </c>
      <c r="B53" s="0" t="s">
        <v>764</v>
      </c>
      <c r="C53" s="0" t="s">
        <v>613</v>
      </c>
      <c r="D53" s="0" t="s">
        <v>749</v>
      </c>
      <c r="E53" s="0" t="s">
        <v>765</v>
      </c>
      <c r="F53" s="0" t="s">
        <v>766</v>
      </c>
      <c r="G53" s="0" t="s">
        <v>767</v>
      </c>
      <c r="H53" s="0" t="s">
        <v>768</v>
      </c>
      <c r="I53" s="0" t="s">
        <v>694</v>
      </c>
      <c r="J53" s="0" t="s">
        <v>648</v>
      </c>
      <c r="K53" s="0" t="s">
        <v>695</v>
      </c>
      <c r="L53" s="0" t="s">
        <v>644</v>
      </c>
      <c r="M53" s="0" t="s">
        <v>622</v>
      </c>
      <c r="N53" s="0" t="n">
        <v>2</v>
      </c>
      <c r="O53" s="0" t="n">
        <v>0</v>
      </c>
      <c r="P53" s="0" t="n">
        <v>2</v>
      </c>
      <c r="Q53" s="0" t="n">
        <v>0</v>
      </c>
      <c r="R53" s="0" t="s">
        <v>677</v>
      </c>
      <c r="S53" s="0" t="s">
        <v>769</v>
      </c>
      <c r="T53" s="0" t="s">
        <v>625</v>
      </c>
      <c r="U53" s="0" t="str">
        <f aca="false">IF(I53=LEFT(Buscador_Formulacion!$C$4,3),COUNTIF($I$5:I53,LEFT(Buscador_Formulacion!$C$4,3)),"")</f>
        <v/>
      </c>
    </row>
    <row r="54" customFormat="false" ht="15" hidden="false" customHeight="false" outlineLevel="0" collapsed="false">
      <c r="A54" s="0" t="s">
        <v>777</v>
      </c>
      <c r="B54" s="0" t="s">
        <v>764</v>
      </c>
      <c r="C54" s="0" t="s">
        <v>613</v>
      </c>
      <c r="D54" s="0" t="s">
        <v>749</v>
      </c>
      <c r="E54" s="0" t="s">
        <v>765</v>
      </c>
      <c r="F54" s="0" t="s">
        <v>766</v>
      </c>
      <c r="G54" s="0" t="s">
        <v>767</v>
      </c>
      <c r="H54" s="0" t="s">
        <v>768</v>
      </c>
      <c r="I54" s="0" t="s">
        <v>697</v>
      </c>
      <c r="J54" s="0" t="s">
        <v>648</v>
      </c>
      <c r="K54" s="0" t="s">
        <v>698</v>
      </c>
      <c r="L54" s="0" t="s">
        <v>644</v>
      </c>
      <c r="M54" s="0" t="s">
        <v>622</v>
      </c>
      <c r="N54" s="0" t="n">
        <v>2</v>
      </c>
      <c r="O54" s="0" t="n">
        <v>0</v>
      </c>
      <c r="P54" s="0" t="n">
        <v>2</v>
      </c>
      <c r="Q54" s="0" t="n">
        <v>0</v>
      </c>
      <c r="R54" s="0" t="s">
        <v>677</v>
      </c>
      <c r="S54" s="0" t="s">
        <v>769</v>
      </c>
      <c r="T54" s="0" t="s">
        <v>625</v>
      </c>
      <c r="U54" s="0" t="str">
        <f aca="false">IF(I54=LEFT(Buscador_Formulacion!$C$4,3),COUNTIF($I$5:I54,LEFT(Buscador_Formulacion!$C$4,3)),"")</f>
        <v/>
      </c>
    </row>
    <row r="55" customFormat="false" ht="15" hidden="false" customHeight="false" outlineLevel="0" collapsed="false">
      <c r="A55" s="0" t="s">
        <v>778</v>
      </c>
      <c r="B55" s="0" t="s">
        <v>764</v>
      </c>
      <c r="C55" s="0" t="s">
        <v>613</v>
      </c>
      <c r="D55" s="0" t="s">
        <v>749</v>
      </c>
      <c r="E55" s="0" t="s">
        <v>765</v>
      </c>
      <c r="F55" s="0" t="s">
        <v>766</v>
      </c>
      <c r="G55" s="0" t="s">
        <v>767</v>
      </c>
      <c r="H55" s="0" t="s">
        <v>768</v>
      </c>
      <c r="I55" s="0" t="s">
        <v>147</v>
      </c>
      <c r="J55" s="0" t="s">
        <v>638</v>
      </c>
      <c r="K55" s="0" t="s">
        <v>651</v>
      </c>
      <c r="L55" s="0" t="s">
        <v>652</v>
      </c>
      <c r="M55" s="0" t="s">
        <v>622</v>
      </c>
      <c r="N55" s="0" t="n">
        <v>0</v>
      </c>
      <c r="O55" s="0" t="n">
        <v>0</v>
      </c>
      <c r="P55" s="0" t="n">
        <v>0</v>
      </c>
      <c r="Q55" s="0" t="n">
        <v>0</v>
      </c>
      <c r="R55" s="0" t="s">
        <v>623</v>
      </c>
      <c r="S55" s="0" t="s">
        <v>769</v>
      </c>
      <c r="T55" s="0" t="s">
        <v>625</v>
      </c>
      <c r="U55" s="0" t="str">
        <f aca="false">IF(I55=LEFT(Buscador_Formulacion!$C$4,3),COUNTIF($I$5:I55,LEFT(Buscador_Formulacion!$C$4,3)),"")</f>
        <v/>
      </c>
    </row>
    <row r="56" customFormat="false" ht="15" hidden="false" customHeight="false" outlineLevel="0" collapsed="false">
      <c r="A56" s="0" t="s">
        <v>779</v>
      </c>
      <c r="B56" s="0" t="s">
        <v>764</v>
      </c>
      <c r="C56" s="0" t="s">
        <v>613</v>
      </c>
      <c r="D56" s="0" t="s">
        <v>749</v>
      </c>
      <c r="E56" s="0" t="s">
        <v>765</v>
      </c>
      <c r="F56" s="0" t="s">
        <v>766</v>
      </c>
      <c r="G56" s="0" t="s">
        <v>767</v>
      </c>
      <c r="H56" s="0" t="s">
        <v>768</v>
      </c>
      <c r="I56" s="0" t="s">
        <v>381</v>
      </c>
      <c r="J56" s="0" t="s">
        <v>627</v>
      </c>
      <c r="K56" s="0" t="s">
        <v>635</v>
      </c>
      <c r="L56" s="0" t="s">
        <v>636</v>
      </c>
      <c r="M56" s="0" t="s">
        <v>669</v>
      </c>
      <c r="N56" s="0" t="n">
        <v>0</v>
      </c>
      <c r="O56" s="0" t="n">
        <v>0</v>
      </c>
      <c r="P56" s="0" t="n">
        <v>0</v>
      </c>
      <c r="Q56" s="0" t="n">
        <v>0</v>
      </c>
      <c r="R56" s="0" t="s">
        <v>780</v>
      </c>
      <c r="S56" s="0" t="s">
        <v>769</v>
      </c>
      <c r="T56" s="0" t="s">
        <v>625</v>
      </c>
      <c r="U56" s="0" t="str">
        <f aca="false">IF(I56=LEFT(Buscador_Formulacion!$C$4,3),COUNTIF($I$5:I56,LEFT(Buscador_Formulacion!$C$4,3)),"")</f>
        <v/>
      </c>
    </row>
    <row r="57" customFormat="false" ht="15" hidden="false" customHeight="false" outlineLevel="0" collapsed="false">
      <c r="A57" s="0" t="s">
        <v>781</v>
      </c>
      <c r="B57" s="0" t="s">
        <v>382</v>
      </c>
      <c r="C57" s="0" t="s">
        <v>613</v>
      </c>
      <c r="D57" s="0" t="s">
        <v>782</v>
      </c>
      <c r="E57" s="0" t="s">
        <v>783</v>
      </c>
      <c r="F57" s="0" t="s">
        <v>784</v>
      </c>
      <c r="G57" s="0" t="s">
        <v>785</v>
      </c>
      <c r="H57" s="0" t="s">
        <v>786</v>
      </c>
      <c r="I57" s="0" t="s">
        <v>478</v>
      </c>
      <c r="J57" s="0" t="s">
        <v>619</v>
      </c>
      <c r="K57" s="0" t="s">
        <v>787</v>
      </c>
      <c r="L57" s="0" t="s">
        <v>788</v>
      </c>
      <c r="M57" s="0" t="s">
        <v>622</v>
      </c>
      <c r="N57" s="0" t="n">
        <v>1</v>
      </c>
      <c r="O57" s="0" t="n">
        <v>0</v>
      </c>
      <c r="P57" s="0" t="n">
        <v>1</v>
      </c>
      <c r="Q57" s="0" t="n">
        <v>0</v>
      </c>
      <c r="R57" s="0" t="s">
        <v>789</v>
      </c>
      <c r="S57" s="0" t="s">
        <v>790</v>
      </c>
      <c r="T57" s="0" t="s">
        <v>625</v>
      </c>
      <c r="U57" s="0" t="str">
        <f aca="false">IF(I57=LEFT(Buscador_Formulacion!$C$4,3),COUNTIF($I$5:I57,LEFT(Buscador_Formulacion!$C$4,3)),"")</f>
        <v/>
      </c>
    </row>
    <row r="58" customFormat="false" ht="15" hidden="false" customHeight="false" outlineLevel="0" collapsed="false">
      <c r="A58" s="0" t="s">
        <v>791</v>
      </c>
      <c r="B58" s="0" t="s">
        <v>382</v>
      </c>
      <c r="C58" s="0" t="s">
        <v>613</v>
      </c>
      <c r="D58" s="0" t="s">
        <v>782</v>
      </c>
      <c r="E58" s="0" t="s">
        <v>783</v>
      </c>
      <c r="F58" s="0" t="s">
        <v>784</v>
      </c>
      <c r="G58" s="0" t="s">
        <v>785</v>
      </c>
      <c r="H58" s="0" t="s">
        <v>786</v>
      </c>
      <c r="I58" s="0" t="s">
        <v>381</v>
      </c>
      <c r="J58" s="0" t="s">
        <v>627</v>
      </c>
      <c r="K58" s="0" t="s">
        <v>635</v>
      </c>
      <c r="L58" s="0" t="s">
        <v>636</v>
      </c>
      <c r="M58" s="0" t="s">
        <v>622</v>
      </c>
      <c r="N58" s="0" t="n">
        <v>5</v>
      </c>
      <c r="O58" s="0" t="n">
        <v>0</v>
      </c>
      <c r="P58" s="0" t="n">
        <v>5</v>
      </c>
      <c r="Q58" s="0" t="n">
        <v>1</v>
      </c>
      <c r="R58" s="0" t="s">
        <v>792</v>
      </c>
      <c r="S58" s="0" t="s">
        <v>790</v>
      </c>
      <c r="T58" s="0" t="s">
        <v>625</v>
      </c>
      <c r="U58" s="0" t="str">
        <f aca="false">IF(I58=LEFT(Buscador_Formulacion!$C$4,3),COUNTIF($I$5:I58,LEFT(Buscador_Formulacion!$C$4,3)),"")</f>
        <v/>
      </c>
    </row>
    <row r="59" customFormat="false" ht="15" hidden="false" customHeight="false" outlineLevel="0" collapsed="false">
      <c r="A59" s="0" t="s">
        <v>793</v>
      </c>
      <c r="B59" s="0" t="s">
        <v>382</v>
      </c>
      <c r="C59" s="0" t="s">
        <v>613</v>
      </c>
      <c r="D59" s="0" t="s">
        <v>782</v>
      </c>
      <c r="E59" s="0" t="s">
        <v>783</v>
      </c>
      <c r="F59" s="0" t="s">
        <v>784</v>
      </c>
      <c r="G59" s="0" t="s">
        <v>785</v>
      </c>
      <c r="H59" s="0" t="s">
        <v>786</v>
      </c>
      <c r="I59" s="0" t="s">
        <v>83</v>
      </c>
      <c r="J59" s="0" t="s">
        <v>642</v>
      </c>
      <c r="K59" s="0" t="s">
        <v>643</v>
      </c>
      <c r="L59" s="0" t="s">
        <v>644</v>
      </c>
      <c r="M59" s="0" t="s">
        <v>622</v>
      </c>
      <c r="N59" s="0" t="n">
        <v>1</v>
      </c>
      <c r="O59" s="0" t="n">
        <v>0</v>
      </c>
      <c r="P59" s="0" t="n">
        <v>1</v>
      </c>
      <c r="Q59" s="0" t="n">
        <v>0</v>
      </c>
      <c r="R59" s="0" t="s">
        <v>633</v>
      </c>
      <c r="S59" s="0" t="s">
        <v>790</v>
      </c>
      <c r="T59" s="0" t="s">
        <v>625</v>
      </c>
      <c r="U59" s="0" t="str">
        <f aca="false">IF(I59=LEFT(Buscador_Formulacion!$C$4,3),COUNTIF($I$5:I59,LEFT(Buscador_Formulacion!$C$4,3)),"")</f>
        <v/>
      </c>
    </row>
    <row r="60" customFormat="false" ht="15" hidden="false" customHeight="false" outlineLevel="0" collapsed="false">
      <c r="A60" s="0" t="s">
        <v>794</v>
      </c>
      <c r="B60" s="0" t="s">
        <v>382</v>
      </c>
      <c r="C60" s="0" t="s">
        <v>613</v>
      </c>
      <c r="D60" s="0" t="s">
        <v>782</v>
      </c>
      <c r="E60" s="0" t="s">
        <v>783</v>
      </c>
      <c r="F60" s="0" t="s">
        <v>784</v>
      </c>
      <c r="G60" s="0" t="s">
        <v>785</v>
      </c>
      <c r="H60" s="0" t="s">
        <v>786</v>
      </c>
      <c r="I60" s="0" t="s">
        <v>733</v>
      </c>
      <c r="J60" s="0" t="s">
        <v>642</v>
      </c>
      <c r="K60" s="0" t="s">
        <v>734</v>
      </c>
      <c r="L60" s="0" t="s">
        <v>644</v>
      </c>
      <c r="M60" s="0" t="s">
        <v>669</v>
      </c>
      <c r="N60" s="0" t="n">
        <v>0</v>
      </c>
      <c r="O60" s="0" t="n">
        <v>0</v>
      </c>
      <c r="P60" s="0" t="n">
        <v>0</v>
      </c>
      <c r="Q60" s="0" t="n">
        <v>0</v>
      </c>
      <c r="R60" s="0" t="s">
        <v>795</v>
      </c>
      <c r="S60" s="0" t="s">
        <v>790</v>
      </c>
      <c r="T60" s="0" t="s">
        <v>625</v>
      </c>
      <c r="U60" s="0" t="str">
        <f aca="false">IF(I60=LEFT(Buscador_Formulacion!$C$4,3),COUNTIF($I$5:I60,LEFT(Buscador_Formulacion!$C$4,3)),"")</f>
        <v/>
      </c>
    </row>
    <row r="61" customFormat="false" ht="15" hidden="false" customHeight="false" outlineLevel="0" collapsed="false">
      <c r="A61" s="0" t="s">
        <v>796</v>
      </c>
      <c r="B61" s="0" t="s">
        <v>398</v>
      </c>
      <c r="C61" s="0" t="s">
        <v>613</v>
      </c>
      <c r="D61" s="0" t="s">
        <v>797</v>
      </c>
      <c r="E61" s="0" t="s">
        <v>798</v>
      </c>
      <c r="F61" s="0" t="s">
        <v>799</v>
      </c>
      <c r="G61" s="0" t="s">
        <v>800</v>
      </c>
      <c r="H61" s="0" t="s">
        <v>801</v>
      </c>
      <c r="I61" s="0" t="s">
        <v>83</v>
      </c>
      <c r="J61" s="0" t="s">
        <v>642</v>
      </c>
      <c r="K61" s="0" t="s">
        <v>643</v>
      </c>
      <c r="L61" s="0" t="s">
        <v>644</v>
      </c>
      <c r="M61" s="0" t="s">
        <v>622</v>
      </c>
      <c r="N61" s="0" t="n">
        <v>0</v>
      </c>
      <c r="O61" s="0" t="n">
        <v>0</v>
      </c>
      <c r="P61" s="0" t="n">
        <v>0</v>
      </c>
      <c r="Q61" s="0" t="n">
        <v>1</v>
      </c>
      <c r="R61" s="0" t="s">
        <v>802</v>
      </c>
      <c r="S61" s="0" t="s">
        <v>803</v>
      </c>
      <c r="T61" s="0" t="s">
        <v>625</v>
      </c>
      <c r="U61" s="0" t="str">
        <f aca="false">IF(I61=LEFT(Buscador_Formulacion!$C$4,3),COUNTIF($I$5:I61,LEFT(Buscador_Formulacion!$C$4,3)),"")</f>
        <v/>
      </c>
    </row>
    <row r="62" customFormat="false" ht="15" hidden="false" customHeight="false" outlineLevel="0" collapsed="false">
      <c r="A62" s="0" t="s">
        <v>804</v>
      </c>
      <c r="B62" s="0" t="s">
        <v>398</v>
      </c>
      <c r="C62" s="0" t="s">
        <v>613</v>
      </c>
      <c r="D62" s="0" t="s">
        <v>797</v>
      </c>
      <c r="E62" s="0" t="s">
        <v>798</v>
      </c>
      <c r="F62" s="0" t="s">
        <v>799</v>
      </c>
      <c r="G62" s="0" t="s">
        <v>800</v>
      </c>
      <c r="H62" s="0" t="s">
        <v>801</v>
      </c>
      <c r="I62" s="0" t="s">
        <v>235</v>
      </c>
      <c r="J62" s="0" t="s">
        <v>805</v>
      </c>
      <c r="K62" s="0" t="s">
        <v>806</v>
      </c>
      <c r="L62" s="0" t="s">
        <v>807</v>
      </c>
      <c r="M62" s="0" t="s">
        <v>745</v>
      </c>
      <c r="N62" s="0" t="n">
        <v>0</v>
      </c>
      <c r="O62" s="0" t="n">
        <v>0</v>
      </c>
      <c r="P62" s="0" t="n">
        <v>0</v>
      </c>
      <c r="Q62" s="0" t="n">
        <v>0</v>
      </c>
      <c r="R62" s="0" t="s">
        <v>808</v>
      </c>
      <c r="S62" s="0" t="s">
        <v>803</v>
      </c>
      <c r="T62" s="0" t="s">
        <v>625</v>
      </c>
      <c r="U62" s="0" t="str">
        <f aca="false">IF(I62=LEFT(Buscador_Formulacion!$C$4,3),COUNTIF($I$5:I62,LEFT(Buscador_Formulacion!$C$4,3)),"")</f>
        <v/>
      </c>
    </row>
    <row r="63" customFormat="false" ht="15" hidden="false" customHeight="false" outlineLevel="0" collapsed="false">
      <c r="A63" s="0" t="s">
        <v>809</v>
      </c>
      <c r="B63" s="0" t="s">
        <v>810</v>
      </c>
      <c r="C63" s="0" t="s">
        <v>613</v>
      </c>
      <c r="D63" s="0" t="s">
        <v>797</v>
      </c>
      <c r="E63" s="0" t="s">
        <v>811</v>
      </c>
      <c r="F63" s="0" t="s">
        <v>812</v>
      </c>
      <c r="G63" s="0" t="s">
        <v>813</v>
      </c>
      <c r="H63" s="0" t="s">
        <v>814</v>
      </c>
      <c r="I63" s="0" t="s">
        <v>83</v>
      </c>
      <c r="J63" s="0" t="s">
        <v>642</v>
      </c>
      <c r="K63" s="0" t="s">
        <v>643</v>
      </c>
      <c r="L63" s="0" t="s">
        <v>644</v>
      </c>
      <c r="M63" s="0" t="s">
        <v>622</v>
      </c>
      <c r="N63" s="0" t="n">
        <v>0</v>
      </c>
      <c r="O63" s="0" t="n">
        <v>0</v>
      </c>
      <c r="P63" s="0" t="n">
        <v>0</v>
      </c>
      <c r="Q63" s="0" t="n">
        <v>0</v>
      </c>
      <c r="R63" s="0" t="s">
        <v>815</v>
      </c>
      <c r="S63" s="0" t="s">
        <v>803</v>
      </c>
      <c r="T63" s="0" t="s">
        <v>625</v>
      </c>
      <c r="U63" s="0" t="str">
        <f aca="false">IF(I63=LEFT(Buscador_Formulacion!$C$4,3),COUNTIF($I$5:I63,LEFT(Buscador_Formulacion!$C$4,3)),"")</f>
        <v/>
      </c>
    </row>
    <row r="64" customFormat="false" ht="15" hidden="false" customHeight="false" outlineLevel="0" collapsed="false">
      <c r="A64" s="0" t="s">
        <v>816</v>
      </c>
      <c r="B64" s="0" t="s">
        <v>810</v>
      </c>
      <c r="C64" s="0" t="s">
        <v>613</v>
      </c>
      <c r="D64" s="0" t="s">
        <v>797</v>
      </c>
      <c r="E64" s="0" t="s">
        <v>811</v>
      </c>
      <c r="F64" s="0" t="s">
        <v>812</v>
      </c>
      <c r="G64" s="0" t="s">
        <v>813</v>
      </c>
      <c r="H64" s="0" t="s">
        <v>814</v>
      </c>
      <c r="I64" s="0" t="s">
        <v>235</v>
      </c>
      <c r="J64" s="0" t="s">
        <v>805</v>
      </c>
      <c r="K64" s="0" t="s">
        <v>806</v>
      </c>
      <c r="L64" s="0" t="s">
        <v>807</v>
      </c>
      <c r="M64" s="0" t="s">
        <v>745</v>
      </c>
      <c r="N64" s="0" t="n">
        <v>0</v>
      </c>
      <c r="O64" s="0" t="n">
        <v>0</v>
      </c>
      <c r="P64" s="0" t="n">
        <v>0</v>
      </c>
      <c r="Q64" s="0" t="n">
        <v>0</v>
      </c>
      <c r="R64" s="0" t="s">
        <v>817</v>
      </c>
      <c r="S64" s="0" t="s">
        <v>803</v>
      </c>
      <c r="T64" s="0" t="s">
        <v>625</v>
      </c>
      <c r="U64" s="0" t="str">
        <f aca="false">IF(I64=LEFT(Buscador_Formulacion!$C$4,3),COUNTIF($I$5:I64,LEFT(Buscador_Formulacion!$C$4,3)),"")</f>
        <v/>
      </c>
    </row>
    <row r="65" customFormat="false" ht="15" hidden="false" customHeight="false" outlineLevel="0" collapsed="false">
      <c r="A65" s="0" t="s">
        <v>818</v>
      </c>
      <c r="B65" s="0" t="s">
        <v>484</v>
      </c>
      <c r="C65" s="0" t="s">
        <v>819</v>
      </c>
      <c r="D65" s="0" t="s">
        <v>820</v>
      </c>
      <c r="E65" s="0" t="s">
        <v>821</v>
      </c>
      <c r="F65" s="0" t="s">
        <v>822</v>
      </c>
      <c r="G65" s="0" t="s">
        <v>823</v>
      </c>
      <c r="H65" s="0" t="s">
        <v>824</v>
      </c>
      <c r="I65" s="0" t="s">
        <v>422</v>
      </c>
      <c r="J65" s="0" t="s">
        <v>627</v>
      </c>
      <c r="K65" s="0" t="s">
        <v>632</v>
      </c>
      <c r="L65" s="0" t="s">
        <v>629</v>
      </c>
      <c r="M65" s="0" t="s">
        <v>622</v>
      </c>
      <c r="N65" s="0" t="n">
        <v>1</v>
      </c>
      <c r="O65" s="0" t="n">
        <v>0</v>
      </c>
      <c r="P65" s="0" t="n">
        <v>1</v>
      </c>
      <c r="Q65" s="0" t="n">
        <v>0</v>
      </c>
      <c r="R65" s="0" t="s">
        <v>633</v>
      </c>
      <c r="S65" s="0" t="s">
        <v>825</v>
      </c>
      <c r="T65" s="0" t="s">
        <v>826</v>
      </c>
      <c r="U65" s="0" t="str">
        <f aca="false">IF(I65=LEFT(Buscador_Formulacion!$C$4,3),COUNTIF($I$5:I65,LEFT(Buscador_Formulacion!$C$4,3)),"")</f>
        <v/>
      </c>
    </row>
    <row r="66" customFormat="false" ht="15" hidden="false" customHeight="false" outlineLevel="0" collapsed="false">
      <c r="A66" s="0" t="s">
        <v>827</v>
      </c>
      <c r="B66" s="0" t="s">
        <v>484</v>
      </c>
      <c r="C66" s="0" t="s">
        <v>819</v>
      </c>
      <c r="D66" s="0" t="s">
        <v>820</v>
      </c>
      <c r="E66" s="0" t="s">
        <v>821</v>
      </c>
      <c r="F66" s="0" t="s">
        <v>822</v>
      </c>
      <c r="G66" s="0" t="s">
        <v>823</v>
      </c>
      <c r="H66" s="0" t="s">
        <v>824</v>
      </c>
      <c r="I66" s="0" t="s">
        <v>411</v>
      </c>
      <c r="J66" s="0" t="s">
        <v>828</v>
      </c>
      <c r="K66" s="0" t="s">
        <v>829</v>
      </c>
      <c r="L66" s="0" t="s">
        <v>830</v>
      </c>
      <c r="M66" s="0" t="s">
        <v>622</v>
      </c>
      <c r="N66" s="0" t="n">
        <v>17</v>
      </c>
      <c r="O66" s="0" t="n">
        <v>14</v>
      </c>
      <c r="P66" s="0" t="n">
        <v>3</v>
      </c>
      <c r="Q66" s="0" t="n">
        <v>1</v>
      </c>
      <c r="R66" s="0" t="s">
        <v>831</v>
      </c>
      <c r="S66" s="0" t="s">
        <v>825</v>
      </c>
      <c r="T66" s="0" t="s">
        <v>826</v>
      </c>
      <c r="U66" s="0" t="str">
        <f aca="false">IF(I66=LEFT(Buscador_Formulacion!$C$4,3),COUNTIF($I$5:I66,LEFT(Buscador_Formulacion!$C$4,3)),"")</f>
        <v/>
      </c>
    </row>
    <row r="67" customFormat="false" ht="15" hidden="false" customHeight="false" outlineLevel="0" collapsed="false">
      <c r="A67" s="0" t="s">
        <v>832</v>
      </c>
      <c r="B67" s="0" t="s">
        <v>484</v>
      </c>
      <c r="C67" s="0" t="s">
        <v>819</v>
      </c>
      <c r="D67" s="0" t="s">
        <v>820</v>
      </c>
      <c r="E67" s="0" t="s">
        <v>821</v>
      </c>
      <c r="F67" s="0" t="s">
        <v>822</v>
      </c>
      <c r="G67" s="0" t="s">
        <v>823</v>
      </c>
      <c r="H67" s="0" t="s">
        <v>824</v>
      </c>
      <c r="I67" s="0" t="s">
        <v>833</v>
      </c>
      <c r="J67" s="0" t="s">
        <v>828</v>
      </c>
      <c r="K67" s="0" t="s">
        <v>834</v>
      </c>
      <c r="L67" s="0" t="s">
        <v>830</v>
      </c>
      <c r="M67" s="0" t="s">
        <v>669</v>
      </c>
      <c r="N67" s="0" t="n">
        <v>0</v>
      </c>
      <c r="O67" s="0" t="n">
        <v>0</v>
      </c>
      <c r="P67" s="0" t="n">
        <v>0</v>
      </c>
      <c r="Q67" s="0" t="n">
        <v>0</v>
      </c>
      <c r="R67" s="0" t="s">
        <v>835</v>
      </c>
      <c r="S67" s="0" t="s">
        <v>825</v>
      </c>
      <c r="T67" s="0" t="s">
        <v>826</v>
      </c>
      <c r="U67" s="0" t="str">
        <f aca="false">IF(I67=LEFT(Buscador_Formulacion!$C$4,3),COUNTIF($I$5:I67,LEFT(Buscador_Formulacion!$C$4,3)),"")</f>
        <v/>
      </c>
    </row>
    <row r="68" customFormat="false" ht="15" hidden="false" customHeight="false" outlineLevel="0" collapsed="false">
      <c r="A68" s="0" t="s">
        <v>836</v>
      </c>
      <c r="B68" s="0" t="s">
        <v>837</v>
      </c>
      <c r="C68" s="0" t="s">
        <v>819</v>
      </c>
      <c r="D68" s="0" t="s">
        <v>820</v>
      </c>
      <c r="E68" s="0" t="s">
        <v>838</v>
      </c>
      <c r="F68" s="0" t="s">
        <v>839</v>
      </c>
      <c r="G68" s="0" t="s">
        <v>840</v>
      </c>
      <c r="H68" s="0" t="s">
        <v>841</v>
      </c>
      <c r="I68" s="0" t="s">
        <v>833</v>
      </c>
      <c r="J68" s="0" t="s">
        <v>828</v>
      </c>
      <c r="K68" s="0" t="s">
        <v>834</v>
      </c>
      <c r="L68" s="0" t="s">
        <v>830</v>
      </c>
      <c r="M68" s="0" t="s">
        <v>622</v>
      </c>
      <c r="N68" s="0" t="n">
        <v>4</v>
      </c>
      <c r="O68" s="0" t="n">
        <v>2</v>
      </c>
      <c r="P68" s="0" t="n">
        <v>2</v>
      </c>
      <c r="Q68" s="0" t="n">
        <v>0</v>
      </c>
      <c r="R68" s="0" t="s">
        <v>677</v>
      </c>
      <c r="S68" s="0" t="s">
        <v>825</v>
      </c>
      <c r="T68" s="0" t="s">
        <v>826</v>
      </c>
      <c r="U68" s="0" t="str">
        <f aca="false">IF(I68=LEFT(Buscador_Formulacion!$C$4,3),COUNTIF($I$5:I68,LEFT(Buscador_Formulacion!$C$4,3)),"")</f>
        <v/>
      </c>
    </row>
    <row r="69" customFormat="false" ht="15" hidden="false" customHeight="false" outlineLevel="0" collapsed="false">
      <c r="A69" s="0" t="s">
        <v>842</v>
      </c>
      <c r="B69" s="0" t="s">
        <v>837</v>
      </c>
      <c r="C69" s="0" t="s">
        <v>819</v>
      </c>
      <c r="D69" s="0" t="s">
        <v>820</v>
      </c>
      <c r="E69" s="0" t="s">
        <v>838</v>
      </c>
      <c r="F69" s="0" t="s">
        <v>839</v>
      </c>
      <c r="G69" s="0" t="s">
        <v>840</v>
      </c>
      <c r="H69" s="0" t="s">
        <v>841</v>
      </c>
      <c r="I69" s="0" t="s">
        <v>411</v>
      </c>
      <c r="J69" s="0" t="s">
        <v>828</v>
      </c>
      <c r="K69" s="0" t="s">
        <v>829</v>
      </c>
      <c r="L69" s="0" t="s">
        <v>830</v>
      </c>
      <c r="M69" s="0" t="s">
        <v>622</v>
      </c>
      <c r="N69" s="0" t="n">
        <v>36</v>
      </c>
      <c r="O69" s="0" t="n">
        <v>20</v>
      </c>
      <c r="P69" s="0" t="n">
        <v>16</v>
      </c>
      <c r="Q69" s="0" t="n">
        <v>0</v>
      </c>
      <c r="R69" s="0" t="s">
        <v>843</v>
      </c>
      <c r="S69" s="0" t="s">
        <v>825</v>
      </c>
      <c r="T69" s="0" t="s">
        <v>826</v>
      </c>
      <c r="U69" s="0" t="str">
        <f aca="false">IF(I69=LEFT(Buscador_Formulacion!$C$4,3),COUNTIF($I$5:I69,LEFT(Buscador_Formulacion!$C$4,3)),"")</f>
        <v/>
      </c>
    </row>
    <row r="70" customFormat="false" ht="15" hidden="false" customHeight="false" outlineLevel="0" collapsed="false">
      <c r="A70" s="0" t="s">
        <v>844</v>
      </c>
      <c r="B70" s="0" t="s">
        <v>837</v>
      </c>
      <c r="C70" s="0" t="s">
        <v>819</v>
      </c>
      <c r="D70" s="0" t="s">
        <v>820</v>
      </c>
      <c r="E70" s="0" t="s">
        <v>838</v>
      </c>
      <c r="F70" s="0" t="s">
        <v>839</v>
      </c>
      <c r="G70" s="0" t="s">
        <v>840</v>
      </c>
      <c r="H70" s="0" t="s">
        <v>841</v>
      </c>
      <c r="I70" s="0" t="s">
        <v>404</v>
      </c>
      <c r="J70" s="0" t="s">
        <v>828</v>
      </c>
      <c r="K70" s="0" t="s">
        <v>845</v>
      </c>
      <c r="L70" s="0" t="s">
        <v>830</v>
      </c>
      <c r="M70" s="0" t="s">
        <v>622</v>
      </c>
      <c r="N70" s="0" t="n">
        <v>11</v>
      </c>
      <c r="O70" s="0" t="n">
        <v>4</v>
      </c>
      <c r="P70" s="0" t="n">
        <v>7</v>
      </c>
      <c r="Q70" s="0" t="n">
        <v>0</v>
      </c>
      <c r="R70" s="0" t="s">
        <v>739</v>
      </c>
      <c r="S70" s="0" t="s">
        <v>825</v>
      </c>
      <c r="T70" s="0" t="s">
        <v>826</v>
      </c>
      <c r="U70" s="0" t="str">
        <f aca="false">IF(I70=LEFT(Buscador_Formulacion!$C$4,3),COUNTIF($I$5:I70,LEFT(Buscador_Formulacion!$C$4,3)),"")</f>
        <v/>
      </c>
    </row>
    <row r="71" customFormat="false" ht="15" hidden="false" customHeight="false" outlineLevel="0" collapsed="false">
      <c r="A71" s="0" t="s">
        <v>846</v>
      </c>
      <c r="B71" s="0" t="s">
        <v>847</v>
      </c>
      <c r="C71" s="0" t="s">
        <v>819</v>
      </c>
      <c r="D71" s="0" t="s">
        <v>820</v>
      </c>
      <c r="E71" s="0" t="s">
        <v>848</v>
      </c>
      <c r="F71" s="0" t="s">
        <v>849</v>
      </c>
      <c r="G71" s="0" t="s">
        <v>850</v>
      </c>
      <c r="H71" s="0" t="s">
        <v>851</v>
      </c>
      <c r="I71" s="0" t="s">
        <v>411</v>
      </c>
      <c r="J71" s="0" t="s">
        <v>828</v>
      </c>
      <c r="K71" s="0" t="s">
        <v>829</v>
      </c>
      <c r="L71" s="0" t="s">
        <v>830</v>
      </c>
      <c r="M71" s="0" t="s">
        <v>622</v>
      </c>
      <c r="N71" s="0" t="n">
        <v>22</v>
      </c>
      <c r="O71" s="0" t="n">
        <v>16</v>
      </c>
      <c r="P71" s="0" t="n">
        <v>6</v>
      </c>
      <c r="Q71" s="0" t="n">
        <v>0</v>
      </c>
      <c r="R71" s="0" t="s">
        <v>852</v>
      </c>
      <c r="S71" s="0" t="s">
        <v>825</v>
      </c>
      <c r="T71" s="0" t="s">
        <v>826</v>
      </c>
      <c r="U71" s="0" t="str">
        <f aca="false">IF(I71=LEFT(Buscador_Formulacion!$C$4,3),COUNTIF($I$5:I71,LEFT(Buscador_Formulacion!$C$4,3)),"")</f>
        <v/>
      </c>
    </row>
    <row r="72" customFormat="false" ht="15" hidden="false" customHeight="false" outlineLevel="0" collapsed="false">
      <c r="A72" s="0" t="s">
        <v>853</v>
      </c>
      <c r="B72" s="0" t="s">
        <v>847</v>
      </c>
      <c r="C72" s="0" t="s">
        <v>819</v>
      </c>
      <c r="D72" s="0" t="s">
        <v>820</v>
      </c>
      <c r="E72" s="0" t="s">
        <v>848</v>
      </c>
      <c r="F72" s="0" t="s">
        <v>849</v>
      </c>
      <c r="G72" s="0" t="s">
        <v>850</v>
      </c>
      <c r="H72" s="0" t="s">
        <v>851</v>
      </c>
      <c r="I72" s="0" t="s">
        <v>404</v>
      </c>
      <c r="J72" s="0" t="s">
        <v>828</v>
      </c>
      <c r="K72" s="0" t="s">
        <v>845</v>
      </c>
      <c r="L72" s="0" t="s">
        <v>830</v>
      </c>
      <c r="M72" s="0" t="s">
        <v>622</v>
      </c>
      <c r="N72" s="0" t="n">
        <v>3</v>
      </c>
      <c r="O72" s="0" t="n">
        <v>0</v>
      </c>
      <c r="P72" s="0" t="n">
        <v>3</v>
      </c>
      <c r="Q72" s="0" t="n">
        <v>0</v>
      </c>
      <c r="R72" s="0" t="s">
        <v>757</v>
      </c>
      <c r="S72" s="0" t="s">
        <v>825</v>
      </c>
      <c r="T72" s="0" t="s">
        <v>826</v>
      </c>
      <c r="U72" s="0" t="str">
        <f aca="false">IF(I72=LEFT(Buscador_Formulacion!$C$4,3),COUNTIF($I$5:I72,LEFT(Buscador_Formulacion!$C$4,3)),"")</f>
        <v/>
      </c>
    </row>
    <row r="73" customFormat="false" ht="15" hidden="false" customHeight="false" outlineLevel="0" collapsed="false">
      <c r="A73" s="0" t="s">
        <v>854</v>
      </c>
      <c r="B73" s="0" t="s">
        <v>855</v>
      </c>
      <c r="C73" s="0" t="s">
        <v>819</v>
      </c>
      <c r="D73" s="0" t="s">
        <v>856</v>
      </c>
      <c r="E73" s="0" t="s">
        <v>857</v>
      </c>
      <c r="F73" s="0" t="s">
        <v>858</v>
      </c>
      <c r="G73" s="0" t="s">
        <v>859</v>
      </c>
      <c r="H73" s="0" t="s">
        <v>860</v>
      </c>
      <c r="I73" s="0" t="s">
        <v>411</v>
      </c>
      <c r="J73" s="0" t="s">
        <v>828</v>
      </c>
      <c r="K73" s="0" t="s">
        <v>829</v>
      </c>
      <c r="L73" s="0" t="s">
        <v>830</v>
      </c>
      <c r="M73" s="0" t="s">
        <v>622</v>
      </c>
      <c r="N73" s="0" t="n">
        <v>1</v>
      </c>
      <c r="O73" s="0" t="n">
        <v>0</v>
      </c>
      <c r="P73" s="0" t="n">
        <v>1</v>
      </c>
      <c r="Q73" s="0" t="n">
        <v>0</v>
      </c>
      <c r="R73" s="0" t="s">
        <v>861</v>
      </c>
      <c r="S73" s="0" t="s">
        <v>862</v>
      </c>
      <c r="T73" s="0" t="s">
        <v>826</v>
      </c>
      <c r="U73" s="0" t="str">
        <f aca="false">IF(I73=LEFT(Buscador_Formulacion!$C$4,3),COUNTIF($I$5:I73,LEFT(Buscador_Formulacion!$C$4,3)),"")</f>
        <v/>
      </c>
    </row>
    <row r="74" customFormat="false" ht="15" hidden="false" customHeight="false" outlineLevel="0" collapsed="false">
      <c r="A74" s="0" t="s">
        <v>863</v>
      </c>
      <c r="B74" s="0" t="s">
        <v>864</v>
      </c>
      <c r="C74" s="0" t="s">
        <v>819</v>
      </c>
      <c r="D74" s="0" t="s">
        <v>856</v>
      </c>
      <c r="E74" s="0" t="s">
        <v>865</v>
      </c>
      <c r="F74" s="0" t="s">
        <v>866</v>
      </c>
      <c r="G74" s="0" t="s">
        <v>867</v>
      </c>
      <c r="H74" s="0" t="s">
        <v>868</v>
      </c>
      <c r="I74" s="0" t="s">
        <v>411</v>
      </c>
      <c r="J74" s="0" t="s">
        <v>828</v>
      </c>
      <c r="K74" s="0" t="s">
        <v>829</v>
      </c>
      <c r="L74" s="0" t="s">
        <v>830</v>
      </c>
      <c r="M74" s="0" t="s">
        <v>622</v>
      </c>
      <c r="N74" s="0" t="n">
        <v>5</v>
      </c>
      <c r="O74" s="0" t="n">
        <v>2</v>
      </c>
      <c r="P74" s="0" t="n">
        <v>3</v>
      </c>
      <c r="Q74" s="0" t="n">
        <v>0</v>
      </c>
      <c r="R74" s="0" t="s">
        <v>869</v>
      </c>
      <c r="S74" s="0" t="s">
        <v>862</v>
      </c>
      <c r="T74" s="0" t="s">
        <v>826</v>
      </c>
      <c r="U74" s="0" t="str">
        <f aca="false">IF(I74=LEFT(Buscador_Formulacion!$C$4,3),COUNTIF($I$5:I74,LEFT(Buscador_Formulacion!$C$4,3)),"")</f>
        <v/>
      </c>
    </row>
    <row r="75" customFormat="false" ht="15" hidden="false" customHeight="false" outlineLevel="0" collapsed="false">
      <c r="A75" s="0" t="s">
        <v>870</v>
      </c>
      <c r="B75" s="0" t="s">
        <v>405</v>
      </c>
      <c r="C75" s="0" t="s">
        <v>819</v>
      </c>
      <c r="D75" s="0" t="s">
        <v>871</v>
      </c>
      <c r="E75" s="0" t="s">
        <v>872</v>
      </c>
      <c r="F75" s="0" t="s">
        <v>873</v>
      </c>
      <c r="G75" s="0" t="s">
        <v>874</v>
      </c>
      <c r="H75" s="0" t="s">
        <v>875</v>
      </c>
      <c r="I75" s="0" t="s">
        <v>422</v>
      </c>
      <c r="J75" s="0" t="s">
        <v>627</v>
      </c>
      <c r="K75" s="0" t="s">
        <v>632</v>
      </c>
      <c r="L75" s="0" t="s">
        <v>629</v>
      </c>
      <c r="M75" s="0" t="s">
        <v>622</v>
      </c>
      <c r="N75" s="0" t="n">
        <v>1</v>
      </c>
      <c r="O75" s="0" t="n">
        <v>1</v>
      </c>
      <c r="P75" s="0" t="n">
        <v>0</v>
      </c>
      <c r="Q75" s="0" t="n">
        <v>0</v>
      </c>
      <c r="R75" s="0" t="s">
        <v>623</v>
      </c>
      <c r="S75" s="0" t="s">
        <v>876</v>
      </c>
      <c r="T75" s="0" t="s">
        <v>826</v>
      </c>
      <c r="U75" s="0" t="str">
        <f aca="false">IF(I75=LEFT(Buscador_Formulacion!$C$4,3),COUNTIF($I$5:I75,LEFT(Buscador_Formulacion!$C$4,3)),"")</f>
        <v/>
      </c>
    </row>
    <row r="76" customFormat="false" ht="15" hidden="false" customHeight="false" outlineLevel="0" collapsed="false">
      <c r="A76" s="0" t="s">
        <v>877</v>
      </c>
      <c r="B76" s="0" t="s">
        <v>405</v>
      </c>
      <c r="C76" s="0" t="s">
        <v>819</v>
      </c>
      <c r="D76" s="0" t="s">
        <v>871</v>
      </c>
      <c r="E76" s="0" t="s">
        <v>872</v>
      </c>
      <c r="F76" s="0" t="s">
        <v>873</v>
      </c>
      <c r="G76" s="0" t="s">
        <v>874</v>
      </c>
      <c r="H76" s="0" t="s">
        <v>875</v>
      </c>
      <c r="I76" s="0" t="s">
        <v>833</v>
      </c>
      <c r="J76" s="0" t="s">
        <v>828</v>
      </c>
      <c r="K76" s="0" t="s">
        <v>834</v>
      </c>
      <c r="L76" s="0" t="s">
        <v>830</v>
      </c>
      <c r="M76" s="0" t="s">
        <v>622</v>
      </c>
      <c r="N76" s="0" t="n">
        <v>2</v>
      </c>
      <c r="O76" s="0" t="n">
        <v>1</v>
      </c>
      <c r="P76" s="0" t="n">
        <v>1</v>
      </c>
      <c r="Q76" s="0" t="n">
        <v>0</v>
      </c>
      <c r="R76" s="0" t="s">
        <v>878</v>
      </c>
      <c r="S76" s="0" t="s">
        <v>876</v>
      </c>
      <c r="T76" s="0" t="s">
        <v>826</v>
      </c>
      <c r="U76" s="0" t="str">
        <f aca="false">IF(I76=LEFT(Buscador_Formulacion!$C$4,3),COUNTIF($I$5:I76,LEFT(Buscador_Formulacion!$C$4,3)),"")</f>
        <v/>
      </c>
    </row>
    <row r="77" customFormat="false" ht="15" hidden="false" customHeight="false" outlineLevel="0" collapsed="false">
      <c r="A77" s="0" t="s">
        <v>879</v>
      </c>
      <c r="B77" s="0" t="s">
        <v>405</v>
      </c>
      <c r="C77" s="0" t="s">
        <v>819</v>
      </c>
      <c r="D77" s="0" t="s">
        <v>871</v>
      </c>
      <c r="E77" s="0" t="s">
        <v>872</v>
      </c>
      <c r="F77" s="0" t="s">
        <v>873</v>
      </c>
      <c r="G77" s="0" t="s">
        <v>874</v>
      </c>
      <c r="H77" s="0" t="s">
        <v>875</v>
      </c>
      <c r="I77" s="0" t="s">
        <v>411</v>
      </c>
      <c r="J77" s="0" t="s">
        <v>828</v>
      </c>
      <c r="K77" s="0" t="s">
        <v>829</v>
      </c>
      <c r="L77" s="0" t="s">
        <v>830</v>
      </c>
      <c r="M77" s="0" t="s">
        <v>622</v>
      </c>
      <c r="N77" s="0" t="n">
        <v>7</v>
      </c>
      <c r="O77" s="0" t="n">
        <v>1</v>
      </c>
      <c r="P77" s="0" t="n">
        <v>6</v>
      </c>
      <c r="Q77" s="0" t="n">
        <v>0</v>
      </c>
      <c r="R77" s="0" t="s">
        <v>880</v>
      </c>
      <c r="S77" s="0" t="s">
        <v>876</v>
      </c>
      <c r="T77" s="0" t="s">
        <v>826</v>
      </c>
      <c r="U77" s="0" t="str">
        <f aca="false">IF(I77=LEFT(Buscador_Formulacion!$C$4,3),COUNTIF($I$5:I77,LEFT(Buscador_Formulacion!$C$4,3)),"")</f>
        <v/>
      </c>
    </row>
    <row r="78" customFormat="false" ht="15" hidden="false" customHeight="false" outlineLevel="0" collapsed="false">
      <c r="A78" s="0" t="s">
        <v>881</v>
      </c>
      <c r="B78" s="0" t="s">
        <v>405</v>
      </c>
      <c r="C78" s="0" t="s">
        <v>819</v>
      </c>
      <c r="D78" s="0" t="s">
        <v>871</v>
      </c>
      <c r="E78" s="0" t="s">
        <v>872</v>
      </c>
      <c r="F78" s="0" t="s">
        <v>873</v>
      </c>
      <c r="G78" s="0" t="s">
        <v>874</v>
      </c>
      <c r="H78" s="0" t="s">
        <v>875</v>
      </c>
      <c r="I78" s="0" t="s">
        <v>404</v>
      </c>
      <c r="J78" s="0" t="s">
        <v>828</v>
      </c>
      <c r="K78" s="0" t="s">
        <v>845</v>
      </c>
      <c r="L78" s="0" t="s">
        <v>830</v>
      </c>
      <c r="M78" s="0" t="s">
        <v>622</v>
      </c>
      <c r="N78" s="0" t="n">
        <v>10</v>
      </c>
      <c r="O78" s="0" t="n">
        <v>1</v>
      </c>
      <c r="P78" s="0" t="n">
        <v>9</v>
      </c>
      <c r="Q78" s="0" t="n">
        <v>1</v>
      </c>
      <c r="R78" s="0" t="s">
        <v>882</v>
      </c>
      <c r="S78" s="0" t="s">
        <v>876</v>
      </c>
      <c r="T78" s="0" t="s">
        <v>826</v>
      </c>
      <c r="U78" s="0" t="str">
        <f aca="false">IF(I78=LEFT(Buscador_Formulacion!$C$4,3),COUNTIF($I$5:I78,LEFT(Buscador_Formulacion!$C$4,3)),"")</f>
        <v/>
      </c>
    </row>
    <row r="79" customFormat="false" ht="15" hidden="false" customHeight="false" outlineLevel="0" collapsed="false">
      <c r="A79" s="0" t="s">
        <v>883</v>
      </c>
      <c r="B79" s="0" t="s">
        <v>412</v>
      </c>
      <c r="C79" s="0" t="s">
        <v>819</v>
      </c>
      <c r="D79" s="0" t="s">
        <v>884</v>
      </c>
      <c r="E79" s="0" t="s">
        <v>885</v>
      </c>
      <c r="F79" s="0" t="s">
        <v>886</v>
      </c>
      <c r="G79" s="0" t="s">
        <v>887</v>
      </c>
      <c r="H79" s="0" t="s">
        <v>888</v>
      </c>
      <c r="I79" s="0" t="s">
        <v>411</v>
      </c>
      <c r="J79" s="0" t="s">
        <v>828</v>
      </c>
      <c r="K79" s="0" t="s">
        <v>829</v>
      </c>
      <c r="L79" s="0" t="s">
        <v>830</v>
      </c>
      <c r="M79" s="0" t="s">
        <v>622</v>
      </c>
      <c r="N79" s="0" t="n">
        <v>35</v>
      </c>
      <c r="O79" s="0" t="n">
        <v>14</v>
      </c>
      <c r="P79" s="0" t="n">
        <v>21</v>
      </c>
      <c r="Q79" s="0" t="n">
        <v>1</v>
      </c>
      <c r="R79" s="0" t="s">
        <v>889</v>
      </c>
      <c r="S79" s="0" t="s">
        <v>890</v>
      </c>
      <c r="T79" s="0" t="s">
        <v>826</v>
      </c>
      <c r="U79" s="0" t="str">
        <f aca="false">IF(I79=LEFT(Buscador_Formulacion!$C$4,3),COUNTIF($I$5:I79,LEFT(Buscador_Formulacion!$C$4,3)),"")</f>
        <v/>
      </c>
    </row>
    <row r="80" customFormat="false" ht="15" hidden="false" customHeight="false" outlineLevel="0" collapsed="false">
      <c r="A80" s="0" t="s">
        <v>891</v>
      </c>
      <c r="B80" s="0" t="s">
        <v>412</v>
      </c>
      <c r="C80" s="0" t="s">
        <v>819</v>
      </c>
      <c r="D80" s="0" t="s">
        <v>884</v>
      </c>
      <c r="E80" s="0" t="s">
        <v>885</v>
      </c>
      <c r="F80" s="0" t="s">
        <v>886</v>
      </c>
      <c r="G80" s="0" t="s">
        <v>887</v>
      </c>
      <c r="H80" s="0" t="s">
        <v>888</v>
      </c>
      <c r="I80" s="0" t="s">
        <v>404</v>
      </c>
      <c r="J80" s="0" t="s">
        <v>828</v>
      </c>
      <c r="K80" s="0" t="s">
        <v>845</v>
      </c>
      <c r="L80" s="0" t="s">
        <v>830</v>
      </c>
      <c r="M80" s="0" t="s">
        <v>622</v>
      </c>
      <c r="N80" s="0" t="n">
        <v>7</v>
      </c>
      <c r="O80" s="0" t="n">
        <v>5</v>
      </c>
      <c r="P80" s="0" t="n">
        <v>2</v>
      </c>
      <c r="Q80" s="0" t="n">
        <v>0</v>
      </c>
      <c r="R80" s="0" t="s">
        <v>677</v>
      </c>
      <c r="S80" s="0" t="s">
        <v>890</v>
      </c>
      <c r="T80" s="0" t="s">
        <v>826</v>
      </c>
      <c r="U80" s="0" t="str">
        <f aca="false">IF(I80=LEFT(Buscador_Formulacion!$C$4,3),COUNTIF($I$5:I80,LEFT(Buscador_Formulacion!$C$4,3)),"")</f>
        <v/>
      </c>
    </row>
    <row r="81" customFormat="false" ht="15" hidden="false" customHeight="false" outlineLevel="0" collapsed="false">
      <c r="A81" s="0" t="s">
        <v>892</v>
      </c>
      <c r="B81" s="0" t="s">
        <v>893</v>
      </c>
      <c r="C81" s="0" t="s">
        <v>894</v>
      </c>
      <c r="D81" s="0" t="s">
        <v>895</v>
      </c>
      <c r="E81" s="0" t="s">
        <v>896</v>
      </c>
      <c r="F81" s="0" t="s">
        <v>897</v>
      </c>
      <c r="G81" s="0" t="s">
        <v>898</v>
      </c>
      <c r="H81" s="0" t="s">
        <v>899</v>
      </c>
      <c r="I81" s="0" t="s">
        <v>833</v>
      </c>
      <c r="J81" s="0" t="s">
        <v>828</v>
      </c>
      <c r="K81" s="0" t="s">
        <v>834</v>
      </c>
      <c r="L81" s="0" t="s">
        <v>830</v>
      </c>
      <c r="M81" s="0" t="s">
        <v>745</v>
      </c>
      <c r="N81" s="0" t="n">
        <v>0</v>
      </c>
      <c r="O81" s="0" t="n">
        <v>0</v>
      </c>
      <c r="P81" s="0" t="n">
        <v>0</v>
      </c>
      <c r="Q81" s="0" t="n">
        <v>0</v>
      </c>
      <c r="R81" s="0" t="s">
        <v>623</v>
      </c>
      <c r="S81" s="0" t="s">
        <v>900</v>
      </c>
      <c r="T81" s="0" t="s">
        <v>901</v>
      </c>
      <c r="U81" s="0" t="str">
        <f aca="false">IF(I81=LEFT(Buscador_Formulacion!$C$4,3),COUNTIF($I$5:I81,LEFT(Buscador_Formulacion!$C$4,3)),"")</f>
        <v/>
      </c>
    </row>
    <row r="82" customFormat="false" ht="15" hidden="false" customHeight="false" outlineLevel="0" collapsed="false">
      <c r="A82" s="0" t="s">
        <v>902</v>
      </c>
      <c r="B82" s="0" t="s">
        <v>893</v>
      </c>
      <c r="C82" s="0" t="s">
        <v>894</v>
      </c>
      <c r="D82" s="0" t="s">
        <v>895</v>
      </c>
      <c r="E82" s="0" t="s">
        <v>896</v>
      </c>
      <c r="F82" s="0" t="s">
        <v>897</v>
      </c>
      <c r="G82" s="0" t="s">
        <v>898</v>
      </c>
      <c r="H82" s="0" t="s">
        <v>899</v>
      </c>
      <c r="I82" s="0" t="s">
        <v>903</v>
      </c>
      <c r="J82" s="0" t="s">
        <v>662</v>
      </c>
      <c r="K82" s="0" t="s">
        <v>904</v>
      </c>
      <c r="L82" s="0" t="s">
        <v>905</v>
      </c>
      <c r="M82" s="0" t="s">
        <v>745</v>
      </c>
      <c r="N82" s="0" t="n">
        <v>0</v>
      </c>
      <c r="O82" s="0" t="n">
        <v>0</v>
      </c>
      <c r="P82" s="0" t="n">
        <v>0</v>
      </c>
      <c r="Q82" s="0" t="n">
        <v>0</v>
      </c>
      <c r="R82" s="0" t="s">
        <v>906</v>
      </c>
      <c r="S82" s="0" t="s">
        <v>900</v>
      </c>
      <c r="T82" s="0" t="s">
        <v>901</v>
      </c>
      <c r="U82" s="0" t="str">
        <f aca="false">IF(I82=LEFT(Buscador_Formulacion!$C$4,3),COUNTIF($I$5:I82,LEFT(Buscador_Formulacion!$C$4,3)),"")</f>
        <v/>
      </c>
    </row>
    <row r="83" customFormat="false" ht="15" hidden="false" customHeight="false" outlineLevel="0" collapsed="false">
      <c r="A83" s="0" t="s">
        <v>907</v>
      </c>
      <c r="B83" s="0" t="s">
        <v>893</v>
      </c>
      <c r="C83" s="0" t="s">
        <v>894</v>
      </c>
      <c r="D83" s="0" t="s">
        <v>895</v>
      </c>
      <c r="E83" s="0" t="s">
        <v>896</v>
      </c>
      <c r="F83" s="0" t="s">
        <v>897</v>
      </c>
      <c r="G83" s="0" t="s">
        <v>898</v>
      </c>
      <c r="H83" s="0" t="s">
        <v>899</v>
      </c>
      <c r="I83" s="0" t="s">
        <v>180</v>
      </c>
      <c r="J83" s="0" t="s">
        <v>638</v>
      </c>
      <c r="K83" s="0" t="s">
        <v>659</v>
      </c>
      <c r="L83" s="0" t="s">
        <v>652</v>
      </c>
      <c r="M83" s="0" t="s">
        <v>669</v>
      </c>
      <c r="N83" s="0" t="n">
        <v>0</v>
      </c>
      <c r="O83" s="0" t="n">
        <v>0</v>
      </c>
      <c r="P83" s="0" t="n">
        <v>0</v>
      </c>
      <c r="Q83" s="0" t="n">
        <v>0</v>
      </c>
      <c r="R83" s="0" t="s">
        <v>908</v>
      </c>
      <c r="S83" s="0" t="s">
        <v>900</v>
      </c>
      <c r="T83" s="0" t="s">
        <v>901</v>
      </c>
      <c r="U83" s="0" t="str">
        <f aca="false">IF(I83=LEFT(Buscador_Formulacion!$C$4,3),COUNTIF($I$5:I83,LEFT(Buscador_Formulacion!$C$4,3)),"")</f>
        <v/>
      </c>
    </row>
    <row r="84" customFormat="false" ht="15" hidden="false" customHeight="false" outlineLevel="0" collapsed="false">
      <c r="A84" s="0" t="s">
        <v>909</v>
      </c>
      <c r="B84" s="0" t="s">
        <v>893</v>
      </c>
      <c r="C84" s="0" t="s">
        <v>894</v>
      </c>
      <c r="D84" s="0" t="s">
        <v>895</v>
      </c>
      <c r="E84" s="0" t="s">
        <v>896</v>
      </c>
      <c r="F84" s="0" t="s">
        <v>897</v>
      </c>
      <c r="G84" s="0" t="s">
        <v>898</v>
      </c>
      <c r="H84" s="0" t="s">
        <v>899</v>
      </c>
      <c r="I84" s="0" t="s">
        <v>138</v>
      </c>
      <c r="J84" s="0" t="s">
        <v>627</v>
      </c>
      <c r="K84" s="0" t="s">
        <v>628</v>
      </c>
      <c r="L84" s="0" t="s">
        <v>629</v>
      </c>
      <c r="M84" s="0" t="s">
        <v>669</v>
      </c>
      <c r="N84" s="0" t="n">
        <v>0</v>
      </c>
      <c r="O84" s="0" t="n">
        <v>0</v>
      </c>
      <c r="P84" s="0" t="n">
        <v>0</v>
      </c>
      <c r="Q84" s="0" t="n">
        <v>0</v>
      </c>
      <c r="R84" s="0" t="s">
        <v>910</v>
      </c>
      <c r="S84" s="0" t="s">
        <v>900</v>
      </c>
      <c r="T84" s="0" t="s">
        <v>901</v>
      </c>
      <c r="U84" s="0" t="str">
        <f aca="false">IF(I84=LEFT(Buscador_Formulacion!$C$4,3),COUNTIF($I$5:I84,LEFT(Buscador_Formulacion!$C$4,3)),"")</f>
        <v/>
      </c>
    </row>
    <row r="85" customFormat="false" ht="15" hidden="false" customHeight="false" outlineLevel="0" collapsed="false">
      <c r="A85" s="0" t="s">
        <v>911</v>
      </c>
      <c r="B85" s="0" t="s">
        <v>912</v>
      </c>
      <c r="C85" s="0" t="s">
        <v>894</v>
      </c>
      <c r="D85" s="0" t="s">
        <v>913</v>
      </c>
      <c r="E85" s="0" t="s">
        <v>914</v>
      </c>
      <c r="F85" s="0" t="s">
        <v>915</v>
      </c>
      <c r="G85" s="0" t="s">
        <v>916</v>
      </c>
      <c r="H85" s="0" t="s">
        <v>917</v>
      </c>
      <c r="I85" s="0" t="s">
        <v>381</v>
      </c>
      <c r="J85" s="0" t="s">
        <v>627</v>
      </c>
      <c r="K85" s="0" t="s">
        <v>635</v>
      </c>
      <c r="L85" s="0" t="s">
        <v>636</v>
      </c>
      <c r="M85" s="0" t="s">
        <v>622</v>
      </c>
      <c r="N85" s="0" t="n">
        <v>3</v>
      </c>
      <c r="O85" s="0" t="n">
        <v>3</v>
      </c>
      <c r="P85" s="0" t="n">
        <v>0</v>
      </c>
      <c r="Q85" s="0" t="n">
        <v>0</v>
      </c>
      <c r="R85" s="0" t="s">
        <v>623</v>
      </c>
      <c r="S85" s="0" t="s">
        <v>918</v>
      </c>
      <c r="T85" s="0" t="s">
        <v>901</v>
      </c>
      <c r="U85" s="0" t="str">
        <f aca="false">IF(I85=LEFT(Buscador_Formulacion!$C$4,3),COUNTIF($I$5:I85,LEFT(Buscador_Formulacion!$C$4,3)),"")</f>
        <v/>
      </c>
    </row>
    <row r="86" customFormat="false" ht="15" hidden="false" customHeight="false" outlineLevel="0" collapsed="false">
      <c r="A86" s="0" t="s">
        <v>919</v>
      </c>
      <c r="B86" s="0" t="s">
        <v>912</v>
      </c>
      <c r="C86" s="0" t="s">
        <v>894</v>
      </c>
      <c r="D86" s="0" t="s">
        <v>913</v>
      </c>
      <c r="E86" s="0" t="s">
        <v>914</v>
      </c>
      <c r="F86" s="0" t="s">
        <v>915</v>
      </c>
      <c r="G86" s="0" t="s">
        <v>916</v>
      </c>
      <c r="H86" s="0" t="s">
        <v>917</v>
      </c>
      <c r="I86" s="0" t="s">
        <v>903</v>
      </c>
      <c r="J86" s="0" t="s">
        <v>662</v>
      </c>
      <c r="K86" s="0" t="s">
        <v>904</v>
      </c>
      <c r="L86" s="0" t="s">
        <v>905</v>
      </c>
      <c r="M86" s="0" t="s">
        <v>622</v>
      </c>
      <c r="N86" s="0" t="n">
        <v>8</v>
      </c>
      <c r="O86" s="0" t="n">
        <v>4</v>
      </c>
      <c r="P86" s="0" t="n">
        <v>4</v>
      </c>
      <c r="Q86" s="0" t="n">
        <v>0</v>
      </c>
      <c r="R86" s="0" t="s">
        <v>920</v>
      </c>
      <c r="S86" s="0" t="s">
        <v>918</v>
      </c>
      <c r="T86" s="0" t="s">
        <v>901</v>
      </c>
      <c r="U86" s="0" t="str">
        <f aca="false">IF(I86=LEFT(Buscador_Formulacion!$C$4,3),COUNTIF($I$5:I86,LEFT(Buscador_Formulacion!$C$4,3)),"")</f>
        <v/>
      </c>
    </row>
    <row r="87" customFormat="false" ht="15" hidden="false" customHeight="false" outlineLevel="0" collapsed="false">
      <c r="A87" s="0" t="s">
        <v>921</v>
      </c>
      <c r="B87" s="0" t="s">
        <v>912</v>
      </c>
      <c r="C87" s="0" t="s">
        <v>894</v>
      </c>
      <c r="D87" s="0" t="s">
        <v>913</v>
      </c>
      <c r="E87" s="0" t="s">
        <v>914</v>
      </c>
      <c r="F87" s="0" t="s">
        <v>915</v>
      </c>
      <c r="G87" s="0" t="s">
        <v>916</v>
      </c>
      <c r="H87" s="0" t="s">
        <v>917</v>
      </c>
      <c r="I87" s="0" t="s">
        <v>733</v>
      </c>
      <c r="J87" s="0" t="s">
        <v>642</v>
      </c>
      <c r="K87" s="0" t="s">
        <v>734</v>
      </c>
      <c r="L87" s="0" t="s">
        <v>644</v>
      </c>
      <c r="M87" s="0" t="s">
        <v>669</v>
      </c>
      <c r="N87" s="0" t="n">
        <v>0</v>
      </c>
      <c r="O87" s="0" t="n">
        <v>0</v>
      </c>
      <c r="P87" s="0" t="n">
        <v>0</v>
      </c>
      <c r="Q87" s="0" t="n">
        <v>0</v>
      </c>
      <c r="R87" s="0" t="s">
        <v>922</v>
      </c>
      <c r="S87" s="0" t="s">
        <v>918</v>
      </c>
      <c r="T87" s="0" t="s">
        <v>901</v>
      </c>
      <c r="U87" s="0" t="str">
        <f aca="false">IF(I87=LEFT(Buscador_Formulacion!$C$4,3),COUNTIF($I$5:I87,LEFT(Buscador_Formulacion!$C$4,3)),"")</f>
        <v/>
      </c>
    </row>
    <row r="88" customFormat="false" ht="15" hidden="false" customHeight="false" outlineLevel="0" collapsed="false">
      <c r="A88" s="0" t="s">
        <v>923</v>
      </c>
      <c r="B88" s="0" t="s">
        <v>924</v>
      </c>
      <c r="C88" s="0" t="s">
        <v>894</v>
      </c>
      <c r="D88" s="0" t="s">
        <v>913</v>
      </c>
      <c r="E88" s="0" t="s">
        <v>925</v>
      </c>
      <c r="F88" s="0" t="s">
        <v>926</v>
      </c>
      <c r="G88" s="0" t="s">
        <v>927</v>
      </c>
      <c r="H88" s="0" t="s">
        <v>928</v>
      </c>
      <c r="I88" s="0" t="s">
        <v>903</v>
      </c>
      <c r="J88" s="0" t="s">
        <v>662</v>
      </c>
      <c r="K88" s="0" t="s">
        <v>904</v>
      </c>
      <c r="L88" s="0" t="s">
        <v>905</v>
      </c>
      <c r="M88" s="0" t="s">
        <v>622</v>
      </c>
      <c r="N88" s="0" t="n">
        <v>15</v>
      </c>
      <c r="O88" s="0" t="n">
        <v>7</v>
      </c>
      <c r="P88" s="0" t="n">
        <v>8</v>
      </c>
      <c r="Q88" s="0" t="n">
        <v>0</v>
      </c>
      <c r="R88" s="0" t="s">
        <v>929</v>
      </c>
      <c r="S88" s="0" t="s">
        <v>930</v>
      </c>
      <c r="T88" s="0" t="s">
        <v>901</v>
      </c>
      <c r="U88" s="0" t="str">
        <f aca="false">IF(I88=LEFT(Buscador_Formulacion!$C$4,3),COUNTIF($I$5:I88,LEFT(Buscador_Formulacion!$C$4,3)),"")</f>
        <v/>
      </c>
    </row>
    <row r="89" customFormat="false" ht="15" hidden="false" customHeight="false" outlineLevel="0" collapsed="false">
      <c r="A89" s="0" t="s">
        <v>931</v>
      </c>
      <c r="B89" s="0" t="s">
        <v>924</v>
      </c>
      <c r="C89" s="0" t="s">
        <v>894</v>
      </c>
      <c r="D89" s="0" t="s">
        <v>913</v>
      </c>
      <c r="E89" s="0" t="s">
        <v>925</v>
      </c>
      <c r="F89" s="0" t="s">
        <v>926</v>
      </c>
      <c r="G89" s="0" t="s">
        <v>927</v>
      </c>
      <c r="H89" s="0" t="s">
        <v>928</v>
      </c>
      <c r="I89" s="0" t="s">
        <v>180</v>
      </c>
      <c r="J89" s="0" t="s">
        <v>638</v>
      </c>
      <c r="K89" s="0" t="s">
        <v>659</v>
      </c>
      <c r="L89" s="0" t="s">
        <v>652</v>
      </c>
      <c r="M89" s="0" t="s">
        <v>669</v>
      </c>
      <c r="N89" s="0" t="n">
        <v>0</v>
      </c>
      <c r="O89" s="0" t="n">
        <v>0</v>
      </c>
      <c r="P89" s="0" t="n">
        <v>0</v>
      </c>
      <c r="Q89" s="0" t="n">
        <v>0</v>
      </c>
      <c r="R89" s="0" t="s">
        <v>932</v>
      </c>
      <c r="S89" s="0" t="s">
        <v>930</v>
      </c>
      <c r="T89" s="0" t="s">
        <v>901</v>
      </c>
      <c r="U89" s="0" t="str">
        <f aca="false">IF(I89=LEFT(Buscador_Formulacion!$C$4,3),COUNTIF($I$5:I89,LEFT(Buscador_Formulacion!$C$4,3)),"")</f>
        <v/>
      </c>
    </row>
    <row r="90" customFormat="false" ht="15" hidden="false" customHeight="false" outlineLevel="0" collapsed="false">
      <c r="A90" s="0" t="s">
        <v>933</v>
      </c>
      <c r="B90" s="0" t="s">
        <v>934</v>
      </c>
      <c r="C90" s="0" t="s">
        <v>894</v>
      </c>
      <c r="D90" s="0" t="s">
        <v>913</v>
      </c>
      <c r="E90" s="0" t="s">
        <v>935</v>
      </c>
      <c r="F90" s="0" t="s">
        <v>936</v>
      </c>
      <c r="G90" s="0" t="s">
        <v>937</v>
      </c>
      <c r="H90" s="0" t="s">
        <v>938</v>
      </c>
      <c r="I90" s="0" t="s">
        <v>903</v>
      </c>
      <c r="J90" s="0" t="s">
        <v>662</v>
      </c>
      <c r="K90" s="0" t="s">
        <v>904</v>
      </c>
      <c r="L90" s="0" t="s">
        <v>905</v>
      </c>
      <c r="M90" s="0" t="s">
        <v>622</v>
      </c>
      <c r="N90" s="0" t="n">
        <v>7</v>
      </c>
      <c r="O90" s="0" t="n">
        <v>4</v>
      </c>
      <c r="P90" s="0" t="n">
        <v>3</v>
      </c>
      <c r="Q90" s="0" t="n">
        <v>0</v>
      </c>
      <c r="R90" s="0" t="s">
        <v>939</v>
      </c>
      <c r="S90" s="0" t="s">
        <v>940</v>
      </c>
      <c r="T90" s="0" t="s">
        <v>901</v>
      </c>
      <c r="U90" s="0" t="str">
        <f aca="false">IF(I90=LEFT(Buscador_Formulacion!$C$4,3),COUNTIF($I$5:I90,LEFT(Buscador_Formulacion!$C$4,3)),"")</f>
        <v/>
      </c>
    </row>
    <row r="91" customFormat="false" ht="15" hidden="false" customHeight="false" outlineLevel="0" collapsed="false">
      <c r="A91" s="0" t="s">
        <v>941</v>
      </c>
      <c r="B91" s="0" t="s">
        <v>934</v>
      </c>
      <c r="C91" s="0" t="s">
        <v>894</v>
      </c>
      <c r="D91" s="0" t="s">
        <v>913</v>
      </c>
      <c r="E91" s="0" t="s">
        <v>935</v>
      </c>
      <c r="F91" s="0" t="s">
        <v>936</v>
      </c>
      <c r="G91" s="0" t="s">
        <v>937</v>
      </c>
      <c r="H91" s="0" t="s">
        <v>938</v>
      </c>
      <c r="I91" s="0" t="s">
        <v>942</v>
      </c>
      <c r="J91" s="0" t="s">
        <v>662</v>
      </c>
      <c r="K91" s="0" t="s">
        <v>943</v>
      </c>
      <c r="L91" s="0" t="s">
        <v>905</v>
      </c>
      <c r="M91" s="0" t="s">
        <v>622</v>
      </c>
      <c r="N91" s="0" t="n">
        <v>2</v>
      </c>
      <c r="O91" s="0" t="n">
        <v>1</v>
      </c>
      <c r="P91" s="0" t="n">
        <v>1</v>
      </c>
      <c r="Q91" s="0" t="n">
        <v>0</v>
      </c>
      <c r="R91" s="0" t="s">
        <v>633</v>
      </c>
      <c r="S91" s="0" t="s">
        <v>940</v>
      </c>
      <c r="T91" s="0" t="s">
        <v>901</v>
      </c>
      <c r="U91" s="0" t="str">
        <f aca="false">IF(I91=LEFT(Buscador_Formulacion!$C$4,3),COUNTIF($I$5:I91,LEFT(Buscador_Formulacion!$C$4,3)),"")</f>
        <v/>
      </c>
    </row>
    <row r="92" customFormat="false" ht="15" hidden="false" customHeight="false" outlineLevel="0" collapsed="false">
      <c r="A92" s="0" t="s">
        <v>944</v>
      </c>
      <c r="B92" s="0" t="s">
        <v>945</v>
      </c>
      <c r="C92" s="0" t="s">
        <v>894</v>
      </c>
      <c r="D92" s="0" t="s">
        <v>913</v>
      </c>
      <c r="E92" s="0" t="s">
        <v>946</v>
      </c>
      <c r="F92" s="0" t="s">
        <v>947</v>
      </c>
      <c r="G92" s="0" t="s">
        <v>948</v>
      </c>
      <c r="H92" s="0" t="s">
        <v>949</v>
      </c>
      <c r="I92" s="0" t="s">
        <v>942</v>
      </c>
      <c r="J92" s="0" t="s">
        <v>662</v>
      </c>
      <c r="K92" s="0" t="s">
        <v>943</v>
      </c>
      <c r="L92" s="0" t="s">
        <v>905</v>
      </c>
      <c r="M92" s="0" t="s">
        <v>622</v>
      </c>
      <c r="N92" s="0" t="n">
        <v>4</v>
      </c>
      <c r="O92" s="0" t="n">
        <v>3</v>
      </c>
      <c r="P92" s="0" t="n">
        <v>1</v>
      </c>
      <c r="Q92" s="0" t="n">
        <v>0</v>
      </c>
      <c r="R92" s="0" t="s">
        <v>950</v>
      </c>
      <c r="S92" s="0" t="s">
        <v>951</v>
      </c>
      <c r="T92" s="0" t="s">
        <v>901</v>
      </c>
      <c r="U92" s="0" t="str">
        <f aca="false">IF(I92=LEFT(Buscador_Formulacion!$C$4,3),COUNTIF($I$5:I92,LEFT(Buscador_Formulacion!$C$4,3)),"")</f>
        <v/>
      </c>
    </row>
    <row r="93" customFormat="false" ht="15" hidden="false" customHeight="false" outlineLevel="0" collapsed="false">
      <c r="A93" s="0" t="s">
        <v>952</v>
      </c>
      <c r="B93" s="0" t="s">
        <v>953</v>
      </c>
      <c r="C93" s="0" t="s">
        <v>894</v>
      </c>
      <c r="D93" s="0" t="s">
        <v>954</v>
      </c>
      <c r="E93" s="0" t="s">
        <v>955</v>
      </c>
      <c r="F93" s="0" t="s">
        <v>956</v>
      </c>
      <c r="G93" s="0" t="s">
        <v>957</v>
      </c>
      <c r="H93" s="0" t="s">
        <v>958</v>
      </c>
      <c r="I93" s="0" t="s">
        <v>903</v>
      </c>
      <c r="J93" s="0" t="s">
        <v>662</v>
      </c>
      <c r="K93" s="0" t="s">
        <v>904</v>
      </c>
      <c r="L93" s="0" t="s">
        <v>905</v>
      </c>
      <c r="M93" s="0" t="s">
        <v>622</v>
      </c>
      <c r="N93" s="0" t="n">
        <v>2</v>
      </c>
      <c r="O93" s="0" t="n">
        <v>1</v>
      </c>
      <c r="P93" s="0" t="n">
        <v>1</v>
      </c>
      <c r="Q93" s="0" t="n">
        <v>0</v>
      </c>
      <c r="R93" s="0" t="s">
        <v>959</v>
      </c>
      <c r="S93" s="0" t="s">
        <v>960</v>
      </c>
      <c r="T93" s="0" t="s">
        <v>901</v>
      </c>
      <c r="U93" s="0" t="str">
        <f aca="false">IF(I93=LEFT(Buscador_Formulacion!$C$4,3),COUNTIF($I$5:I93,LEFT(Buscador_Formulacion!$C$4,3)),"")</f>
        <v/>
      </c>
    </row>
    <row r="94" customFormat="false" ht="15" hidden="false" customHeight="false" outlineLevel="0" collapsed="false">
      <c r="A94" s="0" t="s">
        <v>961</v>
      </c>
      <c r="B94" s="0" t="s">
        <v>962</v>
      </c>
      <c r="C94" s="0" t="s">
        <v>894</v>
      </c>
      <c r="D94" s="0" t="s">
        <v>954</v>
      </c>
      <c r="E94" s="0" t="s">
        <v>963</v>
      </c>
      <c r="F94" s="0" t="s">
        <v>964</v>
      </c>
      <c r="G94" s="0" t="s">
        <v>957</v>
      </c>
      <c r="H94" s="0" t="s">
        <v>965</v>
      </c>
      <c r="I94" s="0" t="s">
        <v>903</v>
      </c>
      <c r="J94" s="0" t="s">
        <v>662</v>
      </c>
      <c r="K94" s="0" t="s">
        <v>904</v>
      </c>
      <c r="L94" s="0" t="s">
        <v>905</v>
      </c>
      <c r="M94" s="0" t="s">
        <v>745</v>
      </c>
      <c r="N94" s="0" t="n">
        <v>0</v>
      </c>
      <c r="O94" s="0" t="n">
        <v>0</v>
      </c>
      <c r="P94" s="0" t="n">
        <v>0</v>
      </c>
      <c r="Q94" s="0" t="n">
        <v>0</v>
      </c>
      <c r="R94" s="0" t="s">
        <v>966</v>
      </c>
      <c r="S94" s="0" t="s">
        <v>967</v>
      </c>
      <c r="T94" s="0" t="s">
        <v>901</v>
      </c>
      <c r="U94" s="0" t="str">
        <f aca="false">IF(I94=LEFT(Buscador_Formulacion!$C$4,3),COUNTIF($I$5:I94,LEFT(Buscador_Formulacion!$C$4,3)),"")</f>
        <v/>
      </c>
    </row>
    <row r="95" customFormat="false" ht="15" hidden="false" customHeight="false" outlineLevel="0" collapsed="false">
      <c r="A95" s="0" t="s">
        <v>968</v>
      </c>
      <c r="B95" s="0" t="s">
        <v>962</v>
      </c>
      <c r="C95" s="0" t="s">
        <v>894</v>
      </c>
      <c r="D95" s="0" t="s">
        <v>954</v>
      </c>
      <c r="E95" s="0" t="s">
        <v>963</v>
      </c>
      <c r="F95" s="0" t="s">
        <v>964</v>
      </c>
      <c r="G95" s="0" t="s">
        <v>957</v>
      </c>
      <c r="H95" s="0" t="s">
        <v>965</v>
      </c>
      <c r="I95" s="0" t="s">
        <v>427</v>
      </c>
      <c r="J95" s="0" t="s">
        <v>619</v>
      </c>
      <c r="K95" s="0" t="s">
        <v>620</v>
      </c>
      <c r="L95" s="0" t="s">
        <v>621</v>
      </c>
      <c r="M95" s="0" t="s">
        <v>745</v>
      </c>
      <c r="N95" s="0" t="n">
        <v>0</v>
      </c>
      <c r="O95" s="0" t="n">
        <v>0</v>
      </c>
      <c r="P95" s="0" t="n">
        <v>0</v>
      </c>
      <c r="Q95" s="0" t="n">
        <v>0</v>
      </c>
      <c r="R95" s="0" t="s">
        <v>969</v>
      </c>
      <c r="S95" s="0" t="s">
        <v>967</v>
      </c>
      <c r="T95" s="0" t="s">
        <v>901</v>
      </c>
      <c r="U95" s="0" t="str">
        <f aca="false">IF(I95=LEFT(Buscador_Formulacion!$C$4,3),COUNTIF($I$5:I95,LEFT(Buscador_Formulacion!$C$4,3)),"")</f>
        <v/>
      </c>
    </row>
    <row r="96" customFormat="false" ht="15" hidden="false" customHeight="false" outlineLevel="0" collapsed="false">
      <c r="A96" s="0" t="s">
        <v>970</v>
      </c>
      <c r="B96" s="0" t="s">
        <v>971</v>
      </c>
      <c r="C96" s="0" t="s">
        <v>894</v>
      </c>
      <c r="D96" s="0" t="s">
        <v>954</v>
      </c>
      <c r="E96" s="0" t="s">
        <v>972</v>
      </c>
      <c r="F96" s="0" t="s">
        <v>973</v>
      </c>
      <c r="G96" s="0" t="s">
        <v>974</v>
      </c>
      <c r="H96" s="0" t="s">
        <v>975</v>
      </c>
      <c r="I96" s="0" t="s">
        <v>903</v>
      </c>
      <c r="J96" s="0" t="s">
        <v>662</v>
      </c>
      <c r="K96" s="0" t="s">
        <v>904</v>
      </c>
      <c r="L96" s="0" t="s">
        <v>905</v>
      </c>
      <c r="M96" s="0" t="s">
        <v>622</v>
      </c>
      <c r="N96" s="0" t="n">
        <v>4</v>
      </c>
      <c r="O96" s="0" t="n">
        <v>2</v>
      </c>
      <c r="P96" s="0" t="n">
        <v>2</v>
      </c>
      <c r="Q96" s="0" t="n">
        <v>0</v>
      </c>
      <c r="R96" s="0" t="s">
        <v>976</v>
      </c>
      <c r="S96" s="0" t="s">
        <v>977</v>
      </c>
      <c r="T96" s="0" t="s">
        <v>901</v>
      </c>
      <c r="U96" s="0" t="str">
        <f aca="false">IF(I96=LEFT(Buscador_Formulacion!$C$4,3),COUNTIF($I$5:I96,LEFT(Buscador_Formulacion!$C$4,3)),"")</f>
        <v/>
      </c>
    </row>
    <row r="97" customFormat="false" ht="15" hidden="false" customHeight="false" outlineLevel="0" collapsed="false">
      <c r="A97" s="0" t="s">
        <v>978</v>
      </c>
      <c r="B97" s="0" t="s">
        <v>971</v>
      </c>
      <c r="C97" s="0" t="s">
        <v>894</v>
      </c>
      <c r="D97" s="0" t="s">
        <v>954</v>
      </c>
      <c r="E97" s="0" t="s">
        <v>972</v>
      </c>
      <c r="F97" s="0" t="s">
        <v>973</v>
      </c>
      <c r="G97" s="0" t="s">
        <v>974</v>
      </c>
      <c r="H97" s="0" t="s">
        <v>975</v>
      </c>
      <c r="I97" s="0" t="s">
        <v>478</v>
      </c>
      <c r="J97" s="0" t="s">
        <v>619</v>
      </c>
      <c r="K97" s="0" t="s">
        <v>787</v>
      </c>
      <c r="L97" s="0" t="s">
        <v>788</v>
      </c>
      <c r="M97" s="0" t="s">
        <v>669</v>
      </c>
      <c r="N97" s="0" t="n">
        <v>0</v>
      </c>
      <c r="O97" s="0" t="n">
        <v>0</v>
      </c>
      <c r="P97" s="0" t="n">
        <v>0</v>
      </c>
      <c r="Q97" s="0" t="n">
        <v>0</v>
      </c>
      <c r="R97" s="0" t="s">
        <v>979</v>
      </c>
      <c r="S97" s="0" t="s">
        <v>977</v>
      </c>
      <c r="T97" s="0" t="s">
        <v>901</v>
      </c>
      <c r="U97" s="0" t="str">
        <f aca="false">IF(I97=LEFT(Buscador_Formulacion!$C$4,3),COUNTIF($I$5:I97,LEFT(Buscador_Formulacion!$C$4,3)),"")</f>
        <v/>
      </c>
    </row>
    <row r="98" customFormat="false" ht="15" hidden="false" customHeight="false" outlineLevel="0" collapsed="false">
      <c r="A98" s="0" t="s">
        <v>980</v>
      </c>
      <c r="B98" s="0" t="s">
        <v>459</v>
      </c>
      <c r="C98" s="0" t="s">
        <v>981</v>
      </c>
      <c r="D98" s="0" t="s">
        <v>982</v>
      </c>
      <c r="E98" s="0" t="s">
        <v>983</v>
      </c>
      <c r="F98" s="0" t="s">
        <v>984</v>
      </c>
      <c r="G98" s="0" t="s">
        <v>985</v>
      </c>
      <c r="H98" s="0" t="s">
        <v>986</v>
      </c>
      <c r="I98" s="0" t="s">
        <v>138</v>
      </c>
      <c r="J98" s="0" t="s">
        <v>627</v>
      </c>
      <c r="K98" s="0" t="s">
        <v>628</v>
      </c>
      <c r="L98" s="0" t="s">
        <v>629</v>
      </c>
      <c r="M98" s="0" t="s">
        <v>622</v>
      </c>
      <c r="N98" s="0" t="n">
        <v>4</v>
      </c>
      <c r="O98" s="0" t="n">
        <v>0</v>
      </c>
      <c r="P98" s="0" t="n">
        <v>4</v>
      </c>
      <c r="Q98" s="0" t="n">
        <v>2</v>
      </c>
      <c r="R98" s="0" t="s">
        <v>987</v>
      </c>
      <c r="S98" s="0" t="s">
        <v>988</v>
      </c>
      <c r="T98" s="0" t="s">
        <v>989</v>
      </c>
      <c r="U98" s="0" t="str">
        <f aca="false">IF(I98=LEFT(Buscador_Formulacion!$C$4,3),COUNTIF($I$5:I98,LEFT(Buscador_Formulacion!$C$4,3)),"")</f>
        <v/>
      </c>
    </row>
    <row r="99" customFormat="false" ht="15" hidden="false" customHeight="false" outlineLevel="0" collapsed="false">
      <c r="A99" s="0" t="s">
        <v>990</v>
      </c>
      <c r="B99" s="0" t="s">
        <v>459</v>
      </c>
      <c r="C99" s="0" t="s">
        <v>981</v>
      </c>
      <c r="D99" s="0" t="s">
        <v>982</v>
      </c>
      <c r="E99" s="0" t="s">
        <v>983</v>
      </c>
      <c r="F99" s="0" t="s">
        <v>984</v>
      </c>
      <c r="G99" s="0" t="s">
        <v>985</v>
      </c>
      <c r="H99" s="0" t="s">
        <v>986</v>
      </c>
      <c r="I99" s="0" t="s">
        <v>63</v>
      </c>
      <c r="J99" s="0" t="s">
        <v>619</v>
      </c>
      <c r="K99" s="0" t="s">
        <v>991</v>
      </c>
      <c r="L99" s="0" t="s">
        <v>629</v>
      </c>
      <c r="M99" s="0" t="s">
        <v>669</v>
      </c>
      <c r="N99" s="0" t="n">
        <v>0</v>
      </c>
      <c r="O99" s="0" t="n">
        <v>0</v>
      </c>
      <c r="P99" s="0" t="n">
        <v>0</v>
      </c>
      <c r="Q99" s="0" t="n">
        <v>0</v>
      </c>
      <c r="R99" s="0" t="s">
        <v>992</v>
      </c>
      <c r="S99" s="0" t="s">
        <v>988</v>
      </c>
      <c r="T99" s="0" t="s">
        <v>989</v>
      </c>
      <c r="U99" s="0" t="str">
        <f aca="false">IF(I99=LEFT(Buscador_Formulacion!$C$4,3),COUNTIF($I$5:I99,LEFT(Buscador_Formulacion!$C$4,3)),"")</f>
        <v/>
      </c>
    </row>
    <row r="100" customFormat="false" ht="15" hidden="false" customHeight="false" outlineLevel="0" collapsed="false">
      <c r="A100" s="0" t="s">
        <v>993</v>
      </c>
      <c r="B100" s="0" t="s">
        <v>181</v>
      </c>
      <c r="C100" s="0" t="s">
        <v>981</v>
      </c>
      <c r="D100" s="0" t="s">
        <v>982</v>
      </c>
      <c r="E100" s="0" t="s">
        <v>994</v>
      </c>
      <c r="F100" s="0" t="s">
        <v>995</v>
      </c>
      <c r="G100" s="0" t="s">
        <v>996</v>
      </c>
      <c r="H100" s="0" t="s">
        <v>997</v>
      </c>
      <c r="I100" s="0" t="s">
        <v>172</v>
      </c>
      <c r="J100" s="0" t="s">
        <v>627</v>
      </c>
      <c r="K100" s="0" t="s">
        <v>720</v>
      </c>
      <c r="L100" s="0" t="s">
        <v>636</v>
      </c>
      <c r="M100" s="0" t="s">
        <v>622</v>
      </c>
      <c r="N100" s="0" t="n">
        <v>2</v>
      </c>
      <c r="O100" s="0" t="n">
        <v>0</v>
      </c>
      <c r="P100" s="0" t="n">
        <v>2</v>
      </c>
      <c r="Q100" s="0" t="n">
        <v>0</v>
      </c>
      <c r="R100" s="0" t="s">
        <v>998</v>
      </c>
      <c r="S100" s="0" t="s">
        <v>999</v>
      </c>
      <c r="T100" s="0" t="s">
        <v>989</v>
      </c>
      <c r="U100" s="0" t="str">
        <f aca="false">IF(I100=LEFT(Buscador_Formulacion!$C$4,3),COUNTIF($I$5:I100,LEFT(Buscador_Formulacion!$C$4,3)),"")</f>
        <v/>
      </c>
    </row>
    <row r="101" customFormat="false" ht="15" hidden="false" customHeight="false" outlineLevel="0" collapsed="false">
      <c r="A101" s="0" t="s">
        <v>1000</v>
      </c>
      <c r="B101" s="0" t="s">
        <v>181</v>
      </c>
      <c r="C101" s="0" t="s">
        <v>981</v>
      </c>
      <c r="D101" s="0" t="s">
        <v>982</v>
      </c>
      <c r="E101" s="0" t="s">
        <v>994</v>
      </c>
      <c r="F101" s="0" t="s">
        <v>995</v>
      </c>
      <c r="G101" s="0" t="s">
        <v>996</v>
      </c>
      <c r="H101" s="0" t="s">
        <v>997</v>
      </c>
      <c r="I101" s="0" t="s">
        <v>1001</v>
      </c>
      <c r="J101" s="0" t="s">
        <v>708</v>
      </c>
      <c r="K101" s="0" t="s">
        <v>1002</v>
      </c>
      <c r="L101" s="0" t="s">
        <v>710</v>
      </c>
      <c r="M101" s="0" t="s">
        <v>622</v>
      </c>
      <c r="N101" s="0" t="n">
        <v>30</v>
      </c>
      <c r="O101" s="0" t="n">
        <v>13</v>
      </c>
      <c r="P101" s="0" t="n">
        <v>17</v>
      </c>
      <c r="Q101" s="0" t="n">
        <v>0</v>
      </c>
      <c r="R101" s="0" t="s">
        <v>1003</v>
      </c>
      <c r="S101" s="0" t="s">
        <v>999</v>
      </c>
      <c r="T101" s="0" t="s">
        <v>989</v>
      </c>
      <c r="U101" s="0" t="str">
        <f aca="false">IF(I101=LEFT(Buscador_Formulacion!$C$4,3),COUNTIF($I$5:I101,LEFT(Buscador_Formulacion!$C$4,3)),"")</f>
        <v/>
      </c>
    </row>
    <row r="102" customFormat="false" ht="15" hidden="false" customHeight="false" outlineLevel="0" collapsed="false">
      <c r="A102" s="0" t="s">
        <v>1004</v>
      </c>
      <c r="B102" s="0" t="s">
        <v>181</v>
      </c>
      <c r="C102" s="0" t="s">
        <v>981</v>
      </c>
      <c r="D102" s="0" t="s">
        <v>982</v>
      </c>
      <c r="E102" s="0" t="s">
        <v>994</v>
      </c>
      <c r="F102" s="0" t="s">
        <v>995</v>
      </c>
      <c r="G102" s="0" t="s">
        <v>996</v>
      </c>
      <c r="H102" s="0" t="s">
        <v>997</v>
      </c>
      <c r="I102" s="0" t="s">
        <v>124</v>
      </c>
      <c r="J102" s="0" t="s">
        <v>654</v>
      </c>
      <c r="K102" s="0" t="s">
        <v>655</v>
      </c>
      <c r="L102" s="0" t="s">
        <v>644</v>
      </c>
      <c r="M102" s="0" t="s">
        <v>622</v>
      </c>
      <c r="N102" s="0" t="n">
        <v>0</v>
      </c>
      <c r="O102" s="0" t="n">
        <v>0</v>
      </c>
      <c r="P102" s="0" t="n">
        <v>0</v>
      </c>
      <c r="Q102" s="0" t="n">
        <v>0</v>
      </c>
      <c r="R102" s="0" t="s">
        <v>623</v>
      </c>
      <c r="S102" s="0" t="s">
        <v>999</v>
      </c>
      <c r="T102" s="0" t="s">
        <v>989</v>
      </c>
      <c r="U102" s="0" t="str">
        <f aca="false">IF(I102=LEFT(Buscador_Formulacion!$C$4,3),COUNTIF($I$5:I102,LEFT(Buscador_Formulacion!$C$4,3)),"")</f>
        <v/>
      </c>
    </row>
    <row r="103" customFormat="false" ht="15" hidden="false" customHeight="false" outlineLevel="0" collapsed="false">
      <c r="A103" s="0" t="s">
        <v>1005</v>
      </c>
      <c r="B103" s="0" t="s">
        <v>181</v>
      </c>
      <c r="C103" s="0" t="s">
        <v>981</v>
      </c>
      <c r="D103" s="0" t="s">
        <v>982</v>
      </c>
      <c r="E103" s="0" t="s">
        <v>994</v>
      </c>
      <c r="F103" s="0" t="s">
        <v>995</v>
      </c>
      <c r="G103" s="0" t="s">
        <v>996</v>
      </c>
      <c r="H103" s="0" t="s">
        <v>997</v>
      </c>
      <c r="I103" s="0" t="s">
        <v>373</v>
      </c>
      <c r="J103" s="0" t="s">
        <v>708</v>
      </c>
      <c r="K103" s="0" t="s">
        <v>709</v>
      </c>
      <c r="L103" s="0" t="s">
        <v>710</v>
      </c>
      <c r="M103" s="0" t="s">
        <v>622</v>
      </c>
      <c r="N103" s="0" t="n">
        <v>0</v>
      </c>
      <c r="O103" s="0" t="n">
        <v>0</v>
      </c>
      <c r="P103" s="0" t="n">
        <v>0</v>
      </c>
      <c r="Q103" s="0" t="n">
        <v>0</v>
      </c>
      <c r="R103" s="0" t="s">
        <v>623</v>
      </c>
      <c r="S103" s="0" t="s">
        <v>999</v>
      </c>
      <c r="T103" s="0" t="s">
        <v>989</v>
      </c>
      <c r="U103" s="0" t="str">
        <f aca="false">IF(I103=LEFT(Buscador_Formulacion!$C$4,3),COUNTIF($I$5:I103,LEFT(Buscador_Formulacion!$C$4,3)),"")</f>
        <v/>
      </c>
    </row>
    <row r="104" customFormat="false" ht="15" hidden="false" customHeight="false" outlineLevel="0" collapsed="false">
      <c r="A104" s="0" t="s">
        <v>1006</v>
      </c>
      <c r="B104" s="0" t="s">
        <v>181</v>
      </c>
      <c r="C104" s="0" t="s">
        <v>981</v>
      </c>
      <c r="D104" s="0" t="s">
        <v>982</v>
      </c>
      <c r="E104" s="0" t="s">
        <v>994</v>
      </c>
      <c r="F104" s="0" t="s">
        <v>995</v>
      </c>
      <c r="G104" s="0" t="s">
        <v>996</v>
      </c>
      <c r="H104" s="0" t="s">
        <v>997</v>
      </c>
      <c r="I104" s="0" t="s">
        <v>180</v>
      </c>
      <c r="J104" s="0" t="s">
        <v>638</v>
      </c>
      <c r="K104" s="0" t="s">
        <v>659</v>
      </c>
      <c r="L104" s="0" t="s">
        <v>652</v>
      </c>
      <c r="M104" s="0" t="s">
        <v>656</v>
      </c>
      <c r="N104" s="0" t="n">
        <v>0</v>
      </c>
      <c r="O104" s="0" t="n">
        <v>0</v>
      </c>
      <c r="P104" s="0" t="n">
        <v>0</v>
      </c>
      <c r="Q104" s="0" t="n">
        <v>8</v>
      </c>
      <c r="R104" s="0" t="s">
        <v>1007</v>
      </c>
      <c r="S104" s="0" t="s">
        <v>999</v>
      </c>
      <c r="T104" s="0" t="s">
        <v>989</v>
      </c>
      <c r="U104" s="0" t="str">
        <f aca="false">IF(I104=LEFT(Buscador_Formulacion!$C$4,3),COUNTIF($I$5:I104,LEFT(Buscador_Formulacion!$C$4,3)),"")</f>
        <v/>
      </c>
    </row>
    <row r="105" customFormat="false" ht="15" hidden="false" customHeight="false" outlineLevel="0" collapsed="false">
      <c r="A105" s="0" t="s">
        <v>1008</v>
      </c>
      <c r="B105" s="0" t="s">
        <v>181</v>
      </c>
      <c r="C105" s="0" t="s">
        <v>981</v>
      </c>
      <c r="D105" s="0" t="s">
        <v>982</v>
      </c>
      <c r="E105" s="0" t="s">
        <v>994</v>
      </c>
      <c r="F105" s="0" t="s">
        <v>995</v>
      </c>
      <c r="G105" s="0" t="s">
        <v>996</v>
      </c>
      <c r="H105" s="0" t="s">
        <v>997</v>
      </c>
      <c r="I105" s="0" t="s">
        <v>138</v>
      </c>
      <c r="J105" s="0" t="s">
        <v>627</v>
      </c>
      <c r="K105" s="0" t="s">
        <v>628</v>
      </c>
      <c r="L105" s="0" t="s">
        <v>629</v>
      </c>
      <c r="M105" s="0" t="s">
        <v>656</v>
      </c>
      <c r="N105" s="0" t="n">
        <v>0</v>
      </c>
      <c r="O105" s="0" t="n">
        <v>0</v>
      </c>
      <c r="P105" s="0" t="n">
        <v>0</v>
      </c>
      <c r="Q105" s="0" t="n">
        <v>1</v>
      </c>
      <c r="R105" s="0" t="s">
        <v>660</v>
      </c>
      <c r="S105" s="0" t="s">
        <v>999</v>
      </c>
      <c r="T105" s="0" t="s">
        <v>989</v>
      </c>
      <c r="U105" s="0" t="str">
        <f aca="false">IF(I105=LEFT(Buscador_Formulacion!$C$4,3),COUNTIF($I$5:I105,LEFT(Buscador_Formulacion!$C$4,3)),"")</f>
        <v/>
      </c>
    </row>
    <row r="106" customFormat="false" ht="15" hidden="false" customHeight="false" outlineLevel="0" collapsed="false">
      <c r="A106" s="0" t="s">
        <v>1009</v>
      </c>
      <c r="B106" s="0" t="s">
        <v>181</v>
      </c>
      <c r="C106" s="0" t="s">
        <v>981</v>
      </c>
      <c r="D106" s="0" t="s">
        <v>982</v>
      </c>
      <c r="E106" s="0" t="s">
        <v>994</v>
      </c>
      <c r="F106" s="0" t="s">
        <v>995</v>
      </c>
      <c r="G106" s="0" t="s">
        <v>996</v>
      </c>
      <c r="H106" s="0" t="s">
        <v>997</v>
      </c>
      <c r="I106" s="0" t="s">
        <v>147</v>
      </c>
      <c r="J106" s="0" t="s">
        <v>638</v>
      </c>
      <c r="K106" s="0" t="s">
        <v>651</v>
      </c>
      <c r="L106" s="0" t="s">
        <v>652</v>
      </c>
      <c r="M106" s="0" t="s">
        <v>656</v>
      </c>
      <c r="N106" s="0" t="n">
        <v>0</v>
      </c>
      <c r="O106" s="0" t="n">
        <v>0</v>
      </c>
      <c r="P106" s="0" t="n">
        <v>0</v>
      </c>
      <c r="Q106" s="0" t="n">
        <v>2</v>
      </c>
      <c r="R106" s="0" t="s">
        <v>1010</v>
      </c>
      <c r="S106" s="0" t="s">
        <v>999</v>
      </c>
      <c r="T106" s="0" t="s">
        <v>989</v>
      </c>
      <c r="U106" s="0" t="str">
        <f aca="false">IF(I106=LEFT(Buscador_Formulacion!$C$4,3),COUNTIF($I$5:I106,LEFT(Buscador_Formulacion!$C$4,3)),"")</f>
        <v/>
      </c>
    </row>
    <row r="107" customFormat="false" ht="15" hidden="false" customHeight="false" outlineLevel="0" collapsed="false">
      <c r="A107" s="0" t="s">
        <v>1011</v>
      </c>
      <c r="B107" s="0" t="s">
        <v>181</v>
      </c>
      <c r="C107" s="0" t="s">
        <v>981</v>
      </c>
      <c r="D107" s="0" t="s">
        <v>982</v>
      </c>
      <c r="E107" s="0" t="s">
        <v>994</v>
      </c>
      <c r="F107" s="0" t="s">
        <v>995</v>
      </c>
      <c r="G107" s="0" t="s">
        <v>996</v>
      </c>
      <c r="H107" s="0" t="s">
        <v>997</v>
      </c>
      <c r="I107" s="0" t="s">
        <v>74</v>
      </c>
      <c r="J107" s="0" t="s">
        <v>723</v>
      </c>
      <c r="K107" s="0" t="s">
        <v>724</v>
      </c>
      <c r="L107" s="0" t="s">
        <v>629</v>
      </c>
      <c r="M107" s="0" t="s">
        <v>656</v>
      </c>
      <c r="N107" s="0" t="n">
        <v>0</v>
      </c>
      <c r="O107" s="0" t="n">
        <v>0</v>
      </c>
      <c r="P107" s="0" t="n">
        <v>0</v>
      </c>
      <c r="Q107" s="0" t="n">
        <v>2</v>
      </c>
      <c r="R107" s="0" t="s">
        <v>1012</v>
      </c>
      <c r="S107" s="0" t="s">
        <v>999</v>
      </c>
      <c r="T107" s="0" t="s">
        <v>989</v>
      </c>
      <c r="U107" s="0" t="str">
        <f aca="false">IF(I107=LEFT(Buscador_Formulacion!$C$4,3),COUNTIF($I$5:I107,LEFT(Buscador_Formulacion!$C$4,3)),"")</f>
        <v/>
      </c>
    </row>
    <row r="108" customFormat="false" ht="15" hidden="false" customHeight="false" outlineLevel="0" collapsed="false">
      <c r="A108" s="0" t="s">
        <v>1013</v>
      </c>
      <c r="B108" s="0" t="s">
        <v>181</v>
      </c>
      <c r="C108" s="0" t="s">
        <v>981</v>
      </c>
      <c r="D108" s="0" t="s">
        <v>982</v>
      </c>
      <c r="E108" s="0" t="s">
        <v>994</v>
      </c>
      <c r="F108" s="0" t="s">
        <v>995</v>
      </c>
      <c r="G108" s="0" t="s">
        <v>996</v>
      </c>
      <c r="H108" s="0" t="s">
        <v>997</v>
      </c>
      <c r="I108" s="0" t="s">
        <v>235</v>
      </c>
      <c r="J108" s="0" t="s">
        <v>805</v>
      </c>
      <c r="K108" s="0" t="s">
        <v>806</v>
      </c>
      <c r="L108" s="0" t="s">
        <v>807</v>
      </c>
      <c r="M108" s="0" t="s">
        <v>656</v>
      </c>
      <c r="N108" s="0" t="n">
        <v>0</v>
      </c>
      <c r="O108" s="0" t="n">
        <v>0</v>
      </c>
      <c r="P108" s="0" t="n">
        <v>0</v>
      </c>
      <c r="Q108" s="0" t="n">
        <v>2</v>
      </c>
      <c r="R108" s="0" t="s">
        <v>1014</v>
      </c>
      <c r="S108" s="0" t="s">
        <v>999</v>
      </c>
      <c r="T108" s="0" t="s">
        <v>989</v>
      </c>
      <c r="U108" s="0" t="str">
        <f aca="false">IF(I108=LEFT(Buscador_Formulacion!$C$4,3),COUNTIF($I$5:I108,LEFT(Buscador_Formulacion!$C$4,3)),"")</f>
        <v/>
      </c>
    </row>
    <row r="109" customFormat="false" ht="15" hidden="false" customHeight="false" outlineLevel="0" collapsed="false">
      <c r="A109" s="0" t="s">
        <v>1015</v>
      </c>
      <c r="B109" s="0" t="s">
        <v>181</v>
      </c>
      <c r="C109" s="0" t="s">
        <v>981</v>
      </c>
      <c r="D109" s="0" t="s">
        <v>982</v>
      </c>
      <c r="E109" s="0" t="s">
        <v>994</v>
      </c>
      <c r="F109" s="0" t="s">
        <v>995</v>
      </c>
      <c r="G109" s="0" t="s">
        <v>996</v>
      </c>
      <c r="H109" s="0" t="s">
        <v>997</v>
      </c>
      <c r="I109" s="0" t="s">
        <v>240</v>
      </c>
      <c r="J109" s="0" t="s">
        <v>638</v>
      </c>
      <c r="K109" s="0" t="s">
        <v>639</v>
      </c>
      <c r="L109" s="0" t="s">
        <v>640</v>
      </c>
      <c r="M109" s="0" t="s">
        <v>656</v>
      </c>
      <c r="N109" s="0" t="n">
        <v>0</v>
      </c>
      <c r="O109" s="0" t="n">
        <v>0</v>
      </c>
      <c r="P109" s="0" t="n">
        <v>0</v>
      </c>
      <c r="Q109" s="0" t="n">
        <v>1</v>
      </c>
      <c r="R109" s="0" t="s">
        <v>660</v>
      </c>
      <c r="S109" s="0" t="s">
        <v>999</v>
      </c>
      <c r="T109" s="0" t="s">
        <v>989</v>
      </c>
      <c r="U109" s="0" t="str">
        <f aca="false">IF(I109=LEFT(Buscador_Formulacion!$C$4,3),COUNTIF($I$5:I109,LEFT(Buscador_Formulacion!$C$4,3)),"")</f>
        <v/>
      </c>
    </row>
    <row r="110" customFormat="false" ht="15" hidden="false" customHeight="false" outlineLevel="0" collapsed="false">
      <c r="A110" s="0" t="s">
        <v>1016</v>
      </c>
      <c r="B110" s="0" t="s">
        <v>181</v>
      </c>
      <c r="C110" s="0" t="s">
        <v>981</v>
      </c>
      <c r="D110" s="0" t="s">
        <v>982</v>
      </c>
      <c r="E110" s="0" t="s">
        <v>994</v>
      </c>
      <c r="F110" s="0" t="s">
        <v>995</v>
      </c>
      <c r="G110" s="0" t="s">
        <v>996</v>
      </c>
      <c r="H110" s="0" t="s">
        <v>997</v>
      </c>
      <c r="I110" s="0" t="s">
        <v>245</v>
      </c>
      <c r="J110" s="0" t="s">
        <v>723</v>
      </c>
      <c r="K110" s="0" t="s">
        <v>1017</v>
      </c>
      <c r="L110" s="0" t="s">
        <v>1017</v>
      </c>
      <c r="M110" s="0" t="s">
        <v>656</v>
      </c>
      <c r="N110" s="0" t="n">
        <v>0</v>
      </c>
      <c r="O110" s="0" t="n">
        <v>0</v>
      </c>
      <c r="P110" s="0" t="n">
        <v>0</v>
      </c>
      <c r="Q110" s="0" t="n">
        <v>2</v>
      </c>
      <c r="R110" s="0" t="s">
        <v>1012</v>
      </c>
      <c r="S110" s="0" t="s">
        <v>999</v>
      </c>
      <c r="T110" s="0" t="s">
        <v>989</v>
      </c>
      <c r="U110" s="0" t="str">
        <f aca="false">IF(I110=LEFT(Buscador_Formulacion!$C$4,3),COUNTIF($I$5:I110,LEFT(Buscador_Formulacion!$C$4,3)),"")</f>
        <v/>
      </c>
    </row>
    <row r="111" customFormat="false" ht="15" hidden="false" customHeight="false" outlineLevel="0" collapsed="false">
      <c r="A111" s="0" t="s">
        <v>1018</v>
      </c>
      <c r="B111" s="0" t="s">
        <v>417</v>
      </c>
      <c r="C111" s="0" t="s">
        <v>981</v>
      </c>
      <c r="D111" s="0" t="s">
        <v>982</v>
      </c>
      <c r="E111" s="0" t="s">
        <v>1019</v>
      </c>
      <c r="F111" s="0" t="s">
        <v>1020</v>
      </c>
      <c r="G111" s="0" t="s">
        <v>1021</v>
      </c>
      <c r="H111" s="0" t="s">
        <v>1022</v>
      </c>
      <c r="I111" s="0" t="s">
        <v>63</v>
      </c>
      <c r="J111" s="0" t="s">
        <v>619</v>
      </c>
      <c r="K111" s="0" t="s">
        <v>991</v>
      </c>
      <c r="L111" s="0" t="s">
        <v>629</v>
      </c>
      <c r="M111" s="0" t="s">
        <v>622</v>
      </c>
      <c r="N111" s="0" t="n">
        <v>1</v>
      </c>
      <c r="O111" s="0" t="n">
        <v>0</v>
      </c>
      <c r="P111" s="0" t="n">
        <v>1</v>
      </c>
      <c r="Q111" s="0" t="n">
        <v>0</v>
      </c>
      <c r="R111" s="0" t="s">
        <v>633</v>
      </c>
      <c r="S111" s="0" t="s">
        <v>1023</v>
      </c>
      <c r="T111" s="0" t="s">
        <v>989</v>
      </c>
      <c r="U111" s="0" t="str">
        <f aca="false">IF(I111=LEFT(Buscador_Formulacion!$C$4,3),COUNTIF($I$5:I111,LEFT(Buscador_Formulacion!$C$4,3)),"")</f>
        <v/>
      </c>
    </row>
    <row r="112" customFormat="false" ht="15" hidden="false" customHeight="false" outlineLevel="0" collapsed="false">
      <c r="A112" s="0" t="s">
        <v>1024</v>
      </c>
      <c r="B112" s="0" t="s">
        <v>417</v>
      </c>
      <c r="C112" s="0" t="s">
        <v>981</v>
      </c>
      <c r="D112" s="0" t="s">
        <v>982</v>
      </c>
      <c r="E112" s="0" t="s">
        <v>1019</v>
      </c>
      <c r="F112" s="0" t="s">
        <v>1020</v>
      </c>
      <c r="G112" s="0" t="s">
        <v>1021</v>
      </c>
      <c r="H112" s="0" t="s">
        <v>1022</v>
      </c>
      <c r="I112" s="0" t="s">
        <v>138</v>
      </c>
      <c r="J112" s="0" t="s">
        <v>627</v>
      </c>
      <c r="K112" s="0" t="s">
        <v>628</v>
      </c>
      <c r="L112" s="0" t="s">
        <v>629</v>
      </c>
      <c r="M112" s="0" t="s">
        <v>622</v>
      </c>
      <c r="N112" s="0" t="n">
        <v>1</v>
      </c>
      <c r="O112" s="0" t="n">
        <v>0</v>
      </c>
      <c r="P112" s="0" t="n">
        <v>1</v>
      </c>
      <c r="Q112" s="0" t="n">
        <v>0</v>
      </c>
      <c r="R112" s="0" t="s">
        <v>633</v>
      </c>
      <c r="S112" s="0" t="s">
        <v>1023</v>
      </c>
      <c r="T112" s="0" t="s">
        <v>989</v>
      </c>
      <c r="U112" s="0" t="str">
        <f aca="false">IF(I112=LEFT(Buscador_Formulacion!$C$4,3),COUNTIF($I$5:I112,LEFT(Buscador_Formulacion!$C$4,3)),"")</f>
        <v/>
      </c>
    </row>
    <row r="113" customFormat="false" ht="15" hidden="false" customHeight="false" outlineLevel="0" collapsed="false">
      <c r="A113" s="0" t="s">
        <v>1025</v>
      </c>
      <c r="B113" s="0" t="s">
        <v>417</v>
      </c>
      <c r="C113" s="0" t="s">
        <v>981</v>
      </c>
      <c r="D113" s="0" t="s">
        <v>982</v>
      </c>
      <c r="E113" s="0" t="s">
        <v>1019</v>
      </c>
      <c r="F113" s="0" t="s">
        <v>1020</v>
      </c>
      <c r="G113" s="0" t="s">
        <v>1021</v>
      </c>
      <c r="H113" s="0" t="s">
        <v>1022</v>
      </c>
      <c r="I113" s="0" t="s">
        <v>381</v>
      </c>
      <c r="J113" s="0" t="s">
        <v>627</v>
      </c>
      <c r="K113" s="0" t="s">
        <v>635</v>
      </c>
      <c r="L113" s="0" t="s">
        <v>636</v>
      </c>
      <c r="M113" s="0" t="s">
        <v>622</v>
      </c>
      <c r="N113" s="0" t="n">
        <v>2</v>
      </c>
      <c r="O113" s="0" t="n">
        <v>0</v>
      </c>
      <c r="P113" s="0" t="n">
        <v>2</v>
      </c>
      <c r="Q113" s="0" t="n">
        <v>1</v>
      </c>
      <c r="R113" s="0" t="s">
        <v>1026</v>
      </c>
      <c r="S113" s="0" t="s">
        <v>1023</v>
      </c>
      <c r="T113" s="0" t="s">
        <v>989</v>
      </c>
      <c r="U113" s="0" t="str">
        <f aca="false">IF(I113=LEFT(Buscador_Formulacion!$C$4,3),COUNTIF($I$5:I113,LEFT(Buscador_Formulacion!$C$4,3)),"")</f>
        <v/>
      </c>
    </row>
    <row r="114" customFormat="false" ht="15" hidden="false" customHeight="false" outlineLevel="0" collapsed="false">
      <c r="A114" s="0" t="s">
        <v>1027</v>
      </c>
      <c r="B114" s="0" t="s">
        <v>417</v>
      </c>
      <c r="C114" s="0" t="s">
        <v>981</v>
      </c>
      <c r="D114" s="0" t="s">
        <v>982</v>
      </c>
      <c r="E114" s="0" t="s">
        <v>1019</v>
      </c>
      <c r="F114" s="0" t="s">
        <v>1020</v>
      </c>
      <c r="G114" s="0" t="s">
        <v>1021</v>
      </c>
      <c r="H114" s="0" t="s">
        <v>1022</v>
      </c>
      <c r="I114" s="0" t="s">
        <v>172</v>
      </c>
      <c r="J114" s="0" t="s">
        <v>627</v>
      </c>
      <c r="K114" s="0" t="s">
        <v>720</v>
      </c>
      <c r="L114" s="0" t="s">
        <v>636</v>
      </c>
      <c r="M114" s="0" t="s">
        <v>622</v>
      </c>
      <c r="N114" s="0" t="n">
        <v>1</v>
      </c>
      <c r="O114" s="0" t="n">
        <v>1</v>
      </c>
      <c r="P114" s="0" t="n">
        <v>0</v>
      </c>
      <c r="Q114" s="0" t="n">
        <v>0</v>
      </c>
      <c r="R114" s="0" t="s">
        <v>623</v>
      </c>
      <c r="S114" s="0" t="s">
        <v>1023</v>
      </c>
      <c r="T114" s="0" t="s">
        <v>989</v>
      </c>
      <c r="U114" s="0" t="str">
        <f aca="false">IF(I114=LEFT(Buscador_Formulacion!$C$4,3),COUNTIF($I$5:I114,LEFT(Buscador_Formulacion!$C$4,3)),"")</f>
        <v/>
      </c>
    </row>
    <row r="115" customFormat="false" ht="15" hidden="false" customHeight="false" outlineLevel="0" collapsed="false">
      <c r="A115" s="0" t="s">
        <v>1028</v>
      </c>
      <c r="B115" s="0" t="s">
        <v>417</v>
      </c>
      <c r="C115" s="0" t="s">
        <v>981</v>
      </c>
      <c r="D115" s="0" t="s">
        <v>982</v>
      </c>
      <c r="E115" s="0" t="s">
        <v>1019</v>
      </c>
      <c r="F115" s="0" t="s">
        <v>1020</v>
      </c>
      <c r="G115" s="0" t="s">
        <v>1021</v>
      </c>
      <c r="H115" s="0" t="s">
        <v>1022</v>
      </c>
      <c r="I115" s="0" t="s">
        <v>427</v>
      </c>
      <c r="J115" s="0" t="s">
        <v>619</v>
      </c>
      <c r="K115" s="0" t="s">
        <v>620</v>
      </c>
      <c r="L115" s="0" t="s">
        <v>621</v>
      </c>
      <c r="M115" s="0" t="s">
        <v>669</v>
      </c>
      <c r="N115" s="0" t="n">
        <v>0</v>
      </c>
      <c r="O115" s="0" t="n">
        <v>0</v>
      </c>
      <c r="P115" s="0" t="n">
        <v>0</v>
      </c>
      <c r="Q115" s="0" t="n">
        <v>0</v>
      </c>
      <c r="R115" s="0" t="s">
        <v>1029</v>
      </c>
      <c r="S115" s="0" t="s">
        <v>1023</v>
      </c>
      <c r="T115" s="0" t="s">
        <v>989</v>
      </c>
      <c r="U115" s="0" t="str">
        <f aca="false">IF(I115=LEFT(Buscador_Formulacion!$C$4,3),COUNTIF($I$5:I115,LEFT(Buscador_Formulacion!$C$4,3)),"")</f>
        <v/>
      </c>
    </row>
    <row r="116" customFormat="false" ht="15" hidden="false" customHeight="false" outlineLevel="0" collapsed="false">
      <c r="A116" s="0" t="s">
        <v>1030</v>
      </c>
      <c r="B116" s="0" t="s">
        <v>204</v>
      </c>
      <c r="C116" s="0" t="s">
        <v>981</v>
      </c>
      <c r="D116" s="0" t="s">
        <v>1031</v>
      </c>
      <c r="E116" s="0" t="s">
        <v>1032</v>
      </c>
      <c r="F116" s="0" t="s">
        <v>1033</v>
      </c>
      <c r="G116" s="0" t="s">
        <v>957</v>
      </c>
      <c r="H116" s="0" t="s">
        <v>1034</v>
      </c>
      <c r="I116" s="0" t="s">
        <v>63</v>
      </c>
      <c r="J116" s="0" t="s">
        <v>619</v>
      </c>
      <c r="K116" s="0" t="s">
        <v>991</v>
      </c>
      <c r="L116" s="0" t="s">
        <v>629</v>
      </c>
      <c r="M116" s="0" t="s">
        <v>622</v>
      </c>
      <c r="N116" s="0" t="n">
        <v>1</v>
      </c>
      <c r="O116" s="0" t="n">
        <v>0</v>
      </c>
      <c r="P116" s="0" t="n">
        <v>1</v>
      </c>
      <c r="Q116" s="0" t="n">
        <v>0</v>
      </c>
      <c r="R116" s="0" t="s">
        <v>633</v>
      </c>
      <c r="S116" s="0" t="s">
        <v>1035</v>
      </c>
      <c r="T116" s="0" t="s">
        <v>989</v>
      </c>
      <c r="U116" s="0" t="str">
        <f aca="false">IF(I116=LEFT(Buscador_Formulacion!$C$4,3),COUNTIF($I$5:I116,LEFT(Buscador_Formulacion!$C$4,3)),"")</f>
        <v/>
      </c>
    </row>
    <row r="117" customFormat="false" ht="15" hidden="false" customHeight="false" outlineLevel="0" collapsed="false">
      <c r="A117" s="0" t="s">
        <v>1036</v>
      </c>
      <c r="B117" s="0" t="s">
        <v>204</v>
      </c>
      <c r="C117" s="0" t="s">
        <v>981</v>
      </c>
      <c r="D117" s="0" t="s">
        <v>1031</v>
      </c>
      <c r="E117" s="0" t="s">
        <v>1032</v>
      </c>
      <c r="F117" s="0" t="s">
        <v>1033</v>
      </c>
      <c r="G117" s="0" t="s">
        <v>957</v>
      </c>
      <c r="H117" s="0" t="s">
        <v>1034</v>
      </c>
      <c r="I117" s="0" t="s">
        <v>381</v>
      </c>
      <c r="J117" s="0" t="s">
        <v>627</v>
      </c>
      <c r="K117" s="0" t="s">
        <v>635</v>
      </c>
      <c r="L117" s="0" t="s">
        <v>636</v>
      </c>
      <c r="M117" s="0" t="s">
        <v>622</v>
      </c>
      <c r="N117" s="0" t="n">
        <v>0</v>
      </c>
      <c r="O117" s="0" t="n">
        <v>0</v>
      </c>
      <c r="P117" s="0" t="n">
        <v>0</v>
      </c>
      <c r="Q117" s="0" t="n">
        <v>0</v>
      </c>
      <c r="R117" s="0" t="s">
        <v>623</v>
      </c>
      <c r="S117" s="0" t="s">
        <v>1035</v>
      </c>
      <c r="T117" s="0" t="s">
        <v>989</v>
      </c>
      <c r="U117" s="0" t="str">
        <f aca="false">IF(I117=LEFT(Buscador_Formulacion!$C$4,3),COUNTIF($I$5:I117,LEFT(Buscador_Formulacion!$C$4,3)),"")</f>
        <v/>
      </c>
    </row>
    <row r="118" customFormat="false" ht="15" hidden="false" customHeight="false" outlineLevel="0" collapsed="false">
      <c r="A118" s="0" t="s">
        <v>1037</v>
      </c>
      <c r="B118" s="0" t="s">
        <v>204</v>
      </c>
      <c r="C118" s="0" t="s">
        <v>981</v>
      </c>
      <c r="D118" s="0" t="s">
        <v>1031</v>
      </c>
      <c r="E118" s="0" t="s">
        <v>1032</v>
      </c>
      <c r="F118" s="0" t="s">
        <v>1033</v>
      </c>
      <c r="G118" s="0" t="s">
        <v>957</v>
      </c>
      <c r="H118" s="0" t="s">
        <v>1034</v>
      </c>
      <c r="I118" s="0" t="s">
        <v>203</v>
      </c>
      <c r="J118" s="0" t="s">
        <v>1038</v>
      </c>
      <c r="K118" s="0" t="s">
        <v>1039</v>
      </c>
      <c r="L118" s="0" t="s">
        <v>1040</v>
      </c>
      <c r="M118" s="0" t="s">
        <v>656</v>
      </c>
      <c r="N118" s="0" t="n">
        <v>0</v>
      </c>
      <c r="O118" s="0" t="n">
        <v>0</v>
      </c>
      <c r="P118" s="0" t="n">
        <v>0</v>
      </c>
      <c r="Q118" s="0" t="n">
        <v>1</v>
      </c>
      <c r="R118" s="0" t="s">
        <v>1041</v>
      </c>
      <c r="S118" s="0" t="s">
        <v>1035</v>
      </c>
      <c r="T118" s="0" t="s">
        <v>989</v>
      </c>
      <c r="U118" s="0" t="str">
        <f aca="false">IF(I118=LEFT(Buscador_Formulacion!$C$4,3),COUNTIF($I$5:I118,LEFT(Buscador_Formulacion!$C$4,3)),"")</f>
        <v/>
      </c>
    </row>
    <row r="119" customFormat="false" ht="15" hidden="false" customHeight="false" outlineLevel="0" collapsed="false">
      <c r="A119" s="0" t="s">
        <v>1042</v>
      </c>
      <c r="B119" s="0" t="s">
        <v>204</v>
      </c>
      <c r="C119" s="0" t="s">
        <v>981</v>
      </c>
      <c r="D119" s="0" t="s">
        <v>1031</v>
      </c>
      <c r="E119" s="0" t="s">
        <v>1032</v>
      </c>
      <c r="F119" s="0" t="s">
        <v>1033</v>
      </c>
      <c r="G119" s="0" t="s">
        <v>957</v>
      </c>
      <c r="H119" s="0" t="s">
        <v>1034</v>
      </c>
      <c r="I119" s="0" t="s">
        <v>138</v>
      </c>
      <c r="J119" s="0" t="s">
        <v>627</v>
      </c>
      <c r="K119" s="0" t="s">
        <v>628</v>
      </c>
      <c r="L119" s="0" t="s">
        <v>629</v>
      </c>
      <c r="M119" s="0" t="s">
        <v>669</v>
      </c>
      <c r="N119" s="0" t="n">
        <v>0</v>
      </c>
      <c r="O119" s="0" t="n">
        <v>0</v>
      </c>
      <c r="P119" s="0" t="n">
        <v>0</v>
      </c>
      <c r="Q119" s="0" t="n">
        <v>0</v>
      </c>
      <c r="R119" s="0" t="s">
        <v>1043</v>
      </c>
      <c r="S119" s="0" t="s">
        <v>1035</v>
      </c>
      <c r="T119" s="0" t="s">
        <v>989</v>
      </c>
      <c r="U119" s="0" t="str">
        <f aca="false">IF(I119=LEFT(Buscador_Formulacion!$C$4,3),COUNTIF($I$5:I119,LEFT(Buscador_Formulacion!$C$4,3)),"")</f>
        <v/>
      </c>
    </row>
    <row r="120" customFormat="false" ht="15" hidden="false" customHeight="false" outlineLevel="0" collapsed="false">
      <c r="A120" s="0" t="s">
        <v>1044</v>
      </c>
      <c r="B120" s="0" t="s">
        <v>204</v>
      </c>
      <c r="C120" s="0" t="s">
        <v>981</v>
      </c>
      <c r="D120" s="0" t="s">
        <v>1031</v>
      </c>
      <c r="E120" s="0" t="s">
        <v>1032</v>
      </c>
      <c r="F120" s="0" t="s">
        <v>1033</v>
      </c>
      <c r="G120" s="0" t="s">
        <v>957</v>
      </c>
      <c r="H120" s="0" t="s">
        <v>1034</v>
      </c>
      <c r="I120" s="0" t="s">
        <v>235</v>
      </c>
      <c r="J120" s="0" t="s">
        <v>805</v>
      </c>
      <c r="K120" s="0" t="s">
        <v>806</v>
      </c>
      <c r="L120" s="0" t="s">
        <v>807</v>
      </c>
      <c r="M120" s="0" t="s">
        <v>669</v>
      </c>
      <c r="N120" s="0" t="n">
        <v>0</v>
      </c>
      <c r="O120" s="0" t="n">
        <v>0</v>
      </c>
      <c r="P120" s="0" t="n">
        <v>0</v>
      </c>
      <c r="Q120" s="0" t="n">
        <v>0</v>
      </c>
      <c r="R120" s="0" t="s">
        <v>1045</v>
      </c>
      <c r="S120" s="0" t="s">
        <v>1035</v>
      </c>
      <c r="T120" s="0" t="s">
        <v>989</v>
      </c>
      <c r="U120" s="0" t="str">
        <f aca="false">IF(I120=LEFT(Buscador_Formulacion!$C$4,3),COUNTIF($I$5:I120,LEFT(Buscador_Formulacion!$C$4,3)),"")</f>
        <v/>
      </c>
    </row>
    <row r="121" customFormat="false" ht="15" hidden="false" customHeight="false" outlineLevel="0" collapsed="false">
      <c r="A121" s="0" t="s">
        <v>1046</v>
      </c>
      <c r="B121" s="0" t="s">
        <v>286</v>
      </c>
      <c r="C121" s="0" t="s">
        <v>981</v>
      </c>
      <c r="D121" s="0" t="s">
        <v>1031</v>
      </c>
      <c r="E121" s="0" t="s">
        <v>1047</v>
      </c>
      <c r="F121" s="0" t="s">
        <v>1048</v>
      </c>
      <c r="G121" s="0" t="s">
        <v>1049</v>
      </c>
      <c r="H121" s="0" t="s">
        <v>1050</v>
      </c>
      <c r="I121" s="0" t="s">
        <v>422</v>
      </c>
      <c r="J121" s="0" t="s">
        <v>627</v>
      </c>
      <c r="K121" s="0" t="s">
        <v>632</v>
      </c>
      <c r="L121" s="0" t="s">
        <v>629</v>
      </c>
      <c r="M121" s="0" t="s">
        <v>622</v>
      </c>
      <c r="N121" s="0" t="n">
        <v>14</v>
      </c>
      <c r="O121" s="0" t="n">
        <v>1</v>
      </c>
      <c r="P121" s="0" t="n">
        <v>13</v>
      </c>
      <c r="Q121" s="0" t="n">
        <v>1</v>
      </c>
      <c r="R121" s="0" t="s">
        <v>1051</v>
      </c>
      <c r="S121" s="0" t="s">
        <v>988</v>
      </c>
      <c r="T121" s="0" t="s">
        <v>989</v>
      </c>
      <c r="U121" s="0" t="str">
        <f aca="false">IF(I121=LEFT(Buscador_Formulacion!$C$4,3),COUNTIF($I$5:I121,LEFT(Buscador_Formulacion!$C$4,3)),"")</f>
        <v/>
      </c>
    </row>
    <row r="122" customFormat="false" ht="15" hidden="false" customHeight="false" outlineLevel="0" collapsed="false">
      <c r="A122" s="0" t="s">
        <v>1052</v>
      </c>
      <c r="B122" s="0" t="s">
        <v>286</v>
      </c>
      <c r="C122" s="0" t="s">
        <v>981</v>
      </c>
      <c r="D122" s="0" t="s">
        <v>1031</v>
      </c>
      <c r="E122" s="0" t="s">
        <v>1047</v>
      </c>
      <c r="F122" s="0" t="s">
        <v>1048</v>
      </c>
      <c r="G122" s="0" t="s">
        <v>1049</v>
      </c>
      <c r="H122" s="0" t="s">
        <v>1050</v>
      </c>
      <c r="I122" s="0" t="s">
        <v>138</v>
      </c>
      <c r="J122" s="0" t="s">
        <v>627</v>
      </c>
      <c r="K122" s="0" t="s">
        <v>628</v>
      </c>
      <c r="L122" s="0" t="s">
        <v>629</v>
      </c>
      <c r="M122" s="0" t="s">
        <v>656</v>
      </c>
      <c r="N122" s="0" t="n">
        <v>0</v>
      </c>
      <c r="O122" s="0" t="n">
        <v>0</v>
      </c>
      <c r="P122" s="0" t="n">
        <v>0</v>
      </c>
      <c r="Q122" s="0" t="n">
        <v>2</v>
      </c>
      <c r="R122" s="0" t="s">
        <v>1053</v>
      </c>
      <c r="S122" s="0" t="s">
        <v>988</v>
      </c>
      <c r="T122" s="0" t="s">
        <v>989</v>
      </c>
      <c r="U122" s="0" t="str">
        <f aca="false">IF(I122=LEFT(Buscador_Formulacion!$C$4,3),COUNTIF($I$5:I122,LEFT(Buscador_Formulacion!$C$4,3)),"")</f>
        <v/>
      </c>
    </row>
    <row r="123" customFormat="false" ht="15" hidden="false" customHeight="false" outlineLevel="0" collapsed="false">
      <c r="A123" s="0" t="s">
        <v>1054</v>
      </c>
      <c r="B123" s="0" t="s">
        <v>286</v>
      </c>
      <c r="C123" s="0" t="s">
        <v>981</v>
      </c>
      <c r="D123" s="0" t="s">
        <v>1031</v>
      </c>
      <c r="E123" s="0" t="s">
        <v>1047</v>
      </c>
      <c r="F123" s="0" t="s">
        <v>1048</v>
      </c>
      <c r="G123" s="0" t="s">
        <v>1049</v>
      </c>
      <c r="H123" s="0" t="s">
        <v>1050</v>
      </c>
      <c r="I123" s="0" t="s">
        <v>124</v>
      </c>
      <c r="J123" s="0" t="s">
        <v>654</v>
      </c>
      <c r="K123" s="0" t="s">
        <v>655</v>
      </c>
      <c r="L123" s="0" t="s">
        <v>644</v>
      </c>
      <c r="M123" s="0" t="s">
        <v>656</v>
      </c>
      <c r="N123" s="0" t="n">
        <v>0</v>
      </c>
      <c r="O123" s="0" t="n">
        <v>0</v>
      </c>
      <c r="P123" s="0" t="n">
        <v>0</v>
      </c>
      <c r="Q123" s="0" t="n">
        <v>1</v>
      </c>
      <c r="R123" s="0" t="s">
        <v>1055</v>
      </c>
      <c r="S123" s="0" t="s">
        <v>988</v>
      </c>
      <c r="T123" s="0" t="s">
        <v>989</v>
      </c>
      <c r="U123" s="0" t="str">
        <f aca="false">IF(I123=LEFT(Buscador_Formulacion!$C$4,3),COUNTIF($I$5:I123,LEFT(Buscador_Formulacion!$C$4,3)),"")</f>
        <v/>
      </c>
    </row>
    <row r="124" customFormat="false" ht="15" hidden="false" customHeight="false" outlineLevel="0" collapsed="false">
      <c r="A124" s="0" t="s">
        <v>1056</v>
      </c>
      <c r="B124" s="0" t="s">
        <v>286</v>
      </c>
      <c r="C124" s="0" t="s">
        <v>981</v>
      </c>
      <c r="D124" s="0" t="s">
        <v>1031</v>
      </c>
      <c r="E124" s="0" t="s">
        <v>1047</v>
      </c>
      <c r="F124" s="0" t="s">
        <v>1048</v>
      </c>
      <c r="G124" s="0" t="s">
        <v>1049</v>
      </c>
      <c r="H124" s="0" t="s">
        <v>1050</v>
      </c>
      <c r="I124" s="0" t="s">
        <v>373</v>
      </c>
      <c r="J124" s="0" t="s">
        <v>708</v>
      </c>
      <c r="K124" s="0" t="s">
        <v>709</v>
      </c>
      <c r="L124" s="0" t="s">
        <v>710</v>
      </c>
      <c r="M124" s="0" t="s">
        <v>656</v>
      </c>
      <c r="N124" s="0" t="n">
        <v>0</v>
      </c>
      <c r="O124" s="0" t="n">
        <v>0</v>
      </c>
      <c r="P124" s="0" t="n">
        <v>0</v>
      </c>
      <c r="Q124" s="0" t="n">
        <v>1</v>
      </c>
      <c r="R124" s="0" t="s">
        <v>1057</v>
      </c>
      <c r="S124" s="0" t="s">
        <v>988</v>
      </c>
      <c r="T124" s="0" t="s">
        <v>989</v>
      </c>
      <c r="U124" s="0" t="str">
        <f aca="false">IF(I124=LEFT(Buscador_Formulacion!$C$4,3),COUNTIF($I$5:I124,LEFT(Buscador_Formulacion!$C$4,3)),"")</f>
        <v/>
      </c>
    </row>
    <row r="125" customFormat="false" ht="15" hidden="false" customHeight="false" outlineLevel="0" collapsed="false">
      <c r="A125" s="0" t="s">
        <v>1058</v>
      </c>
      <c r="B125" s="0" t="s">
        <v>1059</v>
      </c>
      <c r="C125" s="0" t="s">
        <v>981</v>
      </c>
      <c r="D125" s="0" t="s">
        <v>1031</v>
      </c>
      <c r="E125" s="0" t="s">
        <v>1060</v>
      </c>
      <c r="F125" s="0" t="s">
        <v>1061</v>
      </c>
      <c r="G125" s="0" t="s">
        <v>1062</v>
      </c>
      <c r="H125" s="0" t="s">
        <v>1063</v>
      </c>
      <c r="I125" s="0" t="s">
        <v>700</v>
      </c>
      <c r="J125" s="0" t="s">
        <v>701</v>
      </c>
      <c r="K125" s="0" t="s">
        <v>702</v>
      </c>
      <c r="L125" s="0" t="s">
        <v>703</v>
      </c>
      <c r="M125" s="0" t="s">
        <v>745</v>
      </c>
      <c r="N125" s="0" t="n">
        <v>0</v>
      </c>
      <c r="O125" s="0" t="n">
        <v>0</v>
      </c>
      <c r="P125" s="0" t="n">
        <v>0</v>
      </c>
      <c r="Q125" s="0" t="n">
        <v>0</v>
      </c>
      <c r="R125" s="0" t="s">
        <v>1064</v>
      </c>
      <c r="S125" s="0" t="s">
        <v>678</v>
      </c>
      <c r="T125" s="0" t="s">
        <v>989</v>
      </c>
      <c r="U125" s="0" t="n">
        <f aca="false">IF(I125=LEFT(Buscador_Formulacion!$C$4,3),COUNTIF($I$5:I125,LEFT(Buscador_Formulacion!$C$4,3)),"")</f>
        <v>2</v>
      </c>
    </row>
    <row r="126" customFormat="false" ht="15" hidden="false" customHeight="false" outlineLevel="0" collapsed="false">
      <c r="A126" s="0" t="s">
        <v>1065</v>
      </c>
      <c r="B126" s="0" t="s">
        <v>1059</v>
      </c>
      <c r="C126" s="0" t="s">
        <v>981</v>
      </c>
      <c r="D126" s="0" t="s">
        <v>1031</v>
      </c>
      <c r="E126" s="0" t="s">
        <v>1060</v>
      </c>
      <c r="F126" s="0" t="s">
        <v>1061</v>
      </c>
      <c r="G126" s="0" t="s">
        <v>1062</v>
      </c>
      <c r="H126" s="0" t="s">
        <v>1063</v>
      </c>
      <c r="I126" s="0" t="s">
        <v>83</v>
      </c>
      <c r="J126" s="0" t="s">
        <v>642</v>
      </c>
      <c r="K126" s="0" t="s">
        <v>643</v>
      </c>
      <c r="L126" s="0" t="s">
        <v>644</v>
      </c>
      <c r="M126" s="0" t="s">
        <v>745</v>
      </c>
      <c r="N126" s="0" t="n">
        <v>0</v>
      </c>
      <c r="O126" s="0" t="n">
        <v>0</v>
      </c>
      <c r="P126" s="0" t="n">
        <v>0</v>
      </c>
      <c r="Q126" s="0" t="n">
        <v>0</v>
      </c>
      <c r="R126" s="0" t="s">
        <v>1066</v>
      </c>
      <c r="S126" s="0" t="s">
        <v>678</v>
      </c>
      <c r="T126" s="0" t="s">
        <v>989</v>
      </c>
      <c r="U126" s="0" t="str">
        <f aca="false">IF(I126=LEFT(Buscador_Formulacion!$C$4,3),COUNTIF($I$5:I126,LEFT(Buscador_Formulacion!$C$4,3)),"")</f>
        <v/>
      </c>
    </row>
    <row r="127" customFormat="false" ht="15" hidden="false" customHeight="false" outlineLevel="0" collapsed="false">
      <c r="A127" s="0" t="s">
        <v>1067</v>
      </c>
      <c r="B127" s="0" t="s">
        <v>1068</v>
      </c>
      <c r="C127" s="0" t="s">
        <v>981</v>
      </c>
      <c r="D127" s="0" t="s">
        <v>1069</v>
      </c>
      <c r="E127" s="0" t="s">
        <v>1070</v>
      </c>
      <c r="F127" s="0" t="s">
        <v>1071</v>
      </c>
      <c r="G127" s="0" t="s">
        <v>1049</v>
      </c>
      <c r="H127" s="0" t="s">
        <v>1072</v>
      </c>
      <c r="I127" s="0" t="s">
        <v>381</v>
      </c>
      <c r="J127" s="0" t="s">
        <v>627</v>
      </c>
      <c r="K127" s="0" t="s">
        <v>635</v>
      </c>
      <c r="L127" s="0" t="s">
        <v>636</v>
      </c>
      <c r="M127" s="0" t="s">
        <v>622</v>
      </c>
      <c r="N127" s="0" t="n">
        <v>9</v>
      </c>
      <c r="O127" s="0" t="n">
        <v>2</v>
      </c>
      <c r="P127" s="0" t="n">
        <v>7</v>
      </c>
      <c r="Q127" s="0" t="n">
        <v>0</v>
      </c>
      <c r="R127" s="0" t="s">
        <v>1073</v>
      </c>
      <c r="S127" s="0" t="s">
        <v>1074</v>
      </c>
      <c r="T127" s="0" t="s">
        <v>989</v>
      </c>
      <c r="U127" s="0" t="str">
        <f aca="false">IF(I127=LEFT(Buscador_Formulacion!$C$4,3),COUNTIF($I$5:I127,LEFT(Buscador_Formulacion!$C$4,3)),"")</f>
        <v/>
      </c>
    </row>
    <row r="128" customFormat="false" ht="15" hidden="false" customHeight="false" outlineLevel="0" collapsed="false">
      <c r="A128" s="0" t="s">
        <v>1075</v>
      </c>
      <c r="B128" s="0" t="s">
        <v>1068</v>
      </c>
      <c r="C128" s="0" t="s">
        <v>981</v>
      </c>
      <c r="D128" s="0" t="s">
        <v>1069</v>
      </c>
      <c r="E128" s="0" t="s">
        <v>1070</v>
      </c>
      <c r="F128" s="0" t="s">
        <v>1071</v>
      </c>
      <c r="G128" s="0" t="s">
        <v>1049</v>
      </c>
      <c r="H128" s="0" t="s">
        <v>1072</v>
      </c>
      <c r="I128" s="0" t="s">
        <v>172</v>
      </c>
      <c r="J128" s="0" t="s">
        <v>627</v>
      </c>
      <c r="K128" s="0" t="s">
        <v>720</v>
      </c>
      <c r="L128" s="0" t="s">
        <v>636</v>
      </c>
      <c r="M128" s="0" t="s">
        <v>622</v>
      </c>
      <c r="N128" s="0" t="n">
        <v>1</v>
      </c>
      <c r="O128" s="0" t="n">
        <v>1</v>
      </c>
      <c r="P128" s="0" t="n">
        <v>0</v>
      </c>
      <c r="Q128" s="0" t="n">
        <v>0</v>
      </c>
      <c r="R128" s="0" t="s">
        <v>623</v>
      </c>
      <c r="S128" s="0" t="s">
        <v>1074</v>
      </c>
      <c r="T128" s="0" t="s">
        <v>989</v>
      </c>
      <c r="U128" s="0" t="str">
        <f aca="false">IF(I128=LEFT(Buscador_Formulacion!$C$4,3),COUNTIF($I$5:I128,LEFT(Buscador_Formulacion!$C$4,3)),"")</f>
        <v/>
      </c>
    </row>
    <row r="129" customFormat="false" ht="15" hidden="false" customHeight="false" outlineLevel="0" collapsed="false">
      <c r="A129" s="0" t="s">
        <v>1076</v>
      </c>
      <c r="B129" s="0" t="s">
        <v>1068</v>
      </c>
      <c r="C129" s="0" t="s">
        <v>981</v>
      </c>
      <c r="D129" s="0" t="s">
        <v>1069</v>
      </c>
      <c r="E129" s="0" t="s">
        <v>1070</v>
      </c>
      <c r="F129" s="0" t="s">
        <v>1071</v>
      </c>
      <c r="G129" s="0" t="s">
        <v>1049</v>
      </c>
      <c r="H129" s="0" t="s">
        <v>1072</v>
      </c>
      <c r="I129" s="0" t="s">
        <v>83</v>
      </c>
      <c r="J129" s="0" t="s">
        <v>642</v>
      </c>
      <c r="K129" s="0" t="s">
        <v>643</v>
      </c>
      <c r="L129" s="0" t="s">
        <v>644</v>
      </c>
      <c r="M129" s="0" t="s">
        <v>622</v>
      </c>
      <c r="N129" s="0" t="n">
        <v>0</v>
      </c>
      <c r="O129" s="0" t="n">
        <v>0</v>
      </c>
      <c r="P129" s="0" t="n">
        <v>0</v>
      </c>
      <c r="Q129" s="0" t="n">
        <v>0</v>
      </c>
      <c r="R129" s="0" t="s">
        <v>623</v>
      </c>
      <c r="S129" s="0" t="s">
        <v>1074</v>
      </c>
      <c r="T129" s="0" t="s">
        <v>989</v>
      </c>
      <c r="U129" s="0" t="str">
        <f aca="false">IF(I129=LEFT(Buscador_Formulacion!$C$4,3),COUNTIF($I$5:I129,LEFT(Buscador_Formulacion!$C$4,3)),"")</f>
        <v/>
      </c>
    </row>
    <row r="130" customFormat="false" ht="15" hidden="false" customHeight="false" outlineLevel="0" collapsed="false">
      <c r="A130" s="0" t="s">
        <v>1077</v>
      </c>
      <c r="B130" s="0" t="s">
        <v>1068</v>
      </c>
      <c r="C130" s="0" t="s">
        <v>981</v>
      </c>
      <c r="D130" s="0" t="s">
        <v>1069</v>
      </c>
      <c r="E130" s="0" t="s">
        <v>1070</v>
      </c>
      <c r="F130" s="0" t="s">
        <v>1071</v>
      </c>
      <c r="G130" s="0" t="s">
        <v>1049</v>
      </c>
      <c r="H130" s="0" t="s">
        <v>1072</v>
      </c>
      <c r="I130" s="0" t="s">
        <v>737</v>
      </c>
      <c r="J130" s="0" t="s">
        <v>627</v>
      </c>
      <c r="K130" s="0" t="s">
        <v>738</v>
      </c>
      <c r="L130" s="0" t="s">
        <v>629</v>
      </c>
      <c r="M130" s="0" t="s">
        <v>622</v>
      </c>
      <c r="N130" s="0" t="n">
        <v>2</v>
      </c>
      <c r="O130" s="0" t="n">
        <v>0</v>
      </c>
      <c r="P130" s="0" t="n">
        <v>2</v>
      </c>
      <c r="Q130" s="0" t="n">
        <v>0</v>
      </c>
      <c r="R130" s="0" t="s">
        <v>677</v>
      </c>
      <c r="S130" s="0" t="s">
        <v>1074</v>
      </c>
      <c r="T130" s="0" t="s">
        <v>989</v>
      </c>
      <c r="U130" s="0" t="str">
        <f aca="false">IF(I130=LEFT(Buscador_Formulacion!$C$4,3),COUNTIF($I$5:I130,LEFT(Buscador_Formulacion!$C$4,3)),"")</f>
        <v/>
      </c>
    </row>
    <row r="131" customFormat="false" ht="15" hidden="false" customHeight="false" outlineLevel="0" collapsed="false">
      <c r="A131" s="0" t="s">
        <v>1078</v>
      </c>
      <c r="B131" s="0" t="s">
        <v>1068</v>
      </c>
      <c r="C131" s="0" t="s">
        <v>981</v>
      </c>
      <c r="D131" s="0" t="s">
        <v>1069</v>
      </c>
      <c r="E131" s="0" t="s">
        <v>1070</v>
      </c>
      <c r="F131" s="0" t="s">
        <v>1071</v>
      </c>
      <c r="G131" s="0" t="s">
        <v>1049</v>
      </c>
      <c r="H131" s="0" t="s">
        <v>1072</v>
      </c>
      <c r="I131" s="0" t="s">
        <v>1079</v>
      </c>
      <c r="J131" s="0" t="s">
        <v>627</v>
      </c>
      <c r="K131" s="0" t="s">
        <v>1080</v>
      </c>
      <c r="L131" s="0" t="s">
        <v>629</v>
      </c>
      <c r="M131" s="0" t="s">
        <v>622</v>
      </c>
      <c r="N131" s="0" t="n">
        <v>3</v>
      </c>
      <c r="O131" s="0" t="n">
        <v>2</v>
      </c>
      <c r="P131" s="0" t="n">
        <v>1</v>
      </c>
      <c r="Q131" s="0" t="n">
        <v>0</v>
      </c>
      <c r="R131" s="0" t="s">
        <v>633</v>
      </c>
      <c r="S131" s="0" t="s">
        <v>1074</v>
      </c>
      <c r="T131" s="0" t="s">
        <v>989</v>
      </c>
      <c r="U131" s="0" t="str">
        <f aca="false">IF(I131=LEFT(Buscador_Formulacion!$C$4,3),COUNTIF($I$5:I131,LEFT(Buscador_Formulacion!$C$4,3)),"")</f>
        <v/>
      </c>
    </row>
    <row r="132" customFormat="false" ht="15" hidden="false" customHeight="false" outlineLevel="0" collapsed="false">
      <c r="A132" s="0" t="s">
        <v>1081</v>
      </c>
      <c r="B132" s="0" t="s">
        <v>428</v>
      </c>
      <c r="C132" s="0" t="s">
        <v>981</v>
      </c>
      <c r="D132" s="0" t="s">
        <v>1082</v>
      </c>
      <c r="E132" s="0" t="s">
        <v>1083</v>
      </c>
      <c r="F132" s="0" t="s">
        <v>1084</v>
      </c>
      <c r="G132" s="0" t="s">
        <v>1085</v>
      </c>
      <c r="H132" s="0" t="s">
        <v>1086</v>
      </c>
      <c r="I132" s="0" t="s">
        <v>427</v>
      </c>
      <c r="J132" s="0" t="s">
        <v>619</v>
      </c>
      <c r="K132" s="0" t="s">
        <v>620</v>
      </c>
      <c r="L132" s="0" t="s">
        <v>621</v>
      </c>
      <c r="M132" s="0" t="s">
        <v>622</v>
      </c>
      <c r="N132" s="0" t="n">
        <v>39</v>
      </c>
      <c r="O132" s="0" t="n">
        <v>7</v>
      </c>
      <c r="P132" s="0" t="n">
        <v>32</v>
      </c>
      <c r="Q132" s="0" t="n">
        <v>1</v>
      </c>
      <c r="R132" s="0" t="s">
        <v>1087</v>
      </c>
      <c r="S132" s="0" t="s">
        <v>967</v>
      </c>
      <c r="T132" s="0" t="s">
        <v>989</v>
      </c>
      <c r="U132" s="0" t="str">
        <f aca="false">IF(I132=LEFT(Buscador_Formulacion!$C$4,3),COUNTIF($I$5:I132,LEFT(Buscador_Formulacion!$C$4,3)),"")</f>
        <v/>
      </c>
    </row>
    <row r="133" customFormat="false" ht="15" hidden="false" customHeight="false" outlineLevel="0" collapsed="false">
      <c r="A133" s="0" t="s">
        <v>1088</v>
      </c>
      <c r="B133" s="0" t="s">
        <v>428</v>
      </c>
      <c r="C133" s="0" t="s">
        <v>981</v>
      </c>
      <c r="D133" s="0" t="s">
        <v>1082</v>
      </c>
      <c r="E133" s="0" t="s">
        <v>1083</v>
      </c>
      <c r="F133" s="0" t="s">
        <v>1084</v>
      </c>
      <c r="G133" s="0" t="s">
        <v>1085</v>
      </c>
      <c r="H133" s="0" t="s">
        <v>1086</v>
      </c>
      <c r="I133" s="0" t="s">
        <v>478</v>
      </c>
      <c r="J133" s="0" t="s">
        <v>619</v>
      </c>
      <c r="K133" s="0" t="s">
        <v>787</v>
      </c>
      <c r="L133" s="0" t="s">
        <v>788</v>
      </c>
      <c r="M133" s="0" t="s">
        <v>622</v>
      </c>
      <c r="N133" s="0" t="n">
        <v>8</v>
      </c>
      <c r="O133" s="0" t="n">
        <v>2</v>
      </c>
      <c r="P133" s="0" t="n">
        <v>6</v>
      </c>
      <c r="Q133" s="0" t="n">
        <v>0</v>
      </c>
      <c r="R133" s="0" t="s">
        <v>880</v>
      </c>
      <c r="S133" s="0" t="s">
        <v>967</v>
      </c>
      <c r="T133" s="0" t="s">
        <v>989</v>
      </c>
      <c r="U133" s="0" t="str">
        <f aca="false">IF(I133=LEFT(Buscador_Formulacion!$C$4,3),COUNTIF($I$5:I133,LEFT(Buscador_Formulacion!$C$4,3)),"")</f>
        <v/>
      </c>
    </row>
    <row r="134" customFormat="false" ht="15" hidden="false" customHeight="false" outlineLevel="0" collapsed="false">
      <c r="A134" s="0" t="s">
        <v>1089</v>
      </c>
      <c r="B134" s="0" t="s">
        <v>428</v>
      </c>
      <c r="C134" s="0" t="s">
        <v>981</v>
      </c>
      <c r="D134" s="0" t="s">
        <v>1082</v>
      </c>
      <c r="E134" s="0" t="s">
        <v>1083</v>
      </c>
      <c r="F134" s="0" t="s">
        <v>1084</v>
      </c>
      <c r="G134" s="0" t="s">
        <v>1085</v>
      </c>
      <c r="H134" s="0" t="s">
        <v>1086</v>
      </c>
      <c r="I134" s="0" t="s">
        <v>74</v>
      </c>
      <c r="J134" s="0" t="s">
        <v>723</v>
      </c>
      <c r="K134" s="0" t="s">
        <v>724</v>
      </c>
      <c r="L134" s="0" t="s">
        <v>629</v>
      </c>
      <c r="M134" s="0" t="s">
        <v>622</v>
      </c>
      <c r="N134" s="0" t="n">
        <v>1</v>
      </c>
      <c r="O134" s="0" t="n">
        <v>0</v>
      </c>
      <c r="P134" s="0" t="n">
        <v>1</v>
      </c>
      <c r="Q134" s="0" t="n">
        <v>0</v>
      </c>
      <c r="R134" s="0" t="s">
        <v>633</v>
      </c>
      <c r="S134" s="0" t="s">
        <v>967</v>
      </c>
      <c r="T134" s="0" t="s">
        <v>989</v>
      </c>
      <c r="U134" s="0" t="str">
        <f aca="false">IF(I134=LEFT(Buscador_Formulacion!$C$4,3),COUNTIF($I$5:I134,LEFT(Buscador_Formulacion!$C$4,3)),"")</f>
        <v/>
      </c>
    </row>
    <row r="135" customFormat="false" ht="15" hidden="false" customHeight="false" outlineLevel="0" collapsed="false">
      <c r="A135" s="0" t="s">
        <v>1090</v>
      </c>
      <c r="B135" s="0" t="s">
        <v>428</v>
      </c>
      <c r="C135" s="0" t="s">
        <v>981</v>
      </c>
      <c r="D135" s="0" t="s">
        <v>1082</v>
      </c>
      <c r="E135" s="0" t="s">
        <v>1083</v>
      </c>
      <c r="F135" s="0" t="s">
        <v>1084</v>
      </c>
      <c r="G135" s="0" t="s">
        <v>1085</v>
      </c>
      <c r="H135" s="0" t="s">
        <v>1086</v>
      </c>
      <c r="I135" s="0" t="s">
        <v>245</v>
      </c>
      <c r="J135" s="0" t="s">
        <v>723</v>
      </c>
      <c r="K135" s="0" t="s">
        <v>1017</v>
      </c>
      <c r="L135" s="0" t="s">
        <v>1017</v>
      </c>
      <c r="M135" s="0" t="s">
        <v>622</v>
      </c>
      <c r="N135" s="0" t="n">
        <v>2</v>
      </c>
      <c r="O135" s="0" t="n">
        <v>0</v>
      </c>
      <c r="P135" s="0" t="n">
        <v>2</v>
      </c>
      <c r="Q135" s="0" t="n">
        <v>0</v>
      </c>
      <c r="R135" s="0" t="s">
        <v>677</v>
      </c>
      <c r="S135" s="0" t="s">
        <v>967</v>
      </c>
      <c r="T135" s="0" t="s">
        <v>989</v>
      </c>
      <c r="U135" s="0" t="str">
        <f aca="false">IF(I135=LEFT(Buscador_Formulacion!$C$4,3),COUNTIF($I$5:I135,LEFT(Buscador_Formulacion!$C$4,3)),"")</f>
        <v/>
      </c>
    </row>
    <row r="136" customFormat="false" ht="15" hidden="false" customHeight="false" outlineLevel="0" collapsed="false">
      <c r="A136" s="0" t="s">
        <v>1091</v>
      </c>
      <c r="B136" s="0" t="s">
        <v>428</v>
      </c>
      <c r="C136" s="0" t="s">
        <v>981</v>
      </c>
      <c r="D136" s="0" t="s">
        <v>1082</v>
      </c>
      <c r="E136" s="0" t="s">
        <v>1083</v>
      </c>
      <c r="F136" s="0" t="s">
        <v>1084</v>
      </c>
      <c r="G136" s="0" t="s">
        <v>1085</v>
      </c>
      <c r="H136" s="0" t="s">
        <v>1086</v>
      </c>
      <c r="I136" s="0" t="s">
        <v>373</v>
      </c>
      <c r="J136" s="0" t="s">
        <v>708</v>
      </c>
      <c r="K136" s="0" t="s">
        <v>709</v>
      </c>
      <c r="L136" s="0" t="s">
        <v>710</v>
      </c>
      <c r="M136" s="0" t="s">
        <v>622</v>
      </c>
      <c r="N136" s="0" t="n">
        <v>8</v>
      </c>
      <c r="O136" s="0" t="n">
        <v>4</v>
      </c>
      <c r="P136" s="0" t="n">
        <v>4</v>
      </c>
      <c r="Q136" s="0" t="n">
        <v>0</v>
      </c>
      <c r="R136" s="0" t="s">
        <v>1092</v>
      </c>
      <c r="S136" s="0" t="s">
        <v>967</v>
      </c>
      <c r="T136" s="0" t="s">
        <v>989</v>
      </c>
      <c r="U136" s="0" t="str">
        <f aca="false">IF(I136=LEFT(Buscador_Formulacion!$C$4,3),COUNTIF($I$5:I136,LEFT(Buscador_Formulacion!$C$4,3)),"")</f>
        <v/>
      </c>
    </row>
    <row r="137" customFormat="false" ht="15" hidden="false" customHeight="false" outlineLevel="0" collapsed="false">
      <c r="A137" s="0" t="s">
        <v>1093</v>
      </c>
      <c r="B137" s="0" t="s">
        <v>479</v>
      </c>
      <c r="C137" s="0" t="s">
        <v>981</v>
      </c>
      <c r="D137" s="0" t="s">
        <v>1082</v>
      </c>
      <c r="E137" s="0" t="s">
        <v>1094</v>
      </c>
      <c r="F137" s="0" t="s">
        <v>1095</v>
      </c>
      <c r="G137" s="0" t="s">
        <v>1096</v>
      </c>
      <c r="H137" s="0" t="s">
        <v>1097</v>
      </c>
      <c r="I137" s="0" t="s">
        <v>478</v>
      </c>
      <c r="J137" s="0" t="s">
        <v>619</v>
      </c>
      <c r="K137" s="0" t="s">
        <v>787</v>
      </c>
      <c r="L137" s="0" t="s">
        <v>788</v>
      </c>
      <c r="M137" s="0" t="s">
        <v>622</v>
      </c>
      <c r="N137" s="0" t="n">
        <v>12</v>
      </c>
      <c r="O137" s="0" t="n">
        <v>4</v>
      </c>
      <c r="P137" s="0" t="n">
        <v>8</v>
      </c>
      <c r="Q137" s="0" t="n">
        <v>1</v>
      </c>
      <c r="R137" s="0" t="s">
        <v>1098</v>
      </c>
      <c r="S137" s="0" t="s">
        <v>977</v>
      </c>
      <c r="T137" s="0" t="s">
        <v>989</v>
      </c>
      <c r="U137" s="0" t="str">
        <f aca="false">IF(I137=LEFT(Buscador_Formulacion!$C$4,3),COUNTIF($I$5:I137,LEFT(Buscador_Formulacion!$C$4,3)),"")</f>
        <v/>
      </c>
    </row>
    <row r="138" customFormat="false" ht="15" hidden="false" customHeight="false" outlineLevel="0" collapsed="false">
      <c r="A138" s="0" t="s">
        <v>1099</v>
      </c>
      <c r="B138" s="0" t="s">
        <v>479</v>
      </c>
      <c r="C138" s="0" t="s">
        <v>981</v>
      </c>
      <c r="D138" s="0" t="s">
        <v>1082</v>
      </c>
      <c r="E138" s="0" t="s">
        <v>1094</v>
      </c>
      <c r="F138" s="0" t="s">
        <v>1095</v>
      </c>
      <c r="G138" s="0" t="s">
        <v>1096</v>
      </c>
      <c r="H138" s="0" t="s">
        <v>1097</v>
      </c>
      <c r="I138" s="0" t="s">
        <v>833</v>
      </c>
      <c r="J138" s="0" t="s">
        <v>828</v>
      </c>
      <c r="K138" s="0" t="s">
        <v>834</v>
      </c>
      <c r="L138" s="0" t="s">
        <v>830</v>
      </c>
      <c r="M138" s="0" t="s">
        <v>622</v>
      </c>
      <c r="N138" s="0" t="n">
        <v>1</v>
      </c>
      <c r="O138" s="0" t="n">
        <v>1</v>
      </c>
      <c r="P138" s="0" t="n">
        <v>0</v>
      </c>
      <c r="Q138" s="0" t="n">
        <v>0</v>
      </c>
      <c r="R138" s="0" t="s">
        <v>623</v>
      </c>
      <c r="S138" s="0" t="s">
        <v>977</v>
      </c>
      <c r="T138" s="0" t="s">
        <v>989</v>
      </c>
      <c r="U138" s="0" t="str">
        <f aca="false">IF(I138=LEFT(Buscador_Formulacion!$C$4,3),COUNTIF($I$5:I138,LEFT(Buscador_Formulacion!$C$4,3)),"")</f>
        <v/>
      </c>
    </row>
    <row r="139" customFormat="false" ht="15" hidden="false" customHeight="false" outlineLevel="0" collapsed="false">
      <c r="A139" s="0" t="s">
        <v>1100</v>
      </c>
      <c r="B139" s="0" t="s">
        <v>1101</v>
      </c>
      <c r="C139" s="0" t="s">
        <v>981</v>
      </c>
      <c r="D139" s="0" t="s">
        <v>1082</v>
      </c>
      <c r="E139" s="0" t="s">
        <v>1102</v>
      </c>
      <c r="F139" s="0" t="s">
        <v>1103</v>
      </c>
      <c r="G139" s="0" t="s">
        <v>1104</v>
      </c>
      <c r="H139" s="0" t="s">
        <v>1105</v>
      </c>
      <c r="I139" s="0" t="s">
        <v>833</v>
      </c>
      <c r="J139" s="0" t="s">
        <v>828</v>
      </c>
      <c r="K139" s="0" t="s">
        <v>834</v>
      </c>
      <c r="L139" s="0" t="s">
        <v>830</v>
      </c>
      <c r="M139" s="0" t="s">
        <v>745</v>
      </c>
      <c r="N139" s="0" t="n">
        <v>0</v>
      </c>
      <c r="O139" s="0" t="n">
        <v>0</v>
      </c>
      <c r="P139" s="0" t="n">
        <v>0</v>
      </c>
      <c r="Q139" s="0" t="n">
        <v>0</v>
      </c>
      <c r="R139" s="0" t="s">
        <v>1106</v>
      </c>
      <c r="S139" s="0" t="s">
        <v>977</v>
      </c>
      <c r="T139" s="0" t="s">
        <v>989</v>
      </c>
      <c r="U139" s="0" t="str">
        <f aca="false">IF(I139=LEFT(Buscador_Formulacion!$C$4,3),COUNTIF($I$5:I139,LEFT(Buscador_Formulacion!$C$4,3)),"")</f>
        <v/>
      </c>
    </row>
    <row r="140" customFormat="false" ht="15" hidden="false" customHeight="false" outlineLevel="0" collapsed="false">
      <c r="A140" s="0" t="s">
        <v>1107</v>
      </c>
      <c r="B140" s="0" t="s">
        <v>1101</v>
      </c>
      <c r="C140" s="0" t="s">
        <v>981</v>
      </c>
      <c r="D140" s="0" t="s">
        <v>1082</v>
      </c>
      <c r="E140" s="0" t="s">
        <v>1102</v>
      </c>
      <c r="F140" s="0" t="s">
        <v>1103</v>
      </c>
      <c r="G140" s="0" t="s">
        <v>1104</v>
      </c>
      <c r="H140" s="0" t="s">
        <v>1105</v>
      </c>
      <c r="I140" s="0" t="s">
        <v>903</v>
      </c>
      <c r="J140" s="0" t="s">
        <v>662</v>
      </c>
      <c r="K140" s="0" t="s">
        <v>904</v>
      </c>
      <c r="L140" s="0" t="s">
        <v>905</v>
      </c>
      <c r="M140" s="0" t="s">
        <v>745</v>
      </c>
      <c r="N140" s="0" t="n">
        <v>0</v>
      </c>
      <c r="O140" s="0" t="n">
        <v>0</v>
      </c>
      <c r="P140" s="0" t="n">
        <v>0</v>
      </c>
      <c r="Q140" s="0" t="n">
        <v>0</v>
      </c>
      <c r="R140" s="0" t="s">
        <v>1108</v>
      </c>
      <c r="S140" s="0" t="s">
        <v>977</v>
      </c>
      <c r="T140" s="0" t="s">
        <v>989</v>
      </c>
      <c r="U140" s="0" t="str">
        <f aca="false">IF(I140=LEFT(Buscador_Formulacion!$C$4,3),COUNTIF($I$5:I140,LEFT(Buscador_Formulacion!$C$4,3)),"")</f>
        <v/>
      </c>
    </row>
    <row r="141" customFormat="false" ht="15" hidden="false" customHeight="false" outlineLevel="0" collapsed="false">
      <c r="A141" s="0" t="s">
        <v>1109</v>
      </c>
      <c r="B141" s="0" t="s">
        <v>1110</v>
      </c>
      <c r="C141" s="0" t="s">
        <v>981</v>
      </c>
      <c r="D141" s="0" t="s">
        <v>1111</v>
      </c>
      <c r="E141" s="0" t="s">
        <v>1112</v>
      </c>
      <c r="F141" s="0" t="s">
        <v>1113</v>
      </c>
      <c r="G141" s="0" t="s">
        <v>985</v>
      </c>
      <c r="H141" s="0" t="s">
        <v>1114</v>
      </c>
      <c r="I141" s="0" t="s">
        <v>235</v>
      </c>
      <c r="J141" s="0" t="s">
        <v>805</v>
      </c>
      <c r="K141" s="0" t="s">
        <v>806</v>
      </c>
      <c r="L141" s="0" t="s">
        <v>807</v>
      </c>
      <c r="M141" s="0" t="s">
        <v>745</v>
      </c>
      <c r="N141" s="0" t="n">
        <v>0</v>
      </c>
      <c r="O141" s="0" t="n">
        <v>0</v>
      </c>
      <c r="P141" s="0" t="n">
        <v>0</v>
      </c>
      <c r="Q141" s="0" t="n">
        <v>0</v>
      </c>
      <c r="R141" s="0" t="s">
        <v>1115</v>
      </c>
      <c r="S141" s="0" t="s">
        <v>1116</v>
      </c>
      <c r="T141" s="0" t="s">
        <v>989</v>
      </c>
      <c r="U141" s="0" t="str">
        <f aca="false">IF(I141=LEFT(Buscador_Formulacion!$C$4,3),COUNTIF($I$5:I141,LEFT(Buscador_Formulacion!$C$4,3)),"")</f>
        <v/>
      </c>
    </row>
    <row r="142" customFormat="false" ht="15" hidden="false" customHeight="false" outlineLevel="0" collapsed="false">
      <c r="A142" s="0" t="s">
        <v>1117</v>
      </c>
      <c r="B142" s="0" t="s">
        <v>1110</v>
      </c>
      <c r="C142" s="0" t="s">
        <v>981</v>
      </c>
      <c r="D142" s="0" t="s">
        <v>1111</v>
      </c>
      <c r="E142" s="0" t="s">
        <v>1112</v>
      </c>
      <c r="F142" s="0" t="s">
        <v>1113</v>
      </c>
      <c r="G142" s="0" t="s">
        <v>985</v>
      </c>
      <c r="H142" s="0" t="s">
        <v>1114</v>
      </c>
      <c r="I142" s="0" t="s">
        <v>1118</v>
      </c>
      <c r="J142" s="0" t="s">
        <v>805</v>
      </c>
      <c r="K142" s="0" t="s">
        <v>1119</v>
      </c>
      <c r="L142" s="0" t="s">
        <v>807</v>
      </c>
      <c r="M142" s="0" t="s">
        <v>745</v>
      </c>
      <c r="N142" s="0" t="n">
        <v>0</v>
      </c>
      <c r="O142" s="0" t="n">
        <v>0</v>
      </c>
      <c r="P142" s="0" t="n">
        <v>0</v>
      </c>
      <c r="Q142" s="0" t="n">
        <v>0</v>
      </c>
      <c r="R142" s="0" t="s">
        <v>1120</v>
      </c>
      <c r="S142" s="0" t="s">
        <v>1116</v>
      </c>
      <c r="T142" s="0" t="s">
        <v>989</v>
      </c>
      <c r="U142" s="0" t="str">
        <f aca="false">IF(I142=LEFT(Buscador_Formulacion!$C$4,3),COUNTIF($I$5:I142,LEFT(Buscador_Formulacion!$C$4,3)),"")</f>
        <v/>
      </c>
    </row>
    <row r="143" customFormat="false" ht="15" hidden="false" customHeight="false" outlineLevel="0" collapsed="false">
      <c r="A143" s="0" t="s">
        <v>1121</v>
      </c>
      <c r="B143" s="0" t="s">
        <v>1122</v>
      </c>
      <c r="C143" s="0" t="s">
        <v>981</v>
      </c>
      <c r="D143" s="0" t="s">
        <v>1111</v>
      </c>
      <c r="E143" s="0" t="s">
        <v>1123</v>
      </c>
      <c r="F143" s="0" t="s">
        <v>1124</v>
      </c>
      <c r="G143" s="0" t="s">
        <v>1125</v>
      </c>
      <c r="H143" s="0" t="s">
        <v>1126</v>
      </c>
      <c r="I143" s="0" t="s">
        <v>138</v>
      </c>
      <c r="J143" s="0" t="s">
        <v>627</v>
      </c>
      <c r="K143" s="0" t="s">
        <v>628</v>
      </c>
      <c r="L143" s="0" t="s">
        <v>629</v>
      </c>
      <c r="M143" s="0" t="s">
        <v>622</v>
      </c>
      <c r="N143" s="0" t="n">
        <v>1</v>
      </c>
      <c r="O143" s="0" t="n">
        <v>1</v>
      </c>
      <c r="P143" s="0" t="n">
        <v>0</v>
      </c>
      <c r="Q143" s="0" t="n">
        <v>0</v>
      </c>
      <c r="R143" s="0" t="s">
        <v>623</v>
      </c>
      <c r="S143" s="0" t="s">
        <v>1127</v>
      </c>
      <c r="T143" s="0" t="s">
        <v>989</v>
      </c>
      <c r="U143" s="0" t="str">
        <f aca="false">IF(I143=LEFT(Buscador_Formulacion!$C$4,3),COUNTIF($I$5:I143,LEFT(Buscador_Formulacion!$C$4,3)),"")</f>
        <v/>
      </c>
    </row>
    <row r="144" customFormat="false" ht="15" hidden="false" customHeight="false" outlineLevel="0" collapsed="false">
      <c r="A144" s="0" t="s">
        <v>1128</v>
      </c>
      <c r="B144" s="0" t="s">
        <v>1122</v>
      </c>
      <c r="C144" s="0" t="s">
        <v>981</v>
      </c>
      <c r="D144" s="0" t="s">
        <v>1111</v>
      </c>
      <c r="E144" s="0" t="s">
        <v>1123</v>
      </c>
      <c r="F144" s="0" t="s">
        <v>1124</v>
      </c>
      <c r="G144" s="0" t="s">
        <v>1125</v>
      </c>
      <c r="H144" s="0" t="s">
        <v>1126</v>
      </c>
      <c r="I144" s="0" t="s">
        <v>381</v>
      </c>
      <c r="J144" s="0" t="s">
        <v>627</v>
      </c>
      <c r="K144" s="0" t="s">
        <v>635</v>
      </c>
      <c r="L144" s="0" t="s">
        <v>636</v>
      </c>
      <c r="M144" s="0" t="s">
        <v>622</v>
      </c>
      <c r="N144" s="0" t="n">
        <v>8</v>
      </c>
      <c r="O144" s="0" t="n">
        <v>4</v>
      </c>
      <c r="P144" s="0" t="n">
        <v>4</v>
      </c>
      <c r="Q144" s="0" t="n">
        <v>0</v>
      </c>
      <c r="R144" s="0" t="s">
        <v>1092</v>
      </c>
      <c r="S144" s="0" t="s">
        <v>1127</v>
      </c>
      <c r="T144" s="0" t="s">
        <v>989</v>
      </c>
      <c r="U144" s="0" t="str">
        <f aca="false">IF(I144=LEFT(Buscador_Formulacion!$C$4,3),COUNTIF($I$5:I144,LEFT(Buscador_Formulacion!$C$4,3)),"")</f>
        <v/>
      </c>
    </row>
    <row r="145" customFormat="false" ht="15" hidden="false" customHeight="false" outlineLevel="0" collapsed="false">
      <c r="A145" s="0" t="s">
        <v>1129</v>
      </c>
      <c r="B145" s="0" t="s">
        <v>1122</v>
      </c>
      <c r="C145" s="0" t="s">
        <v>981</v>
      </c>
      <c r="D145" s="0" t="s">
        <v>1111</v>
      </c>
      <c r="E145" s="0" t="s">
        <v>1123</v>
      </c>
      <c r="F145" s="0" t="s">
        <v>1124</v>
      </c>
      <c r="G145" s="0" t="s">
        <v>1125</v>
      </c>
      <c r="H145" s="0" t="s">
        <v>1126</v>
      </c>
      <c r="I145" s="0" t="s">
        <v>172</v>
      </c>
      <c r="J145" s="0" t="s">
        <v>627</v>
      </c>
      <c r="K145" s="0" t="s">
        <v>720</v>
      </c>
      <c r="L145" s="0" t="s">
        <v>636</v>
      </c>
      <c r="M145" s="0" t="s">
        <v>622</v>
      </c>
      <c r="N145" s="0" t="n">
        <v>15</v>
      </c>
      <c r="O145" s="0" t="n">
        <v>11</v>
      </c>
      <c r="P145" s="0" t="n">
        <v>4</v>
      </c>
      <c r="Q145" s="0" t="n">
        <v>0</v>
      </c>
      <c r="R145" s="0" t="s">
        <v>1092</v>
      </c>
      <c r="S145" s="0" t="s">
        <v>1127</v>
      </c>
      <c r="T145" s="0" t="s">
        <v>989</v>
      </c>
      <c r="U145" s="0" t="str">
        <f aca="false">IF(I145=LEFT(Buscador_Formulacion!$C$4,3),COUNTIF($I$5:I145,LEFT(Buscador_Formulacion!$C$4,3)),"")</f>
        <v/>
      </c>
    </row>
    <row r="146" customFormat="false" ht="15" hidden="false" customHeight="false" outlineLevel="0" collapsed="false">
      <c r="A146" s="0" t="s">
        <v>1130</v>
      </c>
      <c r="B146" s="0" t="s">
        <v>1122</v>
      </c>
      <c r="C146" s="0" t="s">
        <v>981</v>
      </c>
      <c r="D146" s="0" t="s">
        <v>1111</v>
      </c>
      <c r="E146" s="0" t="s">
        <v>1123</v>
      </c>
      <c r="F146" s="0" t="s">
        <v>1124</v>
      </c>
      <c r="G146" s="0" t="s">
        <v>1125</v>
      </c>
      <c r="H146" s="0" t="s">
        <v>1126</v>
      </c>
      <c r="I146" s="0" t="s">
        <v>737</v>
      </c>
      <c r="J146" s="0" t="s">
        <v>627</v>
      </c>
      <c r="K146" s="0" t="s">
        <v>738</v>
      </c>
      <c r="L146" s="0" t="s">
        <v>629</v>
      </c>
      <c r="M146" s="0" t="s">
        <v>622</v>
      </c>
      <c r="N146" s="0" t="n">
        <v>1</v>
      </c>
      <c r="O146" s="0" t="n">
        <v>0</v>
      </c>
      <c r="P146" s="0" t="n">
        <v>1</v>
      </c>
      <c r="Q146" s="0" t="n">
        <v>0</v>
      </c>
      <c r="R146" s="0" t="s">
        <v>633</v>
      </c>
      <c r="S146" s="0" t="s">
        <v>1127</v>
      </c>
      <c r="T146" s="0" t="s">
        <v>989</v>
      </c>
      <c r="U146" s="0" t="str">
        <f aca="false">IF(I146=LEFT(Buscador_Formulacion!$C$4,3),COUNTIF($I$5:I146,LEFT(Buscador_Formulacion!$C$4,3)),"")</f>
        <v/>
      </c>
    </row>
    <row r="147" customFormat="false" ht="15" hidden="false" customHeight="false" outlineLevel="0" collapsed="false">
      <c r="A147" s="0" t="s">
        <v>1131</v>
      </c>
      <c r="B147" s="0" t="s">
        <v>1122</v>
      </c>
      <c r="C147" s="0" t="s">
        <v>981</v>
      </c>
      <c r="D147" s="0" t="s">
        <v>1111</v>
      </c>
      <c r="E147" s="0" t="s">
        <v>1123</v>
      </c>
      <c r="F147" s="0" t="s">
        <v>1124</v>
      </c>
      <c r="G147" s="0" t="s">
        <v>1125</v>
      </c>
      <c r="H147" s="0" t="s">
        <v>1126</v>
      </c>
      <c r="I147" s="0" t="s">
        <v>124</v>
      </c>
      <c r="J147" s="0" t="s">
        <v>654</v>
      </c>
      <c r="K147" s="0" t="s">
        <v>655</v>
      </c>
      <c r="L147" s="0" t="s">
        <v>644</v>
      </c>
      <c r="M147" s="0" t="s">
        <v>622</v>
      </c>
      <c r="N147" s="0" t="n">
        <v>1</v>
      </c>
      <c r="O147" s="0" t="n">
        <v>0</v>
      </c>
      <c r="P147" s="0" t="n">
        <v>1</v>
      </c>
      <c r="Q147" s="0" t="n">
        <v>0</v>
      </c>
      <c r="R147" s="0" t="s">
        <v>633</v>
      </c>
      <c r="S147" s="0" t="s">
        <v>1127</v>
      </c>
      <c r="T147" s="0" t="s">
        <v>989</v>
      </c>
      <c r="U147" s="0" t="str">
        <f aca="false">IF(I147=LEFT(Buscador_Formulacion!$C$4,3),COUNTIF($I$5:I147,LEFT(Buscador_Formulacion!$C$4,3)),"")</f>
        <v/>
      </c>
    </row>
    <row r="148" customFormat="false" ht="15" hidden="false" customHeight="false" outlineLevel="0" collapsed="false">
      <c r="A148" s="0" t="s">
        <v>1132</v>
      </c>
      <c r="B148" s="0" t="s">
        <v>1122</v>
      </c>
      <c r="C148" s="0" t="s">
        <v>981</v>
      </c>
      <c r="D148" s="0" t="s">
        <v>1111</v>
      </c>
      <c r="E148" s="0" t="s">
        <v>1123</v>
      </c>
      <c r="F148" s="0" t="s">
        <v>1124</v>
      </c>
      <c r="G148" s="0" t="s">
        <v>1125</v>
      </c>
      <c r="H148" s="0" t="s">
        <v>1126</v>
      </c>
      <c r="I148" s="0" t="s">
        <v>235</v>
      </c>
      <c r="J148" s="0" t="s">
        <v>805</v>
      </c>
      <c r="K148" s="0" t="s">
        <v>806</v>
      </c>
      <c r="L148" s="0" t="s">
        <v>807</v>
      </c>
      <c r="M148" s="0" t="s">
        <v>622</v>
      </c>
      <c r="N148" s="0" t="n">
        <v>10</v>
      </c>
      <c r="O148" s="0" t="n">
        <v>6</v>
      </c>
      <c r="P148" s="0" t="n">
        <v>4</v>
      </c>
      <c r="Q148" s="0" t="n">
        <v>0</v>
      </c>
      <c r="R148" s="0" t="s">
        <v>1133</v>
      </c>
      <c r="S148" s="0" t="s">
        <v>1127</v>
      </c>
      <c r="T148" s="0" t="s">
        <v>989</v>
      </c>
      <c r="U148" s="0" t="str">
        <f aca="false">IF(I148=LEFT(Buscador_Formulacion!$C$4,3),COUNTIF($I$5:I148,LEFT(Buscador_Formulacion!$C$4,3)),"")</f>
        <v/>
      </c>
    </row>
    <row r="149" customFormat="false" ht="15" hidden="false" customHeight="false" outlineLevel="0" collapsed="false">
      <c r="A149" s="0" t="s">
        <v>1134</v>
      </c>
      <c r="B149" s="0" t="s">
        <v>1122</v>
      </c>
      <c r="C149" s="0" t="s">
        <v>981</v>
      </c>
      <c r="D149" s="0" t="s">
        <v>1111</v>
      </c>
      <c r="E149" s="0" t="s">
        <v>1123</v>
      </c>
      <c r="F149" s="0" t="s">
        <v>1124</v>
      </c>
      <c r="G149" s="0" t="s">
        <v>1125</v>
      </c>
      <c r="H149" s="0" t="s">
        <v>1126</v>
      </c>
      <c r="I149" s="0" t="s">
        <v>1135</v>
      </c>
      <c r="J149" s="0" t="s">
        <v>805</v>
      </c>
      <c r="K149" s="0" t="s">
        <v>1136</v>
      </c>
      <c r="L149" s="0" t="s">
        <v>807</v>
      </c>
      <c r="M149" s="0" t="s">
        <v>622</v>
      </c>
      <c r="N149" s="0" t="n">
        <v>5</v>
      </c>
      <c r="O149" s="0" t="n">
        <v>3</v>
      </c>
      <c r="P149" s="0" t="n">
        <v>2</v>
      </c>
      <c r="Q149" s="0" t="n">
        <v>0</v>
      </c>
      <c r="R149" s="0" t="s">
        <v>677</v>
      </c>
      <c r="S149" s="0" t="s">
        <v>1127</v>
      </c>
      <c r="T149" s="0" t="s">
        <v>989</v>
      </c>
      <c r="U149" s="0" t="str">
        <f aca="false">IF(I149=LEFT(Buscador_Formulacion!$C$4,3),COUNTIF($I$5:I149,LEFT(Buscador_Formulacion!$C$4,3)),"")</f>
        <v/>
      </c>
    </row>
    <row r="150" customFormat="false" ht="15" hidden="false" customHeight="false" outlineLevel="0" collapsed="false">
      <c r="A150" s="0" t="s">
        <v>1137</v>
      </c>
      <c r="B150" s="0" t="s">
        <v>1122</v>
      </c>
      <c r="C150" s="0" t="s">
        <v>981</v>
      </c>
      <c r="D150" s="0" t="s">
        <v>1111</v>
      </c>
      <c r="E150" s="0" t="s">
        <v>1123</v>
      </c>
      <c r="F150" s="0" t="s">
        <v>1124</v>
      </c>
      <c r="G150" s="0" t="s">
        <v>1125</v>
      </c>
      <c r="H150" s="0" t="s">
        <v>1126</v>
      </c>
      <c r="I150" s="0" t="s">
        <v>1118</v>
      </c>
      <c r="J150" s="0" t="s">
        <v>805</v>
      </c>
      <c r="K150" s="0" t="s">
        <v>1119</v>
      </c>
      <c r="L150" s="0" t="s">
        <v>807</v>
      </c>
      <c r="M150" s="0" t="s">
        <v>622</v>
      </c>
      <c r="N150" s="0" t="n">
        <v>12</v>
      </c>
      <c r="O150" s="0" t="n">
        <v>6</v>
      </c>
      <c r="P150" s="0" t="n">
        <v>6</v>
      </c>
      <c r="Q150" s="0" t="n">
        <v>0</v>
      </c>
      <c r="R150" s="0" t="s">
        <v>880</v>
      </c>
      <c r="S150" s="0" t="s">
        <v>1127</v>
      </c>
      <c r="T150" s="0" t="s">
        <v>989</v>
      </c>
      <c r="U150" s="0" t="str">
        <f aca="false">IF(I150=LEFT(Buscador_Formulacion!$C$4,3),COUNTIF($I$5:I150,LEFT(Buscador_Formulacion!$C$4,3)),"")</f>
        <v/>
      </c>
    </row>
    <row r="151" customFormat="false" ht="15" hidden="false" customHeight="false" outlineLevel="0" collapsed="false">
      <c r="A151" s="0" t="s">
        <v>1138</v>
      </c>
      <c r="B151" s="0" t="s">
        <v>434</v>
      </c>
      <c r="C151" s="0" t="s">
        <v>1139</v>
      </c>
      <c r="D151" s="0" t="s">
        <v>1140</v>
      </c>
      <c r="E151" s="0" t="s">
        <v>1141</v>
      </c>
      <c r="F151" s="0" t="s">
        <v>1142</v>
      </c>
      <c r="G151" s="0" t="s">
        <v>1143</v>
      </c>
      <c r="H151" s="0" t="s">
        <v>1144</v>
      </c>
      <c r="I151" s="0" t="s">
        <v>138</v>
      </c>
      <c r="J151" s="0" t="s">
        <v>627</v>
      </c>
      <c r="K151" s="0" t="s">
        <v>628</v>
      </c>
      <c r="L151" s="0" t="s">
        <v>629</v>
      </c>
      <c r="M151" s="0" t="s">
        <v>622</v>
      </c>
      <c r="N151" s="0" t="n">
        <v>9</v>
      </c>
      <c r="O151" s="0" t="n">
        <v>0</v>
      </c>
      <c r="P151" s="0" t="n">
        <v>9</v>
      </c>
      <c r="Q151" s="0" t="n">
        <v>0</v>
      </c>
      <c r="R151" s="0" t="s">
        <v>717</v>
      </c>
      <c r="S151" s="0" t="s">
        <v>624</v>
      </c>
      <c r="T151" s="0" t="s">
        <v>1145</v>
      </c>
      <c r="U151" s="0" t="str">
        <f aca="false">IF(I151=LEFT(Buscador_Formulacion!$C$4,3),COUNTIF($I$5:I151,LEFT(Buscador_Formulacion!$C$4,3)),"")</f>
        <v/>
      </c>
    </row>
    <row r="152" customFormat="false" ht="15" hidden="false" customHeight="false" outlineLevel="0" collapsed="false">
      <c r="A152" s="0" t="s">
        <v>1146</v>
      </c>
      <c r="B152" s="0" t="s">
        <v>434</v>
      </c>
      <c r="C152" s="0" t="s">
        <v>1139</v>
      </c>
      <c r="D152" s="0" t="s">
        <v>1140</v>
      </c>
      <c r="E152" s="0" t="s">
        <v>1141</v>
      </c>
      <c r="F152" s="0" t="s">
        <v>1142</v>
      </c>
      <c r="G152" s="0" t="s">
        <v>1143</v>
      </c>
      <c r="H152" s="0" t="s">
        <v>1144</v>
      </c>
      <c r="I152" s="0" t="s">
        <v>433</v>
      </c>
      <c r="J152" s="0" t="s">
        <v>638</v>
      </c>
      <c r="K152" s="0" t="s">
        <v>1147</v>
      </c>
      <c r="L152" s="0" t="s">
        <v>1148</v>
      </c>
      <c r="M152" s="0" t="s">
        <v>622</v>
      </c>
      <c r="N152" s="0" t="n">
        <v>3</v>
      </c>
      <c r="O152" s="0" t="n">
        <v>0</v>
      </c>
      <c r="P152" s="0" t="n">
        <v>3</v>
      </c>
      <c r="Q152" s="0" t="n">
        <v>2</v>
      </c>
      <c r="R152" s="0" t="s">
        <v>1149</v>
      </c>
      <c r="S152" s="0" t="s">
        <v>624</v>
      </c>
      <c r="T152" s="0" t="s">
        <v>1145</v>
      </c>
      <c r="U152" s="0" t="str">
        <f aca="false">IF(I152=LEFT(Buscador_Formulacion!$C$4,3),COUNTIF($I$5:I152,LEFT(Buscador_Formulacion!$C$4,3)),"")</f>
        <v/>
      </c>
    </row>
    <row r="153" customFormat="false" ht="15" hidden="false" customHeight="false" outlineLevel="0" collapsed="false">
      <c r="A153" s="0" t="s">
        <v>1150</v>
      </c>
      <c r="B153" s="0" t="s">
        <v>434</v>
      </c>
      <c r="C153" s="0" t="s">
        <v>1139</v>
      </c>
      <c r="D153" s="0" t="s">
        <v>1140</v>
      </c>
      <c r="E153" s="0" t="s">
        <v>1141</v>
      </c>
      <c r="F153" s="0" t="s">
        <v>1142</v>
      </c>
      <c r="G153" s="0" t="s">
        <v>1143</v>
      </c>
      <c r="H153" s="0" t="s">
        <v>1144</v>
      </c>
      <c r="I153" s="0" t="s">
        <v>147</v>
      </c>
      <c r="J153" s="0" t="s">
        <v>638</v>
      </c>
      <c r="K153" s="0" t="s">
        <v>651</v>
      </c>
      <c r="L153" s="0" t="s">
        <v>652</v>
      </c>
      <c r="M153" s="0" t="s">
        <v>745</v>
      </c>
      <c r="N153" s="0" t="n">
        <v>0</v>
      </c>
      <c r="O153" s="0" t="n">
        <v>0</v>
      </c>
      <c r="P153" s="0" t="n">
        <v>0</v>
      </c>
      <c r="Q153" s="0" t="n">
        <v>0</v>
      </c>
      <c r="R153" s="0" t="s">
        <v>623</v>
      </c>
      <c r="S153" s="0" t="s">
        <v>624</v>
      </c>
      <c r="T153" s="0" t="s">
        <v>1145</v>
      </c>
      <c r="U153" s="0" t="str">
        <f aca="false">IF(I153=LEFT(Buscador_Formulacion!$C$4,3),COUNTIF($I$5:I153,LEFT(Buscador_Formulacion!$C$4,3)),"")</f>
        <v/>
      </c>
    </row>
    <row r="154" customFormat="false" ht="15" hidden="false" customHeight="false" outlineLevel="0" collapsed="false">
      <c r="A154" s="0" t="s">
        <v>1151</v>
      </c>
      <c r="B154" s="0" t="s">
        <v>434</v>
      </c>
      <c r="C154" s="0" t="s">
        <v>1139</v>
      </c>
      <c r="D154" s="0" t="s">
        <v>1140</v>
      </c>
      <c r="E154" s="0" t="s">
        <v>1141</v>
      </c>
      <c r="F154" s="0" t="s">
        <v>1142</v>
      </c>
      <c r="G154" s="0" t="s">
        <v>1143</v>
      </c>
      <c r="H154" s="0" t="s">
        <v>1144</v>
      </c>
      <c r="I154" s="0" t="s">
        <v>245</v>
      </c>
      <c r="J154" s="0" t="s">
        <v>723</v>
      </c>
      <c r="K154" s="0" t="s">
        <v>1017</v>
      </c>
      <c r="L154" s="0" t="s">
        <v>1017</v>
      </c>
      <c r="M154" s="0" t="s">
        <v>669</v>
      </c>
      <c r="N154" s="0" t="n">
        <v>0</v>
      </c>
      <c r="O154" s="0" t="n">
        <v>0</v>
      </c>
      <c r="P154" s="0" t="n">
        <v>0</v>
      </c>
      <c r="Q154" s="0" t="n">
        <v>0</v>
      </c>
      <c r="R154" s="0" t="s">
        <v>1152</v>
      </c>
      <c r="S154" s="0" t="s">
        <v>624</v>
      </c>
      <c r="T154" s="0" t="s">
        <v>1145</v>
      </c>
      <c r="U154" s="0" t="str">
        <f aca="false">IF(I154=LEFT(Buscador_Formulacion!$C$4,3),COUNTIF($I$5:I154,LEFT(Buscador_Formulacion!$C$4,3)),"")</f>
        <v/>
      </c>
    </row>
    <row r="155" customFormat="false" ht="15" hidden="false" customHeight="false" outlineLevel="0" collapsed="false">
      <c r="A155" s="0" t="s">
        <v>1153</v>
      </c>
      <c r="B155" s="0" t="s">
        <v>1154</v>
      </c>
      <c r="C155" s="0" t="s">
        <v>1139</v>
      </c>
      <c r="D155" s="0" t="s">
        <v>1155</v>
      </c>
      <c r="E155" s="0" t="s">
        <v>1156</v>
      </c>
      <c r="F155" s="0" t="s">
        <v>1157</v>
      </c>
      <c r="G155" s="0" t="s">
        <v>1158</v>
      </c>
      <c r="H155" s="0" t="s">
        <v>1159</v>
      </c>
      <c r="I155" s="0" t="s">
        <v>433</v>
      </c>
      <c r="J155" s="0" t="s">
        <v>638</v>
      </c>
      <c r="K155" s="0" t="s">
        <v>1147</v>
      </c>
      <c r="L155" s="0" t="s">
        <v>1148</v>
      </c>
      <c r="M155" s="0" t="s">
        <v>622</v>
      </c>
      <c r="N155" s="0" t="n">
        <v>26</v>
      </c>
      <c r="O155" s="0" t="n">
        <v>7</v>
      </c>
      <c r="P155" s="0" t="n">
        <v>19</v>
      </c>
      <c r="Q155" s="0" t="n">
        <v>0</v>
      </c>
      <c r="R155" s="0" t="s">
        <v>1160</v>
      </c>
      <c r="S155" s="0" t="s">
        <v>940</v>
      </c>
      <c r="T155" s="0" t="s">
        <v>1145</v>
      </c>
      <c r="U155" s="0" t="str">
        <f aca="false">IF(I155=LEFT(Buscador_Formulacion!$C$4,3),COUNTIF($I$5:I155,LEFT(Buscador_Formulacion!$C$4,3)),"")</f>
        <v/>
      </c>
    </row>
    <row r="156" customFormat="false" ht="15" hidden="false" customHeight="false" outlineLevel="0" collapsed="false">
      <c r="A156" s="0" t="s">
        <v>1161</v>
      </c>
      <c r="B156" s="0" t="s">
        <v>1154</v>
      </c>
      <c r="C156" s="0" t="s">
        <v>1139</v>
      </c>
      <c r="D156" s="0" t="s">
        <v>1155</v>
      </c>
      <c r="E156" s="0" t="s">
        <v>1156</v>
      </c>
      <c r="F156" s="0" t="s">
        <v>1157</v>
      </c>
      <c r="G156" s="0" t="s">
        <v>1158</v>
      </c>
      <c r="H156" s="0" t="s">
        <v>1159</v>
      </c>
      <c r="I156" s="0" t="s">
        <v>147</v>
      </c>
      <c r="J156" s="0" t="s">
        <v>638</v>
      </c>
      <c r="K156" s="0" t="s">
        <v>651</v>
      </c>
      <c r="L156" s="0" t="s">
        <v>652</v>
      </c>
      <c r="M156" s="0" t="s">
        <v>669</v>
      </c>
      <c r="N156" s="0" t="n">
        <v>0</v>
      </c>
      <c r="O156" s="0" t="n">
        <v>0</v>
      </c>
      <c r="P156" s="0" t="n">
        <v>0</v>
      </c>
      <c r="Q156" s="0" t="n">
        <v>0</v>
      </c>
      <c r="R156" s="0" t="s">
        <v>1162</v>
      </c>
      <c r="S156" s="0" t="s">
        <v>940</v>
      </c>
      <c r="T156" s="0" t="s">
        <v>1145</v>
      </c>
      <c r="U156" s="0" t="str">
        <f aca="false">IF(I156=LEFT(Buscador_Formulacion!$C$4,3),COUNTIF($I$5:I156,LEFT(Buscador_Formulacion!$C$4,3)),"")</f>
        <v/>
      </c>
    </row>
    <row r="157" customFormat="false" ht="15" hidden="false" customHeight="false" outlineLevel="0" collapsed="false">
      <c r="A157" s="0" t="s">
        <v>1163</v>
      </c>
      <c r="B157" s="0" t="s">
        <v>444</v>
      </c>
      <c r="C157" s="0" t="s">
        <v>1139</v>
      </c>
      <c r="D157" s="0" t="s">
        <v>1155</v>
      </c>
      <c r="E157" s="0" t="s">
        <v>1164</v>
      </c>
      <c r="F157" s="0" t="s">
        <v>1165</v>
      </c>
      <c r="G157" s="0" t="s">
        <v>957</v>
      </c>
      <c r="H157" s="0" t="s">
        <v>1166</v>
      </c>
      <c r="I157" s="0" t="s">
        <v>83</v>
      </c>
      <c r="J157" s="0" t="s">
        <v>642</v>
      </c>
      <c r="K157" s="0" t="s">
        <v>643</v>
      </c>
      <c r="L157" s="0" t="s">
        <v>644</v>
      </c>
      <c r="M157" s="0" t="s">
        <v>622</v>
      </c>
      <c r="N157" s="0" t="n">
        <v>10</v>
      </c>
      <c r="O157" s="0" t="n">
        <v>2</v>
      </c>
      <c r="P157" s="0" t="n">
        <v>8</v>
      </c>
      <c r="Q157" s="0" t="n">
        <v>0</v>
      </c>
      <c r="R157" s="0" t="s">
        <v>735</v>
      </c>
      <c r="S157" s="0" t="s">
        <v>1167</v>
      </c>
      <c r="T157" s="0" t="s">
        <v>1145</v>
      </c>
      <c r="U157" s="0" t="str">
        <f aca="false">IF(I157=LEFT(Buscador_Formulacion!$C$4,3),COUNTIF($I$5:I157,LEFT(Buscador_Formulacion!$C$4,3)),"")</f>
        <v/>
      </c>
    </row>
    <row r="158" customFormat="false" ht="15" hidden="false" customHeight="false" outlineLevel="0" collapsed="false">
      <c r="A158" s="0" t="s">
        <v>1168</v>
      </c>
      <c r="B158" s="0" t="s">
        <v>444</v>
      </c>
      <c r="C158" s="0" t="s">
        <v>1139</v>
      </c>
      <c r="D158" s="0" t="s">
        <v>1155</v>
      </c>
      <c r="E158" s="0" t="s">
        <v>1164</v>
      </c>
      <c r="F158" s="0" t="s">
        <v>1165</v>
      </c>
      <c r="G158" s="0" t="s">
        <v>957</v>
      </c>
      <c r="H158" s="0" t="s">
        <v>1166</v>
      </c>
      <c r="I158" s="0" t="s">
        <v>1169</v>
      </c>
      <c r="J158" s="0" t="s">
        <v>1170</v>
      </c>
      <c r="K158" s="0" t="s">
        <v>1171</v>
      </c>
      <c r="L158" s="0" t="s">
        <v>1148</v>
      </c>
      <c r="M158" s="0" t="s">
        <v>622</v>
      </c>
      <c r="N158" s="0" t="n">
        <v>6</v>
      </c>
      <c r="O158" s="0" t="n">
        <v>0</v>
      </c>
      <c r="P158" s="0" t="n">
        <v>6</v>
      </c>
      <c r="Q158" s="0" t="n">
        <v>0</v>
      </c>
      <c r="R158" s="0" t="s">
        <v>1172</v>
      </c>
      <c r="S158" s="0" t="s">
        <v>1167</v>
      </c>
      <c r="T158" s="0" t="s">
        <v>1145</v>
      </c>
      <c r="U158" s="0" t="str">
        <f aca="false">IF(I158=LEFT(Buscador_Formulacion!$C$4,3),COUNTIF($I$5:I158,LEFT(Buscador_Formulacion!$C$4,3)),"")</f>
        <v/>
      </c>
    </row>
    <row r="159" customFormat="false" ht="15" hidden="false" customHeight="false" outlineLevel="0" collapsed="false">
      <c r="A159" s="0" t="s">
        <v>1173</v>
      </c>
      <c r="B159" s="0" t="s">
        <v>444</v>
      </c>
      <c r="C159" s="0" t="s">
        <v>1139</v>
      </c>
      <c r="D159" s="0" t="s">
        <v>1155</v>
      </c>
      <c r="E159" s="0" t="s">
        <v>1164</v>
      </c>
      <c r="F159" s="0" t="s">
        <v>1165</v>
      </c>
      <c r="G159" s="0" t="s">
        <v>957</v>
      </c>
      <c r="H159" s="0" t="s">
        <v>1166</v>
      </c>
      <c r="I159" s="0" t="s">
        <v>833</v>
      </c>
      <c r="J159" s="0" t="s">
        <v>828</v>
      </c>
      <c r="K159" s="0" t="s">
        <v>834</v>
      </c>
      <c r="L159" s="0" t="s">
        <v>830</v>
      </c>
      <c r="M159" s="0" t="s">
        <v>622</v>
      </c>
      <c r="N159" s="0" t="n">
        <v>3</v>
      </c>
      <c r="O159" s="0" t="n">
        <v>1</v>
      </c>
      <c r="P159" s="0" t="n">
        <v>2</v>
      </c>
      <c r="Q159" s="0" t="n">
        <v>0</v>
      </c>
      <c r="R159" s="0" t="s">
        <v>677</v>
      </c>
      <c r="S159" s="0" t="s">
        <v>1167</v>
      </c>
      <c r="T159" s="0" t="s">
        <v>1145</v>
      </c>
      <c r="U159" s="0" t="str">
        <f aca="false">IF(I159=LEFT(Buscador_Formulacion!$C$4,3),COUNTIF($I$5:I159,LEFT(Buscador_Formulacion!$C$4,3)),"")</f>
        <v/>
      </c>
    </row>
    <row r="160" customFormat="false" ht="15" hidden="false" customHeight="false" outlineLevel="0" collapsed="false">
      <c r="A160" s="0" t="s">
        <v>1174</v>
      </c>
      <c r="B160" s="0" t="s">
        <v>444</v>
      </c>
      <c r="C160" s="0" t="s">
        <v>1139</v>
      </c>
      <c r="D160" s="0" t="s">
        <v>1155</v>
      </c>
      <c r="E160" s="0" t="s">
        <v>1164</v>
      </c>
      <c r="F160" s="0" t="s">
        <v>1165</v>
      </c>
      <c r="G160" s="0" t="s">
        <v>957</v>
      </c>
      <c r="H160" s="0" t="s">
        <v>1166</v>
      </c>
      <c r="I160" s="0" t="s">
        <v>433</v>
      </c>
      <c r="J160" s="0" t="s">
        <v>638</v>
      </c>
      <c r="K160" s="0" t="s">
        <v>1147</v>
      </c>
      <c r="L160" s="0" t="s">
        <v>1148</v>
      </c>
      <c r="M160" s="0" t="s">
        <v>656</v>
      </c>
      <c r="N160" s="0" t="n">
        <v>0</v>
      </c>
      <c r="O160" s="0" t="n">
        <v>0</v>
      </c>
      <c r="P160" s="0" t="n">
        <v>0</v>
      </c>
      <c r="Q160" s="0" t="n">
        <v>1</v>
      </c>
      <c r="R160" s="0" t="s">
        <v>1175</v>
      </c>
      <c r="S160" s="0" t="s">
        <v>1167</v>
      </c>
      <c r="T160" s="0" t="s">
        <v>1145</v>
      </c>
      <c r="U160" s="0" t="str">
        <f aca="false">IF(I160=LEFT(Buscador_Formulacion!$C$4,3),COUNTIF($I$5:I160,LEFT(Buscador_Formulacion!$C$4,3)),"")</f>
        <v/>
      </c>
    </row>
    <row r="161" customFormat="false" ht="15" hidden="false" customHeight="false" outlineLevel="0" collapsed="false">
      <c r="A161" s="0" t="s">
        <v>1176</v>
      </c>
      <c r="B161" s="0" t="s">
        <v>1177</v>
      </c>
      <c r="C161" s="0" t="s">
        <v>1139</v>
      </c>
      <c r="D161" s="0" t="s">
        <v>1155</v>
      </c>
      <c r="E161" s="0" t="s">
        <v>1178</v>
      </c>
      <c r="F161" s="0" t="s">
        <v>1179</v>
      </c>
      <c r="G161" s="0" t="s">
        <v>957</v>
      </c>
      <c r="H161" s="0" t="s">
        <v>1180</v>
      </c>
      <c r="I161" s="0" t="s">
        <v>373</v>
      </c>
      <c r="J161" s="0" t="s">
        <v>708</v>
      </c>
      <c r="K161" s="0" t="s">
        <v>709</v>
      </c>
      <c r="L161" s="0" t="s">
        <v>710</v>
      </c>
      <c r="M161" s="0" t="s">
        <v>622</v>
      </c>
      <c r="N161" s="0" t="n">
        <v>3</v>
      </c>
      <c r="O161" s="0" t="n">
        <v>0</v>
      </c>
      <c r="P161" s="0" t="n">
        <v>3</v>
      </c>
      <c r="Q161" s="0" t="n">
        <v>0</v>
      </c>
      <c r="R161" s="0" t="s">
        <v>1181</v>
      </c>
      <c r="S161" s="0" t="s">
        <v>1182</v>
      </c>
      <c r="T161" s="0" t="s">
        <v>1145</v>
      </c>
      <c r="U161" s="0" t="str">
        <f aca="false">IF(I161=LEFT(Buscador_Formulacion!$C$4,3),COUNTIF($I$5:I161,LEFT(Buscador_Formulacion!$C$4,3)),"")</f>
        <v/>
      </c>
    </row>
    <row r="162" customFormat="false" ht="15" hidden="false" customHeight="false" outlineLevel="0" collapsed="false">
      <c r="A162" s="0" t="s">
        <v>1183</v>
      </c>
      <c r="B162" s="0" t="s">
        <v>64</v>
      </c>
      <c r="C162" s="0" t="s">
        <v>1139</v>
      </c>
      <c r="D162" s="0" t="s">
        <v>1184</v>
      </c>
      <c r="E162" s="0" t="s">
        <v>1185</v>
      </c>
      <c r="F162" s="0" t="s">
        <v>1186</v>
      </c>
      <c r="G162" s="0" t="s">
        <v>1187</v>
      </c>
      <c r="H162" s="0" t="s">
        <v>1188</v>
      </c>
      <c r="I162" s="0" t="s">
        <v>147</v>
      </c>
      <c r="J162" s="0" t="s">
        <v>638</v>
      </c>
      <c r="K162" s="0" t="s">
        <v>651</v>
      </c>
      <c r="L162" s="0" t="s">
        <v>652</v>
      </c>
      <c r="M162" s="0" t="s">
        <v>745</v>
      </c>
      <c r="N162" s="0" t="n">
        <v>0</v>
      </c>
      <c r="O162" s="0" t="n">
        <v>0</v>
      </c>
      <c r="P162" s="0" t="n">
        <v>0</v>
      </c>
      <c r="Q162" s="0" t="n">
        <v>1</v>
      </c>
      <c r="R162" s="0" t="s">
        <v>660</v>
      </c>
      <c r="S162" s="0" t="s">
        <v>624</v>
      </c>
      <c r="T162" s="0" t="s">
        <v>1145</v>
      </c>
      <c r="U162" s="0" t="str">
        <f aca="false">IF(I162=LEFT(Buscador_Formulacion!$C$4,3),COUNTIF($I$5:I162,LEFT(Buscador_Formulacion!$C$4,3)),"")</f>
        <v/>
      </c>
    </row>
    <row r="163" customFormat="false" ht="15" hidden="false" customHeight="false" outlineLevel="0" collapsed="false">
      <c r="A163" s="0" t="s">
        <v>1189</v>
      </c>
      <c r="B163" s="0" t="s">
        <v>64</v>
      </c>
      <c r="C163" s="0" t="s">
        <v>1139</v>
      </c>
      <c r="D163" s="0" t="s">
        <v>1184</v>
      </c>
      <c r="E163" s="0" t="s">
        <v>1185</v>
      </c>
      <c r="F163" s="0" t="s">
        <v>1186</v>
      </c>
      <c r="G163" s="0" t="s">
        <v>1187</v>
      </c>
      <c r="H163" s="0" t="s">
        <v>1188</v>
      </c>
      <c r="I163" s="0" t="s">
        <v>667</v>
      </c>
      <c r="J163" s="0" t="s">
        <v>642</v>
      </c>
      <c r="K163" s="0" t="s">
        <v>668</v>
      </c>
      <c r="L163" s="0" t="s">
        <v>644</v>
      </c>
      <c r="M163" s="0" t="s">
        <v>745</v>
      </c>
      <c r="N163" s="0" t="n">
        <v>0</v>
      </c>
      <c r="O163" s="0" t="n">
        <v>0</v>
      </c>
      <c r="P163" s="0" t="n">
        <v>0</v>
      </c>
      <c r="Q163" s="0" t="n">
        <v>0</v>
      </c>
      <c r="R163" s="0" t="s">
        <v>1190</v>
      </c>
      <c r="S163" s="0" t="s">
        <v>624</v>
      </c>
      <c r="T163" s="0" t="s">
        <v>1145</v>
      </c>
      <c r="U163" s="0" t="str">
        <f aca="false">IF(I163=LEFT(Buscador_Formulacion!$C$4,3),COUNTIF($I$5:I163,LEFT(Buscador_Formulacion!$C$4,3)),"")</f>
        <v/>
      </c>
    </row>
    <row r="164" customFormat="false" ht="15" hidden="false" customHeight="false" outlineLevel="0" collapsed="false">
      <c r="A164" s="0" t="s">
        <v>1191</v>
      </c>
      <c r="B164" s="0" t="s">
        <v>64</v>
      </c>
      <c r="C164" s="0" t="s">
        <v>1139</v>
      </c>
      <c r="D164" s="0" t="s">
        <v>1184</v>
      </c>
      <c r="E164" s="0" t="s">
        <v>1185</v>
      </c>
      <c r="F164" s="0" t="s">
        <v>1186</v>
      </c>
      <c r="G164" s="0" t="s">
        <v>1187</v>
      </c>
      <c r="H164" s="0" t="s">
        <v>1188</v>
      </c>
      <c r="I164" s="0" t="s">
        <v>1192</v>
      </c>
      <c r="J164" s="0" t="s">
        <v>619</v>
      </c>
      <c r="K164" s="0" t="s">
        <v>1193</v>
      </c>
      <c r="L164" s="0" t="s">
        <v>629</v>
      </c>
      <c r="M164" s="0" t="s">
        <v>745</v>
      </c>
      <c r="N164" s="0" t="n">
        <v>0</v>
      </c>
      <c r="O164" s="0" t="n">
        <v>0</v>
      </c>
      <c r="P164" s="0" t="n">
        <v>0</v>
      </c>
      <c r="Q164" s="0" t="n">
        <v>0</v>
      </c>
      <c r="R164" s="0" t="s">
        <v>623</v>
      </c>
      <c r="S164" s="0" t="s">
        <v>624</v>
      </c>
      <c r="T164" s="0" t="s">
        <v>1145</v>
      </c>
      <c r="U164" s="0" t="str">
        <f aca="false">IF(I164=LEFT(Buscador_Formulacion!$C$4,3),COUNTIF($I$5:I164,LEFT(Buscador_Formulacion!$C$4,3)),"")</f>
        <v/>
      </c>
    </row>
    <row r="165" customFormat="false" ht="15" hidden="false" customHeight="false" outlineLevel="0" collapsed="false">
      <c r="A165" s="0" t="s">
        <v>1194</v>
      </c>
      <c r="B165" s="0" t="s">
        <v>64</v>
      </c>
      <c r="C165" s="0" t="s">
        <v>1139</v>
      </c>
      <c r="D165" s="0" t="s">
        <v>1184</v>
      </c>
      <c r="E165" s="0" t="s">
        <v>1185</v>
      </c>
      <c r="F165" s="0" t="s">
        <v>1186</v>
      </c>
      <c r="G165" s="0" t="s">
        <v>1187</v>
      </c>
      <c r="H165" s="0" t="s">
        <v>1188</v>
      </c>
      <c r="I165" s="0" t="s">
        <v>1079</v>
      </c>
      <c r="J165" s="0" t="s">
        <v>627</v>
      </c>
      <c r="K165" s="0" t="s">
        <v>1080</v>
      </c>
      <c r="L165" s="0" t="s">
        <v>629</v>
      </c>
      <c r="M165" s="0" t="s">
        <v>745</v>
      </c>
      <c r="N165" s="0" t="n">
        <v>0</v>
      </c>
      <c r="O165" s="0" t="n">
        <v>0</v>
      </c>
      <c r="P165" s="0" t="n">
        <v>0</v>
      </c>
      <c r="Q165" s="0" t="n">
        <v>0</v>
      </c>
      <c r="R165" s="0" t="s">
        <v>623</v>
      </c>
      <c r="S165" s="0" t="s">
        <v>624</v>
      </c>
      <c r="T165" s="0" t="s">
        <v>1145</v>
      </c>
      <c r="U165" s="0" t="str">
        <f aca="false">IF(I165=LEFT(Buscador_Formulacion!$C$4,3),COUNTIF($I$5:I165,LEFT(Buscador_Formulacion!$C$4,3)),"")</f>
        <v/>
      </c>
    </row>
    <row r="166" customFormat="false" ht="15" hidden="false" customHeight="false" outlineLevel="0" collapsed="false">
      <c r="A166" s="0" t="s">
        <v>1195</v>
      </c>
      <c r="B166" s="0" t="s">
        <v>64</v>
      </c>
      <c r="C166" s="0" t="s">
        <v>1139</v>
      </c>
      <c r="D166" s="0" t="s">
        <v>1184</v>
      </c>
      <c r="E166" s="0" t="s">
        <v>1185</v>
      </c>
      <c r="F166" s="0" t="s">
        <v>1186</v>
      </c>
      <c r="G166" s="0" t="s">
        <v>1187</v>
      </c>
      <c r="H166" s="0" t="s">
        <v>1188</v>
      </c>
      <c r="I166" s="0" t="s">
        <v>63</v>
      </c>
      <c r="J166" s="0" t="s">
        <v>619</v>
      </c>
      <c r="K166" s="0" t="s">
        <v>991</v>
      </c>
      <c r="L166" s="0" t="s">
        <v>629</v>
      </c>
      <c r="M166" s="0" t="s">
        <v>656</v>
      </c>
      <c r="N166" s="0" t="n">
        <v>0</v>
      </c>
      <c r="O166" s="0" t="n">
        <v>0</v>
      </c>
      <c r="P166" s="0" t="n">
        <v>0</v>
      </c>
      <c r="Q166" s="0" t="n">
        <v>2</v>
      </c>
      <c r="R166" s="0" t="s">
        <v>1196</v>
      </c>
      <c r="S166" s="0" t="s">
        <v>624</v>
      </c>
      <c r="T166" s="0" t="s">
        <v>1145</v>
      </c>
      <c r="U166" s="0" t="str">
        <f aca="false">IF(I166=LEFT(Buscador_Formulacion!$C$4,3),COUNTIF($I$5:I166,LEFT(Buscador_Formulacion!$C$4,3)),"")</f>
        <v/>
      </c>
    </row>
    <row r="167" customFormat="false" ht="15" hidden="false" customHeight="false" outlineLevel="0" collapsed="false">
      <c r="A167" s="0" t="s">
        <v>1197</v>
      </c>
      <c r="B167" s="0" t="s">
        <v>64</v>
      </c>
      <c r="C167" s="0" t="s">
        <v>1139</v>
      </c>
      <c r="D167" s="0" t="s">
        <v>1184</v>
      </c>
      <c r="E167" s="0" t="s">
        <v>1185</v>
      </c>
      <c r="F167" s="0" t="s">
        <v>1186</v>
      </c>
      <c r="G167" s="0" t="s">
        <v>1187</v>
      </c>
      <c r="H167" s="0" t="s">
        <v>1188</v>
      </c>
      <c r="I167" s="0" t="s">
        <v>74</v>
      </c>
      <c r="J167" s="0" t="s">
        <v>723</v>
      </c>
      <c r="K167" s="0" t="s">
        <v>724</v>
      </c>
      <c r="L167" s="0" t="s">
        <v>629</v>
      </c>
      <c r="M167" s="0" t="s">
        <v>656</v>
      </c>
      <c r="N167" s="0" t="n">
        <v>0</v>
      </c>
      <c r="O167" s="0" t="n">
        <v>0</v>
      </c>
      <c r="P167" s="0" t="n">
        <v>0</v>
      </c>
      <c r="Q167" s="0" t="n">
        <v>1</v>
      </c>
      <c r="R167" s="0" t="s">
        <v>1198</v>
      </c>
      <c r="S167" s="0" t="s">
        <v>624</v>
      </c>
      <c r="T167" s="0" t="s">
        <v>1145</v>
      </c>
      <c r="U167" s="0" t="str">
        <f aca="false">IF(I167=LEFT(Buscador_Formulacion!$C$4,3),COUNTIF($I$5:I167,LEFT(Buscador_Formulacion!$C$4,3)),"")</f>
        <v/>
      </c>
    </row>
    <row r="168" customFormat="false" ht="15" hidden="false" customHeight="false" outlineLevel="0" collapsed="false">
      <c r="A168" s="0" t="s">
        <v>1199</v>
      </c>
      <c r="B168" s="0" t="s">
        <v>64</v>
      </c>
      <c r="C168" s="0" t="s">
        <v>1139</v>
      </c>
      <c r="D168" s="0" t="s">
        <v>1184</v>
      </c>
      <c r="E168" s="0" t="s">
        <v>1185</v>
      </c>
      <c r="F168" s="0" t="s">
        <v>1186</v>
      </c>
      <c r="G168" s="0" t="s">
        <v>1187</v>
      </c>
      <c r="H168" s="0" t="s">
        <v>1188</v>
      </c>
      <c r="I168" s="0" t="s">
        <v>83</v>
      </c>
      <c r="J168" s="0" t="s">
        <v>642</v>
      </c>
      <c r="K168" s="0" t="s">
        <v>643</v>
      </c>
      <c r="L168" s="0" t="s">
        <v>644</v>
      </c>
      <c r="M168" s="0" t="s">
        <v>656</v>
      </c>
      <c r="N168" s="0" t="n">
        <v>0</v>
      </c>
      <c r="O168" s="0" t="n">
        <v>0</v>
      </c>
      <c r="P168" s="0" t="n">
        <v>0</v>
      </c>
      <c r="Q168" s="0" t="n">
        <v>4</v>
      </c>
      <c r="R168" s="0" t="s">
        <v>1200</v>
      </c>
      <c r="S168" s="0" t="s">
        <v>624</v>
      </c>
      <c r="T168" s="0" t="s">
        <v>1145</v>
      </c>
      <c r="U168" s="0" t="str">
        <f aca="false">IF(I168=LEFT(Buscador_Formulacion!$C$4,3),COUNTIF($I$5:I168,LEFT(Buscador_Formulacion!$C$4,3)),"")</f>
        <v/>
      </c>
    </row>
    <row r="169" customFormat="false" ht="15" hidden="false" customHeight="false" outlineLevel="0" collapsed="false">
      <c r="A169" s="0" t="s">
        <v>1201</v>
      </c>
      <c r="B169" s="0" t="s">
        <v>439</v>
      </c>
      <c r="C169" s="0" t="s">
        <v>1139</v>
      </c>
      <c r="D169" s="0" t="s">
        <v>1202</v>
      </c>
      <c r="E169" s="0" t="s">
        <v>1203</v>
      </c>
      <c r="F169" s="0" t="s">
        <v>1204</v>
      </c>
      <c r="G169" s="0" t="s">
        <v>957</v>
      </c>
      <c r="H169" s="0" t="s">
        <v>1205</v>
      </c>
      <c r="I169" s="0" t="s">
        <v>240</v>
      </c>
      <c r="J169" s="0" t="s">
        <v>638</v>
      </c>
      <c r="K169" s="0" t="s">
        <v>639</v>
      </c>
      <c r="L169" s="0" t="s">
        <v>640</v>
      </c>
      <c r="M169" s="0" t="s">
        <v>622</v>
      </c>
      <c r="N169" s="0" t="n">
        <v>2</v>
      </c>
      <c r="O169" s="0" t="n">
        <v>0</v>
      </c>
      <c r="P169" s="0" t="n">
        <v>2</v>
      </c>
      <c r="Q169" s="0" t="n">
        <v>0</v>
      </c>
      <c r="R169" s="0" t="s">
        <v>1206</v>
      </c>
      <c r="S169" s="0" t="s">
        <v>1207</v>
      </c>
      <c r="T169" s="0" t="s">
        <v>1145</v>
      </c>
      <c r="U169" s="0" t="str">
        <f aca="false">IF(I169=LEFT(Buscador_Formulacion!$C$4,3),COUNTIF($I$5:I169,LEFT(Buscador_Formulacion!$C$4,3)),"")</f>
        <v/>
      </c>
    </row>
    <row r="170" customFormat="false" ht="15" hidden="false" customHeight="false" outlineLevel="0" collapsed="false">
      <c r="A170" s="0" t="s">
        <v>1208</v>
      </c>
      <c r="B170" s="0" t="s">
        <v>439</v>
      </c>
      <c r="C170" s="0" t="s">
        <v>1139</v>
      </c>
      <c r="D170" s="0" t="s">
        <v>1202</v>
      </c>
      <c r="E170" s="0" t="s">
        <v>1203</v>
      </c>
      <c r="F170" s="0" t="s">
        <v>1204</v>
      </c>
      <c r="G170" s="0" t="s">
        <v>957</v>
      </c>
      <c r="H170" s="0" t="s">
        <v>1205</v>
      </c>
      <c r="I170" s="0" t="s">
        <v>373</v>
      </c>
      <c r="J170" s="0" t="s">
        <v>708</v>
      </c>
      <c r="K170" s="0" t="s">
        <v>709</v>
      </c>
      <c r="L170" s="0" t="s">
        <v>710</v>
      </c>
      <c r="M170" s="0" t="s">
        <v>622</v>
      </c>
      <c r="N170" s="0" t="n">
        <v>0</v>
      </c>
      <c r="O170" s="0" t="n">
        <v>0</v>
      </c>
      <c r="P170" s="0" t="n">
        <v>0</v>
      </c>
      <c r="Q170" s="0" t="n">
        <v>1</v>
      </c>
      <c r="R170" s="0" t="s">
        <v>660</v>
      </c>
      <c r="S170" s="0" t="s">
        <v>1207</v>
      </c>
      <c r="T170" s="0" t="s">
        <v>1145</v>
      </c>
      <c r="U170" s="0" t="str">
        <f aca="false">IF(I170=LEFT(Buscador_Formulacion!$C$4,3),COUNTIF($I$5:I170,LEFT(Buscador_Formulacion!$C$4,3)),"")</f>
        <v/>
      </c>
    </row>
    <row r="171" customFormat="false" ht="15" hidden="false" customHeight="false" outlineLevel="0" collapsed="false">
      <c r="A171" s="0" t="s">
        <v>1209</v>
      </c>
      <c r="B171" s="0" t="s">
        <v>439</v>
      </c>
      <c r="C171" s="0" t="s">
        <v>1139</v>
      </c>
      <c r="D171" s="0" t="s">
        <v>1202</v>
      </c>
      <c r="E171" s="0" t="s">
        <v>1203</v>
      </c>
      <c r="F171" s="0" t="s">
        <v>1204</v>
      </c>
      <c r="G171" s="0" t="s">
        <v>957</v>
      </c>
      <c r="H171" s="0" t="s">
        <v>1205</v>
      </c>
      <c r="I171" s="0" t="s">
        <v>83</v>
      </c>
      <c r="J171" s="0" t="s">
        <v>642</v>
      </c>
      <c r="K171" s="0" t="s">
        <v>643</v>
      </c>
      <c r="L171" s="0" t="s">
        <v>644</v>
      </c>
      <c r="M171" s="0" t="s">
        <v>669</v>
      </c>
      <c r="N171" s="0" t="n">
        <v>0</v>
      </c>
      <c r="O171" s="0" t="n">
        <v>0</v>
      </c>
      <c r="P171" s="0" t="n">
        <v>0</v>
      </c>
      <c r="Q171" s="0" t="n">
        <v>0</v>
      </c>
      <c r="R171" s="0" t="s">
        <v>1210</v>
      </c>
      <c r="S171" s="0" t="s">
        <v>1207</v>
      </c>
      <c r="T171" s="0" t="s">
        <v>1145</v>
      </c>
      <c r="U171" s="0" t="str">
        <f aca="false">IF(I171=LEFT(Buscador_Formulacion!$C$4,3),COUNTIF($I$5:I171,LEFT(Buscador_Formulacion!$C$4,3)),"")</f>
        <v/>
      </c>
    </row>
    <row r="172" customFormat="false" ht="15" hidden="false" customHeight="false" outlineLevel="0" collapsed="false">
      <c r="A172" s="0" t="s">
        <v>1211</v>
      </c>
      <c r="B172" s="0" t="s">
        <v>334</v>
      </c>
      <c r="C172" s="0" t="s">
        <v>1212</v>
      </c>
      <c r="D172" s="0" t="s">
        <v>1213</v>
      </c>
      <c r="E172" s="0" t="s">
        <v>1214</v>
      </c>
      <c r="F172" s="0" t="s">
        <v>1215</v>
      </c>
      <c r="G172" s="0" t="s">
        <v>957</v>
      </c>
      <c r="H172" s="0" t="s">
        <v>1216</v>
      </c>
      <c r="I172" s="0" t="s">
        <v>333</v>
      </c>
      <c r="J172" s="0" t="s">
        <v>683</v>
      </c>
      <c r="K172" s="0" t="s">
        <v>684</v>
      </c>
      <c r="L172" s="0" t="s">
        <v>685</v>
      </c>
      <c r="M172" s="0" t="s">
        <v>745</v>
      </c>
      <c r="N172" s="0" t="n">
        <v>0</v>
      </c>
      <c r="O172" s="0" t="n">
        <v>0</v>
      </c>
      <c r="P172" s="0" t="n">
        <v>0</v>
      </c>
      <c r="Q172" s="0" t="n">
        <v>2</v>
      </c>
      <c r="R172" s="0" t="s">
        <v>1217</v>
      </c>
      <c r="S172" s="0" t="s">
        <v>1218</v>
      </c>
      <c r="T172" s="0" t="s">
        <v>1219</v>
      </c>
      <c r="U172" s="0" t="str">
        <f aca="false">IF(I172=LEFT(Buscador_Formulacion!$C$4,3),COUNTIF($I$5:I172,LEFT(Buscador_Formulacion!$C$4,3)),"")</f>
        <v/>
      </c>
    </row>
    <row r="173" customFormat="false" ht="15" hidden="false" customHeight="false" outlineLevel="0" collapsed="false">
      <c r="A173" s="0" t="s">
        <v>1220</v>
      </c>
      <c r="B173" s="0" t="s">
        <v>334</v>
      </c>
      <c r="C173" s="0" t="s">
        <v>1212</v>
      </c>
      <c r="D173" s="0" t="s">
        <v>1213</v>
      </c>
      <c r="E173" s="0" t="s">
        <v>1214</v>
      </c>
      <c r="F173" s="0" t="s">
        <v>1215</v>
      </c>
      <c r="G173" s="0" t="s">
        <v>957</v>
      </c>
      <c r="H173" s="0" t="s">
        <v>1216</v>
      </c>
      <c r="I173" s="0" t="s">
        <v>1135</v>
      </c>
      <c r="J173" s="0" t="s">
        <v>805</v>
      </c>
      <c r="K173" s="0" t="s">
        <v>1136</v>
      </c>
      <c r="L173" s="0" t="s">
        <v>807</v>
      </c>
      <c r="M173" s="0" t="s">
        <v>745</v>
      </c>
      <c r="N173" s="0" t="n">
        <v>0</v>
      </c>
      <c r="O173" s="0" t="n">
        <v>0</v>
      </c>
      <c r="P173" s="0" t="n">
        <v>0</v>
      </c>
      <c r="Q173" s="0" t="n">
        <v>0</v>
      </c>
      <c r="R173" s="0" t="s">
        <v>623</v>
      </c>
      <c r="S173" s="0" t="s">
        <v>1218</v>
      </c>
      <c r="T173" s="0" t="s">
        <v>1219</v>
      </c>
      <c r="U173" s="0" t="str">
        <f aca="false">IF(I173=LEFT(Buscador_Formulacion!$C$4,3),COUNTIF($I$5:I173,LEFT(Buscador_Formulacion!$C$4,3)),"")</f>
        <v/>
      </c>
    </row>
    <row r="174" customFormat="false" ht="15" hidden="false" customHeight="false" outlineLevel="0" collapsed="false">
      <c r="A174" s="0" t="s">
        <v>1221</v>
      </c>
      <c r="B174" s="0" t="s">
        <v>334</v>
      </c>
      <c r="C174" s="0" t="s">
        <v>1212</v>
      </c>
      <c r="D174" s="0" t="s">
        <v>1213</v>
      </c>
      <c r="E174" s="0" t="s">
        <v>1214</v>
      </c>
      <c r="F174" s="0" t="s">
        <v>1215</v>
      </c>
      <c r="G174" s="0" t="s">
        <v>957</v>
      </c>
      <c r="H174" s="0" t="s">
        <v>1216</v>
      </c>
      <c r="I174" s="0" t="s">
        <v>1118</v>
      </c>
      <c r="J174" s="0" t="s">
        <v>805</v>
      </c>
      <c r="K174" s="0" t="s">
        <v>1119</v>
      </c>
      <c r="L174" s="0" t="s">
        <v>807</v>
      </c>
      <c r="M174" s="0" t="s">
        <v>745</v>
      </c>
      <c r="N174" s="0" t="n">
        <v>0</v>
      </c>
      <c r="O174" s="0" t="n">
        <v>0</v>
      </c>
      <c r="P174" s="0" t="n">
        <v>0</v>
      </c>
      <c r="Q174" s="0" t="n">
        <v>0</v>
      </c>
      <c r="R174" s="0" t="s">
        <v>623</v>
      </c>
      <c r="S174" s="0" t="s">
        <v>1218</v>
      </c>
      <c r="T174" s="0" t="s">
        <v>1219</v>
      </c>
      <c r="U174" s="0" t="str">
        <f aca="false">IF(I174=LEFT(Buscador_Formulacion!$C$4,3),COUNTIF($I$5:I174,LEFT(Buscador_Formulacion!$C$4,3)),"")</f>
        <v/>
      </c>
    </row>
    <row r="175" customFormat="false" ht="15" hidden="false" customHeight="false" outlineLevel="0" collapsed="false">
      <c r="A175" s="0" t="s">
        <v>1222</v>
      </c>
      <c r="B175" s="0" t="s">
        <v>334</v>
      </c>
      <c r="C175" s="0" t="s">
        <v>1212</v>
      </c>
      <c r="D175" s="0" t="s">
        <v>1213</v>
      </c>
      <c r="E175" s="0" t="s">
        <v>1214</v>
      </c>
      <c r="F175" s="0" t="s">
        <v>1215</v>
      </c>
      <c r="G175" s="0" t="s">
        <v>957</v>
      </c>
      <c r="H175" s="0" t="s">
        <v>1216</v>
      </c>
      <c r="I175" s="0" t="s">
        <v>494</v>
      </c>
      <c r="J175" s="0" t="s">
        <v>627</v>
      </c>
      <c r="K175" s="0" t="s">
        <v>1223</v>
      </c>
      <c r="L175" s="0" t="s">
        <v>636</v>
      </c>
      <c r="M175" s="0" t="s">
        <v>656</v>
      </c>
      <c r="N175" s="0" t="n">
        <v>0</v>
      </c>
      <c r="O175" s="0" t="n">
        <v>0</v>
      </c>
      <c r="P175" s="0" t="n">
        <v>0</v>
      </c>
      <c r="Q175" s="0" t="n">
        <v>1</v>
      </c>
      <c r="R175" s="0" t="s">
        <v>1224</v>
      </c>
      <c r="S175" s="0" t="s">
        <v>1218</v>
      </c>
      <c r="T175" s="0" t="s">
        <v>1219</v>
      </c>
      <c r="U175" s="0" t="str">
        <f aca="false">IF(I175=LEFT(Buscador_Formulacion!$C$4,3),COUNTIF($I$5:I175,LEFT(Buscador_Formulacion!$C$4,3)),"")</f>
        <v/>
      </c>
    </row>
    <row r="176" customFormat="false" ht="15" hidden="false" customHeight="false" outlineLevel="0" collapsed="false">
      <c r="A176" s="0" t="s">
        <v>1225</v>
      </c>
      <c r="B176" s="0" t="s">
        <v>334</v>
      </c>
      <c r="C176" s="0" t="s">
        <v>1212</v>
      </c>
      <c r="D176" s="0" t="s">
        <v>1213</v>
      </c>
      <c r="E176" s="0" t="s">
        <v>1214</v>
      </c>
      <c r="F176" s="0" t="s">
        <v>1215</v>
      </c>
      <c r="G176" s="0" t="s">
        <v>957</v>
      </c>
      <c r="H176" s="0" t="s">
        <v>1216</v>
      </c>
      <c r="I176" s="0" t="s">
        <v>427</v>
      </c>
      <c r="J176" s="0" t="s">
        <v>619</v>
      </c>
      <c r="K176" s="0" t="s">
        <v>620</v>
      </c>
      <c r="L176" s="0" t="s">
        <v>621</v>
      </c>
      <c r="M176" s="0" t="s">
        <v>669</v>
      </c>
      <c r="N176" s="0" t="n">
        <v>0</v>
      </c>
      <c r="O176" s="0" t="n">
        <v>0</v>
      </c>
      <c r="P176" s="0" t="n">
        <v>0</v>
      </c>
      <c r="Q176" s="0" t="n">
        <v>0</v>
      </c>
      <c r="R176" s="0" t="s">
        <v>1226</v>
      </c>
      <c r="S176" s="0" t="s">
        <v>1218</v>
      </c>
      <c r="T176" s="0" t="s">
        <v>1219</v>
      </c>
      <c r="U176" s="0" t="str">
        <f aca="false">IF(I176=LEFT(Buscador_Formulacion!$C$4,3),COUNTIF($I$5:I176,LEFT(Buscador_Formulacion!$C$4,3)),"")</f>
        <v/>
      </c>
    </row>
    <row r="177" customFormat="false" ht="15" hidden="false" customHeight="false" outlineLevel="0" collapsed="false">
      <c r="A177" s="0" t="s">
        <v>1227</v>
      </c>
      <c r="B177" s="0" t="s">
        <v>495</v>
      </c>
      <c r="C177" s="0" t="s">
        <v>1212</v>
      </c>
      <c r="D177" s="0" t="s">
        <v>1213</v>
      </c>
      <c r="E177" s="0" t="s">
        <v>1228</v>
      </c>
      <c r="F177" s="0" t="s">
        <v>1229</v>
      </c>
      <c r="G177" s="0" t="s">
        <v>1230</v>
      </c>
      <c r="H177" s="0" t="s">
        <v>1231</v>
      </c>
      <c r="I177" s="0" t="s">
        <v>333</v>
      </c>
      <c r="J177" s="0" t="s">
        <v>683</v>
      </c>
      <c r="K177" s="0" t="s">
        <v>684</v>
      </c>
      <c r="L177" s="0" t="s">
        <v>685</v>
      </c>
      <c r="M177" s="0" t="s">
        <v>745</v>
      </c>
      <c r="N177" s="0" t="n">
        <v>0</v>
      </c>
      <c r="O177" s="0" t="n">
        <v>0</v>
      </c>
      <c r="P177" s="0" t="n">
        <v>0</v>
      </c>
      <c r="Q177" s="0" t="n">
        <v>0</v>
      </c>
      <c r="R177" s="0" t="s">
        <v>1232</v>
      </c>
      <c r="S177" s="0" t="s">
        <v>1233</v>
      </c>
      <c r="T177" s="0" t="s">
        <v>1219</v>
      </c>
      <c r="U177" s="0" t="str">
        <f aca="false">IF(I177=LEFT(Buscador_Formulacion!$C$4,3),COUNTIF($I$5:I177,LEFT(Buscador_Formulacion!$C$4,3)),"")</f>
        <v/>
      </c>
    </row>
    <row r="178" customFormat="false" ht="15" hidden="false" customHeight="false" outlineLevel="0" collapsed="false">
      <c r="A178" s="0" t="s">
        <v>1234</v>
      </c>
      <c r="B178" s="0" t="s">
        <v>495</v>
      </c>
      <c r="C178" s="0" t="s">
        <v>1212</v>
      </c>
      <c r="D178" s="0" t="s">
        <v>1213</v>
      </c>
      <c r="E178" s="0" t="s">
        <v>1228</v>
      </c>
      <c r="F178" s="0" t="s">
        <v>1229</v>
      </c>
      <c r="G178" s="0" t="s">
        <v>1230</v>
      </c>
      <c r="H178" s="0" t="s">
        <v>1231</v>
      </c>
      <c r="I178" s="0" t="s">
        <v>433</v>
      </c>
      <c r="J178" s="0" t="s">
        <v>638</v>
      </c>
      <c r="K178" s="0" t="s">
        <v>1147</v>
      </c>
      <c r="L178" s="0" t="s">
        <v>1148</v>
      </c>
      <c r="M178" s="0" t="s">
        <v>745</v>
      </c>
      <c r="N178" s="0" t="n">
        <v>0</v>
      </c>
      <c r="O178" s="0" t="n">
        <v>0</v>
      </c>
      <c r="P178" s="0" t="n">
        <v>0</v>
      </c>
      <c r="Q178" s="0" t="n">
        <v>1</v>
      </c>
      <c r="R178" s="0" t="s">
        <v>1235</v>
      </c>
      <c r="S178" s="0" t="s">
        <v>1233</v>
      </c>
      <c r="T178" s="0" t="s">
        <v>1219</v>
      </c>
      <c r="U178" s="0" t="str">
        <f aca="false">IF(I178=LEFT(Buscador_Formulacion!$C$4,3),COUNTIF($I$5:I178,LEFT(Buscador_Formulacion!$C$4,3)),"")</f>
        <v/>
      </c>
    </row>
    <row r="179" customFormat="false" ht="15" hidden="false" customHeight="false" outlineLevel="0" collapsed="false">
      <c r="A179" s="0" t="s">
        <v>1236</v>
      </c>
      <c r="B179" s="0" t="s">
        <v>495</v>
      </c>
      <c r="C179" s="0" t="s">
        <v>1212</v>
      </c>
      <c r="D179" s="0" t="s">
        <v>1213</v>
      </c>
      <c r="E179" s="0" t="s">
        <v>1228</v>
      </c>
      <c r="F179" s="0" t="s">
        <v>1229</v>
      </c>
      <c r="G179" s="0" t="s">
        <v>1230</v>
      </c>
      <c r="H179" s="0" t="s">
        <v>1231</v>
      </c>
      <c r="I179" s="0" t="s">
        <v>494</v>
      </c>
      <c r="J179" s="0" t="s">
        <v>627</v>
      </c>
      <c r="K179" s="0" t="s">
        <v>1223</v>
      </c>
      <c r="L179" s="0" t="s">
        <v>636</v>
      </c>
      <c r="M179" s="0" t="s">
        <v>656</v>
      </c>
      <c r="N179" s="0" t="n">
        <v>0</v>
      </c>
      <c r="O179" s="0" t="n">
        <v>0</v>
      </c>
      <c r="P179" s="0" t="n">
        <v>0</v>
      </c>
      <c r="Q179" s="0" t="n">
        <v>3</v>
      </c>
      <c r="R179" s="0" t="s">
        <v>1237</v>
      </c>
      <c r="S179" s="0" t="s">
        <v>1233</v>
      </c>
      <c r="T179" s="0" t="s">
        <v>1219</v>
      </c>
      <c r="U179" s="0" t="str">
        <f aca="false">IF(I179=LEFT(Buscador_Formulacion!$C$4,3),COUNTIF($I$5:I179,LEFT(Buscador_Formulacion!$C$4,3)),"")</f>
        <v/>
      </c>
    </row>
    <row r="180" customFormat="false" ht="15" hidden="false" customHeight="false" outlineLevel="0" collapsed="false">
      <c r="A180" s="0" t="s">
        <v>1238</v>
      </c>
      <c r="B180" s="0" t="s">
        <v>495</v>
      </c>
      <c r="C180" s="0" t="s">
        <v>1212</v>
      </c>
      <c r="D180" s="0" t="s">
        <v>1213</v>
      </c>
      <c r="E180" s="0" t="s">
        <v>1228</v>
      </c>
      <c r="F180" s="0" t="s">
        <v>1229</v>
      </c>
      <c r="G180" s="0" t="s">
        <v>1230</v>
      </c>
      <c r="H180" s="0" t="s">
        <v>1231</v>
      </c>
      <c r="I180" s="0" t="s">
        <v>138</v>
      </c>
      <c r="J180" s="0" t="s">
        <v>627</v>
      </c>
      <c r="K180" s="0" t="s">
        <v>628</v>
      </c>
      <c r="L180" s="0" t="s">
        <v>629</v>
      </c>
      <c r="M180" s="0" t="s">
        <v>656</v>
      </c>
      <c r="N180" s="0" t="n">
        <v>0</v>
      </c>
      <c r="O180" s="0" t="n">
        <v>0</v>
      </c>
      <c r="P180" s="0" t="n">
        <v>0</v>
      </c>
      <c r="Q180" s="0" t="n">
        <v>1</v>
      </c>
      <c r="R180" s="0" t="s">
        <v>1239</v>
      </c>
      <c r="S180" s="0" t="s">
        <v>1233</v>
      </c>
      <c r="T180" s="0" t="s">
        <v>1219</v>
      </c>
      <c r="U180" s="0" t="str">
        <f aca="false">IF(I180=LEFT(Buscador_Formulacion!$C$4,3),COUNTIF($I$5:I180,LEFT(Buscador_Formulacion!$C$4,3)),"")</f>
        <v/>
      </c>
    </row>
    <row r="181" customFormat="false" ht="15" hidden="false" customHeight="false" outlineLevel="0" collapsed="false">
      <c r="A181" s="0" t="s">
        <v>1240</v>
      </c>
      <c r="B181" s="0" t="s">
        <v>348</v>
      </c>
      <c r="C181" s="0" t="s">
        <v>1212</v>
      </c>
      <c r="D181" s="0" t="s">
        <v>1241</v>
      </c>
      <c r="E181" s="0" t="s">
        <v>1242</v>
      </c>
      <c r="F181" s="0" t="s">
        <v>1243</v>
      </c>
      <c r="G181" s="0" t="s">
        <v>957</v>
      </c>
      <c r="H181" s="0" t="s">
        <v>1244</v>
      </c>
      <c r="I181" s="0" t="s">
        <v>422</v>
      </c>
      <c r="J181" s="0" t="s">
        <v>627</v>
      </c>
      <c r="K181" s="0" t="s">
        <v>632</v>
      </c>
      <c r="L181" s="0" t="s">
        <v>629</v>
      </c>
      <c r="M181" s="0" t="s">
        <v>622</v>
      </c>
      <c r="N181" s="0" t="n">
        <v>1</v>
      </c>
      <c r="O181" s="0" t="n">
        <v>0</v>
      </c>
      <c r="P181" s="0" t="n">
        <v>1</v>
      </c>
      <c r="Q181" s="0" t="n">
        <v>0</v>
      </c>
      <c r="R181" s="0" t="s">
        <v>633</v>
      </c>
      <c r="S181" s="0" t="s">
        <v>1245</v>
      </c>
      <c r="T181" s="0" t="s">
        <v>1219</v>
      </c>
      <c r="U181" s="0" t="str">
        <f aca="false">IF(I181=LEFT(Buscador_Formulacion!$C$4,3),COUNTIF($I$5:I181,LEFT(Buscador_Formulacion!$C$4,3)),"")</f>
        <v/>
      </c>
    </row>
    <row r="182" customFormat="false" ht="15" hidden="false" customHeight="false" outlineLevel="0" collapsed="false">
      <c r="A182" s="0" t="s">
        <v>1246</v>
      </c>
      <c r="B182" s="0" t="s">
        <v>348</v>
      </c>
      <c r="C182" s="0" t="s">
        <v>1212</v>
      </c>
      <c r="D182" s="0" t="s">
        <v>1241</v>
      </c>
      <c r="E182" s="0" t="s">
        <v>1242</v>
      </c>
      <c r="F182" s="0" t="s">
        <v>1243</v>
      </c>
      <c r="G182" s="0" t="s">
        <v>957</v>
      </c>
      <c r="H182" s="0" t="s">
        <v>1244</v>
      </c>
      <c r="I182" s="0" t="s">
        <v>333</v>
      </c>
      <c r="J182" s="0" t="s">
        <v>683</v>
      </c>
      <c r="K182" s="0" t="s">
        <v>684</v>
      </c>
      <c r="L182" s="0" t="s">
        <v>685</v>
      </c>
      <c r="M182" s="0" t="s">
        <v>622</v>
      </c>
      <c r="N182" s="0" t="n">
        <v>28</v>
      </c>
      <c r="O182" s="0" t="n">
        <v>28</v>
      </c>
      <c r="P182" s="0" t="n">
        <v>0</v>
      </c>
      <c r="Q182" s="0" t="n">
        <v>3</v>
      </c>
      <c r="R182" s="0" t="s">
        <v>1247</v>
      </c>
      <c r="S182" s="0" t="s">
        <v>1245</v>
      </c>
      <c r="T182" s="0" t="s">
        <v>1219</v>
      </c>
      <c r="U182" s="0" t="str">
        <f aca="false">IF(I182=LEFT(Buscador_Formulacion!$C$4,3),COUNTIF($I$5:I182,LEFT(Buscador_Formulacion!$C$4,3)),"")</f>
        <v/>
      </c>
    </row>
    <row r="183" customFormat="false" ht="15" hidden="false" customHeight="false" outlineLevel="0" collapsed="false">
      <c r="A183" s="0" t="s">
        <v>1248</v>
      </c>
      <c r="B183" s="0" t="s">
        <v>348</v>
      </c>
      <c r="C183" s="0" t="s">
        <v>1212</v>
      </c>
      <c r="D183" s="0" t="s">
        <v>1241</v>
      </c>
      <c r="E183" s="0" t="s">
        <v>1242</v>
      </c>
      <c r="F183" s="0" t="s">
        <v>1243</v>
      </c>
      <c r="G183" s="0" t="s">
        <v>957</v>
      </c>
      <c r="H183" s="0" t="s">
        <v>1244</v>
      </c>
      <c r="I183" s="0" t="s">
        <v>1135</v>
      </c>
      <c r="J183" s="0" t="s">
        <v>805</v>
      </c>
      <c r="K183" s="0" t="s">
        <v>1136</v>
      </c>
      <c r="L183" s="0" t="s">
        <v>807</v>
      </c>
      <c r="M183" s="0" t="s">
        <v>669</v>
      </c>
      <c r="N183" s="0" t="n">
        <v>0</v>
      </c>
      <c r="O183" s="0" t="n">
        <v>0</v>
      </c>
      <c r="P183" s="0" t="n">
        <v>0</v>
      </c>
      <c r="Q183" s="0" t="n">
        <v>0</v>
      </c>
      <c r="R183" s="0" t="s">
        <v>1249</v>
      </c>
      <c r="S183" s="0" t="s">
        <v>1245</v>
      </c>
      <c r="T183" s="0" t="s">
        <v>1219</v>
      </c>
      <c r="U183" s="0" t="str">
        <f aca="false">IF(I183=LEFT(Buscador_Formulacion!$C$4,3),COUNTIF($I$5:I183,LEFT(Buscador_Formulacion!$C$4,3)),"")</f>
        <v/>
      </c>
    </row>
    <row r="184" customFormat="false" ht="15" hidden="false" customHeight="false" outlineLevel="0" collapsed="false">
      <c r="A184" s="0" t="s">
        <v>1250</v>
      </c>
      <c r="B184" s="0" t="s">
        <v>1251</v>
      </c>
      <c r="C184" s="0" t="s">
        <v>1212</v>
      </c>
      <c r="D184" s="0" t="s">
        <v>1252</v>
      </c>
      <c r="E184" s="0" t="s">
        <v>1253</v>
      </c>
      <c r="F184" s="0" t="s">
        <v>1254</v>
      </c>
      <c r="G184" s="0" t="s">
        <v>1255</v>
      </c>
      <c r="H184" s="0" t="s">
        <v>1256</v>
      </c>
      <c r="I184" s="0" t="s">
        <v>203</v>
      </c>
      <c r="J184" s="0" t="s">
        <v>1038</v>
      </c>
      <c r="K184" s="0" t="s">
        <v>1039</v>
      </c>
      <c r="L184" s="0" t="s">
        <v>1040</v>
      </c>
      <c r="M184" s="0" t="s">
        <v>622</v>
      </c>
      <c r="N184" s="0" t="n">
        <v>0</v>
      </c>
      <c r="O184" s="0" t="n">
        <v>0</v>
      </c>
      <c r="P184" s="0" t="n">
        <v>0</v>
      </c>
      <c r="Q184" s="0" t="n">
        <v>0</v>
      </c>
      <c r="R184" s="0" t="s">
        <v>623</v>
      </c>
      <c r="S184" s="0" t="s">
        <v>1257</v>
      </c>
      <c r="T184" s="0" t="s">
        <v>1219</v>
      </c>
      <c r="U184" s="0" t="str">
        <f aca="false">IF(I184=LEFT(Buscador_Formulacion!$C$4,3),COUNTIF($I$5:I184,LEFT(Buscador_Formulacion!$C$4,3)),"")</f>
        <v/>
      </c>
    </row>
    <row r="185" customFormat="false" ht="15" hidden="false" customHeight="false" outlineLevel="0" collapsed="false">
      <c r="A185" s="0" t="s">
        <v>1258</v>
      </c>
      <c r="B185" s="0" t="s">
        <v>1251</v>
      </c>
      <c r="C185" s="0" t="s">
        <v>1212</v>
      </c>
      <c r="D185" s="0" t="s">
        <v>1252</v>
      </c>
      <c r="E185" s="0" t="s">
        <v>1253</v>
      </c>
      <c r="F185" s="0" t="s">
        <v>1254</v>
      </c>
      <c r="G185" s="0" t="s">
        <v>1255</v>
      </c>
      <c r="H185" s="0" t="s">
        <v>1256</v>
      </c>
      <c r="I185" s="0" t="s">
        <v>245</v>
      </c>
      <c r="J185" s="0" t="s">
        <v>723</v>
      </c>
      <c r="K185" s="0" t="s">
        <v>1017</v>
      </c>
      <c r="L185" s="0" t="s">
        <v>1017</v>
      </c>
      <c r="M185" s="0" t="s">
        <v>622</v>
      </c>
      <c r="N185" s="0" t="n">
        <v>1</v>
      </c>
      <c r="O185" s="0" t="n">
        <v>0</v>
      </c>
      <c r="P185" s="0" t="n">
        <v>1</v>
      </c>
      <c r="Q185" s="0" t="n">
        <v>0</v>
      </c>
      <c r="R185" s="0" t="s">
        <v>633</v>
      </c>
      <c r="S185" s="0" t="s">
        <v>1257</v>
      </c>
      <c r="T185" s="0" t="s">
        <v>1219</v>
      </c>
      <c r="U185" s="0" t="str">
        <f aca="false">IF(I185=LEFT(Buscador_Formulacion!$C$4,3),COUNTIF($I$5:I185,LEFT(Buscador_Formulacion!$C$4,3)),"")</f>
        <v/>
      </c>
    </row>
    <row r="186" customFormat="false" ht="15" hidden="false" customHeight="false" outlineLevel="0" collapsed="false">
      <c r="A186" s="0" t="s">
        <v>1259</v>
      </c>
      <c r="B186" s="0" t="s">
        <v>1251</v>
      </c>
      <c r="C186" s="0" t="s">
        <v>1212</v>
      </c>
      <c r="D186" s="0" t="s">
        <v>1252</v>
      </c>
      <c r="E186" s="0" t="s">
        <v>1253</v>
      </c>
      <c r="F186" s="0" t="s">
        <v>1254</v>
      </c>
      <c r="G186" s="0" t="s">
        <v>1255</v>
      </c>
      <c r="H186" s="0" t="s">
        <v>1256</v>
      </c>
      <c r="I186" s="0" t="s">
        <v>333</v>
      </c>
      <c r="J186" s="0" t="s">
        <v>683</v>
      </c>
      <c r="K186" s="0" t="s">
        <v>684</v>
      </c>
      <c r="L186" s="0" t="s">
        <v>685</v>
      </c>
      <c r="M186" s="0" t="s">
        <v>745</v>
      </c>
      <c r="N186" s="0" t="n">
        <v>0</v>
      </c>
      <c r="O186" s="0" t="n">
        <v>0</v>
      </c>
      <c r="P186" s="0" t="n">
        <v>0</v>
      </c>
      <c r="Q186" s="0" t="n">
        <v>0</v>
      </c>
      <c r="R186" s="0" t="s">
        <v>623</v>
      </c>
      <c r="S186" s="0" t="s">
        <v>1257</v>
      </c>
      <c r="T186" s="0" t="s">
        <v>1219</v>
      </c>
      <c r="U186" s="0" t="str">
        <f aca="false">IF(I186=LEFT(Buscador_Formulacion!$C$4,3),COUNTIF($I$5:I186,LEFT(Buscador_Formulacion!$C$4,3)),"")</f>
        <v/>
      </c>
    </row>
    <row r="187" customFormat="false" ht="15" hidden="false" customHeight="false" outlineLevel="0" collapsed="false">
      <c r="A187" s="0" t="s">
        <v>1260</v>
      </c>
      <c r="B187" s="0" t="s">
        <v>1251</v>
      </c>
      <c r="C187" s="0" t="s">
        <v>1212</v>
      </c>
      <c r="D187" s="0" t="s">
        <v>1252</v>
      </c>
      <c r="E187" s="0" t="s">
        <v>1253</v>
      </c>
      <c r="F187" s="0" t="s">
        <v>1254</v>
      </c>
      <c r="G187" s="0" t="s">
        <v>1255</v>
      </c>
      <c r="H187" s="0" t="s">
        <v>1256</v>
      </c>
      <c r="I187" s="0" t="s">
        <v>138</v>
      </c>
      <c r="J187" s="0" t="s">
        <v>627</v>
      </c>
      <c r="K187" s="0" t="s">
        <v>628</v>
      </c>
      <c r="L187" s="0" t="s">
        <v>629</v>
      </c>
      <c r="M187" s="0" t="s">
        <v>745</v>
      </c>
      <c r="N187" s="0" t="n">
        <v>0</v>
      </c>
      <c r="O187" s="0" t="n">
        <v>0</v>
      </c>
      <c r="P187" s="0" t="n">
        <v>0</v>
      </c>
      <c r="Q187" s="0" t="n">
        <v>0</v>
      </c>
      <c r="R187" s="0" t="s">
        <v>1261</v>
      </c>
      <c r="S187" s="0" t="s">
        <v>1257</v>
      </c>
      <c r="T187" s="0" t="s">
        <v>1219</v>
      </c>
      <c r="U187" s="0" t="str">
        <f aca="false">IF(I187=LEFT(Buscador_Formulacion!$C$4,3),COUNTIF($I$5:I187,LEFT(Buscador_Formulacion!$C$4,3)),"")</f>
        <v/>
      </c>
    </row>
  </sheetData>
  <sheetProtection sheet="true" password="cc6d" formatColumns="false" formatRows="false" autoFilter="false"/>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K4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sheetData>
    <row r="1" customFormat="false" ht="15" hidden="false" customHeight="false" outlineLevel="0" collapsed="false">
      <c r="A1" s="0" t="s">
        <v>1262</v>
      </c>
    </row>
    <row r="2" customFormat="false" ht="15" hidden="false" customHeight="false" outlineLevel="0" collapsed="false">
      <c r="A2" s="0" t="s">
        <v>1263</v>
      </c>
    </row>
    <row r="4" customFormat="false" ht="15" hidden="false" customHeight="false" outlineLevel="0" collapsed="false">
      <c r="A4" s="0" t="s">
        <v>553</v>
      </c>
      <c r="B4" s="0" t="s">
        <v>47</v>
      </c>
      <c r="C4" s="0" t="s">
        <v>1264</v>
      </c>
      <c r="D4" s="0" t="s">
        <v>568</v>
      </c>
      <c r="E4" s="0" t="s">
        <v>1265</v>
      </c>
      <c r="F4" s="0" t="s">
        <v>554</v>
      </c>
      <c r="G4" s="0" t="s">
        <v>1266</v>
      </c>
      <c r="H4" s="0" t="s">
        <v>589</v>
      </c>
      <c r="I4" s="0" t="s">
        <v>1267</v>
      </c>
      <c r="J4" s="0" t="s">
        <v>1268</v>
      </c>
      <c r="K4" s="0" t="s">
        <v>559</v>
      </c>
      <c r="L4" s="0" t="s">
        <v>1269</v>
      </c>
      <c r="N4" s="0" t="s">
        <v>47</v>
      </c>
      <c r="O4" s="0" t="s">
        <v>1264</v>
      </c>
      <c r="P4" s="0" t="s">
        <v>1270</v>
      </c>
      <c r="R4" s="0" t="s">
        <v>568</v>
      </c>
      <c r="S4" s="0" t="s">
        <v>1265</v>
      </c>
      <c r="T4" s="0" t="s">
        <v>1271</v>
      </c>
      <c r="V4" s="0" t="s">
        <v>1272</v>
      </c>
      <c r="W4" s="0" t="s">
        <v>1273</v>
      </c>
      <c r="X4" s="0" t="s">
        <v>1274</v>
      </c>
      <c r="Y4" s="0" t="s">
        <v>1275</v>
      </c>
      <c r="Z4" s="0" t="s">
        <v>1276</v>
      </c>
      <c r="AB4" s="0" t="s">
        <v>1274</v>
      </c>
      <c r="AC4" s="0" t="s">
        <v>1277</v>
      </c>
      <c r="AD4" s="0" t="s">
        <v>1278</v>
      </c>
      <c r="AE4" s="0" t="s">
        <v>1279</v>
      </c>
      <c r="AG4" s="0" t="s">
        <v>1280</v>
      </c>
      <c r="AI4" s="0" t="s">
        <v>33</v>
      </c>
      <c r="AK4" s="0" t="s">
        <v>569</v>
      </c>
    </row>
    <row r="5" customFormat="false" ht="15" hidden="false" customHeight="false" outlineLevel="0" collapsed="false">
      <c r="A5" s="0" t="s">
        <v>92</v>
      </c>
      <c r="B5" s="0" t="n">
        <v>1</v>
      </c>
      <c r="C5" s="0" t="s">
        <v>613</v>
      </c>
      <c r="D5" s="0" t="s">
        <v>1281</v>
      </c>
      <c r="E5" s="0" t="s">
        <v>1282</v>
      </c>
      <c r="F5" s="0" t="s">
        <v>615</v>
      </c>
      <c r="G5" s="0" t="s">
        <v>616</v>
      </c>
      <c r="H5" s="0" t="s">
        <v>617</v>
      </c>
      <c r="I5" s="0" t="s">
        <v>618</v>
      </c>
      <c r="J5" s="0" t="s">
        <v>1283</v>
      </c>
      <c r="K5" s="0" t="s">
        <v>624</v>
      </c>
      <c r="L5" s="0" t="s">
        <v>1284</v>
      </c>
      <c r="N5" s="0" t="n">
        <v>1</v>
      </c>
      <c r="O5" s="0" t="s">
        <v>613</v>
      </c>
      <c r="P5" s="0" t="s">
        <v>1285</v>
      </c>
      <c r="R5" s="0" t="s">
        <v>1281</v>
      </c>
      <c r="S5" s="0" t="s">
        <v>1282</v>
      </c>
      <c r="T5" s="0" t="s">
        <v>1286</v>
      </c>
      <c r="V5" s="0" t="s">
        <v>1287</v>
      </c>
      <c r="W5" s="0" t="s">
        <v>1288</v>
      </c>
      <c r="X5" s="0" t="s">
        <v>1289</v>
      </c>
      <c r="Y5" s="0" t="s">
        <v>1290</v>
      </c>
      <c r="Z5" s="0" t="s">
        <v>1291</v>
      </c>
      <c r="AB5" s="0" t="s">
        <v>1289</v>
      </c>
      <c r="AC5" s="0" t="s">
        <v>1290</v>
      </c>
      <c r="AD5" s="0" t="s">
        <v>1292</v>
      </c>
      <c r="AE5" s="0" t="s">
        <v>1291</v>
      </c>
      <c r="AG5" s="0" t="s">
        <v>1293</v>
      </c>
      <c r="AI5" s="0" t="s">
        <v>1294</v>
      </c>
      <c r="AK5" s="0" t="s">
        <v>1295</v>
      </c>
    </row>
    <row r="6" customFormat="false" ht="15" hidden="false" customHeight="false" outlineLevel="0" collapsed="false">
      <c r="A6" s="0" t="s">
        <v>672</v>
      </c>
      <c r="B6" s="0" t="n">
        <v>1</v>
      </c>
      <c r="C6" s="0" t="s">
        <v>613</v>
      </c>
      <c r="D6" s="0" t="s">
        <v>1281</v>
      </c>
      <c r="E6" s="0" t="s">
        <v>1282</v>
      </c>
      <c r="F6" s="0" t="s">
        <v>673</v>
      </c>
      <c r="G6" s="0" t="s">
        <v>674</v>
      </c>
      <c r="H6" s="0" t="s">
        <v>675</v>
      </c>
      <c r="I6" s="0" t="s">
        <v>676</v>
      </c>
      <c r="J6" s="0" t="s">
        <v>1296</v>
      </c>
      <c r="K6" s="0" t="s">
        <v>678</v>
      </c>
      <c r="L6" s="0" t="s">
        <v>1297</v>
      </c>
      <c r="N6" s="0" t="n">
        <v>2</v>
      </c>
      <c r="O6" s="0" t="s">
        <v>819</v>
      </c>
      <c r="P6" s="0" t="s">
        <v>1298</v>
      </c>
      <c r="R6" s="0" t="s">
        <v>1299</v>
      </c>
      <c r="S6" s="0" t="s">
        <v>1300</v>
      </c>
      <c r="T6" s="0" t="s">
        <v>1301</v>
      </c>
      <c r="V6" s="0" t="s">
        <v>1302</v>
      </c>
      <c r="W6" s="0" t="s">
        <v>1303</v>
      </c>
      <c r="X6" s="0" t="s">
        <v>1289</v>
      </c>
      <c r="Y6" s="0" t="s">
        <v>1290</v>
      </c>
      <c r="Z6" s="0" t="s">
        <v>1291</v>
      </c>
      <c r="AB6" s="0" t="s">
        <v>1304</v>
      </c>
      <c r="AC6" s="0" t="s">
        <v>1305</v>
      </c>
      <c r="AD6" s="0" t="s">
        <v>1306</v>
      </c>
      <c r="AE6" s="0" t="s">
        <v>1307</v>
      </c>
      <c r="AG6" s="0" t="s">
        <v>1308</v>
      </c>
      <c r="AI6" s="0" t="s">
        <v>1309</v>
      </c>
      <c r="AK6" s="0" t="s">
        <v>1310</v>
      </c>
    </row>
    <row r="7" customFormat="false" ht="15" hidden="false" customHeight="false" outlineLevel="0" collapsed="false">
      <c r="A7" s="0" t="s">
        <v>139</v>
      </c>
      <c r="B7" s="0" t="n">
        <v>1</v>
      </c>
      <c r="C7" s="0" t="s">
        <v>613</v>
      </c>
      <c r="D7" s="0" t="s">
        <v>1299</v>
      </c>
      <c r="E7" s="0" t="s">
        <v>1300</v>
      </c>
      <c r="F7" s="0" t="s">
        <v>713</v>
      </c>
      <c r="G7" s="0" t="s">
        <v>714</v>
      </c>
      <c r="H7" s="0" t="s">
        <v>715</v>
      </c>
      <c r="I7" s="0" t="s">
        <v>716</v>
      </c>
      <c r="J7" s="0" t="s">
        <v>1311</v>
      </c>
      <c r="K7" s="0" t="s">
        <v>718</v>
      </c>
      <c r="L7" s="0" t="s">
        <v>1312</v>
      </c>
      <c r="N7" s="0" t="n">
        <v>3</v>
      </c>
      <c r="O7" s="0" t="s">
        <v>894</v>
      </c>
      <c r="P7" s="0" t="s">
        <v>1313</v>
      </c>
      <c r="R7" s="0" t="s">
        <v>1314</v>
      </c>
      <c r="S7" s="0" t="s">
        <v>1315</v>
      </c>
      <c r="T7" s="0" t="s">
        <v>1316</v>
      </c>
      <c r="V7" s="0" t="s">
        <v>1317</v>
      </c>
      <c r="W7" s="0" t="s">
        <v>1318</v>
      </c>
      <c r="X7" s="0" t="s">
        <v>1289</v>
      </c>
      <c r="Y7" s="0" t="s">
        <v>1290</v>
      </c>
      <c r="Z7" s="0" t="s">
        <v>1291</v>
      </c>
      <c r="AB7" s="0" t="s">
        <v>1319</v>
      </c>
      <c r="AC7" s="0" t="s">
        <v>1320</v>
      </c>
      <c r="AD7" s="0" t="s">
        <v>1306</v>
      </c>
      <c r="AE7" s="0" t="s">
        <v>1307</v>
      </c>
      <c r="AG7" s="0" t="s">
        <v>664</v>
      </c>
      <c r="AK7" s="0" t="s">
        <v>1321</v>
      </c>
    </row>
    <row r="8" customFormat="false" ht="15" hidden="false" customHeight="false" outlineLevel="0" collapsed="false">
      <c r="A8" s="0" t="s">
        <v>394</v>
      </c>
      <c r="B8" s="0" t="n">
        <v>1</v>
      </c>
      <c r="C8" s="0" t="s">
        <v>613</v>
      </c>
      <c r="D8" s="0" t="s">
        <v>1314</v>
      </c>
      <c r="E8" s="0" t="s">
        <v>1315</v>
      </c>
      <c r="F8" s="0" t="s">
        <v>750</v>
      </c>
      <c r="G8" s="0" t="s">
        <v>751</v>
      </c>
      <c r="H8" s="0" t="s">
        <v>752</v>
      </c>
      <c r="I8" s="0" t="s">
        <v>753</v>
      </c>
      <c r="J8" s="0" t="s">
        <v>1322</v>
      </c>
      <c r="K8" s="0" t="s">
        <v>755</v>
      </c>
      <c r="L8" s="0" t="s">
        <v>1323</v>
      </c>
      <c r="N8" s="0" t="n">
        <v>4</v>
      </c>
      <c r="O8" s="0" t="s">
        <v>981</v>
      </c>
      <c r="P8" s="0" t="s">
        <v>1324</v>
      </c>
      <c r="R8" s="0" t="s">
        <v>1325</v>
      </c>
      <c r="S8" s="0" t="s">
        <v>1326</v>
      </c>
      <c r="T8" s="0" t="s">
        <v>1327</v>
      </c>
      <c r="V8" s="0" t="s">
        <v>1328</v>
      </c>
      <c r="W8" s="0" t="s">
        <v>1329</v>
      </c>
      <c r="X8" s="0" t="s">
        <v>1289</v>
      </c>
      <c r="Y8" s="0" t="s">
        <v>1290</v>
      </c>
      <c r="Z8" s="0" t="s">
        <v>1291</v>
      </c>
      <c r="AB8" s="0" t="s">
        <v>1330</v>
      </c>
      <c r="AC8" s="0" t="s">
        <v>1331</v>
      </c>
      <c r="AD8" s="0" t="s">
        <v>1332</v>
      </c>
      <c r="AE8" s="0" t="s">
        <v>1333</v>
      </c>
      <c r="AG8" s="0" t="s">
        <v>1334</v>
      </c>
      <c r="AK8" s="0" t="s">
        <v>1335</v>
      </c>
    </row>
    <row r="9" customFormat="false" ht="15" hidden="false" customHeight="false" outlineLevel="0" collapsed="false">
      <c r="A9" s="0" t="s">
        <v>764</v>
      </c>
      <c r="B9" s="0" t="n">
        <v>1</v>
      </c>
      <c r="C9" s="0" t="s">
        <v>613</v>
      </c>
      <c r="D9" s="0" t="s">
        <v>1314</v>
      </c>
      <c r="E9" s="0" t="s">
        <v>1315</v>
      </c>
      <c r="F9" s="0" t="s">
        <v>765</v>
      </c>
      <c r="G9" s="0" t="s">
        <v>766</v>
      </c>
      <c r="H9" s="0" t="s">
        <v>767</v>
      </c>
      <c r="I9" s="0" t="s">
        <v>768</v>
      </c>
      <c r="J9" s="0" t="s">
        <v>1336</v>
      </c>
      <c r="K9" s="0" t="s">
        <v>769</v>
      </c>
      <c r="L9" s="0" t="s">
        <v>1337</v>
      </c>
      <c r="N9" s="0" t="n">
        <v>5</v>
      </c>
      <c r="O9" s="0" t="s">
        <v>1139</v>
      </c>
      <c r="P9" s="0" t="s">
        <v>1338</v>
      </c>
      <c r="R9" s="0" t="s">
        <v>1339</v>
      </c>
      <c r="S9" s="0" t="s">
        <v>1340</v>
      </c>
      <c r="T9" s="0" t="s">
        <v>1341</v>
      </c>
      <c r="V9" s="0" t="s">
        <v>1342</v>
      </c>
      <c r="W9" s="0" t="s">
        <v>1343</v>
      </c>
      <c r="X9" s="0" t="s">
        <v>1289</v>
      </c>
      <c r="Y9" s="0" t="s">
        <v>1290</v>
      </c>
      <c r="Z9" s="0" t="s">
        <v>1291</v>
      </c>
      <c r="AB9" s="0" t="s">
        <v>1344</v>
      </c>
      <c r="AC9" s="0" t="s">
        <v>1345</v>
      </c>
      <c r="AD9" s="0" t="s">
        <v>1292</v>
      </c>
      <c r="AE9" s="0" t="s">
        <v>1293</v>
      </c>
      <c r="AK9" s="0" t="s">
        <v>562</v>
      </c>
    </row>
    <row r="10" customFormat="false" ht="15" hidden="false" customHeight="false" outlineLevel="0" collapsed="false">
      <c r="A10" s="0" t="s">
        <v>382</v>
      </c>
      <c r="B10" s="0" t="n">
        <v>1</v>
      </c>
      <c r="C10" s="0" t="s">
        <v>613</v>
      </c>
      <c r="D10" s="0" t="s">
        <v>1325</v>
      </c>
      <c r="E10" s="0" t="s">
        <v>1326</v>
      </c>
      <c r="F10" s="0" t="s">
        <v>783</v>
      </c>
      <c r="G10" s="0" t="s">
        <v>784</v>
      </c>
      <c r="H10" s="0" t="s">
        <v>785</v>
      </c>
      <c r="I10" s="0" t="s">
        <v>786</v>
      </c>
      <c r="J10" s="0" t="s">
        <v>1346</v>
      </c>
      <c r="K10" s="0" t="s">
        <v>790</v>
      </c>
      <c r="L10" s="0" t="s">
        <v>1347</v>
      </c>
      <c r="N10" s="0" t="n">
        <v>6</v>
      </c>
      <c r="O10" s="0" t="s">
        <v>1212</v>
      </c>
      <c r="P10" s="0" t="s">
        <v>1348</v>
      </c>
      <c r="R10" s="0" t="s">
        <v>1349</v>
      </c>
      <c r="S10" s="0" t="s">
        <v>1350</v>
      </c>
      <c r="T10" s="0" t="s">
        <v>1351</v>
      </c>
      <c r="V10" s="0" t="s">
        <v>1352</v>
      </c>
      <c r="W10" s="0" t="s">
        <v>1353</v>
      </c>
      <c r="X10" s="0" t="s">
        <v>1354</v>
      </c>
      <c r="Y10" s="0" t="s">
        <v>1355</v>
      </c>
      <c r="Z10" s="0" t="s">
        <v>1307</v>
      </c>
      <c r="AB10" s="0" t="s">
        <v>1356</v>
      </c>
      <c r="AC10" s="0" t="s">
        <v>1357</v>
      </c>
      <c r="AD10" s="0" t="s">
        <v>1306</v>
      </c>
      <c r="AE10" s="0" t="s">
        <v>1308</v>
      </c>
    </row>
    <row r="11" customFormat="false" ht="15" hidden="false" customHeight="false" outlineLevel="0" collapsed="false">
      <c r="A11" s="0" t="s">
        <v>398</v>
      </c>
      <c r="B11" s="0" t="n">
        <v>1</v>
      </c>
      <c r="C11" s="0" t="s">
        <v>613</v>
      </c>
      <c r="D11" s="0" t="s">
        <v>1339</v>
      </c>
      <c r="E11" s="0" t="s">
        <v>1340</v>
      </c>
      <c r="F11" s="0" t="s">
        <v>798</v>
      </c>
      <c r="G11" s="0" t="s">
        <v>799</v>
      </c>
      <c r="H11" s="0" t="s">
        <v>800</v>
      </c>
      <c r="I11" s="0" t="s">
        <v>801</v>
      </c>
      <c r="J11" s="0" t="s">
        <v>1358</v>
      </c>
      <c r="K11" s="0" t="s">
        <v>803</v>
      </c>
      <c r="L11" s="0" t="s">
        <v>1359</v>
      </c>
      <c r="R11" s="0" t="s">
        <v>1360</v>
      </c>
      <c r="S11" s="0" t="s">
        <v>1361</v>
      </c>
      <c r="T11" s="0" t="s">
        <v>1362</v>
      </c>
      <c r="V11" s="0" t="s">
        <v>1182</v>
      </c>
      <c r="W11" s="0" t="s">
        <v>1363</v>
      </c>
      <c r="X11" s="0" t="s">
        <v>1354</v>
      </c>
      <c r="Y11" s="0" t="s">
        <v>1355</v>
      </c>
      <c r="Z11" s="0" t="s">
        <v>1307</v>
      </c>
      <c r="AB11" s="0" t="s">
        <v>1364</v>
      </c>
      <c r="AC11" s="0" t="s">
        <v>1365</v>
      </c>
      <c r="AD11" s="0" t="s">
        <v>1292</v>
      </c>
      <c r="AE11" s="0" t="s">
        <v>1333</v>
      </c>
    </row>
    <row r="12" customFormat="false" ht="15" hidden="false" customHeight="false" outlineLevel="0" collapsed="false">
      <c r="A12" s="0" t="s">
        <v>810</v>
      </c>
      <c r="B12" s="0" t="n">
        <v>1</v>
      </c>
      <c r="C12" s="0" t="s">
        <v>613</v>
      </c>
      <c r="D12" s="0" t="s">
        <v>1339</v>
      </c>
      <c r="E12" s="0" t="s">
        <v>1340</v>
      </c>
      <c r="F12" s="0" t="s">
        <v>811</v>
      </c>
      <c r="G12" s="0" t="s">
        <v>812</v>
      </c>
      <c r="H12" s="0" t="s">
        <v>813</v>
      </c>
      <c r="I12" s="0" t="s">
        <v>814</v>
      </c>
      <c r="J12" s="0" t="s">
        <v>1296</v>
      </c>
      <c r="K12" s="0" t="s">
        <v>803</v>
      </c>
      <c r="L12" s="0" t="s">
        <v>1366</v>
      </c>
      <c r="R12" s="0" t="s">
        <v>1367</v>
      </c>
      <c r="S12" s="0" t="s">
        <v>1368</v>
      </c>
      <c r="T12" s="0" t="s">
        <v>1369</v>
      </c>
      <c r="V12" s="0" t="s">
        <v>1370</v>
      </c>
      <c r="W12" s="0" t="s">
        <v>1371</v>
      </c>
      <c r="X12" s="0" t="s">
        <v>1354</v>
      </c>
      <c r="Y12" s="0" t="s">
        <v>1355</v>
      </c>
      <c r="Z12" s="0" t="s">
        <v>1307</v>
      </c>
      <c r="AB12" s="0" t="s">
        <v>1372</v>
      </c>
      <c r="AC12" s="0" t="s">
        <v>1373</v>
      </c>
      <c r="AD12" s="0" t="s">
        <v>1306</v>
      </c>
      <c r="AE12" s="0" t="s">
        <v>1308</v>
      </c>
    </row>
    <row r="13" customFormat="false" ht="15" hidden="false" customHeight="false" outlineLevel="0" collapsed="false">
      <c r="A13" s="0" t="s">
        <v>484</v>
      </c>
      <c r="B13" s="0" t="n">
        <v>2</v>
      </c>
      <c r="C13" s="0" t="s">
        <v>819</v>
      </c>
      <c r="D13" s="0" t="s">
        <v>1349</v>
      </c>
      <c r="E13" s="0" t="s">
        <v>1350</v>
      </c>
      <c r="F13" s="0" t="s">
        <v>821</v>
      </c>
      <c r="G13" s="0" t="s">
        <v>822</v>
      </c>
      <c r="H13" s="0" t="s">
        <v>823</v>
      </c>
      <c r="I13" s="0" t="s">
        <v>824</v>
      </c>
      <c r="J13" s="0" t="s">
        <v>1374</v>
      </c>
      <c r="K13" s="0" t="s">
        <v>825</v>
      </c>
      <c r="L13" s="0" t="s">
        <v>1375</v>
      </c>
      <c r="R13" s="0" t="s">
        <v>1376</v>
      </c>
      <c r="S13" s="0" t="s">
        <v>1377</v>
      </c>
      <c r="T13" s="0" t="s">
        <v>1378</v>
      </c>
      <c r="V13" s="0" t="s">
        <v>1379</v>
      </c>
      <c r="W13" s="0" t="s">
        <v>1380</v>
      </c>
      <c r="X13" s="0" t="s">
        <v>1354</v>
      </c>
      <c r="Y13" s="0" t="s">
        <v>1355</v>
      </c>
      <c r="Z13" s="0" t="s">
        <v>1307</v>
      </c>
      <c r="AB13" s="0" t="s">
        <v>1381</v>
      </c>
      <c r="AC13" s="0" t="s">
        <v>1382</v>
      </c>
      <c r="AD13" s="0" t="s">
        <v>1306</v>
      </c>
      <c r="AE13" s="0" t="s">
        <v>1308</v>
      </c>
    </row>
    <row r="14" customFormat="false" ht="15" hidden="false" customHeight="false" outlineLevel="0" collapsed="false">
      <c r="A14" s="0" t="s">
        <v>837</v>
      </c>
      <c r="B14" s="0" t="n">
        <v>2</v>
      </c>
      <c r="C14" s="0" t="s">
        <v>819</v>
      </c>
      <c r="D14" s="0" t="s">
        <v>1349</v>
      </c>
      <c r="E14" s="0" t="s">
        <v>1350</v>
      </c>
      <c r="F14" s="0" t="s">
        <v>838</v>
      </c>
      <c r="G14" s="0" t="s">
        <v>839</v>
      </c>
      <c r="H14" s="0" t="s">
        <v>840</v>
      </c>
      <c r="I14" s="0" t="s">
        <v>841</v>
      </c>
      <c r="J14" s="0" t="s">
        <v>1346</v>
      </c>
      <c r="K14" s="0" t="s">
        <v>825</v>
      </c>
      <c r="L14" s="0" t="s">
        <v>1383</v>
      </c>
      <c r="R14" s="0" t="s">
        <v>1384</v>
      </c>
      <c r="S14" s="0" t="s">
        <v>1385</v>
      </c>
      <c r="T14" s="0" t="s">
        <v>1386</v>
      </c>
      <c r="V14" s="0" t="s">
        <v>1387</v>
      </c>
      <c r="W14" s="0" t="s">
        <v>1388</v>
      </c>
      <c r="X14" s="0" t="s">
        <v>1330</v>
      </c>
      <c r="Y14" s="0" t="s">
        <v>1331</v>
      </c>
      <c r="Z14" s="0" t="s">
        <v>1333</v>
      </c>
      <c r="AB14" s="0" t="s">
        <v>1389</v>
      </c>
      <c r="AC14" s="0" t="s">
        <v>1390</v>
      </c>
      <c r="AD14" s="0" t="s">
        <v>1292</v>
      </c>
      <c r="AE14" s="0" t="s">
        <v>1291</v>
      </c>
    </row>
    <row r="15" customFormat="false" ht="15" hidden="false" customHeight="false" outlineLevel="0" collapsed="false">
      <c r="A15" s="0" t="s">
        <v>847</v>
      </c>
      <c r="B15" s="0" t="n">
        <v>2</v>
      </c>
      <c r="C15" s="0" t="s">
        <v>819</v>
      </c>
      <c r="D15" s="0" t="s">
        <v>1349</v>
      </c>
      <c r="E15" s="0" t="s">
        <v>1350</v>
      </c>
      <c r="F15" s="0" t="s">
        <v>848</v>
      </c>
      <c r="G15" s="0" t="s">
        <v>849</v>
      </c>
      <c r="H15" s="0" t="s">
        <v>850</v>
      </c>
      <c r="I15" s="0" t="s">
        <v>851</v>
      </c>
      <c r="J15" s="0" t="s">
        <v>1346</v>
      </c>
      <c r="K15" s="0" t="s">
        <v>825</v>
      </c>
      <c r="L15" s="0" t="s">
        <v>1391</v>
      </c>
      <c r="R15" s="0" t="s">
        <v>1392</v>
      </c>
      <c r="S15" s="0" t="s">
        <v>1393</v>
      </c>
      <c r="T15" s="0" t="s">
        <v>1394</v>
      </c>
      <c r="V15" s="0" t="s">
        <v>1395</v>
      </c>
      <c r="W15" s="0" t="s">
        <v>1396</v>
      </c>
      <c r="X15" s="0" t="s">
        <v>1330</v>
      </c>
      <c r="Y15" s="0" t="s">
        <v>1331</v>
      </c>
      <c r="Z15" s="0" t="s">
        <v>1333</v>
      </c>
    </row>
    <row r="16" customFormat="false" ht="15" hidden="false" customHeight="false" outlineLevel="0" collapsed="false">
      <c r="A16" s="0" t="s">
        <v>855</v>
      </c>
      <c r="B16" s="0" t="n">
        <v>2</v>
      </c>
      <c r="C16" s="0" t="s">
        <v>819</v>
      </c>
      <c r="D16" s="0" t="s">
        <v>1360</v>
      </c>
      <c r="E16" s="0" t="s">
        <v>1361</v>
      </c>
      <c r="F16" s="0" t="s">
        <v>857</v>
      </c>
      <c r="G16" s="0" t="s">
        <v>858</v>
      </c>
      <c r="H16" s="0" t="s">
        <v>859</v>
      </c>
      <c r="I16" s="0" t="s">
        <v>860</v>
      </c>
      <c r="J16" s="0" t="s">
        <v>1397</v>
      </c>
      <c r="K16" s="0" t="s">
        <v>862</v>
      </c>
      <c r="L16" s="0" t="s">
        <v>1398</v>
      </c>
      <c r="R16" s="0" t="s">
        <v>1399</v>
      </c>
      <c r="S16" s="0" t="s">
        <v>1400</v>
      </c>
      <c r="T16" s="0" t="s">
        <v>1401</v>
      </c>
      <c r="V16" s="0" t="s">
        <v>1402</v>
      </c>
      <c r="W16" s="0" t="s">
        <v>1403</v>
      </c>
      <c r="X16" s="0" t="s">
        <v>1344</v>
      </c>
      <c r="Y16" s="0" t="s">
        <v>1345</v>
      </c>
      <c r="Z16" s="0" t="s">
        <v>1293</v>
      </c>
    </row>
    <row r="17" customFormat="false" ht="15" hidden="false" customHeight="false" outlineLevel="0" collapsed="false">
      <c r="A17" s="0" t="s">
        <v>864</v>
      </c>
      <c r="B17" s="0" t="n">
        <v>2</v>
      </c>
      <c r="C17" s="0" t="s">
        <v>819</v>
      </c>
      <c r="D17" s="0" t="s">
        <v>1360</v>
      </c>
      <c r="E17" s="0" t="s">
        <v>1361</v>
      </c>
      <c r="F17" s="0" t="s">
        <v>865</v>
      </c>
      <c r="G17" s="0" t="s">
        <v>866</v>
      </c>
      <c r="H17" s="0" t="s">
        <v>867</v>
      </c>
      <c r="I17" s="0" t="s">
        <v>868</v>
      </c>
      <c r="J17" s="0" t="s">
        <v>1296</v>
      </c>
      <c r="K17" s="0" t="s">
        <v>862</v>
      </c>
      <c r="L17" s="0" t="s">
        <v>1404</v>
      </c>
      <c r="R17" s="0" t="s">
        <v>1405</v>
      </c>
      <c r="S17" s="0" t="s">
        <v>1406</v>
      </c>
      <c r="T17" s="0" t="s">
        <v>1407</v>
      </c>
      <c r="V17" s="0" t="s">
        <v>1408</v>
      </c>
      <c r="W17" s="0" t="s">
        <v>1409</v>
      </c>
      <c r="X17" s="0" t="s">
        <v>1344</v>
      </c>
      <c r="Y17" s="0" t="s">
        <v>1345</v>
      </c>
      <c r="Z17" s="0" t="s">
        <v>1293</v>
      </c>
    </row>
    <row r="18" customFormat="false" ht="15" hidden="false" customHeight="false" outlineLevel="0" collapsed="false">
      <c r="A18" s="0" t="s">
        <v>405</v>
      </c>
      <c r="B18" s="0" t="n">
        <v>2</v>
      </c>
      <c r="C18" s="0" t="s">
        <v>819</v>
      </c>
      <c r="D18" s="0" t="s">
        <v>1367</v>
      </c>
      <c r="E18" s="0" t="s">
        <v>1368</v>
      </c>
      <c r="F18" s="0" t="s">
        <v>872</v>
      </c>
      <c r="G18" s="0" t="s">
        <v>873</v>
      </c>
      <c r="H18" s="0" t="s">
        <v>874</v>
      </c>
      <c r="I18" s="0" t="s">
        <v>875</v>
      </c>
      <c r="J18" s="0" t="s">
        <v>1346</v>
      </c>
      <c r="K18" s="0" t="s">
        <v>876</v>
      </c>
      <c r="L18" s="0" t="s">
        <v>1410</v>
      </c>
      <c r="R18" s="0" t="s">
        <v>1411</v>
      </c>
      <c r="S18" s="0" t="s">
        <v>1412</v>
      </c>
      <c r="T18" s="0" t="s">
        <v>1413</v>
      </c>
      <c r="V18" s="0" t="s">
        <v>1414</v>
      </c>
      <c r="W18" s="0" t="s">
        <v>1415</v>
      </c>
      <c r="X18" s="0" t="s">
        <v>1356</v>
      </c>
      <c r="Y18" s="0" t="s">
        <v>1357</v>
      </c>
      <c r="Z18" s="0" t="s">
        <v>1308</v>
      </c>
    </row>
    <row r="19" customFormat="false" ht="15" hidden="false" customHeight="false" outlineLevel="0" collapsed="false">
      <c r="A19" s="0" t="s">
        <v>412</v>
      </c>
      <c r="B19" s="0" t="n">
        <v>2</v>
      </c>
      <c r="C19" s="0" t="s">
        <v>819</v>
      </c>
      <c r="D19" s="0" t="s">
        <v>1376</v>
      </c>
      <c r="E19" s="0" t="s">
        <v>1377</v>
      </c>
      <c r="F19" s="0" t="s">
        <v>885</v>
      </c>
      <c r="G19" s="0" t="s">
        <v>886</v>
      </c>
      <c r="H19" s="0" t="s">
        <v>887</v>
      </c>
      <c r="I19" s="0" t="s">
        <v>888</v>
      </c>
      <c r="J19" s="0" t="s">
        <v>1296</v>
      </c>
      <c r="K19" s="0" t="s">
        <v>890</v>
      </c>
      <c r="L19" s="0" t="s">
        <v>1416</v>
      </c>
      <c r="R19" s="0" t="s">
        <v>1417</v>
      </c>
      <c r="S19" s="0" t="s">
        <v>1418</v>
      </c>
      <c r="T19" s="0" t="s">
        <v>1419</v>
      </c>
      <c r="V19" s="0" t="s">
        <v>1420</v>
      </c>
      <c r="W19" s="0" t="s">
        <v>1421</v>
      </c>
      <c r="X19" s="0" t="s">
        <v>1356</v>
      </c>
      <c r="Y19" s="0" t="s">
        <v>1357</v>
      </c>
      <c r="Z19" s="0" t="s">
        <v>1308</v>
      </c>
    </row>
    <row r="20" customFormat="false" ht="15" hidden="false" customHeight="false" outlineLevel="0" collapsed="false">
      <c r="A20" s="0" t="s">
        <v>893</v>
      </c>
      <c r="B20" s="0" t="n">
        <v>3</v>
      </c>
      <c r="C20" s="0" t="s">
        <v>894</v>
      </c>
      <c r="D20" s="0" t="s">
        <v>1384</v>
      </c>
      <c r="E20" s="0" t="s">
        <v>1385</v>
      </c>
      <c r="F20" s="0" t="s">
        <v>896</v>
      </c>
      <c r="G20" s="0" t="s">
        <v>897</v>
      </c>
      <c r="H20" s="0" t="s">
        <v>898</v>
      </c>
      <c r="I20" s="0" t="s">
        <v>899</v>
      </c>
      <c r="J20" s="0" t="s">
        <v>1346</v>
      </c>
      <c r="K20" s="0" t="s">
        <v>900</v>
      </c>
      <c r="L20" s="0" t="s">
        <v>1422</v>
      </c>
      <c r="R20" s="0" t="s">
        <v>1423</v>
      </c>
      <c r="S20" s="0" t="s">
        <v>1424</v>
      </c>
      <c r="T20" s="0" t="s">
        <v>1425</v>
      </c>
      <c r="V20" s="0" t="s">
        <v>967</v>
      </c>
      <c r="W20" s="0" t="s">
        <v>1426</v>
      </c>
      <c r="X20" s="0" t="s">
        <v>1364</v>
      </c>
      <c r="Y20" s="0" t="s">
        <v>1365</v>
      </c>
      <c r="Z20" s="0" t="s">
        <v>1333</v>
      </c>
    </row>
    <row r="21" customFormat="false" ht="15" hidden="false" customHeight="false" outlineLevel="0" collapsed="false">
      <c r="A21" s="0" t="s">
        <v>912</v>
      </c>
      <c r="B21" s="0" t="n">
        <v>3</v>
      </c>
      <c r="C21" s="0" t="s">
        <v>894</v>
      </c>
      <c r="D21" s="0" t="s">
        <v>1392</v>
      </c>
      <c r="E21" s="0" t="s">
        <v>1393</v>
      </c>
      <c r="F21" s="0" t="s">
        <v>914</v>
      </c>
      <c r="G21" s="0" t="s">
        <v>915</v>
      </c>
      <c r="H21" s="0" t="s">
        <v>916</v>
      </c>
      <c r="I21" s="0" t="s">
        <v>917</v>
      </c>
      <c r="J21" s="0" t="s">
        <v>1427</v>
      </c>
      <c r="K21" s="0" t="s">
        <v>918</v>
      </c>
      <c r="L21" s="0" t="s">
        <v>1428</v>
      </c>
      <c r="R21" s="0" t="s">
        <v>1429</v>
      </c>
      <c r="S21" s="0" t="s">
        <v>1430</v>
      </c>
      <c r="T21" s="0" t="s">
        <v>1431</v>
      </c>
      <c r="V21" s="0" t="s">
        <v>930</v>
      </c>
      <c r="W21" s="0" t="s">
        <v>1432</v>
      </c>
      <c r="X21" s="0" t="s">
        <v>1372</v>
      </c>
      <c r="Y21" s="0" t="s">
        <v>1373</v>
      </c>
      <c r="Z21" s="0" t="s">
        <v>1308</v>
      </c>
    </row>
    <row r="22" customFormat="false" ht="15" hidden="false" customHeight="false" outlineLevel="0" collapsed="false">
      <c r="A22" s="0" t="s">
        <v>924</v>
      </c>
      <c r="B22" s="0" t="n">
        <v>3</v>
      </c>
      <c r="C22" s="0" t="s">
        <v>894</v>
      </c>
      <c r="D22" s="0" t="s">
        <v>1392</v>
      </c>
      <c r="E22" s="0" t="s">
        <v>1393</v>
      </c>
      <c r="F22" s="0" t="s">
        <v>925</v>
      </c>
      <c r="G22" s="0" t="s">
        <v>926</v>
      </c>
      <c r="H22" s="0" t="s">
        <v>927</v>
      </c>
      <c r="I22" s="0" t="s">
        <v>928</v>
      </c>
      <c r="J22" s="0" t="s">
        <v>1346</v>
      </c>
      <c r="K22" s="0" t="s">
        <v>930</v>
      </c>
      <c r="L22" s="0" t="s">
        <v>1433</v>
      </c>
      <c r="R22" s="0" t="s">
        <v>1434</v>
      </c>
      <c r="S22" s="0" t="s">
        <v>1435</v>
      </c>
      <c r="T22" s="0" t="s">
        <v>1436</v>
      </c>
      <c r="V22" s="0" t="s">
        <v>940</v>
      </c>
      <c r="W22" s="0" t="s">
        <v>1437</v>
      </c>
      <c r="X22" s="0" t="s">
        <v>1372</v>
      </c>
      <c r="Y22" s="0" t="s">
        <v>1373</v>
      </c>
      <c r="Z22" s="0" t="s">
        <v>1308</v>
      </c>
    </row>
    <row r="23" customFormat="false" ht="15" hidden="false" customHeight="false" outlineLevel="0" collapsed="false">
      <c r="A23" s="0" t="s">
        <v>934</v>
      </c>
      <c r="B23" s="0" t="n">
        <v>3</v>
      </c>
      <c r="C23" s="0" t="s">
        <v>894</v>
      </c>
      <c r="D23" s="0" t="s">
        <v>1392</v>
      </c>
      <c r="E23" s="0" t="s">
        <v>1393</v>
      </c>
      <c r="F23" s="0" t="s">
        <v>935</v>
      </c>
      <c r="G23" s="0" t="s">
        <v>936</v>
      </c>
      <c r="H23" s="0" t="s">
        <v>937</v>
      </c>
      <c r="I23" s="0" t="s">
        <v>938</v>
      </c>
      <c r="J23" s="0" t="s">
        <v>1346</v>
      </c>
      <c r="K23" s="0" t="s">
        <v>940</v>
      </c>
      <c r="L23" s="0" t="s">
        <v>1438</v>
      </c>
      <c r="R23" s="0" t="s">
        <v>1439</v>
      </c>
      <c r="S23" s="0" t="s">
        <v>1440</v>
      </c>
      <c r="T23" s="0" t="s">
        <v>1441</v>
      </c>
      <c r="V23" s="0" t="s">
        <v>1442</v>
      </c>
      <c r="W23" s="0" t="s">
        <v>1443</v>
      </c>
      <c r="X23" s="0" t="s">
        <v>1381</v>
      </c>
      <c r="Y23" s="0" t="s">
        <v>1382</v>
      </c>
      <c r="Z23" s="0" t="s">
        <v>1308</v>
      </c>
    </row>
    <row r="24" customFormat="false" ht="15" hidden="false" customHeight="false" outlineLevel="0" collapsed="false">
      <c r="A24" s="0" t="s">
        <v>945</v>
      </c>
      <c r="B24" s="0" t="n">
        <v>3</v>
      </c>
      <c r="C24" s="0" t="s">
        <v>894</v>
      </c>
      <c r="D24" s="0" t="s">
        <v>1392</v>
      </c>
      <c r="E24" s="0" t="s">
        <v>1393</v>
      </c>
      <c r="F24" s="0" t="s">
        <v>946</v>
      </c>
      <c r="G24" s="0" t="s">
        <v>947</v>
      </c>
      <c r="H24" s="0" t="s">
        <v>948</v>
      </c>
      <c r="I24" s="0" t="s">
        <v>949</v>
      </c>
      <c r="J24" s="0" t="s">
        <v>1346</v>
      </c>
      <c r="K24" s="0" t="s">
        <v>951</v>
      </c>
      <c r="L24" s="0" t="s">
        <v>1444</v>
      </c>
      <c r="R24" s="0" t="s">
        <v>1445</v>
      </c>
      <c r="S24" s="0" t="s">
        <v>1446</v>
      </c>
      <c r="T24" s="0" t="s">
        <v>1447</v>
      </c>
      <c r="V24" s="0" t="s">
        <v>1448</v>
      </c>
      <c r="W24" s="0" t="s">
        <v>1449</v>
      </c>
      <c r="X24" s="0" t="s">
        <v>1389</v>
      </c>
      <c r="Y24" s="0" t="s">
        <v>1390</v>
      </c>
      <c r="Z24" s="0" t="s">
        <v>1291</v>
      </c>
    </row>
    <row r="25" customFormat="false" ht="15" hidden="false" customHeight="false" outlineLevel="0" collapsed="false">
      <c r="A25" s="0" t="s">
        <v>953</v>
      </c>
      <c r="B25" s="0" t="n">
        <v>3</v>
      </c>
      <c r="C25" s="0" t="s">
        <v>894</v>
      </c>
      <c r="D25" s="0" t="s">
        <v>1399</v>
      </c>
      <c r="E25" s="0" t="s">
        <v>1400</v>
      </c>
      <c r="F25" s="0" t="s">
        <v>955</v>
      </c>
      <c r="G25" s="0" t="s">
        <v>956</v>
      </c>
      <c r="H25" s="0" t="s">
        <v>957</v>
      </c>
      <c r="I25" s="0" t="s">
        <v>958</v>
      </c>
      <c r="J25" s="0" t="s">
        <v>1296</v>
      </c>
      <c r="K25" s="0" t="s">
        <v>960</v>
      </c>
      <c r="L25" s="0" t="s">
        <v>1450</v>
      </c>
      <c r="R25" s="0" t="s">
        <v>1451</v>
      </c>
      <c r="S25" s="0" t="s">
        <v>1452</v>
      </c>
      <c r="T25" s="0" t="s">
        <v>1453</v>
      </c>
      <c r="V25" s="0" t="s">
        <v>1454</v>
      </c>
      <c r="W25" s="0" t="s">
        <v>1455</v>
      </c>
      <c r="X25" s="0" t="s">
        <v>1389</v>
      </c>
      <c r="Y25" s="0" t="s">
        <v>1390</v>
      </c>
      <c r="Z25" s="0" t="s">
        <v>1291</v>
      </c>
    </row>
    <row r="26" customFormat="false" ht="15" hidden="false" customHeight="false" outlineLevel="0" collapsed="false">
      <c r="A26" s="0" t="s">
        <v>962</v>
      </c>
      <c r="B26" s="0" t="n">
        <v>3</v>
      </c>
      <c r="C26" s="0" t="s">
        <v>894</v>
      </c>
      <c r="D26" s="0" t="s">
        <v>1399</v>
      </c>
      <c r="E26" s="0" t="s">
        <v>1400</v>
      </c>
      <c r="F26" s="0" t="s">
        <v>963</v>
      </c>
      <c r="G26" s="0" t="s">
        <v>964</v>
      </c>
      <c r="H26" s="0" t="s">
        <v>957</v>
      </c>
      <c r="I26" s="0" t="s">
        <v>965</v>
      </c>
      <c r="J26" s="0" t="s">
        <v>1346</v>
      </c>
      <c r="K26" s="0" t="s">
        <v>967</v>
      </c>
      <c r="L26" s="0" t="s">
        <v>1456</v>
      </c>
      <c r="R26" s="0" t="s">
        <v>1457</v>
      </c>
      <c r="S26" s="0" t="s">
        <v>1458</v>
      </c>
      <c r="T26" s="0" t="s">
        <v>1459</v>
      </c>
    </row>
    <row r="27" customFormat="false" ht="15" hidden="false" customHeight="false" outlineLevel="0" collapsed="false">
      <c r="A27" s="0" t="s">
        <v>971</v>
      </c>
      <c r="B27" s="0" t="n">
        <v>3</v>
      </c>
      <c r="C27" s="0" t="s">
        <v>894</v>
      </c>
      <c r="D27" s="0" t="s">
        <v>1399</v>
      </c>
      <c r="E27" s="0" t="s">
        <v>1400</v>
      </c>
      <c r="F27" s="0" t="s">
        <v>972</v>
      </c>
      <c r="G27" s="0" t="s">
        <v>973</v>
      </c>
      <c r="H27" s="0" t="s">
        <v>974</v>
      </c>
      <c r="I27" s="0" t="s">
        <v>975</v>
      </c>
      <c r="J27" s="0" t="s">
        <v>1346</v>
      </c>
      <c r="K27" s="0" t="s">
        <v>977</v>
      </c>
      <c r="L27" s="0" t="s">
        <v>1460</v>
      </c>
      <c r="R27" s="0" t="s">
        <v>1461</v>
      </c>
      <c r="S27" s="0" t="s">
        <v>1462</v>
      </c>
      <c r="T27" s="0" t="s">
        <v>1463</v>
      </c>
    </row>
    <row r="28" customFormat="false" ht="15" hidden="false" customHeight="false" outlineLevel="0" collapsed="false">
      <c r="A28" s="0" t="s">
        <v>459</v>
      </c>
      <c r="B28" s="0" t="n">
        <v>4</v>
      </c>
      <c r="C28" s="0" t="s">
        <v>981</v>
      </c>
      <c r="D28" s="0" t="s">
        <v>1405</v>
      </c>
      <c r="E28" s="0" t="s">
        <v>1406</v>
      </c>
      <c r="F28" s="0" t="s">
        <v>983</v>
      </c>
      <c r="G28" s="0" t="s">
        <v>984</v>
      </c>
      <c r="H28" s="0" t="s">
        <v>985</v>
      </c>
      <c r="I28" s="0" t="s">
        <v>986</v>
      </c>
      <c r="J28" s="0" t="s">
        <v>1296</v>
      </c>
      <c r="K28" s="0" t="s">
        <v>988</v>
      </c>
      <c r="L28" s="0" t="s">
        <v>1464</v>
      </c>
      <c r="R28" s="0" t="s">
        <v>1465</v>
      </c>
      <c r="S28" s="0" t="s">
        <v>1466</v>
      </c>
      <c r="T28" s="0" t="s">
        <v>1467</v>
      </c>
    </row>
    <row r="29" customFormat="false" ht="15" hidden="false" customHeight="false" outlineLevel="0" collapsed="false">
      <c r="A29" s="0" t="s">
        <v>181</v>
      </c>
      <c r="B29" s="0" t="n">
        <v>4</v>
      </c>
      <c r="C29" s="0" t="s">
        <v>981</v>
      </c>
      <c r="D29" s="0" t="s">
        <v>1405</v>
      </c>
      <c r="E29" s="0" t="s">
        <v>1406</v>
      </c>
      <c r="F29" s="0" t="s">
        <v>994</v>
      </c>
      <c r="G29" s="0" t="s">
        <v>995</v>
      </c>
      <c r="H29" s="0" t="s">
        <v>996</v>
      </c>
      <c r="I29" s="0" t="s">
        <v>997</v>
      </c>
      <c r="J29" s="0" t="s">
        <v>1468</v>
      </c>
      <c r="K29" s="0" t="s">
        <v>999</v>
      </c>
      <c r="L29" s="0" t="s">
        <v>1469</v>
      </c>
    </row>
    <row r="30" customFormat="false" ht="15" hidden="false" customHeight="false" outlineLevel="0" collapsed="false">
      <c r="A30" s="0" t="s">
        <v>417</v>
      </c>
      <c r="B30" s="0" t="n">
        <v>4</v>
      </c>
      <c r="C30" s="0" t="s">
        <v>981</v>
      </c>
      <c r="D30" s="0" t="s">
        <v>1405</v>
      </c>
      <c r="E30" s="0" t="s">
        <v>1406</v>
      </c>
      <c r="F30" s="0" t="s">
        <v>1019</v>
      </c>
      <c r="G30" s="0" t="s">
        <v>1020</v>
      </c>
      <c r="H30" s="0" t="s">
        <v>1021</v>
      </c>
      <c r="I30" s="0" t="s">
        <v>1022</v>
      </c>
      <c r="J30" s="0" t="s">
        <v>1346</v>
      </c>
      <c r="K30" s="0" t="s">
        <v>1023</v>
      </c>
      <c r="L30" s="0" t="s">
        <v>1470</v>
      </c>
    </row>
    <row r="31" customFormat="false" ht="15" hidden="false" customHeight="false" outlineLevel="0" collapsed="false">
      <c r="A31" s="0" t="s">
        <v>204</v>
      </c>
      <c r="B31" s="0" t="n">
        <v>4</v>
      </c>
      <c r="C31" s="0" t="s">
        <v>981</v>
      </c>
      <c r="D31" s="0" t="s">
        <v>1411</v>
      </c>
      <c r="E31" s="0" t="s">
        <v>1412</v>
      </c>
      <c r="F31" s="0" t="s">
        <v>1032</v>
      </c>
      <c r="G31" s="0" t="s">
        <v>1033</v>
      </c>
      <c r="H31" s="0" t="s">
        <v>957</v>
      </c>
      <c r="I31" s="0" t="s">
        <v>1034</v>
      </c>
      <c r="J31" s="0" t="s">
        <v>1296</v>
      </c>
      <c r="K31" s="0" t="s">
        <v>1035</v>
      </c>
      <c r="L31" s="0" t="s">
        <v>1471</v>
      </c>
    </row>
    <row r="32" customFormat="false" ht="15" hidden="false" customHeight="false" outlineLevel="0" collapsed="false">
      <c r="A32" s="0" t="s">
        <v>286</v>
      </c>
      <c r="B32" s="0" t="n">
        <v>4</v>
      </c>
      <c r="C32" s="0" t="s">
        <v>981</v>
      </c>
      <c r="D32" s="0" t="s">
        <v>1411</v>
      </c>
      <c r="E32" s="0" t="s">
        <v>1412</v>
      </c>
      <c r="F32" s="0" t="s">
        <v>1047</v>
      </c>
      <c r="G32" s="0" t="s">
        <v>1048</v>
      </c>
      <c r="H32" s="0" t="s">
        <v>1049</v>
      </c>
      <c r="I32" s="0" t="s">
        <v>1050</v>
      </c>
      <c r="J32" s="0" t="s">
        <v>1346</v>
      </c>
      <c r="K32" s="0" t="s">
        <v>988</v>
      </c>
      <c r="L32" s="0" t="s">
        <v>1472</v>
      </c>
    </row>
    <row r="33" customFormat="false" ht="15" hidden="false" customHeight="false" outlineLevel="0" collapsed="false">
      <c r="A33" s="0" t="s">
        <v>1059</v>
      </c>
      <c r="B33" s="0" t="n">
        <v>4</v>
      </c>
      <c r="C33" s="0" t="s">
        <v>981</v>
      </c>
      <c r="D33" s="0" t="s">
        <v>1411</v>
      </c>
      <c r="E33" s="0" t="s">
        <v>1412</v>
      </c>
      <c r="F33" s="0" t="s">
        <v>1060</v>
      </c>
      <c r="G33" s="0" t="s">
        <v>1061</v>
      </c>
      <c r="H33" s="0" t="s">
        <v>1062</v>
      </c>
      <c r="I33" s="0" t="s">
        <v>1063</v>
      </c>
      <c r="J33" s="0" t="s">
        <v>1296</v>
      </c>
      <c r="K33" s="0" t="s">
        <v>678</v>
      </c>
      <c r="L33" s="0" t="s">
        <v>1473</v>
      </c>
    </row>
    <row r="34" customFormat="false" ht="15" hidden="false" customHeight="false" outlineLevel="0" collapsed="false">
      <c r="A34" s="0" t="s">
        <v>1068</v>
      </c>
      <c r="B34" s="0" t="n">
        <v>4</v>
      </c>
      <c r="C34" s="0" t="s">
        <v>981</v>
      </c>
      <c r="D34" s="0" t="s">
        <v>1417</v>
      </c>
      <c r="E34" s="0" t="s">
        <v>1418</v>
      </c>
      <c r="F34" s="0" t="s">
        <v>1070</v>
      </c>
      <c r="G34" s="0" t="s">
        <v>1071</v>
      </c>
      <c r="H34" s="0" t="s">
        <v>1049</v>
      </c>
      <c r="I34" s="0" t="s">
        <v>1072</v>
      </c>
      <c r="J34" s="0" t="s">
        <v>1296</v>
      </c>
      <c r="K34" s="0" t="s">
        <v>1074</v>
      </c>
      <c r="L34" s="0" t="s">
        <v>1474</v>
      </c>
    </row>
    <row r="35" customFormat="false" ht="15" hidden="false" customHeight="false" outlineLevel="0" collapsed="false">
      <c r="A35" s="0" t="s">
        <v>428</v>
      </c>
      <c r="B35" s="0" t="n">
        <v>4</v>
      </c>
      <c r="C35" s="0" t="s">
        <v>981</v>
      </c>
      <c r="D35" s="0" t="s">
        <v>1423</v>
      </c>
      <c r="E35" s="0" t="s">
        <v>1424</v>
      </c>
      <c r="F35" s="0" t="s">
        <v>1083</v>
      </c>
      <c r="G35" s="0" t="s">
        <v>1084</v>
      </c>
      <c r="H35" s="0" t="s">
        <v>1085</v>
      </c>
      <c r="I35" s="0" t="s">
        <v>1086</v>
      </c>
      <c r="J35" s="0" t="s">
        <v>1346</v>
      </c>
      <c r="K35" s="0" t="s">
        <v>967</v>
      </c>
      <c r="L35" s="0" t="s">
        <v>1475</v>
      </c>
    </row>
    <row r="36" customFormat="false" ht="15" hidden="false" customHeight="false" outlineLevel="0" collapsed="false">
      <c r="A36" s="0" t="s">
        <v>479</v>
      </c>
      <c r="B36" s="0" t="n">
        <v>4</v>
      </c>
      <c r="C36" s="0" t="s">
        <v>981</v>
      </c>
      <c r="D36" s="0" t="s">
        <v>1423</v>
      </c>
      <c r="E36" s="0" t="s">
        <v>1424</v>
      </c>
      <c r="F36" s="0" t="s">
        <v>1094</v>
      </c>
      <c r="G36" s="0" t="s">
        <v>1095</v>
      </c>
      <c r="H36" s="0" t="s">
        <v>1096</v>
      </c>
      <c r="I36" s="0" t="s">
        <v>1097</v>
      </c>
      <c r="J36" s="0" t="s">
        <v>1296</v>
      </c>
      <c r="K36" s="0" t="s">
        <v>977</v>
      </c>
      <c r="L36" s="0" t="s">
        <v>1476</v>
      </c>
    </row>
    <row r="37" customFormat="false" ht="15" hidden="false" customHeight="false" outlineLevel="0" collapsed="false">
      <c r="A37" s="0" t="s">
        <v>1101</v>
      </c>
      <c r="B37" s="0" t="n">
        <v>4</v>
      </c>
      <c r="C37" s="0" t="s">
        <v>981</v>
      </c>
      <c r="D37" s="0" t="s">
        <v>1423</v>
      </c>
      <c r="E37" s="0" t="s">
        <v>1424</v>
      </c>
      <c r="F37" s="0" t="s">
        <v>1102</v>
      </c>
      <c r="G37" s="0" t="s">
        <v>1103</v>
      </c>
      <c r="H37" s="0" t="s">
        <v>1104</v>
      </c>
      <c r="I37" s="0" t="s">
        <v>1105</v>
      </c>
      <c r="J37" s="0" t="s">
        <v>1346</v>
      </c>
      <c r="K37" s="0" t="s">
        <v>977</v>
      </c>
      <c r="L37" s="0" t="s">
        <v>1477</v>
      </c>
    </row>
    <row r="38" customFormat="false" ht="15" hidden="false" customHeight="false" outlineLevel="0" collapsed="false">
      <c r="A38" s="0" t="s">
        <v>1110</v>
      </c>
      <c r="B38" s="0" t="n">
        <v>4</v>
      </c>
      <c r="C38" s="0" t="s">
        <v>981</v>
      </c>
      <c r="D38" s="0" t="s">
        <v>1429</v>
      </c>
      <c r="E38" s="0" t="s">
        <v>1430</v>
      </c>
      <c r="F38" s="0" t="s">
        <v>1112</v>
      </c>
      <c r="G38" s="0" t="s">
        <v>1113</v>
      </c>
      <c r="H38" s="0" t="s">
        <v>985</v>
      </c>
      <c r="I38" s="0" t="s">
        <v>1114</v>
      </c>
      <c r="J38" s="0" t="s">
        <v>1346</v>
      </c>
      <c r="K38" s="0" t="s">
        <v>1116</v>
      </c>
      <c r="L38" s="0" t="s">
        <v>1478</v>
      </c>
    </row>
    <row r="39" customFormat="false" ht="15" hidden="false" customHeight="false" outlineLevel="0" collapsed="false">
      <c r="A39" s="0" t="s">
        <v>1122</v>
      </c>
      <c r="B39" s="0" t="n">
        <v>4</v>
      </c>
      <c r="C39" s="0" t="s">
        <v>981</v>
      </c>
      <c r="D39" s="0" t="s">
        <v>1429</v>
      </c>
      <c r="E39" s="0" t="s">
        <v>1430</v>
      </c>
      <c r="F39" s="0" t="s">
        <v>1123</v>
      </c>
      <c r="G39" s="0" t="s">
        <v>1124</v>
      </c>
      <c r="H39" s="0" t="s">
        <v>1125</v>
      </c>
      <c r="I39" s="0" t="s">
        <v>1126</v>
      </c>
      <c r="J39" s="0" t="s">
        <v>1479</v>
      </c>
      <c r="K39" s="0" t="s">
        <v>1127</v>
      </c>
      <c r="L39" s="0" t="s">
        <v>1480</v>
      </c>
    </row>
    <row r="40" customFormat="false" ht="15" hidden="false" customHeight="false" outlineLevel="0" collapsed="false">
      <c r="A40" s="0" t="s">
        <v>434</v>
      </c>
      <c r="B40" s="0" t="n">
        <v>5</v>
      </c>
      <c r="C40" s="0" t="s">
        <v>1139</v>
      </c>
      <c r="D40" s="0" t="s">
        <v>1434</v>
      </c>
      <c r="E40" s="0" t="s">
        <v>1435</v>
      </c>
      <c r="F40" s="0" t="s">
        <v>1141</v>
      </c>
      <c r="G40" s="0" t="s">
        <v>1142</v>
      </c>
      <c r="H40" s="0" t="s">
        <v>1143</v>
      </c>
      <c r="I40" s="0" t="s">
        <v>1144</v>
      </c>
      <c r="J40" s="0" t="s">
        <v>1296</v>
      </c>
      <c r="K40" s="0" t="s">
        <v>624</v>
      </c>
      <c r="L40" s="0" t="s">
        <v>1481</v>
      </c>
    </row>
    <row r="41" customFormat="false" ht="15" hidden="false" customHeight="false" outlineLevel="0" collapsed="false">
      <c r="A41" s="0" t="s">
        <v>1154</v>
      </c>
      <c r="B41" s="0" t="n">
        <v>5</v>
      </c>
      <c r="C41" s="0" t="s">
        <v>1139</v>
      </c>
      <c r="D41" s="0" t="s">
        <v>1439</v>
      </c>
      <c r="E41" s="0" t="s">
        <v>1440</v>
      </c>
      <c r="F41" s="0" t="s">
        <v>1156</v>
      </c>
      <c r="G41" s="0" t="s">
        <v>1157</v>
      </c>
      <c r="H41" s="0" t="s">
        <v>1158</v>
      </c>
      <c r="I41" s="0" t="s">
        <v>1159</v>
      </c>
      <c r="J41" s="0" t="s">
        <v>1296</v>
      </c>
      <c r="K41" s="0" t="s">
        <v>940</v>
      </c>
      <c r="L41" s="0" t="s">
        <v>1482</v>
      </c>
    </row>
    <row r="42" customFormat="false" ht="15" hidden="false" customHeight="false" outlineLevel="0" collapsed="false">
      <c r="A42" s="0" t="s">
        <v>444</v>
      </c>
      <c r="B42" s="0" t="n">
        <v>5</v>
      </c>
      <c r="C42" s="0" t="s">
        <v>1139</v>
      </c>
      <c r="D42" s="0" t="s">
        <v>1439</v>
      </c>
      <c r="E42" s="0" t="s">
        <v>1440</v>
      </c>
      <c r="F42" s="0" t="s">
        <v>1164</v>
      </c>
      <c r="G42" s="0" t="s">
        <v>1165</v>
      </c>
      <c r="H42" s="0" t="s">
        <v>957</v>
      </c>
      <c r="I42" s="0" t="s">
        <v>1166</v>
      </c>
      <c r="J42" s="0" t="s">
        <v>1296</v>
      </c>
      <c r="K42" s="0" t="s">
        <v>1167</v>
      </c>
      <c r="L42" s="0" t="s">
        <v>1483</v>
      </c>
    </row>
    <row r="43" customFormat="false" ht="15" hidden="false" customHeight="false" outlineLevel="0" collapsed="false">
      <c r="A43" s="0" t="s">
        <v>1177</v>
      </c>
      <c r="B43" s="0" t="n">
        <v>5</v>
      </c>
      <c r="C43" s="0" t="s">
        <v>1139</v>
      </c>
      <c r="D43" s="0" t="s">
        <v>1439</v>
      </c>
      <c r="E43" s="0" t="s">
        <v>1440</v>
      </c>
      <c r="F43" s="0" t="s">
        <v>1178</v>
      </c>
      <c r="G43" s="0" t="s">
        <v>1179</v>
      </c>
      <c r="H43" s="0" t="s">
        <v>957</v>
      </c>
      <c r="I43" s="0" t="s">
        <v>1180</v>
      </c>
      <c r="J43" s="0" t="s">
        <v>1484</v>
      </c>
      <c r="K43" s="0" t="s">
        <v>1182</v>
      </c>
      <c r="L43" s="0" t="s">
        <v>1485</v>
      </c>
    </row>
    <row r="44" customFormat="false" ht="15" hidden="false" customHeight="false" outlineLevel="0" collapsed="false">
      <c r="A44" s="0" t="s">
        <v>64</v>
      </c>
      <c r="B44" s="0" t="n">
        <v>5</v>
      </c>
      <c r="C44" s="0" t="s">
        <v>1139</v>
      </c>
      <c r="D44" s="0" t="s">
        <v>1445</v>
      </c>
      <c r="E44" s="0" t="s">
        <v>1446</v>
      </c>
      <c r="F44" s="0" t="s">
        <v>1185</v>
      </c>
      <c r="G44" s="0" t="s">
        <v>1186</v>
      </c>
      <c r="H44" s="0" t="s">
        <v>1187</v>
      </c>
      <c r="I44" s="0" t="s">
        <v>1188</v>
      </c>
      <c r="J44" s="0" t="s">
        <v>1486</v>
      </c>
      <c r="K44" s="0" t="s">
        <v>624</v>
      </c>
      <c r="L44" s="0" t="s">
        <v>1487</v>
      </c>
    </row>
    <row r="45" customFormat="false" ht="15" hidden="false" customHeight="false" outlineLevel="0" collapsed="false">
      <c r="A45" s="0" t="s">
        <v>439</v>
      </c>
      <c r="B45" s="0" t="n">
        <v>5</v>
      </c>
      <c r="C45" s="0" t="s">
        <v>1139</v>
      </c>
      <c r="D45" s="0" t="s">
        <v>1451</v>
      </c>
      <c r="E45" s="0" t="s">
        <v>1452</v>
      </c>
      <c r="F45" s="0" t="s">
        <v>1203</v>
      </c>
      <c r="G45" s="0" t="s">
        <v>1204</v>
      </c>
      <c r="H45" s="0" t="s">
        <v>957</v>
      </c>
      <c r="I45" s="0" t="s">
        <v>1205</v>
      </c>
      <c r="J45" s="0" t="s">
        <v>1346</v>
      </c>
      <c r="K45" s="0" t="s">
        <v>1207</v>
      </c>
      <c r="L45" s="0" t="s">
        <v>1488</v>
      </c>
    </row>
    <row r="46" customFormat="false" ht="15" hidden="false" customHeight="false" outlineLevel="0" collapsed="false">
      <c r="A46" s="0" t="s">
        <v>334</v>
      </c>
      <c r="B46" s="0" t="n">
        <v>6</v>
      </c>
      <c r="C46" s="0" t="s">
        <v>1212</v>
      </c>
      <c r="D46" s="0" t="s">
        <v>1457</v>
      </c>
      <c r="E46" s="0" t="s">
        <v>1458</v>
      </c>
      <c r="F46" s="0" t="s">
        <v>1214</v>
      </c>
      <c r="G46" s="0" t="s">
        <v>1215</v>
      </c>
      <c r="H46" s="0" t="s">
        <v>957</v>
      </c>
      <c r="I46" s="0" t="s">
        <v>1216</v>
      </c>
      <c r="J46" s="0" t="s">
        <v>1489</v>
      </c>
      <c r="K46" s="0" t="s">
        <v>1218</v>
      </c>
      <c r="L46" s="0" t="s">
        <v>1490</v>
      </c>
    </row>
    <row r="47" customFormat="false" ht="15" hidden="false" customHeight="false" outlineLevel="0" collapsed="false">
      <c r="A47" s="0" t="s">
        <v>495</v>
      </c>
      <c r="B47" s="0" t="n">
        <v>6</v>
      </c>
      <c r="C47" s="0" t="s">
        <v>1212</v>
      </c>
      <c r="D47" s="0" t="s">
        <v>1457</v>
      </c>
      <c r="E47" s="0" t="s">
        <v>1458</v>
      </c>
      <c r="F47" s="0" t="s">
        <v>1228</v>
      </c>
      <c r="G47" s="0" t="s">
        <v>1229</v>
      </c>
      <c r="H47" s="0" t="s">
        <v>1230</v>
      </c>
      <c r="I47" s="0" t="s">
        <v>1231</v>
      </c>
      <c r="J47" s="0" t="s">
        <v>1491</v>
      </c>
      <c r="K47" s="0" t="s">
        <v>1233</v>
      </c>
      <c r="L47" s="0" t="s">
        <v>1492</v>
      </c>
    </row>
    <row r="48" customFormat="false" ht="15" hidden="false" customHeight="false" outlineLevel="0" collapsed="false">
      <c r="A48" s="0" t="s">
        <v>348</v>
      </c>
      <c r="B48" s="0" t="n">
        <v>6</v>
      </c>
      <c r="C48" s="0" t="s">
        <v>1212</v>
      </c>
      <c r="D48" s="0" t="s">
        <v>1461</v>
      </c>
      <c r="E48" s="0" t="s">
        <v>1462</v>
      </c>
      <c r="F48" s="0" t="s">
        <v>1242</v>
      </c>
      <c r="G48" s="0" t="s">
        <v>1243</v>
      </c>
      <c r="H48" s="0" t="s">
        <v>957</v>
      </c>
      <c r="I48" s="0" t="s">
        <v>1244</v>
      </c>
      <c r="J48" s="0" t="s">
        <v>1346</v>
      </c>
      <c r="K48" s="0" t="s">
        <v>1245</v>
      </c>
      <c r="L48" s="0" t="s">
        <v>1493</v>
      </c>
    </row>
    <row r="49" customFormat="false" ht="15" hidden="false" customHeight="false" outlineLevel="0" collapsed="false">
      <c r="A49" s="0" t="s">
        <v>1251</v>
      </c>
      <c r="B49" s="0" t="n">
        <v>6</v>
      </c>
      <c r="C49" s="0" t="s">
        <v>1212</v>
      </c>
      <c r="D49" s="0" t="s">
        <v>1465</v>
      </c>
      <c r="E49" s="0" t="s">
        <v>1466</v>
      </c>
      <c r="F49" s="0" t="s">
        <v>1253</v>
      </c>
      <c r="G49" s="0" t="s">
        <v>1254</v>
      </c>
      <c r="H49" s="0" t="s">
        <v>1255</v>
      </c>
      <c r="I49" s="0" t="s">
        <v>1256</v>
      </c>
      <c r="J49" s="0" t="s">
        <v>1346</v>
      </c>
      <c r="K49" s="0" t="s">
        <v>1257</v>
      </c>
      <c r="L49" s="0" t="s">
        <v>1494</v>
      </c>
    </row>
  </sheetData>
  <sheetProtection sheet="true" password="cc6d" formatColumns="false" formatRows="false" autoFilter="false"/>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5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sheetData>
    <row r="1" customFormat="false" ht="15" hidden="false" customHeight="false" outlineLevel="0" collapsed="false">
      <c r="A1" s="0" t="s">
        <v>1495</v>
      </c>
    </row>
    <row r="2" customFormat="false" ht="15" hidden="false" customHeight="false" outlineLevel="0" collapsed="false">
      <c r="A2" s="0" t="s">
        <v>1496</v>
      </c>
    </row>
    <row r="4" customFormat="false" ht="15" hidden="false" customHeight="false" outlineLevel="0" collapsed="false">
      <c r="A4" s="0" t="s">
        <v>1272</v>
      </c>
      <c r="B4" s="0" t="s">
        <v>45</v>
      </c>
      <c r="C4" s="0" t="s">
        <v>1497</v>
      </c>
      <c r="E4" s="0" t="s">
        <v>590</v>
      </c>
      <c r="F4" s="0" t="s">
        <v>1498</v>
      </c>
      <c r="G4" s="0" t="s">
        <v>45</v>
      </c>
      <c r="H4" s="0" t="s">
        <v>44</v>
      </c>
      <c r="I4" s="0" t="s">
        <v>1499</v>
      </c>
      <c r="J4" s="0" t="s">
        <v>1500</v>
      </c>
      <c r="K4" s="0" t="s">
        <v>1501</v>
      </c>
      <c r="L4" s="0" t="s">
        <v>1269</v>
      </c>
      <c r="N4" s="0" t="s">
        <v>1502</v>
      </c>
      <c r="O4" s="0" t="s">
        <v>40</v>
      </c>
      <c r="P4" s="0" t="s">
        <v>591</v>
      </c>
    </row>
    <row r="5" customFormat="false" ht="15" hidden="false" customHeight="false" outlineLevel="0" collapsed="false">
      <c r="A5" s="0" t="s">
        <v>1503</v>
      </c>
      <c r="B5" s="0" t="s">
        <v>1504</v>
      </c>
      <c r="C5" s="0" t="s">
        <v>1505</v>
      </c>
      <c r="E5" s="0" t="s">
        <v>63</v>
      </c>
      <c r="F5" s="0" t="s">
        <v>1503</v>
      </c>
      <c r="G5" s="0" t="s">
        <v>1504</v>
      </c>
      <c r="H5" s="0" t="s">
        <v>991</v>
      </c>
      <c r="I5" s="0" t="s">
        <v>629</v>
      </c>
      <c r="J5" s="0" t="s">
        <v>1506</v>
      </c>
      <c r="K5" s="0" t="s">
        <v>1507</v>
      </c>
      <c r="L5" s="0" t="s">
        <v>1508</v>
      </c>
      <c r="N5" s="0" t="s">
        <v>1509</v>
      </c>
      <c r="O5" s="0" t="s">
        <v>1506</v>
      </c>
      <c r="P5" s="0" t="s">
        <v>629</v>
      </c>
    </row>
    <row r="6" customFormat="false" ht="15" hidden="false" customHeight="false" outlineLevel="0" collapsed="false">
      <c r="A6" s="0" t="s">
        <v>1510</v>
      </c>
      <c r="B6" s="0" t="s">
        <v>1511</v>
      </c>
      <c r="C6" s="0" t="s">
        <v>1505</v>
      </c>
      <c r="E6" s="0" t="s">
        <v>427</v>
      </c>
      <c r="F6" s="0" t="s">
        <v>1503</v>
      </c>
      <c r="G6" s="0" t="s">
        <v>1504</v>
      </c>
      <c r="H6" s="0" t="s">
        <v>620</v>
      </c>
      <c r="I6" s="0" t="s">
        <v>621</v>
      </c>
      <c r="J6" s="0" t="s">
        <v>1506</v>
      </c>
      <c r="K6" s="0" t="s">
        <v>1512</v>
      </c>
      <c r="L6" s="0" t="s">
        <v>1513</v>
      </c>
      <c r="N6" s="0" t="s">
        <v>1514</v>
      </c>
      <c r="O6" s="0" t="s">
        <v>1506</v>
      </c>
      <c r="P6" s="0" t="s">
        <v>788</v>
      </c>
    </row>
    <row r="7" customFormat="false" ht="15" hidden="false" customHeight="false" outlineLevel="0" collapsed="false">
      <c r="A7" s="0" t="s">
        <v>1515</v>
      </c>
      <c r="B7" s="0" t="s">
        <v>1039</v>
      </c>
      <c r="C7" s="0" t="s">
        <v>1516</v>
      </c>
      <c r="E7" s="0" t="s">
        <v>478</v>
      </c>
      <c r="F7" s="0" t="s">
        <v>1503</v>
      </c>
      <c r="G7" s="0" t="s">
        <v>1504</v>
      </c>
      <c r="H7" s="0" t="s">
        <v>787</v>
      </c>
      <c r="I7" s="0" t="s">
        <v>788</v>
      </c>
      <c r="J7" s="0" t="s">
        <v>1506</v>
      </c>
      <c r="K7" s="0" t="s">
        <v>1512</v>
      </c>
      <c r="L7" s="0" t="s">
        <v>1517</v>
      </c>
      <c r="N7" s="0" t="s">
        <v>1518</v>
      </c>
      <c r="O7" s="0" t="s">
        <v>1506</v>
      </c>
      <c r="P7" s="0" t="s">
        <v>636</v>
      </c>
    </row>
    <row r="8" customFormat="false" ht="15" hidden="false" customHeight="false" outlineLevel="0" collapsed="false">
      <c r="A8" s="0" t="s">
        <v>1519</v>
      </c>
      <c r="B8" s="0" t="s">
        <v>1520</v>
      </c>
      <c r="C8" s="0" t="s">
        <v>1505</v>
      </c>
      <c r="E8" s="0" t="s">
        <v>203</v>
      </c>
      <c r="F8" s="0" t="s">
        <v>1515</v>
      </c>
      <c r="G8" s="0" t="s">
        <v>1039</v>
      </c>
      <c r="H8" s="0" t="s">
        <v>1039</v>
      </c>
      <c r="I8" s="0" t="s">
        <v>1040</v>
      </c>
      <c r="J8" s="0" t="s">
        <v>1521</v>
      </c>
      <c r="K8" s="0" t="s">
        <v>1512</v>
      </c>
      <c r="L8" s="0" t="s">
        <v>1522</v>
      </c>
      <c r="N8" s="0" t="s">
        <v>1523</v>
      </c>
      <c r="O8" s="0" t="s">
        <v>1506</v>
      </c>
      <c r="P8" s="0" t="s">
        <v>710</v>
      </c>
    </row>
    <row r="9" customFormat="false" ht="15" hidden="false" customHeight="false" outlineLevel="0" collapsed="false">
      <c r="A9" s="0" t="s">
        <v>1524</v>
      </c>
      <c r="B9" s="0" t="s">
        <v>91</v>
      </c>
      <c r="C9" s="0" t="s">
        <v>1505</v>
      </c>
      <c r="E9" s="0" t="s">
        <v>138</v>
      </c>
      <c r="F9" s="0" t="s">
        <v>1510</v>
      </c>
      <c r="G9" s="0" t="s">
        <v>1511</v>
      </c>
      <c r="H9" s="0" t="s">
        <v>628</v>
      </c>
      <c r="I9" s="0" t="s">
        <v>629</v>
      </c>
      <c r="J9" s="0" t="s">
        <v>1506</v>
      </c>
      <c r="K9" s="0" t="s">
        <v>1507</v>
      </c>
      <c r="L9" s="0" t="s">
        <v>1525</v>
      </c>
      <c r="N9" s="0" t="s">
        <v>1526</v>
      </c>
      <c r="O9" s="0" t="s">
        <v>1506</v>
      </c>
      <c r="P9" s="0" t="s">
        <v>621</v>
      </c>
    </row>
    <row r="10" customFormat="false" ht="15" hidden="false" customHeight="false" outlineLevel="0" collapsed="false">
      <c r="A10" s="0" t="s">
        <v>1527</v>
      </c>
      <c r="B10" s="0" t="s">
        <v>1528</v>
      </c>
      <c r="C10" s="0" t="s">
        <v>1529</v>
      </c>
      <c r="E10" s="0" t="s">
        <v>422</v>
      </c>
      <c r="F10" s="0" t="s">
        <v>1510</v>
      </c>
      <c r="G10" s="0" t="s">
        <v>1511</v>
      </c>
      <c r="H10" s="0" t="s">
        <v>632</v>
      </c>
      <c r="I10" s="0" t="s">
        <v>629</v>
      </c>
      <c r="J10" s="0" t="s">
        <v>1506</v>
      </c>
      <c r="K10" s="0" t="s">
        <v>1507</v>
      </c>
      <c r="L10" s="0" t="s">
        <v>1530</v>
      </c>
      <c r="N10" s="0" t="s">
        <v>1531</v>
      </c>
      <c r="O10" s="0" t="s">
        <v>1506</v>
      </c>
      <c r="P10" s="0" t="s">
        <v>807</v>
      </c>
    </row>
    <row r="11" customFormat="false" ht="15" hidden="false" customHeight="false" outlineLevel="0" collapsed="false">
      <c r="A11" s="0" t="s">
        <v>1532</v>
      </c>
      <c r="B11" s="0" t="s">
        <v>684</v>
      </c>
      <c r="C11" s="0" t="s">
        <v>1529</v>
      </c>
      <c r="E11" s="0" t="s">
        <v>381</v>
      </c>
      <c r="F11" s="0" t="s">
        <v>1510</v>
      </c>
      <c r="G11" s="0" t="s">
        <v>1511</v>
      </c>
      <c r="H11" s="0" t="s">
        <v>635</v>
      </c>
      <c r="I11" s="0" t="s">
        <v>636</v>
      </c>
      <c r="J11" s="0" t="s">
        <v>1506</v>
      </c>
      <c r="K11" s="0" t="s">
        <v>1507</v>
      </c>
      <c r="L11" s="0" t="s">
        <v>1533</v>
      </c>
      <c r="N11" s="0" t="s">
        <v>1534</v>
      </c>
      <c r="O11" s="0" t="s">
        <v>1535</v>
      </c>
      <c r="P11" s="0" t="s">
        <v>644</v>
      </c>
    </row>
    <row r="12" customFormat="false" ht="15" hidden="false" customHeight="false" outlineLevel="0" collapsed="false">
      <c r="A12" s="0" t="s">
        <v>1536</v>
      </c>
      <c r="B12" s="0" t="s">
        <v>1537</v>
      </c>
      <c r="C12" s="0" t="s">
        <v>1505</v>
      </c>
      <c r="E12" s="0" t="s">
        <v>172</v>
      </c>
      <c r="F12" s="0" t="s">
        <v>1510</v>
      </c>
      <c r="G12" s="0" t="s">
        <v>1511</v>
      </c>
      <c r="H12" s="0" t="s">
        <v>720</v>
      </c>
      <c r="I12" s="0" t="s">
        <v>636</v>
      </c>
      <c r="J12" s="0" t="s">
        <v>1506</v>
      </c>
      <c r="K12" s="0" t="s">
        <v>1507</v>
      </c>
      <c r="L12" s="0" t="s">
        <v>1538</v>
      </c>
      <c r="N12" s="0" t="s">
        <v>1539</v>
      </c>
      <c r="O12" s="0" t="s">
        <v>1535</v>
      </c>
      <c r="P12" s="0" t="s">
        <v>703</v>
      </c>
    </row>
    <row r="13" customFormat="false" ht="15" hidden="false" customHeight="false" outlineLevel="0" collapsed="false">
      <c r="A13" s="0" t="s">
        <v>1540</v>
      </c>
      <c r="B13" s="0" t="s">
        <v>1541</v>
      </c>
      <c r="C13" s="0" t="s">
        <v>1505</v>
      </c>
      <c r="E13" s="0" t="s">
        <v>1001</v>
      </c>
      <c r="F13" s="0" t="s">
        <v>1542</v>
      </c>
      <c r="G13" s="0" t="s">
        <v>1543</v>
      </c>
      <c r="H13" s="0" t="s">
        <v>1002</v>
      </c>
      <c r="I13" s="0" t="s">
        <v>710</v>
      </c>
      <c r="J13" s="0" t="s">
        <v>1506</v>
      </c>
      <c r="K13" s="0" t="s">
        <v>1512</v>
      </c>
      <c r="L13" s="0" t="s">
        <v>1544</v>
      </c>
      <c r="N13" s="0" t="s">
        <v>1545</v>
      </c>
      <c r="O13" s="0" t="s">
        <v>1535</v>
      </c>
      <c r="P13" s="0" t="s">
        <v>830</v>
      </c>
    </row>
    <row r="14" customFormat="false" ht="15" hidden="false" customHeight="false" outlineLevel="0" collapsed="false">
      <c r="A14" s="0" t="s">
        <v>1546</v>
      </c>
      <c r="B14" s="0" t="s">
        <v>1171</v>
      </c>
      <c r="C14" s="0" t="s">
        <v>1529</v>
      </c>
      <c r="E14" s="0" t="s">
        <v>494</v>
      </c>
      <c r="F14" s="0" t="s">
        <v>1510</v>
      </c>
      <c r="G14" s="0" t="s">
        <v>1511</v>
      </c>
      <c r="H14" s="0" t="s">
        <v>1223</v>
      </c>
      <c r="I14" s="0" t="s">
        <v>636</v>
      </c>
      <c r="J14" s="0" t="s">
        <v>1506</v>
      </c>
      <c r="K14" s="0" t="s">
        <v>1507</v>
      </c>
      <c r="L14" s="0" t="s">
        <v>1547</v>
      </c>
      <c r="N14" s="0" t="s">
        <v>1548</v>
      </c>
      <c r="O14" s="0" t="s">
        <v>1535</v>
      </c>
      <c r="P14" s="0" t="s">
        <v>905</v>
      </c>
    </row>
    <row r="15" customFormat="false" ht="15" hidden="false" customHeight="false" outlineLevel="0" collapsed="false">
      <c r="A15" s="0" t="s">
        <v>1549</v>
      </c>
      <c r="B15" s="0" t="s">
        <v>1550</v>
      </c>
      <c r="C15" s="0" t="s">
        <v>1529</v>
      </c>
      <c r="E15" s="0" t="s">
        <v>74</v>
      </c>
      <c r="F15" s="0" t="s">
        <v>1519</v>
      </c>
      <c r="G15" s="0" t="s">
        <v>1520</v>
      </c>
      <c r="H15" s="0" t="s">
        <v>724</v>
      </c>
      <c r="I15" s="0" t="s">
        <v>629</v>
      </c>
      <c r="J15" s="0" t="s">
        <v>1506</v>
      </c>
      <c r="K15" s="0" t="s">
        <v>1507</v>
      </c>
      <c r="L15" s="0" t="s">
        <v>1551</v>
      </c>
      <c r="N15" s="0" t="s">
        <v>1552</v>
      </c>
      <c r="O15" s="0" t="s">
        <v>1535</v>
      </c>
      <c r="P15" s="0" t="s">
        <v>664</v>
      </c>
    </row>
    <row r="16" customFormat="false" ht="15" hidden="false" customHeight="false" outlineLevel="0" collapsed="false">
      <c r="A16" s="0" t="s">
        <v>1553</v>
      </c>
      <c r="B16" s="0" t="s">
        <v>196</v>
      </c>
      <c r="C16" s="0" t="s">
        <v>1505</v>
      </c>
      <c r="E16" s="0" t="s">
        <v>245</v>
      </c>
      <c r="F16" s="0" t="s">
        <v>1519</v>
      </c>
      <c r="G16" s="0" t="s">
        <v>1520</v>
      </c>
      <c r="H16" s="0" t="s">
        <v>1017</v>
      </c>
      <c r="I16" s="0" t="s">
        <v>1017</v>
      </c>
      <c r="J16" s="0" t="s">
        <v>1554</v>
      </c>
      <c r="K16" s="0" t="s">
        <v>1507</v>
      </c>
      <c r="L16" s="0" t="s">
        <v>1555</v>
      </c>
      <c r="N16" s="0" t="s">
        <v>1556</v>
      </c>
      <c r="O16" s="0" t="s">
        <v>1554</v>
      </c>
      <c r="P16" s="0" t="s">
        <v>1017</v>
      </c>
    </row>
    <row r="17" customFormat="false" ht="15" hidden="false" customHeight="false" outlineLevel="0" collapsed="false">
      <c r="A17" s="0" t="s">
        <v>1557</v>
      </c>
      <c r="B17" s="0" t="s">
        <v>1558</v>
      </c>
      <c r="C17" s="0" t="s">
        <v>1529</v>
      </c>
      <c r="E17" s="0" t="s">
        <v>1559</v>
      </c>
      <c r="F17" s="0" t="s">
        <v>1519</v>
      </c>
      <c r="G17" s="0" t="s">
        <v>1520</v>
      </c>
      <c r="H17" s="0" t="s">
        <v>1560</v>
      </c>
      <c r="I17" s="0" t="s">
        <v>1561</v>
      </c>
      <c r="J17" s="0" t="s">
        <v>1521</v>
      </c>
      <c r="K17" s="0" t="s">
        <v>1507</v>
      </c>
      <c r="L17" s="0" t="s">
        <v>1562</v>
      </c>
      <c r="N17" s="0" t="s">
        <v>1563</v>
      </c>
      <c r="O17" s="0" t="s">
        <v>1554</v>
      </c>
      <c r="P17" s="0" t="s">
        <v>640</v>
      </c>
    </row>
    <row r="18" customFormat="false" ht="15" hidden="false" customHeight="false" outlineLevel="0" collapsed="false">
      <c r="A18" s="0" t="s">
        <v>1542</v>
      </c>
      <c r="B18" s="0" t="s">
        <v>1543</v>
      </c>
      <c r="C18" s="0" t="s">
        <v>1529</v>
      </c>
      <c r="E18" s="0" t="s">
        <v>240</v>
      </c>
      <c r="F18" s="0" t="s">
        <v>1553</v>
      </c>
      <c r="G18" s="0" t="s">
        <v>196</v>
      </c>
      <c r="H18" s="0" t="s">
        <v>639</v>
      </c>
      <c r="I18" s="0" t="s">
        <v>640</v>
      </c>
      <c r="J18" s="0" t="s">
        <v>1554</v>
      </c>
      <c r="K18" s="0" t="s">
        <v>1507</v>
      </c>
      <c r="L18" s="0" t="s">
        <v>1564</v>
      </c>
      <c r="N18" s="0" t="s">
        <v>1565</v>
      </c>
      <c r="O18" s="0" t="s">
        <v>1554</v>
      </c>
      <c r="P18" s="0" t="s">
        <v>1148</v>
      </c>
    </row>
    <row r="19" customFormat="false" ht="15" hidden="false" customHeight="false" outlineLevel="0" collapsed="false">
      <c r="A19" s="0" t="s">
        <v>1566</v>
      </c>
      <c r="B19" s="0" t="s">
        <v>1567</v>
      </c>
      <c r="C19" s="0" t="s">
        <v>1529</v>
      </c>
      <c r="E19" s="0" t="s">
        <v>83</v>
      </c>
      <c r="F19" s="0" t="s">
        <v>1524</v>
      </c>
      <c r="G19" s="0" t="s">
        <v>91</v>
      </c>
      <c r="H19" s="0" t="s">
        <v>643</v>
      </c>
      <c r="I19" s="0" t="s">
        <v>644</v>
      </c>
      <c r="J19" s="0" t="s">
        <v>1535</v>
      </c>
      <c r="K19" s="0" t="s">
        <v>1507</v>
      </c>
      <c r="L19" s="0" t="s">
        <v>1568</v>
      </c>
      <c r="N19" s="0" t="s">
        <v>1569</v>
      </c>
      <c r="O19" s="0" t="s">
        <v>1554</v>
      </c>
      <c r="P19" s="0" t="s">
        <v>1570</v>
      </c>
    </row>
    <row r="20" customFormat="false" ht="15" hidden="false" customHeight="false" outlineLevel="0" collapsed="false">
      <c r="A20" s="0" t="s">
        <v>1571</v>
      </c>
      <c r="B20" s="0" t="s">
        <v>1572</v>
      </c>
      <c r="C20" s="0" t="s">
        <v>1505</v>
      </c>
      <c r="E20" s="0" t="s">
        <v>729</v>
      </c>
      <c r="F20" s="0" t="s">
        <v>1536</v>
      </c>
      <c r="G20" s="0" t="s">
        <v>1537</v>
      </c>
      <c r="H20" s="0" t="s">
        <v>730</v>
      </c>
      <c r="I20" s="0" t="s">
        <v>644</v>
      </c>
      <c r="J20" s="0" t="s">
        <v>1535</v>
      </c>
      <c r="K20" s="0" t="s">
        <v>1507</v>
      </c>
      <c r="L20" s="0" t="s">
        <v>1573</v>
      </c>
      <c r="N20" s="0" t="s">
        <v>1574</v>
      </c>
      <c r="O20" s="0" t="s">
        <v>1554</v>
      </c>
      <c r="P20" s="0" t="s">
        <v>685</v>
      </c>
    </row>
    <row r="21" customFormat="false" ht="15" hidden="false" customHeight="false" outlineLevel="0" collapsed="false">
      <c r="A21" s="0" t="s">
        <v>1575</v>
      </c>
      <c r="B21" s="0" t="s">
        <v>1576</v>
      </c>
      <c r="C21" s="0" t="s">
        <v>1529</v>
      </c>
      <c r="E21" s="0" t="s">
        <v>733</v>
      </c>
      <c r="F21" s="0" t="s">
        <v>1524</v>
      </c>
      <c r="G21" s="0" t="s">
        <v>91</v>
      </c>
      <c r="H21" s="0" t="s">
        <v>734</v>
      </c>
      <c r="I21" s="0" t="s">
        <v>644</v>
      </c>
      <c r="J21" s="0" t="s">
        <v>1535</v>
      </c>
      <c r="K21" s="0" t="s">
        <v>1577</v>
      </c>
      <c r="L21" s="0" t="s">
        <v>1578</v>
      </c>
      <c r="N21" s="0" t="s">
        <v>1579</v>
      </c>
      <c r="O21" s="0" t="s">
        <v>1554</v>
      </c>
      <c r="P21" s="0" t="s">
        <v>652</v>
      </c>
    </row>
    <row r="22" customFormat="false" ht="15" hidden="false" customHeight="false" outlineLevel="0" collapsed="false">
      <c r="E22" s="0" t="s">
        <v>737</v>
      </c>
      <c r="F22" s="0" t="s">
        <v>1510</v>
      </c>
      <c r="G22" s="0" t="s">
        <v>1511</v>
      </c>
      <c r="H22" s="0" t="s">
        <v>738</v>
      </c>
      <c r="I22" s="0" t="s">
        <v>629</v>
      </c>
      <c r="J22" s="0" t="s">
        <v>1506</v>
      </c>
      <c r="K22" s="0" t="s">
        <v>1507</v>
      </c>
      <c r="L22" s="0" t="s">
        <v>1580</v>
      </c>
      <c r="N22" s="0" t="s">
        <v>1581</v>
      </c>
      <c r="O22" s="0" t="s">
        <v>1554</v>
      </c>
      <c r="P22" s="0" t="s">
        <v>1582</v>
      </c>
    </row>
    <row r="23" customFormat="false" ht="15" hidden="false" customHeight="false" outlineLevel="0" collapsed="false">
      <c r="E23" s="0" t="s">
        <v>1079</v>
      </c>
      <c r="F23" s="0" t="s">
        <v>1510</v>
      </c>
      <c r="G23" s="0" t="s">
        <v>1511</v>
      </c>
      <c r="H23" s="0" t="s">
        <v>1080</v>
      </c>
      <c r="I23" s="0" t="s">
        <v>629</v>
      </c>
      <c r="J23" s="0" t="s">
        <v>1506</v>
      </c>
      <c r="K23" s="0" t="s">
        <v>1507</v>
      </c>
      <c r="L23" s="0" t="s">
        <v>1583</v>
      </c>
      <c r="N23" s="0" t="s">
        <v>1584</v>
      </c>
      <c r="O23" s="0" t="s">
        <v>1521</v>
      </c>
      <c r="P23" s="0" t="s">
        <v>1561</v>
      </c>
    </row>
    <row r="24" customFormat="false" ht="15" hidden="false" customHeight="false" outlineLevel="0" collapsed="false">
      <c r="E24" s="0" t="s">
        <v>1585</v>
      </c>
      <c r="F24" s="0" t="s">
        <v>1527</v>
      </c>
      <c r="G24" s="0" t="s">
        <v>1528</v>
      </c>
      <c r="H24" s="0" t="s">
        <v>1586</v>
      </c>
      <c r="I24" s="0" t="s">
        <v>644</v>
      </c>
      <c r="J24" s="0" t="s">
        <v>1535</v>
      </c>
      <c r="K24" s="0" t="s">
        <v>1507</v>
      </c>
      <c r="L24" s="0" t="s">
        <v>1587</v>
      </c>
      <c r="N24" s="0" t="s">
        <v>1588</v>
      </c>
      <c r="O24" s="0" t="s">
        <v>1521</v>
      </c>
      <c r="P24" s="0" t="s">
        <v>1040</v>
      </c>
    </row>
    <row r="25" customFormat="false" ht="15" hidden="false" customHeight="false" outlineLevel="0" collapsed="false">
      <c r="E25" s="0" t="s">
        <v>333</v>
      </c>
      <c r="F25" s="0" t="s">
        <v>1532</v>
      </c>
      <c r="G25" s="0" t="s">
        <v>684</v>
      </c>
      <c r="H25" s="0" t="s">
        <v>684</v>
      </c>
      <c r="I25" s="0" t="s">
        <v>685</v>
      </c>
      <c r="J25" s="0" t="s">
        <v>1554</v>
      </c>
      <c r="K25" s="0" t="s">
        <v>1507</v>
      </c>
      <c r="L25" s="0" t="s">
        <v>1589</v>
      </c>
    </row>
    <row r="26" customFormat="false" ht="15" hidden="false" customHeight="false" outlineLevel="0" collapsed="false">
      <c r="E26" s="0" t="s">
        <v>687</v>
      </c>
      <c r="F26" s="0" t="s">
        <v>1536</v>
      </c>
      <c r="G26" s="0" t="s">
        <v>1537</v>
      </c>
      <c r="H26" s="0" t="s">
        <v>688</v>
      </c>
      <c r="I26" s="0" t="s">
        <v>644</v>
      </c>
      <c r="J26" s="0" t="s">
        <v>1535</v>
      </c>
      <c r="K26" s="0" t="s">
        <v>1590</v>
      </c>
      <c r="L26" s="0" t="s">
        <v>1591</v>
      </c>
      <c r="N26" s="0" t="s">
        <v>1592</v>
      </c>
    </row>
    <row r="27" customFormat="false" ht="15" hidden="false" customHeight="false" outlineLevel="0" collapsed="false">
      <c r="E27" s="0" t="s">
        <v>647</v>
      </c>
      <c r="F27" s="0" t="s">
        <v>1536</v>
      </c>
      <c r="G27" s="0" t="s">
        <v>1537</v>
      </c>
      <c r="H27" s="0" t="s">
        <v>649</v>
      </c>
      <c r="I27" s="0" t="s">
        <v>644</v>
      </c>
      <c r="J27" s="0" t="s">
        <v>1535</v>
      </c>
      <c r="K27" s="0" t="s">
        <v>1590</v>
      </c>
      <c r="L27" s="0" t="s">
        <v>1593</v>
      </c>
    </row>
    <row r="28" customFormat="false" ht="15" hidden="false" customHeight="false" outlineLevel="0" collapsed="false">
      <c r="E28" s="0" t="s">
        <v>691</v>
      </c>
      <c r="F28" s="0" t="s">
        <v>1536</v>
      </c>
      <c r="G28" s="0" t="s">
        <v>1537</v>
      </c>
      <c r="H28" s="0" t="s">
        <v>692</v>
      </c>
      <c r="I28" s="0" t="s">
        <v>644</v>
      </c>
      <c r="J28" s="0" t="s">
        <v>1535</v>
      </c>
      <c r="K28" s="0" t="s">
        <v>1590</v>
      </c>
      <c r="L28" s="0" t="s">
        <v>1594</v>
      </c>
    </row>
    <row r="29" customFormat="false" ht="15" hidden="false" customHeight="false" outlineLevel="0" collapsed="false">
      <c r="E29" s="0" t="s">
        <v>694</v>
      </c>
      <c r="F29" s="0" t="s">
        <v>1536</v>
      </c>
      <c r="G29" s="0" t="s">
        <v>1537</v>
      </c>
      <c r="H29" s="0" t="s">
        <v>695</v>
      </c>
      <c r="I29" s="0" t="s">
        <v>644</v>
      </c>
      <c r="J29" s="0" t="s">
        <v>1535</v>
      </c>
      <c r="K29" s="0" t="s">
        <v>1590</v>
      </c>
      <c r="L29" s="0" t="s">
        <v>1595</v>
      </c>
    </row>
    <row r="30" customFormat="false" ht="15" hidden="false" customHeight="false" outlineLevel="0" collapsed="false">
      <c r="E30" s="0" t="s">
        <v>697</v>
      </c>
      <c r="F30" s="0" t="s">
        <v>1536</v>
      </c>
      <c r="G30" s="0" t="s">
        <v>1537</v>
      </c>
      <c r="H30" s="0" t="s">
        <v>698</v>
      </c>
      <c r="I30" s="0" t="s">
        <v>644</v>
      </c>
      <c r="J30" s="0" t="s">
        <v>1535</v>
      </c>
      <c r="K30" s="0" t="s">
        <v>1590</v>
      </c>
      <c r="L30" s="0" t="s">
        <v>1596</v>
      </c>
    </row>
    <row r="31" customFormat="false" ht="15" hidden="false" customHeight="false" outlineLevel="0" collapsed="false">
      <c r="E31" s="0" t="s">
        <v>700</v>
      </c>
      <c r="F31" s="0" t="s">
        <v>1540</v>
      </c>
      <c r="G31" s="0" t="s">
        <v>1541</v>
      </c>
      <c r="H31" s="0" t="s">
        <v>702</v>
      </c>
      <c r="I31" s="0" t="s">
        <v>703</v>
      </c>
      <c r="J31" s="0" t="s">
        <v>1535</v>
      </c>
      <c r="K31" s="0" t="s">
        <v>1507</v>
      </c>
      <c r="L31" s="0" t="s">
        <v>546</v>
      </c>
    </row>
    <row r="32" customFormat="false" ht="15" hidden="false" customHeight="false" outlineLevel="0" collapsed="false">
      <c r="E32" s="0" t="s">
        <v>1169</v>
      </c>
      <c r="F32" s="0" t="s">
        <v>1546</v>
      </c>
      <c r="G32" s="0" t="s">
        <v>1171</v>
      </c>
      <c r="H32" s="0" t="s">
        <v>1171</v>
      </c>
      <c r="I32" s="0" t="s">
        <v>1148</v>
      </c>
      <c r="J32" s="0" t="s">
        <v>1554</v>
      </c>
      <c r="K32" s="0" t="s">
        <v>1507</v>
      </c>
      <c r="L32" s="0" t="s">
        <v>1597</v>
      </c>
    </row>
    <row r="33" customFormat="false" ht="15" hidden="false" customHeight="false" outlineLevel="0" collapsed="false">
      <c r="E33" s="0" t="s">
        <v>124</v>
      </c>
      <c r="F33" s="0" t="s">
        <v>1549</v>
      </c>
      <c r="G33" s="0" t="s">
        <v>1550</v>
      </c>
      <c r="H33" s="0" t="s">
        <v>655</v>
      </c>
      <c r="I33" s="0" t="s">
        <v>644</v>
      </c>
      <c r="J33" s="0" t="s">
        <v>1535</v>
      </c>
      <c r="K33" s="0" t="s">
        <v>1512</v>
      </c>
      <c r="L33" s="0" t="s">
        <v>1598</v>
      </c>
    </row>
    <row r="34" customFormat="false" ht="15" hidden="false" customHeight="false" outlineLevel="0" collapsed="false">
      <c r="E34" s="0" t="s">
        <v>147</v>
      </c>
      <c r="F34" s="0" t="s">
        <v>1553</v>
      </c>
      <c r="G34" s="0" t="s">
        <v>196</v>
      </c>
      <c r="H34" s="0" t="s">
        <v>651</v>
      </c>
      <c r="I34" s="0" t="s">
        <v>652</v>
      </c>
      <c r="J34" s="0" t="s">
        <v>1554</v>
      </c>
      <c r="K34" s="0" t="s">
        <v>1507</v>
      </c>
      <c r="L34" s="0" t="s">
        <v>1599</v>
      </c>
    </row>
    <row r="35" customFormat="false" ht="15" hidden="false" customHeight="false" outlineLevel="0" collapsed="false">
      <c r="E35" s="0" t="s">
        <v>433</v>
      </c>
      <c r="F35" s="0" t="s">
        <v>1553</v>
      </c>
      <c r="G35" s="0" t="s">
        <v>196</v>
      </c>
      <c r="H35" s="0" t="s">
        <v>1147</v>
      </c>
      <c r="I35" s="0" t="s">
        <v>1148</v>
      </c>
      <c r="J35" s="0" t="s">
        <v>1554</v>
      </c>
      <c r="K35" s="0" t="s">
        <v>1507</v>
      </c>
      <c r="L35" s="0" t="s">
        <v>1600</v>
      </c>
    </row>
    <row r="36" customFormat="false" ht="15" hidden="false" customHeight="false" outlineLevel="0" collapsed="false">
      <c r="E36" s="0" t="s">
        <v>1601</v>
      </c>
      <c r="F36" s="0" t="s">
        <v>1557</v>
      </c>
      <c r="G36" s="0" t="s">
        <v>1558</v>
      </c>
      <c r="H36" s="0" t="s">
        <v>1570</v>
      </c>
      <c r="I36" s="0" t="s">
        <v>1570</v>
      </c>
      <c r="J36" s="0" t="s">
        <v>1554</v>
      </c>
      <c r="K36" s="0" t="s">
        <v>1507</v>
      </c>
      <c r="L36" s="0" t="s">
        <v>1602</v>
      </c>
    </row>
    <row r="37" customFormat="false" ht="15" hidden="false" customHeight="false" outlineLevel="0" collapsed="false">
      <c r="E37" s="0" t="s">
        <v>1603</v>
      </c>
      <c r="F37" s="0" t="s">
        <v>1557</v>
      </c>
      <c r="G37" s="0" t="s">
        <v>1558</v>
      </c>
      <c r="H37" s="0" t="s">
        <v>1604</v>
      </c>
      <c r="I37" s="0" t="s">
        <v>1582</v>
      </c>
      <c r="J37" s="0" t="s">
        <v>1554</v>
      </c>
      <c r="K37" s="0" t="s">
        <v>1507</v>
      </c>
      <c r="L37" s="0" t="s">
        <v>1605</v>
      </c>
    </row>
    <row r="38" customFormat="false" ht="15" hidden="false" customHeight="false" outlineLevel="0" collapsed="false">
      <c r="E38" s="0" t="s">
        <v>373</v>
      </c>
      <c r="F38" s="0" t="s">
        <v>1542</v>
      </c>
      <c r="G38" s="0" t="s">
        <v>1543</v>
      </c>
      <c r="H38" s="0" t="s">
        <v>709</v>
      </c>
      <c r="I38" s="0" t="s">
        <v>710</v>
      </c>
      <c r="J38" s="0" t="s">
        <v>1506</v>
      </c>
      <c r="K38" s="0" t="s">
        <v>1507</v>
      </c>
      <c r="L38" s="0" t="s">
        <v>1606</v>
      </c>
    </row>
    <row r="39" customFormat="false" ht="15" hidden="false" customHeight="false" outlineLevel="0" collapsed="false">
      <c r="E39" s="0" t="s">
        <v>235</v>
      </c>
      <c r="F39" s="0" t="s">
        <v>1566</v>
      </c>
      <c r="G39" s="0" t="s">
        <v>1567</v>
      </c>
      <c r="H39" s="0" t="s">
        <v>806</v>
      </c>
      <c r="I39" s="0" t="s">
        <v>807</v>
      </c>
      <c r="J39" s="0" t="s">
        <v>1506</v>
      </c>
      <c r="K39" s="0" t="s">
        <v>1507</v>
      </c>
      <c r="L39" s="0" t="s">
        <v>1607</v>
      </c>
    </row>
    <row r="40" customFormat="false" ht="15" hidden="false" customHeight="false" outlineLevel="0" collapsed="false">
      <c r="E40" s="0" t="s">
        <v>1135</v>
      </c>
      <c r="F40" s="0" t="s">
        <v>1566</v>
      </c>
      <c r="G40" s="0" t="s">
        <v>1567</v>
      </c>
      <c r="H40" s="0" t="s">
        <v>1136</v>
      </c>
      <c r="I40" s="0" t="s">
        <v>807</v>
      </c>
      <c r="J40" s="0" t="s">
        <v>1506</v>
      </c>
      <c r="K40" s="0" t="s">
        <v>1507</v>
      </c>
      <c r="L40" s="0" t="s">
        <v>1608</v>
      </c>
    </row>
    <row r="41" customFormat="false" ht="15" hidden="false" customHeight="false" outlineLevel="0" collapsed="false">
      <c r="E41" s="0" t="s">
        <v>1118</v>
      </c>
      <c r="F41" s="0" t="s">
        <v>1566</v>
      </c>
      <c r="G41" s="0" t="s">
        <v>1567</v>
      </c>
      <c r="H41" s="0" t="s">
        <v>1119</v>
      </c>
      <c r="I41" s="0" t="s">
        <v>807</v>
      </c>
      <c r="J41" s="0" t="s">
        <v>1506</v>
      </c>
      <c r="K41" s="0" t="s">
        <v>1507</v>
      </c>
      <c r="L41" s="0" t="s">
        <v>1609</v>
      </c>
    </row>
    <row r="42" customFormat="false" ht="15" hidden="false" customHeight="false" outlineLevel="0" collapsed="false">
      <c r="E42" s="0" t="s">
        <v>833</v>
      </c>
      <c r="F42" s="0" t="s">
        <v>1571</v>
      </c>
      <c r="G42" s="0" t="s">
        <v>1572</v>
      </c>
      <c r="H42" s="0" t="s">
        <v>834</v>
      </c>
      <c r="I42" s="0" t="s">
        <v>830</v>
      </c>
      <c r="J42" s="0" t="s">
        <v>1535</v>
      </c>
      <c r="K42" s="0" t="s">
        <v>1507</v>
      </c>
      <c r="L42" s="0" t="s">
        <v>1610</v>
      </c>
    </row>
    <row r="43" customFormat="false" ht="15" hidden="false" customHeight="false" outlineLevel="0" collapsed="false">
      <c r="E43" s="0" t="s">
        <v>411</v>
      </c>
      <c r="F43" s="0" t="s">
        <v>1571</v>
      </c>
      <c r="G43" s="0" t="s">
        <v>1572</v>
      </c>
      <c r="H43" s="0" t="s">
        <v>829</v>
      </c>
      <c r="I43" s="0" t="s">
        <v>830</v>
      </c>
      <c r="J43" s="0" t="s">
        <v>1535</v>
      </c>
      <c r="K43" s="0" t="s">
        <v>1507</v>
      </c>
      <c r="L43" s="0" t="s">
        <v>1611</v>
      </c>
    </row>
    <row r="44" customFormat="false" ht="15" hidden="false" customHeight="false" outlineLevel="0" collapsed="false">
      <c r="E44" s="0" t="s">
        <v>404</v>
      </c>
      <c r="F44" s="0" t="s">
        <v>1571</v>
      </c>
      <c r="G44" s="0" t="s">
        <v>1572</v>
      </c>
      <c r="H44" s="0" t="s">
        <v>845</v>
      </c>
      <c r="I44" s="0" t="s">
        <v>830</v>
      </c>
      <c r="J44" s="0" t="s">
        <v>1535</v>
      </c>
      <c r="K44" s="0" t="s">
        <v>1507</v>
      </c>
      <c r="L44" s="0" t="s">
        <v>1612</v>
      </c>
    </row>
    <row r="45" customFormat="false" ht="15" hidden="false" customHeight="false" outlineLevel="0" collapsed="false">
      <c r="E45" s="0" t="s">
        <v>903</v>
      </c>
      <c r="F45" s="0" t="s">
        <v>1575</v>
      </c>
      <c r="G45" s="0" t="s">
        <v>1576</v>
      </c>
      <c r="H45" s="0" t="s">
        <v>904</v>
      </c>
      <c r="I45" s="0" t="s">
        <v>905</v>
      </c>
      <c r="J45" s="0" t="s">
        <v>1535</v>
      </c>
      <c r="K45" s="0" t="s">
        <v>1507</v>
      </c>
      <c r="L45" s="0" t="s">
        <v>1613</v>
      </c>
    </row>
    <row r="46" customFormat="false" ht="15" hidden="false" customHeight="false" outlineLevel="0" collapsed="false">
      <c r="E46" s="0" t="s">
        <v>942</v>
      </c>
      <c r="F46" s="0" t="s">
        <v>1575</v>
      </c>
      <c r="G46" s="0" t="s">
        <v>1576</v>
      </c>
      <c r="H46" s="0" t="s">
        <v>943</v>
      </c>
      <c r="I46" s="0" t="s">
        <v>905</v>
      </c>
      <c r="J46" s="0" t="s">
        <v>1535</v>
      </c>
      <c r="K46" s="0" t="s">
        <v>1512</v>
      </c>
      <c r="L46" s="0" t="s">
        <v>1614</v>
      </c>
    </row>
    <row r="47" customFormat="false" ht="15" hidden="false" customHeight="false" outlineLevel="0" collapsed="false">
      <c r="E47" s="0" t="s">
        <v>471</v>
      </c>
      <c r="F47" s="0" t="s">
        <v>1575</v>
      </c>
      <c r="G47" s="0" t="s">
        <v>1576</v>
      </c>
      <c r="H47" s="0" t="s">
        <v>663</v>
      </c>
      <c r="I47" s="0" t="s">
        <v>664</v>
      </c>
      <c r="J47" s="0" t="s">
        <v>1535</v>
      </c>
      <c r="K47" s="0" t="s">
        <v>1512</v>
      </c>
      <c r="L47" s="0" t="s">
        <v>1615</v>
      </c>
    </row>
    <row r="48" customFormat="false" ht="15" hidden="false" customHeight="false" outlineLevel="0" collapsed="false">
      <c r="E48" s="0" t="s">
        <v>1192</v>
      </c>
      <c r="F48" s="0" t="s">
        <v>1503</v>
      </c>
      <c r="G48" s="0" t="s">
        <v>1504</v>
      </c>
      <c r="H48" s="0" t="s">
        <v>1193</v>
      </c>
      <c r="I48" s="0" t="s">
        <v>629</v>
      </c>
      <c r="J48" s="0" t="s">
        <v>1506</v>
      </c>
      <c r="K48" s="0" t="s">
        <v>1507</v>
      </c>
      <c r="L48" s="0" t="s">
        <v>1616</v>
      </c>
    </row>
    <row r="49" customFormat="false" ht="15" hidden="false" customHeight="false" outlineLevel="0" collapsed="false">
      <c r="E49" s="0" t="s">
        <v>667</v>
      </c>
      <c r="F49" s="0" t="s">
        <v>1524</v>
      </c>
      <c r="G49" s="0" t="s">
        <v>91</v>
      </c>
      <c r="H49" s="0" t="s">
        <v>668</v>
      </c>
      <c r="I49" s="0" t="s">
        <v>644</v>
      </c>
      <c r="J49" s="0" t="s">
        <v>1535</v>
      </c>
      <c r="K49" s="0" t="s">
        <v>1507</v>
      </c>
      <c r="L49" s="0" t="s">
        <v>1617</v>
      </c>
    </row>
    <row r="50" customFormat="false" ht="15" hidden="false" customHeight="false" outlineLevel="0" collapsed="false">
      <c r="E50" s="0" t="s">
        <v>154</v>
      </c>
      <c r="F50" s="0" t="s">
        <v>1536</v>
      </c>
      <c r="G50" s="0" t="s">
        <v>1537</v>
      </c>
      <c r="H50" s="0" t="s">
        <v>744</v>
      </c>
      <c r="I50" s="0" t="s">
        <v>644</v>
      </c>
      <c r="J50" s="0" t="s">
        <v>1535</v>
      </c>
      <c r="K50" s="0" t="s">
        <v>1618</v>
      </c>
      <c r="L50" s="0" t="s">
        <v>1619</v>
      </c>
    </row>
    <row r="51" customFormat="false" ht="15" hidden="false" customHeight="false" outlineLevel="0" collapsed="false">
      <c r="E51" s="0" t="s">
        <v>180</v>
      </c>
      <c r="F51" s="0" t="s">
        <v>1553</v>
      </c>
      <c r="G51" s="0" t="s">
        <v>196</v>
      </c>
      <c r="H51" s="0" t="s">
        <v>659</v>
      </c>
      <c r="I51" s="0" t="s">
        <v>652</v>
      </c>
      <c r="J51" s="0" t="s">
        <v>1554</v>
      </c>
      <c r="K51" s="0" t="s">
        <v>1507</v>
      </c>
      <c r="L51" s="0" t="s">
        <v>1620</v>
      </c>
    </row>
  </sheetData>
  <sheetProtection sheet="true" password="cc6d" formatColumns="false" formatRows="false" autoFilter="false"/>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2026-10-22T16:53:44Z</dcterms:created>
  <dc:creator>Fabian Ospina</dc:creator>
  <dc:description/>
  <dc:language>en-US</dc:language>
  <cp:lastModifiedBy>Fabian Ospina</cp:lastModifiedBy>
  <dcterms:modified xsi:type="dcterms:W3CDTF">2026-10-22T17:16:16Z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